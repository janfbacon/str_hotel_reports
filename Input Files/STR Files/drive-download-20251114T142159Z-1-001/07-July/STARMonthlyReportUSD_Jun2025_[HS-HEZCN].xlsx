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33.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36.xml" ContentType="application/vnd.openxmlformats-officedocument.drawing+xml"/>
  <Override PartName="/xl/charts/chart37.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2"/>
    <sheet name="Glance" sheetId="57" r:id="rId3"/>
    <sheet name="Summary" sheetId="55" r:id="rId4"/>
    <sheet name="Comp" sheetId="76" r:id="rId1"/>
    <sheet name="Response" sheetId="13" r:id="rId7"/>
    <sheet name="Day of Week" sheetId="60" r:id="rId5"/>
    <sheet name="Daily by Month" sheetId="47" r:id="rId6"/>
    <sheet name="Help" sheetId="74" r:id="rId8"/>
  </sheets>
  <definedNames>
    <definedName name="_xlnm.Print_Area" localSheetId="6">'Daily by Month'!$A$1:$AH$57</definedName>
    <definedName name="_xlnm.Print_Area" localSheetId="5">'Day of Week'!$A$1:$V$78</definedName>
    <definedName name="_xlnm.Print_Area" localSheetId="1">Glance!$A$1:$T$34</definedName>
    <definedName name="_xlnm.Print_Area" localSheetId="7">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<sst xmlns="http://schemas.openxmlformats.org/spreadsheetml/2006/main" xmlns:r="http://schemas.openxmlformats.org/officeDocument/2006/relationships" xmlns:xdr="http://schemas.openxmlformats.org/drawingml/2006/spreadsheetDrawing" xmlns:s="http://schemas.openxmlformats.org/officeDocument/2006/sharedTypes" xmlns:vt="http://schemas.openxmlformats.org/officeDocument/2006/docPropsVTypes" xmlns:a="http://schemas.openxmlformats.org/drawingml/2006/main" xmlns:cdr="http://schemas.openxmlformats.org/drawingml/2006/chartDrawing" count="1023" uniqueCount="126">
  <si>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</si>
  <si>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</si>
  <si>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</si>
  <si>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</si>
  <si>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</si>
  <si>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</si>
  <si>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</si>
  <si>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</si>
  <si>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</si>
  <si>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</si>
  <si>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</si>
  <si>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</si>
  <si>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</si>
  <si>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</si>
  <si>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</si>
  <si>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</si>
  <si>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</si>
  <si>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</si>
  <si>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</si>
  <si>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</si>
  <si>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</si>
  <si>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</si>
  <si>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</si>
  <si>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</si>
  <si>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</si>
  <si>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</si>
  <si>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</si>
  <si>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</si>
  <si>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</si>
  <si>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</si>
  <si>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</si>
  <si>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</si>
  <si>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</si>
  <si>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</si>
  <si>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</si>
  <si>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</si>
  <si>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</si>
  <si>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</si>
  <si>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</si>
  <si>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</si>
  <si>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</si>
  <si>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</si>
  <si>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</si>
  <si>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</si>
  <si>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</si>
  <si>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</si>
  <si>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</si>
  <si>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</si>
  <si>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</si>
  <si>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</si>
  <si>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</si>
  <si>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</si>
  <si>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</si>
  <si>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</si>
  <si>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</si>
  <si>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</si>
  <si>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</si>
  <si>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</si>
  <si>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</si>
  <si>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</si>
  <si>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</si>
  <si>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</si>
  <si>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</si>
  <si>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</si>
  <si>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</si>
  <si>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</si>
  <si>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</si>
  <si>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</si>
  <si>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</si>
  <si>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</si>
  <si>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</si>
  <si>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</si>
  <si>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</si>
  <si>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</si>
  <si>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</si>
  <si>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</si>
  <si>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</si>
  <si>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</si>
  <si>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</si>
  <si>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</si>
  <si>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</si>
  <si>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</si>
  <si>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</si>
  <si>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</si>
  <si>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</si>
  <si>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</si>
  <si>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</si>
  <si>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</si>
  <si>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</si>
  <si>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</si>
  <si>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</si>
  <si>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</si>
  <si>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</si>
  <si>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</si>
  <si>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</si>
  <si>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</si>
  <si>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</si>
  <si>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</si>
  <si>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</si>
  <si>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</si>
  <si>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</si>
  <si>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</si>
  <si>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</si>
  <si>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</si>
  <si>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</si>
  <si>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</si>
  <si>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</si>
  <si>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</si>
  <si>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</si>
  <si>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</si>
  <si>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</si>
  <si>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</si>
  <si>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</si>
  <si>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</si>
  <si>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</si>
  <si>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</si>
  <si>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</si>
  <si>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</si>
  <si>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</si>
  <si>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</si>
  <si>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</si>
  <si>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</si>
  <si>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</si>
  <si>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</si>
  <si>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</si>
  <si>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</si>
  <si>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</si>
  <si>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</si>
  <si>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</si>
  <si>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</si>
  <si>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</si>
  <si>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</si>
  <si>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</si>
  <si>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</si>
  <si>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</si>
  <si>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</si>
  <si>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</si>
  <si>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</si>
  <si>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</si>
  <si>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Help</t>
  </si>
  <si>
    <t>Monthly STAR Report : Holiday Inn Express &amp; Suites Natchez South</t>
  </si>
  <si>
    <t>STR # 62536 / Created July 16, 2025</t>
  </si>
  <si>
    <t>For the Month of: June 2025</t>
  </si>
  <si>
    <t>Currency: US Dollar  /  Competitive Set Data Excludes Subject Property</t>
  </si>
  <si>
    <t>Holiday Inn Express &amp; Suites Natchez South        639 S Canal St        Natchez, MS 39120        Phone: (601) 442-4462</t>
  </si>
  <si>
    <t>STR # 62536        ChainID: 15321        MgtCo: Desai Hotel Group        Owner: Desai Hotel Group</t>
  </si>
  <si>
    <t>For the Month of: June 2025        Date Created: July 16, 2025        Monthly Competitive Set Data Excludes Subject Property</t>
  </si>
  <si>
    <t>June 2025</t>
  </si>
  <si>
    <t>June 2025 vs. 2024 Percent Change (%)</t>
  </si>
  <si>
    <t>Holiday Inn Express &amp; Suites Natchez South</t>
  </si>
  <si>
    <t>Market: Mississippi</t>
  </si>
  <si>
    <t>Market Class: Upper Midscale Class</t>
  </si>
  <si>
    <t>Submarket: Hattiesburg/South Area, MS</t>
  </si>
  <si>
    <t>Submarket Scale: Midscale Chains</t>
  </si>
  <si>
    <t>Jan</t>
  </si>
  <si>
    <t>1 of 7</t>
  </si>
  <si>
    <t>3 of 7</t>
  </si>
  <si>
    <t>2 of 7</t>
  </si>
  <si>
    <t>Feb</t>
  </si>
  <si>
    <t>Mar</t>
  </si>
  <si>
    <t>Apr</t>
  </si>
  <si>
    <t>May</t>
  </si>
  <si>
    <t>Jun</t>
  </si>
  <si>
    <t>Jul</t>
  </si>
  <si>
    <t>Aug</t>
  </si>
  <si>
    <t>Sep</t>
  </si>
  <si>
    <t>Oct</t>
  </si>
  <si>
    <t>1 of 6</t>
  </si>
  <si>
    <t>3 of 6</t>
  </si>
  <si>
    <t>2 of 6</t>
  </si>
  <si>
    <t>Nov</t>
  </si>
  <si>
    <t>4 of 6</t>
  </si>
  <si>
    <t>Dec</t>
  </si>
  <si>
    <t>5 of 7</t>
  </si>
  <si>
    <t>4 of 7</t>
  </si>
  <si>
    <t>5 of 6</t>
  </si>
  <si>
    <t>6 of 6</t>
  </si>
  <si>
    <t>6 of 7</t>
  </si>
  <si>
    <t>For the Month of: June 2025        Date Created: July 16, 2025</t>
  </si>
  <si>
    <t>City, State</t>
  </si>
  <si>
    <t>June 2025 (This Year)</t>
  </si>
  <si>
    <t>June 2024 (Last Year)</t>
  </si>
  <si>
    <t>Sunday, Jun 15th</t>
  </si>
  <si>
    <t>Jun 15th - Father's Day</t>
  </si>
  <si>
    <t>Thursday, Jun 19th</t>
  </si>
  <si>
    <t>Jun 19th - Juneteenth</t>
  </si>
  <si>
    <t>Sunday, June 16th</t>
  </si>
  <si>
    <t>June 16th - Father's Day</t>
  </si>
  <si>
    <t>Wednesday, June 19th</t>
  </si>
  <si>
    <t>June 19th - Juneteenth</t>
  </si>
  <si>
    <t>Natchez, MS</t>
  </si>
  <si>
    <t>39120</t>
  </si>
  <si>
    <t>(601) 442-4462</t>
  </si>
  <si>
    <t>81</t>
  </si>
  <si>
    <t>201307</t>
  </si>
  <si>
    <t>●</t>
  </si>
  <si>
    <t>Magnolia Bluffs, BW Signature Collection</t>
  </si>
  <si>
    <t>39120-3485</t>
  </si>
  <si>
    <t>(601) 861-4600</t>
  </si>
  <si>
    <t>140</t>
  </si>
  <si>
    <t>198406</t>
  </si>
  <si>
    <t>Days Inn by Wyndham Natchez</t>
  </si>
  <si>
    <t>(601) 445-8291</t>
  </si>
  <si>
    <t>121</t>
  </si>
  <si>
    <t>197811</t>
  </si>
  <si>
    <t>Clarion Suites Vidalia</t>
  </si>
  <si>
    <t>Vidalia, LA</t>
  </si>
  <si>
    <t>71373</t>
  </si>
  <si>
    <t>(318) 336-1655</t>
  </si>
  <si>
    <t>102</t>
  </si>
  <si>
    <t>200210</t>
  </si>
  <si>
    <t>Hampton Inn &amp; Suites Natchez</t>
  </si>
  <si>
    <t>(601) 446-6770</t>
  </si>
  <si>
    <t>85</t>
  </si>
  <si>
    <t>200712</t>
  </si>
  <si>
    <t>Hotel Vue</t>
  </si>
  <si>
    <t>(601) 653-8888</t>
  </si>
  <si>
    <t>90</t>
  </si>
  <si>
    <t>200811</t>
  </si>
  <si>
    <t/>
  </si>
  <si>
    <t>TownePlace Suites Vidalia Riverfront</t>
  </si>
  <si>
    <t>(318) 414-1070</t>
  </si>
  <si>
    <t>86</t>
  </si>
  <si>
    <t>201812</t>
  </si>
  <si>
    <t xml:space="preserve">Data received: </t>
  </si>
  <si>
    <t>○</t>
  </si>
  <si>
    <t>= Monthly Only</t>
  </si>
  <si>
    <t>= Monthly &amp; Daily</t>
  </si>
  <si>
    <t>For the Month of: June 2025        Date Created: July 16, 2025        Daily Competitive Set Data Excludes Subject Property</t>
  </si>
  <si>
    <t>Su</t>
  </si>
  <si>
    <t>June</t>
  </si>
  <si>
    <t>Mo</t>
  </si>
  <si>
    <t>Tu</t>
  </si>
  <si>
    <t>We</t>
  </si>
  <si>
    <t>Th</t>
  </si>
  <si>
    <t>Fr</t>
  </si>
  <si>
    <t>Sa</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</si>
</sst>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0">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sz val="10"/>
      <name val="Arial"/>
    </font>
    <font>
      <color rgb="FFFFFFFF"/>
    </font>
    <font>
      <color rgb="FFA0A0A0"/>
    </font>
    <font/>
    <font>
      <sz val="18"/>
    </font>
    <font>
      <b val="0"/>
      <sz val="10"/>
      <color rgb="FF000000"/>
      <name val="Arial"/>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color/>
      </left>
      <right style="thin">
        <color rgb="FFA0A0A0"/>
      </right>
      <top style="thin">
        <color indexed="33"/>
      </top>
      <bottom>
        <color/>
      </bottom>
      <diagonal>
        <color/>
      </diagonal>
    </border>
    <border>
      <left>
        <color/>
      </left>
      <right style="thin">
        <color rgb="FFA0A0A0"/>
      </right>
      <top>
        <color/>
      </top>
      <bottom>
        <color/>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028">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4" fillId="0" borderId="60" applyFont="1" applyFill="1" applyBorder="1" applyAlignment="1">
      <alignment horizontal="center" vertical="center"/>
    </xf>
    <xf numFmtId="0" fontId="41" fillId="0" borderId="61" applyFont="1" applyFill="1" applyBorder="1" applyAlignment="1">
      <alignment horizontal="center" vertical="center"/>
    </xf>
    <xf numFmtId="0" fontId="41" fillId="0" borderId="61" applyFont="1" applyFill="1" applyBorder="1" applyAlignment="1">
      <alignment horizontal="center" vertical="center" wrapText="1"/>
    </xf>
    <xf numFmtId="0" fontId="41" fillId="0" borderId="62" applyFont="1" applyFill="1" applyBorder="1" applyAlignment="1">
      <alignment horizontal="center"/>
    </xf>
    <xf numFmtId="166" fontId="88" fillId="30" borderId="63" applyNumberFormat="1" applyFont="1" applyFill="1" applyBorder="1" applyAlignment="1">
      <alignment horizontal="center"/>
    </xf>
    <xf numFmtId="166" fontId="88" fillId="33" borderId="64" applyNumberFormat="1" applyFont="1" applyFill="1" applyBorder="1" applyAlignment="1">
      <alignment horizontal="center"/>
    </xf>
    <xf numFmtId="166" fontId="88" fillId="30" borderId="64" applyNumberFormat="1" applyFont="1" applyFill="1" applyBorder="1" applyAlignment="1">
      <alignment horizontal="center"/>
    </xf>
    <xf numFmtId="166" fontId="88" fillId="33" borderId="62" applyNumberFormat="1" applyFont="1" applyFill="1" applyBorder="1" applyAlignment="1">
      <alignment horizontal="center"/>
    </xf>
    <xf numFmtId="2" fontId="88" fillId="30" borderId="63" applyNumberFormat="1" applyFont="1" applyFill="1" applyBorder="1" applyAlignment="1">
      <alignment horizontal="center"/>
    </xf>
    <xf numFmtId="2" fontId="88" fillId="33" borderId="64" applyNumberFormat="1" applyFont="1" applyFill="1" applyBorder="1" applyAlignment="1">
      <alignment horizontal="center"/>
    </xf>
    <xf numFmtId="0" fontId="105" fillId="38" borderId="65" applyFont="1" applyFill="1" applyBorder="1"/>
    <xf numFmtId="0" fontId="87" fillId="0" borderId="59" applyNumberFormat="1" applyFont="1" applyFill="1" applyBorder="1" applyAlignment="1">
      <alignment horizontal="left" wrapText="1"/>
    </xf>
    <xf numFmtId="0" fontId="106" fillId="39" borderId="0" applyFont="1" applyFill="1"/>
    <xf numFmtId="49" fontId="55" fillId="36" borderId="66" applyNumberFormat="1" applyFont="1" applyFill="1" applyBorder="1" applyAlignment="1">
      <alignment textRotation="90" wrapText="1"/>
    </xf>
    <xf numFmtId="0" fontId="107" fillId="38" borderId="67" applyFont="1" applyFill="1" applyBorder="1" applyAlignment="1">
      <alignment horizontal="left" vertical="center"/>
    </xf>
    <xf numFmtId="171" fontId="107" fillId="38" borderId="67" applyNumberFormat="1" applyFont="1" applyFill="1" applyBorder="1" applyAlignment="1">
      <alignment horizontal="left" vertical="center"/>
    </xf>
    <xf numFmtId="0" fontId="107" fillId="38" borderId="67" applyFont="1" applyFill="1" applyBorder="1" applyAlignment="1">
      <alignment horizontal="right" vertical="center"/>
    </xf>
    <xf numFmtId="0" fontId="108" fillId="38" borderId="68" applyFont="1" applyFill="1" applyBorder="1" applyAlignment="1">
      <alignment horizontal="center" vertical="center"/>
    </xf>
    <xf numFmtId="0" fontId="108" fillId="38" borderId="69" applyFont="1" applyFill="1" applyBorder="1" applyAlignment="1">
      <alignment horizontal="center" vertical="center"/>
    </xf>
    <xf numFmtId="0" fontId="108" fillId="38" borderId="70" applyFont="1" applyFill="1" applyBorder="1" applyAlignment="1">
      <alignment horizontal="center" vertical="center"/>
    </xf>
    <xf numFmtId="0" fontId="107" fillId="40" borderId="67" applyFont="1" applyFill="1" applyBorder="1" applyAlignment="1">
      <alignment horizontal="left" vertical="center"/>
    </xf>
    <xf numFmtId="0" fontId="107" fillId="40" borderId="67" applyFont="1" applyFill="1" applyBorder="1" applyAlignment="1">
      <alignment horizontal="right" vertical="center"/>
    </xf>
    <xf numFmtId="0" fontId="108" fillId="40" borderId="68" applyFont="1" applyFill="1" applyBorder="1" applyAlignment="1">
      <alignment horizontal="center" vertical="center"/>
    </xf>
    <xf numFmtId="0" fontId="108" fillId="40" borderId="69" applyFont="1" applyFill="1" applyBorder="1" applyAlignment="1">
      <alignment horizontal="center" vertical="center"/>
    </xf>
    <xf numFmtId="0" fontId="108" fillId="40" borderId="70" applyFont="1" applyFill="1" applyBorder="1" applyAlignment="1">
      <alignment horizontal="center" vertical="center"/>
    </xf>
    <xf numFmtId="171" fontId="107" fillId="40" borderId="67" applyNumberFormat="1" applyFont="1" applyFill="1" applyBorder="1" applyAlignment="1">
      <alignment horizontal="left" vertical="center"/>
    </xf>
    <xf numFmtId="0" fontId="109" fillId="0" borderId="0" applyFont="1" applyFill="1" applyBorder="1" applyAlignment="1">
      <alignment horizontal="left" vertical="center"/>
    </xf>
    <xf numFmtId="0" fontId="49" fillId="0" borderId="0" applyFont="1" applyFill="1" applyBorder="1" applyAlignment="1">
      <alignment horizontal="center" vertical="bottom"/>
    </xf>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8" Type="http://schemas.openxmlformats.org/officeDocument/2006/relationships/worksheet" Target="worksheets/sheet26.xml" />
<Relationship Id="rId4" Type="http://schemas.openxmlformats.org/officeDocument/2006/relationships/worksheet" Target="worksheets/sheet3.xml" />
<Relationship Id="rId5" Type="http://schemas.openxmlformats.org/officeDocument/2006/relationships/worksheet" Target="worksheets/sheet7.xml" />
<Relationship Id="rId3" Type="http://schemas.openxmlformats.org/officeDocument/2006/relationships/worksheet" Target="worksheets/sheet2.xml" />
<Relationship Id="rId9" Type="http://schemas.openxmlformats.org/officeDocument/2006/relationships/sharedStrings" Target="/xl/sharedStrings.xml" />
<Relationship Id="rId2" Type="http://schemas.openxmlformats.org/officeDocument/2006/relationships/worksheet" Target="worksheets/sheet1.xml" />
<Relationship Id="rId7" Type="http://schemas.openxmlformats.org/officeDocument/2006/relationships/worksheet" Target="worksheets/sheet23.xml" />
<Relationship Id="rId10" Type="http://schemas.openxmlformats.org/officeDocument/2006/relationships/styles" Target="/xl/styles.xml" />
<Relationship Id="rId6" Type="http://schemas.openxmlformats.org/officeDocument/2006/relationships/worksheet" Target="worksheets/sheet9.xml" />
<Relationship Id="rId11" Type="http://schemas.openxmlformats.org/officeDocument/2006/relationships/theme" Target="/xl/theme/theme1.xml" />
<Relationship Id="rId1" Type="http://schemas.openxmlformats.org/officeDocument/2006/relationships/worksheet" Target="worksheets/sheet28.xml" />
</Relationships>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185.52582276122</v>
                </pt>
                <pt idx="0">
                  <v>163.230633948893</v>
                </pt>
                <pt idx="0">
                  <v>154.303455998357</v>
                </pt>
                <pt idx="0">
                  <v>139.801139106188</v>
                </pt>
                <pt idx="0">
                  <v>134.00861326443</v>
                </pt>
                <pt idx="0">
                  <v>130.920085205807</v>
                </pt>
                <pt idx="0">
                  <v>165.503249326512</v>
                </pt>
                <pt idx="0">
                  <v>170.320743114143</v>
                </pt>
                <pt idx="0">
                  <v>163.349436392733</v>
                </pt>
                <pt idx="0">
                  <v>148.97978222916</v>
                </pt>
                <pt idx="0">
                  <v>144.200514714207</v>
                </pt>
                <pt idx="0">
                  <v>146.548250915246</v>
                </pt>
                <pt idx="0">
                  <v>190.15992534652</v>
                </pt>
                <pt idx="0">
                  <v>158.81612559669</v>
                </pt>
                <pt idx="0">
                  <v>154.091264907766</v>
                </pt>
                <pt idx="0">
                  <v>136.562035400707</v>
                </pt>
                <pt idx="0">
                  <v>130.744408693477</v>
                </pt>
                <pt idx="0">
                  <v>140.213079451411</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107.668503311237</v>
                </pt>
                <pt idx="0">
                  <v>113.966910575842</v>
                </pt>
                <pt idx="0">
                  <v>117.608400865483</v>
                </pt>
                <pt idx="0">
                  <v>119.397714494441</v>
                </pt>
                <pt idx="0">
                  <v>115.082468169158</v>
                </pt>
                <pt idx="0">
                  <v>115.292913536625</v>
                </pt>
                <pt idx="0">
                  <v>111.246315911702</v>
                </pt>
                <pt idx="0">
                  <v>109.218185350809</v>
                </pt>
                <pt idx="0">
                  <v>105.629382595176</v>
                </pt>
                <pt idx="0">
                  <v>102.269741184115</v>
                </pt>
                <pt idx="0">
                  <v>105.559376295429</v>
                </pt>
                <pt idx="0">
                  <v>98.9176163777073</v>
                </pt>
                <pt idx="0">
                  <v>100.243460697295</v>
                </pt>
                <pt idx="0">
                  <v>105.511402673928</v>
                </pt>
                <pt idx="0">
                  <v>105.976389676249</v>
                </pt>
                <pt idx="0">
                  <v>101.99461131941</v>
                </pt>
                <pt idx="0">
                  <v>103.003118663643</v>
                </pt>
                <pt idx="0">
                  <v>105.654367035895</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199.752876623331</v>
                </pt>
                <pt idx="0">
                  <v>186.028910624669</v>
                </pt>
                <pt idx="0">
                  <v>181.47382707976</v>
                </pt>
                <pt idx="0">
                  <v>166.919364929798</v>
                </pt>
                <pt idx="0">
                  <v>154.220419704094</v>
                </pt>
                <pt idx="0">
                  <v>150.941580638426</v>
                </pt>
                <pt idx="0">
                  <v>184.116267589955</v>
                </pt>
                <pt idx="0">
                  <v>186.021224905322</v>
                </pt>
                <pt idx="0">
                  <v>172.545001134545</v>
                </pt>
                <pt idx="0">
                  <v>152.361237702282</v>
                </pt>
                <pt idx="0">
                  <v>152.217163946857</v>
                </pt>
                <pt idx="0">
                  <v>144.962036648646</v>
                </pt>
                <pt idx="0">
                  <v>190.622890026848</v>
                </pt>
                <pt idx="0">
                  <v>167.569121789291</v>
                </pt>
                <pt idx="0">
                  <v>163.300359355478</v>
                </pt>
                <pt idx="0">
                  <v>139.28591721696</v>
                </pt>
                <pt idx="0">
                  <v>134.670818432528</v>
                </pt>
                <pt idx="0">
                  <v>148.141241596018</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205"/>
          <min val="9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-4.75342780164023</v>
                </pt>
                <pt idx="0">
                  <v>-6.76897314025287</v>
                </pt>
                <pt idx="0">
                  <v>1.05298390313341</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5.69812933198</v>
                </pt>
                <pt idx="0">
                  <v>5.13778279020566</v>
                </pt>
                <pt idx="0">
                  <v>-0.00640137294901824</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1"/>
          <min val="-1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67"/>
          <min val="19"/>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45"/>
          <min val="107"/>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June</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124.58442694653</v>
                </pt>
                <pt idx="0">
                  <v>190.170940171054</v>
                </pt>
                <pt idx="0">
                  <v>156.814095649117</v>
                </pt>
                <pt idx="0">
                  <v>175.246132208197</v>
                </pt>
                <pt idx="0">
                  <v>129.548762736494</v>
                </pt>
                <pt idx="0">
                  <v>125.137174211394</v>
                </pt>
                <pt idx="0">
                  <v>169.317951831852</v>
                </pt>
                <pt idx="0">
                  <v>143.748259537725</v>
                </pt>
                <pt idx="0">
                  <v>178.782172002675</v>
                </pt>
                <pt idx="0">
                  <v>187.36842105247</v>
                </pt>
                <pt idx="0">
                  <v>172.121875570189</v>
                </pt>
                <pt idx="0">
                  <v>157.149009474666</v>
                </pt>
                <pt idx="0">
                  <v>113.765978367687</v>
                </pt>
                <pt idx="0">
                  <v>145.306122449088</v>
                </pt>
                <pt idx="0">
                  <v>90.3823178015619</v>
                </pt>
                <pt idx="0">
                  <v>166.753812636215</v>
                </pt>
                <pt idx="0">
                  <v>167.811447811282</v>
                </pt>
                <pt idx="0">
                  <v>147.281323876915</v>
                </pt>
                <pt idx="0">
                  <v>213.173652694613</v>
                </pt>
                <pt idx="0">
                  <v>149.175452825149</v>
                </pt>
                <pt idx="0">
                  <v>127.112079399698</v>
                </pt>
                <pt idx="0">
                  <v>90.3094875698852</v>
                </pt>
                <pt idx="0">
                  <v>116.535727646818</v>
                </pt>
                <pt idx="0">
                  <v>133.717679944214</v>
                </pt>
                <pt idx="0">
                  <v>112.074074074072</v>
                </pt>
                <pt idx="0">
                  <v>68.0525686976466</v>
                </pt>
                <pt idx="0">
                  <v>109.876543209833</v>
                </pt>
                <pt idx="0">
                  <v>88.4064140768796</v>
                </pt>
                <pt idx="0">
                  <v>106.151914626268</v>
                </pt>
                <pt idx="0">
                  <v>125.380595319198</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Month'!$C$38:$AF$38</f>
              <numCache>
                <formatCode>General</formatCode>
                <ptCount val="30"/>
                <pt idx="0">
                  <v>94.0998099029343</v>
                </pt>
                <pt idx="0">
                  <v>99.3036906903139</v>
                </pt>
                <pt idx="0">
                  <v>98.8448759683398</v>
                </pt>
                <pt idx="0">
                  <v>96.7939563423329</v>
                </pt>
                <pt idx="0">
                  <v>100.435376603707</v>
                </pt>
                <pt idx="0">
                  <v>120.74090719435</v>
                </pt>
                <pt idx="0">
                  <v>113.218432654531</v>
                </pt>
                <pt idx="0">
                  <v>106.713326153244</v>
                </pt>
                <pt idx="0">
                  <v>110.574111064953</v>
                </pt>
                <pt idx="0">
                  <v>100.484735955888</v>
                </pt>
                <pt idx="0">
                  <v>112.050117489724</v>
                </pt>
                <pt idx="0">
                  <v>103.612768163836</v>
                </pt>
                <pt idx="0">
                  <v>108.132519049433</v>
                </pt>
                <pt idx="0">
                  <v>106.609376739863</v>
                </pt>
                <pt idx="0">
                  <v>86.410970709782</v>
                </pt>
                <pt idx="0">
                  <v>104.637996856001</v>
                </pt>
                <pt idx="0">
                  <v>110.931343990729</v>
                </pt>
                <pt idx="0">
                  <v>110.617576096343</v>
                </pt>
                <pt idx="0">
                  <v>119.463563044541</v>
                </pt>
                <pt idx="0">
                  <v>116.72788211688</v>
                </pt>
                <pt idx="0">
                  <v>98.0965350038415</v>
                </pt>
                <pt idx="0">
                  <v>116.033865582211</v>
                </pt>
                <pt idx="0">
                  <v>100.462011783324</v>
                </pt>
                <pt idx="0">
                  <v>105.712115931162</v>
                </pt>
                <pt idx="0">
                  <v>99.4754569279479</v>
                </pt>
                <pt idx="0">
                  <v>106.664625705418</v>
                </pt>
                <pt idx="0">
                  <v>104.792752489473</v>
                </pt>
                <pt idx="0">
                  <v>106.503159799024</v>
                </pt>
                <pt idx="0">
                  <v>97.3422427292396</v>
                </pt>
                <pt idx="0">
                  <v>103.435007716042</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Month'!$C$48:$AF$48</f>
              <numCache>
                <formatCode>General</formatCode>
                <ptCount val="30"/>
                <pt idx="0">
                  <v>117.233708925266</v>
                </pt>
                <pt idx="0">
                  <v>188.846762210221</v>
                </pt>
                <pt idx="0">
                  <v>155.002698345121</v>
                </pt>
                <pt idx="0">
                  <v>169.627664701084</v>
                </pt>
                <pt idx="0">
                  <v>130.112787739933</v>
                </pt>
                <pt idx="0">
                  <v>151.0917593799</v>
                </pt>
                <pt idx="0">
                  <v>191.699131266709</v>
                </pt>
                <pt idx="0">
                  <v>153.398549040144</v>
                </pt>
                <pt idx="0">
                  <v>197.686797434145</v>
                </pt>
                <pt idx="0">
                  <v>188.276663159274</v>
                </pt>
                <pt idx="0">
                  <v>192.862763802067</v>
                </pt>
                <pt idx="0">
                  <v>162.826438858429</v>
                </pt>
                <pt idx="0">
                  <v>123.018018230359</v>
                </pt>
                <pt idx="0">
                  <v>154.909951507629</v>
                </pt>
                <pt idx="0">
                  <v>78.1002381625002</v>
                </pt>
                <pt idx="0">
                  <v>174.48784922342</v>
                </pt>
                <pt idx="0">
                  <v>186.155494427438</v>
                </pt>
                <pt idx="0">
                  <v>162.919030515279</v>
                </pt>
                <pt idx="0">
                  <v>254.664840981091</v>
                </pt>
                <pt idx="0">
                  <v>174.129346721145</v>
                </pt>
                <pt idx="0">
                  <v>124.692545462338</v>
                </pt>
                <pt idx="0">
                  <v>104.789589414637</v>
                </pt>
                <pt idx="0">
                  <v>117.074136440341</v>
                </pt>
                <pt idx="0">
                  <v>141.355788843014</v>
                </pt>
                <pt idx="0">
                  <v>111.486197282909</v>
                </pt>
                <pt idx="0">
                  <v>72.5880176844445</v>
                </pt>
                <pt idx="0">
                  <v>115.142653969939</v>
                </pt>
                <pt idx="0">
                  <v>94.1556244568878</v>
                </pt>
                <pt idx="0">
                  <v>103.330654397355</v>
                </pt>
                <pt idx="0">
                  <v>129.68742844281</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Month'!$C$60:$AF$60</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260"/>
          <min val="6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35" Type="http://schemas.openxmlformats.org/officeDocument/2006/relationships/chart" Target="/xl/charts/chart31.xml" />
<Relationship Id="rId36" Type="http://schemas.openxmlformats.org/officeDocument/2006/relationships/chart" Target="/xl/charts/chart32.xml" />
</Relationships>
</file>

<file path=xl/drawings/_rels/drawing33.xml.rels><?xml version="1.0" encoding="utf-8" standalone="yes" ?>
<Relationships xmlns="http://schemas.openxmlformats.org/package/2006/relationships">
<Relationship Id="rId38" Type="http://schemas.openxmlformats.org/officeDocument/2006/relationships/chart" Target="/xl/charts/chart34.xml" />
<Relationship Id="rId39" Type="http://schemas.openxmlformats.org/officeDocument/2006/relationships/chart" Target="/xl/charts/chart35.xml" />
</Relationships>
</file>

<file path=xl/drawings/_rels/drawing36.xml.rels><?xml version="1.0" encoding="utf-8" standalone="yes" ?>
<Relationships xmlns="http://schemas.openxmlformats.org/package/2006/relationships">
<Relationship Id="rId41" Type="http://schemas.openxmlformats.org/officeDocument/2006/relationships/chart" Target="/xl/charts/chart37.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5"/>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drawings/drawing3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8"/>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9"/>
        </a:graphicData>
      </a:graphic>
    </xdr:graphicFrame>
    <xdr:clientData/>
  </xdr:twoCellAnchor>
</xdr:wsDr>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32</xdr:col>
      <xdr:colOff>155575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41"/>
        </a:graphicData>
      </a:graphic>
    </xdr:graphicFrame>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37" Type="http://schemas.openxmlformats.org/officeDocument/2006/relationships/drawing" Target="../drawings/drawing33.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40" Type="http://schemas.openxmlformats.org/officeDocument/2006/relationships/drawing" Target="../drawings/drawing36.xml"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42" Type="http://schemas.openxmlformats.org/officeDocument/2006/relationships/hyperlink" Target="http://www.str.com/data-insights/resources/glossary" TargetMode="External" />
<Relationship Id="rId43" Type="http://schemas.openxmlformats.org/officeDocument/2006/relationships/hyperlink" Target="http://www.hotelnewsnow.com/" TargetMode="External" />
<Relationship Id="rId44" Type="http://schemas.openxmlformats.org/officeDocument/2006/relationships/hyperlink" Target="http://www.hoteldataconference.com/" TargetMode="External" />
<Relationship Id="rId45" Type="http://schemas.openxmlformats.org/officeDocument/2006/relationships/hyperlink" Target="http://www.str.com/data-insights/resources/FAQ" TargetMode="External" />
<Relationship Id="rId46"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141</v>
      </c>
      <c r="C2" s="605"/>
      <c r="D2" s="604"/>
      <c r="E2" s="604"/>
      <c r="F2" s="605"/>
      <c r="G2" s="598"/>
      <c r="H2" s="599"/>
    </row>
    <row r="3" ht="25.5" customHeight="1">
      <c r="A3" s="595"/>
      <c r="B3" s="638" t="s">
        <v>140</v>
      </c>
      <c r="C3" s="607"/>
      <c r="D3" s="606"/>
      <c r="E3" s="606"/>
      <c r="F3" s="607"/>
      <c r="G3" s="598"/>
      <c r="H3" s="599"/>
    </row>
    <row r="4" ht="15" customHeight="1">
      <c r="A4" s="595"/>
      <c r="B4" s="695" t="s">
        <v>142</v>
      </c>
      <c r="C4" s="695"/>
      <c r="D4" s="695"/>
      <c r="E4" s="695"/>
      <c r="F4" s="608"/>
      <c r="G4" s="598"/>
      <c r="H4" s="599"/>
    </row>
    <row r="5" ht="15" customHeight="1">
      <c r="A5" s="595"/>
      <c r="B5" s="695" t="s">
        <v>143</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c r="F7" s="605"/>
      <c r="G7" s="598"/>
      <c r="H7" s="599"/>
    </row>
    <row r="8" ht="15.75" customHeight="1">
      <c r="A8" s="595"/>
      <c r="B8" s="639" t="str">
        <f>HYPERLINK("#'Glance'!A1", "Monthly Performance at a Glance")</f>
      </c>
      <c r="C8" s="605" t="str">
        <f>HYPERLINK("#'Glance'!A1", "2")</f>
      </c>
      <c r="D8" s="639"/>
      <c r="E8" s="639"/>
      <c r="F8" s="605"/>
      <c r="G8" s="598"/>
      <c r="H8" s="599"/>
    </row>
    <row r="9" ht="15.75" customHeight="1">
      <c r="A9" s="595"/>
      <c r="B9" s="639" t="str">
        <f>HYPERLINK("#'Summary'!A1", "STAR Summary")</f>
      </c>
      <c r="C9" s="605" t="str">
        <f>HYPERLINK("#'Summary'!A1", "3")</f>
      </c>
      <c r="D9" s="639"/>
      <c r="E9" s="639"/>
      <c r="F9" s="605"/>
      <c r="G9" s="595"/>
      <c r="H9" s="595"/>
    </row>
    <row r="10" ht="15.75" customHeight="1">
      <c r="A10" s="595"/>
      <c r="B10" s="639" t="str">
        <f>HYPERLINK("#'Comp'!A1", "Competitive Set Report")</f>
      </c>
      <c r="C10" s="605" t="str">
        <f>HYPERLINK("#'Comp'!A1", "4")</f>
      </c>
      <c r="D10" s="639"/>
      <c r="E10" s="639"/>
      <c r="F10" s="605"/>
      <c r="G10" s="595"/>
      <c r="H10" s="595"/>
    </row>
    <row r="11" ht="15.75" customHeight="1">
      <c r="A11" s="600"/>
      <c r="B11" s="639" t="str">
        <f>HYPERLINK("#'Response'!A1", "Response Report")</f>
      </c>
      <c r="C11" s="605" t="str">
        <f>HYPERLINK("#'Response'!A1", "5")</f>
      </c>
      <c r="D11" s="639"/>
      <c r="E11" s="639"/>
      <c r="F11" s="605"/>
      <c r="G11" s="595"/>
      <c r="H11" s="595"/>
    </row>
    <row r="12" ht="15.75" customHeight="1">
      <c r="A12" s="595"/>
      <c r="B12" s="639" t="str">
        <f>HYPERLINK("#'Day of Week'!A1", "Day of Week &amp; Weekday/Weekend")</f>
      </c>
      <c r="C12" s="605" t="str">
        <f>HYPERLINK("#'Day of Week'!A1", "6")</f>
      </c>
      <c r="D12" s="639"/>
      <c r="E12" s="639"/>
      <c r="F12" s="605"/>
      <c r="G12" s="595"/>
      <c r="H12" s="595"/>
    </row>
    <row r="13" ht="15.75" customHeight="1">
      <c r="A13" s="595"/>
      <c r="B13" s="639" t="str">
        <f>HYPERLINK("#'Daily by Month'!A1", "Daily Data for the Month")</f>
      </c>
      <c r="C13" s="605" t="str">
        <f>HYPERLINK("#'Daily by Month'!A1", "7")</f>
      </c>
      <c r="D13" s="639"/>
      <c r="E13" s="639"/>
      <c r="F13" s="605"/>
      <c r="G13" s="595"/>
      <c r="H13" s="595"/>
    </row>
    <row r="14" ht="15.75" customHeight="1">
      <c r="A14" s="595"/>
      <c r="B14" s="639" t="str">
        <f>HYPERLINK("#'Help'!A1", "Help")</f>
      </c>
      <c r="C14" s="605" t="str">
        <f>HYPERLINK("#'Help'!A1", "8")</f>
      </c>
      <c r="D14" s="639"/>
      <c r="E14" s="639"/>
      <c r="F14" s="605"/>
      <c r="G14" s="595"/>
      <c r="H14" s="595"/>
    </row>
    <row r="15" ht="15.75" customHeight="1">
      <c r="A15" s="595"/>
      <c r="B15" s="639"/>
      <c r="C15" s="605"/>
      <c r="D15" s="639"/>
      <c r="E15" s="639"/>
      <c r="F15" s="605"/>
      <c r="G15" s="595"/>
      <c r="H15" s="595"/>
    </row>
    <row r="16" ht="15.75" customHeight="1">
      <c r="A16" s="595"/>
      <c r="B16" s="639"/>
      <c r="C16" s="605"/>
      <c r="D16" s="639"/>
      <c r="E16" s="639"/>
      <c r="F16" s="605"/>
      <c r="G16" s="595"/>
      <c r="H16" s="595"/>
    </row>
    <row r="17" ht="15.75" customHeight="1">
      <c r="A17" s="595"/>
      <c r="B17" s="639"/>
      <c r="C17" s="605"/>
      <c r="D17" s="639"/>
      <c r="E17" s="639"/>
      <c r="F17" s="605"/>
      <c r="G17" s="595"/>
      <c r="H17" s="595"/>
    </row>
    <row r="18" ht="15.75" customHeight="1">
      <c r="A18" s="595"/>
      <c r="B18" s="639"/>
      <c r="C18" s="605"/>
      <c r="D18" s="639"/>
      <c r="E18" s="639"/>
      <c r="F18" s="605"/>
      <c r="G18" s="595"/>
      <c r="H18" s="595"/>
    </row>
    <row r="19" ht="15.75" customHeight="1">
      <c r="A19" s="595"/>
      <c r="B19" s="639"/>
      <c r="C19" s="605"/>
      <c r="D19" s="639"/>
      <c r="E19" s="639"/>
      <c r="F19" s="605"/>
      <c r="G19" s="595"/>
      <c r="H19" s="595"/>
    </row>
    <row r="20" ht="15.75" customHeight="1">
      <c r="A20" s="595"/>
      <c r="B20" s="639"/>
      <c r="C20" s="605"/>
      <c r="D20" s="639"/>
      <c r="E20" s="639"/>
      <c r="F20" s="605"/>
      <c r="G20" s="595"/>
      <c r="H20" s="595"/>
    </row>
    <row r="21" ht="15.75" customHeight="1">
      <c r="A21" s="595"/>
      <c r="B21" s="639"/>
      <c r="C21" s="605"/>
      <c r="D21" s="639"/>
      <c r="E21" s="639"/>
      <c r="F21" s="605"/>
      <c r="G21" s="595"/>
      <c r="H21" s="595"/>
    </row>
    <row r="22" ht="15.75" customHeight="1">
      <c r="A22" s="595"/>
      <c r="B22" s="639"/>
      <c r="C22" s="605"/>
      <c r="D22" s="639"/>
      <c r="E22" s="639"/>
      <c r="F22" s="605"/>
      <c r="G22" s="595"/>
      <c r="H22" s="595"/>
    </row>
    <row r="23" ht="15.75" customHeight="1">
      <c r="A23" s="595"/>
      <c r="B23" s="639"/>
      <c r="C23" s="605"/>
      <c r="D23" s="639"/>
      <c r="E23" s="639"/>
      <c r="F23" s="605"/>
      <c r="G23" s="595"/>
      <c r="H23" s="595"/>
    </row>
    <row r="24" ht="15.75" customHeight="1">
      <c r="A24" s="595"/>
      <c r="B24" s="639"/>
      <c r="C24" s="605"/>
      <c r="D24" s="639"/>
      <c r="E24" s="639"/>
      <c r="F24" s="605"/>
      <c r="G24" s="595"/>
      <c r="H24" s="595"/>
    </row>
    <row r="25" ht="15.75" customHeight="1">
      <c r="A25" s="595"/>
      <c r="B25" s="639"/>
      <c r="C25" s="605"/>
      <c r="D25" s="639"/>
      <c r="E25" s="639"/>
      <c r="F25" s="605"/>
      <c r="G25" s="595"/>
      <c r="H25" s="595"/>
    </row>
    <row r="26" ht="15.75" customHeight="1">
      <c r="A26" s="595"/>
      <c r="B26" s="639"/>
      <c r="C26" s="605"/>
      <c r="D26" s="639"/>
      <c r="E26" s="639"/>
      <c r="F26" s="605"/>
      <c r="G26" s="595"/>
      <c r="H26" s="595"/>
    </row>
    <row r="27" ht="15.75" customHeight="1">
      <c r="A27" s="595"/>
      <c r="B27" s="639"/>
      <c r="C27" s="605"/>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20" t="s">
        <v>127</v>
      </c>
      <c r="C1" s="103"/>
      <c r="D1" s="103"/>
      <c r="E1" s="103"/>
      <c r="F1" s="103"/>
      <c r="G1" s="103"/>
      <c r="H1" s="103"/>
      <c r="I1" s="104"/>
      <c r="J1" s="103"/>
      <c r="K1" s="103"/>
      <c r="L1" s="103"/>
      <c r="M1" s="13"/>
      <c r="N1" s="51"/>
      <c r="O1" s="2"/>
      <c r="P1" s="2"/>
      <c r="Q1" s="2"/>
      <c r="R1" s="22"/>
      <c r="S1" s="51"/>
      <c r="T1" s="2"/>
      <c r="U1" s="2"/>
      <c r="V1" s="236"/>
    </row>
    <row r="2" ht="21.75" customHeight="1">
      <c r="B2" s="935" t="s">
        <v>144</v>
      </c>
      <c r="C2" s="935"/>
      <c r="D2" s="935"/>
      <c r="E2" s="935"/>
      <c r="F2" s="935"/>
      <c r="G2" s="935"/>
      <c r="H2" s="935"/>
      <c r="I2" s="935"/>
      <c r="J2" s="935"/>
      <c r="K2" s="935"/>
      <c r="L2" s="935"/>
      <c r="M2" s="935"/>
      <c r="N2" s="935"/>
      <c r="O2" s="935"/>
      <c r="P2" s="935"/>
      <c r="Q2" s="935"/>
      <c r="R2" s="935"/>
      <c r="S2" s="935"/>
      <c r="T2" s="2"/>
      <c r="U2" s="2"/>
    </row>
    <row r="3" ht="19.5" customHeight="1">
      <c r="A3"/>
      <c r="B3" s="115" t="s">
        <v>145</v>
      </c>
      <c r="C3" s="115"/>
      <c r="D3" s="115"/>
      <c r="E3" s="115"/>
      <c r="F3" s="115"/>
      <c r="G3" s="115"/>
      <c r="H3" s="115"/>
      <c r="I3" s="115"/>
      <c r="J3" s="115"/>
      <c r="K3" s="115"/>
      <c r="L3" s="115"/>
      <c r="M3" s="115"/>
      <c r="N3" s="115"/>
      <c r="O3" s="115"/>
      <c r="P3" s="115"/>
      <c r="Q3" s="115"/>
      <c r="R3" s="115"/>
      <c r="S3" s="115"/>
      <c r="T3" s="2"/>
      <c r="U3" s="2"/>
    </row>
    <row r="4" ht="18.75" customHeight="1">
      <c r="A4"/>
      <c r="B4" s="936" t="s">
        <v>146</v>
      </c>
      <c r="C4" s="936"/>
      <c r="D4" s="936"/>
      <c r="E4" s="936"/>
      <c r="F4" s="936"/>
      <c r="G4" s="936"/>
      <c r="H4" s="936"/>
      <c r="I4" s="936"/>
      <c r="J4" s="936"/>
      <c r="K4" s="936"/>
      <c r="L4" s="936"/>
      <c r="M4" s="936"/>
      <c r="N4" s="936"/>
      <c r="O4" s="936"/>
      <c r="P4" s="936"/>
      <c r="Q4" s="200"/>
      <c r="R4" s="203"/>
      <c r="S4" s="200"/>
      <c r="T4" s="222"/>
      <c r="U4" s="2"/>
    </row>
    <row r="5" ht="12" customHeight="1">
      <c r="A5"/>
      <c r="B5" s="129"/>
      <c r="D5" s="13"/>
      <c r="E5" s="13"/>
      <c r="F5" s="2"/>
      <c r="G5" s="2"/>
      <c r="H5" s="2"/>
      <c r="I5" s="2"/>
      <c r="J5" s="2"/>
      <c r="K5" s="2"/>
      <c r="L5" s="2"/>
      <c r="M5" s="2"/>
      <c r="N5" s="9"/>
      <c r="O5" s="2"/>
      <c r="P5" s="2"/>
      <c r="Q5" s="2"/>
      <c r="R5" s="2"/>
      <c r="S5" s="2"/>
      <c r="T5" s="2"/>
      <c r="U5" s="2"/>
    </row>
    <row r="6" ht="17.1" customHeight="1">
      <c r="B6" s="699" t="s">
        <v>147</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09"/>
      <c r="D10" s="109"/>
      <c r="E10" s="109"/>
      <c r="F10" s="165"/>
      <c r="G10" s="185"/>
      <c r="H10" s="166"/>
      <c r="I10" s="176"/>
      <c r="J10" s="167"/>
      <c r="K10" s="165"/>
      <c r="L10" s="185"/>
      <c r="M10" s="168"/>
      <c r="N10" s="176"/>
      <c r="O10" s="167"/>
      <c r="P10" s="142"/>
      <c r="Q10" s="187"/>
      <c r="R10" s="168"/>
      <c r="S10" s="176"/>
      <c r="T10" s="167"/>
      <c r="U10" s="2"/>
    </row>
    <row r="11" ht="20.1" customHeight="1">
      <c r="B11" s="2"/>
      <c r="C11" s="180"/>
      <c r="D11" s="105" t="s">
        <v>42</v>
      </c>
      <c r="E11" s="180"/>
      <c r="F11" s="164"/>
      <c r="G11" s="193">
        <v>51.481481481481481481481481480</v>
      </c>
      <c r="H11" s="193">
        <v>36.716604244694132334581772780</v>
      </c>
      <c r="I11" s="193">
        <v>140.21307945141134529728816842</v>
      </c>
      <c r="J11" s="194"/>
      <c r="K11" s="194"/>
      <c r="L11" s="195">
        <v>127.36813749000799360511590727</v>
      </c>
      <c r="M11" s="195">
        <v>120.55170180210812648758925537</v>
      </c>
      <c r="N11" s="193">
        <v>105.65436703589467859122509627</v>
      </c>
      <c r="O11" s="194"/>
      <c r="P11" s="193"/>
      <c r="Q11" s="195">
        <v>65.571004115226337448559670782</v>
      </c>
      <c r="R11" s="195">
        <v>44.262491260923845193508114856</v>
      </c>
      <c r="S11" s="193">
        <v>148.14124159601825872056779132</v>
      </c>
      <c r="T11" s="141"/>
      <c r="U11" s="2"/>
    </row>
    <row r="12" ht="15" customHeight="1">
      <c r="B12" s="2"/>
      <c r="C12" s="109"/>
      <c r="D12" s="109"/>
      <c r="E12" s="109"/>
      <c r="F12" s="165"/>
      <c r="G12" s="193"/>
      <c r="H12" s="193"/>
      <c r="I12" s="193"/>
      <c r="J12" s="194"/>
      <c r="K12" s="194"/>
      <c r="L12" s="195"/>
      <c r="M12" s="195"/>
      <c r="N12" s="193"/>
      <c r="O12" s="194"/>
      <c r="P12" s="193"/>
      <c r="Q12" s="195"/>
      <c r="R12" s="195"/>
      <c r="S12" s="193"/>
      <c r="T12" s="167"/>
      <c r="U12" s="2"/>
    </row>
    <row r="13" ht="20.1" customHeight="1">
      <c r="B13" s="111"/>
      <c r="C13" s="188"/>
      <c r="D13" s="189" t="s">
        <v>58</v>
      </c>
      <c r="E13" s="188"/>
      <c r="F13" s="169"/>
      <c r="G13" s="196">
        <v>59.286542527794829820612509380</v>
      </c>
      <c r="H13" s="196">
        <v>39.933163655927328408550085870</v>
      </c>
      <c r="I13" s="196">
        <v>148.46442680740479884061383714</v>
      </c>
      <c r="J13" s="197"/>
      <c r="K13" s="197"/>
      <c r="L13" s="198">
        <v>124.79348481362172112287160607</v>
      </c>
      <c r="M13" s="198">
        <v>120.9606386506723320465321139</v>
      </c>
      <c r="N13" s="196">
        <v>103.16867222732668700016021225</v>
      </c>
      <c r="O13" s="197"/>
      <c r="P13" s="196"/>
      <c r="Q13" s="198">
        <v>73.985742445945024213900825319</v>
      </c>
      <c r="R13" s="198">
        <v>48.303409791627868479317979598</v>
      </c>
      <c r="S13" s="196">
        <v>153.16877786712937510829658412</v>
      </c>
      <c r="T13" s="170"/>
      <c r="U13" s="2"/>
    </row>
    <row r="14" ht="15" customHeight="1">
      <c r="B14" s="2"/>
      <c r="C14" s="180"/>
      <c r="D14" s="105"/>
      <c r="E14" s="105"/>
      <c r="F14" s="137"/>
      <c r="G14" s="193"/>
      <c r="H14" s="193"/>
      <c r="I14" s="193"/>
      <c r="J14" s="194"/>
      <c r="K14" s="194"/>
      <c r="L14" s="195"/>
      <c r="M14" s="195"/>
      <c r="N14" s="193"/>
      <c r="O14" s="194"/>
      <c r="P14" s="193"/>
      <c r="Q14" s="195"/>
      <c r="R14" s="195"/>
      <c r="S14" s="193"/>
      <c r="T14" s="167"/>
      <c r="U14" s="2"/>
    </row>
    <row r="15" ht="20.1" customHeight="1">
      <c r="B15" s="2"/>
      <c r="C15" s="180"/>
      <c r="D15" s="105" t="s">
        <v>44</v>
      </c>
      <c r="E15" s="180"/>
      <c r="F15" s="137"/>
      <c r="G15" s="193">
        <v>60.697327363994030660697327360</v>
      </c>
      <c r="H15" s="193">
        <v>44.822406058361114540889821780</v>
      </c>
      <c r="I15" s="193">
        <v>135.41737872105812768640617104</v>
      </c>
      <c r="J15" s="194"/>
      <c r="K15" s="194"/>
      <c r="L15" s="195">
        <v>128.53800849351810460438086723</v>
      </c>
      <c r="M15" s="195">
        <v>124.43507965658142417703503054</v>
      </c>
      <c r="N15" s="193">
        <v>103.29724451355746487560999809</v>
      </c>
      <c r="O15" s="194"/>
      <c r="P15" s="193"/>
      <c r="Q15" s="195">
        <v>78.019135802469135802469135802</v>
      </c>
      <c r="R15" s="195">
        <v>55.774796682718031032637774211</v>
      </c>
      <c r="S15" s="193">
        <v>139.88242081152900841118378161</v>
      </c>
      <c r="T15" s="141"/>
      <c r="U15" s="2"/>
    </row>
    <row r="16" ht="15" customHeight="1">
      <c r="B16" s="2"/>
      <c r="C16" s="180"/>
      <c r="D16" s="105"/>
      <c r="E16" s="180"/>
      <c r="F16" s="137"/>
      <c r="G16" s="193"/>
      <c r="H16" s="193"/>
      <c r="I16" s="193"/>
      <c r="J16" s="194"/>
      <c r="K16" s="194"/>
      <c r="L16" s="195"/>
      <c r="M16" s="195"/>
      <c r="N16" s="193"/>
      <c r="O16" s="194"/>
      <c r="P16" s="193"/>
      <c r="Q16" s="195"/>
      <c r="R16" s="195"/>
      <c r="S16" s="193"/>
      <c r="T16" s="167"/>
      <c r="U16" s="2"/>
    </row>
    <row r="17" ht="20.1" customHeight="1">
      <c r="B17" s="111"/>
      <c r="C17" s="188"/>
      <c r="D17" s="189" t="s">
        <v>45</v>
      </c>
      <c r="E17" s="188"/>
      <c r="F17" s="169"/>
      <c r="G17" s="196">
        <v>61.028242854726872991713174360</v>
      </c>
      <c r="H17" s="196">
        <v>40.104935019318580962416578850</v>
      </c>
      <c r="I17" s="196">
        <v>152.17140440536256184302056573</v>
      </c>
      <c r="J17" s="197"/>
      <c r="K17" s="197"/>
      <c r="L17" s="198">
        <v>125.33266696225683090395167101</v>
      </c>
      <c r="M17" s="198">
        <v>120.37290993805666676548340388</v>
      </c>
      <c r="N17" s="196">
        <v>104.12032659732768200727016251</v>
      </c>
      <c r="O17" s="197"/>
      <c r="P17" s="196"/>
      <c r="Q17" s="198">
        <v>76.488324370032132589210214781</v>
      </c>
      <c r="R17" s="198">
        <v>48.275477311520504532663990872</v>
      </c>
      <c r="S17" s="196">
        <v>158.44136325465471019781076946</v>
      </c>
      <c r="T17" s="170"/>
      <c r="U17" s="2"/>
    </row>
    <row r="18" ht="15" customHeight="1">
      <c r="B18" s="2"/>
      <c r="C18" s="105"/>
      <c r="D18" s="105"/>
      <c r="E18" s="105"/>
      <c r="F18" s="137"/>
      <c r="G18" s="191"/>
      <c r="H18" s="192"/>
      <c r="I18" s="187"/>
      <c r="J18" s="141"/>
      <c r="K18" s="137"/>
      <c r="L18" s="191"/>
      <c r="M18" s="192"/>
      <c r="N18" s="187"/>
      <c r="O18" s="141"/>
      <c r="P18" s="190"/>
      <c r="Q18" s="141"/>
      <c r="R18" s="192"/>
      <c r="S18" s="187"/>
      <c r="T18" s="141"/>
      <c r="U18" s="2"/>
    </row>
    <row r="19" ht="15" customHeight="1">
      <c r="B19" s="2"/>
      <c r="C19" s="105"/>
      <c r="D19" s="105"/>
      <c r="E19" s="105"/>
      <c r="F19" s="137"/>
      <c r="G19" s="138"/>
      <c r="H19" s="139"/>
      <c r="I19" s="140"/>
      <c r="J19" s="141"/>
      <c r="K19" s="137"/>
      <c r="L19" s="138"/>
      <c r="M19" s="139"/>
      <c r="N19" s="140"/>
      <c r="O19" s="141"/>
      <c r="P19" s="142"/>
      <c r="Q19" s="141"/>
      <c r="R19" s="157"/>
      <c r="S19" s="140"/>
      <c r="T19" s="141"/>
      <c r="U19" s="2"/>
    </row>
    <row r="20" ht="17.1" customHeight="1">
      <c r="B20" s="699" t="s">
        <v>148</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09"/>
      <c r="D24" s="109"/>
      <c r="E24" s="109"/>
      <c r="F24" s="165"/>
      <c r="G24" s="185"/>
      <c r="H24" s="166"/>
      <c r="I24" s="176"/>
      <c r="J24" s="167"/>
      <c r="K24" s="165"/>
      <c r="L24" s="185"/>
      <c r="M24" s="168"/>
      <c r="N24" s="176"/>
      <c r="O24" s="167"/>
      <c r="P24" s="142"/>
      <c r="Q24" s="187"/>
      <c r="R24" s="168"/>
      <c r="S24" s="176"/>
      <c r="T24" s="167"/>
      <c r="U24" s="2"/>
    </row>
    <row r="25" ht="20.1" customHeight="1">
      <c r="B25" s="2"/>
      <c r="C25" s="180"/>
      <c r="D25" s="105" t="s">
        <v>42</v>
      </c>
      <c r="E25" s="180"/>
      <c r="F25" s="164"/>
      <c r="G25" s="193">
        <v>-8.951965065432605213477950680</v>
      </c>
      <c r="H25" s="193">
        <v>-14.986415403745830077430180770</v>
      </c>
      <c r="I25" s="193">
        <v>7.098218910416389341369003200</v>
      </c>
      <c r="J25" s="193"/>
      <c r="K25" s="193"/>
      <c r="L25" s="193">
        <v>-4.8071756898713329711601902700</v>
      </c>
      <c r="M25" s="193">
        <v>3.8769941120020276106817986100</v>
      </c>
      <c r="N25" s="193">
        <v>-8.360051112461081748631625840</v>
      </c>
      <c r="O25" s="193"/>
      <c r="P25" s="193"/>
      <c r="Q25" s="193">
        <v>-13.328804066936208107699139350</v>
      </c>
      <c r="R25" s="193">
        <v>-11.690443734536200667348936830</v>
      </c>
      <c r="S25" s="193">
        <v>-1.8552469309900193651026609500</v>
      </c>
      <c r="T25" s="141"/>
      <c r="U25" s="2"/>
    </row>
    <row r="26" ht="15" customHeight="1">
      <c r="B26" s="2"/>
      <c r="C26" s="109"/>
      <c r="D26" s="109"/>
      <c r="E26" s="109"/>
      <c r="F26" s="165"/>
      <c r="G26" s="193"/>
      <c r="H26" s="193"/>
      <c r="I26" s="193"/>
      <c r="J26" s="193"/>
      <c r="K26" s="193"/>
      <c r="L26" s="193"/>
      <c r="M26" s="193"/>
      <c r="N26" s="193"/>
      <c r="O26" s="193"/>
      <c r="P26" s="193"/>
      <c r="Q26" s="193"/>
      <c r="R26" s="193"/>
      <c r="S26" s="193"/>
      <c r="T26" s="167"/>
      <c r="U26" s="2"/>
    </row>
    <row r="27" ht="20.1" customHeight="1">
      <c r="B27" s="111"/>
      <c r="C27" s="188"/>
      <c r="D27" s="189" t="s">
        <v>58</v>
      </c>
      <c r="E27" s="188"/>
      <c r="F27" s="169"/>
      <c r="G27" s="196">
        <v>-2.1164508965816010723845289400</v>
      </c>
      <c r="H27" s="196">
        <v>-2.275697510663669802229596500</v>
      </c>
      <c r="I27" s="196">
        <v>0.1629549765408844915236981500</v>
      </c>
      <c r="J27" s="196"/>
      <c r="K27" s="196"/>
      <c r="L27" s="196">
        <v>-2.6939939645211490048167082400</v>
      </c>
      <c r="M27" s="196">
        <v>8.159512669289475695231392150</v>
      </c>
      <c r="N27" s="196">
        <v>-10.034722204233222967702876830</v>
      </c>
      <c r="O27" s="196"/>
      <c r="P27" s="196"/>
      <c r="Q27" s="196">
        <v>-4.7534278016402263168371216400</v>
      </c>
      <c r="R27" s="196">
        <v>5.6981293319800045155719498100</v>
      </c>
      <c r="S27" s="196">
        <v>-9.888119306983124727774831290</v>
      </c>
      <c r="T27" s="170"/>
      <c r="U27" s="2"/>
    </row>
    <row r="28" ht="15" customHeight="1">
      <c r="B28" s="2"/>
      <c r="C28" s="180"/>
      <c r="D28" s="105"/>
      <c r="E28" s="105"/>
      <c r="F28" s="137"/>
      <c r="G28" s="193"/>
      <c r="H28" s="193"/>
      <c r="I28" s="193"/>
      <c r="J28" s="193"/>
      <c r="K28" s="193"/>
      <c r="L28" s="193"/>
      <c r="M28" s="193"/>
      <c r="N28" s="193"/>
      <c r="O28" s="193"/>
      <c r="P28" s="193"/>
      <c r="Q28" s="193"/>
      <c r="R28" s="193"/>
      <c r="S28" s="193"/>
      <c r="T28" s="167"/>
      <c r="U28" s="2"/>
    </row>
    <row r="29" ht="20.1" customHeight="1">
      <c r="B29" s="2"/>
      <c r="C29" s="180"/>
      <c r="D29" s="105" t="s">
        <v>44</v>
      </c>
      <c r="E29" s="180"/>
      <c r="F29" s="137"/>
      <c r="G29" s="193">
        <v>-1.4754459369730620632751931100</v>
      </c>
      <c r="H29" s="193">
        <v>-1.7033365921307230207318470400</v>
      </c>
      <c r="I29" s="193">
        <v>0.2318396648593091623626801800</v>
      </c>
      <c r="J29" s="193"/>
      <c r="K29" s="193"/>
      <c r="L29" s="193">
        <v>-5.3727999620370965416721239600</v>
      </c>
      <c r="M29" s="193">
        <v>6.9596659186753650154355353600</v>
      </c>
      <c r="N29" s="193">
        <v>-11.530015333147345395307879790</v>
      </c>
      <c r="O29" s="193"/>
      <c r="P29" s="193"/>
      <c r="Q29" s="193">
        <v>-6.7689731402528703588929804800</v>
      </c>
      <c r="R29" s="193">
        <v>5.1377827902056610160568907900</v>
      </c>
      <c r="S29" s="193">
        <v>-11.324906817000998305061017360</v>
      </c>
      <c r="T29" s="141"/>
      <c r="U29" s="2"/>
    </row>
    <row r="30" ht="15" customHeight="1">
      <c r="B30" s="2"/>
      <c r="C30" s="180"/>
      <c r="D30" s="105"/>
      <c r="E30" s="180"/>
      <c r="F30" s="137"/>
      <c r="G30" s="193"/>
      <c r="H30" s="193"/>
      <c r="I30" s="193"/>
      <c r="J30" s="193"/>
      <c r="K30" s="193"/>
      <c r="L30" s="193"/>
      <c r="M30" s="193"/>
      <c r="N30" s="193"/>
      <c r="O30" s="193"/>
      <c r="P30" s="193"/>
      <c r="Q30" s="193"/>
      <c r="R30" s="193"/>
      <c r="S30" s="193"/>
      <c r="T30" s="167"/>
      <c r="U30" s="2"/>
    </row>
    <row r="31" ht="20.1" customHeight="1">
      <c r="B31" s="111"/>
      <c r="C31" s="188"/>
      <c r="D31" s="189" t="s">
        <v>45</v>
      </c>
      <c r="E31" s="188"/>
      <c r="F31" s="169"/>
      <c r="G31" s="196">
        <v>1.4604804660724529984520697400</v>
      </c>
      <c r="H31" s="196">
        <v>-9.104394281946278765832845570</v>
      </c>
      <c r="I31" s="196">
        <v>11.623086357807883354244441220</v>
      </c>
      <c r="J31" s="196"/>
      <c r="K31" s="196"/>
      <c r="L31" s="196">
        <v>-0.4016308232804351043679893300</v>
      </c>
      <c r="M31" s="196">
        <v>10.009276946922379378312023380</v>
      </c>
      <c r="N31" s="196">
        <v>-9.463663482877733212819199570</v>
      </c>
      <c r="O31" s="196"/>
      <c r="P31" s="196"/>
      <c r="Q31" s="196">
        <v>1.0529839031334049029973153400</v>
      </c>
      <c r="R31" s="196">
        <v>-0.0064013729490182396553727800</v>
      </c>
      <c r="S31" s="196">
        <v>1.0594530956295656904323978600</v>
      </c>
      <c r="T31" s="170"/>
      <c r="U31" s="2"/>
    </row>
    <row r="32" ht="15" customHeight="1">
      <c r="B32" s="2"/>
      <c r="C32" s="105"/>
      <c r="D32" s="105"/>
      <c r="E32" s="105"/>
      <c r="F32" s="137"/>
      <c r="G32" s="191"/>
      <c r="H32" s="192"/>
      <c r="I32" s="187"/>
      <c r="J32" s="141"/>
      <c r="K32" s="137"/>
      <c r="L32" s="191"/>
      <c r="M32" s="192"/>
      <c r="N32" s="187"/>
      <c r="O32" s="141"/>
      <c r="P32" s="190"/>
      <c r="Q32" s="141"/>
      <c r="R32" s="192"/>
      <c r="S32" s="187"/>
      <c r="T32" s="141"/>
      <c r="U32" s="2"/>
    </row>
    <row r="33" ht="15" customHeight="1">
      <c r="B33" s="2"/>
      <c r="C33" s="105"/>
      <c r="D33" s="34"/>
      <c r="E33" s="34"/>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144</v>
      </c>
      <c r="C2" s="948"/>
      <c r="D2" s="948"/>
      <c r="E2" s="948"/>
      <c r="F2" s="948"/>
      <c r="G2" s="948"/>
      <c r="H2" s="948"/>
      <c r="I2" s="948"/>
      <c r="J2" s="948"/>
      <c r="K2" s="948"/>
      <c r="L2" s="948"/>
      <c r="M2" s="948"/>
      <c r="N2" s="948"/>
      <c r="O2" s="948"/>
      <c r="P2" s="948"/>
      <c r="Q2" s="948"/>
      <c r="R2" s="948"/>
      <c r="S2" s="948"/>
      <c r="T2" s="948"/>
      <c r="U2" s="2"/>
    </row>
    <row r="3" ht="18" customHeight="1">
      <c r="B3" s="947" t="s">
        <v>145</v>
      </c>
      <c r="C3" s="947"/>
      <c r="D3" s="947"/>
      <c r="E3" s="947"/>
      <c r="F3" s="947"/>
      <c r="G3" s="947"/>
      <c r="H3" s="947"/>
      <c r="I3" s="947"/>
      <c r="J3" s="947"/>
      <c r="K3" s="947"/>
      <c r="L3" s="947"/>
      <c r="M3" s="947"/>
      <c r="N3" s="947"/>
      <c r="O3" s="947"/>
      <c r="P3" s="947"/>
      <c r="Q3" s="947"/>
      <c r="R3" s="947"/>
      <c r="S3" s="947"/>
      <c r="T3" s="947"/>
      <c r="U3" s="2"/>
    </row>
    <row r="4" ht="18" customHeight="1">
      <c r="B4" s="947" t="s">
        <v>146</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237"/>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237"/>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237"/>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149</v>
      </c>
      <c r="C8" s="347"/>
      <c r="D8" s="345"/>
      <c r="E8" s="238">
        <v>51.481481481481481481481481480</v>
      </c>
      <c r="F8" s="239">
        <v>-8.951965065432605213477950680</v>
      </c>
      <c r="G8" s="238">
        <v>59.286542527794829820612509380</v>
      </c>
      <c r="H8" s="239">
        <v>-2.1164508965816010723845289400</v>
      </c>
      <c r="I8" s="238">
        <v>60.697327363994030660697327360</v>
      </c>
      <c r="J8" s="239">
        <v>-1.4754459369730620632751931100</v>
      </c>
      <c r="K8" s="238">
        <v>61.028242854726872991713174360</v>
      </c>
      <c r="L8" s="239">
        <v>1.4604804660724529984520697400</v>
      </c>
      <c r="M8" s="540"/>
      <c r="N8" s="536">
        <v>0</v>
      </c>
      <c r="O8" s="178"/>
      <c r="P8" s="178">
        <v>-0.5494505494505494505494505500</v>
      </c>
      <c r="Q8" s="178"/>
      <c r="R8" s="178">
        <v>0</v>
      </c>
      <c r="S8" s="178"/>
      <c r="T8" s="249">
        <v>-0.2732240437158469945355191300</v>
      </c>
    </row>
    <row r="9" ht="20.1" customHeight="1">
      <c r="B9" s="708" t="s">
        <v>150</v>
      </c>
      <c r="C9" s="950"/>
      <c r="D9" s="345"/>
      <c r="E9" s="240">
        <v>60.377465977423778879628652810</v>
      </c>
      <c r="F9" s="241">
        <v>1.0626979002605494518680043300</v>
      </c>
      <c r="G9" s="240">
        <v>55.013148019107317596200588060</v>
      </c>
      <c r="H9" s="241">
        <v>3.3375284073200182192809840800</v>
      </c>
      <c r="I9" s="240">
        <v>58.258256307409824624738609910</v>
      </c>
      <c r="J9" s="241">
        <v>3.2614612857345942631880710500</v>
      </c>
      <c r="K9" s="240">
        <v>52.739629903903703714438501120</v>
      </c>
      <c r="L9" s="241">
        <v>-0.6406064058088057498257576300</v>
      </c>
      <c r="M9" s="540"/>
      <c r="N9" s="121">
        <v>0.6071026767708930353011101900</v>
      </c>
      <c r="O9" s="179"/>
      <c r="P9" s="179">
        <v>0.4108263955314097479029441100</v>
      </c>
      <c r="Q9" s="179"/>
      <c r="R9" s="179">
        <v>0.5227727409057600390324541200</v>
      </c>
      <c r="S9" s="179"/>
      <c r="T9" s="248">
        <v>0.1762310287280153272448420300</v>
      </c>
    </row>
    <row r="10" ht="20.1" customHeight="1">
      <c r="B10" s="706" t="s">
        <v>151</v>
      </c>
      <c r="C10" s="949"/>
      <c r="D10" s="345"/>
      <c r="E10" s="242">
        <v>68.387705784624679051502794140</v>
      </c>
      <c r="F10" s="243">
        <v>0.5975788521806229558335865900</v>
      </c>
      <c r="G10" s="242">
        <v>62.806774307656972718692213940</v>
      </c>
      <c r="H10" s="243">
        <v>0.3694194152505514889850842200</v>
      </c>
      <c r="I10" s="242">
        <v>66.423025995537546248531759680</v>
      </c>
      <c r="J10" s="243">
        <v>0.5761960825238358218220619500</v>
      </c>
      <c r="K10" s="242">
        <v>60.759339389465568974437478650</v>
      </c>
      <c r="L10" s="243">
        <v>-1.2288186522150295917426245100</v>
      </c>
      <c r="M10" s="540"/>
      <c r="N10" s="536">
        <v>1.9949164291766155742124316400</v>
      </c>
      <c r="O10" s="178"/>
      <c r="P10" s="178">
        <v>1.5320299886721186882807067700</v>
      </c>
      <c r="Q10" s="178"/>
      <c r="R10" s="178">
        <v>1.8933465825555481259093675300</v>
      </c>
      <c r="S10" s="178"/>
      <c r="T10" s="249">
        <v>1.056904138971758311636132400</v>
      </c>
    </row>
    <row r="11" ht="20.1" customHeight="1">
      <c r="B11" s="708" t="s">
        <v>152</v>
      </c>
      <c r="C11" s="950"/>
      <c r="D11" s="345"/>
      <c r="E11" s="240">
        <v>57.016433189655172413793103450</v>
      </c>
      <c r="F11" s="241">
        <v>-0.4821843629099700062812211200</v>
      </c>
      <c r="G11" s="240">
        <v>54.003210598707252654415841940</v>
      </c>
      <c r="H11" s="241">
        <v>2.2569354445997656226657704800</v>
      </c>
      <c r="I11" s="240">
        <v>55.825130421114132933147871890</v>
      </c>
      <c r="J11" s="241">
        <v>-1.1033354694318603397348811100</v>
      </c>
      <c r="K11" s="240">
        <v>52.032189845615435341032410150</v>
      </c>
      <c r="L11" s="241">
        <v>0.2018217716977418575021522200</v>
      </c>
      <c r="M11" s="540"/>
      <c r="N11" s="121">
        <v>1.2547735951991271140207310400</v>
      </c>
      <c r="O11" s="179"/>
      <c r="P11" s="179">
        <v>0.8380487371698245260200737400</v>
      </c>
      <c r="Q11" s="179"/>
      <c r="R11" s="179">
        <v>1.0796656229249450274375666100</v>
      </c>
      <c r="S11" s="179"/>
      <c r="T11" s="248">
        <v>-0.2499066780761736272428245700</v>
      </c>
    </row>
    <row r="12" ht="20.1" customHeight="1">
      <c r="B12" s="706" t="s">
        <v>153</v>
      </c>
      <c r="C12" s="949"/>
      <c r="D12" s="345"/>
      <c r="E12" s="242">
        <v>65.319331859493981822647998030</v>
      </c>
      <c r="F12" s="243">
        <v>-2.4128294862431079940505040200</v>
      </c>
      <c r="G12" s="242">
        <v>61.225687578093206734574099330</v>
      </c>
      <c r="H12" s="243">
        <v>-3.0762638103663528784864995200</v>
      </c>
      <c r="I12" s="242">
        <v>63.125673147780738053398333430</v>
      </c>
      <c r="J12" s="243">
        <v>-6.3077311242711348108379454500</v>
      </c>
      <c r="K12" s="242">
        <v>59.505477764247367810915313430</v>
      </c>
      <c r="L12" s="243">
        <v>-2.8806579459764883744453407400</v>
      </c>
      <c r="M12" s="540"/>
      <c r="N12" s="536">
        <v>2.803030303030303030303030300</v>
      </c>
      <c r="O12" s="178"/>
      <c r="P12" s="178">
        <v>2.3286619192208776008588091800</v>
      </c>
      <c r="Q12" s="178"/>
      <c r="R12" s="178">
        <v>2.803030303030303030303030300</v>
      </c>
      <c r="S12" s="178"/>
      <c r="T12" s="249">
        <v>0.6176872854894067249877422500</v>
      </c>
    </row>
    <row r="13" ht="20.1" customHeight="1">
      <c r="B13" s="734" t="s">
        <v>74</v>
      </c>
      <c r="C13" s="946"/>
      <c r="D13" s="345"/>
      <c r="E13" s="244">
        <v>36.716604244694132334581772780</v>
      </c>
      <c r="F13" s="245">
        <v>-14.986415403745830077430180770</v>
      </c>
      <c r="G13" s="244">
        <v>39.933163655927328408550085870</v>
      </c>
      <c r="H13" s="245">
        <v>-2.275697510663669802229596500</v>
      </c>
      <c r="I13" s="244">
        <v>44.822406058361114540889821780</v>
      </c>
      <c r="J13" s="245">
        <v>-1.7033365921307230207318470400</v>
      </c>
      <c r="K13" s="244">
        <v>40.104935019318580962416578850</v>
      </c>
      <c r="L13" s="245">
        <v>-9.104394281946278765832845570</v>
      </c>
      <c r="M13" s="540"/>
      <c r="N13" s="333">
        <v>0</v>
      </c>
      <c r="O13" s="250"/>
      <c r="P13" s="250">
        <v>-0.0274396990484620491259128100</v>
      </c>
      <c r="Q13" s="250"/>
      <c r="R13" s="250">
        <v>0</v>
      </c>
      <c r="S13" s="250"/>
      <c r="T13" s="251">
        <v>-0.0943085864678144533391819300</v>
      </c>
    </row>
    <row r="14" ht="9.95" customHeight="1">
      <c r="B14" s="54"/>
      <c r="C14" s="54"/>
      <c r="D14" s="54"/>
      <c r="E14" s="535"/>
      <c r="F14" s="535"/>
      <c r="G14" s="535"/>
      <c r="H14" s="535"/>
      <c r="I14" s="535"/>
      <c r="J14" s="535"/>
      <c r="K14" s="535"/>
      <c r="L14" s="535"/>
      <c r="M14" s="156"/>
      <c r="N14" s="156"/>
      <c r="O14" s="156"/>
      <c r="P14" s="156"/>
      <c r="Q14" s="156"/>
      <c r="R14" s="156"/>
      <c r="S14" s="156"/>
      <c r="T14" s="156"/>
    </row>
    <row r="15" ht="21" customHeight="1">
      <c r="B15" s="4"/>
      <c r="C15" s="4"/>
      <c r="D15" s="54"/>
      <c r="E15" s="719" t="s">
        <v>90</v>
      </c>
      <c r="F15" s="719"/>
      <c r="G15" s="719"/>
      <c r="H15" s="719"/>
      <c r="I15" s="719"/>
      <c r="J15" s="719"/>
      <c r="K15" s="719"/>
      <c r="L15" s="942"/>
      <c r="M15" s="537"/>
      <c r="N15" s="719" t="s">
        <v>29</v>
      </c>
      <c r="O15" s="719"/>
      <c r="P15" s="719"/>
      <c r="Q15" s="719"/>
      <c r="R15" s="719"/>
      <c r="S15" s="719"/>
      <c r="T15" s="942"/>
    </row>
    <row r="16" ht="22.5" customHeight="1">
      <c r="B16" s="4"/>
      <c r="C16" s="4"/>
      <c r="D16" s="5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54"/>
      <c r="E17" s="940"/>
      <c r="F17" s="939"/>
      <c r="G17" s="940"/>
      <c r="H17" s="939"/>
      <c r="I17" s="940"/>
      <c r="J17" s="939"/>
      <c r="K17" s="940"/>
      <c r="L17" s="939"/>
      <c r="M17" s="539"/>
      <c r="N17" s="944"/>
      <c r="O17" s="845"/>
      <c r="P17" s="944"/>
      <c r="Q17" s="845"/>
      <c r="R17" s="944"/>
      <c r="S17" s="845"/>
      <c r="T17" s="944"/>
    </row>
    <row r="18" ht="20.1" customHeight="1">
      <c r="B18" s="736" t="s">
        <v>149</v>
      </c>
      <c r="C18" s="348"/>
      <c r="D18" s="345"/>
      <c r="E18" s="253">
        <v>127.36813749000799360511590727</v>
      </c>
      <c r="F18" s="239">
        <v>-4.8071756898713329711601902700</v>
      </c>
      <c r="G18" s="253">
        <v>124.79348481362172112287160607</v>
      </c>
      <c r="H18" s="239">
        <v>-2.6939939645211490048167082400</v>
      </c>
      <c r="I18" s="253">
        <v>128.53800849351810460438086723</v>
      </c>
      <c r="J18" s="239">
        <v>-5.3727999620370965416721239600</v>
      </c>
      <c r="K18" s="253">
        <v>125.33266696225683090395167101</v>
      </c>
      <c r="L18" s="239">
        <v>-0.4016308232804351043679893300</v>
      </c>
      <c r="M18" s="540"/>
      <c r="N18" s="238">
        <v>-8.951965065502183406113537120</v>
      </c>
      <c r="O18" s="246"/>
      <c r="P18" s="246">
        <v>-2.6542725949154440586851831100</v>
      </c>
      <c r="Q18" s="246"/>
      <c r="R18" s="246">
        <v>-1.4754459370182779123541070200</v>
      </c>
      <c r="S18" s="246"/>
      <c r="T18" s="247">
        <v>1.1832660385823239120681920100</v>
      </c>
    </row>
    <row r="19" ht="20.1" customHeight="1">
      <c r="B19" s="730" t="s">
        <v>150</v>
      </c>
      <c r="C19" s="941"/>
      <c r="D19" s="345"/>
      <c r="E19" s="254">
        <v>113.09540733182135339677125887</v>
      </c>
      <c r="F19" s="241">
        <v>-0.5822349304427278422721630500</v>
      </c>
      <c r="G19" s="254">
        <v>108.09821582875556836966458787</v>
      </c>
      <c r="H19" s="241">
        <v>0.1991713053655958492712488100</v>
      </c>
      <c r="I19" s="254">
        <v>111.58150557983533293030761376</v>
      </c>
      <c r="J19" s="241">
        <v>-1.1259226734994998727166899600</v>
      </c>
      <c r="K19" s="254">
        <v>109.57178508330444443516287074</v>
      </c>
      <c r="L19" s="241">
        <v>2.0114383236869915051921929600</v>
      </c>
      <c r="M19" s="540"/>
      <c r="N19" s="240">
        <v>1.6762522443990695514991875200</v>
      </c>
      <c r="O19" s="179"/>
      <c r="P19" s="179">
        <v>3.7620662505391783868663855400</v>
      </c>
      <c r="Q19" s="179"/>
      <c r="R19" s="179">
        <v>3.801284057260471151703705300</v>
      </c>
      <c r="S19" s="179"/>
      <c r="T19" s="248">
        <v>-0.4655043244312423309393319300</v>
      </c>
    </row>
    <row r="20" ht="20.1" customHeight="1">
      <c r="B20" s="532" t="s">
        <v>151</v>
      </c>
      <c r="C20" s="345"/>
      <c r="D20" s="345"/>
      <c r="E20" s="255">
        <v>122.26726958851871891989384453</v>
      </c>
      <c r="F20" s="243">
        <v>-0.4640374886202823977612357700</v>
      </c>
      <c r="G20" s="255">
        <v>119.74835807071139814566425232</v>
      </c>
      <c r="H20" s="243">
        <v>2.0574511311601232000917527600</v>
      </c>
      <c r="I20" s="255">
        <v>123.26217617228291115099141462</v>
      </c>
      <c r="J20" s="243">
        <v>0.7432896259475753904793219900</v>
      </c>
      <c r="K20" s="255">
        <v>120.05090976914685184014772843</v>
      </c>
      <c r="L20" s="243">
        <v>1.7692595059572307994995049100</v>
      </c>
      <c r="M20" s="540"/>
      <c r="N20" s="242">
        <v>2.6044164800344435590166968200</v>
      </c>
      <c r="O20" s="178"/>
      <c r="P20" s="178">
        <v>1.9071090202094800536960947900</v>
      </c>
      <c r="Q20" s="178"/>
      <c r="R20" s="178">
        <v>2.4804520538640275497557868500</v>
      </c>
      <c r="S20" s="178"/>
      <c r="T20" s="249">
        <v>-0.184901948481853174892969100</v>
      </c>
    </row>
    <row r="21" ht="20.1" customHeight="1">
      <c r="B21" s="730" t="s">
        <v>152</v>
      </c>
      <c r="C21" s="941"/>
      <c r="D21" s="345"/>
      <c r="E21" s="254">
        <v>101.13174576925197067416349705</v>
      </c>
      <c r="F21" s="241">
        <v>-0.3494161139989698342433574500</v>
      </c>
      <c r="G21" s="254">
        <v>98.84460115891316995780870608</v>
      </c>
      <c r="H21" s="241">
        <v>0.560419213841464443661918700</v>
      </c>
      <c r="I21" s="254">
        <v>100.14087058617273062936468513</v>
      </c>
      <c r="J21" s="241">
        <v>-0.9873581611769558760484464900</v>
      </c>
      <c r="K21" s="254">
        <v>98.87675990077837652895389616</v>
      </c>
      <c r="L21" s="241">
        <v>1.0556662839093421314382917600</v>
      </c>
      <c r="M21" s="540"/>
      <c r="N21" s="240">
        <v>0.7665389101816363939343442800</v>
      </c>
      <c r="O21" s="179"/>
      <c r="P21" s="179">
        <v>3.113898400728457286496607800</v>
      </c>
      <c r="Q21" s="179"/>
      <c r="R21" s="179">
        <v>-0.0355821802317090333596216600</v>
      </c>
      <c r="S21" s="179"/>
      <c r="T21" s="248">
        <v>-0.0485892724575770054474131600</v>
      </c>
    </row>
    <row r="22" ht="20.1" customHeight="1">
      <c r="B22" s="532" t="s">
        <v>153</v>
      </c>
      <c r="C22" s="345"/>
      <c r="D22" s="345"/>
      <c r="E22" s="255">
        <v>121.96446232818757873756651562</v>
      </c>
      <c r="F22" s="243">
        <v>1.0486877655609861343489558800</v>
      </c>
      <c r="G22" s="255">
        <v>119.80751052963830149669497951</v>
      </c>
      <c r="H22" s="243">
        <v>3.0855064370935229270752243100</v>
      </c>
      <c r="I22" s="255">
        <v>121.04284688013136288998357964</v>
      </c>
      <c r="J22" s="243">
        <v>1.2525448955587742202730329500</v>
      </c>
      <c r="K22" s="255">
        <v>119.76036790883308765850336618</v>
      </c>
      <c r="L22" s="243">
        <v>3.2719021067664227840699684600</v>
      </c>
      <c r="M22" s="540"/>
      <c r="N22" s="242">
        <v>0.3225684750622500565909605400</v>
      </c>
      <c r="O22" s="178"/>
      <c r="P22" s="178">
        <v>-0.8192376749948652713455639300</v>
      </c>
      <c r="Q22" s="178"/>
      <c r="R22" s="178">
        <v>-3.6815084361466178187726657700</v>
      </c>
      <c r="S22" s="178"/>
      <c r="T22" s="249">
        <v>-2.2807641183140068702585865600</v>
      </c>
    </row>
    <row r="23" ht="20.1" customHeight="1">
      <c r="B23" s="726" t="s">
        <v>74</v>
      </c>
      <c r="C23" s="349"/>
      <c r="D23" s="345"/>
      <c r="E23" s="256">
        <v>120.55170180210812648758925537</v>
      </c>
      <c r="F23" s="245">
        <v>3.8769941120020276106817986100</v>
      </c>
      <c r="G23" s="256">
        <v>120.9606386506723320465321139</v>
      </c>
      <c r="H23" s="245">
        <v>8.159512669289475695231392150</v>
      </c>
      <c r="I23" s="256">
        <v>124.43507965658142417703503054</v>
      </c>
      <c r="J23" s="245">
        <v>6.9596659186753650154355353600</v>
      </c>
      <c r="K23" s="256">
        <v>120.37290993805666676548340388</v>
      </c>
      <c r="L23" s="245">
        <v>10.009276946922379378312023380</v>
      </c>
      <c r="M23" s="540"/>
      <c r="N23" s="244">
        <v>-14.986415403750877266126062280</v>
      </c>
      <c r="O23" s="250"/>
      <c r="P23" s="250">
        <v>-2.3025127651398269848244508700</v>
      </c>
      <c r="Q23" s="250"/>
      <c r="R23" s="250">
        <v>-1.703336592207255702703910700</v>
      </c>
      <c r="S23" s="250"/>
      <c r="T23" s="251">
        <v>-9.190116642812417112688431320</v>
      </c>
    </row>
    <row r="24" ht="9.95" customHeight="1">
      <c r="B24" s="54"/>
      <c r="C24" s="54"/>
      <c r="D24" s="54"/>
      <c r="E24" s="535"/>
      <c r="F24" s="535"/>
      <c r="G24" s="535"/>
      <c r="H24" s="535"/>
      <c r="I24" s="535"/>
      <c r="J24" s="535"/>
      <c r="K24" s="535"/>
      <c r="L24" s="535"/>
      <c r="M24" s="156"/>
      <c r="N24" s="156"/>
      <c r="O24" s="156"/>
      <c r="P24" s="156"/>
      <c r="Q24" s="156"/>
      <c r="R24" s="156"/>
      <c r="S24" s="156"/>
      <c r="T24" s="156"/>
    </row>
    <row r="25" s="122" customFormat="1" ht="21" customHeight="1">
      <c r="B25" s="163"/>
      <c r="C25" s="163"/>
      <c r="D25" s="237"/>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237"/>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237"/>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149</v>
      </c>
      <c r="C28" s="348"/>
      <c r="D28" s="345"/>
      <c r="E28" s="253">
        <v>65.571004115226337448559670782</v>
      </c>
      <c r="F28" s="239">
        <v>-13.328804066936208107699139350</v>
      </c>
      <c r="G28" s="253">
        <v>73.985742445945024213900825319</v>
      </c>
      <c r="H28" s="239">
        <v>-4.7534278016402263168371216400</v>
      </c>
      <c r="I28" s="253">
        <v>78.019135802469135802469135802</v>
      </c>
      <c r="J28" s="239">
        <v>-6.7689731402528703588929804800</v>
      </c>
      <c r="K28" s="253">
        <v>76.488324370032132589210214781</v>
      </c>
      <c r="L28" s="239">
        <v>1.0529839031334049029973153400</v>
      </c>
      <c r="M28" s="540"/>
      <c r="N28" s="238">
        <v>-13.328804066983824100556240320</v>
      </c>
      <c r="O28" s="246"/>
      <c r="P28" s="246">
        <v>-5.2767606159359370289566402200</v>
      </c>
      <c r="Q28" s="246"/>
      <c r="R28" s="246">
        <v>-6.7689731402829028429868437800</v>
      </c>
      <c r="S28" s="246"/>
      <c r="T28" s="247">
        <v>0.7768828541743472451049802900</v>
      </c>
    </row>
    <row r="29" ht="20.1" customHeight="1">
      <c r="B29" s="730" t="s">
        <v>150</v>
      </c>
      <c r="C29" s="941"/>
      <c r="D29" s="345"/>
      <c r="E29" s="254">
        <v>68.28414108379927559165875444</v>
      </c>
      <c r="F29" s="241">
        <v>0.4742755714453615155275776800</v>
      </c>
      <c r="G29" s="254">
        <v>59.46823147988739679967146888</v>
      </c>
      <c r="H29" s="241">
        <v>3.5433471115664522045998351600</v>
      </c>
      <c r="I29" s="254">
        <v>65.005439512367263253605634541</v>
      </c>
      <c r="J29" s="241">
        <v>2.0988170801700622806500620500</v>
      </c>
      <c r="K29" s="254">
        <v>57.787753932035528529629570588</v>
      </c>
      <c r="L29" s="241">
        <v>1.3579465150442545334377397500</v>
      </c>
      <c r="M29" s="540"/>
      <c r="N29" s="240">
        <v>1.0842575878988668982846293100</v>
      </c>
      <c r="O29" s="179"/>
      <c r="P29" s="179">
        <v>3.9687305123167518373951844800</v>
      </c>
      <c r="Q29" s="179"/>
      <c r="R29" s="179">
        <v>2.6325618646895251945689011100</v>
      </c>
      <c r="S29" s="179"/>
      <c r="T29" s="248">
        <v>1.5365706668353082540796893500</v>
      </c>
    </row>
    <row r="30" ht="20.1" customHeight="1">
      <c r="B30" s="532" t="s">
        <v>151</v>
      </c>
      <c r="C30" s="345"/>
      <c r="D30" s="345"/>
      <c r="E30" s="255">
        <v>83.61578059709006695866686805</v>
      </c>
      <c r="F30" s="243">
        <v>0.1307683736622832165054959500</v>
      </c>
      <c r="G30" s="255">
        <v>75.210080990596641346277969921</v>
      </c>
      <c r="H30" s="243">
        <v>2.4344711704651030257588082700</v>
      </c>
      <c r="I30" s="255">
        <v>81.87446732158076526263849639</v>
      </c>
      <c r="J30" s="243">
        <v>1.3237685140983758231502365500</v>
      </c>
      <c r="K30" s="255">
        <v>72.942139706777011908779429937</v>
      </c>
      <c r="L30" s="243">
        <v>0.5186998629136463009462807100</v>
      </c>
      <c r="M30" s="540"/>
      <c r="N30" s="242">
        <v>2.1282935225966947617919987500</v>
      </c>
      <c r="O30" s="178"/>
      <c r="P30" s="178">
        <v>4.0037979875008432112523789400</v>
      </c>
      <c r="Q30" s="178"/>
      <c r="R30" s="178">
        <v>3.2421786225935577033304216100</v>
      </c>
      <c r="S30" s="178"/>
      <c r="T30" s="249">
        <v>1.5810861622160112186249649700</v>
      </c>
    </row>
    <row r="31" ht="20.1" customHeight="1">
      <c r="B31" s="730" t="s">
        <v>152</v>
      </c>
      <c r="C31" s="941"/>
      <c r="D31" s="345"/>
      <c r="E31" s="254">
        <v>57.661714260057471264367816092</v>
      </c>
      <c r="F31" s="241">
        <v>-0.8299156470839188175273038700</v>
      </c>
      <c r="G31" s="254">
        <v>53.37925812930010888571626875</v>
      </c>
      <c r="H31" s="241">
        <v>2.8300029583184390218594821300</v>
      </c>
      <c r="I31" s="254">
        <v>55.903771609570047779059663026</v>
      </c>
      <c r="J31" s="241">
        <v>-2.0797997577082163541711435700</v>
      </c>
      <c r="K31" s="254">
        <v>51.447743424766361032751365413</v>
      </c>
      <c r="L31" s="241">
        <v>1.2596186200474380293549156100</v>
      </c>
      <c r="M31" s="540"/>
      <c r="N31" s="240">
        <v>0.4144443857153088820658838700</v>
      </c>
      <c r="O31" s="179"/>
      <c r="P31" s="179">
        <v>3.6917684995038223819967325100</v>
      </c>
      <c r="Q31" s="179"/>
      <c r="R31" s="179">
        <v>-1.0225890178694731889639948300</v>
      </c>
      <c r="S31" s="179"/>
      <c r="T31" s="248">
        <v>1.0065640708734033640989742700</v>
      </c>
    </row>
    <row r="32" ht="20.1" customHeight="1">
      <c r="B32" s="532" t="s">
        <v>153</v>
      </c>
      <c r="C32" s="345"/>
      <c r="D32" s="345"/>
      <c r="E32" s="255">
        <v>79.66637189879636452959960698</v>
      </c>
      <c r="F32" s="243">
        <v>-1.3894447683855494139506466300</v>
      </c>
      <c r="G32" s="255">
        <v>73.352972091967468236131362232</v>
      </c>
      <c r="H32" s="243">
        <v>-0.0856756911293299775703205800</v>
      </c>
      <c r="I32" s="255">
        <v>76.409111890320438588677350652</v>
      </c>
      <c r="J32" s="243">
        <v>-5.1341933929855412481439633300</v>
      </c>
      <c r="K32" s="255">
        <v>71.263979096371513368945554747</v>
      </c>
      <c r="L32" s="243">
        <v>0.2969918528321000652679398800</v>
      </c>
      <c r="M32" s="540"/>
      <c r="N32" s="242">
        <v>1.3746389767569797826983908700</v>
      </c>
      <c r="O32" s="178"/>
      <c r="P32" s="178">
        <v>2.2409911309409863081357531900</v>
      </c>
      <c r="Q32" s="178"/>
      <c r="R32" s="178">
        <v>-2.4750760865986966092128931700</v>
      </c>
      <c r="S32" s="178"/>
      <c r="T32" s="249">
        <v>0.9165136192436770902495468500</v>
      </c>
    </row>
    <row r="33" ht="20.1" customHeight="1">
      <c r="B33" s="726" t="s">
        <v>74</v>
      </c>
      <c r="C33" s="349"/>
      <c r="D33" s="345"/>
      <c r="E33" s="256">
        <v>44.262491260923845193508114856</v>
      </c>
      <c r="F33" s="245">
        <v>-11.690443734536200667348936830</v>
      </c>
      <c r="G33" s="256">
        <v>48.303409791627868479317979598</v>
      </c>
      <c r="H33" s="245">
        <v>5.6981293319800045155719498100</v>
      </c>
      <c r="I33" s="256">
        <v>55.774796682718031032637774211</v>
      </c>
      <c r="J33" s="245">
        <v>5.1377827902056610160568907900</v>
      </c>
      <c r="K33" s="256">
        <v>48.275477311520504532663990872</v>
      </c>
      <c r="L33" s="245">
        <v>-0.0064013729490182396553727800</v>
      </c>
      <c r="M33" s="540"/>
      <c r="N33" s="244">
        <v>-11.690443734575353847015855500</v>
      </c>
      <c r="O33" s="250"/>
      <c r="P33" s="250">
        <v>5.6691260834100083942147598800</v>
      </c>
      <c r="Q33" s="250"/>
      <c r="R33" s="250">
        <v>5.1377827901951065701785954200</v>
      </c>
      <c r="S33" s="250"/>
      <c r="T33" s="251">
        <v>-0.1007039224365113893848467300</v>
      </c>
    </row>
    <row r="34" ht="9.95" customHeight="1">
      <c r="B34" s="54"/>
      <c r="C34" s="54"/>
      <c r="D34" s="5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24"/>
      <c r="N35" s="756" t="s">
        <v>56</v>
      </c>
      <c r="O35" s="756"/>
      <c r="P35" s="756"/>
      <c r="Q35" s="756"/>
      <c r="R35" s="756"/>
      <c r="S35" s="756"/>
      <c r="T35" s="756"/>
      <c r="U35" s="125"/>
    </row>
    <row r="36" ht="24.95" customHeight="1">
      <c r="B36" s="9"/>
      <c r="C36" s="155"/>
      <c r="D36" s="252"/>
      <c r="E36" s="745" t="s">
        <v>31</v>
      </c>
      <c r="F36" s="747"/>
      <c r="G36" s="746"/>
      <c r="H36" s="745" t="s">
        <v>32</v>
      </c>
      <c r="I36" s="747"/>
      <c r="J36" s="746"/>
      <c r="K36" s="745" t="s">
        <v>36</v>
      </c>
      <c r="L36" s="746"/>
      <c r="M36" s="124"/>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24"/>
      <c r="N37" s="741"/>
      <c r="O37" s="741"/>
      <c r="P37" s="741"/>
      <c r="Q37" s="741"/>
      <c r="R37" s="741"/>
      <c r="S37" s="741"/>
      <c r="T37" s="741"/>
      <c r="U37" s="123"/>
    </row>
    <row r="38" ht="18.95" customHeight="1">
      <c r="B38" s="743" t="s">
        <v>150</v>
      </c>
      <c r="C38" s="945"/>
      <c r="D38" s="54"/>
      <c r="E38" s="769">
        <v>561</v>
      </c>
      <c r="F38" s="769"/>
      <c r="G38" s="258">
        <v>47395</v>
      </c>
      <c r="H38" s="758">
        <v>321</v>
      </c>
      <c r="I38" s="758"/>
      <c r="J38" s="259">
        <v>27150</v>
      </c>
      <c r="K38" s="761">
        <v>57.284523683932904314801139360</v>
      </c>
      <c r="L38" s="762"/>
      <c r="N38" s="692"/>
      <c r="O38" s="741"/>
      <c r="P38" s="741"/>
      <c r="Q38" s="692"/>
      <c r="R38" s="692"/>
      <c r="S38" s="741"/>
      <c r="T38" s="741"/>
      <c r="U38" s="123"/>
    </row>
    <row r="39" ht="18.95" customHeight="1">
      <c r="B39" s="532" t="s">
        <v>151</v>
      </c>
      <c r="C39" s="345"/>
      <c r="D39" s="54"/>
      <c r="E39" s="772">
        <v>125</v>
      </c>
      <c r="F39" s="772"/>
      <c r="G39" s="90">
        <v>13242</v>
      </c>
      <c r="H39" s="765">
        <v>112</v>
      </c>
      <c r="I39" s="765"/>
      <c r="J39" s="54">
        <v>10629</v>
      </c>
      <c r="K39" s="766">
        <v>80.26733121884911644766651563</v>
      </c>
      <c r="L39" s="767"/>
      <c r="N39" s="693"/>
      <c r="O39" s="740"/>
      <c r="P39" s="740"/>
      <c r="Q39" s="740"/>
      <c r="R39" s="740"/>
      <c r="S39" s="740"/>
      <c r="T39" s="740"/>
      <c r="U39" s="123"/>
    </row>
    <row r="40" ht="18.95" customHeight="1">
      <c r="B40" s="730" t="s">
        <v>152</v>
      </c>
      <c r="C40" s="941"/>
      <c r="D40" s="54"/>
      <c r="E40" s="770">
        <v>123</v>
      </c>
      <c r="F40" s="770"/>
      <c r="G40" s="126">
        <v>7424</v>
      </c>
      <c r="H40" s="771">
        <v>62</v>
      </c>
      <c r="I40" s="771"/>
      <c r="J40" s="120">
        <v>4673</v>
      </c>
      <c r="K40" s="759">
        <v>62.944504310344827586206896550</v>
      </c>
      <c r="L40" s="760"/>
      <c r="N40" s="763"/>
      <c r="O40" s="763"/>
      <c r="P40" s="763"/>
      <c r="Q40" s="763"/>
      <c r="R40" s="763"/>
      <c r="S40" s="763"/>
      <c r="T40" s="763"/>
      <c r="U40" s="123"/>
    </row>
    <row r="41" ht="18.95" customHeight="1">
      <c r="B41" s="532" t="s">
        <v>153</v>
      </c>
      <c r="C41" s="345"/>
      <c r="D41" s="54"/>
      <c r="E41" s="772">
        <v>36</v>
      </c>
      <c r="F41" s="772"/>
      <c r="G41" s="90">
        <v>2714</v>
      </c>
      <c r="H41" s="765">
        <v>35</v>
      </c>
      <c r="I41" s="765"/>
      <c r="J41" s="54">
        <v>2664</v>
      </c>
      <c r="K41" s="766">
        <v>98.15770081061164333087693441</v>
      </c>
      <c r="L41" s="767"/>
      <c r="N41" s="763"/>
      <c r="O41" s="763"/>
      <c r="P41" s="763"/>
      <c r="Q41" s="763"/>
      <c r="R41" s="763"/>
      <c r="S41" s="763"/>
      <c r="T41" s="763"/>
      <c r="U41" s="123"/>
    </row>
    <row r="42" ht="18.95" customHeight="1">
      <c r="B42" s="726" t="s">
        <v>74</v>
      </c>
      <c r="C42" s="349"/>
      <c r="D42" s="54"/>
      <c r="E42" s="768">
        <v>6</v>
      </c>
      <c r="F42" s="768"/>
      <c r="G42" s="260">
        <v>624</v>
      </c>
      <c r="H42" s="764">
        <v>5</v>
      </c>
      <c r="I42" s="764"/>
      <c r="J42" s="260">
        <v>534</v>
      </c>
      <c r="K42" s="774">
        <v>85.57692307692307692307692308</v>
      </c>
      <c r="L42" s="775"/>
      <c r="N42" s="763"/>
      <c r="O42" s="763"/>
      <c r="P42" s="763"/>
      <c r="Q42" s="763"/>
      <c r="R42" s="763"/>
      <c r="S42" s="763"/>
      <c r="T42" s="763"/>
      <c r="U42" s="123"/>
    </row>
    <row r="43" ht="15" customHeight="1">
      <c r="B43" s="2"/>
      <c r="C43" s="44"/>
      <c r="D43" s="44"/>
      <c r="E43" s="16"/>
      <c r="F43" s="19"/>
      <c r="G43" s="123"/>
      <c r="H43" s="124"/>
      <c r="I43" s="124"/>
      <c r="J43" s="124"/>
      <c r="K43" s="125"/>
      <c r="L43" s="123"/>
      <c r="M43" s="124"/>
      <c r="N43" s="125"/>
      <c r="O43" s="125"/>
      <c r="P43" s="124"/>
      <c r="Q43" s="124"/>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row>
    <row r="2" s="2" customFormat="1" ht="15" customHeight="1">
      <c r="B2" s="66" t="s">
        <v>144</v>
      </c>
      <c r="C2" s="130"/>
      <c r="W2" s="281"/>
      <c r="X2" s="281"/>
      <c r="Y2" s="281"/>
      <c r="Z2" s="281"/>
      <c r="AA2" s="281"/>
      <c r="AB2" s="281"/>
      <c r="AC2" s="281"/>
      <c r="AD2" s="281"/>
      <c r="AE2" s="281"/>
      <c r="AF2" s="281"/>
      <c r="AG2" s="281"/>
      <c r="AH2" s="281"/>
      <c r="AI2" s="281"/>
      <c r="AJ2" s="281"/>
      <c r="AK2" s="281"/>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row>
    <row r="3" s="2" customFormat="1" ht="17.1" customHeight="1">
      <c r="B3" s="66" t="s">
        <v>145</v>
      </c>
      <c r="C3" s="130"/>
      <c r="O3" s="961"/>
      <c r="P3" s="961"/>
      <c r="Q3" s="961"/>
      <c r="R3" s="961"/>
      <c r="S3" s="961"/>
      <c r="T3" s="961"/>
      <c r="U3" s="961"/>
      <c r="W3" s="281"/>
      <c r="X3" s="281"/>
      <c r="Y3" s="281"/>
      <c r="Z3" s="281"/>
      <c r="AA3" s="281"/>
      <c r="AB3" s="281"/>
      <c r="AC3" s="281"/>
      <c r="AD3" s="281"/>
      <c r="AE3" s="281"/>
      <c r="AF3" s="281"/>
      <c r="AG3" s="281"/>
      <c r="AH3" s="281"/>
      <c r="AI3" s="281"/>
      <c r="AJ3" s="281"/>
      <c r="AK3" s="281"/>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row>
    <row r="4" s="2" customFormat="1" ht="15.75" customHeight="1">
      <c r="A4" s="9"/>
      <c r="B4" s="66" t="s">
        <v>146</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row>
    <row r="5" s="2" customFormat="1" ht="20.1" customHeight="1">
      <c r="A5" s="9"/>
      <c r="B5" s="66"/>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row>
    <row r="6" s="2" customFormat="1" ht="20.1" customHeight="1">
      <c r="A6" s="9"/>
      <c r="B6" s="66"/>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row>
    <row r="7" s="2" customFormat="1" ht="20.1" customHeight="1">
      <c r="A7" s="9"/>
      <c r="B7" s="66"/>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row>
    <row r="8" s="2" customFormat="1" ht="20.1" customHeight="1">
      <c r="A8" s="9"/>
      <c r="B8" s="66"/>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row>
    <row r="9" s="2" customFormat="1" ht="20.1" customHeight="1">
      <c r="A9" s="9"/>
      <c r="B9" s="66"/>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row>
    <row r="10" s="2" customFormat="1" ht="20.1" customHeight="1">
      <c r="A10" s="9"/>
      <c r="B10" s="66"/>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row>
    <row r="11" s="2" customFormat="1" ht="20.1" customHeight="1">
      <c r="A11" s="9"/>
      <c r="B11" s="66"/>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row>
    <row r="12" s="2" customFormat="1" ht="20.1" customHeight="1">
      <c r="A12" s="9"/>
      <c r="B12" s="66"/>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row>
    <row r="13" s="2" customFormat="1" ht="20.1" customHeight="1">
      <c r="A13" s="9"/>
      <c r="B13" s="66"/>
      <c r="C13" s="131"/>
      <c r="D13" s="131"/>
      <c r="E13" s="131"/>
      <c r="G13" s="132"/>
      <c r="H13" s="132"/>
      <c r="I13" s="132"/>
      <c r="J13" s="132"/>
      <c r="K13" s="132"/>
      <c r="L13" s="132"/>
      <c r="M13" s="132"/>
      <c r="N13" s="132"/>
      <c r="O13" s="132"/>
      <c r="P13" s="132"/>
      <c r="Q13" s="132"/>
      <c r="R13" s="132"/>
      <c r="S13" s="132"/>
      <c r="T13" s="132"/>
      <c r="U13" s="132"/>
      <c r="V13" s="132"/>
      <c r="W13" s="281"/>
      <c r="X13" s="1012" t="s">
        <v>43</v>
      </c>
      <c r="Y13" s="1012" t="s">
        <v>46</v>
      </c>
      <c r="Z13" s="1012" t="s">
        <v>47</v>
      </c>
      <c r="AA13" s="1012" t="s">
        <v>48</v>
      </c>
      <c r="AB13" s="1012" t="s">
        <v>49</v>
      </c>
      <c r="AC13" s="1012" t="s">
        <v>50</v>
      </c>
      <c r="AD13" s="1012" t="s">
        <v>51</v>
      </c>
      <c r="AE13" s="1012" t="s">
        <v>40</v>
      </c>
      <c r="AF13" s="1012" t="s">
        <v>52</v>
      </c>
      <c r="AG13" s="281"/>
      <c r="AH13" s="281"/>
      <c r="AI13" s="281"/>
      <c r="AJ13" s="281"/>
      <c r="AK13" s="281"/>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row>
    <row r="14" s="2" customFormat="1" ht="20.1" customHeight="1">
      <c r="A14" s="9"/>
      <c r="B14" s="66"/>
      <c r="C14" s="131"/>
      <c r="D14" s="131"/>
      <c r="E14" s="131"/>
      <c r="G14" s="132"/>
      <c r="H14" s="132"/>
      <c r="I14" s="132"/>
      <c r="J14" s="132"/>
      <c r="K14" s="132"/>
      <c r="L14" s="132"/>
      <c r="M14" s="132"/>
      <c r="N14" s="132"/>
      <c r="O14" s="132"/>
      <c r="P14" s="132"/>
      <c r="Q14" s="132"/>
      <c r="R14" s="132"/>
      <c r="S14" s="132"/>
      <c r="T14" s="132"/>
      <c r="U14" s="132"/>
      <c r="V14" s="132"/>
      <c r="W14" s="281"/>
      <c r="X14" s="1012" t="str">
        <f>D18</f>
      </c>
      <c r="Y14" s="1012" t="str">
        <f>D24</f>
      </c>
      <c r="Z14" s="1012" t="str">
        <f>D30</f>
      </c>
      <c r="AA14" s="1012" t="str">
        <f>D36</f>
      </c>
      <c r="AB14" s="1012" t="str">
        <f>D42</f>
      </c>
      <c r="AC14" s="1012" t="str">
        <f>D48</f>
      </c>
      <c r="AD14" s="1012" t="str">
        <f>D54</f>
      </c>
      <c r="AE14" s="1012" t="str">
        <f>D60</f>
      </c>
      <c r="AF14" s="1012" t="str">
        <f>D66</f>
      </c>
      <c r="AG14" s="281"/>
      <c r="AH14" s="281"/>
      <c r="AI14" s="281"/>
      <c r="AJ14" s="281"/>
      <c r="AK14" s="281"/>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2" t="str">
        <f>F18</f>
      </c>
      <c r="Y15" s="1012" t="str">
        <f>F24</f>
      </c>
      <c r="Z15" s="1012" t="str">
        <f>F30</f>
      </c>
      <c r="AA15" s="1012" t="str">
        <f>F36</f>
      </c>
      <c r="AB15" s="1012" t="str">
        <f>F42</f>
      </c>
      <c r="AC15" s="1012" t="str">
        <f>F48</f>
      </c>
      <c r="AD15" s="1012" t="str">
        <f>F54</f>
      </c>
      <c r="AE15" s="1012" t="str">
        <f>F60</f>
      </c>
      <c r="AF15" s="1012" t="str">
        <f>F66</f>
      </c>
      <c r="AG15" s="281"/>
      <c r="AH15" s="281"/>
      <c r="AI15" s="281"/>
      <c r="AJ15" s="281"/>
      <c r="AK15" s="281"/>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2" t="str">
        <f>J18</f>
      </c>
      <c r="Y16" s="1012" t="str">
        <f>J24</f>
      </c>
      <c r="Z16" s="1012" t="str">
        <f>J30</f>
      </c>
      <c r="AA16" s="1012" t="str">
        <f>J36</f>
      </c>
      <c r="AB16" s="1012" t="str">
        <f>J42</f>
      </c>
      <c r="AC16" s="1012" t="str">
        <f>J48</f>
      </c>
      <c r="AD16" s="1012" t="str">
        <f>J54</f>
      </c>
      <c r="AE16" s="1012" t="str">
        <f>J60</f>
      </c>
      <c r="AF16" s="1012" t="str">
        <f>J66</f>
      </c>
      <c r="AG16" s="281"/>
      <c r="AH16" s="281"/>
      <c r="AI16" s="281"/>
      <c r="AJ16" s="281"/>
      <c r="AK16" s="281"/>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2" t="str">
        <f>L18</f>
      </c>
      <c r="Y17" s="1012" t="str">
        <f>L24</f>
      </c>
      <c r="Z17" s="1012" t="str">
        <f>L30</f>
      </c>
      <c r="AA17" s="1012" t="str">
        <f>L36</f>
      </c>
      <c r="AB17" s="1012" t="str">
        <f>L42</f>
      </c>
      <c r="AC17" s="1012" t="str">
        <f>L48</f>
      </c>
      <c r="AD17" s="1012" t="str">
        <f>L54</f>
      </c>
      <c r="AE17" s="1012" t="str">
        <f>L60</f>
      </c>
      <c r="AF17" s="1012" t="str">
        <f>L66</f>
      </c>
      <c r="AG17" s="281"/>
      <c r="AH17" s="281"/>
      <c r="AI17" s="281"/>
      <c r="AJ17" s="281"/>
      <c r="AK17" s="281"/>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row>
    <row r="18" s="2" customFormat="1" ht="15.95" customHeight="1">
      <c r="B18" s="300" t="s">
        <v>43</v>
      </c>
      <c r="C18" s="303" t="s">
        <v>42</v>
      </c>
      <c r="D18" s="307">
        <v>26.913580246913580246913580250</v>
      </c>
      <c r="E18" s="308">
        <v>-23.239436619802097798055849810</v>
      </c>
      <c r="F18" s="308">
        <v>24.262820512820512820512820510</v>
      </c>
      <c r="G18" s="308">
        <v>-19.894179894281615856218901660</v>
      </c>
      <c r="H18" s="308">
        <v>110.92519203492914464104719291</v>
      </c>
      <c r="I18" s="309">
        <v>-4.1760470349875130575732751900</v>
      </c>
      <c r="J18" s="317">
        <v>112.35027522935779816513761454</v>
      </c>
      <c r="K18" s="308">
        <v>-14.062634558368745911678047810</v>
      </c>
      <c r="L18" s="318">
        <v>112.12158140968520690115340501</v>
      </c>
      <c r="M18" s="308">
        <v>4.6851198467538245972308535500</v>
      </c>
      <c r="N18" s="308">
        <v>100.20396949167362807500079785</v>
      </c>
      <c r="O18" s="309">
        <v>-17.908709884047761626867471090</v>
      </c>
      <c r="P18" s="317">
        <v>30.237481481481481481481481444</v>
      </c>
      <c r="Q18" s="308">
        <v>-34.033994132789706841825982150</v>
      </c>
      <c r="R18" s="318">
        <v>27.203858053567853084670874228</v>
      </c>
      <c r="S18" s="308">
        <v>-16.141126217916418272563429530</v>
      </c>
      <c r="T18" s="308">
        <v>111.15144558505013019805724489</v>
      </c>
      <c r="U18" s="309">
        <v>-21.336880771295909272464301650</v>
      </c>
      <c r="W18" s="281"/>
      <c r="X18" s="1012"/>
      <c r="Y18" s="1012"/>
      <c r="Z18" s="1012"/>
      <c r="AA18" s="1012"/>
      <c r="AB18" s="1012"/>
      <c r="AC18" s="1012"/>
      <c r="AD18" s="1012"/>
      <c r="AE18" s="1012"/>
      <c r="AF18" s="1012"/>
      <c r="AG18" s="281"/>
      <c r="AH18" s="281"/>
      <c r="AI18" s="281"/>
      <c r="AJ18" s="281"/>
      <c r="AK18" s="281"/>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row>
    <row r="19" s="2" customFormat="1" ht="15.95" customHeight="1">
      <c r="B19" s="301"/>
      <c r="C19" s="304" t="s">
        <v>58</v>
      </c>
      <c r="D19" s="310">
        <v>37.559354226020892687559354230</v>
      </c>
      <c r="E19" s="134">
        <v>-2.1039603960267611631212609300</v>
      </c>
      <c r="F19" s="134">
        <v>27.983234714003944773175542410</v>
      </c>
      <c r="G19" s="134">
        <v>-7.2969194817854699338538105600</v>
      </c>
      <c r="H19" s="134">
        <v>134.22091695221340624445206599</v>
      </c>
      <c r="I19" s="311">
        <v>5.6017114606212349200239067900</v>
      </c>
      <c r="J19" s="319">
        <v>115.28500632111251580278128953</v>
      </c>
      <c r="K19" s="134">
        <v>-1.1488504782007485929965981700</v>
      </c>
      <c r="L19" s="135">
        <v>114.83471893958389864633557138</v>
      </c>
      <c r="M19" s="134">
        <v>10.090808685596998119766550630</v>
      </c>
      <c r="N19" s="134">
        <v>100.39211780694073449874814704</v>
      </c>
      <c r="O19" s="311">
        <v>-10.209443729296910216089173320</v>
      </c>
      <c r="P19" s="319">
        <v>43.300303893637226970560303903</v>
      </c>
      <c r="Q19" s="134">
        <v>-3.2286395153019776371434558700</v>
      </c>
      <c r="R19" s="135">
        <v>32.13446893403050418234488992</v>
      </c>
      <c r="S19" s="134">
        <v>2.0575710187981958242037532900</v>
      </c>
      <c r="T19" s="134">
        <v>134.74722106834997919421444360</v>
      </c>
      <c r="U19" s="311">
        <v>-5.1796358478251857142566736500</v>
      </c>
      <c r="W19" s="281"/>
      <c r="X19" s="281"/>
      <c r="Y19" s="281"/>
      <c r="Z19" s="281"/>
      <c r="AA19" s="281"/>
      <c r="AB19" s="281"/>
      <c r="AC19" s="281"/>
      <c r="AD19" s="281"/>
      <c r="AE19" s="281"/>
      <c r="AF19" s="281"/>
      <c r="AG19" s="281"/>
      <c r="AH19" s="281"/>
      <c r="AI19" s="281"/>
      <c r="AJ19" s="281"/>
      <c r="AK19" s="281"/>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row>
    <row r="20" s="2" customFormat="1" ht="15.95" customHeight="1">
      <c r="B20" s="301"/>
      <c r="C20" s="305" t="s">
        <v>44</v>
      </c>
      <c r="D20" s="312">
        <v>37.511870845204178537511870850</v>
      </c>
      <c r="E20" s="159">
        <v>1.0230179027329458860159848100</v>
      </c>
      <c r="F20" s="159">
        <v>32.593688362919132149901380670</v>
      </c>
      <c r="G20" s="159">
        <v>-5.0287356321315101070154288800</v>
      </c>
      <c r="H20" s="159">
        <v>115.08937076266070915269286905</v>
      </c>
      <c r="I20" s="313">
        <v>6.3721943424918313160638079900</v>
      </c>
      <c r="J20" s="320">
        <v>117.61177215189873417721518986</v>
      </c>
      <c r="K20" s="159">
        <v>-6.9318658060674937831238325800</v>
      </c>
      <c r="L20" s="160">
        <v>117.61791299400346824734226163</v>
      </c>
      <c r="M20" s="159">
        <v>9.359032085328628916517100990</v>
      </c>
      <c r="N20" s="159">
        <v>99.99477899076344001841028778</v>
      </c>
      <c r="O20" s="313">
        <v>-14.896710020905978612416004070</v>
      </c>
      <c r="P20" s="320">
        <v>44.118376068376068376068376064</v>
      </c>
      <c r="Q20" s="159">
        <v>-5.9797621314654322871883889500</v>
      </c>
      <c r="R20" s="160">
        <v>38.336016020234858240381279555</v>
      </c>
      <c r="S20" s="159">
        <v>3.8596554718822341475579890700</v>
      </c>
      <c r="T20" s="159">
        <v>115.08336193601658885209413810</v>
      </c>
      <c r="U20" s="313">
        <v>-9.473762991604505820348140980</v>
      </c>
      <c r="W20" s="281"/>
      <c r="X20" s="281"/>
      <c r="Y20" s="281"/>
      <c r="Z20" s="281"/>
      <c r="AA20" s="281"/>
      <c r="AB20" s="281"/>
      <c r="AC20" s="281"/>
      <c r="AD20" s="281"/>
      <c r="AE20" s="281"/>
      <c r="AF20" s="281"/>
      <c r="AG20" s="281"/>
      <c r="AH20" s="281"/>
      <c r="AI20" s="281"/>
      <c r="AJ20" s="281"/>
      <c r="AK20" s="281"/>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row>
    <row r="21" s="2" customFormat="1" ht="15.95" customHeight="1">
      <c r="B21" s="302"/>
      <c r="C21" s="306" t="s">
        <v>45</v>
      </c>
      <c r="D21" s="314">
        <v>38.437796771130104463437796770</v>
      </c>
      <c r="E21" s="315">
        <v>-0.5943002779681488884173872200</v>
      </c>
      <c r="F21" s="315">
        <v>27.071005917159763313609467460</v>
      </c>
      <c r="G21" s="315">
        <v>-17.793482307394240806949982180</v>
      </c>
      <c r="H21" s="315">
        <v>141.98880118713294898011502981</v>
      </c>
      <c r="I21" s="316">
        <v>20.921920198030924987277330420</v>
      </c>
      <c r="J21" s="321">
        <v>113.86245830759728227300802967</v>
      </c>
      <c r="K21" s="315">
        <v>-2.5158733080776893343033343700</v>
      </c>
      <c r="L21" s="322">
        <v>111.32010535133016507433561561</v>
      </c>
      <c r="M21" s="315">
        <v>8.449126539382010797412607380</v>
      </c>
      <c r="N21" s="315">
        <v>102.28382191004420621326465084</v>
      </c>
      <c r="O21" s="316">
        <v>-10.110731360695455288214115400</v>
      </c>
      <c r="P21" s="321">
        <v>43.766220322886989553656220332</v>
      </c>
      <c r="Q21" s="315">
        <v>-3.0952217440440892013507220700</v>
      </c>
      <c r="R21" s="322">
        <v>30.135472306647071314502097125</v>
      </c>
      <c r="S21" s="315">
        <v>-10.847749603838792457999055870</v>
      </c>
      <c r="T21" s="315">
        <v>145.23157253885715859874427077</v>
      </c>
      <c r="U21" s="316">
        <v>8.695829690752421790834184800</v>
      </c>
      <c r="W21" s="281"/>
      <c r="X21" s="281"/>
      <c r="Y21" s="281"/>
      <c r="Z21" s="281"/>
      <c r="AA21" s="281"/>
      <c r="AB21" s="281"/>
      <c r="AC21" s="281"/>
      <c r="AD21" s="281"/>
      <c r="AE21" s="281"/>
      <c r="AF21" s="281"/>
      <c r="AG21" s="281"/>
      <c r="AH21" s="281"/>
      <c r="AI21" s="281"/>
      <c r="AJ21" s="281"/>
      <c r="AK21" s="281"/>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row>
    <row r="24" s="2" customFormat="1" ht="15.95" customHeight="1">
      <c r="B24" s="323" t="s">
        <v>46</v>
      </c>
      <c r="C24" s="303" t="s">
        <v>42</v>
      </c>
      <c r="D24" s="307">
        <v>53.580246913580246913580246910</v>
      </c>
      <c r="E24" s="308">
        <v>-16.135265700497676958622135680</v>
      </c>
      <c r="F24" s="308">
        <v>34.294871794871794871794871790</v>
      </c>
      <c r="G24" s="308">
        <v>-24.180690876929474573625014760</v>
      </c>
      <c r="H24" s="308">
        <v>156.23399100021764902643941947</v>
      </c>
      <c r="I24" s="309">
        <v>10.611314280542369077798872250</v>
      </c>
      <c r="J24" s="317">
        <v>122.69963133640552995391705068</v>
      </c>
      <c r="K24" s="308">
        <v>-10.223716999885157446005064320</v>
      </c>
      <c r="L24" s="318">
        <v>119.42388237602069415348960777</v>
      </c>
      <c r="M24" s="308">
        <v>-2.1257311215709553699811974700</v>
      </c>
      <c r="N24" s="308">
        <v>102.74295969552555786014471806</v>
      </c>
      <c r="O24" s="309">
        <v>-8.273866023364854752522106440</v>
      </c>
      <c r="P24" s="317">
        <v>65.742765432098765432098765427</v>
      </c>
      <c r="Q24" s="308">
        <v>-24.709358797980901021115877090</v>
      </c>
      <c r="R24" s="318">
        <v>40.956267353314789341100602663</v>
      </c>
      <c r="S24" s="308">
        <v>-25.792405527108059093103181470</v>
      </c>
      <c r="T24" s="308">
        <v>160.51942640422681087113101060</v>
      </c>
      <c r="U24" s="309">
        <v>1.4594823304283825290677690500</v>
      </c>
      <c r="W24" s="281"/>
      <c r="X24" s="281"/>
      <c r="Y24" s="281"/>
      <c r="Z24" s="281"/>
      <c r="AA24" s="281"/>
      <c r="AB24" s="281"/>
      <c r="AC24" s="281"/>
      <c r="AD24" s="281"/>
      <c r="AE24" s="281"/>
      <c r="AF24" s="281"/>
      <c r="AG24" s="281"/>
      <c r="AH24" s="281"/>
      <c r="AI24" s="281"/>
      <c r="AJ24" s="281"/>
      <c r="AK24" s="281"/>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row>
    <row r="25" s="2" customFormat="1" ht="15.95" customHeight="1">
      <c r="B25" s="324"/>
      <c r="C25" s="304" t="s">
        <v>58</v>
      </c>
      <c r="D25" s="310">
        <v>63.532763532763532763532763530</v>
      </c>
      <c r="E25" s="134">
        <v>2.9230769231242676923077140800</v>
      </c>
      <c r="F25" s="134">
        <v>39.201183431952662721893491120</v>
      </c>
      <c r="G25" s="134">
        <v>4.7766686165812792429112091300</v>
      </c>
      <c r="H25" s="134">
        <v>162.06848357772183484303123456</v>
      </c>
      <c r="I25" s="311">
        <v>-1.7690882122104065947616268700</v>
      </c>
      <c r="J25" s="319">
        <v>121.42579222720478325859491781</v>
      </c>
      <c r="K25" s="134">
        <v>-4.3932109399728291914163825300</v>
      </c>
      <c r="L25" s="135">
        <v>119.63849089316886071209049478</v>
      </c>
      <c r="M25" s="134">
        <v>6.2927192387190665159759953100</v>
      </c>
      <c r="N25" s="134">
        <v>101.49391832065174411557145144</v>
      </c>
      <c r="O25" s="311">
        <v>-10.053303984741417408039595830</v>
      </c>
      <c r="P25" s="319">
        <v>77.145161443494776828110161458</v>
      </c>
      <c r="Q25" s="134">
        <v>-1.5985509521123791173687811100</v>
      </c>
      <c r="R25" s="135">
        <v>46.89970427025110664009464662</v>
      </c>
      <c r="S25" s="134">
        <v>11.369970200250054154326433490</v>
      </c>
      <c r="T25" s="134">
        <v>164.48965434596184472928719370</v>
      </c>
      <c r="U25" s="311">
        <v>-11.64454038114689455549515400</v>
      </c>
      <c r="W25" s="281"/>
      <c r="X25" s="281"/>
      <c r="Y25" s="281"/>
      <c r="Z25" s="281"/>
      <c r="AA25" s="281"/>
      <c r="AB25" s="281"/>
      <c r="AC25" s="281"/>
      <c r="AD25" s="281"/>
      <c r="AE25" s="281"/>
      <c r="AF25" s="281"/>
      <c r="AG25" s="281"/>
      <c r="AH25" s="281"/>
      <c r="AI25" s="281"/>
      <c r="AJ25" s="281"/>
      <c r="AK25" s="281"/>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row>
    <row r="26" s="2" customFormat="1" ht="15.95" customHeight="1">
      <c r="B26" s="324"/>
      <c r="C26" s="305" t="s">
        <v>44</v>
      </c>
      <c r="D26" s="312">
        <v>62.203228869895536562203228870</v>
      </c>
      <c r="E26" s="159">
        <v>-0.1524390243438208748512574200</v>
      </c>
      <c r="F26" s="159">
        <v>41.617357001972386587771203160</v>
      </c>
      <c r="G26" s="159">
        <v>-0.2953337270923194739884738700</v>
      </c>
      <c r="H26" s="159">
        <v>149.46463050718536487566839377</v>
      </c>
      <c r="I26" s="313">
        <v>0.1433179689085751661508004200</v>
      </c>
      <c r="J26" s="320">
        <v>123.80305343511450381679389313</v>
      </c>
      <c r="K26" s="159">
        <v>-6.7256006104579386827371101500</v>
      </c>
      <c r="L26" s="160">
        <v>121.70288452947429231782372473</v>
      </c>
      <c r="M26" s="159">
        <v>4.3309445565622170612322326700</v>
      </c>
      <c r="N26" s="159">
        <v>101.72565252971094232407381038</v>
      </c>
      <c r="O26" s="313">
        <v>-10.597570274101859373402017440</v>
      </c>
      <c r="P26" s="320">
        <v>77.009496676163342830009496676</v>
      </c>
      <c r="Q26" s="159">
        <v>-6.8677871948596303272125488900</v>
      </c>
      <c r="R26" s="160">
        <v>50.64952393632953782852229964</v>
      </c>
      <c r="S26" s="159">
        <v>4.0228200895404947191176883900</v>
      </c>
      <c r="T26" s="159">
        <v>152.04387068477738992416334270</v>
      </c>
      <c r="U26" s="313">
        <v>-10.469440527589038855291573520</v>
      </c>
      <c r="W26" s="281"/>
      <c r="X26" s="281"/>
      <c r="Y26" s="281"/>
      <c r="Z26" s="281"/>
      <c r="AA26" s="281"/>
      <c r="AB26" s="281"/>
      <c r="AC26" s="281"/>
      <c r="AD26" s="281"/>
      <c r="AE26" s="281"/>
      <c r="AF26" s="281"/>
      <c r="AG26" s="281"/>
      <c r="AH26" s="281"/>
      <c r="AI26" s="281"/>
      <c r="AJ26" s="281"/>
      <c r="AK26" s="281"/>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row>
    <row r="27" s="2" customFormat="1" ht="15.95" customHeight="1">
      <c r="B27" s="325"/>
      <c r="C27" s="306" t="s">
        <v>45</v>
      </c>
      <c r="D27" s="314">
        <v>64.873049149778709527137200090</v>
      </c>
      <c r="E27" s="315">
        <v>9.385621704866783938805669170</v>
      </c>
      <c r="F27" s="315">
        <v>36.871069182389937106918238990</v>
      </c>
      <c r="G27" s="315">
        <v>-8.511505907202082317068123910</v>
      </c>
      <c r="H27" s="315">
        <v>175.94566848293389653081599782</v>
      </c>
      <c r="I27" s="316">
        <v>19.562162203583548134105250680</v>
      </c>
      <c r="J27" s="321">
        <v>120.63983123877917414721723517</v>
      </c>
      <c r="K27" s="315">
        <v>-3.0428057251514018475487122900</v>
      </c>
      <c r="L27" s="322">
        <v>116.06646968635701378269427962</v>
      </c>
      <c r="M27" s="315">
        <v>8.00387768971102948794620200</v>
      </c>
      <c r="N27" s="315">
        <v>103.94029521595335840268681138</v>
      </c>
      <c r="O27" s="316">
        <v>-10.228043336150036602970377450</v>
      </c>
      <c r="P27" s="321">
        <v>78.262737013743303051479152094</v>
      </c>
      <c r="Q27" s="315">
        <v>6.0572297452139571769252015900</v>
      </c>
      <c r="R27" s="322">
        <v>42.794948335614339201323598382</v>
      </c>
      <c r="S27" s="315">
        <v>-1.1888787399926310632604901200</v>
      </c>
      <c r="T27" s="315">
        <v>182.87844724102301540500975114</v>
      </c>
      <c r="U27" s="316">
        <v>7.3332924399894762403978947700</v>
      </c>
      <c r="W27" s="281"/>
      <c r="X27" s="281"/>
      <c r="Y27" s="281"/>
      <c r="Z27" s="281"/>
      <c r="AA27" s="281"/>
      <c r="AB27" s="281"/>
      <c r="AC27" s="281"/>
      <c r="AD27" s="281"/>
      <c r="AE27" s="281"/>
      <c r="AF27" s="281"/>
      <c r="AG27" s="281"/>
      <c r="AH27" s="281"/>
      <c r="AI27" s="281"/>
      <c r="AJ27" s="281"/>
      <c r="AK27" s="281"/>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row>
    <row r="28" s="2" customFormat="1" ht="5.1" customHeight="1">
      <c r="B28" s="5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row>
    <row r="29" s="9" customFormat="1" ht="5.1" customHeight="1">
      <c r="B29" s="5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row>
    <row r="30" s="2" customFormat="1" ht="15.95" customHeight="1">
      <c r="B30" s="323" t="s">
        <v>47</v>
      </c>
      <c r="C30" s="303" t="s">
        <v>42</v>
      </c>
      <c r="D30" s="307">
        <v>62.345679012345679012345679010</v>
      </c>
      <c r="E30" s="308">
        <v>-0.9803921569209919261822033400</v>
      </c>
      <c r="F30" s="308">
        <v>38.782051282051282051282051280</v>
      </c>
      <c r="G30" s="308">
        <v>-15.532286212985243460065911140</v>
      </c>
      <c r="H30" s="308">
        <v>160.75910621344972287361493796</v>
      </c>
      <c r="I30" s="308">
        <v>17.227758872060605596821198660</v>
      </c>
      <c r="J30" s="317">
        <v>126.84910891089108910891089108</v>
      </c>
      <c r="K30" s="308">
        <v>-6.398000225600751926961371600</v>
      </c>
      <c r="L30" s="318">
        <v>122.1769872969592088199359057</v>
      </c>
      <c r="M30" s="308">
        <v>1.8045651832562164766113682500</v>
      </c>
      <c r="N30" s="308">
        <v>103.82406025656339859397383671</v>
      </c>
      <c r="O30" s="309">
        <v>-8.057168550520593226998478800</v>
      </c>
      <c r="P30" s="317">
        <v>79.084938271604938271604938269</v>
      </c>
      <c r="Q30" s="308">
        <v>-7.3156668900596695629901196400</v>
      </c>
      <c r="R30" s="318">
        <v>47.382741868372000856449501891</v>
      </c>
      <c r="S30" s="308">
        <v>-14.008011258847614807911799060</v>
      </c>
      <c r="T30" s="308">
        <v>166.90663130313156015016199659</v>
      </c>
      <c r="U30" s="309">
        <v>7.7825207518217152927231687800</v>
      </c>
      <c r="W30" s="281"/>
      <c r="X30" s="281"/>
      <c r="Y30" s="281"/>
      <c r="Z30" s="281"/>
      <c r="AA30" s="281"/>
      <c r="AB30" s="281"/>
      <c r="AC30" s="281"/>
      <c r="AD30" s="281"/>
      <c r="AE30" s="281"/>
      <c r="AF30" s="281"/>
      <c r="AG30" s="281"/>
      <c r="AH30" s="281"/>
      <c r="AI30" s="281"/>
      <c r="AJ30" s="281"/>
      <c r="AK30" s="281"/>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row>
    <row r="31" s="2" customFormat="1" ht="15.95" customHeight="1">
      <c r="B31" s="324"/>
      <c r="C31" s="304" t="s">
        <v>58</v>
      </c>
      <c r="D31" s="310">
        <v>66.962962962962962962962962960</v>
      </c>
      <c r="E31" s="134">
        <v>-5.0343434343158079706152353100</v>
      </c>
      <c r="F31" s="134">
        <v>41.980769230769230769230769230</v>
      </c>
      <c r="G31" s="134">
        <v>-3.0182344133196583033255330900</v>
      </c>
      <c r="H31" s="134">
        <v>159.50866120345954812161331751</v>
      </c>
      <c r="I31" s="134">
        <v>-2.0788536988226085546872340100</v>
      </c>
      <c r="J31" s="319">
        <v>127.42356194690265486725663718</v>
      </c>
      <c r="K31" s="134">
        <v>-1.773929230894058089026872200</v>
      </c>
      <c r="L31" s="135">
        <v>119.75298561849706449712844765</v>
      </c>
      <c r="M31" s="134">
        <v>5.3886157477098699673542367300</v>
      </c>
      <c r="N31" s="134">
        <v>106.40533201638829825068244645</v>
      </c>
      <c r="O31" s="311">
        <v>-6.7963175413211067652402725600</v>
      </c>
      <c r="P31" s="319">
        <v>85.3265925925925925925925926</v>
      </c>
      <c r="Q31" s="134">
        <v>-6.718966975456389665977907700</v>
      </c>
      <c r="R31" s="135">
        <v>50.273224539457517653313731002</v>
      </c>
      <c r="S31" s="134">
        <v>2.2077402793620482917083146100</v>
      </c>
      <c r="T31" s="134">
        <v>169.72572054842221822466513243</v>
      </c>
      <c r="U31" s="311">
        <v>-8.733885741428926258527440240</v>
      </c>
      <c r="W31" s="281"/>
      <c r="X31" s="281"/>
      <c r="Y31" s="281"/>
      <c r="Z31" s="281"/>
      <c r="AA31" s="281"/>
      <c r="AB31" s="281"/>
      <c r="AC31" s="281"/>
      <c r="AD31" s="281"/>
      <c r="AE31" s="281"/>
      <c r="AF31" s="281"/>
      <c r="AG31" s="281"/>
      <c r="AH31" s="281"/>
      <c r="AI31" s="281"/>
      <c r="AJ31" s="281"/>
      <c r="AK31" s="281"/>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row>
    <row r="32" s="2" customFormat="1" ht="15.95" customHeight="1">
      <c r="B32" s="324"/>
      <c r="C32" s="305" t="s">
        <v>44</v>
      </c>
      <c r="D32" s="312">
        <v>68.281101614434947768281101610</v>
      </c>
      <c r="E32" s="159">
        <v>3.9017341040974429065455162200</v>
      </c>
      <c r="F32" s="159">
        <v>45.081360946745562130177514790</v>
      </c>
      <c r="G32" s="159">
        <v>-2.427961579423682954637275800</v>
      </c>
      <c r="H32" s="159">
        <v>151.46193500050754706263554065</v>
      </c>
      <c r="I32" s="159">
        <v>6.4872024670844108643872207500</v>
      </c>
      <c r="J32" s="320">
        <v>132.14802503477051460361613356</v>
      </c>
      <c r="K32" s="159">
        <v>-3.7651819645326706088083616800</v>
      </c>
      <c r="L32" s="160">
        <v>122.01522695083460174266271594</v>
      </c>
      <c r="M32" s="159">
        <v>3.4295681723698381688497533200</v>
      </c>
      <c r="N32" s="159">
        <v>108.30453570197131721025771777</v>
      </c>
      <c r="O32" s="313">
        <v>-6.9561830954315798145515610900</v>
      </c>
      <c r="P32" s="320">
        <v>90.23212725546058879392212728</v>
      </c>
      <c r="Q32" s="159">
        <v>-0.0103552492372744140985847700</v>
      </c>
      <c r="R32" s="160">
        <v>55.006124871696516096266956631</v>
      </c>
      <c r="S32" s="159">
        <v>0.9183379952383245439260063600</v>
      </c>
      <c r="T32" s="159">
        <v>164.04014546729858798173151746</v>
      </c>
      <c r="U32" s="313">
        <v>-0.9202423097174799628696552100</v>
      </c>
      <c r="W32" s="281"/>
      <c r="X32" s="281"/>
      <c r="Y32" s="281"/>
      <c r="Z32" s="281"/>
      <c r="AA32" s="281"/>
      <c r="AB32" s="281"/>
      <c r="AC32" s="281"/>
      <c r="AD32" s="281"/>
      <c r="AE32" s="281"/>
      <c r="AF32" s="281"/>
      <c r="AG32" s="281"/>
      <c r="AH32" s="281"/>
      <c r="AI32" s="281"/>
      <c r="AJ32" s="281"/>
      <c r="AK32" s="281"/>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row>
    <row r="33" s="2" customFormat="1" ht="15.95" customHeight="1">
      <c r="B33" s="325"/>
      <c r="C33" s="306" t="s">
        <v>45</v>
      </c>
      <c r="D33" s="314">
        <v>67.355175688509021842355175690</v>
      </c>
      <c r="E33" s="315">
        <v>-0.6652661064897401607701680300</v>
      </c>
      <c r="F33" s="315">
        <v>40.766765285996055226824457590</v>
      </c>
      <c r="G33" s="315">
        <v>-10.573188786509374250697602210</v>
      </c>
      <c r="H33" s="315">
        <v>165.22079987454862852410805251</v>
      </c>
      <c r="I33" s="315">
        <v>11.079364841042368872700418900</v>
      </c>
      <c r="J33" s="321">
        <v>126.29267183644695100458230524</v>
      </c>
      <c r="K33" s="315">
        <v>-0.6179978429070969694927641400</v>
      </c>
      <c r="L33" s="322">
        <v>118.31420637257671577463364671</v>
      </c>
      <c r="M33" s="315">
        <v>7.6457825539895227239402080500</v>
      </c>
      <c r="N33" s="315">
        <v>106.74345516777658724214972222</v>
      </c>
      <c r="O33" s="316">
        <v>-7.67682690473468482508521200</v>
      </c>
      <c r="P33" s="321">
        <v>85.06465099715099715099715099</v>
      </c>
      <c r="Q33" s="315">
        <v>-1.2791526191596555743041109100</v>
      </c>
      <c r="R33" s="322">
        <v>48.232874811897337163056394191</v>
      </c>
      <c r="S33" s="315">
        <v>-3.7358092561824686096933099200</v>
      </c>
      <c r="T33" s="315">
        <v>176.36239044197272829444202302</v>
      </c>
      <c r="U33" s="316">
        <v>2.5519942754118138150421817100</v>
      </c>
      <c r="W33" s="281"/>
      <c r="X33" s="281"/>
      <c r="Y33" s="281"/>
      <c r="Z33" s="281"/>
      <c r="AA33" s="281"/>
      <c r="AB33" s="281"/>
      <c r="AC33" s="281"/>
      <c r="AD33" s="281"/>
      <c r="AE33" s="281"/>
      <c r="AF33" s="281"/>
      <c r="AG33" s="281"/>
      <c r="AH33" s="281"/>
      <c r="AI33" s="281"/>
      <c r="AJ33" s="281"/>
      <c r="AK33" s="281"/>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row>
    <row r="34" s="2" customFormat="1" ht="5.1" customHeight="1">
      <c r="B34" s="5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row>
    <row r="35" s="9" customFormat="1" ht="5.1" customHeight="1">
      <c r="B35" s="5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row>
    <row r="36" s="2" customFormat="1" ht="15.95" customHeight="1">
      <c r="B36" s="323" t="s">
        <v>48</v>
      </c>
      <c r="C36" s="303" t="s">
        <v>42</v>
      </c>
      <c r="D36" s="307">
        <v>59.259259259259259259259259260</v>
      </c>
      <c r="E36" s="308">
        <v>-12.727272727271140495867768570</v>
      </c>
      <c r="F36" s="308">
        <v>38.782051282051282051282051280</v>
      </c>
      <c r="G36" s="308">
        <v>-20.720720720770586803019204090</v>
      </c>
      <c r="H36" s="308">
        <v>152.80073461872448906799043609</v>
      </c>
      <c r="I36" s="308">
        <v>10.082644628044534850104948490</v>
      </c>
      <c r="J36" s="317">
        <v>122.66234375000000000000000006</v>
      </c>
      <c r="K36" s="308">
        <v>-12.028068039603108291766325840</v>
      </c>
      <c r="L36" s="318">
        <v>118.42257422724030652753284985</v>
      </c>
      <c r="M36" s="308">
        <v>-0.460020154674017700172312700</v>
      </c>
      <c r="N36" s="308">
        <v>103.58020381710819503680960434</v>
      </c>
      <c r="O36" s="309">
        <v>-11.621509169365496856987948650</v>
      </c>
      <c r="P36" s="317">
        <v>72.688796296296296296296296333</v>
      </c>
      <c r="Q36" s="308">
        <v>-23.224495743625589988069536090</v>
      </c>
      <c r="R36" s="318">
        <v>45.926703466333580416126521895</v>
      </c>
      <c r="S36" s="308">
        <v>-21.085421383834858953260270110</v>
      </c>
      <c r="T36" s="308">
        <v>158.27131235237410096077626899</v>
      </c>
      <c r="U36" s="309">
        <v>-2.7106200112563702247183746500</v>
      </c>
      <c r="W36" s="281"/>
      <c r="X36" s="281"/>
      <c r="Y36" s="281"/>
      <c r="Z36" s="281"/>
      <c r="AA36" s="281"/>
      <c r="AB36" s="281"/>
      <c r="AC36" s="281"/>
      <c r="AD36" s="281"/>
      <c r="AE36" s="281"/>
      <c r="AF36" s="281"/>
      <c r="AG36" s="281"/>
      <c r="AH36" s="281"/>
      <c r="AI36" s="281"/>
      <c r="AJ36" s="281"/>
      <c r="AK36" s="281"/>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row>
    <row r="37" s="2" customFormat="1" ht="15.95" customHeight="1">
      <c r="B37" s="324"/>
      <c r="C37" s="304" t="s">
        <v>58</v>
      </c>
      <c r="D37" s="310">
        <v>65.289648622981956315289648620</v>
      </c>
      <c r="E37" s="134">
        <v>-9.360580092343573536396306560</v>
      </c>
      <c r="F37" s="134">
        <v>41.303007889546351084812623270</v>
      </c>
      <c r="G37" s="134">
        <v>-6.3268441273241999440473124700</v>
      </c>
      <c r="H37" s="134">
        <v>158.07480365026831544287558229</v>
      </c>
      <c r="I37" s="134">
        <v>-3.2386396471933641731115656600</v>
      </c>
      <c r="J37" s="319">
        <v>125.69113454545454545454545455</v>
      </c>
      <c r="K37" s="134">
        <v>-3.7474166790838241445365320200</v>
      </c>
      <c r="L37" s="135">
        <v>118.77284812011175992138299418</v>
      </c>
      <c r="M37" s="134">
        <v>5.684216026051307188559889400</v>
      </c>
      <c r="N37" s="134">
        <v>105.82480468798639485707524192</v>
      </c>
      <c r="O37" s="311">
        <v>-8.924353190794967753077306480</v>
      </c>
      <c r="P37" s="319">
        <v>82.0633000949667616334283001</v>
      </c>
      <c r="Q37" s="134">
        <v>-12.757216831762481395888720620</v>
      </c>
      <c r="R37" s="135">
        <v>49.056758829688665140112638314</v>
      </c>
      <c r="S37" s="134">
        <v>-1.0022595893042114437425022700</v>
      </c>
      <c r="T37" s="134">
        <v>167.28235222357149087278788445</v>
      </c>
      <c r="U37" s="311">
        <v>-11.873965197292715868230370710</v>
      </c>
      <c r="W37" s="281"/>
      <c r="X37" s="281"/>
      <c r="Y37" s="281"/>
      <c r="Z37" s="281"/>
      <c r="AA37" s="281"/>
      <c r="AB37" s="281"/>
      <c r="AC37" s="281"/>
      <c r="AD37" s="281"/>
      <c r="AE37" s="281"/>
      <c r="AF37" s="281"/>
      <c r="AG37" s="281"/>
      <c r="AH37" s="281"/>
      <c r="AI37" s="281"/>
      <c r="AJ37" s="281"/>
      <c r="AK37" s="281"/>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row>
    <row r="38" s="2" customFormat="1" ht="15.95" customHeight="1">
      <c r="B38" s="324"/>
      <c r="C38" s="305" t="s">
        <v>44</v>
      </c>
      <c r="D38" s="312">
        <v>65.052231718898385565052231720</v>
      </c>
      <c r="E38" s="159">
        <v>-8.666666666703565333333318420</v>
      </c>
      <c r="F38" s="159">
        <v>46.042899408284023668639053250</v>
      </c>
      <c r="G38" s="159">
        <v>-5.5864509604829842115647534600</v>
      </c>
      <c r="H38" s="159">
        <v>141.28613218300417587052062391</v>
      </c>
      <c r="I38" s="159">
        <v>-3.2624721107650560145101898900</v>
      </c>
      <c r="J38" s="320">
        <v>127.83570802919708029197080295</v>
      </c>
      <c r="K38" s="159">
        <v>-7.9079357517422849387285414700</v>
      </c>
      <c r="L38" s="160">
        <v>121.22018308632940973176701253</v>
      </c>
      <c r="M38" s="159">
        <v>3.4879687115949087482851497400</v>
      </c>
      <c r="N38" s="159">
        <v>105.45744510069524080001661946</v>
      </c>
      <c r="O38" s="313">
        <v>-11.011815774519043274796469430</v>
      </c>
      <c r="P38" s="320">
        <v>83.15998100664767331433998103</v>
      </c>
      <c r="Q38" s="159">
        <v>-15.889247986610676629957533010</v>
      </c>
      <c r="R38" s="160">
        <v>55.813286960976373933450418121</v>
      </c>
      <c r="S38" s="159">
        <v>-2.2933359106011517291039656800</v>
      </c>
      <c r="T38" s="159">
        <v>148.99674528173981936275946368</v>
      </c>
      <c r="U38" s="313">
        <v>-13.915030466648325543988186840</v>
      </c>
      <c r="W38" s="281"/>
      <c r="X38" s="281"/>
      <c r="Y38" s="281"/>
      <c r="Z38" s="281"/>
      <c r="AA38" s="281"/>
      <c r="AB38" s="281"/>
      <c r="AC38" s="281"/>
      <c r="AD38" s="281"/>
      <c r="AE38" s="281"/>
      <c r="AF38" s="281"/>
      <c r="AG38" s="281"/>
      <c r="AH38" s="281"/>
      <c r="AI38" s="281"/>
      <c r="AJ38" s="281"/>
      <c r="AK38" s="281"/>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row>
    <row r="39" s="2" customFormat="1" ht="15.95" customHeight="1">
      <c r="B39" s="325"/>
      <c r="C39" s="306" t="s">
        <v>45</v>
      </c>
      <c r="D39" s="314">
        <v>68.613485280151946818613485280</v>
      </c>
      <c r="E39" s="315">
        <v>-1.0612803834146156912351606900</v>
      </c>
      <c r="F39" s="315">
        <v>42.218318540433925049309664690</v>
      </c>
      <c r="G39" s="315">
        <v>-11.063114214218634831986955070</v>
      </c>
      <c r="H39" s="315">
        <v>162.52064897964518561021522042</v>
      </c>
      <c r="I39" s="315">
        <v>11.245990617367867162128591220</v>
      </c>
      <c r="J39" s="321">
        <v>125.44620069204152249134948097</v>
      </c>
      <c r="K39" s="315">
        <v>-1.5434338618275291775918702700</v>
      </c>
      <c r="L39" s="322">
        <v>119.25850343329574684731116203</v>
      </c>
      <c r="M39" s="315">
        <v>9.204018655532952409873166900</v>
      </c>
      <c r="N39" s="315">
        <v>105.18847468365409692177360218</v>
      </c>
      <c r="O39" s="316">
        <v>-9.841627304296177521546382070</v>
      </c>
      <c r="P39" s="321">
        <v>86.07301044634377967711301045</v>
      </c>
      <c r="Q39" s="315">
        <v>-2.5883340845029147468555466600</v>
      </c>
      <c r="R39" s="322">
        <v>50.348934866023127344098730544</v>
      </c>
      <c r="S39" s="315">
        <v>-2.8773466548693159534403709300</v>
      </c>
      <c r="T39" s="315">
        <v>170.95299170761166758604257471</v>
      </c>
      <c r="U39" s="316">
        <v>0.2975748298796400389461624500</v>
      </c>
      <c r="W39" s="281"/>
      <c r="X39" s="281"/>
      <c r="Y39" s="281"/>
      <c r="Z39" s="281"/>
      <c r="AA39" s="281"/>
      <c r="AB39" s="281"/>
      <c r="AC39" s="281"/>
      <c r="AD39" s="281"/>
      <c r="AE39" s="281"/>
      <c r="AF39" s="281"/>
      <c r="AG39" s="281"/>
      <c r="AH39" s="281"/>
      <c r="AI39" s="281"/>
      <c r="AJ39" s="281"/>
      <c r="AK39" s="281"/>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row>
    <row r="40" s="2" customFormat="1" ht="5.1" customHeight="1">
      <c r="B40" s="5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row>
    <row r="41" s="9" customFormat="1" ht="5.1" customHeight="1">
      <c r="B41" s="5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row>
    <row r="42" s="2" customFormat="1" ht="15.95" customHeight="1">
      <c r="B42" s="323" t="s">
        <v>49</v>
      </c>
      <c r="C42" s="303" t="s">
        <v>42</v>
      </c>
      <c r="D42" s="307">
        <v>48.148148148148148148148148150</v>
      </c>
      <c r="E42" s="308">
        <v>1.2987012987670770787654331700</v>
      </c>
      <c r="F42" s="308">
        <v>33.854166666666666666666666670</v>
      </c>
      <c r="G42" s="308">
        <v>-0.7050528791078057058742713300</v>
      </c>
      <c r="H42" s="308">
        <v>142.22222222208218803418817207</v>
      </c>
      <c r="I42" s="308">
        <v>2.0179820180154044112731853500</v>
      </c>
      <c r="J42" s="317">
        <v>129.81685897435897435897435901</v>
      </c>
      <c r="K42" s="308">
        <v>7.962104235088488618810555240</v>
      </c>
      <c r="L42" s="318">
        <v>118.80775518508505373334044272</v>
      </c>
      <c r="M42" s="308">
        <v>12.037962371510131626790744610</v>
      </c>
      <c r="N42" s="308">
        <v>109.26631748248001209929760613</v>
      </c>
      <c r="O42" s="309">
        <v>-3.6379259763020995441809213400</v>
      </c>
      <c r="P42" s="317">
        <v>62.504413580246913580246913599</v>
      </c>
      <c r="Q42" s="308">
        <v>9.364209484901919848035637740</v>
      </c>
      <c r="R42" s="318">
        <v>40.221375453284002565974629046</v>
      </c>
      <c r="S42" s="308">
        <v>11.248035492337174338947107370</v>
      </c>
      <c r="T42" s="308">
        <v>155.40098486392931418196253214</v>
      </c>
      <c r="U42" s="309">
        <v>-1.6933566504036890345815188100</v>
      </c>
      <c r="W42" s="281"/>
      <c r="X42" s="281"/>
      <c r="Y42" s="281"/>
      <c r="Z42" s="281"/>
      <c r="AA42" s="281"/>
      <c r="AB42" s="281"/>
      <c r="AC42" s="281"/>
      <c r="AD42" s="281"/>
      <c r="AE42" s="281"/>
      <c r="AF42" s="281"/>
      <c r="AG42" s="281"/>
      <c r="AH42" s="281"/>
      <c r="AI42" s="281"/>
      <c r="AJ42" s="281"/>
      <c r="AK42" s="281"/>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row>
    <row r="43" s="2" customFormat="1" ht="15.95" customHeight="1">
      <c r="B43" s="324"/>
      <c r="C43" s="304" t="s">
        <v>58</v>
      </c>
      <c r="D43" s="310">
        <v>58.214624881291547958214624880</v>
      </c>
      <c r="E43" s="134">
        <v>3.3726812816610728311469847900</v>
      </c>
      <c r="F43" s="134">
        <v>35.330374753451676528599605520</v>
      </c>
      <c r="G43" s="134">
        <v>-2.1386870122637932947257704300</v>
      </c>
      <c r="H43" s="134">
        <v>164.77216923809878929993848213</v>
      </c>
      <c r="I43" s="134">
        <v>5.6318151938382739218367274900</v>
      </c>
      <c r="J43" s="319">
        <v>121.87470636215334420880913539</v>
      </c>
      <c r="K43" s="134">
        <v>-0.1833783440319617121147515800</v>
      </c>
      <c r="L43" s="135">
        <v>116.8499291060414814023392064</v>
      </c>
      <c r="M43" s="134">
        <v>9.278204003483192835385851870</v>
      </c>
      <c r="N43" s="134">
        <v>104.30019709433895786860926552</v>
      </c>
      <c r="O43" s="311">
        <v>-8.65825205834137539151296300</v>
      </c>
      <c r="P43" s="319">
        <v>70.948903133903133903133903129</v>
      </c>
      <c r="Q43" s="134">
        <v>3.18311817050521177532935800</v>
      </c>
      <c r="R43" s="135">
        <v>41.28351785230706184653650956</v>
      </c>
      <c r="S43" s="134">
        <v>6.9410852474456966705914003100</v>
      </c>
      <c r="T43" s="134">
        <v>171.85769727215823218871902359</v>
      </c>
      <c r="U43" s="311">
        <v>-3.5140536195225675079282114100</v>
      </c>
      <c r="W43" s="281"/>
      <c r="X43" s="281"/>
      <c r="Y43" s="281"/>
      <c r="Z43" s="281"/>
      <c r="AA43" s="281"/>
      <c r="AB43" s="281"/>
      <c r="AC43" s="281"/>
      <c r="AD43" s="281"/>
      <c r="AE43" s="281"/>
      <c r="AF43" s="281"/>
      <c r="AG43" s="281"/>
      <c r="AH43" s="281"/>
      <c r="AI43" s="281"/>
      <c r="AJ43" s="281"/>
      <c r="AK43" s="281"/>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row>
    <row r="44" s="2" customFormat="1" ht="15.95" customHeight="1">
      <c r="B44" s="324"/>
      <c r="C44" s="305" t="s">
        <v>44</v>
      </c>
      <c r="D44" s="312">
        <v>55.745489078822412155745489080</v>
      </c>
      <c r="E44" s="159">
        <v>-0.844594594613018740869244200</v>
      </c>
      <c r="F44" s="159">
        <v>39.114891518737672583826429980</v>
      </c>
      <c r="G44" s="159">
        <v>-3.8484848485296026446280783400</v>
      </c>
      <c r="H44" s="159">
        <v>142.51730457227952735271991606</v>
      </c>
      <c r="I44" s="159">
        <v>3.1241216005076413633916463300</v>
      </c>
      <c r="J44" s="320">
        <v>125.73911413969335604770017038</v>
      </c>
      <c r="K44" s="159">
        <v>-3.0770460305259090329891393700</v>
      </c>
      <c r="L44" s="160">
        <v>120.66853672167211682556177696</v>
      </c>
      <c r="M44" s="159">
        <v>9.225803873495206698787703130</v>
      </c>
      <c r="N44" s="159">
        <v>104.20207085935559096841190678</v>
      </c>
      <c r="O44" s="313">
        <v>-11.263684466256233169003716450</v>
      </c>
      <c r="P44" s="320">
        <v>70.093884140550807217473884154</v>
      </c>
      <c r="Q44" s="159">
        <v>-3.8956520607090325006963205100</v>
      </c>
      <c r="R44" s="160">
        <v>47.199367235930180804673017542</v>
      </c>
      <c r="S44" s="159">
        <v>5.0222653607143361299436601900</v>
      </c>
      <c r="T44" s="159">
        <v>148.50598269723658377599170562</v>
      </c>
      <c r="U44" s="313">
        <v>-8.491454065210955088824325660</v>
      </c>
      <c r="W44" s="281"/>
      <c r="X44" s="281"/>
      <c r="Y44" s="281"/>
      <c r="Z44" s="281"/>
      <c r="AA44" s="281"/>
      <c r="AB44" s="281"/>
      <c r="AC44" s="281"/>
      <c r="AD44" s="281"/>
      <c r="AE44" s="281"/>
      <c r="AF44" s="281"/>
      <c r="AG44" s="281"/>
      <c r="AH44" s="281"/>
      <c r="AI44" s="281"/>
      <c r="AJ44" s="281"/>
      <c r="AK44" s="281"/>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row>
    <row r="45" s="2" customFormat="1" ht="15.95" customHeight="1">
      <c r="B45" s="325"/>
      <c r="C45" s="306" t="s">
        <v>45</v>
      </c>
      <c r="D45" s="314">
        <v>62.345679012345679012345679010</v>
      </c>
      <c r="E45" s="315">
        <v>8.737060041374368375705680110</v>
      </c>
      <c r="F45" s="315">
        <v>38.239644970414201183431952660</v>
      </c>
      <c r="G45" s="315">
        <v>-7.0066995940005057235901623100</v>
      </c>
      <c r="H45" s="315">
        <v>163.03937722383493536773372211</v>
      </c>
      <c r="I45" s="315">
        <v>16.929993415311695558065458850</v>
      </c>
      <c r="J45" s="321">
        <v>123.9452817974105102817974105</v>
      </c>
      <c r="K45" s="315">
        <v>1.3653298087141145183662818200</v>
      </c>
      <c r="L45" s="322">
        <v>118.46994033199590869826721602</v>
      </c>
      <c r="M45" s="315">
        <v>12.007487343909396026760640670</v>
      </c>
      <c r="N45" s="315">
        <v>104.62171370228297641597347715</v>
      </c>
      <c r="O45" s="316">
        <v>-9.501291197153003456148600420</v>
      </c>
      <c r="P45" s="321">
        <v>77.274527540360873694207027536</v>
      </c>
      <c r="Q45" s="315">
        <v>10.221679535249953939804440350</v>
      </c>
      <c r="R45" s="322">
        <v>45.302484579616778696008987192</v>
      </c>
      <c r="S45" s="315">
        <v>4.159459182689722615857891100</v>
      </c>
      <c r="T45" s="315">
        <v>170.57459046111146439918168699</v>
      </c>
      <c r="U45" s="316">
        <v>5.8201342443876334104820024800</v>
      </c>
      <c r="W45" s="281"/>
      <c r="X45" s="281"/>
      <c r="Y45" s="281"/>
      <c r="Z45" s="281"/>
      <c r="AA45" s="281"/>
      <c r="AB45" s="281"/>
      <c r="AC45" s="281"/>
      <c r="AD45" s="281"/>
      <c r="AE45" s="281"/>
      <c r="AF45" s="281"/>
      <c r="AG45" s="281"/>
      <c r="AH45" s="281"/>
      <c r="AI45" s="281"/>
      <c r="AJ45" s="281"/>
      <c r="AK45" s="281"/>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row>
    <row r="46" s="2" customFormat="1" ht="5.1" customHeight="1">
      <c r="A46" s="54"/>
      <c r="B46" s="5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row>
    <row r="47" s="9" customFormat="1" ht="5.1" customHeight="1">
      <c r="A47" s="54"/>
      <c r="B47" s="5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row>
    <row r="48" s="2" customFormat="1" ht="15.95" customHeight="1">
      <c r="B48" s="323" t="s">
        <v>50</v>
      </c>
      <c r="C48" s="303" t="s">
        <v>42</v>
      </c>
      <c r="D48" s="307">
        <v>55.555555555555555555555555560</v>
      </c>
      <c r="E48" s="308">
        <v>-10.447761193976386723100881420</v>
      </c>
      <c r="F48" s="308">
        <v>44.150641025641025641025641030</v>
      </c>
      <c r="G48" s="308">
        <v>-8.243130724420784511380670560</v>
      </c>
      <c r="H48" s="308">
        <v>125.83182093175636883058147477</v>
      </c>
      <c r="I48" s="308">
        <v>-2.4026871087680279583683106300</v>
      </c>
      <c r="J48" s="317">
        <v>140.41199999999999999999999996</v>
      </c>
      <c r="K48" s="308">
        <v>11.365803766309220585781073760</v>
      </c>
      <c r="L48" s="318">
        <v>124.11422904662962635059942447</v>
      </c>
      <c r="M48" s="308">
        <v>8.177732787838175522814048820</v>
      </c>
      <c r="N48" s="308">
        <v>113.13126712270905660689201041</v>
      </c>
      <c r="O48" s="309">
        <v>2.9470676601667205501459903900</v>
      </c>
      <c r="P48" s="317">
        <v>78.006666666666666666666666642</v>
      </c>
      <c r="Q48" s="308">
        <v>-0.2694294629783338396267742500</v>
      </c>
      <c r="R48" s="318">
        <v>54.797227728119330223702149748</v>
      </c>
      <c r="S48" s="308">
        <v>-0.7394991405443510093317626300</v>
      </c>
      <c r="T48" s="308">
        <v>142.35513346355818318780900145</v>
      </c>
      <c r="U48" s="309">
        <v>0.473571736500753775781680300</v>
      </c>
      <c r="W48" s="281"/>
      <c r="X48" s="281"/>
      <c r="Y48" s="281"/>
      <c r="Z48" s="281"/>
      <c r="AA48" s="281"/>
      <c r="AB48" s="281"/>
      <c r="AC48" s="281"/>
      <c r="AD48" s="281"/>
      <c r="AE48" s="281"/>
      <c r="AF48" s="281"/>
      <c r="AG48" s="281"/>
      <c r="AH48" s="281"/>
      <c r="AI48" s="281"/>
      <c r="AJ48" s="281"/>
      <c r="AK48" s="281"/>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row>
    <row r="49" s="2" customFormat="1" ht="15.95" customHeight="1">
      <c r="B49" s="324"/>
      <c r="C49" s="304" t="s">
        <v>58</v>
      </c>
      <c r="D49" s="310">
        <v>62.962962962962962962962962960</v>
      </c>
      <c r="E49" s="134">
        <v>-0.3007518796521720843461816300</v>
      </c>
      <c r="F49" s="134">
        <v>47.226331360946745562130177510</v>
      </c>
      <c r="G49" s="134">
        <v>1.1992814876707410035020441300</v>
      </c>
      <c r="H49" s="134">
        <v>133.32173206892746321157946449</v>
      </c>
      <c r="I49" s="134">
        <v>-1.482256934230872599535510800</v>
      </c>
      <c r="J49" s="319">
        <v>131.61730015082956259426847663</v>
      </c>
      <c r="K49" s="134">
        <v>-0.3054552616863218761681594600</v>
      </c>
      <c r="L49" s="135">
        <v>126.16990441961465969344414799</v>
      </c>
      <c r="M49" s="134">
        <v>9.710575582857251191606501480</v>
      </c>
      <c r="N49" s="134">
        <v>104.31750801135055074516151308</v>
      </c>
      <c r="O49" s="311">
        <v>-9.129503506191745024837559770</v>
      </c>
      <c r="P49" s="319">
        <v>82.87015194681861348528015195</v>
      </c>
      <c r="Q49" s="134">
        <v>-0.605288478952899174482280800</v>
      </c>
      <c r="R49" s="135">
        <v>59.58541713899701199279888202</v>
      </c>
      <c r="S49" s="134">
        <v>11.026314205891195298686468650</v>
      </c>
      <c r="T49" s="134">
        <v>139.07790853171392696001069100</v>
      </c>
      <c r="U49" s="311">
        <v>-10.47643774182523698725571400</v>
      </c>
      <c r="W49" s="281"/>
      <c r="X49" s="281"/>
      <c r="Y49" s="281"/>
      <c r="Z49" s="281"/>
      <c r="AA49" s="281"/>
      <c r="AB49" s="281"/>
      <c r="AC49" s="281"/>
      <c r="AD49" s="281"/>
      <c r="AE49" s="281"/>
      <c r="AF49" s="281"/>
      <c r="AG49" s="281"/>
      <c r="AH49" s="281"/>
      <c r="AI49" s="281"/>
      <c r="AJ49" s="281"/>
      <c r="AK49" s="281"/>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row>
    <row r="50" s="2" customFormat="1" ht="15.95" customHeight="1">
      <c r="B50" s="324"/>
      <c r="C50" s="305" t="s">
        <v>44</v>
      </c>
      <c r="D50" s="312">
        <v>66.856600189933523266856600190</v>
      </c>
      <c r="E50" s="159">
        <v>-7.1240105540398409924742667700</v>
      </c>
      <c r="F50" s="159">
        <v>54.474852071005917159763313610</v>
      </c>
      <c r="G50" s="159">
        <v>1.5862068966077717003567491200</v>
      </c>
      <c r="H50" s="159">
        <v>122.72929186259326788885150159</v>
      </c>
      <c r="I50" s="159">
        <v>-8.574212697568165273247652200</v>
      </c>
      <c r="J50" s="320">
        <v>135.74616477272727272727272729</v>
      </c>
      <c r="K50" s="159">
        <v>-1.2367977527742673053704988800</v>
      </c>
      <c r="L50" s="160">
        <v>130.06027156290364127198691953</v>
      </c>
      <c r="M50" s="159">
        <v>8.848650354898049429563123650</v>
      </c>
      <c r="N50" s="159">
        <v>104.37173715040065102406826653</v>
      </c>
      <c r="O50" s="313">
        <v>-9.265570197545333783896703530</v>
      </c>
      <c r="P50" s="320">
        <v>90.75527065527065527065527066</v>
      </c>
      <c r="Q50" s="159">
        <v>-8.272698704394011312942759280</v>
      </c>
      <c r="R50" s="160">
        <v>70.850140537040334169244353725</v>
      </c>
      <c r="S50" s="159">
        <v>10.575215153584580506778546950</v>
      </c>
      <c r="T50" s="159">
        <v>128.09469390942932360757480915</v>
      </c>
      <c r="U50" s="313">
        <v>-17.045333198540233418181547290</v>
      </c>
      <c r="W50" s="281"/>
      <c r="X50" s="281"/>
      <c r="Y50" s="281"/>
      <c r="Z50" s="281"/>
      <c r="AA50" s="281"/>
      <c r="AB50" s="281"/>
      <c r="AC50" s="281"/>
      <c r="AD50" s="281"/>
      <c r="AE50" s="281"/>
      <c r="AF50" s="281"/>
      <c r="AG50" s="281"/>
      <c r="AH50" s="281"/>
      <c r="AI50" s="281"/>
      <c r="AJ50" s="281"/>
      <c r="AK50" s="281"/>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row>
    <row r="51" s="2" customFormat="1" ht="15.95" customHeight="1">
      <c r="B51" s="325"/>
      <c r="C51" s="306" t="s">
        <v>45</v>
      </c>
      <c r="D51" s="314">
        <v>63.675213675213675213675213680</v>
      </c>
      <c r="E51" s="315">
        <v>0.5247376311791328848319471300</v>
      </c>
      <c r="F51" s="315">
        <v>47.944403353057199211045364890</v>
      </c>
      <c r="G51" s="315">
        <v>-4.0163653745927447335533020100</v>
      </c>
      <c r="H51" s="315">
        <v>132.81052473687014596424681371</v>
      </c>
      <c r="I51" s="315">
        <v>4.7311221578450051989988698400</v>
      </c>
      <c r="J51" s="321">
        <v>132.38092841163310961968680091</v>
      </c>
      <c r="K51" s="315">
        <v>2.7024256654368803887156595100</v>
      </c>
      <c r="L51" s="322">
        <v>127.0986030997670628324647153</v>
      </c>
      <c r="M51" s="315">
        <v>11.887590135490728895880888820</v>
      </c>
      <c r="N51" s="315">
        <v>104.15608447536228019223409189</v>
      </c>
      <c r="O51" s="316">
        <v>-8.209279026361415034986865230</v>
      </c>
      <c r="P51" s="321">
        <v>84.29383903133903133903133904</v>
      </c>
      <c r="Q51" s="315">
        <v>3.2413439411117891975798277300</v>
      </c>
      <c r="R51" s="322">
        <v>60.93666692625358100606057618</v>
      </c>
      <c r="S51" s="315">
        <v>7.3937757068126892706715172500</v>
      </c>
      <c r="T51" s="315">
        <v>138.33024233716035033802967471</v>
      </c>
      <c r="U51" s="316">
        <v>-3.8665478874569608083623172600</v>
      </c>
      <c r="W51" s="281"/>
      <c r="X51" s="281"/>
      <c r="Y51" s="281"/>
      <c r="Z51" s="281"/>
      <c r="AA51" s="281"/>
      <c r="AB51" s="281"/>
      <c r="AC51" s="281"/>
      <c r="AD51" s="281"/>
      <c r="AE51" s="281"/>
      <c r="AF51" s="281"/>
      <c r="AG51" s="281"/>
      <c r="AH51" s="281"/>
      <c r="AI51" s="281"/>
      <c r="AJ51" s="281"/>
      <c r="AK51" s="281"/>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row>
    <row r="52" s="2" customFormat="1" ht="5.1" customHeight="1">
      <c r="B52" s="5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row>
    <row r="53" s="9" customFormat="1" ht="5.1" customHeight="1">
      <c r="B53" s="5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row>
    <row r="54" s="2" customFormat="1" ht="15.95" customHeight="1">
      <c r="B54" s="323" t="s">
        <v>51</v>
      </c>
      <c r="C54" s="303" t="s">
        <v>42</v>
      </c>
      <c r="D54" s="307">
        <v>60.185185185185185185185185190</v>
      </c>
      <c r="E54" s="308">
        <v>-0.9146341462750037180249405400</v>
      </c>
      <c r="F54" s="308">
        <v>46.594551282051282051282051280</v>
      </c>
      <c r="G54" s="308">
        <v>-9.14062500008631640624991800</v>
      </c>
      <c r="H54" s="308">
        <v>129.16786089601474987392318856</v>
      </c>
      <c r="I54" s="308">
        <v>9.053541094329310028098966050</v>
      </c>
      <c r="J54" s="317">
        <v>132.12953846153846153846153842</v>
      </c>
      <c r="K54" s="308">
        <v>-6.6102684835418748272538423600</v>
      </c>
      <c r="L54" s="318">
        <v>125.42341877799884496459621338</v>
      </c>
      <c r="M54" s="308">
        <v>6.4701684544713715725609011800</v>
      </c>
      <c r="N54" s="308">
        <v>105.34678431578102867654677958</v>
      </c>
      <c r="O54" s="309">
        <v>-12.285541694803110084803970840</v>
      </c>
      <c r="P54" s="317">
        <v>79.52240740740740740740740738</v>
      </c>
      <c r="Q54" s="308">
        <v>-7.4644428572007184828268091500</v>
      </c>
      <c r="R54" s="318">
        <v>58.440479182216609252333892692</v>
      </c>
      <c r="S54" s="308">
        <v>-3.2618703807585625114689302600</v>
      </c>
      <c r="T54" s="308">
        <v>136.07418782361492484136041102</v>
      </c>
      <c r="U54" s="309">
        <v>-4.3442771665092531533238308200</v>
      </c>
      <c r="W54" s="281"/>
      <c r="X54" s="281"/>
      <c r="Y54" s="281"/>
      <c r="Z54" s="281"/>
      <c r="AA54" s="281"/>
      <c r="AB54" s="281"/>
      <c r="AC54" s="281"/>
      <c r="AD54" s="281"/>
      <c r="AE54" s="281"/>
      <c r="AF54" s="281"/>
      <c r="AG54" s="281"/>
      <c r="AH54" s="281"/>
      <c r="AI54" s="281"/>
      <c r="AJ54" s="281"/>
      <c r="AK54" s="281"/>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row>
    <row r="55" s="2" customFormat="1" ht="15.95" customHeight="1">
      <c r="B55" s="324"/>
      <c r="C55" s="304" t="s">
        <v>58</v>
      </c>
      <c r="D55" s="310">
        <v>60.778727445394112060778727450</v>
      </c>
      <c r="E55" s="134">
        <v>-1.7651573292742917489540813600</v>
      </c>
      <c r="F55" s="134">
        <v>46.579142011834319526627218930</v>
      </c>
      <c r="G55" s="134">
        <v>-3.6046477662444033136281296800</v>
      </c>
      <c r="H55" s="134">
        <v>130.48485828699227388712664379</v>
      </c>
      <c r="I55" s="134">
        <v>1.9082771050936499506506724500</v>
      </c>
      <c r="J55" s="319">
        <v>126.16580468749999999999999996</v>
      </c>
      <c r="K55" s="134">
        <v>-5.8756810259898370728708805200</v>
      </c>
      <c r="L55" s="135">
        <v>126.59430065793696243321002653</v>
      </c>
      <c r="M55" s="134">
        <v>10.588111868011195464171408310</v>
      </c>
      <c r="N55" s="134">
        <v>99.66152033055742458014515950</v>
      </c>
      <c r="O55" s="311">
        <v>-14.887488913439086520005622240</v>
      </c>
      <c r="P55" s="319">
        <v>76.681970560303893637226970537</v>
      </c>
      <c r="Q55" s="134">
        <v>-7.5371233408845939049434930600</v>
      </c>
      <c r="R55" s="135">
        <v>58.966539082348966044610957255</v>
      </c>
      <c r="S55" s="134">
        <v>6.601799963783860937319100300</v>
      </c>
      <c r="T55" s="134">
        <v>130.04319356996405254367490568</v>
      </c>
      <c r="U55" s="311">
        <v>-13.263306350780611963183810140</v>
      </c>
      <c r="W55" s="281"/>
      <c r="X55" s="281"/>
      <c r="Y55" s="281"/>
      <c r="Z55" s="281"/>
      <c r="AA55" s="281"/>
      <c r="AB55" s="281"/>
      <c r="AC55" s="281"/>
      <c r="AD55" s="281"/>
      <c r="AE55" s="281"/>
      <c r="AF55" s="281"/>
      <c r="AG55" s="281"/>
      <c r="AH55" s="281"/>
      <c r="AI55" s="281"/>
      <c r="AJ55" s="281"/>
      <c r="AK55" s="281"/>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row>
    <row r="56" s="2" customFormat="1" ht="15.95" customHeight="1">
      <c r="B56" s="324"/>
      <c r="C56" s="305" t="s">
        <v>44</v>
      </c>
      <c r="D56" s="312">
        <v>69.230769230769230769230769230</v>
      </c>
      <c r="E56" s="159">
        <v>3.8461538461019230769231028800</v>
      </c>
      <c r="F56" s="159">
        <v>54.832347140039447731755424060</v>
      </c>
      <c r="G56" s="159">
        <v>1.6221156043252689654610933300</v>
      </c>
      <c r="H56" s="159">
        <v>126.25899280584622949122722750</v>
      </c>
      <c r="I56" s="159">
        <v>2.1885376314722335929545763900</v>
      </c>
      <c r="J56" s="320">
        <v>131.10473251028806584362139912</v>
      </c>
      <c r="K56" s="159">
        <v>-8.176791400690999495797670450</v>
      </c>
      <c r="L56" s="160">
        <v>132.34727492419761734919062952</v>
      </c>
      <c r="M56" s="159">
        <v>9.698582140251453551349956970</v>
      </c>
      <c r="N56" s="159">
        <v>99.06114998240531777498602067</v>
      </c>
      <c r="O56" s="313">
        <v>-16.294990502327013048249207480</v>
      </c>
      <c r="P56" s="320">
        <v>90.76481481481481481481481478</v>
      </c>
      <c r="Q56" s="159">
        <v>-4.6451295315201995184563289400</v>
      </c>
      <c r="R56" s="160">
        <v>72.569117216818417402514783049</v>
      </c>
      <c r="S56" s="159">
        <v>11.478019958893438884631124940</v>
      </c>
      <c r="T56" s="159">
        <v>125.07361022961768686947599162</v>
      </c>
      <c r="U56" s="313">
        <v>-14.463074870124370920410921720</v>
      </c>
      <c r="W56" s="281"/>
      <c r="X56" s="281"/>
      <c r="Y56" s="281"/>
      <c r="Z56" s="281"/>
      <c r="AA56" s="281"/>
      <c r="AB56" s="281"/>
      <c r="AC56" s="281"/>
      <c r="AD56" s="281"/>
      <c r="AE56" s="281"/>
      <c r="AF56" s="281"/>
      <c r="AG56" s="281"/>
      <c r="AH56" s="281"/>
      <c r="AI56" s="281"/>
      <c r="AJ56" s="281"/>
      <c r="AK56" s="281"/>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row>
    <row r="57" s="2" customFormat="1" ht="15.95" customHeight="1">
      <c r="B57" s="325"/>
      <c r="C57" s="306" t="s">
        <v>45</v>
      </c>
      <c r="D57" s="314">
        <v>61.823361823361823361823361820</v>
      </c>
      <c r="E57" s="315">
        <v>-5.6831228473596680775227982800</v>
      </c>
      <c r="F57" s="315">
        <v>47.676282051282051282051282050</v>
      </c>
      <c r="G57" s="315">
        <v>-7.5458178018360524889270552200</v>
      </c>
      <c r="H57" s="315">
        <v>129.67320261433026682045369004</v>
      </c>
      <c r="I57" s="315">
        <v>2.0147222226618709598107112800</v>
      </c>
      <c r="J57" s="321">
        <v>130.45094854070660522273425497</v>
      </c>
      <c r="K57" s="315">
        <v>0.5897430216878718411551052100</v>
      </c>
      <c r="L57" s="322">
        <v>126.4409713780700559382898023</v>
      </c>
      <c r="M57" s="315">
        <v>10.977711404064260258597674780</v>
      </c>
      <c r="N57" s="315">
        <v>103.17142229998807705018283642</v>
      </c>
      <c r="O57" s="316">
        <v>-9.360409627326472397070538900</v>
      </c>
      <c r="P57" s="321">
        <v>80.6491619183285849952516619</v>
      </c>
      <c r="Q57" s="315">
        <v>-5.1268956460830873322352131700</v>
      </c>
      <c r="R57" s="322">
        <v>60.282354142589489810322461834</v>
      </c>
      <c r="S57" s="315">
        <v>2.6035355007562692840330869700</v>
      </c>
      <c r="T57" s="315">
        <v>133.78568747920858341049558542</v>
      </c>
      <c r="U57" s="316">
        <v>-7.5342736574160574238084240200</v>
      </c>
      <c r="W57" s="281"/>
      <c r="X57" s="281"/>
      <c r="Y57" s="281"/>
      <c r="Z57" s="281"/>
      <c r="AA57" s="281"/>
      <c r="AB57" s="281"/>
      <c r="AC57" s="281"/>
      <c r="AD57" s="281"/>
      <c r="AE57" s="281"/>
      <c r="AF57" s="281"/>
      <c r="AG57" s="281"/>
      <c r="AH57" s="281"/>
      <c r="AI57" s="281"/>
      <c r="AJ57" s="281"/>
      <c r="AK57" s="281"/>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row>
    <row r="58" s="2" customFormat="1" ht="5.1" customHeight="1">
      <c r="B58" s="5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row>
    <row r="60" ht="15.95" customHeight="1">
      <c r="B60" s="344" t="s">
        <v>40</v>
      </c>
      <c r="C60" s="348" t="s">
        <v>42</v>
      </c>
      <c r="D60" s="238">
        <v>49.158249158249158249158249160</v>
      </c>
      <c r="E60" s="327">
        <v>-9.796999117462782028980476790</v>
      </c>
      <c r="F60" s="327">
        <v>33.566433566433566433566433570</v>
      </c>
      <c r="G60" s="327">
        <v>-16.883116883085219542362387430</v>
      </c>
      <c r="H60" s="327">
        <v>146.45061728409706790123471436</v>
      </c>
      <c r="I60" s="239">
        <v>8.525485436941752625673493970</v>
      </c>
      <c r="J60" s="326">
        <v>123.62799086757990867579908675</v>
      </c>
      <c r="K60" s="327">
        <v>-7.349783818656799659540561300</v>
      </c>
      <c r="L60" s="328">
        <v>118.47927950440448038833104109</v>
      </c>
      <c r="M60" s="327">
        <v>2.4483710158717820425464863400</v>
      </c>
      <c r="N60" s="327">
        <v>104.34566397155436741244758716</v>
      </c>
      <c r="O60" s="239">
        <v>-9.563992806715148980661011580</v>
      </c>
      <c r="P60" s="326">
        <v>60.773355780022446689113355774</v>
      </c>
      <c r="Q60" s="327">
        <v>-16.426724680205437667964030830</v>
      </c>
      <c r="R60" s="328">
        <v>39.769268644835070340139090717</v>
      </c>
      <c r="S60" s="327">
        <v>-14.848107207552028171334788020</v>
      </c>
      <c r="T60" s="327">
        <v>152.81486899550721277063195588</v>
      </c>
      <c r="U60" s="239">
        <v>-1.8538841836498920700621077600</v>
      </c>
    </row>
    <row r="61" ht="15.95" customHeight="1">
      <c r="B61" s="345" t="s">
        <v>67</v>
      </c>
      <c r="C61" s="304" t="s">
        <v>58</v>
      </c>
      <c r="D61" s="240">
        <v>58.244808115609149200880467030</v>
      </c>
      <c r="E61" s="121">
        <v>-2.5861134915135669428054179500</v>
      </c>
      <c r="F61" s="121">
        <v>37.122341482806599085668853110</v>
      </c>
      <c r="G61" s="121">
        <v>-2.8647715777700876111535963100</v>
      </c>
      <c r="H61" s="121">
        <v>156.89960759236020095005704743</v>
      </c>
      <c r="I61" s="241">
        <v>0.2868764409935347749469917600</v>
      </c>
      <c r="J61" s="329">
        <v>123.01810713112060466644758463</v>
      </c>
      <c r="K61" s="121">
        <v>-2.562016225653359275317729600</v>
      </c>
      <c r="L61" s="136">
        <v>118.20471781575867759876678333</v>
      </c>
      <c r="M61" s="121">
        <v>7.0746242131174678143621837900</v>
      </c>
      <c r="N61" s="121">
        <v>104.07207885121926682350654914</v>
      </c>
      <c r="O61" s="241">
        <v>-8.999929263916010013203376270</v>
      </c>
      <c r="P61" s="329">
        <v>71.651660445975691453727629443</v>
      </c>
      <c r="Q61" s="121">
        <v>-5.0818730699681785038848790800</v>
      </c>
      <c r="R61" s="136">
        <v>43.880358996353866080381000542</v>
      </c>
      <c r="S61" s="121">
        <v>4.0071808116892012669969272300</v>
      </c>
      <c r="T61" s="121">
        <v>163.28868333063110092975845771</v>
      </c>
      <c r="U61" s="241">
        <v>-8.738871499797369409519051820</v>
      </c>
    </row>
    <row r="62" ht="15.95" customHeight="1">
      <c r="B62" s="345"/>
      <c r="C62" s="305" t="s">
        <v>44</v>
      </c>
      <c r="D62" s="341">
        <v>57.758784425451092117758784430</v>
      </c>
      <c r="E62" s="156">
        <v>-1.2982797792612027986967801500</v>
      </c>
      <c r="F62" s="156">
        <v>40.890039447731755424063116370</v>
      </c>
      <c r="G62" s="156">
        <v>-3.4296028881361255091757541700</v>
      </c>
      <c r="H62" s="156">
        <v>141.25392199566570074233346221</v>
      </c>
      <c r="I62" s="331">
        <v>2.2070149576330560479139724800</v>
      </c>
      <c r="J62" s="330">
        <v>126.25399539625123314699112136</v>
      </c>
      <c r="K62" s="156">
        <v>-5.6807420316912739030567742500</v>
      </c>
      <c r="L62" s="186">
        <v>120.81393041496282734516253823</v>
      </c>
      <c r="M62" s="156">
        <v>5.6171119925361742750774222600</v>
      </c>
      <c r="N62" s="156">
        <v>104.50284579151131257150493671</v>
      </c>
      <c r="O62" s="331">
        <v>-10.696992003612198976299737520</v>
      </c>
      <c r="P62" s="330">
        <v>72.922773029439696106362773043</v>
      </c>
      <c r="Q62" s="156">
        <v>-6.9052698858909844812690288300</v>
      </c>
      <c r="R62" s="186">
        <v>49.400863805033493380658794295</v>
      </c>
      <c r="S62" s="156">
        <v>1.9948644693817952604939873900</v>
      </c>
      <c r="T62" s="156">
        <v>147.61436827762306798465661575</v>
      </c>
      <c r="U62" s="331">
        <v>-8.726061259545351145857662110</v>
      </c>
    </row>
    <row r="63" ht="15.95" customHeight="1">
      <c r="B63" s="346"/>
      <c r="C63" s="349" t="s">
        <v>45</v>
      </c>
      <c r="D63" s="244">
        <v>60.342462513599167494442079370</v>
      </c>
      <c r="E63" s="333">
        <v>3.2955465587180951446507910300</v>
      </c>
      <c r="F63" s="333">
        <v>37.032738972394144807937911390</v>
      </c>
      <c r="G63" s="333">
        <v>-10.654903434335538242340133860</v>
      </c>
      <c r="H63" s="333">
        <v>162.94355801922074818108108576</v>
      </c>
      <c r="I63" s="245">
        <v>15.614119329726648382980907350</v>
      </c>
      <c r="J63" s="332">
        <v>122.80609782864309790703143371</v>
      </c>
      <c r="K63" s="333">
        <v>-1.202109545040360729103437700</v>
      </c>
      <c r="L63" s="334">
        <v>117.08765799794555176388850161</v>
      </c>
      <c r="M63" s="333">
        <v>9.135739816331588716029355480</v>
      </c>
      <c r="N63" s="333">
        <v>104.88389632906113787837631666</v>
      </c>
      <c r="O63" s="245">
        <v>-9.472469219304666896624595530</v>
      </c>
      <c r="P63" s="332">
        <v>74.104223546662882550494300166</v>
      </c>
      <c r="Q63" s="333">
        <v>2.0538209338415729090733520700</v>
      </c>
      <c r="R63" s="334">
        <v>43.360766755268752232140971592</v>
      </c>
      <c r="S63" s="333">
        <v>-2.4925678734377374205546953200</v>
      </c>
      <c r="T63" s="333">
        <v>170.90155246760044959239904663</v>
      </c>
      <c r="U63" s="245">
        <v>4.6626074629290127324414881400</v>
      </c>
    </row>
    <row r="64" ht="5.1" customHeight="1">
      <c r="B64" s="54"/>
      <c r="C64" s="54"/>
      <c r="D64" s="156"/>
      <c r="E64" s="156"/>
      <c r="F64" s="156"/>
      <c r="G64" s="156"/>
      <c r="H64" s="156"/>
      <c r="I64" s="156"/>
      <c r="J64" s="156"/>
      <c r="K64" s="156"/>
      <c r="L64" s="156"/>
      <c r="M64" s="156"/>
      <c r="N64" s="156"/>
      <c r="O64" s="156"/>
      <c r="P64" s="156"/>
      <c r="Q64" s="156"/>
      <c r="R64" s="156"/>
      <c r="S64" s="156"/>
      <c r="T64" s="156"/>
      <c r="U64" s="156"/>
    </row>
    <row r="65" s="4" customFormat="1" ht="5.1" customHeight="1">
      <c r="A65" s="54"/>
      <c r="B65" s="54"/>
      <c r="C65" s="5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57.870370370370370370370370370</v>
      </c>
      <c r="E66" s="327">
        <v>-5.620805369152853475068683800</v>
      </c>
      <c r="F66" s="327">
        <v>45.372596153846153846153846150</v>
      </c>
      <c r="G66" s="327">
        <v>-9.028025705185346285134745920</v>
      </c>
      <c r="H66" s="327">
        <v>127.54476330648245122452407261</v>
      </c>
      <c r="I66" s="239">
        <v>3.7453516454339927805066051400</v>
      </c>
      <c r="J66" s="326">
        <v>136.10511999999999999999999996</v>
      </c>
      <c r="K66" s="327">
        <v>1.1505293200364964895646729600</v>
      </c>
      <c r="L66" s="328">
        <v>124.78645317801258495902249974</v>
      </c>
      <c r="M66" s="327">
        <v>7.1263929834250478820236867400</v>
      </c>
      <c r="N66" s="327">
        <v>109.07042914815010898361924429</v>
      </c>
      <c r="O66" s="239">
        <v>-5.5783299492788280173750035700</v>
      </c>
      <c r="P66" s="326">
        <v>78.764537037037037037037037012</v>
      </c>
      <c r="Q66" s="327">
        <v>-4.5349450629526325502102407700</v>
      </c>
      <c r="R66" s="328">
        <v>56.618853455167969738018021218</v>
      </c>
      <c r="S66" s="327">
        <v>-2.5450053121478882232144644600</v>
      </c>
      <c r="T66" s="327">
        <v>139.11362069413846239046692841</v>
      </c>
      <c r="U66" s="239">
        <v>-2.0419063765967617114253827300</v>
      </c>
    </row>
    <row r="67" ht="15.95" customHeight="1">
      <c r="B67" s="345" t="s">
        <v>55</v>
      </c>
      <c r="C67" s="304" t="s">
        <v>58</v>
      </c>
      <c r="D67" s="240">
        <v>61.870845204178537511870845200</v>
      </c>
      <c r="E67" s="121">
        <v>-1.0254462590135132846720799100</v>
      </c>
      <c r="F67" s="121">
        <v>46.902736686390532544378698220</v>
      </c>
      <c r="G67" s="121">
        <v>-1.2445150193852780234475939500</v>
      </c>
      <c r="H67" s="121">
        <v>131.91308135782771195211603511</v>
      </c>
      <c r="I67" s="241">
        <v>0.2218294612920150984479748700</v>
      </c>
      <c r="J67" s="329">
        <v>128.93966615502686108979278587</v>
      </c>
      <c r="K67" s="121">
        <v>-3.0680068919323861066543133700</v>
      </c>
      <c r="L67" s="136">
        <v>126.38063852652060895452639677</v>
      </c>
      <c r="M67" s="121">
        <v>10.151477329651388508197648080</v>
      </c>
      <c r="N67" s="121">
        <v>102.02485733444864174836709328</v>
      </c>
      <c r="O67" s="241">
        <v>-12.001186495226908929905195430</v>
      </c>
      <c r="P67" s="329">
        <v>79.77606125356125356125356125</v>
      </c>
      <c r="Q67" s="121">
        <v>-4.0619923891148668225934454600</v>
      </c>
      <c r="R67" s="136">
        <v>59.275978110672989018704919638</v>
      </c>
      <c r="S67" s="121">
        <v>8.780625650069009216042680270</v>
      </c>
      <c r="T67" s="121">
        <v>134.58413306074278228359437825</v>
      </c>
      <c r="U67" s="241">
        <v>-11.805979201211815143895909020</v>
      </c>
    </row>
    <row r="68" ht="15.95" customHeight="1">
      <c r="B68" s="345"/>
      <c r="C68" s="305" t="s">
        <v>44</v>
      </c>
      <c r="D68" s="342">
        <v>68.043684710351377018043684710</v>
      </c>
      <c r="E68" s="161">
        <v>-1.8493150684893860011259146600</v>
      </c>
      <c r="F68" s="161">
        <v>54.653599605522682445759368840</v>
      </c>
      <c r="G68" s="161">
        <v>1.6042167983902046268612706400</v>
      </c>
      <c r="H68" s="161">
        <v>124.49991437252722458843257482</v>
      </c>
      <c r="I68" s="336">
        <v>-3.3990044661826207904129197400</v>
      </c>
      <c r="J68" s="335">
        <v>133.38496161898115840893230983</v>
      </c>
      <c r="K68" s="161">
        <v>-4.732186483552230109341084800</v>
      </c>
      <c r="L68" s="162">
        <v>131.20751312724734326718282592</v>
      </c>
      <c r="M68" s="161">
        <v>9.277150416574046036726261030</v>
      </c>
      <c r="N68" s="161">
        <v>101.65954558537377080254304749</v>
      </c>
      <c r="O68" s="336">
        <v>-12.820005688912007032384034420</v>
      </c>
      <c r="P68" s="335">
        <v>90.76004273504273504273504273</v>
      </c>
      <c r="Q68" s="161">
        <v>-6.4939885144073040413205762100</v>
      </c>
      <c r="R68" s="162">
        <v>71.70962887692937578587956838</v>
      </c>
      <c r="S68" s="161">
        <v>11.030192820301429815218143300</v>
      </c>
      <c r="T68" s="161">
        <v>126.56604720524427640309050683</v>
      </c>
      <c r="U68" s="336">
        <v>-15.783257589190430815742755220</v>
      </c>
    </row>
    <row r="69" ht="15.95" customHeight="1">
      <c r="B69" s="346"/>
      <c r="C69" s="349" t="s">
        <v>45</v>
      </c>
      <c r="D69" s="343">
        <v>62.749287749287749287749287750</v>
      </c>
      <c r="E69" s="338">
        <v>-2.6481772514544309387750520200</v>
      </c>
      <c r="F69" s="338">
        <v>47.810342702169625246548323470</v>
      </c>
      <c r="G69" s="338">
        <v>-5.8235313686526211985268489300</v>
      </c>
      <c r="H69" s="338">
        <v>131.24626221597932934079918759</v>
      </c>
      <c r="I69" s="340">
        <v>3.3717065030651802844708088800</v>
      </c>
      <c r="J69" s="337">
        <v>131.43017782822550132425274309</v>
      </c>
      <c r="K69" s="338">
        <v>1.6456208836981026539183612300</v>
      </c>
      <c r="L69" s="339">
        <v>126.77070924168691661617290803</v>
      </c>
      <c r="M69" s="338">
        <v>11.428556922501142587289104970</v>
      </c>
      <c r="N69" s="338">
        <v>103.67550880987957283631963875</v>
      </c>
      <c r="O69" s="340">
        <v>-8.779559126495523440024304900</v>
      </c>
      <c r="P69" s="337">
        <v>82.47150047483380816714150047</v>
      </c>
      <c r="Q69" s="338">
        <v>-1.0461353256278279946681884900</v>
      </c>
      <c r="R69" s="339">
        <v>60.609510534421535408191519009</v>
      </c>
      <c r="S69" s="338">
        <v>4.93947995650235473555391700</v>
      </c>
      <c r="T69" s="338">
        <v>136.07023014651413328398459615</v>
      </c>
      <c r="U69" s="340">
        <v>-5.7038735894107703075360124800</v>
      </c>
    </row>
    <row r="70" ht="5.1" customHeight="1">
      <c r="B70" s="54"/>
      <c r="C70" s="54"/>
      <c r="D70" s="161"/>
      <c r="E70" s="161"/>
      <c r="F70" s="161"/>
      <c r="G70" s="161"/>
      <c r="H70" s="161"/>
      <c r="I70" s="161"/>
      <c r="J70" s="162"/>
      <c r="K70" s="161"/>
      <c r="L70" s="162"/>
      <c r="M70" s="161"/>
      <c r="N70" s="161"/>
      <c r="O70" s="161"/>
      <c r="P70" s="162"/>
      <c r="Q70" s="161"/>
      <c r="R70" s="162"/>
      <c r="S70" s="161"/>
      <c r="T70" s="161"/>
      <c r="U70" s="161"/>
    </row>
    <row r="71" s="4" customFormat="1" ht="5.1" customHeight="1">
      <c r="A71" s="54"/>
      <c r="B71" s="54"/>
      <c r="C71" s="5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51.481481481481481481481481480</v>
      </c>
      <c r="E72" s="327">
        <v>-8.951965065432605213477950680</v>
      </c>
      <c r="F72" s="327">
        <v>36.716604244694132334581772780</v>
      </c>
      <c r="G72" s="327">
        <v>-14.986415403745830077430180770</v>
      </c>
      <c r="H72" s="327">
        <v>140.21307945141134529728816842</v>
      </c>
      <c r="I72" s="239">
        <v>7.098218910416389341369003200</v>
      </c>
      <c r="J72" s="326">
        <v>127.36813749000799360511590727</v>
      </c>
      <c r="K72" s="327">
        <v>-4.8071756898713329711601902700</v>
      </c>
      <c r="L72" s="328">
        <v>120.55170180210812648758925537</v>
      </c>
      <c r="M72" s="327">
        <v>3.8769941120020276106817986100</v>
      </c>
      <c r="N72" s="327">
        <v>105.65436703589467859122509627</v>
      </c>
      <c r="O72" s="239">
        <v>-8.360051112461081748631625840</v>
      </c>
      <c r="P72" s="326">
        <v>65.571004115226337448559670782</v>
      </c>
      <c r="Q72" s="327">
        <v>-13.328804066936208107699139350</v>
      </c>
      <c r="R72" s="328">
        <v>44.262491260923845193508114856</v>
      </c>
      <c r="S72" s="327">
        <v>-11.690443734536200667348936830</v>
      </c>
      <c r="T72" s="327">
        <v>148.14124159601825872056779132</v>
      </c>
      <c r="U72" s="239">
        <v>-1.8552469309900193651026609500</v>
      </c>
    </row>
    <row r="73" ht="15.95" customHeight="1">
      <c r="B73" s="345"/>
      <c r="C73" s="304" t="s">
        <v>58</v>
      </c>
      <c r="D73" s="240">
        <v>59.286542527794829820612509380</v>
      </c>
      <c r="E73" s="121">
        <v>-2.1164508965816010723845289400</v>
      </c>
      <c r="F73" s="121">
        <v>39.933163655927328408550085870</v>
      </c>
      <c r="G73" s="121">
        <v>-2.275697510663669802229596500</v>
      </c>
      <c r="H73" s="121">
        <v>148.46442680740479884061383714</v>
      </c>
      <c r="I73" s="241">
        <v>0.1629549765408844915236981500</v>
      </c>
      <c r="J73" s="329">
        <v>124.79348481362172112287160607</v>
      </c>
      <c r="K73" s="121">
        <v>-2.6939939645211490048167082400</v>
      </c>
      <c r="L73" s="136">
        <v>120.9606386506723320465321139</v>
      </c>
      <c r="M73" s="121">
        <v>8.159512669289475695231392150</v>
      </c>
      <c r="N73" s="121">
        <v>103.16867222732668700016021225</v>
      </c>
      <c r="O73" s="241">
        <v>-10.034722204233222967702876830</v>
      </c>
      <c r="P73" s="329">
        <v>73.985742445945024213900825319</v>
      </c>
      <c r="Q73" s="121">
        <v>-4.7534278016402263168371216400</v>
      </c>
      <c r="R73" s="136">
        <v>48.303409791627868479317979598</v>
      </c>
      <c r="S73" s="121">
        <v>5.6981293319800045155719498100</v>
      </c>
      <c r="T73" s="121">
        <v>153.16877786712937510829658412</v>
      </c>
      <c r="U73" s="241">
        <v>-9.888119306983124727774831290</v>
      </c>
    </row>
    <row r="74" ht="15.95" customHeight="1">
      <c r="B74" s="345"/>
      <c r="C74" s="305" t="s">
        <v>44</v>
      </c>
      <c r="D74" s="341">
        <v>60.697327363994030660697327360</v>
      </c>
      <c r="E74" s="156">
        <v>-1.4754459369730620632751931100</v>
      </c>
      <c r="F74" s="156">
        <v>44.822406058361114540889821780</v>
      </c>
      <c r="G74" s="156">
        <v>-1.7033365921307230207318470400</v>
      </c>
      <c r="H74" s="156">
        <v>135.41737872105812768640617104</v>
      </c>
      <c r="I74" s="331">
        <v>0.2318396648593091623626801800</v>
      </c>
      <c r="J74" s="330">
        <v>128.53800849351810460438086723</v>
      </c>
      <c r="K74" s="156">
        <v>-5.3727999620370965416721239600</v>
      </c>
      <c r="L74" s="186">
        <v>124.43507965658142417703503054</v>
      </c>
      <c r="M74" s="156">
        <v>6.9596659186753650154355353600</v>
      </c>
      <c r="N74" s="156">
        <v>103.29724451355746487560999809</v>
      </c>
      <c r="O74" s="331">
        <v>-11.530015333147345395307879790</v>
      </c>
      <c r="P74" s="330">
        <v>78.019135802469135802469135802</v>
      </c>
      <c r="Q74" s="156">
        <v>-6.7689731402528703588929804800</v>
      </c>
      <c r="R74" s="186">
        <v>55.774796682718031032637774211</v>
      </c>
      <c r="S74" s="156">
        <v>5.1377827902056610160568907900</v>
      </c>
      <c r="T74" s="156">
        <v>139.88242081152900841118378161</v>
      </c>
      <c r="U74" s="331">
        <v>-11.324906817000998305061017360</v>
      </c>
    </row>
    <row r="75" ht="15.95" customHeight="1">
      <c r="B75" s="346"/>
      <c r="C75" s="349" t="s">
        <v>45</v>
      </c>
      <c r="D75" s="244">
        <v>61.028242854726872991713174360</v>
      </c>
      <c r="E75" s="333">
        <v>1.4604804660724529984520697400</v>
      </c>
      <c r="F75" s="333">
        <v>40.104935019318580962416578850</v>
      </c>
      <c r="G75" s="333">
        <v>-9.104394281946278765832845570</v>
      </c>
      <c r="H75" s="333">
        <v>152.17140440536256184302056573</v>
      </c>
      <c r="I75" s="245">
        <v>11.623086357807883354244441220</v>
      </c>
      <c r="J75" s="332">
        <v>125.33266696225683090395167101</v>
      </c>
      <c r="K75" s="333">
        <v>-0.4016308232804351043679893300</v>
      </c>
      <c r="L75" s="334">
        <v>120.37290993805666676548340388</v>
      </c>
      <c r="M75" s="333">
        <v>10.009276946922379378312023380</v>
      </c>
      <c r="N75" s="333">
        <v>104.12032659732768200727016251</v>
      </c>
      <c r="O75" s="245">
        <v>-9.463663482877733212819199570</v>
      </c>
      <c r="P75" s="332">
        <v>76.488324370032132589210214781</v>
      </c>
      <c r="Q75" s="333">
        <v>1.0529839031334049029973153400</v>
      </c>
      <c r="R75" s="334">
        <v>48.275477311520504532663990872</v>
      </c>
      <c r="S75" s="333">
        <v>-0.0064013729490182396553727800</v>
      </c>
      <c r="T75" s="333">
        <v>158.44136325465471019781076946</v>
      </c>
      <c r="U75" s="245">
        <v>1.0594530956295656904323978600</v>
      </c>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37"/>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0" width="10.28515625" customWidth="1"/>
    <col min="31" max="32" width="10.28515625" style="34" customWidth="1"/>
    <col min="33" max="33" width="0" style="34"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144</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145</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228</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229</v>
      </c>
      <c r="D23" s="41" t="s">
        <v>231</v>
      </c>
      <c r="E23" s="41" t="s">
        <v>232</v>
      </c>
      <c r="F23" s="41" t="s">
        <v>233</v>
      </c>
      <c r="G23" s="41" t="s">
        <v>234</v>
      </c>
      <c r="H23" s="41" t="s">
        <v>235</v>
      </c>
      <c r="I23" s="41" t="s">
        <v>236</v>
      </c>
      <c r="J23" s="41" t="s">
        <v>229</v>
      </c>
      <c r="K23" s="41" t="s">
        <v>231</v>
      </c>
      <c r="L23" s="41" t="s">
        <v>232</v>
      </c>
      <c r="M23" s="41" t="s">
        <v>233</v>
      </c>
      <c r="N23" s="41" t="s">
        <v>234</v>
      </c>
      <c r="O23" s="41" t="s">
        <v>235</v>
      </c>
      <c r="P23" s="41" t="s">
        <v>236</v>
      </c>
      <c r="Q23" s="41" t="s">
        <v>229</v>
      </c>
      <c r="R23" s="41" t="s">
        <v>231</v>
      </c>
      <c r="S23" s="41" t="s">
        <v>232</v>
      </c>
      <c r="T23" s="41" t="s">
        <v>233</v>
      </c>
      <c r="U23" s="41" t="s">
        <v>234</v>
      </c>
      <c r="V23" s="41" t="s">
        <v>235</v>
      </c>
      <c r="W23" s="41" t="s">
        <v>236</v>
      </c>
      <c r="X23" s="42" t="s">
        <v>229</v>
      </c>
      <c r="Y23" s="42" t="s">
        <v>231</v>
      </c>
      <c r="Z23" s="42" t="s">
        <v>232</v>
      </c>
      <c r="AA23" s="42" t="s">
        <v>233</v>
      </c>
      <c r="AB23" s="42" t="s">
        <v>234</v>
      </c>
      <c r="AC23" s="42" t="s">
        <v>235</v>
      </c>
      <c r="AD23" s="42" t="s">
        <v>236</v>
      </c>
      <c r="AE23" s="42" t="s">
        <v>229</v>
      </c>
      <c r="AF23" s="42" t="s">
        <v>231</v>
      </c>
      <c r="AG23" s="42"/>
      <c r="AH23" s="96"/>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230</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c r="AH25" s="529"/>
      <c r="AI25" s="236"/>
      <c r="AJ25" s="236"/>
      <c r="AK25" s="236"/>
      <c r="AL25" s="236"/>
      <c r="AM25" s="236"/>
      <c r="AN25" s="236"/>
      <c r="AO25" s="236"/>
      <c r="AP25" s="236"/>
      <c r="AQ25" s="236"/>
      <c r="AR25" s="236"/>
      <c r="AS25" s="236"/>
      <c r="AT25" s="236"/>
      <c r="AU25" s="236"/>
      <c r="AV25" s="236"/>
      <c r="AW25" s="236"/>
    </row>
    <row r="26" ht="24.95" customHeight="1">
      <c r="B26" s="263" t="s">
        <v>19</v>
      </c>
      <c r="C26" s="573">
        <v>29.629629629629629629629629630</v>
      </c>
      <c r="D26" s="574">
        <v>74.074074074074074074074074070</v>
      </c>
      <c r="E26" s="574">
        <v>60.493827160493827160493827160</v>
      </c>
      <c r="F26" s="574">
        <v>77.777777777777777777777777780</v>
      </c>
      <c r="G26" s="574">
        <v>55.555555555555555555555555560</v>
      </c>
      <c r="H26" s="574">
        <v>50.617283950617283950617283950</v>
      </c>
      <c r="I26" s="574">
        <v>58.024691358024691358024691360</v>
      </c>
      <c r="J26" s="574">
        <v>35.802469135802469135802469140</v>
      </c>
      <c r="K26" s="574">
        <v>59.259259259259259259259259260</v>
      </c>
      <c r="L26" s="574">
        <v>66.666666666666666666666666670</v>
      </c>
      <c r="M26" s="574">
        <v>65.432098765432098765432098770</v>
      </c>
      <c r="N26" s="574">
        <v>50.617283950617283950617283950</v>
      </c>
      <c r="O26" s="574">
        <v>48.148148148148148148148148150</v>
      </c>
      <c r="P26" s="574">
        <v>66.666666666666666666666666670</v>
      </c>
      <c r="Q26" s="574">
        <v>20.987654320987654320987654320</v>
      </c>
      <c r="R26" s="574">
        <v>53.086419753086419753086419750</v>
      </c>
      <c r="S26" s="574">
        <v>69.135802469135802469135802470</v>
      </c>
      <c r="T26" s="574">
        <v>51.851851851851851851851851850</v>
      </c>
      <c r="U26" s="574">
        <v>66.666666666666666666666666670</v>
      </c>
      <c r="V26" s="574">
        <v>76.543209876543209876543209880</v>
      </c>
      <c r="W26" s="574">
        <v>72.839506172839506172839506170</v>
      </c>
      <c r="X26" s="574">
        <v>24.691358024691358024691358020</v>
      </c>
      <c r="Y26" s="574">
        <v>43.209876543209876543209876540</v>
      </c>
      <c r="Z26" s="574">
        <v>53.086419753086419753086419750</v>
      </c>
      <c r="AA26" s="574">
        <v>41.975308641975308641975308640</v>
      </c>
      <c r="AB26" s="574">
        <v>19.753086419753086419753086420</v>
      </c>
      <c r="AC26" s="574">
        <v>46.913580246913580246913580250</v>
      </c>
      <c r="AD26" s="574">
        <v>43.209876543209876543209876540</v>
      </c>
      <c r="AE26" s="574">
        <v>23.456790123456790123456790120</v>
      </c>
      <c r="AF26" s="574">
        <v>38.271604938271604938271604940</v>
      </c>
      <c r="AG26" s="575"/>
      <c r="AH26" s="530"/>
    </row>
    <row r="27" ht="24.95" customHeight="1">
      <c r="B27" s="38" t="s">
        <v>35</v>
      </c>
      <c r="C27" s="271">
        <v>23.782771535580524344569288390</v>
      </c>
      <c r="D27" s="97">
        <v>38.951310861423220973782771540</v>
      </c>
      <c r="E27" s="97">
        <v>38.576779026217228464419475660</v>
      </c>
      <c r="F27" s="97">
        <v>44.382022471910112359550561800</v>
      </c>
      <c r="G27" s="97">
        <v>42.883895131086142322097378280</v>
      </c>
      <c r="H27" s="97">
        <v>40.449438202247191011235955060</v>
      </c>
      <c r="I27" s="97">
        <v>34.269662921348314606741573030</v>
      </c>
      <c r="J27" s="97">
        <v>24.906367041198501872659176030</v>
      </c>
      <c r="K27" s="97">
        <v>33.146067415730337078651685390</v>
      </c>
      <c r="L27" s="97">
        <v>35.580524344569288389513108610</v>
      </c>
      <c r="M27" s="97">
        <v>38.014981273408239700374531840</v>
      </c>
      <c r="N27" s="97">
        <v>32.209737827715355805243445690</v>
      </c>
      <c r="O27" s="97">
        <v>42.322097378277153558052434460</v>
      </c>
      <c r="P27" s="97">
        <v>45.880149812734082397003745320</v>
      </c>
      <c r="Q27" s="97">
        <v>23.220973782771535580524344570</v>
      </c>
      <c r="R27" s="97">
        <v>31.835205992509363295880149810</v>
      </c>
      <c r="S27" s="97">
        <v>41.198501872659176029962546820</v>
      </c>
      <c r="T27" s="97">
        <v>35.205992509363295880149812730</v>
      </c>
      <c r="U27" s="97">
        <v>31.273408239700374531835205990</v>
      </c>
      <c r="V27" s="97">
        <v>51.310861423220973782771535580</v>
      </c>
      <c r="W27" s="97">
        <v>57.303370786516853932584269660</v>
      </c>
      <c r="X27" s="97">
        <v>27.340823970037453183520599250</v>
      </c>
      <c r="Y27" s="97">
        <v>37.078651685393258426966292130</v>
      </c>
      <c r="Z27" s="97">
        <v>39.700374531835205992509363300</v>
      </c>
      <c r="AA27" s="97">
        <v>37.453183520599250936329588010</v>
      </c>
      <c r="AB27" s="97">
        <v>29.026217228464419475655430710</v>
      </c>
      <c r="AC27" s="97">
        <v>42.696629213483146067415730340</v>
      </c>
      <c r="AD27" s="97">
        <v>48.876404494382022471910112360</v>
      </c>
      <c r="AE27" s="97">
        <v>22.097378277153558052434456930</v>
      </c>
      <c r="AF27" s="97">
        <v>30.524344569288389513108614230</v>
      </c>
      <c r="AG27" s="272"/>
      <c r="AH27" s="530"/>
    </row>
    <row r="28" ht="24.95" customHeight="1">
      <c r="A28" s="23"/>
      <c r="B28" s="40" t="s">
        <v>97</v>
      </c>
      <c r="C28" s="581">
        <v>124.58442694652964914818726881</v>
      </c>
      <c r="D28" s="582">
        <v>190.17094017105354207758060670</v>
      </c>
      <c r="E28" s="582">
        <v>156.81409564911713883739525476</v>
      </c>
      <c r="F28" s="582">
        <v>175.24613220819745411169863290</v>
      </c>
      <c r="G28" s="582">
        <v>129.54876273649379938089155514</v>
      </c>
      <c r="H28" s="582">
        <v>125.13717421139427869227268976</v>
      </c>
      <c r="I28" s="582">
        <v>169.31795183185174435386777561</v>
      </c>
      <c r="J28" s="582">
        <v>143.74825953772457543189636635</v>
      </c>
      <c r="K28" s="582">
        <v>178.78217200267461670231004369</v>
      </c>
      <c r="L28" s="582">
        <v>187.36842105246985041551260498</v>
      </c>
      <c r="M28" s="582">
        <v>172.12187557018873942495482290</v>
      </c>
      <c r="N28" s="582">
        <v>157.14900947466578981631716409</v>
      </c>
      <c r="O28" s="582">
        <v>113.76597836768686575995687307</v>
      </c>
      <c r="P28" s="582">
        <v>145.30612244908753352769687320</v>
      </c>
      <c r="Q28" s="582">
        <v>90.38231780156184915404491940</v>
      </c>
      <c r="R28" s="582">
        <v>166.75381263621462258105858163</v>
      </c>
      <c r="S28" s="582">
        <v>167.81144781128152555861663248</v>
      </c>
      <c r="T28" s="582">
        <v>147.28132387691500930536709333</v>
      </c>
      <c r="U28" s="582">
        <v>213.17365269461333142099035466</v>
      </c>
      <c r="V28" s="582">
        <v>149.17545282514883841164412681</v>
      </c>
      <c r="W28" s="582">
        <v>127.11207939969848491321002993</v>
      </c>
      <c r="X28" s="582">
        <v>90.30948756988525399109015228</v>
      </c>
      <c r="Y28" s="582">
        <v>116.53572764681756963575145778</v>
      </c>
      <c r="Z28" s="582">
        <v>133.71767994421361826404556748</v>
      </c>
      <c r="AA28" s="582">
        <v>112.07407407407183259259259263</v>
      </c>
      <c r="AB28" s="582">
        <v>68.052568697646568774810292260</v>
      </c>
      <c r="AC28" s="582">
        <v>109.87654320983317089018845118</v>
      </c>
      <c r="AD28" s="582">
        <v>88.40641407687964390161951581</v>
      </c>
      <c r="AE28" s="582">
        <v>106.15191462626779873812382636</v>
      </c>
      <c r="AF28" s="582">
        <v>125.38059531919793521550458139</v>
      </c>
      <c r="AG28" s="583"/>
      <c r="AH28" s="531"/>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-4.0000000001113599999998708200</v>
      </c>
      <c r="D30" s="574">
        <v>39.534883720894537587885352550</v>
      </c>
      <c r="E30" s="574">
        <v>8.888888888801777777777847470</v>
      </c>
      <c r="F30" s="574">
        <v>4.9999999999632500000000128700</v>
      </c>
      <c r="G30" s="574">
        <v>-8.163265306131820074968762050</v>
      </c>
      <c r="H30" s="574">
        <v>-10.869565217406805293005668380</v>
      </c>
      <c r="I30" s="574">
        <v>-2.0833333334006510416666203800</v>
      </c>
      <c r="J30" s="574">
        <v>-9.374999999985839843749997780</v>
      </c>
      <c r="K30" s="574">
        <v>-3.9999999999558399999999796900</v>
      </c>
      <c r="L30" s="574">
        <v>3.8461538461498520710059173200</v>
      </c>
      <c r="M30" s="574">
        <v>15.217391304327788279773160390</v>
      </c>
      <c r="N30" s="574">
        <v>17.142857142883918367346944890</v>
      </c>
      <c r="O30" s="574">
        <v>-35.000000000022749999999992040</v>
      </c>
      <c r="P30" s="574">
        <v>25.581395348805083829096817310</v>
      </c>
      <c r="Q30" s="574">
        <v>-60.465116279079881016765816780</v>
      </c>
      <c r="R30" s="574">
        <v>-40.277777777785243055555554630</v>
      </c>
      <c r="S30" s="574">
        <v>-19.999999999981714285714281530</v>
      </c>
      <c r="T30" s="574">
        <v>-43.243243243269320672023362750</v>
      </c>
      <c r="U30" s="574">
        <v>169.99999999990550000000003309</v>
      </c>
      <c r="V30" s="574">
        <v>6.8965517241453032104637341600</v>
      </c>
      <c r="W30" s="574">
        <v>13.461538461534097633136094840</v>
      </c>
      <c r="X30" s="574">
        <v>-16.666666666583333333333250020</v>
      </c>
      <c r="Y30" s="574">
        <v>-16.666666666744047619047547200</v>
      </c>
      <c r="Z30" s="574">
        <v>16.216216216162819576333114370</v>
      </c>
      <c r="AA30" s="574">
        <v>-15.000000000029749999999989590</v>
      </c>
      <c r="AB30" s="574">
        <v>-67.999999999985279999999993230</v>
      </c>
      <c r="AC30" s="574">
        <v>2.7027027026555149744339150400</v>
      </c>
      <c r="AD30" s="574">
        <v>-2.7777777776805555555554583400</v>
      </c>
      <c r="AE30" s="574">
        <v>5.5555555556611111111112166500</v>
      </c>
      <c r="AF30" s="574">
        <v>-34.042553191461294703485728210</v>
      </c>
      <c r="AG30" s="575"/>
      <c r="AH30" s="530"/>
    </row>
    <row r="31" ht="24.95" customHeight="1">
      <c r="B31" s="38" t="s">
        <v>35</v>
      </c>
      <c r="C31" s="271">
        <v>-11.135033304110048462584970840</v>
      </c>
      <c r="D31" s="97">
        <v>30.675365470547405753214318090</v>
      </c>
      <c r="E31" s="97">
        <v>19.760746827802453437992166170</v>
      </c>
      <c r="F31" s="97">
        <v>12.123004139656808490771656600</v>
      </c>
      <c r="G31" s="97">
        <v>27.426431246830722005656434740</v>
      </c>
      <c r="H31" s="97">
        <v>-11.125178034459073351328080300</v>
      </c>
      <c r="I31" s="97">
        <v>-27.016144495105141729776098750</v>
      </c>
      <c r="J31" s="97">
        <v>-16.889983776828178537587325790</v>
      </c>
      <c r="K31" s="97">
        <v>-19.520832422511896224134584150</v>
      </c>
      <c r="L31" s="97">
        <v>-10.112359550486102897693608650</v>
      </c>
      <c r="M31" s="97">
        <v>-8.764044943893213483146009010</v>
      </c>
      <c r="N31" s="97">
        <v>-4.2910647403716847817776996900</v>
      </c>
      <c r="O31" s="97">
        <v>-18.238424879085420118141807530</v>
      </c>
      <c r="P31" s="97">
        <v>-9.971026782491590033639814160</v>
      </c>
      <c r="Q31" s="97">
        <v>-44.054487874698769440064825130</v>
      </c>
      <c r="R31" s="97">
        <v>-57.733683958873991485292545610</v>
      </c>
      <c r="S31" s="97">
        <v>-44.595118171270558056887860980</v>
      </c>
      <c r="T31" s="97">
        <v>-51.072295488081719587510955990</v>
      </c>
      <c r="U31" s="97">
        <v>-1.0623084780424128517039649600</v>
      </c>
      <c r="V31" s="97">
        <v>6.019793139449126073220777500</v>
      </c>
      <c r="W31" s="97">
        <v>5.47877100531476636270604600</v>
      </c>
      <c r="X31" s="97">
        <v>7.978950362734234826239700450</v>
      </c>
      <c r="Y31" s="97">
        <v>7.116104868866250520183125600</v>
      </c>
      <c r="Z31" s="97">
        <v>5.867665418227215980024968800</v>
      </c>
      <c r="AA31" s="97">
        <v>-11.808352766487762848948488160</v>
      </c>
      <c r="AB31" s="97">
        <v>-22.596754057428214731585518110</v>
      </c>
      <c r="AC31" s="97">
        <v>-8.757888256173203649313348580</v>
      </c>
      <c r="AD31" s="97">
        <v>5.8988764046002808988765103900</v>
      </c>
      <c r="AE31" s="97">
        <v>-20.754229626715932076580825320</v>
      </c>
      <c r="AF31" s="97">
        <v>-17.900038744700917847933830380</v>
      </c>
      <c r="AG31" s="272"/>
      <c r="AH31" s="530"/>
    </row>
    <row r="32" ht="24.95" customHeight="1">
      <c r="A32" s="23"/>
      <c r="B32" s="40" t="s">
        <v>97</v>
      </c>
      <c r="C32" s="581">
        <v>8.029073288703151963280101470</v>
      </c>
      <c r="D32" s="582">
        <v>6.77979221145307833562440100</v>
      </c>
      <c r="E32" s="582">
        <v>-9.077981080458493517988524040</v>
      </c>
      <c r="F32" s="582">
        <v>-6.3528481013062340498442442500</v>
      </c>
      <c r="G32" s="582">
        <v>-27.929603148066046219218206210</v>
      </c>
      <c r="H32" s="582">
        <v>0.2876099344554177258208171400</v>
      </c>
      <c r="I32" s="582">
        <v>34.162091039712054909392022240</v>
      </c>
      <c r="J32" s="582">
        <v>9.042211899738112603845163880</v>
      </c>
      <c r="K32" s="582">
        <v>19.285528031405551393422385890</v>
      </c>
      <c r="L32" s="582">
        <v>15.528846153637015062967428350</v>
      </c>
      <c r="M32" s="582">
        <v>26.285071749955961313567366120</v>
      </c>
      <c r="N32" s="582">
        <v>22.394901609880879052446635240</v>
      </c>
      <c r="O32" s="582">
        <v>-20.500553097411057348527905550</v>
      </c>
      <c r="P32" s="582">
        <v>39.489978460067742746675118300</v>
      </c>
      <c r="Q32" s="582">
        <v>-29.333234751121901911465644230</v>
      </c>
      <c r="R32" s="582">
        <v>41.299805178479051646995066700</v>
      </c>
      <c r="S32" s="582">
        <v>44.391608391472611567453660410</v>
      </c>
      <c r="T32" s="582">
        <v>16.001266200602578742175455520</v>
      </c>
      <c r="U32" s="582">
        <v>172.89902952707940084101239299</v>
      </c>
      <c r="V32" s="582">
        <v>0.8269763208875832701593451200</v>
      </c>
      <c r="W32" s="582">
        <v>7.5681271029404768017780990100</v>
      </c>
      <c r="X32" s="582">
        <v>-22.8244643484026557389262400</v>
      </c>
      <c r="Y32" s="582">
        <v>-22.202797202797027928365338350</v>
      </c>
      <c r="Z32" s="582">
        <v>9.774987251479295992784599790</v>
      </c>
      <c r="AA32" s="582">
        <v>-3.6189903846960851761278925900</v>
      </c>
      <c r="AB32" s="582">
        <v>-58.658064516169063920915660990</v>
      </c>
      <c r="AC32" s="582">
        <v>12.560637560617232228293353210</v>
      </c>
      <c r="AD32" s="582">
        <v>-8.193339227954623121457320910</v>
      </c>
      <c r="AE32" s="582">
        <v>33.200239026127164577726500990</v>
      </c>
      <c r="AF32" s="582">
        <v>-19.662024439486309724263545080</v>
      </c>
      <c r="AG32" s="583"/>
      <c r="AH32" s="531"/>
    </row>
    <row r="33" ht="30" customHeight="1">
      <c r="A33" s="8"/>
      <c r="B33" s="25"/>
      <c r="X33" s="792"/>
      <c r="Y33" s="792"/>
      <c r="Z33" s="792"/>
      <c r="AA33" s="792"/>
      <c r="AB33" s="792"/>
      <c r="AC33" s="792"/>
      <c r="AD33" s="792"/>
      <c r="AE33"/>
      <c r="AF33"/>
      <c r="AG33" s="4"/>
      <c r="AH33" s="4"/>
    </row>
    <row r="34" s="35" customFormat="1" ht="20.1" customHeight="1">
      <c r="B34" s="784" t="s">
        <v>9</v>
      </c>
      <c r="C34" s="350" t="s">
        <v>230</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c r="AH35" s="529"/>
      <c r="AI35" s="236"/>
      <c r="AJ35" s="236"/>
      <c r="AK35" s="236"/>
      <c r="AL35" s="236"/>
      <c r="AM35" s="236"/>
      <c r="AN35" s="236"/>
      <c r="AO35" s="236"/>
      <c r="AP35" s="236"/>
      <c r="AQ35" s="236"/>
      <c r="AR35" s="236"/>
      <c r="AS35" s="236"/>
      <c r="AT35" s="236"/>
      <c r="AU35" s="236"/>
      <c r="AV35" s="236"/>
      <c r="AW35" s="236"/>
    </row>
    <row r="36" ht="24.95" customHeight="1">
      <c r="B36" s="263" t="s">
        <v>19</v>
      </c>
      <c r="C36" s="578">
        <v>107.693750000</v>
      </c>
      <c r="D36" s="579">
        <v>118.70266666666666666666666667</v>
      </c>
      <c r="E36" s="579">
        <v>119.5797959183673469387755102</v>
      </c>
      <c r="F36" s="579">
        <v>116.82793650793650793650793651</v>
      </c>
      <c r="G36" s="579">
        <v>120.11733333333333333333333333</v>
      </c>
      <c r="H36" s="579">
        <v>141.44512195121951219512195122</v>
      </c>
      <c r="I36" s="579">
        <v>137.72787234042553191489361702</v>
      </c>
      <c r="J36" s="579">
        <v>113.93862068965517241379310345</v>
      </c>
      <c r="K36" s="579">
        <v>119.68791666666666666666666667</v>
      </c>
      <c r="L36" s="579">
        <v>119.60037037037037037037037037</v>
      </c>
      <c r="M36" s="579">
        <v>123.72811320754716981132075472</v>
      </c>
      <c r="N36" s="579">
        <v>120.28219512195121951219512195</v>
      </c>
      <c r="O36" s="579">
        <v>135.380000000</v>
      </c>
      <c r="P36" s="579">
        <v>130.75296296296296296296296296</v>
      </c>
      <c r="Q36" s="579">
        <v>101.84529411764705882352941176</v>
      </c>
      <c r="R36" s="579">
        <v>126.55325581395348837209302326</v>
      </c>
      <c r="S36" s="579">
        <v>133.36196428571428571428571429</v>
      </c>
      <c r="T36" s="579">
        <v>126.11333333333333333333333333</v>
      </c>
      <c r="U36" s="579">
        <v>146.83888888888888888888888889</v>
      </c>
      <c r="V36" s="579">
        <v>148.25241935483870967741935484</v>
      </c>
      <c r="W36" s="579">
        <v>129.72067796610169491525423729</v>
      </c>
      <c r="X36" s="579">
        <v>129.505000000</v>
      </c>
      <c r="Y36" s="579">
        <v>129.988000000</v>
      </c>
      <c r="Z36" s="579">
        <v>135.75395348837209302325581395</v>
      </c>
      <c r="AA36" s="579">
        <v>127.54882352941176470588235294</v>
      </c>
      <c r="AB36" s="579">
        <v>124.080000000</v>
      </c>
      <c r="AC36" s="579">
        <v>131.66947368421052631578947368</v>
      </c>
      <c r="AD36" s="579">
        <v>130.79628571428571428571428571</v>
      </c>
      <c r="AE36" s="579">
        <v>107.14947368421052631578947368</v>
      </c>
      <c r="AF36" s="579">
        <v>121.52483870967741935483870968</v>
      </c>
      <c r="AG36" s="580"/>
      <c r="AH36" s="530"/>
    </row>
    <row r="37" ht="24.95" customHeight="1">
      <c r="B37" s="38" t="s">
        <v>35</v>
      </c>
      <c r="C37" s="276">
        <v>114.4462992125984251968503937</v>
      </c>
      <c r="D37" s="101">
        <v>119.53499999999999999999999999</v>
      </c>
      <c r="E37" s="101">
        <v>120.97723300970873786407766989</v>
      </c>
      <c r="F37" s="101">
        <v>120.6975527426160337552742616</v>
      </c>
      <c r="G37" s="101">
        <v>119.59663755458515283842794759</v>
      </c>
      <c r="H37" s="101">
        <v>117.14763888888888888888888888</v>
      </c>
      <c r="I37" s="101">
        <v>121.64792349726775956284153007</v>
      </c>
      <c r="J37" s="101">
        <v>106.77075187969924812030075187</v>
      </c>
      <c r="K37" s="101">
        <v>108.2422598870056497175141243</v>
      </c>
      <c r="L37" s="101">
        <v>119.02342105263157894736842106</v>
      </c>
      <c r="M37" s="101">
        <v>110.42211822660098522167487684</v>
      </c>
      <c r="N37" s="101">
        <v>116.08819767441860465116279071</v>
      </c>
      <c r="O37" s="101">
        <v>125.19823008849557522123893804</v>
      </c>
      <c r="P37" s="101">
        <v>122.64677551020408163265306122</v>
      </c>
      <c r="Q37" s="101">
        <v>117.86153225806451612903225805</v>
      </c>
      <c r="R37" s="101">
        <v>120.94388235294117647058823531</v>
      </c>
      <c r="S37" s="101">
        <v>120.22027272727272727272727272</v>
      </c>
      <c r="T37" s="101">
        <v>114.00840425531914893617021278</v>
      </c>
      <c r="U37" s="101">
        <v>122.91520958083832335329341318</v>
      </c>
      <c r="V37" s="101">
        <v>127.00686131386861313868613139</v>
      </c>
      <c r="W37" s="101">
        <v>132.23777777777777777777777778</v>
      </c>
      <c r="X37" s="101">
        <v>111.60965753424657534246575343</v>
      </c>
      <c r="Y37" s="101">
        <v>129.39020202020202020202020203</v>
      </c>
      <c r="Z37" s="101">
        <v>128.41853773584905660377358489</v>
      </c>
      <c r="AA37" s="101">
        <v>128.22140000000000000000000002</v>
      </c>
      <c r="AB37" s="101">
        <v>116.32722580645161290322580646</v>
      </c>
      <c r="AC37" s="101">
        <v>125.64749999999999999999999999</v>
      </c>
      <c r="AD37" s="101">
        <v>122.80977011494252873563218391</v>
      </c>
      <c r="AE37" s="101">
        <v>110.075</v>
      </c>
      <c r="AF37" s="101">
        <v>117.48907975460122699386503068</v>
      </c>
      <c r="AG37" s="277"/>
      <c r="AH37" s="530"/>
    </row>
    <row r="38" ht="24.95" customHeight="1">
      <c r="A38" s="23"/>
      <c r="B38" s="40" t="s">
        <v>98</v>
      </c>
      <c r="C38" s="581">
        <v>94.09980990293430471383060467</v>
      </c>
      <c r="D38" s="582">
        <v>99.30369069031385507731347862</v>
      </c>
      <c r="E38" s="582">
        <v>98.84487596833975692752582114</v>
      </c>
      <c r="F38" s="582">
        <v>96.79395634233293160605576027</v>
      </c>
      <c r="G38" s="582">
        <v>100.43537660370728876696817974</v>
      </c>
      <c r="H38" s="582">
        <v>120.74090719435042142679910896</v>
      </c>
      <c r="I38" s="582">
        <v>113.21843265453062139327511316</v>
      </c>
      <c r="J38" s="582">
        <v>106.71332615324401178343826746</v>
      </c>
      <c r="K38" s="582">
        <v>110.57411106495320050603505806</v>
      </c>
      <c r="L38" s="582">
        <v>100.48473595588837868941196303</v>
      </c>
      <c r="M38" s="582">
        <v>112.05011748972393699204928626</v>
      </c>
      <c r="N38" s="582">
        <v>103.61276816383556289989419489</v>
      </c>
      <c r="O38" s="582">
        <v>108.13251904943282396344736726</v>
      </c>
      <c r="P38" s="582">
        <v>106.60937673986284827805925679</v>
      </c>
      <c r="Q38" s="582">
        <v>86.41097070978200370039484996</v>
      </c>
      <c r="R38" s="582">
        <v>104.63799685600136224109642513</v>
      </c>
      <c r="S38" s="582">
        <v>110.93134399072946771382308602</v>
      </c>
      <c r="T38" s="582">
        <v>110.61757609634344285651829993</v>
      </c>
      <c r="U38" s="582">
        <v>119.46356304454114765097450498</v>
      </c>
      <c r="V38" s="582">
        <v>116.72788211688019571834975158</v>
      </c>
      <c r="W38" s="582">
        <v>98.09653500384148597369052823</v>
      </c>
      <c r="X38" s="582">
        <v>116.03386558221130458256601480</v>
      </c>
      <c r="Y38" s="582">
        <v>100.46201178332395958371605306</v>
      </c>
      <c r="Z38" s="582">
        <v>105.71211593116213744263790098</v>
      </c>
      <c r="AA38" s="582">
        <v>99.47545692794788132549040405</v>
      </c>
      <c r="AB38" s="582">
        <v>106.66462570541830915832586623</v>
      </c>
      <c r="AC38" s="582">
        <v>104.79275248947295116559380304</v>
      </c>
      <c r="AD38" s="582">
        <v>106.50315979902379401625452632</v>
      </c>
      <c r="AE38" s="582">
        <v>97.34224272923963326440106625</v>
      </c>
      <c r="AF38" s="582">
        <v>103.43500771604214475933093775</v>
      </c>
      <c r="AG38" s="583"/>
      <c r="AH38" s="531"/>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-12.028709548828941865328314510</v>
      </c>
      <c r="D40" s="574">
        <v>1.759071341342683568064414300</v>
      </c>
      <c r="E40" s="574">
        <v>4.2608631422660962789359531800</v>
      </c>
      <c r="F40" s="574">
        <v>-8.435478117184205152824033770</v>
      </c>
      <c r="G40" s="574">
        <v>-2.5262229317956527572678049700</v>
      </c>
      <c r="H40" s="574">
        <v>4.7454901195805170854639181800</v>
      </c>
      <c r="I40" s="574">
        <v>-1.1621462512152023308832240200</v>
      </c>
      <c r="J40" s="574">
        <v>-9.113582921972920869236040360</v>
      </c>
      <c r="K40" s="574">
        <v>-14.339267446875918482638053900</v>
      </c>
      <c r="L40" s="574">
        <v>-9.754823582518456346228314790</v>
      </c>
      <c r="M40" s="574">
        <v>-8.883771517584573562742302650</v>
      </c>
      <c r="N40" s="574">
        <v>-2.4022990780844159635330813800</v>
      </c>
      <c r="O40" s="574">
        <v>14.747127719504738149529655230</v>
      </c>
      <c r="P40" s="574">
        <v>-1.1088467094922196044155656500</v>
      </c>
      <c r="Q40" s="574">
        <v>-30.739949121721921390570669820</v>
      </c>
      <c r="R40" s="574">
        <v>-19.464930382547877867983199690</v>
      </c>
      <c r="S40" s="574">
        <v>-13.957485382041490161070564570</v>
      </c>
      <c r="T40" s="574">
        <v>-21.007905935697237005982967440</v>
      </c>
      <c r="U40" s="574">
        <v>31.716515719170880140013893750</v>
      </c>
      <c r="V40" s="574">
        <v>4.3478722116537113645699455600</v>
      </c>
      <c r="W40" s="574">
        <v>-4.5584422794057609958258459200</v>
      </c>
      <c r="X40" s="574">
        <v>-2.7308176179115424938800171600</v>
      </c>
      <c r="Y40" s="574">
        <v>9.739054227358089441735538960</v>
      </c>
      <c r="Z40" s="574">
        <v>5.8860690238063446318507875700</v>
      </c>
      <c r="AA40" s="574">
        <v>2.8789626748065322943570130100</v>
      </c>
      <c r="AB40" s="574">
        <v>4.5146487286914947919562130100</v>
      </c>
      <c r="AC40" s="574">
        <v>27.817335552445686084278825240</v>
      </c>
      <c r="AD40" s="574">
        <v>3.9996264166442495282552900800</v>
      </c>
      <c r="AE40" s="574">
        <v>-2.2868977411337184006096780700</v>
      </c>
      <c r="AF40" s="574">
        <v>4.0987139880738558804511818400</v>
      </c>
      <c r="AG40" s="575"/>
      <c r="AH40" s="530"/>
    </row>
    <row r="41" ht="24.95" customHeight="1">
      <c r="B41" s="38" t="s">
        <v>35</v>
      </c>
      <c r="C41" s="271">
        <v>2.0879152067152728380322644300</v>
      </c>
      <c r="D41" s="97">
        <v>4.5302944251336310287621566200</v>
      </c>
      <c r="E41" s="97">
        <v>1.0700109811331985278390006500</v>
      </c>
      <c r="F41" s="97">
        <v>8.736296041299554083299513650</v>
      </c>
      <c r="G41" s="97">
        <v>8.784589050945172330119029160</v>
      </c>
      <c r="H41" s="97">
        <v>0.7971366052350431089636126800</v>
      </c>
      <c r="I41" s="97">
        <v>5.3751890917350296517148016500</v>
      </c>
      <c r="J41" s="97">
        <v>0.2389764781614898409924394900</v>
      </c>
      <c r="K41" s="97">
        <v>-1.7331623942946108375288594600</v>
      </c>
      <c r="L41" s="97">
        <v>3.9225857856571092567622015600</v>
      </c>
      <c r="M41" s="97">
        <v>2.9338028397647696787651471500</v>
      </c>
      <c r="N41" s="97">
        <v>7.4531594450656810693328040800</v>
      </c>
      <c r="O41" s="97">
        <v>10.306449587033711860091318750</v>
      </c>
      <c r="P41" s="97">
        <v>11.331598953580021434860260780</v>
      </c>
      <c r="Q41" s="97">
        <v>6.8419223859504062912605824700</v>
      </c>
      <c r="R41" s="97">
        <v>-10.384510584851788667270746380</v>
      </c>
      <c r="S41" s="97">
        <v>-5.4319281842306822455573231300</v>
      </c>
      <c r="T41" s="97">
        <v>-16.218435478132647046497513320</v>
      </c>
      <c r="U41" s="97">
        <v>26.710773196181538892480057420</v>
      </c>
      <c r="V41" s="97">
        <v>6.39572031476538871314555900</v>
      </c>
      <c r="W41" s="97">
        <v>9.215344286693644841169961010</v>
      </c>
      <c r="X41" s="97">
        <v>8.278583417636536907132083570</v>
      </c>
      <c r="Y41" s="97">
        <v>16.475835870099890936341700830</v>
      </c>
      <c r="Z41" s="97">
        <v>18.092183736071741830951336060</v>
      </c>
      <c r="AA41" s="97">
        <v>21.093256858936551942008008790</v>
      </c>
      <c r="AB41" s="97">
        <v>9.582074482527083807813200560</v>
      </c>
      <c r="AC41" s="97">
        <v>17.138024272960199372323435250</v>
      </c>
      <c r="AD41" s="97">
        <v>15.444303309288807537777686080</v>
      </c>
      <c r="AE41" s="97">
        <v>11.603389172733849237574703110</v>
      </c>
      <c r="AF41" s="97">
        <v>16.704193748169340133046935130</v>
      </c>
      <c r="AG41" s="272"/>
      <c r="AH41" s="530"/>
    </row>
    <row r="42" ht="24.95" customHeight="1">
      <c r="A42" s="23"/>
      <c r="B42" s="40" t="s">
        <v>98</v>
      </c>
      <c r="C42" s="581">
        <v>-13.827909725582635937785100350</v>
      </c>
      <c r="D42" s="582">
        <v>-2.6511195620535550988248016800</v>
      </c>
      <c r="E42" s="582">
        <v>3.1570711531613724947499144100</v>
      </c>
      <c r="F42" s="582">
        <v>-15.792127177083988750429200370</v>
      </c>
      <c r="G42" s="582">
        <v>-10.397439638664964992815450680</v>
      </c>
      <c r="H42" s="582">
        <v>3.9171286479477363773548257300</v>
      </c>
      <c r="I42" s="582">
        <v>-6.2038658239083418940834314200</v>
      </c>
      <c r="J42" s="582">
        <v>-9.330262267947063831544015290</v>
      </c>
      <c r="K42" s="582">
        <v>-12.828442798918348477044641060</v>
      </c>
      <c r="L42" s="582">
        <v>-13.161151894675609637644115070</v>
      </c>
      <c r="M42" s="582">
        <v>-11.480751736857222397921518050</v>
      </c>
      <c r="N42" s="582">
        <v>-9.171864814407148129832173330</v>
      </c>
      <c r="O42" s="582">
        <v>4.025764721079407323676650500</v>
      </c>
      <c r="P42" s="582">
        <v>-11.174227065805899501032960300</v>
      </c>
      <c r="Q42" s="582">
        <v>-35.175210880187873937724127240</v>
      </c>
      <c r="R42" s="582">
        <v>-10.132645435405519519469922280</v>
      </c>
      <c r="S42" s="582">
        <v>-9.015259626352241490032112420</v>
      </c>
      <c r="T42" s="582">
        <v>-5.7166161612122147178097072600</v>
      </c>
      <c r="U42" s="582">
        <v>3.9505263812773177239685813100</v>
      </c>
      <c r="V42" s="582">
        <v>-1.9247466881505044781619043700</v>
      </c>
      <c r="W42" s="582">
        <v>-12.611585538708404694820066220</v>
      </c>
      <c r="X42" s="582">
        <v>-10.167662605111215507582744330</v>
      </c>
      <c r="Y42" s="582">
        <v>-5.7838448571484532587191816600</v>
      </c>
      <c r="Z42" s="582">
        <v>-10.336090269491224021445485570</v>
      </c>
      <c r="AA42" s="582">
        <v>-15.04154290386829767748243200</v>
      </c>
      <c r="AB42" s="582">
        <v>-4.6243199700631317892633415700</v>
      </c>
      <c r="AC42" s="582">
        <v>9.116861365761240882627598400</v>
      </c>
      <c r="AD42" s="582">
        <v>-9.913591718697947456831422130</v>
      </c>
      <c r="AE42" s="582">
        <v>-12.446115675228286706685358920</v>
      </c>
      <c r="AF42" s="582">
        <v>-10.801222608412263434206761410</v>
      </c>
      <c r="AG42" s="583"/>
      <c r="AH42" s="531"/>
    </row>
    <row r="43" ht="30" customHeight="1">
      <c r="A43" s="8"/>
      <c r="B43" s="25"/>
      <c r="X43" s="792"/>
      <c r="Y43" s="792"/>
      <c r="Z43" s="792"/>
      <c r="AA43" s="792"/>
      <c r="AB43" s="792"/>
      <c r="AC43" s="792"/>
      <c r="AD43" s="792"/>
      <c r="AE43"/>
      <c r="AF43"/>
      <c r="AG43" s="4"/>
      <c r="AH43" s="4"/>
    </row>
    <row r="44" s="35" customFormat="1" ht="20.1" customHeight="1">
      <c r="B44" s="784" t="s">
        <v>10</v>
      </c>
      <c r="C44" s="350" t="s">
        <v>230</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c r="AH45" s="529"/>
      <c r="AI45" s="236"/>
      <c r="AJ45" s="236"/>
      <c r="AK45" s="236"/>
      <c r="AL45" s="236"/>
      <c r="AM45" s="236"/>
      <c r="AN45" s="236"/>
      <c r="AO45" s="236"/>
      <c r="AP45" s="236"/>
      <c r="AQ45" s="236"/>
      <c r="AR45" s="236"/>
      <c r="AS45" s="236"/>
      <c r="AT45" s="236"/>
      <c r="AU45" s="236"/>
      <c r="AV45" s="236"/>
      <c r="AW45" s="236"/>
    </row>
    <row r="46" ht="24.95" customHeight="1">
      <c r="B46" s="263" t="s">
        <v>19</v>
      </c>
      <c r="C46" s="578">
        <v>31.909259259259259259259259259</v>
      </c>
      <c r="D46" s="579">
        <v>87.92790123456790123456790123</v>
      </c>
      <c r="E46" s="579">
        <v>72.338395061728395061728395062</v>
      </c>
      <c r="F46" s="579">
        <v>90.86617283950617283950617284</v>
      </c>
      <c r="G46" s="579">
        <v>66.731851851851851851851851852</v>
      </c>
      <c r="H46" s="579">
        <v>71.595679012345679012345679012</v>
      </c>
      <c r="I46" s="579">
        <v>79.91617283950617283950617284</v>
      </c>
      <c r="J46" s="579">
        <v>40.792839506172839506172839506</v>
      </c>
      <c r="K46" s="579">
        <v>70.92617283950617283950617284</v>
      </c>
      <c r="L46" s="579">
        <v>79.73358024691358024691358025</v>
      </c>
      <c r="M46" s="579">
        <v>80.95790123456790123456790123</v>
      </c>
      <c r="N46" s="579">
        <v>60.883580246913580246913580247</v>
      </c>
      <c r="O46" s="579">
        <v>65.182962962962962962962962963</v>
      </c>
      <c r="P46" s="579">
        <v>87.16864197530864197530864198</v>
      </c>
      <c r="Q46" s="579">
        <v>21.374938271604938271604938272</v>
      </c>
      <c r="R46" s="579">
        <v>67.182592592592592592592592593</v>
      </c>
      <c r="S46" s="579">
        <v>92.2008641975308641975308642</v>
      </c>
      <c r="T46" s="579">
        <v>65.392098765432098765432098765</v>
      </c>
      <c r="U46" s="579">
        <v>97.89259259259259259259259259</v>
      </c>
      <c r="V46" s="579">
        <v>113.47716049382716049382716049</v>
      </c>
      <c r="W46" s="579">
        <v>94.48790123456790123456790123</v>
      </c>
      <c r="X46" s="579">
        <v>31.97654320987654320987654321</v>
      </c>
      <c r="Y46" s="579">
        <v>56.167654320987654320987654321</v>
      </c>
      <c r="Z46" s="579">
        <v>72.06691358024691358024691358</v>
      </c>
      <c r="AA46" s="579">
        <v>53.539012345679012345679012346</v>
      </c>
      <c r="AB46" s="579">
        <v>24.50962962962962962962962963</v>
      </c>
      <c r="AC46" s="579">
        <v>61.770864197530864197530864198</v>
      </c>
      <c r="AD46" s="579">
        <v>56.51691358024691358024691358</v>
      </c>
      <c r="AE46" s="579">
        <v>25.13382716049382716049382716</v>
      </c>
      <c r="AF46" s="579">
        <v>46.509506172839506172839506173</v>
      </c>
      <c r="AG46" s="580"/>
      <c r="AH46" s="530"/>
    </row>
    <row r="47" ht="24.95" customHeight="1">
      <c r="B47" s="38" t="s">
        <v>35</v>
      </c>
      <c r="C47" s="276">
        <v>27.218501872659176029962546816</v>
      </c>
      <c r="D47" s="101">
        <v>46.560449438202247191011235955</v>
      </c>
      <c r="E47" s="101">
        <v>46.669119850187265917602996255</v>
      </c>
      <c r="F47" s="101">
        <v>53.568014981273408239700374532</v>
      </c>
      <c r="G47" s="101">
        <v>51.287696629213483146067415731</v>
      </c>
      <c r="H47" s="101">
        <v>47.385561797752808988764044944</v>
      </c>
      <c r="I47" s="101">
        <v>41.688333333333333333333333333</v>
      </c>
      <c r="J47" s="101">
        <v>26.592715355805243445692883894</v>
      </c>
      <c r="K47" s="101">
        <v>35.878052434456928838951310861</v>
      </c>
      <c r="L47" s="101">
        <v>42.349157303370786516853932583</v>
      </c>
      <c r="M47" s="101">
        <v>41.976947565543071161048689139</v>
      </c>
      <c r="N47" s="101">
        <v>37.391704119850187265917602997</v>
      </c>
      <c r="O47" s="101">
        <v>52.986516853932584269662921348</v>
      </c>
      <c r="P47" s="101">
        <v>56.270524344569288389513108614</v>
      </c>
      <c r="Q47" s="101">
        <v>27.368595505617977528089887639</v>
      </c>
      <c r="R47" s="101">
        <v>38.502734082397003745318352059</v>
      </c>
      <c r="S47" s="101">
        <v>49.528951310861423220973782772</v>
      </c>
      <c r="T47" s="101">
        <v>40.137790262172284644194756554</v>
      </c>
      <c r="U47" s="101">
        <v>38.439775280898876404494382022</v>
      </c>
      <c r="V47" s="101">
        <v>65.168314606741573033707865168</v>
      </c>
      <c r="W47" s="101">
        <v>75.776704119850187265917602997</v>
      </c>
      <c r="X47" s="101">
        <v>30.515000000</v>
      </c>
      <c r="Y47" s="101">
        <v>47.976142322097378277153558051</v>
      </c>
      <c r="Z47" s="101">
        <v>50.982640449438202247191011236</v>
      </c>
      <c r="AA47" s="101">
        <v>48.022996254681647940074906367</v>
      </c>
      <c r="AB47" s="101">
        <v>33.765393258426966292134831462</v>
      </c>
      <c r="AC47" s="101">
        <v>53.647247191011235955056179776</v>
      </c>
      <c r="AD47" s="101">
        <v>60.025000000</v>
      </c>
      <c r="AE47" s="101">
        <v>24.323689138576779026217228465</v>
      </c>
      <c r="AF47" s="101">
        <v>35.862771535580524344569288389</v>
      </c>
      <c r="AG47" s="277"/>
      <c r="AH47" s="530"/>
    </row>
    <row r="48" ht="24.95" customHeight="1">
      <c r="A48" s="23"/>
      <c r="B48" s="40" t="s">
        <v>99</v>
      </c>
      <c r="C48" s="581">
        <v>117.23370892526624250343823465</v>
      </c>
      <c r="D48" s="582">
        <v>188.84676221022136025659439106</v>
      </c>
      <c r="E48" s="582">
        <v>155.00269834512079332697797487</v>
      </c>
      <c r="F48" s="582">
        <v>169.62766470108430588404094876</v>
      </c>
      <c r="G48" s="582">
        <v>130.11278773993316329162532164</v>
      </c>
      <c r="H48" s="582">
        <v>151.09175937989976035000491171</v>
      </c>
      <c r="I48" s="582">
        <v>191.69913126670948518753066646</v>
      </c>
      <c r="J48" s="582">
        <v>153.39854904014427267520265354</v>
      </c>
      <c r="K48" s="582">
        <v>197.68679743414452375549323894</v>
      </c>
      <c r="L48" s="582">
        <v>188.27666315927418395052280768</v>
      </c>
      <c r="M48" s="582">
        <v>192.86276380206729168244981410</v>
      </c>
      <c r="N48" s="582">
        <v>162.82643885842881098881568990</v>
      </c>
      <c r="O48" s="582">
        <v>123.01801823035903189771373077</v>
      </c>
      <c r="P48" s="582">
        <v>154.90995150762937462607921870</v>
      </c>
      <c r="Q48" s="582">
        <v>78.100238162500245708644144750</v>
      </c>
      <c r="R48" s="582">
        <v>174.4878492234203545974013700</v>
      </c>
      <c r="S48" s="582">
        <v>186.15549442743786764760378972</v>
      </c>
      <c r="T48" s="582">
        <v>162.91903051527849628584902533</v>
      </c>
      <c r="U48" s="582">
        <v>254.66484098109069128710779593</v>
      </c>
      <c r="V48" s="582">
        <v>174.12934672114490170275241716</v>
      </c>
      <c r="W48" s="582">
        <v>124.69254546233831868066504599</v>
      </c>
      <c r="X48" s="582">
        <v>104.78958941463720534123068396</v>
      </c>
      <c r="Y48" s="582">
        <v>117.07413644034124471002379706</v>
      </c>
      <c r="Z48" s="582">
        <v>141.35578884301401127862728743</v>
      </c>
      <c r="AA48" s="582">
        <v>111.48619728290935423127055030</v>
      </c>
      <c r="AB48" s="582">
        <v>72.588017684444519668481248850</v>
      </c>
      <c r="AC48" s="582">
        <v>115.14265396993883975993713201</v>
      </c>
      <c r="AD48" s="582">
        <v>94.15562445688781937567165944</v>
      </c>
      <c r="AE48" s="582">
        <v>103.33065439735535249508949322</v>
      </c>
      <c r="AF48" s="582">
        <v>129.68742844280950692056614116</v>
      </c>
      <c r="AG48" s="583"/>
      <c r="AH48" s="531"/>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-15.547561166867505838414255360</v>
      </c>
      <c r="D50" s="574">
        <v>41.989401871723045304591600290</v>
      </c>
      <c r="E50" s="574">
        <v>13.528495421657825988593139410</v>
      </c>
      <c r="F50" s="574">
        <v>-3.8572520231074649457221152100</v>
      </c>
      <c r="G50" s="574">
        <v>-10.483265957798202565485875350</v>
      </c>
      <c r="H50" s="574">
        <v>-6.6398892412855353785209708200</v>
      </c>
      <c r="I50" s="574">
        <v>-3.2212682042845006008821099300</v>
      </c>
      <c r="J50" s="574">
        <v>-17.634184523060544415008483660</v>
      </c>
      <c r="K50" s="574">
        <v>-17.765696749011475670887281380</v>
      </c>
      <c r="L50" s="574">
        <v>-6.2838552587365289385583901800</v>
      </c>
      <c r="M50" s="574">
        <v>4.9817415123330826620020406100</v>
      </c>
      <c r="N50" s="574">
        <v>14.328735365611580110260965800</v>
      </c>
      <c r="O50" s="574">
        <v>-25.414366982280828338035072490</v>
      </c>
      <c r="P50" s="574">
        <v>24.188890178685470319443621560</v>
      </c>
      <c r="Q50" s="574">
        <v>-72.618119420212178951521846610</v>
      </c>
      <c r="R50" s="574">
        <v>-51.902666756243871504489966490</v>
      </c>
      <c r="S50" s="574">
        <v>-31.165988305663010506445785480</v>
      </c>
      <c r="T50" s="574">
        <v>-55.166649314849496328912531140</v>
      </c>
      <c r="U50" s="574">
        <v>255.63459244184112866597039879</v>
      </c>
      <c r="V50" s="574">
        <v>11.544277191743395020384808980</v>
      </c>
      <c r="W50" s="574">
        <v>8.289459721412819789306002010</v>
      </c>
      <c r="X50" s="574">
        <v>-18.942348015009996973744116510</v>
      </c>
      <c r="Y50" s="574">
        <v>-8.550788143813113323482748060</v>
      </c>
      <c r="Z50" s="574">
        <v>23.056782919556130721761285970</v>
      </c>
      <c r="AA50" s="574">
        <v>-12.552881726350967372471832740</v>
      </c>
      <c r="AB50" s="574">
        <v>-66.555312406830553493667573980</v>
      </c>
      <c r="AC50" s="574">
        <v>31.271858135092314036982676570</v>
      </c>
      <c r="AD50" s="574">
        <v>1.1107479050908971177266040900</v>
      </c>
      <c r="AE50" s="574">
        <v>3.1416079400554956529256177200</v>
      </c>
      <c r="AF50" s="574">
        <v>-31.339146093015110302086788360</v>
      </c>
      <c r="AG50" s="575"/>
      <c r="AH50" s="530"/>
    </row>
    <row r="51" ht="24.95" customHeight="1">
      <c r="B51" s="38" t="s">
        <v>35</v>
      </c>
      <c r="C51" s="271">
        <v>-9.279608151020462781775263220</v>
      </c>
      <c r="D51" s="97">
        <v>36.595344267618046279554125220</v>
      </c>
      <c r="E51" s="97">
        <v>21.042199969964037398806594670</v>
      </c>
      <c r="F51" s="97">
        <v>21.918401711743415381758714510</v>
      </c>
      <c r="G51" s="97">
        <v>38.620319574154420049268373210</v>
      </c>
      <c r="H51" s="97">
        <v>-10.416724295782246989663866200</v>
      </c>
      <c r="I51" s="97">
        <v>-23.093124255351858257427264690</v>
      </c>
      <c r="J51" s="97">
        <v>-16.691370387039280532042815220</v>
      </c>
      <c r="K51" s="97">
        <v>-20.915667090244638782974212330</v>
      </c>
      <c r="L51" s="97">
        <v>-6.5864397431952228520291491100</v>
      </c>
      <c r="M51" s="97">
        <v>-6.0873619033904608037630866400</v>
      </c>
      <c r="N51" s="97">
        <v>2.8422748074287905646663324900</v>
      </c>
      <c r="O51" s="97">
        <v>-9.811709357674627981402454670</v>
      </c>
      <c r="P51" s="97">
        <v>0.2306954044049847248111137800</v>
      </c>
      <c r="Q51" s="97">
        <v>-40.226739356658499580272618040</v>
      </c>
      <c r="R51" s="97">
        <v>-62.122834021980283619787430280</v>
      </c>
      <c r="S51" s="97">
        <v>-47.604671562769688618216977020</v>
      </c>
      <c r="T51" s="97">
        <v>-59.007603675269088236153644650</v>
      </c>
      <c r="U51" s="97">
        <v>25.364713910031006886798267750</v>
      </c>
      <c r="V51" s="97">
        <v>12.800522586945685996998045510</v>
      </c>
      <c r="W51" s="97">
        <v>15.199002902861292802298440310</v>
      </c>
      <c r="X51" s="97">
        <v>16.918077842190733592687191760</v>
      </c>
      <c r="Y51" s="97">
        <v>24.764378497560182800725567170</v>
      </c>
      <c r="Z51" s="97">
        <v>25.021437962897536381204319320</v>
      </c>
      <c r="AA51" s="97">
        <v>6.7941379124923305706485998200</v>
      </c>
      <c r="AB51" s="97">
        <v>-15.179917379290729394580270950</v>
      </c>
      <c r="AC51" s="97">
        <v>6.8792070016414745664157615600</v>
      </c>
      <c r="AD51" s="97">
        <v>22.254220077533372027365695650</v>
      </c>
      <c r="AE51" s="97">
        <v>-11.559034487353530358870039040</v>
      </c>
      <c r="AF51" s="97">
        <v>-4.1859021494304498954930593700</v>
      </c>
      <c r="AG51" s="272"/>
      <c r="AH51" s="530"/>
    </row>
    <row r="52" ht="24.95" customHeight="1">
      <c r="A52" s="23"/>
      <c r="B52" s="40" t="s">
        <v>99</v>
      </c>
      <c r="C52" s="581">
        <v>-6.9090894431362710748661747100</v>
      </c>
      <c r="D52" s="582">
        <v>3.9489322516264169124395360600</v>
      </c>
      <c r="E52" s="582">
        <v>-6.20750824940114869260845900</v>
      </c>
      <c r="F52" s="582">
        <v>-21.141725426971684395433051880</v>
      </c>
      <c r="G52" s="582">
        <v>-35.423079158039515209332936590</v>
      </c>
      <c r="H52" s="582">
        <v>4.2160046333792384698688374800</v>
      </c>
      <c r="I52" s="582">
        <v>25.838854925173087082507183230</v>
      </c>
      <c r="J52" s="582">
        <v>-1.1317124532930409833616263800</v>
      </c>
      <c r="K52" s="582">
        <v>3.9830523003226151239392011100</v>
      </c>
      <c r="L52" s="582">
        <v>0.3239192292199528862404190600</v>
      </c>
      <c r="M52" s="582">
        <v>11.786596181496091419064989380</v>
      </c>
      <c r="N52" s="582">
        <v>11.169006694608170437754309510</v>
      </c>
      <c r="O52" s="582">
        <v>-17.300092410528477912371748800</v>
      </c>
      <c r="P52" s="582">
        <v>23.903051532827600878787865520</v>
      </c>
      <c r="Q52" s="582">
        <v>-54.190418449507634098476811490</v>
      </c>
      <c r="R52" s="582">
        <v>26.982396918682860363491420830</v>
      </c>
      <c r="S52" s="582">
        <v>31.374330016402323699474825520</v>
      </c>
      <c r="T52" s="582">
        <v>9.369919069781616410525154770</v>
      </c>
      <c r="U52" s="582">
        <v>183.67997768241935971153597330</v>
      </c>
      <c r="V52" s="582">
        <v>-1.1136875666046287077782657200</v>
      </c>
      <c r="W52" s="582">
        <v>-5.9979192591749379627303764700</v>
      </c>
      <c r="X52" s="582">
        <v>-30.671412427395151240674389030</v>
      </c>
      <c r="Y52" s="582">
        <v>-26.702466715743485801153626060</v>
      </c>
      <c r="Z52" s="582">
        <v>-1.571454524283697656708772400</v>
      </c>
      <c r="AA52" s="582">
        <v>-18.116181297164217971309037400</v>
      </c>
      <c r="AB52" s="582">
        <v>-60.569847894665526715039248780</v>
      </c>
      <c r="AC52" s="582">
        <v>22.822634839454073344845783050</v>
      </c>
      <c r="AD52" s="582">
        <v>-17.294676747425506069696954750</v>
      </c>
      <c r="AE52" s="582">
        <v>16.621983197461698284682204290</v>
      </c>
      <c r="AF52" s="582">
        <v>-28.339508018898545163511987630</v>
      </c>
      <c r="AG52" s="583"/>
      <c r="AH52" s="531"/>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2"/>
      <c r="C65" s="1012"/>
      <c r="D65" s="1012"/>
      <c r="E65" s="1012"/>
      <c r="F65" s="1012"/>
      <c r="G65" s="1012"/>
      <c r="H65" s="1012"/>
      <c r="I65" s="1012"/>
      <c r="J65" s="1012"/>
      <c r="K65" s="1012"/>
      <c r="L65" s="1012"/>
      <c r="M65" s="1012"/>
      <c r="N65" s="1012"/>
      <c r="O65" s="1012"/>
      <c r="P65" s="1012"/>
      <c r="Q65" s="1012"/>
      <c r="R65" s="1012"/>
      <c r="S65" s="1012"/>
      <c r="T65" s="1012"/>
      <c r="U65" s="1012"/>
      <c r="V65" s="1012"/>
      <c r="W65" s="1012"/>
      <c r="X65" s="1012"/>
      <c r="Y65" s="1012"/>
      <c r="Z65" s="1012"/>
      <c r="AA65" s="1012"/>
      <c r="AB65" s="1012"/>
      <c r="AC65" s="1012"/>
      <c r="AD65" s="1012"/>
      <c r="AE65" s="1012"/>
      <c r="AF65" s="1012"/>
      <c r="AG65" s="1012"/>
      <c r="AH65" s="1012"/>
      <c r="AI65" s="1012"/>
    </row>
    <row r="66" s="282" customFormat="1">
      <c r="B66" s="1012"/>
      <c r="C66" s="1012"/>
      <c r="D66" s="1012"/>
      <c r="E66" s="1012"/>
      <c r="F66" s="1012"/>
      <c r="G66" s="1012"/>
      <c r="H66" s="1012"/>
      <c r="I66" s="1012"/>
      <c r="J66" s="1012"/>
      <c r="K66" s="1012"/>
      <c r="L66" s="1012"/>
      <c r="M66" s="1012"/>
      <c r="N66" s="1012"/>
      <c r="O66" s="1012"/>
      <c r="P66" s="1012"/>
      <c r="Q66" s="1012"/>
      <c r="R66" s="1012"/>
      <c r="S66" s="1012"/>
      <c r="T66" s="1012"/>
      <c r="U66" s="1012"/>
      <c r="V66" s="1012"/>
      <c r="W66" s="1012"/>
      <c r="X66" s="1012"/>
      <c r="Y66" s="1012"/>
      <c r="Z66" s="1012"/>
      <c r="AA66" s="1012"/>
      <c r="AB66" s="1012"/>
      <c r="AC66" s="1012"/>
      <c r="AD66" s="1012"/>
      <c r="AE66" s="1012"/>
      <c r="AF66" s="1012"/>
      <c r="AG66" s="1012"/>
      <c r="AH66" s="1012"/>
      <c r="AI66" s="1012"/>
    </row>
    <row r="67" s="282" customFormat="1">
      <c r="B67" s="1012"/>
      <c r="C67" s="1012"/>
      <c r="D67" s="1012"/>
      <c r="E67" s="1012"/>
      <c r="F67" s="1012"/>
      <c r="G67" s="1012"/>
      <c r="H67" s="1012"/>
      <c r="I67" s="1012"/>
      <c r="J67" s="1012"/>
      <c r="K67" s="1012"/>
      <c r="L67" s="1012"/>
      <c r="M67" s="1012"/>
      <c r="N67" s="1012"/>
      <c r="O67" s="1012"/>
      <c r="P67" s="1012"/>
      <c r="Q67" s="1012"/>
      <c r="R67" s="1012"/>
      <c r="S67" s="1012"/>
      <c r="T67" s="1012"/>
      <c r="U67" s="1012"/>
      <c r="V67" s="1012"/>
      <c r="W67" s="1012"/>
      <c r="X67" s="1012"/>
      <c r="Y67" s="1012"/>
      <c r="Z67" s="1012"/>
      <c r="AA67" s="1012"/>
      <c r="AB67" s="1012"/>
      <c r="AC67" s="1012"/>
      <c r="AD67" s="1012"/>
      <c r="AE67" s="1012"/>
      <c r="AF67" s="1012"/>
      <c r="AG67" s="1012"/>
      <c r="AH67" s="1012"/>
      <c r="AI67" s="1012"/>
    </row>
    <row r="68" s="282" customFormat="1">
      <c r="B68" s="1012"/>
      <c r="C68" s="1012"/>
      <c r="D68" s="1012"/>
      <c r="E68" s="1012"/>
      <c r="F68" s="1012"/>
      <c r="G68" s="1012"/>
      <c r="H68" s="1012"/>
      <c r="I68" s="1012"/>
      <c r="J68" s="1012"/>
      <c r="K68" s="1012"/>
      <c r="L68" s="1012"/>
      <c r="M68" s="1012"/>
      <c r="N68" s="1012"/>
      <c r="O68" s="1012"/>
      <c r="P68" s="1012"/>
      <c r="Q68" s="1012"/>
      <c r="R68" s="1012"/>
      <c r="S68" s="1012"/>
      <c r="T68" s="1012"/>
      <c r="U68" s="1012"/>
      <c r="V68" s="1012"/>
      <c r="W68" s="1012"/>
      <c r="X68" s="1012"/>
      <c r="Y68" s="1012"/>
      <c r="Z68" s="1012"/>
      <c r="AA68" s="1012"/>
      <c r="AB68" s="1012"/>
      <c r="AC68" s="1012"/>
      <c r="AD68" s="1012"/>
      <c r="AE68" s="1012"/>
      <c r="AF68" s="1012"/>
      <c r="AG68" s="1012"/>
      <c r="AH68" s="1012"/>
      <c r="AI68" s="1012"/>
    </row>
    <row r="69" s="282" customFormat="1">
      <c r="B69" s="1012"/>
      <c r="C69" s="1012"/>
      <c r="D69" s="1012"/>
      <c r="E69" s="1012"/>
      <c r="F69" s="1012"/>
      <c r="G69" s="1012"/>
      <c r="H69" s="1012"/>
      <c r="I69" s="1012"/>
      <c r="J69" s="1012"/>
      <c r="K69" s="1012"/>
      <c r="L69" s="1012"/>
      <c r="M69" s="1012"/>
      <c r="N69" s="1012"/>
      <c r="O69" s="1012"/>
      <c r="P69" s="1012"/>
      <c r="Q69" s="1012"/>
      <c r="R69" s="1012"/>
      <c r="S69" s="1012"/>
      <c r="T69" s="1012"/>
      <c r="U69" s="1012"/>
      <c r="V69" s="1012"/>
      <c r="W69" s="1012"/>
      <c r="X69" s="1012"/>
      <c r="Y69" s="1012"/>
      <c r="Z69" s="1012"/>
      <c r="AA69" s="1012"/>
      <c r="AB69" s="1012"/>
      <c r="AC69" s="1012"/>
      <c r="AD69" s="1012"/>
      <c r="AE69" s="1012"/>
      <c r="AF69" s="1012"/>
      <c r="AG69" s="1012"/>
      <c r="AH69" s="1012"/>
      <c r="AI69" s="1012"/>
    </row>
    <row r="70" s="282" customFormat="1">
      <c r="B70" s="1012"/>
      <c r="C70" s="1012"/>
      <c r="D70" s="1012"/>
      <c r="E70" s="1012"/>
      <c r="F70" s="1012"/>
      <c r="G70" s="1012"/>
      <c r="H70" s="1012"/>
      <c r="I70" s="1012"/>
      <c r="J70" s="1012"/>
      <c r="K70" s="1012"/>
      <c r="L70" s="1012"/>
      <c r="M70" s="1012"/>
      <c r="N70" s="1012"/>
      <c r="O70" s="1012"/>
      <c r="P70" s="1012"/>
      <c r="Q70" s="1012"/>
      <c r="R70" s="1012"/>
      <c r="S70" s="1012"/>
      <c r="T70" s="1012"/>
      <c r="U70" s="1012"/>
      <c r="V70" s="1012"/>
      <c r="W70" s="1012"/>
      <c r="X70" s="1012"/>
      <c r="Y70" s="1012"/>
      <c r="Z70" s="1012"/>
      <c r="AA70" s="1012"/>
      <c r="AB70" s="1012"/>
      <c r="AC70" s="1012"/>
      <c r="AD70" s="1012"/>
      <c r="AE70" s="1012"/>
      <c r="AF70" s="1012"/>
      <c r="AG70" s="1012"/>
      <c r="AH70" s="1012"/>
      <c r="AI70" s="1012"/>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40"/>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5"/>
      <c r="E1" s="65"/>
      <c r="AS1" s="236"/>
    </row>
    <row r="2" ht="15" customHeight="1">
      <c r="B2" s="199"/>
      <c r="C2" s="4" t="s">
        <v>144</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199"/>
    </row>
    <row r="3" ht="15" customHeight="1">
      <c r="B3" s="199"/>
      <c r="C3" s="4" t="s">
        <v>145</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199"/>
    </row>
    <row r="4" ht="15" customHeight="1">
      <c r="B4" s="199"/>
      <c r="C4" s="4" t="s">
        <v>178</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199"/>
    </row>
    <row r="5" ht="12.75" customHeight="1">
      <c r="C5" s="67"/>
      <c r="D5" s="67"/>
      <c r="E5" s="67"/>
    </row>
    <row r="6" ht="18" customHeight="1">
      <c r="B6" s="68"/>
      <c r="C6" s="68" t="s">
        <v>7</v>
      </c>
      <c r="D6" s="69"/>
      <c r="E6" s="69"/>
      <c r="F6" s="69"/>
      <c r="H6" s="987" t="s">
        <v>180</v>
      </c>
      <c r="I6" s="987"/>
      <c r="J6" s="987"/>
      <c r="K6" s="987"/>
      <c r="L6" s="987"/>
      <c r="M6" s="987"/>
      <c r="N6" s="987"/>
      <c r="O6" s="987"/>
      <c r="P6" s="987"/>
      <c r="Q6" s="987"/>
      <c r="R6" s="987"/>
      <c r="S6" s="987"/>
      <c r="T6" s="987"/>
      <c r="U6" s="987"/>
      <c r="Z6" s="987" t="s">
        <v>181</v>
      </c>
      <c r="AA6" s="987"/>
      <c r="AB6" s="987"/>
      <c r="AC6" s="987"/>
      <c r="AD6" s="987"/>
      <c r="AE6" s="987"/>
      <c r="AF6" s="987"/>
      <c r="AG6" s="987"/>
      <c r="AH6" s="987"/>
      <c r="AI6" s="987"/>
      <c r="AJ6" s="987"/>
      <c r="AK6" s="987"/>
      <c r="AL6" s="987"/>
      <c r="AM6" s="987"/>
    </row>
    <row r="7" ht="15" customHeight="1">
      <c r="D7" s="174" t="s">
        <v>183</v>
      </c>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t="s">
        <v>185</v>
      </c>
      <c r="E8" s="71"/>
      <c r="F8" s="71"/>
      <c r="G8" s="71"/>
      <c r="H8" s="910">
        <v>1</v>
      </c>
      <c r="I8" s="910"/>
      <c r="J8" s="906">
        <v>2</v>
      </c>
      <c r="K8" s="906"/>
      <c r="L8" s="906">
        <v>3</v>
      </c>
      <c r="M8" s="906"/>
      <c r="N8" s="906">
        <v>4</v>
      </c>
      <c r="O8" s="906"/>
      <c r="P8" s="906">
        <v>5</v>
      </c>
      <c r="Q8" s="906"/>
      <c r="R8" s="906">
        <v>6</v>
      </c>
      <c r="S8" s="906"/>
      <c r="T8" s="906">
        <v>7</v>
      </c>
      <c r="U8" s="907"/>
      <c r="Z8" s="910"/>
      <c r="AA8" s="910"/>
      <c r="AB8" s="906"/>
      <c r="AC8" s="906"/>
      <c r="AD8" s="906"/>
      <c r="AE8" s="906"/>
      <c r="AF8" s="906"/>
      <c r="AG8" s="906"/>
      <c r="AH8" s="906"/>
      <c r="AI8" s="906"/>
      <c r="AJ8" s="906"/>
      <c r="AK8" s="906"/>
      <c r="AL8" s="906">
        <v>1</v>
      </c>
      <c r="AM8" s="907"/>
    </row>
    <row r="9" ht="15" customHeight="1">
      <c r="D9" s="175"/>
      <c r="H9" s="905">
        <v>8</v>
      </c>
      <c r="I9" s="905"/>
      <c r="J9" s="898">
        <v>9</v>
      </c>
      <c r="K9" s="898"/>
      <c r="L9" s="898">
        <v>10</v>
      </c>
      <c r="M9" s="898"/>
      <c r="N9" s="898">
        <v>11</v>
      </c>
      <c r="O9" s="898"/>
      <c r="P9" s="898">
        <v>12</v>
      </c>
      <c r="Q9" s="898"/>
      <c r="R9" s="898">
        <v>13</v>
      </c>
      <c r="S9" s="898"/>
      <c r="T9" s="898">
        <v>14</v>
      </c>
      <c r="U9" s="902"/>
      <c r="Z9" s="905">
        <v>2</v>
      </c>
      <c r="AA9" s="905"/>
      <c r="AB9" s="898">
        <v>3</v>
      </c>
      <c r="AC9" s="898"/>
      <c r="AD9" s="898">
        <v>4</v>
      </c>
      <c r="AE9" s="898"/>
      <c r="AF9" s="898">
        <v>5</v>
      </c>
      <c r="AG9" s="898"/>
      <c r="AH9" s="898">
        <v>6</v>
      </c>
      <c r="AI9" s="898"/>
      <c r="AJ9" s="898">
        <v>7</v>
      </c>
      <c r="AK9" s="898"/>
      <c r="AL9" s="898">
        <v>8</v>
      </c>
      <c r="AM9" s="902"/>
    </row>
    <row r="10" ht="15" customHeight="1">
      <c r="H10" s="899">
        <v>15</v>
      </c>
      <c r="I10" s="899"/>
      <c r="J10" s="900">
        <v>16</v>
      </c>
      <c r="K10" s="900"/>
      <c r="L10" s="900">
        <v>17</v>
      </c>
      <c r="M10" s="900"/>
      <c r="N10" s="900">
        <v>18</v>
      </c>
      <c r="O10" s="900"/>
      <c r="P10" s="900">
        <v>19</v>
      </c>
      <c r="Q10" s="900"/>
      <c r="R10" s="900">
        <v>20</v>
      </c>
      <c r="S10" s="900"/>
      <c r="T10" s="900">
        <v>21</v>
      </c>
      <c r="U10" s="903"/>
      <c r="Z10" s="899">
        <v>9</v>
      </c>
      <c r="AA10" s="899"/>
      <c r="AB10" s="900">
        <v>10</v>
      </c>
      <c r="AC10" s="900"/>
      <c r="AD10" s="900">
        <v>11</v>
      </c>
      <c r="AE10" s="900"/>
      <c r="AF10" s="900">
        <v>12</v>
      </c>
      <c r="AG10" s="900"/>
      <c r="AH10" s="900">
        <v>13</v>
      </c>
      <c r="AI10" s="900"/>
      <c r="AJ10" s="900">
        <v>14</v>
      </c>
      <c r="AK10" s="900"/>
      <c r="AL10" s="900">
        <v>15</v>
      </c>
      <c r="AM10" s="903"/>
    </row>
    <row r="11" ht="15" customHeight="1">
      <c r="H11" s="905">
        <v>22</v>
      </c>
      <c r="I11" s="905"/>
      <c r="J11" s="898">
        <v>23</v>
      </c>
      <c r="K11" s="898"/>
      <c r="L11" s="898">
        <v>24</v>
      </c>
      <c r="M11" s="898"/>
      <c r="N11" s="898">
        <v>25</v>
      </c>
      <c r="O11" s="898"/>
      <c r="P11" s="898">
        <v>26</v>
      </c>
      <c r="Q11" s="898"/>
      <c r="R11" s="898">
        <v>27</v>
      </c>
      <c r="S11" s="898"/>
      <c r="T11" s="898">
        <v>28</v>
      </c>
      <c r="U11" s="902"/>
      <c r="Z11" s="905">
        <v>16</v>
      </c>
      <c r="AA11" s="905"/>
      <c r="AB11" s="898">
        <v>17</v>
      </c>
      <c r="AC11" s="898"/>
      <c r="AD11" s="898">
        <v>18</v>
      </c>
      <c r="AE11" s="898"/>
      <c r="AF11" s="898">
        <v>19</v>
      </c>
      <c r="AG11" s="898"/>
      <c r="AH11" s="898">
        <v>20</v>
      </c>
      <c r="AI11" s="898"/>
      <c r="AJ11" s="898">
        <v>21</v>
      </c>
      <c r="AK11" s="898"/>
      <c r="AL11" s="898">
        <v>22</v>
      </c>
      <c r="AM11" s="902"/>
      <c r="AN11" t="s">
        <v>27</v>
      </c>
    </row>
    <row r="12" ht="15" customHeight="1">
      <c r="A12" s="68"/>
      <c r="H12" s="899">
        <v>29</v>
      </c>
      <c r="I12" s="899"/>
      <c r="J12" s="900">
        <v>30</v>
      </c>
      <c r="K12" s="900"/>
      <c r="L12" s="900"/>
      <c r="M12" s="900"/>
      <c r="N12" s="900"/>
      <c r="O12" s="900"/>
      <c r="P12" s="900"/>
      <c r="Q12" s="900"/>
      <c r="R12" s="900"/>
      <c r="S12" s="900"/>
      <c r="T12" s="900"/>
      <c r="U12" s="903"/>
      <c r="Z12" s="899">
        <v>23</v>
      </c>
      <c r="AA12" s="899"/>
      <c r="AB12" s="900">
        <v>24</v>
      </c>
      <c r="AC12" s="900"/>
      <c r="AD12" s="900">
        <v>25</v>
      </c>
      <c r="AE12" s="900"/>
      <c r="AF12" s="900">
        <v>26</v>
      </c>
      <c r="AG12" s="900"/>
      <c r="AH12" s="900">
        <v>27</v>
      </c>
      <c r="AI12" s="900"/>
      <c r="AJ12" s="900">
        <v>28</v>
      </c>
      <c r="AK12" s="900"/>
      <c r="AL12" s="900">
        <v>29</v>
      </c>
      <c r="AM12" s="903"/>
    </row>
    <row r="13" ht="15" customHeight="1">
      <c r="C13" s="72"/>
      <c r="D13" s="73"/>
      <c r="E13" s="73"/>
      <c r="F13" s="73"/>
      <c r="G13" s="73"/>
      <c r="H13" s="904" t="s">
        <v>27</v>
      </c>
      <c r="I13" s="904"/>
      <c r="J13" s="901" t="s">
        <v>27</v>
      </c>
      <c r="K13" s="901"/>
      <c r="L13" s="901" t="s">
        <v>27</v>
      </c>
      <c r="M13" s="901"/>
      <c r="N13" s="901" t="s">
        <v>27</v>
      </c>
      <c r="O13" s="901"/>
      <c r="P13" s="901" t="s">
        <v>27</v>
      </c>
      <c r="Q13" s="901"/>
      <c r="R13" s="901" t="s">
        <v>27</v>
      </c>
      <c r="S13" s="901"/>
      <c r="T13" s="901" t="s">
        <v>27</v>
      </c>
      <c r="U13" s="911"/>
      <c r="Z13" s="904" t="n">
        <v>30</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t="s">
        <v>187</v>
      </c>
      <c r="F15" s="64"/>
      <c r="P15" s="234"/>
      <c r="Q15" s="234"/>
      <c r="R15" s="234"/>
      <c r="S15" s="234"/>
      <c r="T15" s="234"/>
      <c r="U15" s="234"/>
      <c r="V15" s="234"/>
      <c r="W15" s="47"/>
      <c r="X15" s="234"/>
      <c r="Y15" s="234"/>
      <c r="Z15" s="234"/>
      <c r="AA15" s="234"/>
      <c r="AB15" s="234"/>
      <c r="AC15" s="234"/>
      <c r="AD15" s="234"/>
      <c r="AE15" s="47"/>
      <c r="AF15" s="234"/>
      <c r="AG15" s="234"/>
      <c r="AH15" s="234"/>
      <c r="AI15" s="234"/>
      <c r="AJ15" s="234"/>
      <c r="AK15" s="234"/>
      <c r="AL15" s="234"/>
      <c r="AM15" s="47"/>
      <c r="AN15" s="47"/>
    </row>
    <row r="16" ht="15" customHeight="1">
      <c r="C16" s="70"/>
      <c r="D16" s="73" t="s">
        <v>189</v>
      </c>
      <c r="F16" s="64"/>
      <c r="P16" s="21"/>
      <c r="Q16" s="21"/>
      <c r="R16" s="21"/>
      <c r="S16" s="21"/>
      <c r="T16" s="21"/>
      <c r="U16" s="21"/>
      <c r="V16" s="21"/>
      <c r="W16" s="47"/>
      <c r="X16" s="21"/>
      <c r="Y16" s="21"/>
      <c r="Z16" s="21"/>
      <c r="AA16" s="21"/>
      <c r="AB16" s="21"/>
      <c r="AC16" s="21"/>
      <c r="AD16" s="21"/>
      <c r="AE16" s="47"/>
      <c r="AF16" s="21"/>
      <c r="AG16" s="21"/>
      <c r="AH16" s="21"/>
      <c r="AI16" s="21"/>
      <c r="AJ16" s="21"/>
      <c r="AK16" s="21"/>
      <c r="AL16" s="21"/>
      <c r="AM16" s="47"/>
      <c r="AN16" s="47"/>
    </row>
    <row r="17" ht="15" customHeight="1">
      <c r="C17" s="70"/>
      <c r="D17" s="73"/>
      <c r="F17" s="64"/>
      <c r="P17" s="21"/>
      <c r="Q17" s="21"/>
      <c r="R17" s="21"/>
      <c r="S17" s="21"/>
      <c r="T17" s="21"/>
      <c r="U17" s="21"/>
      <c r="V17" s="21"/>
      <c r="W17" s="47"/>
      <c r="X17" s="21"/>
      <c r="Y17" s="21"/>
      <c r="Z17" s="21"/>
      <c r="AA17" s="21"/>
      <c r="AB17" s="21"/>
      <c r="AC17" s="21"/>
      <c r="AD17" s="21"/>
      <c r="AE17" s="47"/>
      <c r="AF17" s="21"/>
      <c r="AG17" s="21"/>
      <c r="AH17" s="21"/>
      <c r="AI17" s="21"/>
      <c r="AJ17" s="21"/>
      <c r="AK17" s="21"/>
      <c r="AL17" s="21"/>
      <c r="AM17" s="47"/>
      <c r="AN17" s="47"/>
    </row>
    <row r="18" ht="15" customHeight="1">
      <c r="C18" s="70"/>
      <c r="D18" s="71"/>
      <c r="F18" s="64"/>
      <c r="P18" s="21"/>
      <c r="Q18" s="21"/>
      <c r="R18" s="21"/>
      <c r="S18" s="21"/>
      <c r="T18" s="21"/>
      <c r="U18" s="21"/>
      <c r="V18" s="21"/>
      <c r="W18" s="47"/>
      <c r="X18" s="21"/>
      <c r="Y18" s="21"/>
      <c r="Z18" s="21"/>
      <c r="AA18" s="21"/>
      <c r="AB18" s="21"/>
      <c r="AC18" s="21"/>
      <c r="AD18" s="21"/>
      <c r="AE18" s="47"/>
      <c r="AF18" s="21"/>
      <c r="AG18" s="21"/>
      <c r="AH18" s="21"/>
      <c r="AI18" s="21"/>
      <c r="AJ18" s="21"/>
      <c r="AK18" s="21"/>
      <c r="AL18" s="21"/>
      <c r="AM18" s="47"/>
      <c r="AN18" s="47"/>
    </row>
    <row r="19" ht="15" customHeight="1">
      <c r="C19" s="74"/>
      <c r="D19" s="71"/>
      <c r="F19" s="64"/>
      <c r="P19" s="21"/>
      <c r="Q19" s="21"/>
      <c r="R19" s="21"/>
      <c r="S19" s="21"/>
      <c r="T19" s="21"/>
      <c r="U19" s="21"/>
      <c r="V19" s="21"/>
      <c r="W19" s="47"/>
      <c r="X19" s="21"/>
      <c r="Y19" s="21"/>
      <c r="Z19" s="21"/>
      <c r="AA19" s="21"/>
      <c r="AB19" s="21"/>
      <c r="AC19" s="21"/>
      <c r="AD19" s="21"/>
      <c r="AE19" s="47"/>
      <c r="AF19" s="21"/>
      <c r="AG19" s="21"/>
      <c r="AH19" s="21"/>
      <c r="AI19" s="21"/>
      <c r="AJ19" s="21"/>
      <c r="AK19" s="21"/>
      <c r="AL19" s="21"/>
      <c r="AM19" s="47"/>
      <c r="AN19" s="47"/>
    </row>
    <row r="20" ht="15" customHeight="1">
      <c r="C20" s="74"/>
      <c r="D20" s="71"/>
      <c r="F20" s="64"/>
      <c r="P20" s="21"/>
      <c r="Q20" s="21"/>
      <c r="R20" s="21"/>
      <c r="S20" s="21"/>
      <c r="T20" s="21"/>
      <c r="U20" s="21"/>
      <c r="V20" s="21"/>
      <c r="W20" s="47"/>
      <c r="X20" s="21"/>
      <c r="Y20" s="21"/>
      <c r="Z20" s="21"/>
      <c r="AA20" s="21"/>
      <c r="AB20" s="21"/>
      <c r="AC20" s="21"/>
      <c r="AD20" s="21"/>
      <c r="AE20" s="47"/>
      <c r="AF20" s="21"/>
      <c r="AG20" s="21"/>
      <c r="AH20" s="21"/>
      <c r="AI20" s="21"/>
      <c r="AJ20" s="21"/>
      <c r="AK20" s="21"/>
      <c r="AL20" s="21"/>
      <c r="AM20" s="47"/>
      <c r="AN20" s="47"/>
    </row>
    <row r="21" ht="30" customHeight="1">
      <c r="R21" s="993">
        <v>2023</v>
      </c>
      <c r="S21" s="993"/>
      <c r="T21" s="993"/>
      <c r="U21" s="993"/>
      <c r="V21" s="993"/>
      <c r="W21" s="993"/>
      <c r="X21" s="995">
        <v>2024</v>
      </c>
      <c r="Y21" s="995"/>
      <c r="Z21" s="995"/>
      <c r="AA21" s="995"/>
      <c r="AB21" s="995"/>
      <c r="AC21" s="995"/>
      <c r="AD21" s="995"/>
      <c r="AE21" s="995"/>
      <c r="AF21" s="995"/>
      <c r="AG21" s="995"/>
      <c r="AH21" s="995"/>
      <c r="AI21" s="995"/>
      <c r="AJ21" s="995">
        <v>2025</v>
      </c>
      <c r="AK21" s="995"/>
      <c r="AL21" s="995"/>
      <c r="AM21" s="995"/>
      <c r="AN21" s="995"/>
      <c r="AO21" s="995"/>
    </row>
    <row r="22" s="5" customFormat="1" ht="30" customHeight="1">
      <c r="B22" s="76"/>
      <c r="C22" s="77" t="s">
        <v>71</v>
      </c>
      <c r="D22" s="77" t="s">
        <v>21</v>
      </c>
      <c r="E22" s="177" t="s">
        <v>179</v>
      </c>
      <c r="F22" s="158" t="s">
        <v>60</v>
      </c>
      <c r="G22" s="158" t="s">
        <v>61</v>
      </c>
      <c r="H22" s="914" t="s">
        <v>34</v>
      </c>
      <c r="I22" s="914"/>
      <c r="J22" s="914"/>
      <c r="K22" s="914"/>
      <c r="L22" s="914" t="s">
        <v>62</v>
      </c>
      <c r="M22" s="914"/>
      <c r="N22" s="914"/>
      <c r="O22" s="914"/>
      <c r="R22" s="617" t="s">
        <v>163</v>
      </c>
      <c r="S22" s="618" t="s">
        <v>164</v>
      </c>
      <c r="T22" s="618" t="s">
        <v>165</v>
      </c>
      <c r="U22" s="618" t="s">
        <v>166</v>
      </c>
      <c r="V22" s="618" t="s">
        <v>170</v>
      </c>
      <c r="W22" s="1013" t="s">
        <v>172</v>
      </c>
      <c r="X22" s="618" t="s">
        <v>154</v>
      </c>
      <c r="Y22" s="618" t="s">
        <v>158</v>
      </c>
      <c r="Z22" s="618" t="s">
        <v>159</v>
      </c>
      <c r="AA22" s="618" t="s">
        <v>160</v>
      </c>
      <c r="AB22" s="618" t="s">
        <v>161</v>
      </c>
      <c r="AC22" s="618" t="s">
        <v>162</v>
      </c>
      <c r="AD22" s="618" t="s">
        <v>163</v>
      </c>
      <c r="AE22" s="618" t="s">
        <v>164</v>
      </c>
      <c r="AF22" s="618" t="s">
        <v>165</v>
      </c>
      <c r="AG22" s="618" t="s">
        <v>166</v>
      </c>
      <c r="AH22" s="618" t="s">
        <v>170</v>
      </c>
      <c r="AI22" s="1013" t="s">
        <v>172</v>
      </c>
      <c r="AJ22" s="618" t="s">
        <v>154</v>
      </c>
      <c r="AK22" s="618" t="s">
        <v>158</v>
      </c>
      <c r="AL22" s="618" t="s">
        <v>159</v>
      </c>
      <c r="AM22" s="618" t="s">
        <v>160</v>
      </c>
      <c r="AN22" s="618" t="s">
        <v>161</v>
      </c>
      <c r="AO22" s="1013" t="s">
        <v>162</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33"/>
      <c r="C23" s="1014">
        <v>62536</v>
      </c>
      <c r="D23" s="1014" t="s">
        <v>149</v>
      </c>
      <c r="E23" s="1014" t="s">
        <v>190</v>
      </c>
      <c r="F23" s="1015" t="s">
        <v>191</v>
      </c>
      <c r="G23" s="1014" t="s">
        <v>192</v>
      </c>
      <c r="H23" s="1016" t="s">
        <v>193</v>
      </c>
      <c r="I23" s="1016"/>
      <c r="J23" s="1016"/>
      <c r="K23" s="1016"/>
      <c r="L23" s="1016" t="s">
        <v>194</v>
      </c>
      <c r="M23" s="1016"/>
      <c r="N23" s="1016"/>
      <c r="O23" s="1016"/>
      <c r="P23" s="80"/>
      <c r="Q23" s="90"/>
      <c r="R23" s="1017" t="s">
        <v>195</v>
      </c>
      <c r="S23" s="1018" t="s">
        <v>195</v>
      </c>
      <c r="T23" s="1018" t="s">
        <v>195</v>
      </c>
      <c r="U23" s="1018" t="s">
        <v>195</v>
      </c>
      <c r="V23" s="1018" t="s">
        <v>195</v>
      </c>
      <c r="W23" s="1018" t="s">
        <v>195</v>
      </c>
      <c r="X23" s="1018" t="s">
        <v>195</v>
      </c>
      <c r="Y23" s="1018" t="s">
        <v>195</v>
      </c>
      <c r="Z23" s="1018" t="s">
        <v>195</v>
      </c>
      <c r="AA23" s="1018" t="s">
        <v>195</v>
      </c>
      <c r="AB23" s="1018" t="s">
        <v>195</v>
      </c>
      <c r="AC23" s="1018" t="s">
        <v>195</v>
      </c>
      <c r="AD23" s="1018" t="s">
        <v>195</v>
      </c>
      <c r="AE23" s="1018" t="s">
        <v>195</v>
      </c>
      <c r="AF23" s="1018" t="s">
        <v>195</v>
      </c>
      <c r="AG23" s="1018" t="s">
        <v>195</v>
      </c>
      <c r="AH23" s="1018" t="s">
        <v>195</v>
      </c>
      <c r="AI23" s="1018" t="s">
        <v>195</v>
      </c>
      <c r="AJ23" s="1018" t="s">
        <v>195</v>
      </c>
      <c r="AK23" s="1018" t="s">
        <v>195</v>
      </c>
      <c r="AL23" s="1018" t="s">
        <v>195</v>
      </c>
      <c r="AM23" s="1018" t="s">
        <v>195</v>
      </c>
      <c r="AN23" s="1018" t="s">
        <v>195</v>
      </c>
      <c r="AO23" s="1019" t="s">
        <v>195</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33"/>
      <c r="C24" s="1020">
        <v>1717</v>
      </c>
      <c r="D24" s="1020" t="s">
        <v>196</v>
      </c>
      <c r="E24" s="1020" t="s">
        <v>190</v>
      </c>
      <c r="F24" s="1020" t="s">
        <v>197</v>
      </c>
      <c r="G24" s="1020" t="s">
        <v>198</v>
      </c>
      <c r="H24" s="1021" t="s">
        <v>199</v>
      </c>
      <c r="I24" s="1021"/>
      <c r="J24" s="1021"/>
      <c r="K24" s="1021"/>
      <c r="L24" s="1021" t="s">
        <v>200</v>
      </c>
      <c r="M24" s="1021"/>
      <c r="N24" s="1021"/>
      <c r="O24" s="1021"/>
      <c r="P24" s="80"/>
      <c r="Q24" s="90"/>
      <c r="R24" s="1022" t="s">
        <v>195</v>
      </c>
      <c r="S24" s="1023" t="s">
        <v>195</v>
      </c>
      <c r="T24" s="1023" t="s">
        <v>195</v>
      </c>
      <c r="U24" s="1023" t="s">
        <v>195</v>
      </c>
      <c r="V24" s="1023" t="s">
        <v>195</v>
      </c>
      <c r="W24" s="1023" t="s">
        <v>195</v>
      </c>
      <c r="X24" s="1023" t="s">
        <v>195</v>
      </c>
      <c r="Y24" s="1023" t="s">
        <v>195</v>
      </c>
      <c r="Z24" s="1023" t="s">
        <v>195</v>
      </c>
      <c r="AA24" s="1023" t="s">
        <v>195</v>
      </c>
      <c r="AB24" s="1023" t="s">
        <v>195</v>
      </c>
      <c r="AC24" s="1023" t="s">
        <v>195</v>
      </c>
      <c r="AD24" s="1023" t="s">
        <v>195</v>
      </c>
      <c r="AE24" s="1023" t="s">
        <v>195</v>
      </c>
      <c r="AF24" s="1023" t="s">
        <v>195</v>
      </c>
      <c r="AG24" s="1023" t="s">
        <v>195</v>
      </c>
      <c r="AH24" s="1023" t="s">
        <v>195</v>
      </c>
      <c r="AI24" s="1023" t="s">
        <v>195</v>
      </c>
      <c r="AJ24" s="1023" t="s">
        <v>195</v>
      </c>
      <c r="AK24" s="1023" t="s">
        <v>195</v>
      </c>
      <c r="AL24" s="1023" t="s">
        <v>195</v>
      </c>
      <c r="AM24" s="1023" t="s">
        <v>195</v>
      </c>
      <c r="AN24" s="1023" t="s">
        <v>195</v>
      </c>
      <c r="AO24" s="1024" t="s">
        <v>195</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33"/>
      <c r="C25" s="1014">
        <v>7089</v>
      </c>
      <c r="D25" s="1014" t="s">
        <v>201</v>
      </c>
      <c r="E25" s="1014" t="s">
        <v>190</v>
      </c>
      <c r="F25" s="1015" t="s">
        <v>191</v>
      </c>
      <c r="G25" s="1014" t="s">
        <v>202</v>
      </c>
      <c r="H25" s="1016" t="s">
        <v>203</v>
      </c>
      <c r="I25" s="1016"/>
      <c r="J25" s="1016"/>
      <c r="K25" s="1016"/>
      <c r="L25" s="1016" t="s">
        <v>204</v>
      </c>
      <c r="M25" s="1016"/>
      <c r="N25" s="1016"/>
      <c r="O25" s="1016"/>
      <c r="P25" s="80"/>
      <c r="Q25" s="90"/>
      <c r="R25" s="1017" t="s">
        <v>195</v>
      </c>
      <c r="S25" s="1018" t="s">
        <v>195</v>
      </c>
      <c r="T25" s="1018" t="s">
        <v>195</v>
      </c>
      <c r="U25" s="1018" t="s">
        <v>195</v>
      </c>
      <c r="V25" s="1018" t="s">
        <v>195</v>
      </c>
      <c r="W25" s="1018" t="s">
        <v>195</v>
      </c>
      <c r="X25" s="1018" t="s">
        <v>195</v>
      </c>
      <c r="Y25" s="1018" t="s">
        <v>195</v>
      </c>
      <c r="Z25" s="1018" t="s">
        <v>195</v>
      </c>
      <c r="AA25" s="1018" t="s">
        <v>195</v>
      </c>
      <c r="AB25" s="1018" t="s">
        <v>195</v>
      </c>
      <c r="AC25" s="1018" t="s">
        <v>195</v>
      </c>
      <c r="AD25" s="1018" t="s">
        <v>195</v>
      </c>
      <c r="AE25" s="1018" t="s">
        <v>195</v>
      </c>
      <c r="AF25" s="1018" t="s">
        <v>195</v>
      </c>
      <c r="AG25" s="1018" t="s">
        <v>195</v>
      </c>
      <c r="AH25" s="1018" t="s">
        <v>195</v>
      </c>
      <c r="AI25" s="1018" t="s">
        <v>195</v>
      </c>
      <c r="AJ25" s="1018" t="s">
        <v>195</v>
      </c>
      <c r="AK25" s="1018" t="s">
        <v>195</v>
      </c>
      <c r="AL25" s="1018" t="s">
        <v>195</v>
      </c>
      <c r="AM25" s="1018" t="s">
        <v>195</v>
      </c>
      <c r="AN25" s="1018" t="s">
        <v>195</v>
      </c>
      <c r="AO25" s="1019" t="s">
        <v>195</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33"/>
      <c r="C26" s="1020">
        <v>46191</v>
      </c>
      <c r="D26" s="1020" t="s">
        <v>205</v>
      </c>
      <c r="E26" s="1020" t="s">
        <v>206</v>
      </c>
      <c r="F26" s="1025" t="s">
        <v>207</v>
      </c>
      <c r="G26" s="1020" t="s">
        <v>208</v>
      </c>
      <c r="H26" s="1021" t="s">
        <v>209</v>
      </c>
      <c r="I26" s="1021"/>
      <c r="J26" s="1021"/>
      <c r="K26" s="1021"/>
      <c r="L26" s="1021" t="s">
        <v>210</v>
      </c>
      <c r="M26" s="1021"/>
      <c r="N26" s="1021"/>
      <c r="O26" s="1021"/>
      <c r="P26" s="80"/>
      <c r="Q26" s="90"/>
      <c r="R26" s="1022" t="s">
        <v>195</v>
      </c>
      <c r="S26" s="1023" t="s">
        <v>195</v>
      </c>
      <c r="T26" s="1023" t="s">
        <v>195</v>
      </c>
      <c r="U26" s="1023" t="s">
        <v>195</v>
      </c>
      <c r="V26" s="1023" t="s">
        <v>195</v>
      </c>
      <c r="W26" s="1023" t="s">
        <v>195</v>
      </c>
      <c r="X26" s="1023" t="s">
        <v>195</v>
      </c>
      <c r="Y26" s="1023" t="s">
        <v>195</v>
      </c>
      <c r="Z26" s="1023" t="s">
        <v>195</v>
      </c>
      <c r="AA26" s="1023" t="s">
        <v>195</v>
      </c>
      <c r="AB26" s="1023" t="s">
        <v>195</v>
      </c>
      <c r="AC26" s="1023" t="s">
        <v>195</v>
      </c>
      <c r="AD26" s="1023" t="s">
        <v>195</v>
      </c>
      <c r="AE26" s="1023" t="s">
        <v>195</v>
      </c>
      <c r="AF26" s="1023" t="s">
        <v>195</v>
      </c>
      <c r="AG26" s="1023" t="s">
        <v>195</v>
      </c>
      <c r="AH26" s="1023" t="s">
        <v>195</v>
      </c>
      <c r="AI26" s="1023" t="s">
        <v>195</v>
      </c>
      <c r="AJ26" s="1023" t="s">
        <v>195</v>
      </c>
      <c r="AK26" s="1023" t="s">
        <v>195</v>
      </c>
      <c r="AL26" s="1023" t="s">
        <v>195</v>
      </c>
      <c r="AM26" s="1023" t="s">
        <v>195</v>
      </c>
      <c r="AN26" s="1023" t="s">
        <v>195</v>
      </c>
      <c r="AO26" s="1024" t="s">
        <v>195</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33"/>
      <c r="C27" s="1014">
        <v>56862</v>
      </c>
      <c r="D27" s="1014" t="s">
        <v>211</v>
      </c>
      <c r="E27" s="1014" t="s">
        <v>190</v>
      </c>
      <c r="F27" s="1015" t="s">
        <v>191</v>
      </c>
      <c r="G27" s="1014" t="s">
        <v>212</v>
      </c>
      <c r="H27" s="1016" t="s">
        <v>213</v>
      </c>
      <c r="I27" s="1016"/>
      <c r="J27" s="1016"/>
      <c r="K27" s="1016"/>
      <c r="L27" s="1016" t="s">
        <v>214</v>
      </c>
      <c r="M27" s="1016"/>
      <c r="N27" s="1016"/>
      <c r="O27" s="1016"/>
      <c r="P27" s="80"/>
      <c r="Q27" s="90"/>
      <c r="R27" s="1017" t="s">
        <v>195</v>
      </c>
      <c r="S27" s="1018" t="s">
        <v>195</v>
      </c>
      <c r="T27" s="1018" t="s">
        <v>195</v>
      </c>
      <c r="U27" s="1018" t="s">
        <v>195</v>
      </c>
      <c r="V27" s="1018" t="s">
        <v>195</v>
      </c>
      <c r="W27" s="1018" t="s">
        <v>195</v>
      </c>
      <c r="X27" s="1018" t="s">
        <v>195</v>
      </c>
      <c r="Y27" s="1018" t="s">
        <v>195</v>
      </c>
      <c r="Z27" s="1018" t="s">
        <v>195</v>
      </c>
      <c r="AA27" s="1018" t="s">
        <v>195</v>
      </c>
      <c r="AB27" s="1018" t="s">
        <v>195</v>
      </c>
      <c r="AC27" s="1018" t="s">
        <v>195</v>
      </c>
      <c r="AD27" s="1018" t="s">
        <v>195</v>
      </c>
      <c r="AE27" s="1018" t="s">
        <v>195</v>
      </c>
      <c r="AF27" s="1018" t="s">
        <v>195</v>
      </c>
      <c r="AG27" s="1018" t="s">
        <v>195</v>
      </c>
      <c r="AH27" s="1018" t="s">
        <v>195</v>
      </c>
      <c r="AI27" s="1018" t="s">
        <v>195</v>
      </c>
      <c r="AJ27" s="1018" t="s">
        <v>195</v>
      </c>
      <c r="AK27" s="1018" t="s">
        <v>195</v>
      </c>
      <c r="AL27" s="1018" t="s">
        <v>195</v>
      </c>
      <c r="AM27" s="1018" t="s">
        <v>195</v>
      </c>
      <c r="AN27" s="1018" t="s">
        <v>195</v>
      </c>
      <c r="AO27" s="1019" t="s">
        <v>195</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33"/>
      <c r="C28" s="1020">
        <v>58057</v>
      </c>
      <c r="D28" s="1020" t="s">
        <v>215</v>
      </c>
      <c r="E28" s="1020" t="s">
        <v>190</v>
      </c>
      <c r="F28" s="1025" t="s">
        <v>191</v>
      </c>
      <c r="G28" s="1020" t="s">
        <v>216</v>
      </c>
      <c r="H28" s="1021" t="s">
        <v>217</v>
      </c>
      <c r="I28" s="1021"/>
      <c r="J28" s="1021"/>
      <c r="K28" s="1021"/>
      <c r="L28" s="1021" t="s">
        <v>218</v>
      </c>
      <c r="M28" s="1021"/>
      <c r="N28" s="1021"/>
      <c r="O28" s="1021"/>
      <c r="P28" s="80"/>
      <c r="Q28" s="90"/>
      <c r="R28" s="1022" t="s">
        <v>195</v>
      </c>
      <c r="S28" s="1023" t="s">
        <v>195</v>
      </c>
      <c r="T28" s="1023" t="s">
        <v>195</v>
      </c>
      <c r="U28" s="1023" t="s">
        <v>195</v>
      </c>
      <c r="V28" s="1023" t="s">
        <v>195</v>
      </c>
      <c r="W28" s="1023" t="s">
        <v>195</v>
      </c>
      <c r="X28" s="1023" t="s">
        <v>195</v>
      </c>
      <c r="Y28" s="1023" t="s">
        <v>195</v>
      </c>
      <c r="Z28" s="1023" t="s">
        <v>195</v>
      </c>
      <c r="AA28" s="1023" t="s">
        <v>195</v>
      </c>
      <c r="AB28" s="1023" t="s">
        <v>195</v>
      </c>
      <c r="AC28" s="1023" t="s">
        <v>195</v>
      </c>
      <c r="AD28" s="1023" t="s">
        <v>195</v>
      </c>
      <c r="AE28" s="1023" t="s">
        <v>195</v>
      </c>
      <c r="AF28" s="1023" t="s">
        <v>195</v>
      </c>
      <c r="AG28" s="1023" t="s">
        <v>219</v>
      </c>
      <c r="AH28" s="1023" t="s">
        <v>219</v>
      </c>
      <c r="AI28" s="1023" t="s">
        <v>219</v>
      </c>
      <c r="AJ28" s="1023" t="s">
        <v>219</v>
      </c>
      <c r="AK28" s="1023" t="s">
        <v>219</v>
      </c>
      <c r="AL28" s="1023" t="s">
        <v>219</v>
      </c>
      <c r="AM28" s="1023" t="s">
        <v>219</v>
      </c>
      <c r="AN28" s="1023" t="s">
        <v>219</v>
      </c>
      <c r="AO28" s="1024" t="s">
        <v>219</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33"/>
      <c r="C29" s="1014">
        <v>67718</v>
      </c>
      <c r="D29" s="1014" t="s">
        <v>220</v>
      </c>
      <c r="E29" s="1014" t="s">
        <v>206</v>
      </c>
      <c r="F29" s="1015" t="s">
        <v>207</v>
      </c>
      <c r="G29" s="1014" t="s">
        <v>221</v>
      </c>
      <c r="H29" s="1016" t="s">
        <v>222</v>
      </c>
      <c r="I29" s="1016"/>
      <c r="J29" s="1016"/>
      <c r="K29" s="1016"/>
      <c r="L29" s="1016" t="s">
        <v>223</v>
      </c>
      <c r="M29" s="1016"/>
      <c r="N29" s="1016"/>
      <c r="O29" s="1016"/>
      <c r="P29" s="80"/>
      <c r="Q29" s="90"/>
      <c r="R29" s="1017" t="s">
        <v>195</v>
      </c>
      <c r="S29" s="1018" t="s">
        <v>195</v>
      </c>
      <c r="T29" s="1018" t="s">
        <v>195</v>
      </c>
      <c r="U29" s="1018" t="s">
        <v>195</v>
      </c>
      <c r="V29" s="1018" t="s">
        <v>195</v>
      </c>
      <c r="W29" s="1018" t="s">
        <v>195</v>
      </c>
      <c r="X29" s="1018" t="s">
        <v>195</v>
      </c>
      <c r="Y29" s="1018" t="s">
        <v>195</v>
      </c>
      <c r="Z29" s="1018" t="s">
        <v>195</v>
      </c>
      <c r="AA29" s="1018" t="s">
        <v>195</v>
      </c>
      <c r="AB29" s="1018" t="s">
        <v>195</v>
      </c>
      <c r="AC29" s="1018" t="s">
        <v>195</v>
      </c>
      <c r="AD29" s="1018" t="s">
        <v>195</v>
      </c>
      <c r="AE29" s="1018" t="s">
        <v>195</v>
      </c>
      <c r="AF29" s="1018" t="s">
        <v>195</v>
      </c>
      <c r="AG29" s="1018" t="s">
        <v>195</v>
      </c>
      <c r="AH29" s="1018" t="s">
        <v>195</v>
      </c>
      <c r="AI29" s="1018" t="s">
        <v>195</v>
      </c>
      <c r="AJ29" s="1018" t="s">
        <v>195</v>
      </c>
      <c r="AK29" s="1018" t="s">
        <v>195</v>
      </c>
      <c r="AL29" s="1018" t="s">
        <v>195</v>
      </c>
      <c r="AM29" s="1018" t="s">
        <v>195</v>
      </c>
      <c r="AN29" s="1018" t="s">
        <v>195</v>
      </c>
      <c r="AO29" s="1019" t="s">
        <v>195</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33"/>
      <c r="C30" s="181"/>
      <c r="D30" s="183"/>
      <c r="E30" s="183"/>
      <c r="F30" s="201"/>
      <c r="G30" s="181"/>
      <c r="H30" s="1016">
        <v>705</v>
      </c>
      <c r="I30" s="1016"/>
      <c r="J30" s="1016"/>
      <c r="K30" s="1016"/>
      <c r="L30" s="895"/>
      <c r="M30" s="895"/>
      <c r="N30" s="895"/>
      <c r="O30" s="895"/>
      <c r="P30" s="80"/>
      <c r="Q30" s="90"/>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33"/>
      <c r="C31" s="181"/>
      <c r="D31" s="183"/>
      <c r="E31" s="183"/>
      <c r="F31" s="201"/>
      <c r="G31" s="181"/>
      <c r="H31" s="181"/>
      <c r="I31" s="181"/>
      <c r="J31" s="181"/>
      <c r="K31" s="181"/>
      <c r="L31" s="895"/>
      <c r="M31" s="895"/>
      <c r="N31" s="895"/>
      <c r="O31" s="895"/>
      <c r="P31" s="80"/>
      <c r="Q31" s="90"/>
      <c r="R31" s="182"/>
      <c r="S31" s="182"/>
      <c r="T31" s="182"/>
      <c r="U31" s="182"/>
      <c r="V31" s="182"/>
      <c r="W31" s="182"/>
      <c r="X31" s="1026" t="s">
        <v>224</v>
      </c>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33"/>
      <c r="C32" s="181"/>
      <c r="D32" s="183"/>
      <c r="E32" s="183"/>
      <c r="F32" s="201"/>
      <c r="G32" s="181"/>
      <c r="H32" s="181"/>
      <c r="I32" s="181"/>
      <c r="J32" s="181"/>
      <c r="K32" s="181"/>
      <c r="L32" s="895"/>
      <c r="M32" s="895"/>
      <c r="N32" s="895"/>
      <c r="O32" s="895"/>
      <c r="P32" s="80"/>
      <c r="Q32" s="90"/>
      <c r="R32" s="182"/>
      <c r="S32" s="182"/>
      <c r="T32" s="182"/>
      <c r="U32" s="182"/>
      <c r="V32" s="182"/>
      <c r="W32" s="182"/>
      <c r="X32" s="182"/>
      <c r="Y32" s="182"/>
      <c r="Z32" s="182"/>
      <c r="AA32" s="1027" t="s">
        <v>225</v>
      </c>
      <c r="AB32" s="1026" t="s">
        <v>226</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33"/>
      <c r="C33" s="181"/>
      <c r="D33" s="183"/>
      <c r="E33" s="183"/>
      <c r="F33" s="201"/>
      <c r="G33" s="181"/>
      <c r="H33" s="181"/>
      <c r="I33" s="181"/>
      <c r="J33" s="181"/>
      <c r="K33" s="181"/>
      <c r="L33" s="895"/>
      <c r="M33" s="895"/>
      <c r="N33" s="895"/>
      <c r="O33" s="895"/>
      <c r="P33" s="80"/>
      <c r="Q33" s="90"/>
      <c r="R33" s="182"/>
      <c r="S33" s="182"/>
      <c r="T33" s="182"/>
      <c r="U33" s="182"/>
      <c r="V33" s="182"/>
      <c r="W33" s="182"/>
      <c r="X33" s="182"/>
      <c r="Y33" s="182"/>
      <c r="Z33" s="182"/>
      <c r="AA33" s="1027" t="s">
        <v>195</v>
      </c>
      <c r="AB33" s="1026" t="s">
        <v>227</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33"/>
      <c r="C34" s="181"/>
      <c r="D34" s="183"/>
      <c r="E34" s="183"/>
      <c r="F34" s="201"/>
      <c r="G34" s="181"/>
      <c r="H34" s="181"/>
      <c r="I34" s="181"/>
      <c r="J34" s="181"/>
      <c r="K34" s="181"/>
      <c r="L34" s="895"/>
      <c r="M34" s="895"/>
      <c r="N34" s="895"/>
      <c r="O34" s="895"/>
      <c r="P34" s="80"/>
      <c r="Q34" s="90"/>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33"/>
      <c r="C35" s="181"/>
      <c r="D35" s="183"/>
      <c r="E35" s="183"/>
      <c r="F35" s="201"/>
      <c r="G35" s="181"/>
      <c r="H35" s="181"/>
      <c r="I35" s="181"/>
      <c r="J35" s="181"/>
      <c r="K35" s="181"/>
      <c r="L35" s="895"/>
      <c r="M35" s="895"/>
      <c r="N35" s="895"/>
      <c r="O35" s="895"/>
      <c r="P35" s="80"/>
      <c r="Q35" s="9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33"/>
      <c r="C36" s="181"/>
      <c r="D36" s="183"/>
      <c r="E36" s="183"/>
      <c r="F36" s="201"/>
      <c r="G36" s="181"/>
      <c r="H36" s="181"/>
      <c r="I36" s="181"/>
      <c r="J36" s="181"/>
      <c r="K36" s="181"/>
      <c r="L36" s="895"/>
      <c r="M36" s="895"/>
      <c r="N36" s="895"/>
      <c r="O36" s="895"/>
      <c r="P36" s="80"/>
      <c r="Q36" s="9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33"/>
      <c r="C37" s="181"/>
      <c r="D37" s="183"/>
      <c r="E37" s="183"/>
      <c r="F37" s="201"/>
      <c r="G37" s="181"/>
      <c r="H37" s="181"/>
      <c r="I37" s="181"/>
      <c r="J37" s="181"/>
      <c r="K37" s="181"/>
      <c r="L37" s="895"/>
      <c r="M37" s="895"/>
      <c r="N37" s="895"/>
      <c r="O37" s="895"/>
      <c r="P37" s="80"/>
      <c r="Q37" s="9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33"/>
      <c r="C38" s="181"/>
      <c r="D38" s="183"/>
      <c r="E38" s="183"/>
      <c r="F38" s="201"/>
      <c r="G38" s="181"/>
      <c r="H38" s="181"/>
      <c r="I38" s="181"/>
      <c r="J38" s="181"/>
      <c r="K38" s="181"/>
      <c r="L38" s="895"/>
      <c r="M38" s="895"/>
      <c r="N38" s="895"/>
      <c r="O38" s="895"/>
      <c r="P38" s="80"/>
      <c r="Q38" s="90"/>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3"/>
      <c r="E39" s="183"/>
      <c r="F39" s="201"/>
      <c r="G39" s="181"/>
      <c r="H39" s="181"/>
      <c r="I39" s="181"/>
      <c r="J39" s="181"/>
      <c r="K39" s="181"/>
      <c r="L39" s="895"/>
      <c r="M39" s="895"/>
      <c r="N39" s="895"/>
      <c r="O39" s="895"/>
      <c r="P39" s="80"/>
      <c r="Q39" s="90"/>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86"/>
      <c r="AQ39" s="79"/>
      <c r="AR39" s="79"/>
    </row>
    <row r="40" ht="18" customHeight="1">
      <c r="C40" s="181"/>
      <c r="D40" s="183"/>
      <c r="E40" s="183"/>
      <c r="F40" s="201"/>
      <c r="G40" s="181"/>
      <c r="H40" s="181"/>
      <c r="I40" s="181"/>
      <c r="J40" s="181"/>
      <c r="K40" s="181"/>
      <c r="L40" s="895"/>
      <c r="M40" s="895"/>
      <c r="N40" s="895"/>
      <c r="O40" s="895"/>
      <c r="P40" s="80"/>
      <c r="Q40" s="90"/>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86"/>
      <c r="AQ40" s="79"/>
      <c r="AR40" s="79"/>
    </row>
    <row r="41" ht="18" customHeight="1">
      <c r="C41" s="181"/>
      <c r="D41" s="183"/>
      <c r="E41" s="183"/>
      <c r="F41" s="201"/>
      <c r="G41" s="181"/>
      <c r="H41" s="181"/>
      <c r="I41" s="181"/>
      <c r="J41" s="181"/>
      <c r="K41" s="181"/>
      <c r="L41" s="895"/>
      <c r="M41" s="895"/>
      <c r="N41" s="895"/>
      <c r="O41" s="895"/>
      <c r="P41" s="80"/>
      <c r="Q41" s="90"/>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86"/>
      <c r="AQ41" s="79"/>
      <c r="AR41" s="79"/>
    </row>
    <row r="42" ht="18" customHeight="1">
      <c r="C42" s="181"/>
      <c r="D42" s="183"/>
      <c r="E42" s="183"/>
      <c r="F42" s="201"/>
      <c r="G42" s="181"/>
      <c r="H42" s="181"/>
      <c r="I42" s="181"/>
      <c r="J42" s="181"/>
      <c r="K42" s="181"/>
      <c r="L42" s="895"/>
      <c r="M42" s="895"/>
      <c r="N42" s="895"/>
      <c r="O42" s="895"/>
      <c r="P42" s="80"/>
      <c r="Q42" s="90"/>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86"/>
      <c r="AQ42" s="79"/>
      <c r="AR42" s="79"/>
    </row>
    <row r="43" ht="18" customHeight="1">
      <c r="C43" s="181"/>
      <c r="D43" s="183"/>
      <c r="E43" s="183"/>
      <c r="F43" s="201"/>
      <c r="G43" s="181"/>
      <c r="H43" s="181"/>
      <c r="I43" s="181"/>
      <c r="J43" s="181"/>
      <c r="K43" s="181"/>
      <c r="L43" s="895"/>
      <c r="M43" s="895"/>
      <c r="N43" s="895"/>
      <c r="O43" s="895"/>
      <c r="P43" s="80"/>
      <c r="Q43" s="90"/>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86"/>
      <c r="AQ43" s="79"/>
      <c r="AR43" s="79"/>
    </row>
    <row r="44" ht="18" customHeight="1">
      <c r="C44" s="181"/>
      <c r="D44" s="183"/>
      <c r="E44" s="183"/>
      <c r="F44" s="201"/>
      <c r="G44" s="181"/>
      <c r="H44" s="181"/>
      <c r="I44" s="181"/>
      <c r="J44" s="181"/>
      <c r="K44" s="181"/>
      <c r="L44" s="895"/>
      <c r="M44" s="895"/>
      <c r="N44" s="895"/>
      <c r="O44" s="895"/>
      <c r="P44" s="80"/>
      <c r="Q44" s="90"/>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86"/>
      <c r="AQ44" s="79"/>
      <c r="AR44" s="79"/>
    </row>
    <row r="45" ht="18" customHeight="1">
      <c r="C45" s="181"/>
      <c r="D45" s="183"/>
      <c r="E45" s="183"/>
      <c r="F45" s="201"/>
      <c r="G45" s="181"/>
      <c r="H45" s="181"/>
      <c r="I45" s="181"/>
      <c r="J45" s="181"/>
      <c r="K45" s="181"/>
      <c r="L45" s="895"/>
      <c r="M45" s="895"/>
      <c r="N45" s="895"/>
      <c r="O45" s="895"/>
      <c r="P45" s="80"/>
      <c r="Q45" s="90"/>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86"/>
      <c r="AQ45" s="79"/>
      <c r="AR45" s="79"/>
    </row>
    <row r="46" ht="18" customHeight="1">
      <c r="C46" s="181"/>
      <c r="D46" s="183"/>
      <c r="E46" s="183"/>
      <c r="F46" s="201"/>
      <c r="G46" s="181"/>
      <c r="H46" s="181"/>
      <c r="I46" s="181"/>
      <c r="J46" s="181"/>
      <c r="K46" s="181"/>
      <c r="L46" s="895"/>
      <c r="M46" s="895"/>
      <c r="N46" s="895"/>
      <c r="O46" s="895"/>
      <c r="P46" s="80"/>
      <c r="Q46" s="90"/>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86"/>
      <c r="AQ46" s="79"/>
      <c r="AR46" s="79"/>
    </row>
    <row r="47" ht="0" hidden="1" customHeight="1">
      <c r="C47" s="181"/>
      <c r="D47" s="183"/>
      <c r="E47" s="183"/>
      <c r="F47" s="201"/>
      <c r="G47" s="181"/>
      <c r="H47" s="181"/>
      <c r="I47" s="181"/>
      <c r="J47" s="181"/>
      <c r="K47" s="181"/>
      <c r="L47" s="895"/>
      <c r="M47" s="895"/>
      <c r="N47" s="895"/>
      <c r="O47" s="895"/>
      <c r="P47" s="80"/>
      <c r="Q47" s="90"/>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86"/>
      <c r="AQ47" s="79"/>
      <c r="AR47" s="79"/>
    </row>
    <row r="48" ht="0" hidden="1" customHeight="1">
      <c r="C48" s="181"/>
      <c r="D48" s="183"/>
      <c r="E48" s="183"/>
      <c r="F48" s="201"/>
      <c r="G48" s="181"/>
      <c r="H48" s="181"/>
      <c r="I48" s="181"/>
      <c r="J48" s="181"/>
      <c r="K48" s="181"/>
      <c r="L48" s="895"/>
      <c r="M48" s="895"/>
      <c r="N48" s="895"/>
      <c r="O48" s="895"/>
      <c r="P48" s="80"/>
      <c r="Q48" s="90"/>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86"/>
      <c r="AQ48" s="79"/>
      <c r="AR48" s="79"/>
    </row>
    <row r="49" ht="0" hidden="1" customHeight="1">
      <c r="C49" s="181"/>
      <c r="D49" s="183"/>
      <c r="E49" s="183"/>
      <c r="F49" s="201"/>
      <c r="G49" s="181"/>
      <c r="H49" s="181"/>
      <c r="I49" s="181"/>
      <c r="J49" s="181"/>
      <c r="K49" s="181"/>
      <c r="L49" s="895"/>
      <c r="M49" s="895"/>
      <c r="N49" s="895"/>
      <c r="O49" s="895"/>
      <c r="P49" s="80"/>
      <c r="Q49" s="90"/>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86"/>
      <c r="AQ49" s="79"/>
      <c r="AR49" s="79"/>
    </row>
    <row r="50" ht="0" hidden="1" customHeight="1">
      <c r="C50" s="181"/>
      <c r="D50" s="183"/>
      <c r="E50" s="183"/>
      <c r="F50" s="201"/>
      <c r="G50" s="181"/>
      <c r="H50" s="181"/>
      <c r="I50" s="181"/>
      <c r="J50" s="181"/>
      <c r="K50" s="181"/>
      <c r="L50" s="895"/>
      <c r="M50" s="895"/>
      <c r="N50" s="895"/>
      <c r="O50" s="895"/>
      <c r="P50" s="80"/>
      <c r="Q50" s="90"/>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86"/>
      <c r="AQ50" s="79"/>
      <c r="AR50" s="79"/>
    </row>
    <row r="51" ht="0" hidden="1" customHeight="1">
      <c r="C51" s="181"/>
      <c r="D51" s="183"/>
      <c r="E51" s="183"/>
      <c r="F51" s="201"/>
      <c r="G51" s="181"/>
      <c r="H51" s="181"/>
      <c r="I51" s="181"/>
      <c r="J51" s="181"/>
      <c r="K51" s="181"/>
      <c r="L51" s="895"/>
      <c r="M51" s="895"/>
      <c r="N51" s="895"/>
      <c r="O51" s="895"/>
      <c r="P51" s="80"/>
      <c r="Q51" s="90"/>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86"/>
      <c r="AQ51" s="79"/>
      <c r="AR51" s="79"/>
    </row>
    <row r="52" s="0" customFormat="1" ht="0" hidden="1" customHeight="1">
      <c r="B52" s="33"/>
      <c r="C52" s="181"/>
      <c r="D52" s="183"/>
      <c r="E52" s="183"/>
      <c r="F52" s="201"/>
      <c r="G52" s="181"/>
      <c r="H52" s="181"/>
      <c r="I52" s="181"/>
      <c r="J52" s="181"/>
      <c r="K52" s="181"/>
      <c r="L52" s="895"/>
      <c r="M52" s="895"/>
      <c r="N52" s="895"/>
      <c r="O52" s="895"/>
      <c r="P52" s="80"/>
      <c r="Q52" s="90"/>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33"/>
      <c r="C53" s="181"/>
      <c r="D53" s="183"/>
      <c r="E53" s="183"/>
      <c r="F53" s="201"/>
      <c r="G53" s="181"/>
      <c r="H53" s="181"/>
      <c r="I53" s="181"/>
      <c r="J53" s="181"/>
      <c r="K53" s="181"/>
      <c r="L53" s="895"/>
      <c r="M53" s="895"/>
      <c r="N53" s="895"/>
      <c r="O53" s="895"/>
      <c r="P53" s="80"/>
      <c r="Q53" s="90"/>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33"/>
      <c r="C54" s="181"/>
      <c r="D54" s="183"/>
      <c r="E54" s="183"/>
      <c r="F54" s="201"/>
      <c r="G54" s="181"/>
      <c r="H54" s="181"/>
      <c r="I54" s="181"/>
      <c r="J54" s="181"/>
      <c r="K54" s="181"/>
      <c r="L54" s="895"/>
      <c r="M54" s="895"/>
      <c r="N54" s="895"/>
      <c r="O54" s="895"/>
      <c r="P54" s="80"/>
      <c r="Q54" s="90"/>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33"/>
      <c r="C55" s="181"/>
      <c r="D55" s="183"/>
      <c r="E55" s="183"/>
      <c r="F55" s="201"/>
      <c r="G55" s="181"/>
      <c r="H55" s="181"/>
      <c r="I55" s="181"/>
      <c r="J55" s="181"/>
      <c r="K55" s="181"/>
      <c r="L55" s="895"/>
      <c r="M55" s="895"/>
      <c r="N55" s="895"/>
      <c r="O55" s="895"/>
      <c r="P55" s="80"/>
      <c r="Q55" s="90"/>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33"/>
      <c r="C56" s="181"/>
      <c r="D56" s="183"/>
      <c r="E56" s="183"/>
      <c r="F56" s="201"/>
      <c r="G56" s="181"/>
      <c r="H56" s="181"/>
      <c r="I56" s="181"/>
      <c r="J56" s="181"/>
      <c r="K56" s="181"/>
      <c r="L56" s="895"/>
      <c r="M56" s="895"/>
      <c r="N56" s="895"/>
      <c r="O56" s="895"/>
      <c r="P56" s="80"/>
      <c r="Q56" s="90"/>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33"/>
      <c r="C57" s="181"/>
      <c r="D57" s="183"/>
      <c r="E57" s="183"/>
      <c r="F57" s="201"/>
      <c r="G57" s="181"/>
      <c r="H57" s="181"/>
      <c r="I57" s="181"/>
      <c r="J57" s="181"/>
      <c r="K57" s="181"/>
      <c r="L57" s="895"/>
      <c r="M57" s="895"/>
      <c r="N57" s="895"/>
      <c r="O57" s="895"/>
      <c r="P57" s="80"/>
      <c r="Q57" s="90"/>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33"/>
      <c r="C58" s="181"/>
      <c r="D58" s="183"/>
      <c r="E58" s="183"/>
      <c r="F58" s="201"/>
      <c r="G58" s="181"/>
      <c r="H58" s="181"/>
      <c r="I58" s="181"/>
      <c r="J58" s="181"/>
      <c r="K58" s="181"/>
      <c r="L58" s="895"/>
      <c r="M58" s="895"/>
      <c r="N58" s="895"/>
      <c r="O58" s="895"/>
      <c r="P58" s="80"/>
      <c r="Q58" s="90"/>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3"/>
      <c r="E59" s="183"/>
      <c r="F59" s="201"/>
      <c r="G59" s="181"/>
      <c r="H59" s="181"/>
      <c r="I59" s="181"/>
      <c r="J59" s="181"/>
      <c r="K59" s="181"/>
      <c r="L59" s="895"/>
      <c r="M59" s="895"/>
      <c r="N59" s="895"/>
      <c r="O59" s="895"/>
      <c r="P59" s="80"/>
      <c r="Q59" s="90"/>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86"/>
      <c r="AQ59" s="79"/>
      <c r="AR59" s="79"/>
    </row>
    <row r="60" ht="0" hidden="1" customHeight="1">
      <c r="C60" s="181"/>
      <c r="D60" s="183"/>
      <c r="E60" s="183"/>
      <c r="F60" s="201"/>
      <c r="G60" s="181"/>
      <c r="H60" s="181"/>
      <c r="I60" s="181"/>
      <c r="J60" s="181"/>
      <c r="K60" s="181"/>
      <c r="L60" s="895"/>
      <c r="M60" s="895"/>
      <c r="N60" s="895"/>
      <c r="O60" s="895"/>
      <c r="P60" s="80"/>
      <c r="Q60" s="90"/>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86"/>
      <c r="AQ60" s="79"/>
      <c r="AR60" s="79"/>
    </row>
    <row r="61" ht="0" hidden="1" customHeight="1">
      <c r="C61" s="181"/>
      <c r="D61" s="183"/>
      <c r="E61" s="183"/>
      <c r="F61" s="201"/>
      <c r="G61" s="181"/>
      <c r="H61" s="181"/>
      <c r="I61" s="181"/>
      <c r="J61" s="181"/>
      <c r="K61" s="181"/>
      <c r="L61" s="895"/>
      <c r="M61" s="895"/>
      <c r="N61" s="895"/>
      <c r="O61" s="895"/>
      <c r="P61" s="80"/>
      <c r="Q61" s="90"/>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86"/>
      <c r="AQ61" s="79"/>
      <c r="AR61" s="79"/>
    </row>
    <row r="62" ht="0" hidden="1" customHeight="1">
      <c r="C62" s="181"/>
      <c r="D62" s="183"/>
      <c r="E62" s="183"/>
      <c r="F62" s="201"/>
      <c r="G62" s="181"/>
      <c r="H62" s="181"/>
      <c r="I62" s="181"/>
      <c r="J62" s="181"/>
      <c r="K62" s="181"/>
      <c r="L62" s="895"/>
      <c r="M62" s="895"/>
      <c r="N62" s="895"/>
      <c r="O62" s="895"/>
      <c r="P62" s="80"/>
      <c r="Q62" s="90"/>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86"/>
      <c r="AQ62" s="79"/>
      <c r="AR62" s="79"/>
    </row>
    <row r="63" ht="0" hidden="1" customHeight="1">
      <c r="C63" s="181"/>
      <c r="D63" s="183"/>
      <c r="E63" s="183"/>
      <c r="F63" s="201"/>
      <c r="G63" s="181"/>
      <c r="H63" s="181"/>
      <c r="I63" s="181"/>
      <c r="J63" s="181"/>
      <c r="K63" s="181"/>
      <c r="L63" s="895"/>
      <c r="M63" s="895"/>
      <c r="N63" s="895"/>
      <c r="O63" s="895"/>
      <c r="P63" s="80"/>
      <c r="Q63" s="90"/>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86"/>
      <c r="AQ63" s="79"/>
      <c r="AR63" s="79"/>
    </row>
    <row r="64" ht="0" hidden="1" customHeight="1">
      <c r="C64" s="181"/>
      <c r="D64" s="183"/>
      <c r="E64" s="183"/>
      <c r="F64" s="201"/>
      <c r="G64" s="181"/>
      <c r="H64" s="181"/>
      <c r="I64" s="181"/>
      <c r="J64" s="181"/>
      <c r="K64" s="181"/>
      <c r="L64" s="895"/>
      <c r="M64" s="895"/>
      <c r="N64" s="895"/>
      <c r="O64" s="895"/>
      <c r="P64" s="80"/>
      <c r="Q64" s="90"/>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86"/>
      <c r="AQ64" s="79"/>
      <c r="AR64" s="79"/>
    </row>
    <row r="65" ht="0" hidden="1" customHeight="1">
      <c r="C65" s="181"/>
      <c r="D65" s="183"/>
      <c r="E65" s="183"/>
      <c r="F65" s="201"/>
      <c r="G65" s="181"/>
      <c r="H65" s="181"/>
      <c r="I65" s="181"/>
      <c r="J65" s="181"/>
      <c r="K65" s="181"/>
      <c r="L65" s="895"/>
      <c r="M65" s="895"/>
      <c r="N65" s="895"/>
      <c r="O65" s="895"/>
      <c r="P65" s="80"/>
      <c r="Q65" s="90"/>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86"/>
      <c r="AQ65" s="79"/>
      <c r="AR65" s="79"/>
    </row>
    <row r="66" ht="0" hidden="1" customHeight="1">
      <c r="C66" s="181"/>
      <c r="D66" s="183"/>
      <c r="E66" s="183"/>
      <c r="F66" s="201"/>
      <c r="G66" s="181"/>
      <c r="H66" s="181"/>
      <c r="I66" s="181"/>
      <c r="J66" s="181"/>
      <c r="K66" s="181"/>
      <c r="L66" s="895"/>
      <c r="M66" s="895"/>
      <c r="N66" s="895"/>
      <c r="O66" s="895"/>
      <c r="P66" s="80"/>
      <c r="Q66" s="90"/>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86"/>
      <c r="AQ66" s="79"/>
      <c r="AR66" s="79"/>
    </row>
    <row r="67" ht="0" hidden="1" customHeight="1">
      <c r="C67" s="181"/>
      <c r="D67" s="183"/>
      <c r="E67" s="183"/>
      <c r="F67" s="201"/>
      <c r="G67" s="181"/>
      <c r="H67" s="181"/>
      <c r="I67" s="181"/>
      <c r="J67" s="181"/>
      <c r="K67" s="181"/>
      <c r="L67" s="895"/>
      <c r="M67" s="895"/>
      <c r="N67" s="895"/>
      <c r="O67" s="895"/>
      <c r="P67" s="80"/>
      <c r="Q67" s="90"/>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86"/>
      <c r="AQ67" s="79"/>
      <c r="AR67" s="79"/>
    </row>
    <row r="68" ht="0" hidden="1" customHeight="1">
      <c r="C68" s="181"/>
      <c r="D68" s="183"/>
      <c r="E68" s="183"/>
      <c r="F68" s="201"/>
      <c r="G68" s="181"/>
      <c r="H68" s="181"/>
      <c r="I68" s="181"/>
      <c r="J68" s="181"/>
      <c r="K68" s="181"/>
      <c r="L68" s="895"/>
      <c r="M68" s="895"/>
      <c r="N68" s="895"/>
      <c r="O68" s="895"/>
      <c r="P68" s="80"/>
      <c r="Q68" s="90"/>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86"/>
      <c r="AQ68" s="79"/>
      <c r="AR68" s="79"/>
    </row>
    <row r="69" ht="0" hidden="1" customHeight="1">
      <c r="C69" s="181"/>
      <c r="D69" s="183"/>
      <c r="E69" s="183"/>
      <c r="F69" s="201"/>
      <c r="G69" s="181"/>
      <c r="H69" s="181"/>
      <c r="I69" s="181"/>
      <c r="J69" s="181"/>
      <c r="K69" s="181"/>
      <c r="L69" s="895"/>
      <c r="M69" s="895"/>
      <c r="N69" s="895"/>
      <c r="O69" s="895"/>
      <c r="P69" s="80"/>
      <c r="Q69" s="90"/>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86"/>
      <c r="AQ69" s="79"/>
      <c r="AR69" s="79"/>
    </row>
    <row r="70" ht="0" hidden="1" customHeight="1">
      <c r="C70" s="181"/>
      <c r="D70" s="183"/>
      <c r="E70" s="183"/>
      <c r="F70" s="201"/>
      <c r="G70" s="181"/>
      <c r="H70" s="181"/>
      <c r="I70" s="181"/>
      <c r="J70" s="181"/>
      <c r="K70" s="181"/>
      <c r="L70" s="895"/>
      <c r="M70" s="895"/>
      <c r="N70" s="895"/>
      <c r="O70" s="895"/>
      <c r="P70" s="80"/>
      <c r="Q70" s="90"/>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86"/>
      <c r="AQ70" s="79"/>
      <c r="AR70" s="79"/>
    </row>
    <row r="71" ht="0" hidden="1" customHeight="1">
      <c r="C71" s="181"/>
      <c r="D71" s="183"/>
      <c r="E71" s="183"/>
      <c r="F71" s="201"/>
      <c r="G71" s="181"/>
      <c r="H71" s="181"/>
      <c r="I71" s="181"/>
      <c r="J71" s="181"/>
      <c r="K71" s="181"/>
      <c r="L71" s="895"/>
      <c r="M71" s="895"/>
      <c r="N71" s="895"/>
      <c r="O71" s="895"/>
      <c r="P71" s="80"/>
      <c r="Q71" s="90"/>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86"/>
      <c r="AQ71" s="79"/>
      <c r="AR71" s="79"/>
    </row>
    <row r="72" ht="0" hidden="1" customHeight="1">
      <c r="C72" s="181"/>
      <c r="D72" s="183"/>
      <c r="E72" s="183"/>
      <c r="F72" s="201"/>
      <c r="G72" s="181"/>
      <c r="H72" s="181"/>
      <c r="I72" s="181"/>
      <c r="J72" s="181"/>
      <c r="K72" s="181"/>
      <c r="L72" s="895"/>
      <c r="M72" s="895"/>
      <c r="N72" s="895"/>
      <c r="O72" s="895"/>
      <c r="P72" s="80"/>
      <c r="Q72" s="90"/>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86"/>
      <c r="AQ72" s="79"/>
      <c r="AR72" s="79"/>
    </row>
    <row r="73" ht="0" hidden="1" customHeight="1">
      <c r="C73" s="181"/>
      <c r="D73" s="183"/>
      <c r="E73" s="183"/>
      <c r="F73" s="201"/>
      <c r="G73" s="181"/>
      <c r="H73" s="181"/>
      <c r="I73" s="181"/>
      <c r="J73" s="181"/>
      <c r="K73" s="181"/>
      <c r="L73" s="895"/>
      <c r="M73" s="895"/>
      <c r="N73" s="895"/>
      <c r="O73" s="895"/>
      <c r="P73" s="80"/>
      <c r="Q73" s="90"/>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86"/>
      <c r="AQ73" s="79"/>
      <c r="AR73" s="79"/>
    </row>
    <row r="74" ht="0" hidden="1" customHeight="1">
      <c r="C74" s="181"/>
      <c r="D74" s="183"/>
      <c r="E74" s="183"/>
      <c r="F74" s="201"/>
      <c r="G74" s="181"/>
      <c r="H74" s="181"/>
      <c r="I74" s="181"/>
      <c r="J74" s="181"/>
      <c r="K74" s="181"/>
      <c r="L74" s="895"/>
      <c r="M74" s="895"/>
      <c r="N74" s="895"/>
      <c r="O74" s="895"/>
      <c r="P74" s="80"/>
      <c r="Q74" s="90"/>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86"/>
      <c r="AQ74" s="79"/>
      <c r="AR74" s="79"/>
    </row>
    <row r="75" ht="0" hidden="1" customHeight="1">
      <c r="C75" s="181"/>
      <c r="D75" s="183"/>
      <c r="E75" s="183"/>
      <c r="F75" s="201"/>
      <c r="G75" s="181"/>
      <c r="H75" s="181"/>
      <c r="I75" s="181"/>
      <c r="J75" s="181"/>
      <c r="K75" s="181"/>
      <c r="L75" s="895"/>
      <c r="M75" s="895"/>
      <c r="N75" s="895"/>
      <c r="O75" s="895"/>
      <c r="P75" s="80"/>
      <c r="Q75" s="90"/>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86"/>
      <c r="AQ75" s="79"/>
      <c r="AR75" s="79"/>
    </row>
    <row r="76" ht="0" hidden="1" customHeight="1">
      <c r="C76" s="181"/>
      <c r="D76" s="183"/>
      <c r="E76" s="183"/>
      <c r="F76" s="201"/>
      <c r="G76" s="181"/>
      <c r="H76" s="181"/>
      <c r="I76" s="181"/>
      <c r="J76" s="181"/>
      <c r="K76" s="181"/>
      <c r="L76" s="895"/>
      <c r="M76" s="895"/>
      <c r="N76" s="895"/>
      <c r="O76" s="895"/>
      <c r="P76" s="80"/>
      <c r="Q76" s="90"/>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86"/>
      <c r="AQ76" s="79"/>
      <c r="AR76" s="79"/>
    </row>
    <row r="77" ht="0" hidden="1" customHeight="1">
      <c r="C77" s="181"/>
      <c r="D77" s="183"/>
      <c r="E77" s="183"/>
      <c r="F77" s="201"/>
      <c r="G77" s="181"/>
      <c r="H77" s="181"/>
      <c r="I77" s="181"/>
      <c r="J77" s="181"/>
      <c r="K77" s="181"/>
      <c r="L77" s="895"/>
      <c r="M77" s="895"/>
      <c r="N77" s="895"/>
      <c r="O77" s="895"/>
      <c r="P77" s="80"/>
      <c r="Q77" s="90"/>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86"/>
      <c r="AQ77" s="79"/>
      <c r="AR77" s="79"/>
    </row>
    <row r="78" ht="0" hidden="1" customHeight="1">
      <c r="C78" s="181"/>
      <c r="D78" s="183"/>
      <c r="E78" s="183"/>
      <c r="F78" s="201"/>
      <c r="G78" s="181"/>
      <c r="H78" s="181"/>
      <c r="I78" s="181"/>
      <c r="J78" s="181"/>
      <c r="K78" s="181"/>
      <c r="L78" s="895"/>
      <c r="M78" s="895"/>
      <c r="N78" s="895"/>
      <c r="O78" s="895"/>
      <c r="P78" s="80"/>
      <c r="Q78" s="90"/>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86"/>
      <c r="AQ78" s="79"/>
      <c r="AR78" s="79"/>
    </row>
    <row r="79" ht="0" hidden="1" customHeight="1">
      <c r="C79" s="181"/>
      <c r="D79" s="183"/>
      <c r="E79" s="183"/>
      <c r="F79" s="201"/>
      <c r="G79" s="181"/>
      <c r="H79" s="181"/>
      <c r="I79" s="181"/>
      <c r="J79" s="181"/>
      <c r="K79" s="181"/>
      <c r="L79" s="895"/>
      <c r="M79" s="895"/>
      <c r="N79" s="895"/>
      <c r="O79" s="895"/>
      <c r="P79" s="80"/>
      <c r="Q79" s="90"/>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86"/>
      <c r="AQ79" s="79"/>
      <c r="AR79" s="79"/>
    </row>
    <row r="80" ht="0" hidden="1" customHeight="1">
      <c r="C80" s="181"/>
      <c r="D80" s="183"/>
      <c r="E80" s="183"/>
      <c r="F80" s="201"/>
      <c r="G80" s="181"/>
      <c r="H80" s="181"/>
      <c r="I80" s="181"/>
      <c r="J80" s="181"/>
      <c r="K80" s="181"/>
      <c r="L80" s="895"/>
      <c r="M80" s="895"/>
      <c r="N80" s="895"/>
      <c r="O80" s="895"/>
      <c r="P80" s="80"/>
      <c r="Q80" s="90"/>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86"/>
      <c r="AQ80" s="79"/>
      <c r="AR80" s="79"/>
    </row>
    <row r="81" ht="0" hidden="1" customHeight="1">
      <c r="C81" s="181"/>
      <c r="D81" s="183"/>
      <c r="E81" s="183"/>
      <c r="F81" s="201"/>
      <c r="G81" s="181"/>
      <c r="H81" s="181"/>
      <c r="I81" s="181"/>
      <c r="J81" s="181"/>
      <c r="K81" s="181"/>
      <c r="L81" s="895"/>
      <c r="M81" s="895"/>
      <c r="N81" s="895"/>
      <c r="O81" s="895"/>
      <c r="P81" s="80"/>
      <c r="Q81" s="90"/>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86"/>
      <c r="AQ81" s="79"/>
      <c r="AR81" s="79"/>
    </row>
    <row r="82" ht="0" hidden="1" customHeight="1">
      <c r="C82" s="181"/>
      <c r="D82" s="183"/>
      <c r="E82" s="183"/>
      <c r="F82" s="201"/>
      <c r="G82" s="181"/>
      <c r="H82" s="181"/>
      <c r="I82" s="181"/>
      <c r="J82" s="181"/>
      <c r="K82" s="181"/>
      <c r="L82" s="895"/>
      <c r="M82" s="895"/>
      <c r="N82" s="895"/>
      <c r="O82" s="895"/>
      <c r="P82" s="80"/>
      <c r="Q82" s="90"/>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86"/>
      <c r="AQ82" s="79"/>
      <c r="AR82" s="79"/>
    </row>
    <row r="83" ht="0" hidden="1" customHeight="1">
      <c r="C83" s="181"/>
      <c r="D83" s="183"/>
      <c r="E83" s="183"/>
      <c r="F83" s="201"/>
      <c r="G83" s="181"/>
      <c r="H83" s="181"/>
      <c r="I83" s="181"/>
      <c r="J83" s="181"/>
      <c r="K83" s="181"/>
      <c r="L83" s="895"/>
      <c r="M83" s="895"/>
      <c r="N83" s="895"/>
      <c r="O83" s="895"/>
      <c r="P83" s="80"/>
      <c r="Q83" s="90"/>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86"/>
      <c r="AQ83" s="79"/>
      <c r="AR83" s="79"/>
    </row>
    <row r="84" ht="0" hidden="1" customHeight="1">
      <c r="C84" s="181"/>
      <c r="D84" s="183"/>
      <c r="E84" s="183"/>
      <c r="F84" s="201"/>
      <c r="G84" s="181"/>
      <c r="H84" s="181"/>
      <c r="I84" s="181"/>
      <c r="J84" s="181"/>
      <c r="K84" s="181"/>
      <c r="L84" s="895"/>
      <c r="M84" s="895"/>
      <c r="N84" s="895"/>
      <c r="O84" s="895"/>
      <c r="P84" s="80"/>
      <c r="Q84" s="90"/>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86"/>
      <c r="AQ84" s="79"/>
      <c r="AR84" s="79"/>
    </row>
    <row r="85" ht="0" hidden="1" customHeight="1">
      <c r="C85" s="181"/>
      <c r="D85" s="183"/>
      <c r="E85" s="183"/>
      <c r="F85" s="201"/>
      <c r="G85" s="181"/>
      <c r="H85" s="181"/>
      <c r="I85" s="181"/>
      <c r="J85" s="181"/>
      <c r="K85" s="181"/>
      <c r="L85" s="895"/>
      <c r="M85" s="895"/>
      <c r="N85" s="895"/>
      <c r="O85" s="895"/>
      <c r="P85" s="80"/>
      <c r="Q85" s="90"/>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86"/>
      <c r="AQ85" s="79"/>
      <c r="AR85" s="79"/>
    </row>
    <row r="86" ht="0" hidden="1" customHeight="1">
      <c r="C86" s="181"/>
      <c r="D86" s="183"/>
      <c r="E86" s="183"/>
      <c r="F86" s="201"/>
      <c r="G86" s="181"/>
      <c r="H86" s="181"/>
      <c r="I86" s="181"/>
      <c r="J86" s="181"/>
      <c r="K86" s="181"/>
      <c r="L86" s="895"/>
      <c r="M86" s="895"/>
      <c r="N86" s="895"/>
      <c r="O86" s="895"/>
      <c r="P86" s="80"/>
      <c r="Q86" s="90"/>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86"/>
      <c r="AQ86" s="79"/>
      <c r="AR86" s="79"/>
    </row>
    <row r="87" ht="0" hidden="1" customHeight="1">
      <c r="C87" s="181"/>
      <c r="D87" s="183"/>
      <c r="E87" s="183"/>
      <c r="F87" s="201"/>
      <c r="G87" s="181"/>
      <c r="H87" s="181"/>
      <c r="I87" s="181"/>
      <c r="J87" s="181"/>
      <c r="K87" s="181"/>
      <c r="L87" s="895"/>
      <c r="M87" s="895"/>
      <c r="N87" s="895"/>
      <c r="O87" s="895"/>
      <c r="P87" s="80"/>
      <c r="Q87" s="90"/>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86"/>
      <c r="AQ87" s="79"/>
      <c r="AR87" s="79"/>
    </row>
    <row r="88" ht="0" hidden="1" customHeight="1">
      <c r="C88" s="181"/>
      <c r="D88" s="183"/>
      <c r="E88" s="183"/>
      <c r="F88" s="201"/>
      <c r="G88" s="181"/>
      <c r="H88" s="181"/>
      <c r="I88" s="181"/>
      <c r="J88" s="181"/>
      <c r="K88" s="181"/>
      <c r="L88" s="895"/>
      <c r="M88" s="895"/>
      <c r="N88" s="895"/>
      <c r="O88" s="895"/>
      <c r="P88" s="80"/>
      <c r="Q88" s="90"/>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86"/>
      <c r="AQ88" s="79"/>
      <c r="AR88" s="79"/>
    </row>
    <row r="89" ht="0" hidden="1" customHeight="1">
      <c r="C89" s="181"/>
      <c r="D89" s="183"/>
      <c r="E89" s="183"/>
      <c r="F89" s="201"/>
      <c r="G89" s="181"/>
      <c r="H89" s="181"/>
      <c r="I89" s="181"/>
      <c r="J89" s="181"/>
      <c r="K89" s="181"/>
      <c r="L89" s="895"/>
      <c r="M89" s="895"/>
      <c r="N89" s="895"/>
      <c r="O89" s="895"/>
      <c r="P89" s="80"/>
      <c r="Q89" s="90"/>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86"/>
      <c r="AQ89" s="79"/>
      <c r="AR89" s="79"/>
    </row>
    <row r="90" ht="0" hidden="1" customHeight="1">
      <c r="C90" s="181"/>
      <c r="D90" s="183"/>
      <c r="E90" s="183"/>
      <c r="F90" s="201"/>
      <c r="G90" s="181"/>
      <c r="H90" s="181"/>
      <c r="I90" s="181"/>
      <c r="J90" s="181"/>
      <c r="K90" s="181"/>
      <c r="L90" s="895"/>
      <c r="M90" s="895"/>
      <c r="N90" s="895"/>
      <c r="O90" s="895"/>
      <c r="P90" s="80"/>
      <c r="Q90" s="90"/>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86"/>
      <c r="AQ90" s="79"/>
      <c r="AR90" s="79"/>
    </row>
    <row r="91" ht="0" hidden="1" customHeight="1">
      <c r="C91" s="181"/>
      <c r="D91" s="183"/>
      <c r="E91" s="183"/>
      <c r="F91" s="201"/>
      <c r="G91" s="181"/>
      <c r="H91" s="181"/>
      <c r="I91" s="181"/>
      <c r="J91" s="181"/>
      <c r="K91" s="181"/>
      <c r="L91" s="895"/>
      <c r="M91" s="895"/>
      <c r="N91" s="895"/>
      <c r="O91" s="895"/>
      <c r="P91" s="80"/>
      <c r="Q91" s="90"/>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86"/>
      <c r="AQ91" s="79"/>
      <c r="AR91" s="79"/>
    </row>
    <row r="92" ht="0" hidden="1" customHeight="1">
      <c r="C92" s="181"/>
      <c r="D92" s="183"/>
      <c r="E92" s="183"/>
      <c r="F92" s="201"/>
      <c r="G92" s="181"/>
      <c r="H92" s="181"/>
      <c r="I92" s="181"/>
      <c r="J92" s="181"/>
      <c r="K92" s="181"/>
      <c r="L92" s="895"/>
      <c r="M92" s="895"/>
      <c r="N92" s="895"/>
      <c r="O92" s="895"/>
      <c r="P92" s="80"/>
      <c r="Q92" s="90"/>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86"/>
      <c r="AQ92" s="79"/>
      <c r="AR92" s="79"/>
    </row>
    <row r="93" ht="0" hidden="1" customHeight="1">
      <c r="C93" s="181"/>
      <c r="D93" s="183"/>
      <c r="E93" s="183"/>
      <c r="F93" s="201"/>
      <c r="G93" s="181"/>
      <c r="H93" s="181"/>
      <c r="I93" s="181"/>
      <c r="J93" s="181"/>
      <c r="K93" s="181"/>
      <c r="L93" s="895"/>
      <c r="M93" s="895"/>
      <c r="N93" s="895"/>
      <c r="O93" s="895"/>
      <c r="P93" s="80"/>
      <c r="Q93" s="90"/>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86"/>
      <c r="AQ93" s="79"/>
      <c r="AR93" s="79"/>
    </row>
    <row r="94" ht="0" hidden="1" customHeight="1">
      <c r="C94" s="181"/>
      <c r="D94" s="183"/>
      <c r="E94" s="183"/>
      <c r="F94" s="201"/>
      <c r="G94" s="181"/>
      <c r="H94" s="181"/>
      <c r="I94" s="181"/>
      <c r="J94" s="181"/>
      <c r="K94" s="181"/>
      <c r="L94" s="895"/>
      <c r="M94" s="895"/>
      <c r="N94" s="895"/>
      <c r="O94" s="895"/>
      <c r="P94" s="80"/>
      <c r="Q94" s="90"/>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86"/>
      <c r="AQ94" s="79"/>
      <c r="AR94" s="79"/>
    </row>
    <row r="95" ht="0" hidden="1" customHeight="1">
      <c r="C95" s="181"/>
      <c r="D95" s="183"/>
      <c r="E95" s="183"/>
      <c r="F95" s="201"/>
      <c r="G95" s="181"/>
      <c r="H95" s="181"/>
      <c r="I95" s="181"/>
      <c r="J95" s="181"/>
      <c r="K95" s="181"/>
      <c r="L95" s="895"/>
      <c r="M95" s="895"/>
      <c r="N95" s="895"/>
      <c r="O95" s="895"/>
      <c r="P95" s="80"/>
      <c r="Q95" s="90"/>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86"/>
      <c r="AQ95" s="79"/>
      <c r="AR95" s="79"/>
    </row>
    <row r="96" ht="0" hidden="1" customHeight="1">
      <c r="C96" s="181"/>
      <c r="D96" s="183"/>
      <c r="E96" s="183"/>
      <c r="F96" s="201"/>
      <c r="G96" s="181"/>
      <c r="H96" s="181"/>
      <c r="I96" s="181"/>
      <c r="J96" s="181"/>
      <c r="K96" s="181"/>
      <c r="L96" s="895"/>
      <c r="M96" s="895"/>
      <c r="N96" s="895"/>
      <c r="O96" s="895"/>
      <c r="P96" s="80"/>
      <c r="Q96" s="90"/>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86"/>
      <c r="AQ96" s="79"/>
      <c r="AR96" s="79"/>
    </row>
    <row r="97" ht="0" hidden="1" customHeight="1">
      <c r="C97" s="181"/>
      <c r="D97" s="183"/>
      <c r="E97" s="183"/>
      <c r="F97" s="201"/>
      <c r="G97" s="181"/>
      <c r="H97" s="181"/>
      <c r="I97" s="181"/>
      <c r="J97" s="181"/>
      <c r="K97" s="181"/>
      <c r="L97" s="895"/>
      <c r="M97" s="895"/>
      <c r="N97" s="895"/>
      <c r="O97" s="895"/>
      <c r="P97" s="80"/>
      <c r="Q97" s="90"/>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86"/>
      <c r="AQ97" s="79"/>
      <c r="AR97" s="79"/>
    </row>
    <row r="98" ht="0" hidden="1" customHeight="1">
      <c r="C98" s="181"/>
      <c r="D98" s="183"/>
      <c r="E98" s="183"/>
      <c r="F98" s="201"/>
      <c r="G98" s="181"/>
      <c r="H98" s="181"/>
      <c r="I98" s="181"/>
      <c r="J98" s="181"/>
      <c r="K98" s="181"/>
      <c r="L98" s="895"/>
      <c r="M98" s="895"/>
      <c r="N98" s="895"/>
      <c r="O98" s="895"/>
      <c r="P98" s="80"/>
      <c r="Q98" s="90"/>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86"/>
      <c r="AQ98" s="79"/>
      <c r="AR98" s="79"/>
    </row>
    <row r="99" ht="0" hidden="1" customHeight="1">
      <c r="C99" s="181"/>
      <c r="D99" s="183"/>
      <c r="E99" s="183"/>
      <c r="F99" s="201"/>
      <c r="G99" s="181"/>
      <c r="H99" s="181"/>
      <c r="I99" s="181"/>
      <c r="J99" s="181"/>
      <c r="K99" s="181"/>
      <c r="L99" s="895"/>
      <c r="M99" s="895"/>
      <c r="N99" s="895"/>
      <c r="O99" s="895"/>
      <c r="P99" s="80"/>
      <c r="Q99" s="90"/>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86"/>
      <c r="AQ99" s="79"/>
      <c r="AR99" s="79"/>
    </row>
    <row r="100" ht="0" hidden="1" customHeight="1">
      <c r="C100" s="181"/>
      <c r="D100" s="183"/>
      <c r="E100" s="183"/>
      <c r="F100" s="201"/>
      <c r="G100" s="181"/>
      <c r="H100" s="181"/>
      <c r="I100" s="181"/>
      <c r="J100" s="181"/>
      <c r="K100" s="181"/>
      <c r="L100" s="895"/>
      <c r="M100" s="895"/>
      <c r="N100" s="895"/>
      <c r="O100" s="895"/>
      <c r="P100" s="80"/>
      <c r="Q100" s="90"/>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86"/>
      <c r="AQ100" s="48"/>
      <c r="AR100" s="48"/>
    </row>
    <row r="101" ht="0" hidden="1" customHeight="1">
      <c r="C101" s="181"/>
      <c r="D101" s="183"/>
      <c r="E101" s="183"/>
      <c r="F101" s="201"/>
      <c r="G101" s="181"/>
      <c r="H101" s="181"/>
      <c r="I101" s="181"/>
      <c r="J101" s="181"/>
      <c r="K101" s="181"/>
      <c r="L101" s="895"/>
      <c r="M101" s="895"/>
      <c r="N101" s="895"/>
      <c r="O101" s="895"/>
      <c r="P101" s="80"/>
      <c r="Q101" s="54"/>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79"/>
      <c r="AR101" s="79"/>
    </row>
    <row r="102" ht="18" customHeight="1">
      <c r="C102" s="181"/>
      <c r="D102" s="183"/>
      <c r="E102" s="183"/>
      <c r="F102" s="201"/>
      <c r="G102" s="181"/>
      <c r="H102" s="181"/>
      <c r="I102" s="181"/>
      <c r="J102" s="181"/>
      <c r="K102" s="181"/>
      <c r="L102" s="895"/>
      <c r="M102" s="895"/>
      <c r="N102" s="895"/>
      <c r="O102" s="895"/>
      <c r="P102" s="80"/>
      <c r="Q102" s="54"/>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79"/>
      <c r="AR102" s="79"/>
    </row>
    <row r="103" ht="18" customHeight="1">
      <c r="C103" s="181"/>
      <c r="D103" s="183"/>
      <c r="E103" s="183"/>
      <c r="F103" s="201"/>
      <c r="G103" s="181"/>
      <c r="H103" s="181"/>
      <c r="I103" s="181"/>
      <c r="J103" s="181"/>
      <c r="K103" s="181"/>
      <c r="L103" s="895"/>
      <c r="M103" s="895"/>
      <c r="N103" s="895"/>
      <c r="O103" s="895"/>
      <c r="P103" s="80"/>
      <c r="Q103" s="54"/>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ht="9" customHeight="1">
      <c r="E104" s="81"/>
      <c r="F104" s="202"/>
      <c r="R104" s="47"/>
      <c r="S104" s="47"/>
      <c r="T104" s="47"/>
      <c r="U104" s="47"/>
      <c r="V104" s="47"/>
      <c r="W104" s="47"/>
      <c r="X104" s="47"/>
      <c r="Y104" s="47"/>
      <c r="Z104" s="87"/>
      <c r="AA104" s="47"/>
      <c r="AB104" s="47"/>
      <c r="AC104" s="88"/>
      <c r="AD104" s="88"/>
      <c r="AE104" s="88"/>
      <c r="AF104" s="83"/>
      <c r="AG104" s="47"/>
      <c r="AH104" s="47"/>
      <c r="AI104" s="47"/>
      <c r="AJ104" s="88"/>
      <c r="AK104" s="47"/>
      <c r="AL104" s="47"/>
      <c r="AM104" s="47"/>
      <c r="AN104" s="47"/>
      <c r="AO104" s="47"/>
      <c r="AP104" s="47"/>
    </row>
    <row r="105" ht="39.95" customHeight="1">
      <c r="B105" s="34"/>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5"/>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W21"/>
    <mergeCell ref="X21:AI21"/>
    <mergeCell ref="AJ21:AO21"/>
    <mergeCell ref="H30:K30"/>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42" display="For all STR definitions, please click here or visit www.str.com/data-insights/resources/glossary"/>
    <hyperlink ref="A14:I14" r:id="rId43" display="For the latest in industry news, visit HotelNewsNow.com."/>
    <hyperlink ref="A15:I15" r:id="rId44" display="To learn more about the Hotel Data Conference, visit HotelDataConference.com."/>
    <hyperlink ref="A9:F9" r:id="rId45" display="For all STR FAQs, please click here or visit www.str.com/data-insights/resources/FAQ"/>
    <hyperlink ref="A12:E12" r:id="rId46"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6"/>
      <c r="AB1" s="996"/>
      <c r="AC1" s="996"/>
      <c r="AD1" s="996"/>
      <c r="AE1" s="996"/>
      <c r="AF1" s="996"/>
      <c r="AH1" s="236"/>
    </row>
    <row r="2" ht="20.1" customHeight="1">
      <c r="A2" s="6"/>
      <c r="B2" s="997" t="s">
        <v>144</v>
      </c>
      <c r="C2" s="997"/>
      <c r="D2" s="997"/>
      <c r="E2" s="997"/>
      <c r="F2" s="997"/>
      <c r="G2" s="997"/>
      <c r="H2" s="997"/>
      <c r="I2" s="997"/>
      <c r="J2" s="997"/>
      <c r="K2" s="997"/>
      <c r="L2" s="997"/>
      <c r="M2" s="997"/>
      <c r="N2" s="997"/>
      <c r="O2" s="997"/>
      <c r="P2" s="997"/>
      <c r="Q2" s="997"/>
      <c r="R2" s="997"/>
      <c r="S2" s="997"/>
      <c r="T2" s="997"/>
      <c r="U2" s="997"/>
      <c r="V2" s="997"/>
      <c r="W2" s="997"/>
      <c r="X2" s="997"/>
      <c r="Y2" s="997"/>
      <c r="Z2" s="997"/>
      <c r="AA2" s="997"/>
      <c r="AB2" s="997"/>
      <c r="AC2" s="997"/>
      <c r="AD2" s="997"/>
      <c r="AE2" s="997"/>
      <c r="AF2" s="26"/>
    </row>
    <row r="3" ht="20.1" customHeight="1">
      <c r="A3" s="6"/>
      <c r="B3" s="997" t="s">
        <v>145</v>
      </c>
      <c r="C3" s="997"/>
      <c r="D3" s="997"/>
      <c r="E3" s="997"/>
      <c r="F3" s="997"/>
      <c r="G3" s="997"/>
      <c r="H3" s="997"/>
      <c r="I3" s="997"/>
      <c r="J3" s="997"/>
      <c r="K3" s="997"/>
      <c r="L3" s="997"/>
      <c r="M3" s="997"/>
      <c r="N3" s="997"/>
      <c r="O3" s="997"/>
      <c r="P3" s="997"/>
      <c r="Q3" s="997"/>
      <c r="R3" s="997"/>
      <c r="S3" s="997"/>
      <c r="T3" s="997"/>
      <c r="U3" s="998"/>
      <c r="V3" s="998"/>
      <c r="W3" s="998"/>
      <c r="X3" s="998"/>
      <c r="Y3" s="998"/>
      <c r="Z3" s="998"/>
      <c r="AA3" s="998"/>
      <c r="AB3" s="998"/>
      <c r="AC3" s="998"/>
      <c r="AD3" s="998"/>
      <c r="AE3" s="998"/>
      <c r="AF3" s="998"/>
    </row>
    <row r="4" ht="20.1" customHeight="1">
      <c r="A4" s="6"/>
      <c r="B4" s="997" t="s">
        <v>146</v>
      </c>
      <c r="C4" s="997"/>
      <c r="D4" s="997"/>
      <c r="E4" s="997"/>
      <c r="F4" s="997"/>
      <c r="G4" s="997"/>
      <c r="H4" s="997"/>
      <c r="I4" s="997"/>
      <c r="J4" s="997"/>
      <c r="K4" s="997"/>
      <c r="L4" s="997"/>
      <c r="M4" s="997"/>
      <c r="N4" s="997"/>
      <c r="O4" s="997"/>
      <c r="P4" s="997"/>
      <c r="Q4" s="997"/>
      <c r="R4" s="997"/>
      <c r="S4" s="997"/>
      <c r="T4" s="997"/>
      <c r="U4" s="997"/>
      <c r="V4" s="997"/>
      <c r="W4" s="997"/>
      <c r="X4" s="997"/>
      <c r="Y4" s="997"/>
      <c r="Z4" s="997"/>
      <c r="AA4" s="997"/>
      <c r="AB4" s="997"/>
      <c r="AC4" s="997"/>
      <c r="AD4" s="997"/>
      <c r="AE4" s="997"/>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999"/>
      <c r="Y18" s="999"/>
      <c r="Z18" s="999"/>
      <c r="AA18" s="999"/>
      <c r="AB18" s="999"/>
      <c r="AC18" s="999"/>
      <c r="AD18" s="999"/>
      <c r="AE18" s="999"/>
      <c r="AF18" s="999"/>
      <c r="AG18" s="999"/>
    </row>
    <row r="19" s="117" customFormat="1" ht="15.95" customHeight="1">
      <c r="B19" s="964" t="s">
        <v>22</v>
      </c>
      <c r="C19" s="1000">
        <v>2024</v>
      </c>
      <c r="D19" s="1000"/>
      <c r="E19" s="1000"/>
      <c r="F19" s="1000"/>
      <c r="G19" s="1000"/>
      <c r="H19" s="1000"/>
      <c r="I19" s="1000"/>
      <c r="J19" s="1000"/>
      <c r="K19" s="1000"/>
      <c r="L19" s="1000"/>
      <c r="M19" s="1000"/>
      <c r="N19" s="1000"/>
      <c r="O19" s="1000">
        <v>2025</v>
      </c>
      <c r="P19" s="1000"/>
      <c r="Q19" s="1000"/>
      <c r="R19" s="1000"/>
      <c r="S19" s="1000"/>
      <c r="T19" s="1000"/>
      <c r="U19" s="119"/>
      <c r="V19" s="1001" t="s">
        <v>58</v>
      </c>
      <c r="W19" s="1001"/>
      <c r="X19" s="1001"/>
      <c r="Y19" s="119"/>
      <c r="Z19" s="1001" t="s">
        <v>44</v>
      </c>
      <c r="AA19" s="1001"/>
      <c r="AB19" s="1001"/>
      <c r="AC19" s="119"/>
      <c r="AD19" s="1002" t="s">
        <v>45</v>
      </c>
      <c r="AE19" s="1002"/>
      <c r="AF19" s="1002"/>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269" t="s">
        <v>154</v>
      </c>
      <c r="D20" s="269" t="s">
        <v>158</v>
      </c>
      <c r="E20" s="269" t="s">
        <v>159</v>
      </c>
      <c r="F20" s="269" t="s">
        <v>160</v>
      </c>
      <c r="G20" s="269" t="s">
        <v>161</v>
      </c>
      <c r="H20" s="269" t="s">
        <v>162</v>
      </c>
      <c r="I20" s="269" t="s">
        <v>163</v>
      </c>
      <c r="J20" s="269" t="s">
        <v>164</v>
      </c>
      <c r="K20" s="269" t="s">
        <v>165</v>
      </c>
      <c r="L20" s="269" t="s">
        <v>166</v>
      </c>
      <c r="M20" s="269" t="s">
        <v>170</v>
      </c>
      <c r="N20" s="1003" t="s">
        <v>172</v>
      </c>
      <c r="O20" s="269" t="s">
        <v>154</v>
      </c>
      <c r="P20" s="269" t="s">
        <v>158</v>
      </c>
      <c r="Q20" s="269" t="s">
        <v>159</v>
      </c>
      <c r="R20" s="269" t="s">
        <v>160</v>
      </c>
      <c r="S20" s="269" t="s">
        <v>161</v>
      </c>
      <c r="T20" s="1003" t="s">
        <v>162</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573">
        <v>48.586220629231381919553962560</v>
      </c>
      <c r="D21" s="574">
        <v>60.408684546615581098339719030</v>
      </c>
      <c r="E21" s="574">
        <v>69.653524492234169653524492230</v>
      </c>
      <c r="F21" s="574">
        <v>68.765432098765432098765432100</v>
      </c>
      <c r="G21" s="574">
        <v>59.577857427319792911190760650</v>
      </c>
      <c r="H21" s="574">
        <v>56.543209876543209876543209880</v>
      </c>
      <c r="I21" s="574">
        <v>59.976105137395459976105137400</v>
      </c>
      <c r="J21" s="574">
        <v>60.454002389486260454002389490</v>
      </c>
      <c r="K21" s="574">
        <v>65.226337448559670781893004120</v>
      </c>
      <c r="L21" s="574">
        <v>75.029868578255675029868578260</v>
      </c>
      <c r="M21" s="574">
        <v>59.588477366255144032921810700</v>
      </c>
      <c r="N21" s="1004">
        <v>56.152927120669056152927120670</v>
      </c>
      <c r="O21" s="574">
        <v>52.887295898048586220629231380</v>
      </c>
      <c r="P21" s="574">
        <v>52.821869488536155202821869490</v>
      </c>
      <c r="Q21" s="574">
        <v>67.383512544802867383512544800</v>
      </c>
      <c r="R21" s="574">
        <v>67.530864197530864197530864200</v>
      </c>
      <c r="S21" s="574">
        <v>63.002787733970529669454400640</v>
      </c>
      <c r="T21" s="1004">
        <v>51.481481481481481481481481480</v>
      </c>
      <c r="U21" s="113"/>
      <c r="V21" s="573">
        <v>66.155105381624718641293226930</v>
      </c>
      <c r="W21" s="574">
        <v>60.568443901777235110568443900</v>
      </c>
      <c r="X21" s="575">
        <v>59.286542527794829820612509380</v>
      </c>
      <c r="Y21" s="113"/>
      <c r="Z21" s="573">
        <v>73.043006376339709673043006380</v>
      </c>
      <c r="AA21" s="574">
        <v>61.606294939628272961606294940</v>
      </c>
      <c r="AB21" s="575">
        <v>60.697327363994030660697327360</v>
      </c>
      <c r="AC21" s="113"/>
      <c r="AD21" s="573">
        <v>66.406223575173346862844579740</v>
      </c>
      <c r="AE21" s="574">
        <v>60.149767253592390204412062340</v>
      </c>
      <c r="AF21" s="575">
        <v>61.028242854726872991713174360</v>
      </c>
      <c r="AG21" s="113"/>
    </row>
    <row r="22" ht="21.95" customHeight="1">
      <c r="B22" s="38" t="s">
        <v>35</v>
      </c>
      <c r="C22" s="271">
        <v>26.188387096774193548387096770</v>
      </c>
      <c r="D22" s="92">
        <v>37.008178603006175995879120880</v>
      </c>
      <c r="E22" s="92">
        <v>45.140612076095947063688999170</v>
      </c>
      <c r="F22" s="92">
        <v>49.188034188034188034188034190</v>
      </c>
      <c r="G22" s="92">
        <v>44.458229942100909842845326720</v>
      </c>
      <c r="H22" s="92">
        <v>43.189102564102564102564102560</v>
      </c>
      <c r="I22" s="92">
        <v>36.238626964433416046319272130</v>
      </c>
      <c r="J22" s="92">
        <v>35.494210090984284532671629450</v>
      </c>
      <c r="K22" s="92">
        <v>39.930555555555555555555555560</v>
      </c>
      <c r="L22" s="92">
        <v>50.362450163102573396158028270</v>
      </c>
      <c r="M22" s="92">
        <v>41.323345817727840199750312110</v>
      </c>
      <c r="N22" s="1005">
        <v>38.317023075993717530506222060</v>
      </c>
      <c r="O22" s="92">
        <v>27.81200918207079859852603600</v>
      </c>
      <c r="P22" s="92">
        <v>33.259764579989299090422685930</v>
      </c>
      <c r="Q22" s="92">
        <v>43.729612178325480246466110910</v>
      </c>
      <c r="R22" s="92">
        <v>49.450686641697877652933832710</v>
      </c>
      <c r="S22" s="92">
        <v>48.187749184487133019209858640</v>
      </c>
      <c r="T22" s="1005">
        <v>36.716604244694132334581772780</v>
      </c>
      <c r="U22" s="113"/>
      <c r="V22" s="271">
        <v>45.737016574585635359116022100</v>
      </c>
      <c r="W22" s="92">
        <v>40.863083837589943854835140520</v>
      </c>
      <c r="X22" s="272">
        <v>39.933163655927328408550085870</v>
      </c>
      <c r="Y22" s="113"/>
      <c r="Z22" s="271">
        <v>51.446153846153846153846153850</v>
      </c>
      <c r="AA22" s="92">
        <v>45.599112426035502958579881660</v>
      </c>
      <c r="AB22" s="272">
        <v>44.822406058361114540889821780</v>
      </c>
      <c r="AC22" s="113"/>
      <c r="AD22" s="271">
        <v>47.064986301369863013698630140</v>
      </c>
      <c r="AE22" s="92">
        <v>44.121973446876736076324158350</v>
      </c>
      <c r="AF22" s="272">
        <v>40.104935019318580962416578850</v>
      </c>
      <c r="AG22" s="113"/>
    </row>
    <row r="23" ht="21.95" customHeight="1">
      <c r="B23" s="40" t="s">
        <v>97</v>
      </c>
      <c r="C23" s="576">
        <v>185.52582276122002277839020979</v>
      </c>
      <c r="D23" s="113">
        <v>163.23063394889329160304290220</v>
      </c>
      <c r="E23" s="113">
        <v>154.30345599835739851904203682</v>
      </c>
      <c r="F23" s="113">
        <v>139.80113910618849002814601382</v>
      </c>
      <c r="G23" s="113">
        <v>134.00861326442996041744286206</v>
      </c>
      <c r="H23" s="113">
        <v>130.92008520580726413479130197</v>
      </c>
      <c r="I23" s="113">
        <v>165.50324932651178185184370186</v>
      </c>
      <c r="J23" s="113">
        <v>170.32074311414279743127806994</v>
      </c>
      <c r="K23" s="113">
        <v>163.34943639273283875936448159</v>
      </c>
      <c r="L23" s="113">
        <v>148.97978222916011872756076127</v>
      </c>
      <c r="M23" s="113">
        <v>144.20051471420703046873606809</v>
      </c>
      <c r="N23" s="1006">
        <v>146.54825091524564801743712756</v>
      </c>
      <c r="O23" s="113">
        <v>190.15992534651977915229609462</v>
      </c>
      <c r="P23" s="113">
        <v>158.81612559668982239928370981</v>
      </c>
      <c r="Q23" s="113">
        <v>154.09126490776579964388004182</v>
      </c>
      <c r="R23" s="113">
        <v>136.56203540070664142292453979</v>
      </c>
      <c r="S23" s="113">
        <v>130.74440869347745550427868136</v>
      </c>
      <c r="T23" s="1006">
        <v>140.21307945141134529728816842</v>
      </c>
      <c r="U23" s="113"/>
      <c r="V23" s="576">
        <v>144.64237140111994313415206991</v>
      </c>
      <c r="W23" s="113">
        <v>148.22289023141574151962590031</v>
      </c>
      <c r="X23" s="577">
        <v>148.46442680740479884061383714</v>
      </c>
      <c r="Y23" s="113"/>
      <c r="Z23" s="576">
        <v>141.97952794431285116356058700</v>
      </c>
      <c r="AA23" s="113">
        <v>135.10415370388041368673085703</v>
      </c>
      <c r="AB23" s="577">
        <v>135.41737872105812768640617104</v>
      </c>
      <c r="AC23" s="113"/>
      <c r="AD23" s="576">
        <v>141.09474748364692586359793071</v>
      </c>
      <c r="AE23" s="113">
        <v>136.32610364987765391431799071</v>
      </c>
      <c r="AF23" s="577">
        <v>152.17140440536256184302056573</v>
      </c>
      <c r="AG23" s="113"/>
    </row>
    <row r="24" ht="21.95" customHeight="1">
      <c r="A24" s="23"/>
      <c r="B24" s="39" t="s">
        <v>23</v>
      </c>
      <c r="C24" s="273" t="s">
        <v>155</v>
      </c>
      <c r="D24" s="274" t="s">
        <v>155</v>
      </c>
      <c r="E24" s="274" t="s">
        <v>155</v>
      </c>
      <c r="F24" s="274" t="s">
        <v>157</v>
      </c>
      <c r="G24" s="274" t="s">
        <v>157</v>
      </c>
      <c r="H24" s="274" t="s">
        <v>157</v>
      </c>
      <c r="I24" s="274" t="s">
        <v>155</v>
      </c>
      <c r="J24" s="274" t="s">
        <v>155</v>
      </c>
      <c r="K24" s="274" t="s">
        <v>157</v>
      </c>
      <c r="L24" s="274" t="s">
        <v>167</v>
      </c>
      <c r="M24" s="274" t="s">
        <v>167</v>
      </c>
      <c r="N24" s="1007" t="s">
        <v>169</v>
      </c>
      <c r="O24" s="274" t="s">
        <v>167</v>
      </c>
      <c r="P24" s="274" t="s">
        <v>167</v>
      </c>
      <c r="Q24" s="274" t="s">
        <v>167</v>
      </c>
      <c r="R24" s="274" t="s">
        <v>169</v>
      </c>
      <c r="S24" s="274" t="s">
        <v>169</v>
      </c>
      <c r="T24" s="1007" t="s">
        <v>167</v>
      </c>
      <c r="U24" s="113"/>
      <c r="V24" s="273" t="s">
        <v>156</v>
      </c>
      <c r="W24" s="274" t="s">
        <v>157</v>
      </c>
      <c r="X24" s="275" t="s">
        <v>167</v>
      </c>
      <c r="Y24" s="113"/>
      <c r="Z24" s="273" t="s">
        <v>156</v>
      </c>
      <c r="AA24" s="274" t="s">
        <v>157</v>
      </c>
      <c r="AB24" s="275" t="s">
        <v>169</v>
      </c>
      <c r="AC24" s="113"/>
      <c r="AD24" s="273" t="s">
        <v>156</v>
      </c>
      <c r="AE24" s="274" t="s">
        <v>157</v>
      </c>
      <c r="AF24" s="275" t="s">
        <v>167</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573">
        <v>-1.7713365539495204088776865800</v>
      </c>
      <c r="D26" s="574">
        <v>8.735632183821057471264437410</v>
      </c>
      <c r="E26" s="574">
        <v>-3.5300606728931794915011304800</v>
      </c>
      <c r="F26" s="574">
        <v>7.3907455012846568718155444500</v>
      </c>
      <c r="G26" s="574">
        <v>-21.221695629310676359969938680</v>
      </c>
      <c r="H26" s="574">
        <v>-28.771384136873984457575175180</v>
      </c>
      <c r="I26" s="574">
        <v>2.8688524589769744356355969500</v>
      </c>
      <c r="J26" s="574">
        <v>6.6760365424544898117415827400</v>
      </c>
      <c r="K26" s="574">
        <v>7.970027248036571750477084380</v>
      </c>
      <c r="L26" s="574">
        <v>-0.000000000059076433120984200</v>
      </c>
      <c r="M26" s="574">
        <v>1.3296011197328829342800146200</v>
      </c>
      <c r="N26" s="1004">
        <v>14.170040485934145453949512380</v>
      </c>
      <c r="O26" s="574">
        <v>8.852459016463750604676207730</v>
      </c>
      <c r="P26" s="574">
        <v>-12.559146280053959179781485780</v>
      </c>
      <c r="Q26" s="574">
        <v>-3.2590051457501407812550335200</v>
      </c>
      <c r="R26" s="574">
        <v>-1.7953321364946091687644192200</v>
      </c>
      <c r="S26" s="574">
        <v>5.748663101639409816551814700</v>
      </c>
      <c r="T26" s="1004">
        <v>-8.951965065432605213477950680</v>
      </c>
      <c r="U26" s="113"/>
      <c r="V26" s="573">
        <v>-2.6009238802930719616887813900</v>
      </c>
      <c r="W26" s="574">
        <v>-8.444792654470786676207428200</v>
      </c>
      <c r="X26" s="575">
        <v>-2.1164508965816010723845289400</v>
      </c>
      <c r="Y26" s="113"/>
      <c r="Z26" s="573">
        <v>10.622560098622313692146160830</v>
      </c>
      <c r="AA26" s="574">
        <v>-15.657503714664399983910256820</v>
      </c>
      <c r="AB26" s="575">
        <v>-1.4754459369730620632751931100</v>
      </c>
      <c r="AC26" s="113"/>
      <c r="AD26" s="573">
        <v>-2.1286141574881667348403286300</v>
      </c>
      <c r="AE26" s="574">
        <v>-9.421490915716128062860568120</v>
      </c>
      <c r="AF26" s="575">
        <v>1.4604804660724529984520697400</v>
      </c>
      <c r="AG26" s="113"/>
    </row>
    <row r="27" ht="21.95" customHeight="1">
      <c r="B27" s="38" t="s">
        <v>35</v>
      </c>
      <c r="C27" s="271">
        <v>-17.334636689475399152818507670</v>
      </c>
      <c r="D27" s="92">
        <v>-3.8106155424970137432435975100</v>
      </c>
      <c r="E27" s="92">
        <v>-8.981230203563246202402440620</v>
      </c>
      <c r="F27" s="92">
        <v>4.0004105802481986514462833900</v>
      </c>
      <c r="G27" s="92">
        <v>-9.878823485179354039788417200</v>
      </c>
      <c r="H27" s="92">
        <v>-25.254229917169075319725436930</v>
      </c>
      <c r="I27" s="92">
        <v>-26.216540832747516470830268190</v>
      </c>
      <c r="J27" s="92">
        <v>-33.070528417223390032193771530</v>
      </c>
      <c r="K27" s="92">
        <v>-17.734543823079605805344367180</v>
      </c>
      <c r="L27" s="92">
        <v>-10.496012483061379598883039380</v>
      </c>
      <c r="M27" s="92">
        <v>0.9396474832941806863663058100</v>
      </c>
      <c r="N27" s="1005">
        <v>6.7883087020969247692642676800</v>
      </c>
      <c r="O27" s="92">
        <v>6.1997788533880023555725280800</v>
      </c>
      <c r="P27" s="92">
        <v>-10.128609849247870345340037780</v>
      </c>
      <c r="Q27" s="92">
        <v>-3.1257881381754305421964293400</v>
      </c>
      <c r="R27" s="92">
        <v>0.5339763176832848730836795600</v>
      </c>
      <c r="S27" s="92">
        <v>8.388816305202113669216886170</v>
      </c>
      <c r="T27" s="1005">
        <v>-14.986415403745830077430180770</v>
      </c>
      <c r="U27" s="113"/>
      <c r="V27" s="271">
        <v>3.3572849581428088177117144300</v>
      </c>
      <c r="W27" s="92">
        <v>-10.656429085312899776751805060</v>
      </c>
      <c r="X27" s="272">
        <v>-2.275697510663669802229596500</v>
      </c>
      <c r="Y27" s="113"/>
      <c r="Z27" s="271">
        <v>3.9136302293597344807434087800</v>
      </c>
      <c r="AA27" s="92">
        <v>-11.365361612151655108969591580</v>
      </c>
      <c r="AB27" s="272">
        <v>-1.7033365921307230207318470400</v>
      </c>
      <c r="AC27" s="113"/>
      <c r="AD27" s="271">
        <v>-3.2178959130592888345872134400</v>
      </c>
      <c r="AE27" s="92">
        <v>-6.2530834189060855114094794800</v>
      </c>
      <c r="AF27" s="272">
        <v>-9.104394281946278765832845570</v>
      </c>
      <c r="AG27" s="113"/>
    </row>
    <row r="28" ht="21.95" customHeight="1">
      <c r="B28" s="40" t="s">
        <v>97</v>
      </c>
      <c r="C28" s="576">
        <v>18.826869576526392356043009960</v>
      </c>
      <c r="D28" s="113">
        <v>13.043276861804855910059864940</v>
      </c>
      <c r="E28" s="113">
        <v>5.989060874863577864580207500</v>
      </c>
      <c r="F28" s="113">
        <v>3.2599245543621139581961544300</v>
      </c>
      <c r="G28" s="113">
        <v>-12.586245078851649475704396510</v>
      </c>
      <c r="H28" s="113">
        <v>-4.7054893083585379730275676900</v>
      </c>
      <c r="I28" s="113">
        <v>39.419937232753795850850930980</v>
      </c>
      <c r="J28" s="113">
        <v>59.385744455656089007799886060</v>
      </c>
      <c r="K28" s="113">
        <v>31.245886506288866082897771870</v>
      </c>
      <c r="L28" s="113">
        <v>11.726865779150194855552068440</v>
      </c>
      <c r="M28" s="113">
        <v>0.3863235568421915390870526900</v>
      </c>
      <c r="N28" s="1006">
        <v>6.9124905838886120124479259300</v>
      </c>
      <c r="O28" s="113">
        <v>2.4978207973154094113816664200</v>
      </c>
      <c r="P28" s="113">
        <v>-2.7044607041054297568397392800</v>
      </c>
      <c r="Q28" s="113">
        <v>-0.137515449191494844617752500</v>
      </c>
      <c r="R28" s="113">
        <v>-2.31693656160610533269673600</v>
      </c>
      <c r="S28" s="113">
        <v>-2.4358169907200251167867637200</v>
      </c>
      <c r="T28" s="1006">
        <v>7.098218910416389341369003200</v>
      </c>
      <c r="U28" s="113"/>
      <c r="V28" s="576">
        <v>-5.7646723604544403032336603300</v>
      </c>
      <c r="W28" s="113">
        <v>2.4754287389182778591376159200</v>
      </c>
      <c r="X28" s="577">
        <v>0.1629549765408844915236981500</v>
      </c>
      <c r="Y28" s="113"/>
      <c r="Z28" s="576">
        <v>6.4562558870742418299545157300</v>
      </c>
      <c r="AA28" s="113">
        <v>-4.8425109873001302928654020800</v>
      </c>
      <c r="AB28" s="577">
        <v>0.2318396648593091623626801800</v>
      </c>
      <c r="AC28" s="113"/>
      <c r="AD28" s="576">
        <v>1.1254991465064626448353952300</v>
      </c>
      <c r="AE28" s="113">
        <v>-3.3797458224138530745504053500</v>
      </c>
      <c r="AF28" s="577">
        <v>11.623086357807883354244441220</v>
      </c>
      <c r="AG28" s="113"/>
    </row>
    <row r="29" ht="21.95" customHeight="1">
      <c r="A29" s="23"/>
      <c r="B29" s="39" t="s">
        <v>23</v>
      </c>
      <c r="C29" s="273" t="s">
        <v>156</v>
      </c>
      <c r="D29" s="274" t="s">
        <v>156</v>
      </c>
      <c r="E29" s="274" t="s">
        <v>156</v>
      </c>
      <c r="F29" s="274" t="s">
        <v>156</v>
      </c>
      <c r="G29" s="274" t="s">
        <v>173</v>
      </c>
      <c r="H29" s="274" t="s">
        <v>173</v>
      </c>
      <c r="I29" s="274" t="s">
        <v>155</v>
      </c>
      <c r="J29" s="274" t="s">
        <v>155</v>
      </c>
      <c r="K29" s="274" t="s">
        <v>155</v>
      </c>
      <c r="L29" s="274" t="s">
        <v>169</v>
      </c>
      <c r="M29" s="274" t="s">
        <v>168</v>
      </c>
      <c r="N29" s="1007" t="s">
        <v>168</v>
      </c>
      <c r="O29" s="274" t="s">
        <v>168</v>
      </c>
      <c r="P29" s="274" t="s">
        <v>168</v>
      </c>
      <c r="Q29" s="274" t="s">
        <v>168</v>
      </c>
      <c r="R29" s="274" t="s">
        <v>168</v>
      </c>
      <c r="S29" s="274" t="s">
        <v>168</v>
      </c>
      <c r="T29" s="1007" t="s">
        <v>169</v>
      </c>
      <c r="U29" s="113"/>
      <c r="V29" s="273" t="s">
        <v>174</v>
      </c>
      <c r="W29" s="274" t="s">
        <v>174</v>
      </c>
      <c r="X29" s="275" t="s">
        <v>169</v>
      </c>
      <c r="Y29" s="113"/>
      <c r="Z29" s="273" t="s">
        <v>156</v>
      </c>
      <c r="AA29" s="274" t="s">
        <v>173</v>
      </c>
      <c r="AB29" s="275" t="s">
        <v>169</v>
      </c>
      <c r="AC29" s="113"/>
      <c r="AD29" s="273" t="s">
        <v>156</v>
      </c>
      <c r="AE29" s="274" t="s">
        <v>174</v>
      </c>
      <c r="AF29" s="275" t="s">
        <v>167</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0">
        <v>2024</v>
      </c>
      <c r="D31" s="1000"/>
      <c r="E31" s="1000"/>
      <c r="F31" s="1000"/>
      <c r="G31" s="1000"/>
      <c r="H31" s="1000"/>
      <c r="I31" s="1000"/>
      <c r="J31" s="1000"/>
      <c r="K31" s="1000"/>
      <c r="L31" s="1000"/>
      <c r="M31" s="1000"/>
      <c r="N31" s="1000"/>
      <c r="O31" s="1000">
        <v>2025</v>
      </c>
      <c r="P31" s="1000"/>
      <c r="Q31" s="1000"/>
      <c r="R31" s="1000"/>
      <c r="S31" s="1000"/>
      <c r="T31" s="1000"/>
      <c r="U31" s="119"/>
      <c r="V31" s="1001" t="s">
        <v>58</v>
      </c>
      <c r="W31" s="1001"/>
      <c r="X31" s="1001"/>
      <c r="Y31" s="119"/>
      <c r="Z31" s="1001" t="s">
        <v>44</v>
      </c>
      <c r="AA31" s="1001"/>
      <c r="AB31" s="1001"/>
      <c r="AC31" s="119"/>
      <c r="AD31" s="1002" t="s">
        <v>45</v>
      </c>
      <c r="AE31" s="1002"/>
      <c r="AF31" s="1002"/>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269" t="s">
        <v>154</v>
      </c>
      <c r="D32" s="269" t="s">
        <v>158</v>
      </c>
      <c r="E32" s="269" t="s">
        <v>159</v>
      </c>
      <c r="F32" s="269" t="s">
        <v>160</v>
      </c>
      <c r="G32" s="269" t="s">
        <v>161</v>
      </c>
      <c r="H32" s="269" t="s">
        <v>162</v>
      </c>
      <c r="I32" s="269" t="s">
        <v>163</v>
      </c>
      <c r="J32" s="269" t="s">
        <v>164</v>
      </c>
      <c r="K32" s="269" t="s">
        <v>165</v>
      </c>
      <c r="L32" s="269" t="s">
        <v>166</v>
      </c>
      <c r="M32" s="269" t="s">
        <v>170</v>
      </c>
      <c r="N32" s="1003" t="s">
        <v>172</v>
      </c>
      <c r="O32" s="269" t="s">
        <v>154</v>
      </c>
      <c r="P32" s="269" t="s">
        <v>158</v>
      </c>
      <c r="Q32" s="269" t="s">
        <v>159</v>
      </c>
      <c r="R32" s="269" t="s">
        <v>160</v>
      </c>
      <c r="S32" s="269" t="s">
        <v>161</v>
      </c>
      <c r="T32" s="1003" t="s">
        <v>162</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578">
        <v>109.61001639344262295081967213</v>
      </c>
      <c r="D33" s="579">
        <v>117.11872445384073291050035236</v>
      </c>
      <c r="E33" s="579">
        <v>130.57909090909090909090909091</v>
      </c>
      <c r="F33" s="579">
        <v>139.89086175942549371633752244</v>
      </c>
      <c r="G33" s="579">
        <v>133.17729278074866310160427807</v>
      </c>
      <c r="H33" s="579">
        <v>133.80014556040756914119359534</v>
      </c>
      <c r="I33" s="579">
        <v>126.95223107569721115537848606</v>
      </c>
      <c r="J33" s="579">
        <v>119.48509881422924901185770751</v>
      </c>
      <c r="K33" s="579">
        <v>128.5386561514195583596214511</v>
      </c>
      <c r="L33" s="579">
        <v>135.47016454352441613588110403</v>
      </c>
      <c r="M33" s="579">
        <v>124.76870165745856353591160221</v>
      </c>
      <c r="N33" s="1008">
        <v>116.65195744680851063829787234</v>
      </c>
      <c r="O33" s="579">
        <v>108.72978162650602409638554217</v>
      </c>
      <c r="P33" s="579">
        <v>125.46939899833055091819699499</v>
      </c>
      <c r="Q33" s="579">
        <v>127.02153073286052009456264775</v>
      </c>
      <c r="R33" s="579">
        <v>127.58628884826325411334552102</v>
      </c>
      <c r="S33" s="579">
        <v>130.45032237673830594184576485</v>
      </c>
      <c r="T33" s="1008">
        <v>127.36813749000799360511590727</v>
      </c>
      <c r="U33" s="113"/>
      <c r="V33" s="578">
        <v>113.73536756366635735642849778</v>
      </c>
      <c r="W33" s="579">
        <v>128.24849143241124426027550678</v>
      </c>
      <c r="X33" s="580">
        <v>124.79348481362172112287160607</v>
      </c>
      <c r="Y33" s="113"/>
      <c r="Z33" s="578">
        <v>115.35656946508172362555720654</v>
      </c>
      <c r="AA33" s="579">
        <v>135.83621669235851134111429201</v>
      </c>
      <c r="AB33" s="580">
        <v>128.53800849351810460438086723</v>
      </c>
      <c r="AC33" s="113"/>
      <c r="AD33" s="578">
        <v>114.20484745072072530942800387</v>
      </c>
      <c r="AE33" s="579">
        <v>125.8380714445939883355764917</v>
      </c>
      <c r="AF33" s="580">
        <v>125.33266696225683090395167101</v>
      </c>
      <c r="AG33" s="113"/>
    </row>
    <row r="34" ht="21.95" customHeight="1">
      <c r="B34" s="38" t="s">
        <v>35</v>
      </c>
      <c r="C34" s="276">
        <v>101.80323216397319668900275918</v>
      </c>
      <c r="D34" s="94">
        <v>102.76555173958488875615947439</v>
      </c>
      <c r="E34" s="94">
        <v>111.0287104901511681172698122</v>
      </c>
      <c r="F34" s="94">
        <v>117.16376846220677671589921807</v>
      </c>
      <c r="G34" s="94">
        <v>115.72335465116279069767441859</v>
      </c>
      <c r="H34" s="94">
        <v>116.05235868893011750154607299</v>
      </c>
      <c r="I34" s="94">
        <v>114.11814407988587731811697574</v>
      </c>
      <c r="J34" s="94">
        <v>109.40036993882901252548791143</v>
      </c>
      <c r="K34" s="94">
        <v>121.68835317725752508361204012</v>
      </c>
      <c r="L34" s="94">
        <v>132.46358402302986685858222382</v>
      </c>
      <c r="M34" s="94">
        <v>118.19764954682779456193353475</v>
      </c>
      <c r="N34" s="1009">
        <v>117.92839508119186504808450261</v>
      </c>
      <c r="O34" s="94">
        <v>108.46571025195482189400521287</v>
      </c>
      <c r="P34" s="94">
        <v>118.91548763321938467725718881</v>
      </c>
      <c r="Q34" s="94">
        <v>119.85832987981765437215084957</v>
      </c>
      <c r="R34" s="94">
        <v>125.09120550366069174450896239</v>
      </c>
      <c r="S34" s="94">
        <v>126.64696377084116835903221764</v>
      </c>
      <c r="T34" s="1009">
        <v>120.55170180210812648758925537</v>
      </c>
      <c r="U34" s="113"/>
      <c r="V34" s="276">
        <v>104.96294704290684190181677619</v>
      </c>
      <c r="W34" s="94">
        <v>111.83541388585338863270159326</v>
      </c>
      <c r="X34" s="277">
        <v>120.9606386506723320465321139</v>
      </c>
      <c r="Y34" s="113"/>
      <c r="Z34" s="276">
        <v>106.33560594668489405331510595</v>
      </c>
      <c r="AA34" s="94">
        <v>116.33832116788321167883211679</v>
      </c>
      <c r="AB34" s="277">
        <v>124.43507965658142417703503054</v>
      </c>
      <c r="AC34" s="113"/>
      <c r="AD34" s="276">
        <v>104.64255134259129900248679762</v>
      </c>
      <c r="AE34" s="94">
        <v>109.42069003522424403140000914</v>
      </c>
      <c r="AF34" s="277">
        <v>120.37290993805666676548340388</v>
      </c>
      <c r="AG34" s="113"/>
    </row>
    <row r="35" ht="21.95" customHeight="1">
      <c r="B35" s="40" t="s">
        <v>98</v>
      </c>
      <c r="C35" s="576">
        <v>107.66850331123699247622217384</v>
      </c>
      <c r="D35" s="113">
        <v>113.96691057584215384742284163</v>
      </c>
      <c r="E35" s="113">
        <v>117.60840086548292603625835829</v>
      </c>
      <c r="F35" s="113">
        <v>119.39771449444102661757267606</v>
      </c>
      <c r="G35" s="113">
        <v>115.08246816915765367814143835</v>
      </c>
      <c r="H35" s="113">
        <v>115.29291353662515654131120018</v>
      </c>
      <c r="I35" s="113">
        <v>111.24631591170235360814166898</v>
      </c>
      <c r="J35" s="113">
        <v>109.21818535080894008544283611</v>
      </c>
      <c r="K35" s="113">
        <v>105.62938259517627214362406613</v>
      </c>
      <c r="L35" s="113">
        <v>102.26974118411470405597263781</v>
      </c>
      <c r="M35" s="113">
        <v>105.55937629542859515971256237</v>
      </c>
      <c r="N35" s="1006">
        <v>98.91761637770734193372131512</v>
      </c>
      <c r="O35" s="113">
        <v>100.24346069729548918197364811</v>
      </c>
      <c r="P35" s="113">
        <v>105.51140267392787046054457081</v>
      </c>
      <c r="Q35" s="113">
        <v>105.97638967624873505697403534</v>
      </c>
      <c r="R35" s="113">
        <v>101.99461131941002318866241173</v>
      </c>
      <c r="S35" s="113">
        <v>103.00311866364317578028631128</v>
      </c>
      <c r="T35" s="1006">
        <v>105.65436703589467859122509627</v>
      </c>
      <c r="U35" s="113"/>
      <c r="V35" s="576">
        <v>108.35763549701108499574687277</v>
      </c>
      <c r="W35" s="113">
        <v>114.67610033013037778619415477</v>
      </c>
      <c r="X35" s="577">
        <v>103.16867222732668700016021225</v>
      </c>
      <c r="Y35" s="113"/>
      <c r="Z35" s="576">
        <v>108.48348343724436036750329012</v>
      </c>
      <c r="AA35" s="113">
        <v>116.75965006948919167781520517</v>
      </c>
      <c r="AB35" s="577">
        <v>103.29724451355746487560999809</v>
      </c>
      <c r="AC35" s="113"/>
      <c r="AD35" s="576">
        <v>109.13805711484780377148816656</v>
      </c>
      <c r="AE35" s="113">
        <v>115.00390959343485419319456222</v>
      </c>
      <c r="AF35" s="577">
        <v>104.12032659732768200727016251</v>
      </c>
      <c r="AG35" s="113"/>
    </row>
    <row r="36" ht="21.95" customHeight="1">
      <c r="A36" s="23"/>
      <c r="B36" s="39" t="s">
        <v>23</v>
      </c>
      <c r="C36" s="273" t="s">
        <v>156</v>
      </c>
      <c r="D36" s="274" t="s">
        <v>156</v>
      </c>
      <c r="E36" s="274" t="s">
        <v>157</v>
      </c>
      <c r="F36" s="274" t="s">
        <v>157</v>
      </c>
      <c r="G36" s="274" t="s">
        <v>156</v>
      </c>
      <c r="H36" s="274" t="s">
        <v>156</v>
      </c>
      <c r="I36" s="274" t="s">
        <v>157</v>
      </c>
      <c r="J36" s="274" t="s">
        <v>156</v>
      </c>
      <c r="K36" s="274" t="s">
        <v>156</v>
      </c>
      <c r="L36" s="274" t="s">
        <v>168</v>
      </c>
      <c r="M36" s="274" t="s">
        <v>171</v>
      </c>
      <c r="N36" s="1007" t="s">
        <v>171</v>
      </c>
      <c r="O36" s="274" t="s">
        <v>171</v>
      </c>
      <c r="P36" s="274" t="s">
        <v>171</v>
      </c>
      <c r="Q36" s="274" t="s">
        <v>168</v>
      </c>
      <c r="R36" s="274" t="s">
        <v>168</v>
      </c>
      <c r="S36" s="274" t="s">
        <v>171</v>
      </c>
      <c r="T36" s="1007" t="s">
        <v>171</v>
      </c>
      <c r="U36" s="113"/>
      <c r="V36" s="273" t="s">
        <v>156</v>
      </c>
      <c r="W36" s="274" t="s">
        <v>156</v>
      </c>
      <c r="X36" s="275" t="s">
        <v>168</v>
      </c>
      <c r="Y36" s="113"/>
      <c r="Z36" s="273" t="s">
        <v>156</v>
      </c>
      <c r="AA36" s="274" t="s">
        <v>157</v>
      </c>
      <c r="AB36" s="275" t="s">
        <v>168</v>
      </c>
      <c r="AC36" s="113"/>
      <c r="AD36" s="273" t="s">
        <v>156</v>
      </c>
      <c r="AE36" s="274" t="s">
        <v>156</v>
      </c>
      <c r="AF36" s="275" t="s">
        <v>168</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573">
        <v>0.6064740947341127723108496300</v>
      </c>
      <c r="D38" s="574">
        <v>8.276964987491660588260752380</v>
      </c>
      <c r="E38" s="574">
        <v>12.499940869405243930209544650</v>
      </c>
      <c r="F38" s="574">
        <v>24.570578040066047384513931540</v>
      </c>
      <c r="G38" s="574">
        <v>18.430139779522521040684226090</v>
      </c>
      <c r="H38" s="574">
        <v>10.86951382109178036409308800</v>
      </c>
      <c r="I38" s="574">
        <v>2.0651613123892890329931925400</v>
      </c>
      <c r="J38" s="574">
        <v>-5.3375401929780377379653370100</v>
      </c>
      <c r="K38" s="574">
        <v>9.300413412822973836477896480</v>
      </c>
      <c r="L38" s="574">
        <v>4.5728803627210248232796611200</v>
      </c>
      <c r="M38" s="574">
        <v>2.6184485074209692435381295600</v>
      </c>
      <c r="N38" s="1004">
        <v>-1.7647899704345241582131552100</v>
      </c>
      <c r="O38" s="574">
        <v>-0.8030605193367874524747227400</v>
      </c>
      <c r="P38" s="574">
        <v>7.1300934871645174971718566400</v>
      </c>
      <c r="Q38" s="574">
        <v>-2.724448570955363486513914900</v>
      </c>
      <c r="R38" s="574">
        <v>-8.795837523897401510866111480</v>
      </c>
      <c r="S38" s="574">
        <v>-2.0476241459962200991155044900</v>
      </c>
      <c r="T38" s="1004">
        <v>-4.8071756898713329711601902700</v>
      </c>
      <c r="U38" s="113"/>
      <c r="V38" s="573">
        <v>8.618473237057747227814820460</v>
      </c>
      <c r="W38" s="574">
        <v>12.760431675382637052680000330</v>
      </c>
      <c r="X38" s="575">
        <v>-2.6939939645211490048167082400</v>
      </c>
      <c r="Y38" s="113"/>
      <c r="Z38" s="573">
        <v>-0.7847208750778839281347510100</v>
      </c>
      <c r="AA38" s="574">
        <v>17.753342806760934391928028090</v>
      </c>
      <c r="AB38" s="575">
        <v>-5.3727999620370965416721239600</v>
      </c>
      <c r="AC38" s="113"/>
      <c r="AD38" s="573">
        <v>12.959651430358416904613619100</v>
      </c>
      <c r="AE38" s="574">
        <v>10.186278650663951642117310180</v>
      </c>
      <c r="AF38" s="575">
        <v>-0.4016308232804351043679893300</v>
      </c>
      <c r="AG38" s="113"/>
    </row>
    <row r="39" ht="21.95" customHeight="1">
      <c r="B39" s="38" t="s">
        <v>35</v>
      </c>
      <c r="C39" s="271">
        <v>0.9326689835480321610054257900</v>
      </c>
      <c r="D39" s="92">
        <v>2.5151957153127917606837160300</v>
      </c>
      <c r="E39" s="92">
        <v>4.0483412719634237953578222700</v>
      </c>
      <c r="F39" s="92">
        <v>12.385524518579604362562685690</v>
      </c>
      <c r="G39" s="92">
        <v>9.768401635702293759035848170</v>
      </c>
      <c r="H39" s="92">
        <v>6.6219313130382259810678452900</v>
      </c>
      <c r="I39" s="92">
        <v>7.8277672057490795840196051900</v>
      </c>
      <c r="J39" s="92">
        <v>6.5445851705200728817300062600</v>
      </c>
      <c r="K39" s="92">
        <v>17.562584627988138674625479810</v>
      </c>
      <c r="L39" s="92">
        <v>13.517929876565286174488328800</v>
      </c>
      <c r="M39" s="92">
        <v>9.600175440659956222774954930</v>
      </c>
      <c r="N39" s="1005">
        <v>10.899868646270720966439943180</v>
      </c>
      <c r="O39" s="92">
        <v>6.5444661690327251857696851600</v>
      </c>
      <c r="P39" s="92">
        <v>15.715320572152504418155911150</v>
      </c>
      <c r="Q39" s="92">
        <v>7.952555109965908117907492550</v>
      </c>
      <c r="R39" s="92">
        <v>6.7661164756904211153979240400</v>
      </c>
      <c r="S39" s="92">
        <v>9.439416228959013645638995890</v>
      </c>
      <c r="T39" s="1005">
        <v>3.8769941120020276106817986100</v>
      </c>
      <c r="U39" s="113"/>
      <c r="V39" s="271">
        <v>4.8494233367118292566902186600</v>
      </c>
      <c r="W39" s="92">
        <v>6.5475170396506719868407038700</v>
      </c>
      <c r="X39" s="272">
        <v>8.159512669289475695231392150</v>
      </c>
      <c r="Y39" s="113"/>
      <c r="Z39" s="271">
        <v>4.5870386549335936235555362300</v>
      </c>
      <c r="AA39" s="92">
        <v>9.406741168331710755053127380</v>
      </c>
      <c r="AB39" s="272">
        <v>6.9596659186753650154355353600</v>
      </c>
      <c r="AC39" s="113"/>
      <c r="AD39" s="271">
        <v>2.8703105793835527296824772200</v>
      </c>
      <c r="AE39" s="92">
        <v>4.5661527087394924568099529400</v>
      </c>
      <c r="AF39" s="272">
        <v>10.009276946922379378312023380</v>
      </c>
      <c r="AG39" s="113"/>
    </row>
    <row r="40" ht="21.95" customHeight="1">
      <c r="B40" s="40" t="s">
        <v>98</v>
      </c>
      <c r="C40" s="576">
        <v>-0.3231806828787099579804097200</v>
      </c>
      <c r="D40" s="113">
        <v>5.6204050842808815400133983200</v>
      </c>
      <c r="E40" s="113">
        <v>8.122762452629054481783422520</v>
      </c>
      <c r="F40" s="113">
        <v>10.842191264219951015017670400</v>
      </c>
      <c r="G40" s="113">
        <v>7.8909212621604034832612053900</v>
      </c>
      <c r="H40" s="113">
        <v>3.9837793742521884564836540300</v>
      </c>
      <c r="I40" s="113">
        <v>-5.3442689602733725222193323200</v>
      </c>
      <c r="J40" s="113">
        <v>-11.152256442219622573169806040</v>
      </c>
      <c r="K40" s="113">
        <v>-7.0278917747159842517621409200</v>
      </c>
      <c r="L40" s="113">
        <v>-7.8798560928447847244733057700</v>
      </c>
      <c r="M40" s="113">
        <v>-6.3701786106873697154724266100</v>
      </c>
      <c r="N40" s="1006">
        <v>-11.419904073165103349001688270</v>
      </c>
      <c r="O40" s="113">
        <v>-6.8962067694426060252002964500</v>
      </c>
      <c r="P40" s="113">
        <v>-7.4192656966412423204201604700</v>
      </c>
      <c r="Q40" s="113">
        <v>-9.890459443074932116424020050</v>
      </c>
      <c r="R40" s="113">
        <v>-14.575742298489489411502093430</v>
      </c>
      <c r="S40" s="113">
        <v>-10.496255161817663213408147070</v>
      </c>
      <c r="T40" s="1006">
        <v>-8.360051112461081748631625840</v>
      </c>
      <c r="U40" s="113"/>
      <c r="V40" s="576">
        <v>3.5947263994788655367694234100</v>
      </c>
      <c r="W40" s="113">
        <v>5.8311209949808395514901946700</v>
      </c>
      <c r="X40" s="577">
        <v>-10.034722204233222967702876830</v>
      </c>
      <c r="Y40" s="113"/>
      <c r="Z40" s="576">
        <v>-5.1361618027143917409403140600</v>
      </c>
      <c r="AA40" s="113">
        <v>7.6289646774480481125521558200</v>
      </c>
      <c r="AB40" s="577">
        <v>-11.530015333147345395307879790</v>
      </c>
      <c r="AC40" s="113"/>
      <c r="AD40" s="576">
        <v>9.807825789720030615741603020</v>
      </c>
      <c r="AE40" s="113">
        <v>5.3747085422866642995572768900</v>
      </c>
      <c r="AF40" s="577">
        <v>-9.463663482877733212819199570</v>
      </c>
      <c r="AG40" s="113"/>
    </row>
    <row r="41" ht="21.95" customHeight="1">
      <c r="A41" s="23"/>
      <c r="B41" s="39" t="s">
        <v>23</v>
      </c>
      <c r="C41" s="273" t="s">
        <v>173</v>
      </c>
      <c r="D41" s="274" t="s">
        <v>156</v>
      </c>
      <c r="E41" s="274" t="s">
        <v>156</v>
      </c>
      <c r="F41" s="274" t="s">
        <v>155</v>
      </c>
      <c r="G41" s="274" t="s">
        <v>155</v>
      </c>
      <c r="H41" s="274" t="s">
        <v>174</v>
      </c>
      <c r="I41" s="274" t="s">
        <v>173</v>
      </c>
      <c r="J41" s="274" t="s">
        <v>173</v>
      </c>
      <c r="K41" s="274" t="s">
        <v>174</v>
      </c>
      <c r="L41" s="274" t="s">
        <v>175</v>
      </c>
      <c r="M41" s="274" t="s">
        <v>171</v>
      </c>
      <c r="N41" s="1007" t="s">
        <v>175</v>
      </c>
      <c r="O41" s="274" t="s">
        <v>175</v>
      </c>
      <c r="P41" s="274" t="s">
        <v>175</v>
      </c>
      <c r="Q41" s="274" t="s">
        <v>176</v>
      </c>
      <c r="R41" s="274" t="s">
        <v>176</v>
      </c>
      <c r="S41" s="274" t="s">
        <v>176</v>
      </c>
      <c r="T41" s="1007" t="s">
        <v>176</v>
      </c>
      <c r="U41" s="113"/>
      <c r="V41" s="273" t="s">
        <v>156</v>
      </c>
      <c r="W41" s="274" t="s">
        <v>156</v>
      </c>
      <c r="X41" s="275" t="s">
        <v>176</v>
      </c>
      <c r="Y41" s="113"/>
      <c r="Z41" s="273" t="s">
        <v>177</v>
      </c>
      <c r="AA41" s="274" t="s">
        <v>157</v>
      </c>
      <c r="AB41" s="275" t="s">
        <v>176</v>
      </c>
      <c r="AC41" s="113"/>
      <c r="AD41" s="273" t="s">
        <v>155</v>
      </c>
      <c r="AE41" s="274" t="s">
        <v>155</v>
      </c>
      <c r="AF41" s="275" t="s">
        <v>176</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0">
        <v>2024</v>
      </c>
      <c r="D43" s="1000"/>
      <c r="E43" s="1000"/>
      <c r="F43" s="1000"/>
      <c r="G43" s="1000"/>
      <c r="H43" s="1000"/>
      <c r="I43" s="1000"/>
      <c r="J43" s="1000"/>
      <c r="K43" s="1000"/>
      <c r="L43" s="1000"/>
      <c r="M43" s="1000"/>
      <c r="N43" s="1000"/>
      <c r="O43" s="1000">
        <v>2025</v>
      </c>
      <c r="P43" s="1000"/>
      <c r="Q43" s="1000"/>
      <c r="R43" s="1000"/>
      <c r="S43" s="1000"/>
      <c r="T43" s="1000"/>
      <c r="U43" s="119"/>
      <c r="V43" s="1001" t="s">
        <v>58</v>
      </c>
      <c r="W43" s="1001"/>
      <c r="X43" s="1001"/>
      <c r="Y43" s="119"/>
      <c r="Z43" s="1001" t="s">
        <v>44</v>
      </c>
      <c r="AA43" s="1001"/>
      <c r="AB43" s="1001"/>
      <c r="AC43" s="119"/>
      <c r="AD43" s="1002" t="s">
        <v>45</v>
      </c>
      <c r="AE43" s="1002"/>
      <c r="AF43" s="1002"/>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269" t="s">
        <v>154</v>
      </c>
      <c r="D44" s="269" t="s">
        <v>158</v>
      </c>
      <c r="E44" s="269" t="s">
        <v>159</v>
      </c>
      <c r="F44" s="269" t="s">
        <v>160</v>
      </c>
      <c r="G44" s="269" t="s">
        <v>161</v>
      </c>
      <c r="H44" s="269" t="s">
        <v>162</v>
      </c>
      <c r="I44" s="269" t="s">
        <v>163</v>
      </c>
      <c r="J44" s="269" t="s">
        <v>164</v>
      </c>
      <c r="K44" s="269" t="s">
        <v>165</v>
      </c>
      <c r="L44" s="269" t="s">
        <v>166</v>
      </c>
      <c r="M44" s="269" t="s">
        <v>170</v>
      </c>
      <c r="N44" s="1003" t="s">
        <v>172</v>
      </c>
      <c r="O44" s="269" t="s">
        <v>154</v>
      </c>
      <c r="P44" s="269" t="s">
        <v>158</v>
      </c>
      <c r="Q44" s="269" t="s">
        <v>159</v>
      </c>
      <c r="R44" s="269" t="s">
        <v>160</v>
      </c>
      <c r="S44" s="269" t="s">
        <v>161</v>
      </c>
      <c r="T44" s="1003" t="s">
        <v>162</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578">
        <v>53.255364396654719235364396655</v>
      </c>
      <c r="D45" s="579">
        <v>70.749880800340570455512984249</v>
      </c>
      <c r="E45" s="579">
        <v>90.9529390681003584229390681</v>
      </c>
      <c r="F45" s="579">
        <v>96.19655555555555555555555556</v>
      </c>
      <c r="G45" s="579">
        <v>79.34417761847869374751095181</v>
      </c>
      <c r="H45" s="579">
        <v>75.654897119341563786008230453</v>
      </c>
      <c r="I45" s="579">
        <v>76.141003584229390681003584229</v>
      </c>
      <c r="J45" s="579">
        <v>72.233524492234169653524492234</v>
      </c>
      <c r="K45" s="579">
        <v>83.84105761316872427983539095</v>
      </c>
      <c r="L45" s="579">
        <v>101.64308641975308641975308642</v>
      </c>
      <c r="M45" s="579">
        <v>74.347769547325102880658436214</v>
      </c>
      <c r="N45" s="1008">
        <v>65.50348864994026284348864994</v>
      </c>
      <c r="O45" s="579">
        <v>57.504241338112305854241338112</v>
      </c>
      <c r="P45" s="579">
        <v>66.275282186948853615520282187</v>
      </c>
      <c r="Q45" s="579">
        <v>85.59156909597769812823576264</v>
      </c>
      <c r="R45" s="579">
        <v>86.16012345679012345679012346</v>
      </c>
      <c r="S45" s="579">
        <v>82.18733970529669454400637196</v>
      </c>
      <c r="T45" s="1008">
        <v>65.571004115226337448559670782</v>
      </c>
      <c r="U45" s="113"/>
      <c r="V45" s="578">
        <v>75.241752267921697019302912489</v>
      </c>
      <c r="W45" s="579">
        <v>77.678115588115588115588115588</v>
      </c>
      <c r="X45" s="580">
        <v>73.985742445945024213900825319</v>
      </c>
      <c r="Y45" s="113"/>
      <c r="Z45" s="578">
        <v>84.25990638990638990638990639</v>
      </c>
      <c r="AA45" s="579">
        <v>83.68366029032695699362366029</v>
      </c>
      <c r="AB45" s="580">
        <v>78.019135802469135802469135802</v>
      </c>
      <c r="AC45" s="113"/>
      <c r="AD45" s="578">
        <v>75.839126331811263318112633181</v>
      </c>
      <c r="AE45" s="579">
        <v>75.691307090332591243338055724</v>
      </c>
      <c r="AF45" s="580">
        <v>76.488324370032132589210214781</v>
      </c>
      <c r="AG45" s="113"/>
    </row>
    <row r="46" ht="21.95" customHeight="1">
      <c r="B46" s="38" t="s">
        <v>35</v>
      </c>
      <c r="C46" s="276">
        <v>26.660624516129032258064516129</v>
      </c>
      <c r="D46" s="94">
        <v>38.031658930150295877918956044</v>
      </c>
      <c r="E46" s="94">
        <v>50.119039495450785773366418528</v>
      </c>
      <c r="F46" s="94">
        <v>57.630554487179487179487179487</v>
      </c>
      <c r="G46" s="94">
        <v>51.448555107526881720430107527</v>
      </c>
      <c r="H46" s="94">
        <v>50.121972222222222222222222222</v>
      </c>
      <c r="I46" s="94">
        <v>41.354848531844499586435070306</v>
      </c>
      <c r="J46" s="94">
        <v>38.830797146401985111662531017</v>
      </c>
      <c r="K46" s="94">
        <v>48.59083547008547008547008547</v>
      </c>
      <c r="L46" s="94">
        <v>66.711906487857919536063791227</v>
      </c>
      <c r="M46" s="94">
        <v>48.843223470661672908863920101</v>
      </c>
      <c r="N46" s="1009">
        <v>45.186650356409327050863839557</v>
      </c>
      <c r="O46" s="94">
        <v>30.166493294671982602392171076</v>
      </c>
      <c r="P46" s="94">
        <v>39.551011235955056179775280899</v>
      </c>
      <c r="Q46" s="94">
        <v>52.41358281986226893802102211</v>
      </c>
      <c r="R46" s="94">
        <v>61.858460049937578027465667917</v>
      </c>
      <c r="S46" s="94">
        <v>61.028321251661229914220128066</v>
      </c>
      <c r="T46" s="1009">
        <v>44.262491260923845193508114856</v>
      </c>
      <c r="U46" s="113"/>
      <c r="V46" s="276">
        <v>48.006920486187845303867403315</v>
      </c>
      <c r="W46" s="94">
        <v>45.699398936291975831635317548</v>
      </c>
      <c r="X46" s="277">
        <v>48.303409791627868479317979598</v>
      </c>
      <c r="Y46" s="113"/>
      <c r="Z46" s="276">
        <v>54.705579428571428571428571429</v>
      </c>
      <c r="AA46" s="94">
        <v>53.049241863905325443786982249</v>
      </c>
      <c r="AB46" s="277">
        <v>55.774796682718031032637774211</v>
      </c>
      <c r="AC46" s="113"/>
      <c r="AD46" s="276">
        <v>49.250002454794520547945205479</v>
      </c>
      <c r="AE46" s="94">
        <v>48.278567802730939662590196293</v>
      </c>
      <c r="AF46" s="277">
        <v>48.275477311520504532663990872</v>
      </c>
      <c r="AG46" s="113"/>
    </row>
    <row r="47" ht="21.95" customHeight="1">
      <c r="B47" s="40" t="s">
        <v>99</v>
      </c>
      <c r="C47" s="576">
        <v>199.75287662333080794490817939</v>
      </c>
      <c r="D47" s="113">
        <v>186.02891062466864795861705776</v>
      </c>
      <c r="E47" s="113">
        <v>181.47382707976013914139011854</v>
      </c>
      <c r="F47" s="113">
        <v>166.91936492979819284329413184</v>
      </c>
      <c r="G47" s="113">
        <v>154.22041970409420160704160706</v>
      </c>
      <c r="H47" s="113">
        <v>150.94158063842614094957266498</v>
      </c>
      <c r="I47" s="113">
        <v>184.11626758995482134917735472</v>
      </c>
      <c r="J47" s="113">
        <v>186.02122490532217608650377803</v>
      </c>
      <c r="K47" s="113">
        <v>172.54500113454455752065472027</v>
      </c>
      <c r="L47" s="113">
        <v>152.36123770228152028862966220</v>
      </c>
      <c r="M47" s="113">
        <v>152.21716394685688981417761039</v>
      </c>
      <c r="N47" s="1006">
        <v>144.96203664864636840242193868</v>
      </c>
      <c r="O47" s="113">
        <v>190.62289002684749912799528332</v>
      </c>
      <c r="P47" s="113">
        <v>167.56912178929061053027049381</v>
      </c>
      <c r="Q47" s="113">
        <v>163.30035935547784498428844572</v>
      </c>
      <c r="R47" s="113">
        <v>139.28591721696021977515601551</v>
      </c>
      <c r="S47" s="113">
        <v>134.67081843252781696113490763</v>
      </c>
      <c r="T47" s="1006">
        <v>148.14124159601825872056779132</v>
      </c>
      <c r="U47" s="113"/>
      <c r="V47" s="576">
        <v>156.73105357705787942164900964</v>
      </c>
      <c r="W47" s="113">
        <v>169.97623031408016290467447801</v>
      </c>
      <c r="X47" s="577">
        <v>153.16877786712937510829658412</v>
      </c>
      <c r="Y47" s="113"/>
      <c r="Z47" s="576">
        <v>154.02433768182597720441596659</v>
      </c>
      <c r="AA47" s="113">
        <v>157.74713709391137120948313740</v>
      </c>
      <c r="AB47" s="577">
        <v>139.88242081152900841118378161</v>
      </c>
      <c r="AC47" s="113"/>
      <c r="AD47" s="576">
        <v>153.98806609484714075493405468</v>
      </c>
      <c r="AE47" s="113">
        <v>156.78034899390599118083737762</v>
      </c>
      <c r="AF47" s="577">
        <v>158.44136325465471019781076946</v>
      </c>
      <c r="AG47" s="113"/>
    </row>
    <row r="48" ht="21.95" customHeight="1">
      <c r="A48" s="23"/>
      <c r="B48" s="39" t="s">
        <v>23</v>
      </c>
      <c r="C48" s="273" t="s">
        <v>157</v>
      </c>
      <c r="D48" s="274" t="s">
        <v>155</v>
      </c>
      <c r="E48" s="274" t="s">
        <v>155</v>
      </c>
      <c r="F48" s="274" t="s">
        <v>155</v>
      </c>
      <c r="G48" s="274" t="s">
        <v>157</v>
      </c>
      <c r="H48" s="274" t="s">
        <v>157</v>
      </c>
      <c r="I48" s="274" t="s">
        <v>155</v>
      </c>
      <c r="J48" s="274" t="s">
        <v>157</v>
      </c>
      <c r="K48" s="274" t="s">
        <v>157</v>
      </c>
      <c r="L48" s="274" t="s">
        <v>169</v>
      </c>
      <c r="M48" s="274" t="s">
        <v>169</v>
      </c>
      <c r="N48" s="1007" t="s">
        <v>169</v>
      </c>
      <c r="O48" s="274" t="s">
        <v>167</v>
      </c>
      <c r="P48" s="274" t="s">
        <v>167</v>
      </c>
      <c r="Q48" s="274" t="s">
        <v>169</v>
      </c>
      <c r="R48" s="274" t="s">
        <v>169</v>
      </c>
      <c r="S48" s="274" t="s">
        <v>168</v>
      </c>
      <c r="T48" s="1007" t="s">
        <v>169</v>
      </c>
      <c r="U48" s="113"/>
      <c r="V48" s="273" t="s">
        <v>156</v>
      </c>
      <c r="W48" s="274" t="s">
        <v>157</v>
      </c>
      <c r="X48" s="275" t="s">
        <v>169</v>
      </c>
      <c r="Y48" s="113"/>
      <c r="Z48" s="273" t="s">
        <v>156</v>
      </c>
      <c r="AA48" s="274" t="s">
        <v>157</v>
      </c>
      <c r="AB48" s="275" t="s">
        <v>169</v>
      </c>
      <c r="AC48" s="113"/>
      <c r="AD48" s="273" t="s">
        <v>156</v>
      </c>
      <c r="AE48" s="274" t="s">
        <v>156</v>
      </c>
      <c r="AF48" s="275" t="s">
        <v>169</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573">
        <v>-1.1756051565098205151745027700</v>
      </c>
      <c r="D50" s="574">
        <v>17.735642388697828639649047990</v>
      </c>
      <c r="E50" s="574">
        <v>8.528624699670351269033684280</v>
      </c>
      <c r="F50" s="574">
        <v>33.777272432494118453514933190</v>
      </c>
      <c r="G50" s="574">
        <v>-6.7027440178294906655828822500</v>
      </c>
      <c r="H50" s="574">
        <v>-21.029179891013542332272225490</v>
      </c>
      <c r="I50" s="574">
        <v>4.9932602025244178484513222600</v>
      </c>
      <c r="J50" s="574">
        <v>0.9821602157544743215874147600</v>
      </c>
      <c r="K50" s="574">
        <v>18.011686144009329852740456490</v>
      </c>
      <c r="L50" s="574">
        <v>4.5728803627699981734740663300</v>
      </c>
      <c r="M50" s="574">
        <v>3.9828645478418330799650627200</v>
      </c>
      <c r="N50" s="1004">
        <v>12.155179062055152497702517530</v>
      </c>
      <c r="O50" s="574">
        <v>7.978307893571731930031081090</v>
      </c>
      <c r="P50" s="574">
        <v>-6.3245316638500580901164820600</v>
      </c>
      <c r="Q50" s="574">
        <v>-5.8946637976239952241480581600</v>
      </c>
      <c r="R50" s="574">
        <v>-10.433255162664308362650803120</v>
      </c>
      <c r="S50" s="574">
        <v>3.5833279418019689383900145300</v>
      </c>
      <c r="T50" s="1004">
        <v>-13.328804066936208107699139350</v>
      </c>
      <c r="U50" s="113"/>
      <c r="V50" s="573">
        <v>5.7933894283312148100434040200</v>
      </c>
      <c r="W50" s="574">
        <v>3.2380470241321070486745189100</v>
      </c>
      <c r="X50" s="575">
        <v>-4.7534278016402263168371216400</v>
      </c>
      <c r="Y50" s="113"/>
      <c r="Z50" s="573">
        <v>9.754481777056522609604207750</v>
      </c>
      <c r="AA50" s="574">
        <v>-0.683891217379890205208806900</v>
      </c>
      <c r="AB50" s="575">
        <v>-6.7689731402528703588929804800</v>
      </c>
      <c r="AC50" s="113"/>
      <c r="AD50" s="573">
        <v>10.555176297606927727579445590</v>
      </c>
      <c r="AE50" s="574">
        <v>-0.1949115827372432076020645500</v>
      </c>
      <c r="AF50" s="575">
        <v>1.0529839031334049029973153400</v>
      </c>
      <c r="AG50" s="113"/>
    </row>
    <row r="51" ht="21.95" customHeight="1">
      <c r="B51" s="38" t="s">
        <v>35</v>
      </c>
      <c r="C51" s="271">
        <v>-16.563642485819804176668804050</v>
      </c>
      <c r="D51" s="92">
        <v>-1.3912642661380819525745204300</v>
      </c>
      <c r="E51" s="92">
        <v>-5.2964797805455300417843916500</v>
      </c>
      <c r="F51" s="92">
        <v>16.881406932069332360290642800</v>
      </c>
      <c r="G51" s="92">
        <v>-1.0754250044790847973187848200</v>
      </c>
      <c r="H51" s="92">
        <v>-20.304616362946839740279113190</v>
      </c>
      <c r="I51" s="92">
        <v>-20.440943412758207480400427540</v>
      </c>
      <c r="J51" s="92">
        <v>-28.690272145409468485411681210</v>
      </c>
      <c r="K51" s="92">
        <v>-3.2866034624185296296245425700</v>
      </c>
      <c r="L51" s="92">
        <v>1.6030737862647041775866172900</v>
      </c>
      <c r="M51" s="92">
        <v>10.630030730857155445275439380</v>
      </c>
      <c r="N51" s="1005">
        <v>18.428094080158495167847421840</v>
      </c>
      <c r="O51" s="92">
        <v>13.149987452300056296775276260</v>
      </c>
      <c r="P51" s="92">
        <v>3.9949672154547433656856561700</v>
      </c>
      <c r="Q51" s="92">
        <v>4.5781869474339933243444376300</v>
      </c>
      <c r="R51" s="92">
        <v>7.3362222528617427684683668800</v>
      </c>
      <c r="S51" s="92">
        <v>18.620087821989627319137104430</v>
      </c>
      <c r="T51" s="1005">
        <v>-11.690443734536200667348936830</v>
      </c>
      <c r="U51" s="113"/>
      <c r="V51" s="271">
        <v>8.369517255173692308611660470</v>
      </c>
      <c r="W51" s="92">
        <v>-4.8066435558417894750629743100</v>
      </c>
      <c r="X51" s="272">
        <v>5.6981293319800045155719498100</v>
      </c>
      <c r="Y51" s="113"/>
      <c r="Z51" s="271">
        <v>8.680188615835123817963537400</v>
      </c>
      <c r="AA51" s="92">
        <v>-3.0277305934698565800778974500</v>
      </c>
      <c r="AB51" s="272">
        <v>5.1377827902056610160568907900</v>
      </c>
      <c r="AC51" s="113"/>
      <c r="AD51" s="271">
        <v>-0.4399489404128824348733480300</v>
      </c>
      <c r="AE51" s="92">
        <v>-1.9724560480186990266939695400</v>
      </c>
      <c r="AF51" s="272">
        <v>-0.0064013729490182396553727800</v>
      </c>
      <c r="AG51" s="113"/>
    </row>
    <row r="52" ht="21.95" customHeight="1">
      <c r="B52" s="40" t="s">
        <v>99</v>
      </c>
      <c r="C52" s="576">
        <v>18.442844088412885344271165820</v>
      </c>
      <c r="D52" s="113">
        <v>19.396766941932113166972372940</v>
      </c>
      <c r="E52" s="113">
        <v>14.598300515250855546655256510</v>
      </c>
      <c r="F52" s="113">
        <v>14.455563073661355525123709490</v>
      </c>
      <c r="G52" s="113">
        <v>-5.6884945055524460710422494400</v>
      </c>
      <c r="H52" s="113">
        <v>-0.9091662464637106516398893900</v>
      </c>
      <c r="I52" s="113">
        <v>31.968960802775070162466123570</v>
      </c>
      <c r="J52" s="113">
        <v>41.610637501963031020716642960</v>
      </c>
      <c r="K52" s="113">
        <v>22.022067644036396612290531530</v>
      </c>
      <c r="L52" s="113">
        <v>2.9229495385591287638835429500</v>
      </c>
      <c r="M52" s="113">
        <v>-6.0084645545397304746525995800</v>
      </c>
      <c r="N52" s="1006">
        <v>-5.2968132829838151692433559600</v>
      </c>
      <c r="O52" s="113">
        <v>-4.5706408592403427504891896100</v>
      </c>
      <c r="P52" s="113">
        <v>-9.923075275461184083658550290</v>
      </c>
      <c r="Q52" s="113">
        <v>-10.014373982607797529717898030</v>
      </c>
      <c r="R52" s="113">
        <v>-16.554968157506091561882745460</v>
      </c>
      <c r="S52" s="113">
        <v>-12.676402586039940943590529470</v>
      </c>
      <c r="T52" s="1006">
        <v>-1.8552469309900193651026609500</v>
      </c>
      <c r="U52" s="113"/>
      <c r="V52" s="576">
        <v>-2.3771701602110714304802708100</v>
      </c>
      <c r="W52" s="113">
        <v>8.450894978808091069210760960</v>
      </c>
      <c r="X52" s="577">
        <v>-9.888119306983124727774831290</v>
      </c>
      <c r="Y52" s="113"/>
      <c r="Z52" s="576">
        <v>0.9884903355280117374325770800</v>
      </c>
      <c r="AA52" s="113">
        <v>2.4170202372837529121664130600</v>
      </c>
      <c r="AB52" s="577">
        <v>-11.324906817000998305061017360</v>
      </c>
      <c r="AC52" s="113"/>
      <c r="AD52" s="576">
        <v>11.043711931740240019296391330</v>
      </c>
      <c r="AE52" s="113">
        <v>1.813311232434708370510526500</v>
      </c>
      <c r="AF52" s="577">
        <v>1.0594530956295656904323978600</v>
      </c>
      <c r="AG52" s="113"/>
    </row>
    <row r="53" ht="21.95" customHeight="1">
      <c r="A53" s="23"/>
      <c r="B53" s="39" t="s">
        <v>23</v>
      </c>
      <c r="C53" s="273" t="s">
        <v>156</v>
      </c>
      <c r="D53" s="274" t="s">
        <v>156</v>
      </c>
      <c r="E53" s="274" t="s">
        <v>156</v>
      </c>
      <c r="F53" s="274" t="s">
        <v>156</v>
      </c>
      <c r="G53" s="274" t="s">
        <v>173</v>
      </c>
      <c r="H53" s="274" t="s">
        <v>174</v>
      </c>
      <c r="I53" s="274" t="s">
        <v>155</v>
      </c>
      <c r="J53" s="274" t="s">
        <v>155</v>
      </c>
      <c r="K53" s="274" t="s">
        <v>157</v>
      </c>
      <c r="L53" s="274" t="s">
        <v>169</v>
      </c>
      <c r="M53" s="274" t="s">
        <v>168</v>
      </c>
      <c r="N53" s="1007" t="s">
        <v>171</v>
      </c>
      <c r="O53" s="274" t="s">
        <v>171</v>
      </c>
      <c r="P53" s="274" t="s">
        <v>168</v>
      </c>
      <c r="Q53" s="274" t="s">
        <v>171</v>
      </c>
      <c r="R53" s="274" t="s">
        <v>175</v>
      </c>
      <c r="S53" s="274" t="s">
        <v>168</v>
      </c>
      <c r="T53" s="1007" t="s">
        <v>169</v>
      </c>
      <c r="U53" s="113"/>
      <c r="V53" s="273" t="s">
        <v>173</v>
      </c>
      <c r="W53" s="274" t="s">
        <v>174</v>
      </c>
      <c r="X53" s="275" t="s">
        <v>168</v>
      </c>
      <c r="Y53" s="113"/>
      <c r="Z53" s="273" t="s">
        <v>156</v>
      </c>
      <c r="AA53" s="274" t="s">
        <v>174</v>
      </c>
      <c r="AB53" s="275" t="s">
        <v>168</v>
      </c>
      <c r="AC53" s="113"/>
      <c r="AD53" s="273" t="s">
        <v>157</v>
      </c>
      <c r="AE53" s="274" t="s">
        <v>174</v>
      </c>
      <c r="AF53" s="275" t="s">
        <v>168</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0" t="s">
        <v>100</v>
      </c>
      <c r="C55" s="1010"/>
      <c r="D55" s="1010"/>
      <c r="E55" s="1010"/>
      <c r="F55" s="1010"/>
      <c r="G55" s="1010"/>
      <c r="H55" s="1010"/>
      <c r="I55" s="1010"/>
      <c r="J55" s="1010"/>
      <c r="K55" s="1010"/>
      <c r="L55" s="1010"/>
      <c r="M55" s="1010"/>
      <c r="N55" s="1010"/>
      <c r="O55" s="1010"/>
      <c r="P55" s="1010"/>
      <c r="Q55" s="1010"/>
      <c r="R55" s="1010"/>
      <c r="S55" s="1010"/>
      <c r="T55" s="1010"/>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1" t="s">
        <v>126</v>
      </c>
      <c r="C57" s="1011"/>
      <c r="D57" s="1011"/>
      <c r="E57" s="1011"/>
      <c r="F57" s="1011"/>
      <c r="G57" s="1011"/>
      <c r="H57" s="1011"/>
      <c r="I57" s="1011"/>
      <c r="J57" s="1011"/>
      <c r="K57" s="1011"/>
      <c r="L57" s="1011"/>
      <c r="M57" s="1011"/>
      <c r="N57" s="1011"/>
      <c r="O57" s="1011"/>
      <c r="P57" s="1011"/>
      <c r="Q57" s="1011"/>
      <c r="R57" s="1011"/>
      <c r="S57" s="1011"/>
      <c r="T57" s="1011"/>
      <c r="U57" s="1011"/>
      <c r="V57" s="1011"/>
      <c r="W57" s="1011"/>
      <c r="X57" s="1011"/>
      <c r="Y57" s="1011"/>
      <c r="Z57" s="1011"/>
      <c r="AA57" s="1011"/>
      <c r="AB57" s="1011"/>
      <c r="AC57" s="1011"/>
      <c r="AD57" s="1011"/>
      <c r="AE57" s="1011"/>
      <c r="AF57" s="1011"/>
    </row>
    <row r="58">
      <c r="A58"/>
    </row>
    <row r="59" s="281" customFormat="1">
      <c r="A59" s="1012"/>
      <c r="B59" s="1012" t="s">
        <v>109</v>
      </c>
      <c r="C59" s="1012"/>
      <c r="D59" s="1012"/>
      <c r="E59" s="1012"/>
      <c r="F59" s="1012"/>
      <c r="G59" s="1012"/>
      <c r="H59" s="1012"/>
      <c r="I59" s="1012"/>
      <c r="J59" s="1012"/>
      <c r="K59" s="1012"/>
      <c r="L59" s="1012"/>
      <c r="M59" s="1012"/>
      <c r="N59" s="1012"/>
      <c r="O59" s="1012"/>
      <c r="P59" s="1012"/>
      <c r="Q59" s="1012"/>
      <c r="R59" s="1012"/>
      <c r="S59" s="1012"/>
      <c r="T59" s="1012"/>
      <c r="U59" s="1012"/>
      <c r="V59" s="1012"/>
      <c r="W59" s="1012"/>
      <c r="X59" s="1012"/>
      <c r="Y59" s="1012"/>
      <c r="Z59" s="1012"/>
      <c r="AA59" s="1012"/>
      <c r="AB59" s="1012"/>
      <c r="AC59" s="1012"/>
      <c r="AD59" s="1012"/>
      <c r="AE59" s="1012"/>
      <c r="AF59" s="1012"/>
      <c r="AG59" s="1012"/>
    </row>
    <row r="60" s="281" customFormat="1">
      <c r="A60" s="1012"/>
      <c r="B60" s="1012" t="s">
        <v>110</v>
      </c>
      <c r="C60" s="1012">
        <v>100</v>
      </c>
      <c r="D60" s="1012">
        <v>100</v>
      </c>
      <c r="E60" s="1012">
        <v>100</v>
      </c>
      <c r="F60" s="1012">
        <v>100</v>
      </c>
      <c r="G60" s="1012">
        <v>100</v>
      </c>
      <c r="H60" s="1012">
        <v>100</v>
      </c>
      <c r="I60" s="1012">
        <v>100</v>
      </c>
      <c r="J60" s="1012">
        <v>100</v>
      </c>
      <c r="K60" s="1012">
        <v>100</v>
      </c>
      <c r="L60" s="1012">
        <v>100</v>
      </c>
      <c r="M60" s="1012">
        <v>100</v>
      </c>
      <c r="N60" s="1012">
        <v>100</v>
      </c>
      <c r="O60" s="1012">
        <v>100</v>
      </c>
      <c r="P60" s="1012">
        <v>100</v>
      </c>
      <c r="Q60" s="1012">
        <v>100</v>
      </c>
      <c r="R60" s="1012">
        <v>100</v>
      </c>
      <c r="S60" s="1012">
        <v>100</v>
      </c>
      <c r="T60" s="1012">
        <v>100</v>
      </c>
      <c r="U60" s="1012"/>
      <c r="V60" s="1012"/>
      <c r="W60" s="1012"/>
      <c r="X60" s="1012"/>
      <c r="Y60" s="1012"/>
      <c r="Z60" s="1012"/>
      <c r="AA60" s="1012"/>
      <c r="AB60" s="1012"/>
      <c r="AC60" s="1012"/>
      <c r="AD60" s="1012"/>
      <c r="AE60" s="1012"/>
      <c r="AF60" s="1012"/>
      <c r="AG60" s="1012"/>
    </row>
    <row r="61" s="281" customFormat="1">
      <c r="A61" s="1012"/>
      <c r="B61" s="1012" t="s">
        <v>111</v>
      </c>
      <c r="C61" s="1012"/>
      <c r="D61" s="1012"/>
      <c r="E61" s="1012"/>
      <c r="F61" s="1012"/>
      <c r="G61" s="1012"/>
      <c r="H61" s="1012"/>
      <c r="I61" s="1012"/>
      <c r="J61" s="1012"/>
      <c r="K61" s="1012"/>
      <c r="L61" s="1012"/>
      <c r="M61" s="1012"/>
      <c r="N61" s="1012"/>
      <c r="O61" s="1012"/>
      <c r="P61" s="1012"/>
      <c r="Q61" s="1012"/>
      <c r="R61" s="1012"/>
      <c r="S61" s="1012"/>
      <c r="T61" s="1012"/>
      <c r="U61" s="1012"/>
      <c r="V61" s="1012"/>
      <c r="W61" s="1012"/>
      <c r="X61" s="1012"/>
      <c r="Y61" s="1012"/>
      <c r="Z61" s="1012"/>
      <c r="AA61" s="1012"/>
      <c r="AB61" s="1012"/>
      <c r="AC61" s="1012"/>
      <c r="AD61" s="1012"/>
      <c r="AE61" s="1012"/>
      <c r="AF61" s="1012"/>
      <c r="AG61" s="1012"/>
    </row>
    <row r="62" s="281" customFormat="1">
      <c r="A62" s="1012"/>
      <c r="B62" s="1012"/>
      <c r="C62" s="1012"/>
      <c r="D62" s="1012"/>
      <c r="E62" s="1012"/>
      <c r="F62" s="1012"/>
      <c r="G62" s="1012"/>
      <c r="H62" s="1012"/>
      <c r="I62" s="1012"/>
      <c r="J62" s="1012"/>
      <c r="K62" s="1012"/>
      <c r="L62" s="1012"/>
      <c r="M62" s="1012"/>
      <c r="N62" s="1012"/>
      <c r="O62" s="1012"/>
      <c r="P62" s="1012"/>
      <c r="Q62" s="1012"/>
      <c r="R62" s="1012"/>
      <c r="S62" s="1012"/>
      <c r="T62" s="1012"/>
      <c r="U62" s="1012"/>
      <c r="V62" s="1012"/>
      <c r="W62" s="1012"/>
      <c r="X62" s="1012"/>
      <c r="Y62" s="1012"/>
      <c r="Z62" s="1012"/>
      <c r="AA62" s="1012"/>
      <c r="AB62" s="1012"/>
      <c r="AC62" s="1012"/>
      <c r="AD62" s="1012"/>
      <c r="AE62" s="1012"/>
      <c r="AF62" s="1012"/>
      <c r="AG62" s="1012"/>
    </row>
    <row r="63" s="281" customFormat="1">
      <c r="A63" s="1012"/>
      <c r="B63" s="1012"/>
      <c r="C63" s="1012"/>
      <c r="D63" s="1012"/>
      <c r="E63" s="1012"/>
      <c r="F63" s="1012"/>
      <c r="G63" s="1012"/>
      <c r="H63" s="1012"/>
      <c r="I63" s="1012"/>
      <c r="J63" s="1012"/>
      <c r="K63" s="1012"/>
      <c r="L63" s="1012"/>
      <c r="M63" s="1012"/>
      <c r="N63" s="1012"/>
      <c r="O63" s="1012"/>
      <c r="P63" s="1012"/>
      <c r="Q63" s="1012"/>
      <c r="R63" s="1012"/>
      <c r="S63" s="1012"/>
      <c r="T63" s="1012"/>
      <c r="U63" s="1012"/>
      <c r="V63" s="1012"/>
      <c r="W63" s="1012"/>
      <c r="X63" s="1012"/>
      <c r="Y63" s="1012"/>
      <c r="Z63" s="1012"/>
      <c r="AA63" s="1012"/>
      <c r="AB63" s="1012"/>
      <c r="AC63" s="1012"/>
      <c r="AD63" s="1012"/>
      <c r="AE63" s="1012"/>
      <c r="AF63" s="1012"/>
      <c r="AG63" s="1012"/>
    </row>
    <row r="64" s="281" customFormat="1">
      <c r="A64" s="1012"/>
      <c r="B64" s="1012"/>
      <c r="C64" s="1012"/>
      <c r="D64" s="1012"/>
      <c r="E64" s="1012"/>
      <c r="F64" s="1012"/>
      <c r="G64" s="1012"/>
      <c r="H64" s="1012"/>
      <c r="I64" s="1012"/>
      <c r="J64" s="1012"/>
      <c r="K64" s="1012"/>
      <c r="L64" s="1012"/>
      <c r="M64" s="1012"/>
      <c r="N64" s="1012"/>
      <c r="O64" s="1012"/>
      <c r="P64" s="1012"/>
      <c r="Q64" s="1012"/>
      <c r="R64" s="1012"/>
      <c r="S64" s="1012"/>
      <c r="T64" s="1012"/>
      <c r="U64" s="1012"/>
      <c r="V64" s="1012"/>
      <c r="W64" s="1012"/>
      <c r="X64" s="1012"/>
      <c r="Y64" s="1012"/>
      <c r="Z64" s="1012"/>
      <c r="AA64" s="1012"/>
      <c r="AB64" s="1012"/>
      <c r="AC64" s="1012"/>
      <c r="AD64" s="1012"/>
      <c r="AE64" s="1012"/>
      <c r="AF64" s="1012"/>
      <c r="AG64" s="1012"/>
    </row>
    <row r="65" s="281" customFormat="1">
      <c r="A65" s="1012"/>
      <c r="B65" s="1012"/>
      <c r="C65" s="1012"/>
      <c r="D65" s="1012"/>
      <c r="E65" s="1012"/>
      <c r="F65" s="1012"/>
      <c r="G65" s="1012"/>
      <c r="H65" s="1012"/>
      <c r="I65" s="1012"/>
      <c r="J65" s="1012"/>
      <c r="K65" s="1012"/>
      <c r="L65" s="1012"/>
      <c r="M65" s="1012"/>
      <c r="N65" s="1012"/>
      <c r="O65" s="1012"/>
      <c r="P65" s="1012"/>
      <c r="Q65" s="1012"/>
      <c r="R65" s="1012"/>
      <c r="S65" s="1012"/>
      <c r="T65" s="1012"/>
      <c r="U65" s="1012"/>
      <c r="V65" s="1012"/>
      <c r="W65" s="1012"/>
      <c r="X65" s="1012"/>
      <c r="Y65" s="1012"/>
      <c r="Z65" s="1012"/>
      <c r="AA65" s="1012"/>
      <c r="AB65" s="1012"/>
      <c r="AC65" s="1012"/>
      <c r="AD65" s="1012"/>
      <c r="AE65" s="1012"/>
      <c r="AF65" s="1012"/>
      <c r="AG65" s="1012"/>
    </row>
    <row r="66" s="281" customFormat="1" ht="10.5" customHeight="1">
      <c r="A66" s="1012"/>
      <c r="B66" s="1012"/>
      <c r="C66" s="1012"/>
      <c r="D66" s="1012"/>
      <c r="E66" s="1012"/>
      <c r="F66" s="1012"/>
      <c r="G66" s="1012"/>
      <c r="H66" s="1012"/>
      <c r="I66" s="1012"/>
      <c r="J66" s="1012"/>
      <c r="K66" s="1012"/>
      <c r="L66" s="1012"/>
      <c r="M66" s="1012"/>
      <c r="N66" s="1012"/>
      <c r="O66" s="1012"/>
      <c r="P66" s="1012"/>
      <c r="Q66" s="1012"/>
      <c r="R66" s="1012"/>
      <c r="S66" s="1012"/>
      <c r="T66" s="1012"/>
      <c r="U66" s="1012"/>
      <c r="V66" s="1012"/>
      <c r="W66" s="1012"/>
      <c r="X66" s="1012"/>
      <c r="Y66" s="1012"/>
      <c r="Z66" s="1012"/>
      <c r="AA66" s="1012"/>
      <c r="AB66" s="1012"/>
      <c r="AC66" s="1012"/>
      <c r="AD66" s="1012"/>
      <c r="AE66" s="1012"/>
      <c r="AF66" s="1012"/>
      <c r="AG66" s="1012"/>
    </row>
    <row r="67" s="281" customFormat="1">
      <c r="A67" s="1012"/>
      <c r="B67" s="1012" t="s">
        <v>37</v>
      </c>
      <c r="C67" s="1012"/>
      <c r="D67" s="1012"/>
      <c r="E67" s="1012"/>
      <c r="F67" s="1012"/>
      <c r="G67" s="1012"/>
      <c r="H67" s="1012"/>
      <c r="I67" s="1012"/>
      <c r="J67" s="1012"/>
      <c r="K67" s="1012"/>
      <c r="L67" s="1012"/>
      <c r="M67" s="1012"/>
      <c r="N67" s="1012"/>
      <c r="O67" s="1012"/>
      <c r="P67" s="1012"/>
      <c r="Q67" s="1012"/>
      <c r="R67" s="1012"/>
      <c r="S67" s="1012"/>
      <c r="T67" s="1012"/>
      <c r="U67" s="1012"/>
      <c r="V67" s="1012"/>
      <c r="W67" s="1012"/>
      <c r="X67" s="1012"/>
      <c r="Y67" s="1012"/>
      <c r="Z67" s="1012"/>
      <c r="AA67" s="1012"/>
      <c r="AB67" s="1012"/>
      <c r="AC67" s="1012"/>
      <c r="AD67" s="1012"/>
      <c r="AE67" s="1012"/>
      <c r="AF67" s="1012"/>
      <c r="AG67" s="1012"/>
    </row>
    <row r="68" s="281" customFormat="1">
      <c r="A68" s="1012"/>
      <c r="B68" s="1012" t="s">
        <v>44</v>
      </c>
      <c r="C68" s="1012"/>
      <c r="D68" s="1012"/>
      <c r="E68" s="1012"/>
      <c r="F68" s="1012"/>
      <c r="G68" s="1012"/>
      <c r="H68" s="1012"/>
      <c r="I68" s="1012"/>
      <c r="J68" s="1012"/>
      <c r="K68" s="1012"/>
      <c r="L68" s="1012"/>
      <c r="M68" s="1012"/>
      <c r="N68" s="1012"/>
      <c r="O68" s="1012"/>
      <c r="P68" s="1012"/>
      <c r="Q68" s="1012"/>
      <c r="R68" s="1012"/>
      <c r="S68" s="1012"/>
      <c r="T68" s="1012"/>
      <c r="U68" s="1012"/>
      <c r="V68" s="1012"/>
      <c r="W68" s="1012"/>
      <c r="X68" s="1012"/>
      <c r="Y68" s="1012"/>
      <c r="Z68" s="1012"/>
      <c r="AA68" s="1012"/>
      <c r="AB68" s="1012"/>
      <c r="AC68" s="1012"/>
      <c r="AD68" s="1012"/>
      <c r="AE68" s="1012"/>
      <c r="AF68" s="1012"/>
      <c r="AG68" s="1012"/>
    </row>
    <row r="69" s="281" customFormat="1">
      <c r="A69" s="1012"/>
      <c r="B69" s="1012" t="s">
        <v>45</v>
      </c>
      <c r="C69" s="1012"/>
      <c r="D69" s="1012"/>
      <c r="E69" s="1012"/>
      <c r="F69" s="1012"/>
      <c r="G69" s="1012"/>
      <c r="H69" s="1012"/>
      <c r="I69" s="1012"/>
      <c r="J69" s="1012"/>
      <c r="K69" s="1012"/>
      <c r="L69" s="1012"/>
      <c r="M69" s="1012"/>
      <c r="N69" s="1012"/>
      <c r="O69" s="1012"/>
      <c r="P69" s="1012"/>
      <c r="Q69" s="1012"/>
      <c r="R69" s="1012"/>
      <c r="S69" s="1012"/>
      <c r="T69" s="1012"/>
      <c r="U69" s="1012"/>
      <c r="V69" s="1012"/>
      <c r="W69" s="1012"/>
      <c r="X69" s="1012"/>
      <c r="Y69" s="1012"/>
      <c r="Z69" s="1012"/>
      <c r="AA69" s="1012"/>
      <c r="AB69" s="1012"/>
      <c r="AC69" s="1012"/>
      <c r="AD69" s="1012"/>
      <c r="AE69" s="1012"/>
      <c r="AF69" s="1012"/>
      <c r="AG69" s="1012"/>
    </row>
    <row r="70" s="281" customFormat="1">
      <c r="A70" s="1012"/>
      <c r="B70" s="1012"/>
      <c r="C70" s="1012"/>
      <c r="D70" s="1012"/>
      <c r="E70" s="1012"/>
      <c r="F70" s="1012"/>
      <c r="G70" s="1012"/>
      <c r="H70" s="1012"/>
      <c r="I70" s="1012"/>
      <c r="J70" s="1012"/>
      <c r="K70" s="1012"/>
      <c r="L70" s="1012"/>
      <c r="M70" s="1012"/>
      <c r="N70" s="1012"/>
      <c r="O70" s="1012"/>
      <c r="P70" s="1012"/>
      <c r="Q70" s="1012"/>
      <c r="R70" s="1012"/>
      <c r="S70" s="1012"/>
      <c r="T70" s="1012"/>
      <c r="U70" s="1012"/>
      <c r="V70" s="1012"/>
      <c r="W70" s="1012"/>
      <c r="X70" s="1012"/>
      <c r="Y70" s="1012"/>
      <c r="Z70" s="1012"/>
      <c r="AA70" s="1012"/>
      <c r="AB70" s="1012"/>
      <c r="AC70" s="1012"/>
      <c r="AD70" s="1012"/>
      <c r="AE70" s="1012"/>
      <c r="AF70" s="1012"/>
      <c r="AG70" s="1012"/>
    </row>
    <row r="71" s="281" customFormat="1">
      <c r="A71" s="1012"/>
      <c r="B71" s="1012"/>
      <c r="C71" s="1012"/>
      <c r="D71" s="1012"/>
      <c r="E71" s="1012"/>
      <c r="F71" s="1012"/>
      <c r="G71" s="1012"/>
      <c r="H71" s="1012"/>
      <c r="I71" s="1012"/>
      <c r="J71" s="1012"/>
      <c r="K71" s="1012"/>
      <c r="L71" s="1012"/>
      <c r="M71" s="1012"/>
      <c r="N71" s="1012"/>
      <c r="O71" s="1012"/>
      <c r="P71" s="1012"/>
      <c r="Q71" s="1012"/>
      <c r="R71" s="1012"/>
      <c r="S71" s="1012"/>
      <c r="T71" s="1012"/>
      <c r="U71" s="1012"/>
      <c r="V71" s="1012"/>
      <c r="W71" s="1012"/>
      <c r="X71" s="1012"/>
      <c r="Y71" s="1012"/>
      <c r="Z71" s="1012"/>
      <c r="AA71" s="1012"/>
      <c r="AB71" s="1012"/>
      <c r="AC71" s="1012"/>
      <c r="AD71" s="1012"/>
      <c r="AE71" s="1012"/>
      <c r="AF71" s="1012"/>
      <c r="AG71" s="1012"/>
    </row>
    <row r="72" s="281" customFormat="1">
      <c r="A72" s="1012"/>
      <c r="B72" s="1012"/>
      <c r="C72" s="1012"/>
      <c r="D72" s="1012"/>
      <c r="E72" s="1012"/>
      <c r="F72" s="1012"/>
      <c r="G72" s="1012"/>
      <c r="H72" s="1012"/>
      <c r="I72" s="1012"/>
      <c r="J72" s="1012"/>
      <c r="K72" s="1012"/>
      <c r="L72" s="1012"/>
      <c r="M72" s="1012"/>
      <c r="N72" s="1012"/>
      <c r="O72" s="1012"/>
      <c r="P72" s="1012"/>
      <c r="Q72" s="1012"/>
      <c r="R72" s="1012"/>
      <c r="S72" s="1012"/>
      <c r="T72" s="1012"/>
      <c r="U72" s="1012"/>
      <c r="V72" s="1012"/>
      <c r="W72" s="1012"/>
      <c r="X72" s="1012"/>
      <c r="Y72" s="1012"/>
      <c r="Z72" s="1012"/>
      <c r="AA72" s="1012"/>
      <c r="AB72" s="1012"/>
      <c r="AC72" s="1012"/>
      <c r="AD72" s="1012"/>
      <c r="AE72" s="1012"/>
      <c r="AF72" s="1012"/>
      <c r="AG72" s="1012"/>
    </row>
    <row r="73" s="281" customFormat="1">
      <c r="A73" s="1012"/>
      <c r="B73" s="1012"/>
      <c r="C73" s="1012"/>
      <c r="D73" s="1012"/>
      <c r="E73" s="1012"/>
      <c r="F73" s="1012"/>
      <c r="G73" s="1012"/>
      <c r="H73" s="1012"/>
      <c r="I73" s="1012"/>
      <c r="J73" s="1012"/>
      <c r="K73" s="1012"/>
      <c r="L73" s="1012"/>
      <c r="M73" s="1012"/>
      <c r="N73" s="1012"/>
      <c r="O73" s="1012"/>
      <c r="P73" s="1012"/>
      <c r="Q73" s="1012"/>
      <c r="R73" s="1012"/>
      <c r="S73" s="1012"/>
      <c r="T73" s="1012"/>
      <c r="U73" s="1012"/>
      <c r="V73" s="1012"/>
      <c r="W73" s="1012"/>
      <c r="X73" s="1012"/>
      <c r="Y73" s="1012"/>
      <c r="Z73" s="1012"/>
      <c r="AA73" s="1012"/>
      <c r="AB73" s="1012"/>
      <c r="AC73" s="1012"/>
      <c r="AD73" s="1012"/>
      <c r="AE73" s="1012"/>
      <c r="AF73" s="1012"/>
      <c r="AG73" s="1012"/>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C19:N19"/>
    <mergeCell ref="C31:N31"/>
    <mergeCell ref="C43:N43"/>
    <mergeCell ref="O19:T19"/>
    <mergeCell ref="O31:T31"/>
    <mergeCell ref="O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29760154</Manager>
  <Company>1068</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804,836,812|804,836,748,808</cp:category>
  <dcterms:created xsi:type="dcterms:W3CDTF">2003-06-11T18:24:11Z</dcterms:created>
  <dc:creator>STR, Inc.</dc:creator>
  <cp:keywords>62536</cp:keywords>
  <cp:lastModifiedBy>Jim Hawkins</cp:lastModifiedBy>
  <cp:lastPrinted>2016-02-11T20:47:50Z</cp:lastPrinted>
  <dcterms:modified xsi:type="dcterms:W3CDTF">2021-08-10T14:36:44Z</dcterms:modified>
  <dc:subject>62536</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