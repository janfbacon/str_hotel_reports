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8.xml" ContentType="application/vnd.openxmlformats-officedocument.spreadsheetml.worksheet+xml"/>
  <Override PartName="/xl/printerSettings/printerSettings29.bin" ContentType="application/vnd.openxmlformats-officedocument.spreadsheetml.printerSettings"/>
  <Override PartName="/xl/drawings/drawing30.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33.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36.xml" ContentType="application/vnd.openxmlformats-officedocument.drawing+xml"/>
  <Override PartName="/xl/charts/chart37.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30"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4026"/>
  <workbookPr codeName="ThisWorkbook" defaultThemeVersion="124226"/>
  <bookViews>
    <workbookView xWindow="-120" yWindow="-120" windowWidth="21600" windowHeight="10410" tabRatio="966"/>
  </bookViews>
  <sheets>
    <sheet name="Table of Contents" sheetId="1" r:id="rId2"/>
    <sheet name="Glance" sheetId="57" r:id="rId3"/>
    <sheet name="Summary" sheetId="55" r:id="rId4"/>
    <sheet name="Comp" sheetId="76" r:id="rId1"/>
    <sheet name="Response" sheetId="13" r:id="rId7"/>
    <sheet name="Day of Week" sheetId="60" r:id="rId5"/>
    <sheet name="Daily by Month" sheetId="47" r:id="rId6"/>
    <sheet name="Help" sheetId="74" r:id="rId8"/>
  </sheets>
  <definedNames>
    <definedName name="_xlnm.Print_Area" localSheetId="6">'Daily by Month'!$A$1:$AH$57</definedName>
    <definedName name="_xlnm.Print_Area" localSheetId="5">'Day of Week'!$A$1:$V$78</definedName>
    <definedName name="_xlnm.Print_Area" localSheetId="1">Glance!$A$1:$T$34</definedName>
    <definedName name="_xlnm.Print_Area" localSheetId="7">Help!$A$1:$J$16</definedName>
    <definedName name="_xlnm.Print_Area" localSheetId="4">Response!$A$1:$AR$106</definedName>
    <definedName name="_xlnm.Print_Area" localSheetId="2">Summary!$A$1:$U$45</definedName>
    <definedName name="_xlnm.Print_Area" localSheetId="0">'Table of Contents'!$A$1:$H$63</definedName>
    <definedName name="_xlnm.Print_Area" localSheetId="3">Comp!$A$1:$AG$57</definedName>
  </definedNames>
  <calcPr calcId="152511"/>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<sst xmlns="http://schemas.openxmlformats.org/spreadsheetml/2006/main" xmlns:r="http://schemas.openxmlformats.org/officeDocument/2006/relationships" xmlns:xdr="http://schemas.openxmlformats.org/drawingml/2006/spreadsheetDrawing" xmlns:s="http://schemas.openxmlformats.org/officeDocument/2006/sharedTypes" xmlns:vt="http://schemas.openxmlformats.org/officeDocument/2006/docPropsVTypes" xmlns:a="http://schemas.openxmlformats.org/drawingml/2006/main" xmlns:cdr="http://schemas.openxmlformats.org/drawingml/2006/chartDrawing" count="1023" uniqueCount="126">
  <si>
    <t>Sun</t>
  </si>
  <si>
    <t>Mon</t>
  </si>
  <si>
    <t>Tue</t>
  </si>
  <si>
    <t>Wed</t>
  </si>
  <si>
    <t>Thu</t>
  </si>
  <si>
    <t>Fri</t>
  </si>
  <si>
    <t>Sat</t>
  </si>
  <si>
    <t>This Year</t>
  </si>
  <si>
    <t>Last Year</t>
  </si>
  <si>
    <t>ADR</t>
  </si>
  <si>
    <t>RevPAR</t>
  </si>
  <si>
    <t>Transient</t>
  </si>
  <si>
    <t>Total</t>
  </si>
  <si>
    <t>Group</t>
  </si>
  <si>
    <t>Contract</t>
  </si>
  <si>
    <t>Comp Set</t>
  </si>
  <si>
    <t>Comp set</t>
  </si>
  <si>
    <t>Other</t>
  </si>
  <si>
    <t>F&amp;B</t>
  </si>
  <si>
    <t>My Property</t>
  </si>
  <si>
    <t>Room</t>
  </si>
  <si>
    <t>Name</t>
  </si>
  <si>
    <t>Occupancy (%)</t>
  </si>
  <si>
    <t>Rank</t>
  </si>
  <si>
    <t>% Chg</t>
  </si>
  <si>
    <t>My Prop</t>
  </si>
  <si>
    <t>Market Scale</t>
  </si>
  <si>
    <t xml:space="preserve"> </t>
  </si>
  <si>
    <t>Supply</t>
  </si>
  <si>
    <t>Demand</t>
  </si>
  <si>
    <t>Census/Sample - Properties &amp; Rooms</t>
  </si>
  <si>
    <t>Census</t>
  </si>
  <si>
    <t>Sample</t>
  </si>
  <si>
    <t>Properties</t>
  </si>
  <si>
    <t>Rooms</t>
  </si>
  <si>
    <t>Competitive Set</t>
  </si>
  <si>
    <t>Sample %</t>
  </si>
  <si>
    <t>Year to Date</t>
  </si>
  <si>
    <t>Revenue</t>
  </si>
  <si>
    <t>Day of Week</t>
  </si>
  <si>
    <t>Weekday</t>
  </si>
  <si>
    <t>Time Period</t>
  </si>
  <si>
    <t>Current Month</t>
  </si>
  <si>
    <t>Sunday</t>
  </si>
  <si>
    <t>Running 3 Month</t>
  </si>
  <si>
    <t>Running 12 Month</t>
  </si>
  <si>
    <t>Monday</t>
  </si>
  <si>
    <t>Tuesday</t>
  </si>
  <si>
    <t>Wednesday</t>
  </si>
  <si>
    <t>Thursday</t>
  </si>
  <si>
    <t>Friday</t>
  </si>
  <si>
    <t>Saturday</t>
  </si>
  <si>
    <t>Weekend</t>
  </si>
  <si>
    <t>Occ</t>
  </si>
  <si>
    <t>Indexes</t>
  </si>
  <si>
    <t>(Fri-Sat)</t>
  </si>
  <si>
    <t xml:space="preserve">Pipeline </t>
  </si>
  <si>
    <t>Weekday/Weekend</t>
  </si>
  <si>
    <t>Year To Date</t>
  </si>
  <si>
    <t xml:space="preserve">  Year To Date</t>
  </si>
  <si>
    <t>Zip</t>
  </si>
  <si>
    <t>Phone</t>
  </si>
  <si>
    <t>Open Date</t>
  </si>
  <si>
    <t>Month % Chg</t>
  </si>
  <si>
    <t>YTD % Chg</t>
  </si>
  <si>
    <t>Run 3 Mon % Chg</t>
  </si>
  <si>
    <t>Run 12 Mon % Chg</t>
  </si>
  <si>
    <t>(Sun-Thu)</t>
  </si>
  <si>
    <t xml:space="preserve">     % Chg</t>
  </si>
  <si>
    <t>Percent of Total Revenue (%)</t>
  </si>
  <si>
    <t>Percent Change (%)</t>
  </si>
  <si>
    <t>STR#</t>
  </si>
  <si>
    <t>Occupancy</t>
  </si>
  <si>
    <t>Property</t>
  </si>
  <si>
    <t>Competitive Set: Competitors</t>
  </si>
  <si>
    <t xml:space="preserve">     Weekday</t>
  </si>
  <si>
    <t xml:space="preserve">     Weekend</t>
  </si>
  <si>
    <t>Ranking</t>
  </si>
  <si>
    <t>My Prop vs. Comp Set</t>
  </si>
  <si>
    <t xml:space="preserve">This Year </t>
  </si>
  <si>
    <t xml:space="preserve">Last Year  </t>
  </si>
  <si>
    <t>Date</t>
  </si>
  <si>
    <t>Total Sundays</t>
  </si>
  <si>
    <t>Total Mondays</t>
  </si>
  <si>
    <t>Total Tuesdays</t>
  </si>
  <si>
    <t>Total Wednesdays</t>
  </si>
  <si>
    <t>Total Thursdays</t>
  </si>
  <si>
    <t>Total Fridays</t>
  </si>
  <si>
    <t>Total Saturdays</t>
  </si>
  <si>
    <t>Exchange Rate*</t>
  </si>
  <si>
    <t>Average Daily Rate</t>
  </si>
  <si>
    <t>Revenue Per Rooms Sold</t>
  </si>
  <si>
    <t>Revenue Per Rooms Available</t>
  </si>
  <si>
    <t>Revenue Per Room Sold</t>
  </si>
  <si>
    <t>City, State Country</t>
  </si>
  <si>
    <t xml:space="preserve">City, State </t>
  </si>
  <si>
    <t>December LYTD</t>
  </si>
  <si>
    <t>Index (MPI)</t>
  </si>
  <si>
    <t>Index (ARI)</t>
  </si>
  <si>
    <t>Index (RGI)</t>
  </si>
  <si>
    <t>Exchange Rate</t>
  </si>
  <si>
    <t>Total (TrevPOR**)</t>
  </si>
  <si>
    <t xml:space="preserve">** TrevPOR = Total revenue per occupied room (sum of Room, F&amp;B, and Other revenue divided by total occupied rooms).  </t>
  </si>
  <si>
    <t>Total (TrevPAR**)</t>
  </si>
  <si>
    <t xml:space="preserve">** TrevPAR = Total revenue per available room (sum of Room, F&amp;B, and Other revenue divided by total available rooms).  </t>
  </si>
  <si>
    <t>Job #</t>
  </si>
  <si>
    <t>Title</t>
  </si>
  <si>
    <t>Options</t>
  </si>
  <si>
    <t>Table Of Contents</t>
  </si>
  <si>
    <t>Occupancy Index</t>
  </si>
  <si>
    <t>ADR Index</t>
  </si>
  <si>
    <t>RevPAR Index</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</si>
  <si>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</si>
  <si>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</si>
  <si>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</si>
  <si>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</si>
  <si>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</si>
  <si>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</si>
  <si>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</si>
  <si>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</si>
  <si>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</si>
  <si>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</si>
  <si>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</si>
  <si>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</si>
  <si>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</si>
  <si>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</si>
  <si>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</si>
  <si>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Monthly Performance at a Glance - My Property vs. Competitive Set</t>
  </si>
  <si>
    <t>Monthly Performance at a Glance</t>
  </si>
  <si>
    <t>Tab 3 - STAR Summary - My Property vs. Comp Set and Industry Segments</t>
  </si>
  <si>
    <t>STAR Summary</t>
  </si>
  <si>
    <t>Tab 4 - Competitive Set Report</t>
  </si>
  <si>
    <t>Competitive Set Report</t>
  </si>
  <si>
    <t>Tab 5 - Response Report</t>
  </si>
  <si>
    <t>Response Report</t>
  </si>
  <si>
    <t>Tab 6 - Day of Week and Weekday/Weekend Report</t>
  </si>
  <si>
    <t>Day of Week &amp; Weekday/Weekend</t>
  </si>
  <si>
    <t>Tab 7 - Daily Data for the Month</t>
  </si>
  <si>
    <t>Daily Data for the Month</t>
  </si>
  <si>
    <t>Help</t>
  </si>
  <si>
    <t>Monthly STAR Report : Holiday Inn Express &amp; Suites Natchez South</t>
  </si>
  <si>
    <t>STR # 62536 / Created June 16, 2025</t>
  </si>
  <si>
    <t>For the Month of: May 2025</t>
  </si>
  <si>
    <t>Currency: US Dollar  /  Competitive Set Data Excludes Subject Property</t>
  </si>
  <si>
    <t>Holiday Inn Express &amp; Suites Natchez South        639 S Canal St        Natchez, MS 39120        Phone: (601) 442-4462</t>
  </si>
  <si>
    <t>STR # 62536        ChainID: 15321        MgtCo: Desai Hotel Group        Owner: Desai Hotel Group</t>
  </si>
  <si>
    <t>For the Month of: May 2025        Date Created: June 16, 2025        Monthly Competitive Set Data Excludes Subject Property</t>
  </si>
  <si>
    <t>May 2025</t>
  </si>
  <si>
    <t>May 2025 vs. 2024 Percent Change (%)</t>
  </si>
  <si>
    <t>Holiday Inn Express &amp; Suites Natchez South</t>
  </si>
  <si>
    <t>Market: Mississippi</t>
  </si>
  <si>
    <t>Market Class: Upper Midscale Class</t>
  </si>
  <si>
    <t>Submarket: Hattiesburg/South Area, MS</t>
  </si>
  <si>
    <t>Submarket Scale: Midscale Chains</t>
  </si>
  <si>
    <t>Dec</t>
  </si>
  <si>
    <t>2 of 7</t>
  </si>
  <si>
    <t>3 of 7</t>
  </si>
  <si>
    <t>Jan</t>
  </si>
  <si>
    <t>1 of 7</t>
  </si>
  <si>
    <t>Feb</t>
  </si>
  <si>
    <t>Mar</t>
  </si>
  <si>
    <t>Apr</t>
  </si>
  <si>
    <t>May</t>
  </si>
  <si>
    <t>Jun</t>
  </si>
  <si>
    <t>Jul</t>
  </si>
  <si>
    <t>Aug</t>
  </si>
  <si>
    <t>Sep</t>
  </si>
  <si>
    <t>Oct</t>
  </si>
  <si>
    <t>1 of 6</t>
  </si>
  <si>
    <t>3 of 6</t>
  </si>
  <si>
    <t>2 of 6</t>
  </si>
  <si>
    <t>Nov</t>
  </si>
  <si>
    <t>4 of 6</t>
  </si>
  <si>
    <t>4 of 7</t>
  </si>
  <si>
    <t>5 of 7</t>
  </si>
  <si>
    <t>5 of 6</t>
  </si>
  <si>
    <t>6 of 6</t>
  </si>
  <si>
    <t>For the Month of: May 2025        Date Created: June 16, 2025</t>
  </si>
  <si>
    <t>City, State</t>
  </si>
  <si>
    <t>May 2025 (This Year)</t>
  </si>
  <si>
    <t>May 2024 (Last Year)</t>
  </si>
  <si>
    <t>Sunday, May 11th</t>
  </si>
  <si>
    <t>May 11th - Mother's Day</t>
  </si>
  <si>
    <t>Monday, May 26th</t>
  </si>
  <si>
    <t>May 26th - Memorial Day</t>
  </si>
  <si>
    <t>Sunday, May 12th</t>
  </si>
  <si>
    <t>May 12th - Mother's Day</t>
  </si>
  <si>
    <t>Monday, May 27th</t>
  </si>
  <si>
    <t>May 27th - Memorial Day</t>
  </si>
  <si>
    <t>Natchez, MS</t>
  </si>
  <si>
    <t>39120</t>
  </si>
  <si>
    <t>(601) 442-4462</t>
  </si>
  <si>
    <t>81</t>
  </si>
  <si>
    <t>201307</t>
  </si>
  <si>
    <t>●</t>
  </si>
  <si>
    <t>Magnolia Bluffs, BW Signature Collection</t>
  </si>
  <si>
    <t>39120-3485</t>
  </si>
  <si>
    <t>(601) 861-4600</t>
  </si>
  <si>
    <t>140</t>
  </si>
  <si>
    <t>198406</t>
  </si>
  <si>
    <t>Days Inn by Wyndham Natchez</t>
  </si>
  <si>
    <t>(601) 445-8291</t>
  </si>
  <si>
    <t>121</t>
  </si>
  <si>
    <t>197811</t>
  </si>
  <si>
    <t>Clarion Suites Vidalia</t>
  </si>
  <si>
    <t>Vidalia, LA</t>
  </si>
  <si>
    <t>71373</t>
  </si>
  <si>
    <t>(318) 336-1655</t>
  </si>
  <si>
    <t>102</t>
  </si>
  <si>
    <t>200210</t>
  </si>
  <si>
    <t>Hampton Inn &amp; Suites Natchez</t>
  </si>
  <si>
    <t>(601) 446-6770</t>
  </si>
  <si>
    <t>85</t>
  </si>
  <si>
    <t>200712</t>
  </si>
  <si>
    <t>Hotel Vue</t>
  </si>
  <si>
    <t>(601) 653-8888</t>
  </si>
  <si>
    <t>90</t>
  </si>
  <si>
    <t>200811</t>
  </si>
  <si>
    <t/>
  </si>
  <si>
    <t>TownePlace Suites Vidalia Riverfront</t>
  </si>
  <si>
    <t>(318) 414-1070</t>
  </si>
  <si>
    <t>86</t>
  </si>
  <si>
    <t>201812</t>
  </si>
  <si>
    <t xml:space="preserve">Data received: </t>
  </si>
  <si>
    <t>○</t>
  </si>
  <si>
    <t>= Monthly Only</t>
  </si>
  <si>
    <t>= Monthly &amp; Daily</t>
  </si>
  <si>
    <t>For the Month of: May 2025        Date Created: June 16, 2025        Daily Competitive Set Data Excludes Subject Property</t>
  </si>
  <si>
    <t>Th</t>
  </si>
  <si>
    <t>Fr</t>
  </si>
  <si>
    <t>Sa</t>
  </si>
  <si>
    <t>Su</t>
  </si>
  <si>
    <t>Mo</t>
  </si>
  <si>
    <t>Tu</t>
  </si>
  <si>
    <t>We</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</si>
</sst>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0.00_);\(0.00\)"/>
    <numFmt numFmtId="170" formatCode="mm/dd/yy;@"/>
    <numFmt numFmtId="171" formatCode="00000"/>
  </numFmts>
  <fonts count="110">
    <font>
      <sz val="10"/>
      <name val="Arial"/>
    </font>
    <font>
      <sz val="10"/>
      <name val="Arial"/>
      <family val="2"/>
    </font>
    <font>
      <sz val="24"/>
      <color indexed="9"/>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b/>
      <sz val="13"/>
      <name val="Arial"/>
      <family val="2"/>
    </font>
    <font>
      <sz val="7"/>
      <name val="Arial"/>
      <family val="2"/>
    </font>
    <font>
      <sz val="10"/>
      <color indexed="8"/>
      <name val="Arial"/>
      <family val="2"/>
    </font>
    <font>
      <b/>
      <sz val="12"/>
      <color indexed="9"/>
      <name val="Arial"/>
      <family val="2"/>
    </font>
    <font>
      <b/>
      <sz val="14"/>
      <name val="Arial"/>
      <family val="2"/>
    </font>
    <font>
      <b/>
      <sz val="12"/>
      <color indexed="8"/>
      <name val="Arial"/>
      <family val="2"/>
    </font>
    <font>
      <b/>
      <sz val="14"/>
      <color indexed="8"/>
      <name val="Arial"/>
      <family val="2"/>
    </font>
    <font>
      <b/>
      <sz val="9"/>
      <color indexed="8"/>
      <name val="Arial"/>
      <family val="2"/>
    </font>
    <font>
      <sz val="13"/>
      <name val="Arial"/>
      <family val="2"/>
    </font>
    <font>
      <sz val="8"/>
      <name val="Wingdings"/>
      <charset val="2"/>
    </font>
    <font>
      <b/>
      <sz val="14"/>
      <color indexed="9"/>
      <name val="Arial"/>
      <family val="2"/>
    </font>
    <font>
      <sz val="10"/>
      <color indexed="9"/>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7"/>
      <name val="Webdings"/>
      <family val="1"/>
      <charset val="2"/>
    </font>
    <font>
      <sz val="10"/>
      <name val="Webdings"/>
      <family val="1"/>
      <charset val="2"/>
    </font>
    <font>
      <sz val="24"/>
      <name val="Arial"/>
      <family val="2"/>
    </font>
    <font>
      <u/>
      <sz val="10"/>
      <color indexed="36"/>
      <name val="Arial"/>
      <family val="2"/>
    </font>
    <font>
      <u/>
      <sz val="10"/>
      <color indexed="39"/>
      <name val="Arial"/>
      <family val="2"/>
    </font>
    <font>
      <b/>
      <sz val="13"/>
      <name val="Arial"/>
      <family val="2"/>
    </font>
    <font>
      <sz val="14"/>
      <name val="Arial"/>
      <family val="2"/>
    </font>
    <font>
      <sz val="16"/>
      <name val="Arial"/>
      <family val="2"/>
    </font>
    <font>
      <b/>
      <sz val="10"/>
      <color indexed="8"/>
      <name val="Arial"/>
      <family val="2"/>
    </font>
    <font>
      <b/>
      <sz val="12"/>
      <color indexed="9"/>
      <name val="Arial"/>
      <family val="2"/>
    </font>
    <font>
      <b/>
      <sz val="10"/>
      <name val="Arial"/>
      <family val="2"/>
    </font>
    <font>
      <sz val="12"/>
      <name val="Arial"/>
      <family val="2"/>
    </font>
    <font>
      <b/>
      <i/>
      <sz val="10"/>
      <name val="Arial"/>
      <family val="2"/>
    </font>
    <font>
      <b/>
      <i/>
      <sz val="10"/>
      <color indexed="9"/>
      <name val="Arial"/>
      <family val="2"/>
    </font>
    <font>
      <sz val="10"/>
      <name val="Arial"/>
      <family val="2"/>
    </font>
    <font>
      <b/>
      <sz val="10"/>
      <color indexed="9"/>
      <name val="Arial"/>
      <family val="2"/>
    </font>
    <font>
      <sz val="18"/>
      <name val="Arial"/>
      <family val="2"/>
    </font>
    <font>
      <b/>
      <sz val="12"/>
      <name val="Arial"/>
      <family val="2"/>
    </font>
    <font>
      <b/>
      <sz val="11"/>
      <color indexed="9"/>
      <name val="Arial"/>
      <family val="2"/>
    </font>
    <font>
      <sz val="10"/>
      <color indexed="9"/>
      <name val="Arial"/>
      <family val="2"/>
    </font>
    <font>
      <b/>
      <sz val="14"/>
      <name val="Arial"/>
      <family val="2"/>
    </font>
    <font>
      <sz val="10"/>
      <color indexed="8"/>
      <name val="Arial"/>
      <family val="2"/>
    </font>
    <font>
      <sz val="9"/>
      <color indexed="9"/>
      <name val="Arial"/>
      <family val="2"/>
    </font>
    <font>
      <b/>
      <sz val="16"/>
      <name val="Arial"/>
      <family val="2"/>
    </font>
    <font>
      <b/>
      <sz val="11"/>
      <name val="Arial"/>
      <family val="2"/>
    </font>
    <font>
      <b/>
      <sz val="16"/>
      <name val="Arial"/>
      <family val="2"/>
    </font>
    <font>
      <b/>
      <sz val="12"/>
      <color indexed="39"/>
      <name val="Arial"/>
      <family val="2"/>
    </font>
    <font>
      <sz val="12"/>
      <color indexed="39"/>
      <name val="Arial"/>
      <family val="2"/>
    </font>
    <font>
      <sz val="10"/>
      <color indexed="39"/>
      <name val="Arial"/>
      <family val="2"/>
    </font>
    <font>
      <sz val="10"/>
      <color indexed="33"/>
      <name val="Arial"/>
      <family val="2"/>
    </font>
    <font>
      <sz val="10"/>
      <name val="Arial"/>
      <family val="2"/>
    </font>
    <font>
      <sz val="14"/>
      <color indexed="9"/>
      <name val="Arial"/>
      <family val="2"/>
    </font>
    <font>
      <sz val="11"/>
      <color indexed="8"/>
      <name val="Calibri"/>
      <family val="2"/>
    </font>
    <font>
      <sz val="11"/>
      <color indexed="9"/>
      <name val="Calibri"/>
      <family val="2"/>
    </font>
    <font>
      <sz val="11"/>
      <color indexed="3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28"/>
      <name val="Calibri"/>
      <family val="2"/>
    </font>
    <font>
      <b/>
      <sz val="18"/>
      <color indexed="62"/>
      <name val="Cambria"/>
      <family val="2"/>
    </font>
    <font>
      <b/>
      <sz val="11"/>
      <color indexed="8"/>
      <name val="Calibri"/>
      <family val="2"/>
    </font>
    <font>
      <sz val="11"/>
      <color indexed="10"/>
      <name val="Calibri"/>
      <family val="2"/>
    </font>
    <font>
      <sz val="9"/>
      <name val="Arial"/>
      <family val="2"/>
    </font>
    <font>
      <sz val="8"/>
      <name val="Arial"/>
      <family val="2"/>
    </font>
    <font>
      <sz val="8"/>
      <color indexed="9"/>
      <name val="Arial"/>
      <family val="2"/>
    </font>
    <font>
      <sz val="19"/>
      <color indexed="9"/>
      <name val="Arial"/>
      <family val="2"/>
    </font>
    <font>
      <u/>
      <sz val="11"/>
      <name val="Arial"/>
      <family val="2"/>
    </font>
    <font>
      <sz val="8"/>
      <color indexed="8"/>
      <name val="Arial"/>
      <family val="2"/>
    </font>
    <font>
      <sz val="10"/>
      <name val="Arial"/>
      <family val="2"/>
    </font>
    <font>
      <sz val="10"/>
      <color indexed="57"/>
      <name val="Arial"/>
      <family val="2"/>
    </font>
    <font>
      <u/>
      <sz val="10"/>
      <color indexed="60"/>
      <name val="Arial"/>
      <family val="2"/>
    </font>
    <font>
      <u/>
      <sz val="10"/>
      <color indexed="62"/>
      <name val="Arial"/>
      <family val="2"/>
    </font>
    <font>
      <sz val="11"/>
      <color indexed="55"/>
      <name val="Calibri"/>
      <family val="2"/>
    </font>
    <font>
      <b/>
      <sz val="11"/>
      <color indexed="53"/>
      <name val="Calibri"/>
      <family val="2"/>
    </font>
    <font>
      <b/>
      <sz val="18"/>
      <color indexed="62"/>
      <name val="Cambria"/>
      <family val="1"/>
    </font>
    <font>
      <u/>
      <sz val="11"/>
      <color theme="10"/>
      <name val="Calibri"/>
      <family val="2"/>
      <scheme val="minor"/>
    </font>
    <font>
      <sz val="11"/>
      <color theme="1"/>
      <name val="Calibri"/>
      <family val="2"/>
      <scheme val="minor"/>
    </font>
    <font>
      <b/>
      <sz val="18"/>
      <color theme="1"/>
      <name val="Arial"/>
      <family val="2"/>
    </font>
    <font>
      <sz val="18"/>
      <color theme="1"/>
      <name val="Arial"/>
      <family val="2"/>
    </font>
    <font>
      <sz val="11"/>
      <color rgb="FFFF0000"/>
      <name val="Calibri"/>
      <family val="2"/>
      <scheme val="minor"/>
    </font>
    <font>
      <b/>
      <sz val="11"/>
      <color theme="1"/>
      <name val="Arial"/>
      <family val="2"/>
    </font>
    <font>
      <sz val="11"/>
      <color theme="1"/>
      <name val="Arial"/>
      <family val="2"/>
    </font>
    <font>
      <u/>
      <color rgb="FF0000FF"/>
    </font>
    <font>
      <b/>
      <sz val="12"/>
      <color rgb="FFFFFFFF"/>
      <name val="Arial"/>
    </font>
    <font>
      <b/>
      <sz val="10"/>
      <name val="Arial"/>
    </font>
    <font>
      <color rgb="FFFFFFFF"/>
    </font>
    <font>
      <color rgb="FFA0A0A0"/>
    </font>
    <font/>
    <font>
      <sz val="18"/>
    </font>
    <font>
      <b val="0"/>
      <sz val="10"/>
      <color rgb="FF000000"/>
      <name val="Arial"/>
    </font>
  </fonts>
  <fills count="41">
    <fill>
      <patternFill patternType="none"/>
    </fill>
    <fill>
      <patternFill patternType="gray125"/>
    </fill>
    <fill>
      <patternFill patternType="solid">
        <fgColor indexed="22"/>
      </patternFill>
    </fill>
    <fill>
      <patternFill patternType="solid">
        <fgColor indexed="56"/>
      </patternFill>
    </fill>
    <fill>
      <patternFill patternType="solid">
        <fgColor indexed="29"/>
      </patternFill>
    </fill>
    <fill>
      <patternFill patternType="solid">
        <fgColor indexed="54"/>
      </patternFill>
    </fill>
    <fill>
      <patternFill patternType="solid">
        <fgColor indexed="41"/>
      </patternFill>
    </fill>
    <fill>
      <patternFill patternType="solid">
        <fgColor indexed="41"/>
      </patternFill>
    </fill>
    <fill>
      <patternFill patternType="solid">
        <fgColor indexed="47"/>
      </patternFill>
    </fill>
    <fill>
      <patternFill patternType="solid">
        <fgColor indexed="47"/>
      </patternFill>
    </fill>
    <fill>
      <patternFill patternType="solid">
        <fgColor indexed="44"/>
      </patternFill>
    </fill>
    <fill>
      <patternFill patternType="solid">
        <fgColor indexed="44"/>
      </patternFill>
    </fill>
    <fill>
      <patternFill patternType="solid">
        <fgColor indexed="49"/>
      </patternFill>
    </fill>
    <fill>
      <patternFill patternType="solid">
        <fgColor indexed="49"/>
      </patternFill>
    </fill>
    <fill>
      <patternFill patternType="solid">
        <fgColor indexed="33"/>
      </patternFill>
    </fill>
    <fill>
      <patternFill patternType="solid">
        <fgColor indexed="57"/>
      </patternFill>
    </fill>
    <fill>
      <patternFill patternType="solid">
        <fgColor indexed="37"/>
      </patternFill>
    </fill>
    <fill>
      <patternFill patternType="solid">
        <fgColor indexed="61"/>
      </patternFill>
    </fill>
    <fill>
      <patternFill patternType="solid">
        <fgColor indexed="36"/>
      </patternFill>
    </fill>
    <fill>
      <patternFill patternType="solid">
        <fgColor indexed="60"/>
      </patternFill>
    </fill>
    <fill>
      <patternFill patternType="solid">
        <fgColor indexed="54"/>
      </patternFill>
    </fill>
    <fill>
      <patternFill patternType="solid">
        <fgColor indexed="53"/>
      </patternFill>
    </fill>
    <fill>
      <patternFill patternType="solid">
        <fgColor indexed="53"/>
      </patternFill>
    </fill>
    <fill>
      <patternFill patternType="solid">
        <fgColor indexed="45"/>
      </patternFill>
    </fill>
    <fill>
      <patternFill patternType="solid">
        <fgColor indexed="63"/>
      </patternFill>
    </fill>
    <fill>
      <patternFill patternType="solid">
        <fgColor indexed="42"/>
      </patternFill>
    </fill>
    <fill>
      <patternFill patternType="solid">
        <fgColor indexed="42"/>
      </patternFill>
    </fill>
    <fill>
      <patternFill patternType="solid">
        <fgColor indexed="43"/>
      </patternFill>
    </fill>
    <fill>
      <patternFill patternType="solid">
        <fgColor indexed="43"/>
      </patternFill>
    </fill>
    <fill>
      <patternFill patternType="solid">
        <fgColor indexed="59"/>
      </patternFill>
    </fill>
    <fill>
      <patternFill patternType="solid">
        <fgColor indexed="9"/>
      </patternFill>
    </fill>
    <fill>
      <patternFill patternType="solid">
        <fgColor indexed="37"/>
      </patternFill>
    </fill>
    <fill>
      <patternFill patternType="solid">
        <fgColor indexed="55"/>
      </patternFill>
    </fill>
    <fill>
      <patternFill patternType="solid">
        <fgColor indexed="22"/>
      </patternFill>
    </fill>
    <fill>
      <patternFill patternType="solid">
        <fgColor indexed="31"/>
      </patternFill>
    </fill>
    <fill>
      <patternFill patternType="solid">
        <fgColor indexed="33"/>
      </patternFill>
    </fill>
    <fill>
      <patternFill patternType="solid">
        <fgColor indexed="45"/>
      </patternFill>
    </fill>
    <fill>
      <patternFill patternType="solid">
        <fgColor theme="0"/>
      </patternFill>
    </fill>
    <fill>
      <patternFill patternType="solid">
        <fgColor rgb="FFFFFFFF"/>
      </patternFill>
    </fill>
    <fill>
      <patternFill patternType="solid">
        <fgColor rgb="FFA0A0A0"/>
      </patternFill>
    </fill>
    <fill>
      <patternFill patternType="solid">
        <fgColor rgb="FFEAEAEA"/>
      </patternFill>
    </fill>
  </fills>
  <borders count="74">
    <border>
      <left>
        <color/>
      </left>
      <right>
        <color/>
      </right>
      <top>
        <color/>
      </top>
      <bottom>
        <color/>
      </bottom>
      <diagonal>
        <color/>
      </diagonal>
    </border>
    <border>
      <left style="thin">
        <color indexed="23"/>
      </left>
      <right style="thin">
        <color indexed="23"/>
      </right>
      <top style="thin">
        <color indexed="23"/>
      </top>
      <bottom style="thin">
        <color indexed="23"/>
      </bottom>
      <diagonal>
        <color/>
      </diagonal>
    </border>
    <border>
      <left style="double">
        <color indexed="28"/>
      </left>
      <right style="double">
        <color indexed="28"/>
      </right>
      <top style="double">
        <color indexed="28"/>
      </top>
      <bottom style="double">
        <color indexed="28"/>
      </bottom>
      <diagonal>
        <color/>
      </diagonal>
    </border>
    <border>
      <left style="double">
        <color indexed="53"/>
      </left>
      <right style="double">
        <color indexed="53"/>
      </right>
      <top style="double">
        <color indexed="53"/>
      </top>
      <bottom style="double">
        <color indexed="53"/>
      </bottom>
      <diagonal>
        <color/>
      </diagonal>
    </border>
    <border>
      <left>
        <color/>
      </left>
      <right>
        <color/>
      </right>
      <top>
        <color/>
      </top>
      <bottom style="thick">
        <color indexed="49"/>
      </bottom>
      <diagonal>
        <color/>
      </diagonal>
    </border>
    <border>
      <left>
        <color/>
      </left>
      <right>
        <color/>
      </right>
      <top>
        <color/>
      </top>
      <bottom style="medium">
        <color indexed="49"/>
      </bottom>
      <diagonal>
        <color/>
      </diagonal>
    </border>
    <border>
      <left>
        <color/>
      </left>
      <right>
        <color/>
      </right>
      <top>
        <color/>
      </top>
      <bottom style="double">
        <color indexed="52"/>
      </bottom>
      <diagonal>
        <color/>
      </diagonal>
    </border>
    <border>
      <left style="thin">
        <color indexed="33"/>
      </left>
      <right style="thin">
        <color indexed="33"/>
      </right>
      <top style="thin">
        <color indexed="33"/>
      </top>
      <bottom style="thin">
        <color indexed="33"/>
      </bottom>
      <diagonal>
        <color/>
      </diagonal>
    </border>
    <border>
      <left style="thin">
        <color indexed="57"/>
      </left>
      <right style="thin">
        <color indexed="57"/>
      </right>
      <top style="thin">
        <color indexed="57"/>
      </top>
      <bottom style="thin">
        <color indexed="57"/>
      </bottom>
      <diagonal>
        <color/>
      </diagonal>
    </border>
    <border>
      <left style="thin">
        <color indexed="28"/>
      </left>
      <right style="thin">
        <color indexed="28"/>
      </right>
      <top style="thin">
        <color indexed="28"/>
      </top>
      <bottom style="thin">
        <color indexed="28"/>
      </bottom>
      <diagonal>
        <color/>
      </diagonal>
    </border>
    <border>
      <left style="thin">
        <color indexed="53"/>
      </left>
      <right style="thin">
        <color indexed="53"/>
      </right>
      <top style="thin">
        <color indexed="53"/>
      </top>
      <bottom style="thin">
        <color indexed="53"/>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color/>
      </left>
      <right>
        <color/>
      </right>
      <top style="thin">
        <color indexed="57"/>
      </top>
      <bottom style="thin">
        <color indexed="57"/>
      </bottom>
      <diagonal>
        <color/>
      </diagonal>
    </border>
    <border>
      <left style="thin">
        <color indexed="57"/>
      </left>
      <right>
        <color/>
      </right>
      <top style="thin">
        <color indexed="57"/>
      </top>
      <bottom style="thin">
        <color indexed="57"/>
      </bottom>
      <diagonal>
        <color/>
      </diagonal>
    </border>
    <border>
      <left>
        <color/>
      </left>
      <right style="thin">
        <color indexed="57"/>
      </right>
      <top style="thin">
        <color indexed="57"/>
      </top>
      <bottom style="thin">
        <color indexed="57"/>
      </bottom>
      <diagonal>
        <color/>
      </diagonal>
    </border>
    <border>
      <left>
        <color/>
      </left>
      <right>
        <color/>
      </right>
      <top style="thin">
        <color indexed="49"/>
      </top>
      <bottom style="double">
        <color indexed="49"/>
      </bottom>
      <diagonal>
        <color/>
      </diagonal>
    </border>
    <border>
      <left>
        <color/>
      </left>
      <right style="thin">
        <color indexed="55"/>
      </right>
      <top>
        <color/>
      </top>
      <bottom>
        <color/>
      </bottom>
      <diagonal>
        <color/>
      </diagonal>
    </border>
    <border>
      <left>
        <color/>
      </left>
      <right style="thin">
        <color indexed="55"/>
      </right>
      <top style="thin">
        <color indexed="55"/>
      </top>
      <bottom>
        <color/>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color/>
      </left>
      <right>
        <color/>
      </right>
      <top>
        <color/>
      </top>
      <bottom style="thin">
        <color indexed="55"/>
      </bottom>
      <diagonal>
        <color/>
      </diagonal>
    </border>
    <border>
      <left style="thin">
        <color indexed="33"/>
      </left>
      <right>
        <color/>
      </right>
      <top style="thin">
        <color indexed="33"/>
      </top>
      <bottom>
        <color/>
      </bottom>
      <diagonal>
        <color/>
      </diagonal>
    </border>
    <border>
      <left>
        <color/>
      </left>
      <right style="thin">
        <color indexed="33"/>
      </right>
      <top style="thin">
        <color indexed="33"/>
      </top>
      <bottom>
        <color/>
      </bottom>
      <diagonal>
        <color/>
      </diagonal>
    </border>
    <border>
      <left style="thin">
        <color indexed="33"/>
      </left>
      <right>
        <color/>
      </right>
      <top>
        <color/>
      </top>
      <bottom>
        <color/>
      </bottom>
      <diagonal>
        <color/>
      </diagonal>
    </border>
    <border>
      <left>
        <color/>
      </left>
      <right style="thin">
        <color indexed="33"/>
      </right>
      <top>
        <color/>
      </top>
      <bottom>
        <color/>
      </bottom>
      <diagonal>
        <color/>
      </diagonal>
    </border>
    <border>
      <left style="thin">
        <color indexed="33"/>
      </left>
      <right>
        <color/>
      </right>
      <top>
        <color/>
      </top>
      <bottom style="thin">
        <color indexed="33"/>
      </bottom>
      <diagonal>
        <color/>
      </diagonal>
    </border>
    <border>
      <left>
        <color/>
      </left>
      <right style="thin">
        <color indexed="33"/>
      </right>
      <top>
        <color/>
      </top>
      <bottom style="thin">
        <color indexed="33"/>
      </bottom>
      <diagonal>
        <color/>
      </diagonal>
    </border>
    <border>
      <left>
        <color/>
      </left>
      <right>
        <color/>
      </right>
      <top style="thin">
        <color indexed="33"/>
      </top>
      <bottom>
        <color/>
      </bottom>
      <diagonal>
        <color/>
      </diagonal>
    </border>
    <border>
      <left>
        <color/>
      </left>
      <right>
        <color/>
      </right>
      <top>
        <color/>
      </top>
      <bottom style="thin">
        <color indexed="33"/>
      </bottom>
      <diagonal>
        <color/>
      </diagonal>
    </border>
    <border>
      <left style="thin">
        <color indexed="33"/>
      </left>
      <right>
        <color/>
      </right>
      <top style="thin">
        <color indexed="33"/>
      </top>
      <bottom style="thin">
        <color indexed="33"/>
      </bottom>
      <diagonal>
        <color/>
      </diagonal>
    </border>
    <border>
      <left>
        <color/>
      </left>
      <right>
        <color/>
      </right>
      <top style="thin">
        <color indexed="33"/>
      </top>
      <bottom style="thin">
        <color indexed="33"/>
      </bottom>
      <diagonal>
        <color/>
      </diagonal>
    </border>
    <border>
      <left>
        <color/>
      </left>
      <right style="thin">
        <color indexed="33"/>
      </right>
      <top style="thin">
        <color indexed="33"/>
      </top>
      <bottom style="thin">
        <color indexed="33"/>
      </bottom>
      <diagonal>
        <color/>
      </diagonal>
    </border>
    <border>
      <left style="thin">
        <color indexed="33"/>
      </left>
      <right style="thin">
        <color indexed="33"/>
      </right>
      <top style="thin">
        <color indexed="33"/>
      </top>
      <bottom>
        <color/>
      </bottom>
      <diagonal>
        <color/>
      </diagonal>
    </border>
    <border>
      <left style="thin">
        <color indexed="33"/>
      </left>
      <right style="thin">
        <color indexed="33"/>
      </right>
      <top>
        <color/>
      </top>
      <bottom>
        <color/>
      </bottom>
      <diagonal>
        <color/>
      </diagonal>
    </border>
    <border>
      <left style="thin">
        <color indexed="33"/>
      </left>
      <right style="thin">
        <color indexed="33"/>
      </right>
      <top>
        <color/>
      </top>
      <bottom style="thin">
        <color indexed="33"/>
      </bottom>
      <diagonal>
        <color/>
      </diagonal>
    </border>
    <border>
      <left style="thin">
        <color indexed="22"/>
      </left>
      <right>
        <color/>
      </right>
      <top style="thin">
        <color indexed="22"/>
      </top>
      <bottom style="thin">
        <color indexed="22"/>
      </bottom>
      <diagonal>
        <color/>
      </diagonal>
    </border>
    <border>
      <left>
        <color/>
      </left>
      <right style="thin">
        <color indexed="23"/>
      </right>
      <top>
        <color/>
      </top>
      <bottom>
        <color/>
      </bottom>
      <diagonal>
        <color/>
      </diagonal>
    </border>
    <border>
      <left style="thin">
        <color indexed="55"/>
      </left>
      <right>
        <color/>
      </right>
      <top>
        <color/>
      </top>
      <bottom>
        <color/>
      </bottom>
      <diagonal>
        <color/>
      </diagonal>
    </border>
    <border>
      <left style="thin">
        <color indexed="23"/>
      </left>
      <right>
        <color/>
      </right>
      <top>
        <color/>
      </top>
      <bottom>
        <color/>
      </bottom>
      <diagonal>
        <color/>
      </diagonal>
    </border>
    <border>
      <left style="thin">
        <color indexed="33"/>
      </left>
      <right>
        <color/>
      </right>
      <top>
        <color/>
      </top>
      <bottom style="thin">
        <color indexed="55"/>
      </bottom>
      <diagonal>
        <color/>
      </diagonal>
    </border>
    <border>
      <left>
        <color/>
      </left>
      <right style="thin">
        <color indexed="33"/>
      </right>
      <top>
        <color/>
      </top>
      <bottom style="thin">
        <color indexed="55"/>
      </bottom>
      <diagonal>
        <color/>
      </diagonal>
    </border>
    <border>
      <left>
        <color/>
      </left>
      <right>
        <color/>
      </right>
      <top style="thin">
        <color indexed="55"/>
      </top>
      <bottom style="thin">
        <color indexed="33"/>
      </bottom>
      <diagonal>
        <color/>
      </diagonal>
    </border>
    <border>
      <left style="thin">
        <color indexed="33"/>
      </left>
      <right style="dashed">
        <color indexed="33"/>
      </right>
      <top style="thin">
        <color indexed="33"/>
      </top>
      <bottom>
        <color/>
      </bottom>
      <diagonal>
        <color/>
      </diagonal>
    </border>
    <border>
      <left style="thin">
        <color indexed="33"/>
      </left>
      <right style="dashed">
        <color indexed="33"/>
      </right>
      <top>
        <color/>
      </top>
      <bottom style="thin">
        <color indexed="33"/>
      </bottom>
      <diagonal>
        <color/>
      </diagonal>
    </border>
    <border>
      <left style="thin">
        <color indexed="33"/>
      </left>
      <right style="thin">
        <color indexed="55"/>
      </right>
      <top style="thin">
        <color indexed="33"/>
      </top>
      <bottom style="thin">
        <color indexed="33"/>
      </bottom>
      <diagonal>
        <color/>
      </diagonal>
    </border>
    <border>
      <left style="thin">
        <color indexed="55"/>
      </left>
      <right style="thin">
        <color indexed="55"/>
      </right>
      <top style="thin">
        <color indexed="33"/>
      </top>
      <bottom style="thin">
        <color indexed="33"/>
      </bottom>
      <diagonal>
        <color/>
      </diagonal>
    </border>
    <border>
      <left style="thin">
        <color indexed="55"/>
      </left>
      <right style="thin">
        <color indexed="33"/>
      </right>
      <top style="thin">
        <color indexed="33"/>
      </top>
      <bottom style="thin">
        <color indexed="33"/>
      </bottom>
      <diagonal>
        <color/>
      </diagonal>
    </border>
    <border>
      <left>
        <color/>
      </left>
      <right style="thin">
        <color indexed="64"/>
      </right>
      <top>
        <color/>
      </top>
      <bottom>
        <color/>
      </bottom>
      <diagonal>
        <color/>
      </diagonal>
    </border>
    <border>
      <left>
        <color/>
      </left>
      <right style="thin">
        <color indexed="55"/>
      </right>
      <top>
        <color/>
      </top>
      <bottom style="thin">
        <color indexed="55"/>
      </bottom>
      <diagonal>
        <color/>
      </diagonal>
    </border>
    <border>
      <left style="thin">
        <color indexed="33"/>
      </left>
      <right style="dashed">
        <color indexed="33"/>
      </right>
      <top style="thin">
        <color indexed="33"/>
      </top>
      <bottom style="thin">
        <color indexed="33"/>
      </bottom>
      <diagonal>
        <color/>
      </diagonal>
    </border>
    <border diagonalUp="0" diagonalDown="0">
      <left style="thin">
        <color indexed="33"/>
      </left>
      <right>
        <color rgb="FFA0A0A0"/>
      </right>
      <top style="thin">
        <color indexed="33"/>
      </top>
      <bottom style="thin">
        <color indexed="33"/>
      </bottom>
      <diagonal>
        <color/>
      </diagonal>
    </border>
    <border diagonalUp="0" diagonalDown="0">
      <left style="thin">
        <color indexed="33"/>
      </left>
      <right style="thin">
        <color rgb="FFA0A0A0"/>
      </right>
      <top style="thin">
        <color indexed="33"/>
      </top>
      <bottom style="thin">
        <color indexed="33"/>
      </bottom>
      <diagonal>
        <color/>
      </diagonal>
    </border>
    <border diagonalUp="0" diagonalDown="0">
      <left>
        <color auto="1" indexed="64"/>
      </left>
      <right>
        <color rgb="FFA0A0A0"/>
      </right>
      <top style="thin">
        <color indexed="33"/>
      </top>
      <bottom style="thin">
        <color indexed="33"/>
      </bottom>
      <diagonal>
        <color/>
      </diagonal>
    </border>
    <border diagonalUp="0" diagonalDown="0">
      <left>
        <color auto="1" indexed="64"/>
      </left>
      <right style="thin">
        <color rgb="FFA0A0A0"/>
      </right>
      <top style="thin">
        <color indexed="33"/>
      </top>
      <bottom style="thin">
        <color indexed="33"/>
      </bottom>
      <diagonal>
        <color/>
      </diagonal>
    </border>
    <border diagonalUp="0" diagonalDown="0">
      <left>
        <color auto="1" indexed="64"/>
      </left>
      <right>
        <color auto="1" indexed="64"/>
      </right>
      <top>
        <color auto="1" indexed="64"/>
      </top>
      <bottom>
        <color auto="1" indexed="64"/>
      </bottom>
      <diagonal>
        <color/>
      </diagonal>
    </border>
    <border>
      <left>
        <color/>
      </left>
      <right style="thin">
        <color rgb="FFA0A0A0"/>
      </right>
      <top style="thin">
        <color indexed="33"/>
      </top>
      <bottom>
        <color/>
      </bottom>
      <diagonal>
        <color/>
      </diagonal>
    </border>
    <border diagonalUp="0" diagonalDown="0">
      <left>
        <color auto="1" indexed="64"/>
      </left>
      <right style="thin">
        <color rgb="FFA0A0A0"/>
      </right>
      <top style="thin">
        <color indexed="33"/>
      </top>
      <bottom>
        <color auto="1" indexed="64"/>
      </bottom>
      <diagonal>
        <color/>
      </diagonal>
    </border>
    <border diagonalUp="0" diagonalDown="0">
      <left style="thin">
        <color indexed="33"/>
      </left>
      <right style="thin">
        <color indexed="33"/>
      </right>
      <top style="thin">
        <color indexed="33"/>
      </top>
      <bottom>
        <color auto="1" indexed="64"/>
      </bottom>
      <diagonal>
        <color/>
      </diagonal>
    </border>
    <border>
      <left>
        <color/>
      </left>
      <right style="thin">
        <color rgb="FFA0A0A0"/>
      </right>
      <top>
        <color/>
      </top>
      <bottom style="thin">
        <color indexed="33"/>
      </bottom>
      <diagonal>
        <color/>
      </diagonal>
    </border>
    <border>
      <left style="thin">
        <color indexed="33"/>
      </left>
      <right style="thin">
        <color rgb="FFA0A0A0"/>
      </right>
      <top style="thin">
        <color indexed="33"/>
      </top>
      <bottom>
        <color/>
      </bottom>
      <diagonal>
        <color/>
      </diagonal>
    </border>
    <border>
      <left style="thin">
        <color indexed="33"/>
      </left>
      <right style="thin">
        <color rgb="FFA0A0A0"/>
      </right>
      <top>
        <color/>
      </top>
      <bottom>
        <color/>
      </bottom>
      <diagonal>
        <color/>
      </diagonal>
    </border>
    <border>
      <left>
        <color/>
      </left>
      <right style="thin">
        <color rgb="FFA0A0A0"/>
      </right>
      <top>
        <color/>
      </top>
      <bottom>
        <color/>
      </bottom>
      <diagonal>
        <color/>
      </diagonal>
    </border>
    <border>
      <left style="thin">
        <color indexed="33"/>
      </left>
      <right style="thin">
        <color rgb="FFA0A0A0"/>
      </right>
      <top>
        <color/>
      </top>
      <bottom style="thin">
        <color indexed="33"/>
      </bottom>
      <diagonal>
        <color/>
      </diagonal>
    </border>
    <border diagonalUp="1" diagonalDown="1">
      <left>
        <color rgb="FFFFFFFF"/>
      </left>
      <right>
        <color rgb="FFFFFFFF"/>
      </right>
      <top>
        <color rgb="FFFFFFFF"/>
      </top>
      <bottom>
        <color rgb="FFFFFFFF"/>
      </bottom>
      <diagonal>
        <color rgb="FFFFFFFF"/>
      </diagonal>
    </border>
    <border>
      <left>
        <color/>
      </left>
      <right style="thin">
        <color rgb="FFA0A0A0"/>
      </right>
      <top style="thin">
        <color indexed="33"/>
      </top>
      <bottom style="thin">
        <color indexed="33"/>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788">
    <xf numFmtId="0" fontId="0" fillId="0" borderId="0" applyFont="1" applyFill="1"/>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6" borderId="0" applyNumberFormat="0" applyFont="1" applyFill="1" applyBorder="0"/>
    <xf numFmtId="0" fontId="65" fillId="7" borderId="0" applyNumberFormat="0" applyFont="1" applyFill="1" applyBorder="0"/>
    <xf numFmtId="0" fontId="65" fillId="8" borderId="0" applyNumberFormat="0" applyFont="1" applyFill="1" applyBorder="0"/>
    <xf numFmtId="0" fontId="65" fillId="9"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4" borderId="0" applyNumberFormat="0" applyFont="1" applyFill="1" applyBorder="0"/>
    <xf numFmtId="0" fontId="65" fillId="5" borderId="0" applyNumberFormat="0" applyFont="1" applyFill="1" applyBorder="0"/>
    <xf numFmtId="0" fontId="65" fillId="2" borderId="0" applyNumberFormat="0" applyFont="1" applyFill="1" applyBorder="0"/>
    <xf numFmtId="0" fontId="65" fillId="3" borderId="0" applyNumberFormat="0" applyFont="1" applyFill="1" applyBorder="0"/>
    <xf numFmtId="0" fontId="65" fillId="10" borderId="0" applyNumberFormat="0" applyFont="1" applyFill="1" applyBorder="0"/>
    <xf numFmtId="0" fontId="65" fillId="11" borderId="0" applyNumberFormat="0" applyFont="1" applyFill="1" applyBorder="0"/>
    <xf numFmtId="0" fontId="65" fillId="8" borderId="0" applyNumberFormat="0" applyFont="1" applyFill="1" applyBorder="0"/>
    <xf numFmtId="0" fontId="65"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4" borderId="0" applyNumberFormat="0" applyFont="1" applyFill="1" applyBorder="0"/>
    <xf numFmtId="0" fontId="66" fillId="5" borderId="0" applyNumberFormat="0" applyFont="1" applyFill="1" applyBorder="0"/>
    <xf numFmtId="0" fontId="66" fillId="14" borderId="0" applyNumberFormat="0" applyFont="1" applyFill="1" applyBorder="0"/>
    <xf numFmtId="0" fontId="66" fillId="1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8" borderId="0" applyNumberFormat="0" applyFont="1" applyFill="1" applyBorder="0"/>
    <xf numFmtId="0" fontId="66" fillId="9"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16" borderId="0" applyNumberFormat="0" applyFont="1" applyFill="1" applyBorder="0"/>
    <xf numFmtId="0" fontId="66" fillId="17" borderId="0" applyNumberFormat="0" applyFont="1" applyFill="1" applyBorder="0"/>
    <xf numFmtId="0" fontId="66" fillId="18" borderId="0" applyNumberFormat="0" applyFont="1" applyFill="1" applyBorder="0"/>
    <xf numFmtId="0" fontId="66" fillId="19" borderId="0" applyNumberFormat="0" applyFont="1" applyFill="1" applyBorder="0"/>
    <xf numFmtId="0" fontId="66" fillId="20" borderId="0" applyNumberFormat="0" applyFont="1" applyFill="1" applyBorder="0"/>
    <xf numFmtId="0" fontId="66" fillId="5" borderId="0" applyNumberFormat="0" applyFont="1" applyFill="1" applyBorder="0"/>
    <xf numFmtId="0" fontId="66" fillId="12" borderId="0" applyNumberFormat="0" applyFont="1" applyFill="1" applyBorder="0"/>
    <xf numFmtId="0" fontId="66" fillId="13" borderId="0" applyNumberFormat="0" applyFont="1" applyFill="1" applyBorder="0"/>
    <xf numFmtId="0" fontId="66" fillId="21" borderId="0" applyNumberFormat="0" applyFont="1" applyFill="1" applyBorder="0"/>
    <xf numFmtId="0" fontId="66" fillId="22" borderId="0" applyNumberFormat="0" applyFont="1" applyFill="1" applyBorder="0"/>
    <xf numFmtId="0" fontId="67" fillId="23" borderId="0" applyNumberFormat="0" applyFont="1" applyFill="1" applyBorder="0"/>
    <xf numFmtId="0" fontId="92" fillId="24" borderId="0" applyNumberFormat="0" applyFont="1" applyFill="1" applyBorder="0"/>
    <xf numFmtId="0" fontId="68" fillId="2" borderId="1" applyNumberFormat="0" applyFont="1" applyFill="1" applyBorder="1"/>
    <xf numFmtId="0" fontId="68" fillId="3" borderId="1" applyNumberFormat="0" applyFont="1" applyFill="1" applyBorder="1"/>
    <xf numFmtId="0" fontId="69" fillId="14" borderId="2" applyNumberFormat="0" applyFont="1" applyFill="1" applyBorder="1"/>
    <xf numFmtId="0" fontId="69" fillId="15" borderId="3" applyNumberFormat="0" applyFont="1" applyFill="1" applyBorder="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0" fontId="70" fillId="0" borderId="0" applyNumberFormat="0" applyFont="1" applyFill="1" applyBorder="0"/>
    <xf numFmtId="0" fontId="70" fillId="0" borderId="0" applyNumberFormat="0" applyFont="1" applyFill="1" applyBorder="0"/>
    <xf numFmtId="0" fontId="88" fillId="0" borderId="0" applyFont="1" applyFill="1"/>
    <xf numFmtId="0" fontId="88" fillId="0" borderId="0" applyFont="1" applyFill="1"/>
    <xf numFmtId="0" fontId="88" fillId="0" borderId="0" applyFont="1" applyFill="1"/>
    <xf numFmtId="0" fontId="88" fillId="0" borderId="0" applyFont="1" applyFill="1"/>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0" fontId="36" fillId="0" borderId="0" applyNumberFormat="0" applyFont="1" applyFill="1" applyBorder="0"/>
    <xf numFmtId="0" fontId="90" fillId="0" borderId="0" applyNumberFormat="0" applyFont="1" applyFill="1" applyBorder="0"/>
    <xf numFmtId="0" fontId="37" fillId="0" borderId="0" applyNumberFormat="0" applyFont="1" applyFill="1" applyBorder="0"/>
    <xf numFmtId="0" fontId="91" fillId="0" borderId="0" applyNumberFormat="0"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9" fontId="88" fillId="0" borderId="0" applyNumberFormat="1" applyFont="1" applyFill="1" applyBorder="0"/>
    <xf numFmtId="43" fontId="88" fillId="0" borderId="0" applyNumberFormat="1" applyFont="1" applyFill="1" applyBorder="0"/>
    <xf numFmtId="41" fontId="88" fillId="0" borderId="0" applyNumberFormat="1" applyFont="1" applyFill="1" applyBorder="0"/>
    <xf numFmtId="44" fontId="88" fillId="0" borderId="0" applyNumberFormat="1" applyFont="1" applyFill="1" applyBorder="0"/>
    <xf numFmtId="42" fontId="88" fillId="0" borderId="0" applyNumberFormat="1" applyFont="1" applyFill="1" applyBorder="0"/>
    <xf numFmtId="0" fontId="36" fillId="0" borderId="0" applyNumberFormat="0" applyFont="1" applyFill="1" applyBorder="0"/>
    <xf numFmtId="0" fontId="37" fillId="0" borderId="0" applyNumberFormat="0" applyFont="1" applyFill="1" applyBorder="0"/>
    <xf numFmtId="9" fontId="88" fillId="0" borderId="0" applyNumberFormat="1" applyFont="1" applyFill="1" applyBorder="0"/>
    <xf numFmtId="0" fontId="71" fillId="25" borderId="0" applyNumberFormat="0" applyFont="1" applyFill="1" applyBorder="0"/>
    <xf numFmtId="0" fontId="71" fillId="26" borderId="0" applyNumberFormat="0" applyFont="1" applyFill="1" applyBorder="0"/>
    <xf numFmtId="0" fontId="72" fillId="0" borderId="4" applyNumberFormat="0" applyFont="1" applyFill="1" applyBorder="1"/>
    <xf numFmtId="0" fontId="72" fillId="0" borderId="4" applyNumberFormat="0" applyFont="1" applyFill="1" applyBorder="1"/>
    <xf numFmtId="0" fontId="73" fillId="0" borderId="4" applyNumberFormat="0" applyFont="1" applyFill="1" applyBorder="1"/>
    <xf numFmtId="0" fontId="73" fillId="0" borderId="4" applyNumberFormat="0" applyFont="1" applyFill="1" applyBorder="1"/>
    <xf numFmtId="0" fontId="74" fillId="0" borderId="5" applyNumberFormat="0" applyFont="1" applyFill="1" applyBorder="1"/>
    <xf numFmtId="0" fontId="74" fillId="0" borderId="5" applyNumberFormat="0" applyFont="1" applyFill="1" applyBorder="1"/>
    <xf numFmtId="0" fontId="74" fillId="0" borderId="0" applyNumberFormat="0" applyFont="1" applyFill="1" applyBorder="0"/>
    <xf numFmtId="0" fontId="74" fillId="0" borderId="0" applyNumberFormat="0" applyFont="1" applyFill="1" applyBorder="0"/>
    <xf numFmtId="0" fontId="95" fillId="0" borderId="0" applyNumberFormat="0" applyFont="1" applyFill="1" applyBorder="0"/>
    <xf numFmtId="0" fontId="75" fillId="8" borderId="1" applyNumberFormat="0" applyFont="1" applyFill="1" applyBorder="1"/>
    <xf numFmtId="0" fontId="75" fillId="9" borderId="1" applyNumberFormat="0" applyFont="1" applyFill="1" applyBorder="1"/>
    <xf numFmtId="0" fontId="76" fillId="0" borderId="6" applyNumberFormat="0" applyFont="1" applyFill="1" applyBorder="1"/>
    <xf numFmtId="0" fontId="76" fillId="0" borderId="6" applyNumberFormat="0" applyFont="1" applyFill="1" applyBorder="1"/>
    <xf numFmtId="0" fontId="77" fillId="27" borderId="0" applyNumberFormat="0" applyFont="1" applyFill="1" applyBorder="0"/>
    <xf numFmtId="0" fontId="77" fillId="28" borderId="0" applyNumberFormat="0" applyFont="1" applyFill="1" applyBorder="0"/>
    <xf numFmtId="0" fontId="96" fillId="0" borderId="0" applyFont="1" applyFill="1"/>
    <xf numFmtId="0" fontId="96" fillId="0" borderId="0" applyFont="1" applyFill="1"/>
    <xf numFmtId="0" fontId="88" fillId="27" borderId="7" applyNumberFormat="0" applyFont="1" applyFill="1" applyBorder="1"/>
    <xf numFmtId="0" fontId="88" fillId="28" borderId="8" applyNumberFormat="0" applyFont="1" applyFill="1" applyBorder="1"/>
    <xf numFmtId="0" fontId="88" fillId="27" borderId="7" applyNumberFormat="0" applyFont="1" applyFill="1" applyBorder="1"/>
    <xf numFmtId="0" fontId="88" fillId="27" borderId="7" applyNumberFormat="0" applyFont="1" applyFill="1" applyBorder="1"/>
    <xf numFmtId="0" fontId="78" fillId="2" borderId="9" applyNumberFormat="0" applyFont="1" applyFill="1" applyBorder="1"/>
    <xf numFmtId="0" fontId="93" fillId="3" borderId="10" applyNumberFormat="0" applyFont="1" applyFill="1" applyBorder="1"/>
    <xf numFmtId="9" fontId="88" fillId="0" borderId="0" applyNumberFormat="1" applyFont="1" applyFill="1" applyBorder="0"/>
    <xf numFmtId="9" fontId="88" fillId="0" borderId="0" applyNumberFormat="1" applyFont="1" applyFill="1" applyBorder="0"/>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 borderId="0" applyNumberFormat="0" applyFont="1" applyFill="1" applyBorder="0" applyAlignment="1">
      <alignment horizont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30"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31"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58" fillId="24"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 borderId="0" applyNumberFormat="0" applyFont="1" applyFill="1" applyBorder="0" applyAlignment="1">
      <alignment horizontal="center"/>
    </xf>
    <xf numFmtId="0" fontId="52" fillId="30" borderId="0" applyNumberFormat="0" applyFont="1" applyFill="1"/>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9" fillId="15" borderId="0" applyNumberFormat="0" applyFont="1" applyFill="1" applyBorder="0"/>
    <xf numFmtId="0" fontId="89" fillId="15" borderId="0" applyNumberFormat="0" applyFont="1" applyFill="1" applyBorder="0"/>
    <xf numFmtId="0" fontId="88" fillId="30" borderId="8" applyNumberFormat="0" applyFont="1" applyFill="1" applyBorder="1" applyAlignment="1">
      <alignment horizontal="left" vertical="center"/>
    </xf>
    <xf numFmtId="0" fontId="88" fillId="30" borderId="15" applyNumberFormat="0" applyFont="1" applyFill="1" applyBorder="1" applyAlignment="1">
      <alignment horizontal="center" vertical="center"/>
    </xf>
    <xf numFmtId="0" fontId="88" fillId="30" borderId="16" applyNumberFormat="0" applyFont="1" applyFill="1" applyBorder="1" applyAlignment="1">
      <alignment horizontal="center" vertical="center"/>
    </xf>
    <xf numFmtId="0" fontId="88" fillId="30" borderId="17" applyNumberFormat="0" applyFont="1" applyFill="1" applyBorder="1" applyAlignment="1">
      <alignment horizontal="center" vertical="center"/>
    </xf>
    <xf numFmtId="0" fontId="88" fillId="3" borderId="8" applyNumberFormat="0" applyFont="1" applyFill="1" applyBorder="1" applyAlignment="1">
      <alignment horizontal="left" vertical="center"/>
    </xf>
    <xf numFmtId="0" fontId="88" fillId="3" borderId="15" applyNumberFormat="0" applyFont="1" applyFill="1" applyBorder="1" applyAlignment="1">
      <alignment horizontal="center" vertical="center"/>
    </xf>
    <xf numFmtId="0" fontId="88" fillId="3" borderId="16" applyNumberFormat="0" applyFont="1" applyFill="1" applyBorder="1" applyAlignment="1">
      <alignment horizontal="center" vertical="center"/>
    </xf>
    <xf numFmtId="0" fontId="88" fillId="3" borderId="17" applyNumberFormat="0" applyFont="1" applyFill="1" applyBorder="1" applyAlignment="1">
      <alignment horizontal="center" vertical="center"/>
    </xf>
    <xf numFmtId="0" fontId="58" fillId="30" borderId="17" applyNumberFormat="0" applyFont="1" applyFill="1" applyBorder="1" applyAlignment="1">
      <alignment horizontal="center" vertical="center"/>
    </xf>
    <xf numFmtId="0" fontId="58" fillId="3" borderId="17" applyNumberFormat="0" applyFont="1" applyFill="1" applyBorder="1" applyAlignment="1">
      <alignment horizontal="center" vertical="center"/>
    </xf>
    <xf numFmtId="0" fontId="88" fillId="30" borderId="12" applyNumberFormat="0" applyFont="1" applyFill="1" applyBorder="1"/>
    <xf numFmtId="0" fontId="88" fillId="30" borderId="12" applyNumberFormat="0" applyFont="1" applyFill="1" applyBorder="1"/>
    <xf numFmtId="0" fontId="88" fillId="33" borderId="12" applyNumberFormat="0" applyFont="1" applyFill="1" applyBorder="1"/>
    <xf numFmtId="0" fontId="88" fillId="3" borderId="12"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3" borderId="11" applyNumberFormat="0" applyFont="1" applyFill="1" applyBorder="1"/>
    <xf numFmtId="0" fontId="88" fillId="3" borderId="11" applyNumberFormat="0" applyFont="1" applyFill="1" applyBorder="1"/>
    <xf numFmtId="0" fontId="88" fillId="33" borderId="12" applyNumberFormat="0" applyFont="1" applyFill="1" applyBorder="1"/>
    <xf numFmtId="0" fontId="88" fillId="3" borderId="12" applyNumberFormat="0" applyFont="1" applyFill="1" applyBorder="1"/>
    <xf numFmtId="0" fontId="88" fillId="33" borderId="13" applyNumberFormat="0" applyFont="1" applyFill="1" applyBorder="1"/>
    <xf numFmtId="0" fontId="88" fillId="3" borderId="13" applyNumberFormat="0" applyFont="1" applyFill="1" applyBorder="1"/>
    <xf numFmtId="0" fontId="88" fillId="33" borderId="14" applyNumberFormat="0" applyFont="1" applyFill="1" applyBorder="1"/>
    <xf numFmtId="0" fontId="88" fillId="3" borderId="14"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1"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xf numFmtId="0" fontId="88" fillId="31" borderId="11" applyNumberFormat="0" applyFont="1" applyFill="1" applyBorder="1"/>
    <xf numFmtId="0" fontId="88" fillId="24" borderId="11" applyNumberFormat="0" applyFont="1" applyFill="1" applyBorder="1"/>
    <xf numFmtId="0" fontId="88" fillId="24" borderId="11" applyNumberFormat="0" applyFont="1" applyFill="1" applyBorder="1"/>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1" applyNumberFormat="0" applyFont="1" applyFill="1" applyBorder="1" applyAlignment="1">
      <alignment horizontal="left"/>
    </xf>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2"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3"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30" borderId="14" applyNumberFormat="0" applyFont="1" applyFill="1" applyBorder="1"/>
    <xf numFmtId="0" fontId="88" fillId="24" borderId="11" applyNumberFormat="0" applyFont="1" applyFill="1" applyBorder="1" applyAlignment="1">
      <alignment horizontal="left"/>
    </xf>
    <xf numFmtId="0" fontId="88" fillId="31"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1" applyNumberFormat="0" applyFont="1" applyFill="1" applyBorder="1" applyAlignment="1">
      <alignment horizontal="left"/>
    </xf>
    <xf numFmtId="0" fontId="88" fillId="24" borderId="12" applyNumberFormat="0" applyFont="1" applyFill="1" applyBorder="1"/>
    <xf numFmtId="0" fontId="88" fillId="31" borderId="12" applyNumberFormat="0" applyFont="1" applyFill="1" applyBorder="1"/>
    <xf numFmtId="0" fontId="88" fillId="24" borderId="12" applyNumberFormat="0" applyFont="1" applyFill="1" applyBorder="1"/>
    <xf numFmtId="0" fontId="88" fillId="24" borderId="12" applyNumberFormat="0" applyFont="1" applyFill="1" applyBorder="1"/>
    <xf numFmtId="0" fontId="88" fillId="24" borderId="13" applyNumberFormat="0" applyFont="1" applyFill="1" applyBorder="1"/>
    <xf numFmtId="0" fontId="88" fillId="31" borderId="13" applyNumberFormat="0" applyFont="1" applyFill="1" applyBorder="1"/>
    <xf numFmtId="0" fontId="88" fillId="24" borderId="13" applyNumberFormat="0" applyFont="1" applyFill="1" applyBorder="1"/>
    <xf numFmtId="0" fontId="88" fillId="24" borderId="13" applyNumberFormat="0" applyFont="1" applyFill="1" applyBorder="1"/>
    <xf numFmtId="0" fontId="88" fillId="24" borderId="14" applyNumberFormat="0" applyFont="1" applyFill="1" applyBorder="1"/>
    <xf numFmtId="0" fontId="88" fillId="31" borderId="14" applyNumberFormat="0" applyFont="1" applyFill="1" applyBorder="1"/>
    <xf numFmtId="0" fontId="88" fillId="24" borderId="14" applyNumberFormat="0" applyFont="1" applyFill="1" applyBorder="1"/>
    <xf numFmtId="0" fontId="88" fillId="24" borderId="14" applyNumberFormat="0" applyFont="1" applyFill="1" applyBorder="1"/>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15" borderId="0" applyNumberFormat="0" applyFont="1" applyFill="1" applyBorder="0" applyAlignment="1">
      <alignment horizontal="center"/>
    </xf>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0"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88" fillId="32" borderId="0" applyNumberFormat="0" applyFont="1" applyFill="1" applyBorder="0"/>
    <xf numFmtId="0" fontId="52" fillId="30" borderId="0" applyNumberFormat="0" applyFont="1" applyFill="1"/>
    <xf numFmtId="0" fontId="52" fillId="30" borderId="0" applyNumberFormat="0" applyFont="1" applyFill="1"/>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1" applyNumberFormat="0" applyFont="1" applyFill="1" applyBorder="1" applyAlignment="1">
      <alignment horizontal="left"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2"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3"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30" borderId="14" applyNumberFormat="0" applyFont="1" applyFill="1" applyBorder="1" applyAlignment="1">
      <alignment horizontal="center" vertical="center"/>
    </xf>
    <xf numFmtId="0" fontId="88" fillId="24" borderId="11" applyNumberFormat="0" applyFont="1" applyFill="1" applyBorder="1" applyAlignment="1">
      <alignment horizontal="left" vertical="center"/>
    </xf>
    <xf numFmtId="0" fontId="88" fillId="31"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1" applyNumberFormat="0" applyFont="1" applyFill="1" applyBorder="1" applyAlignment="1">
      <alignment horizontal="left" vertical="center"/>
    </xf>
    <xf numFmtId="0" fontId="88" fillId="24" borderId="12" applyNumberFormat="0" applyFont="1" applyFill="1" applyBorder="1" applyAlignment="1">
      <alignment horizontal="center" vertical="center"/>
    </xf>
    <xf numFmtId="0" fontId="88" fillId="31"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2"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31"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3"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1"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24"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88" fillId="32" borderId="14" applyNumberFormat="0" applyFont="1" applyFill="1" applyBorder="1" applyAlignment="1">
      <alignment horizontal="center" vertical="center"/>
    </xf>
    <xf numFmtId="0" fontId="2" fillId="29" borderId="0" applyNumberFormat="0" applyFont="1" applyFill="1" applyBorder="0" applyAlignment="1">
      <alignment horizontal="center" wrapText="1"/>
    </xf>
    <xf numFmtId="0" fontId="2" fillId="29" borderId="0" applyNumberFormat="0" applyFont="1" applyFill="1" applyBorder="0" applyAlignment="1">
      <alignment horizontal="center" wrapText="1"/>
    </xf>
    <xf numFmtId="0" fontId="79" fillId="0" borderId="0" applyNumberFormat="0" applyFont="1" applyFill="1" applyBorder="0"/>
    <xf numFmtId="0" fontId="94" fillId="0" borderId="0" applyNumberFormat="0" applyFont="1" applyFill="1" applyBorder="0"/>
    <xf numFmtId="0" fontId="80" fillId="0" borderId="18" applyNumberFormat="0" applyFont="1" applyFill="1" applyBorder="1"/>
    <xf numFmtId="0" fontId="80" fillId="0" borderId="18" applyNumberFormat="0" applyFont="1" applyFill="1" applyBorder="1"/>
    <xf numFmtId="0" fontId="81" fillId="0" borderId="0" applyNumberFormat="0" applyFont="1" applyFill="1" applyBorder="0"/>
    <xf numFmtId="0" fontId="81" fillId="0" borderId="0" applyNumberFormat="0" applyFont="1" applyFill="1" applyBorder="0"/>
    <xf numFmtId="0" fontId="102" borderId="0" applyFont="1" applyAlignment="1">
      <alignment vertical="top"/>
    </xf>
  </cellStyleXfs>
  <cellXfs count="1035">
    <xf numFmtId="0" fontId="0" fillId="0" borderId="0" applyFont="1" applyFill="1"/>
    <xf numFmtId="0" fontId="0" fillId="32" borderId="0" applyFont="1" applyFill="1"/>
    <xf numFmtId="0" fontId="0" fillId="30" borderId="0" applyFont="1" applyFill="1"/>
    <xf numFmtId="0" fontId="0" fillId="30" borderId="0" applyFont="1" applyFill="1" applyAlignment="1">
      <alignment horizontal="centerContinuous"/>
    </xf>
    <xf numFmtId="0" fontId="0" fillId="0" borderId="0" applyFont="1" applyFill="1" applyBorder="1"/>
    <xf numFmtId="0" fontId="88" fillId="0" borderId="0" applyFont="1" applyFill="1"/>
    <xf numFmtId="0" fontId="49" fillId="0" borderId="0" applyFont="1" applyFill="1"/>
    <xf numFmtId="0" fontId="44" fillId="0" borderId="0" applyFont="1" applyFill="1"/>
    <xf numFmtId="0" fontId="50" fillId="0" borderId="0" applyFont="1" applyFill="1"/>
    <xf numFmtId="0" fontId="0" fillId="30" borderId="0" applyFont="1" applyFill="1" applyBorder="1"/>
    <xf numFmtId="0" fontId="43" fillId="0" borderId="0" applyFont="1" applyFill="1"/>
    <xf numFmtId="164" fontId="88" fillId="30" borderId="0" applyNumberFormat="1" applyFont="1" applyFill="1" applyAlignment="1">
      <alignment horizontal="left"/>
    </xf>
    <xf numFmtId="0" fontId="38" fillId="30" borderId="0" applyFont="1" applyFill="1" applyAlignment="1">
      <alignment horizontal="left"/>
    </xf>
    <xf numFmtId="0" fontId="0" fillId="30" borderId="0" applyFont="1" applyFill="1" applyAlignment="1">
      <alignment horizontal="right"/>
    </xf>
    <xf numFmtId="0" fontId="16" fillId="30" borderId="0" applyFont="1" applyFill="1"/>
    <xf numFmtId="0" fontId="39" fillId="30" borderId="0" applyFont="1" applyFill="1" applyAlignment="1">
      <alignment horizontal="centerContinuous"/>
    </xf>
    <xf numFmtId="0" fontId="39" fillId="30" borderId="0" applyFont="1" applyFill="1" applyAlignment="1">
      <alignment horizontal="right"/>
    </xf>
    <xf numFmtId="0" fontId="40" fillId="30" borderId="0" applyFont="1" applyFill="1" applyAlignment="1">
      <alignment horizontal="right"/>
    </xf>
    <xf numFmtId="0" fontId="5" fillId="30" borderId="0" applyFont="1" applyFill="1" applyAlignment="1">
      <alignment horizontal="left"/>
    </xf>
    <xf numFmtId="17" fontId="5" fillId="30" borderId="0" applyNumberFormat="1" applyFont="1" applyFill="1" applyAlignment="1">
      <alignment horizontal="left"/>
    </xf>
    <xf numFmtId="0" fontId="49" fillId="30" borderId="0" applyFont="1" applyFill="1" applyAlignment="1">
      <alignment horizontal="left"/>
    </xf>
    <xf numFmtId="0" fontId="0" fillId="0" borderId="0" applyFont="1" applyFill="1" applyAlignment="1">
      <alignment horizontal="center"/>
    </xf>
    <xf numFmtId="0" fontId="0" fillId="30" borderId="0" applyFont="1" applyFill="1" applyAlignment="1">
      <alignment horizontal="center"/>
    </xf>
    <xf numFmtId="0" fontId="29" fillId="30" borderId="0" applyFont="1" applyFill="1" applyBorder="1" applyAlignment="1">
      <alignment horizontal="right"/>
    </xf>
    <xf numFmtId="0" fontId="0" fillId="0" borderId="0" applyFont="1" applyFill="1" applyBorder="1" applyAlignment="1">
      <alignment horizontal="centerContinuous"/>
    </xf>
    <xf numFmtId="0" fontId="53" fillId="0" borderId="0" applyFont="1" applyFill="1"/>
    <xf numFmtId="0" fontId="0" fillId="0" borderId="0" applyFont="1" applyFill="1" applyAlignment="1">
      <alignment horizontal="left"/>
    </xf>
    <xf numFmtId="166" fontId="5" fillId="0" borderId="19" applyNumberFormat="1" applyFont="1" applyFill="1" applyBorder="1" applyAlignment="1">
      <alignment horizontal="center"/>
    </xf>
    <xf numFmtId="166" fontId="5" fillId="33" borderId="19" applyNumberFormat="1" applyFont="1" applyFill="1" applyBorder="1" applyAlignment="1">
      <alignment horizontal="center"/>
    </xf>
    <xf numFmtId="166" fontId="5" fillId="0" borderId="20" applyNumberFormat="1" applyFont="1" applyFill="1" applyBorder="1" applyAlignment="1">
      <alignment horizontal="center"/>
    </xf>
    <xf numFmtId="166" fontId="5" fillId="0" borderId="0" applyNumberFormat="1" applyFont="1" applyFill="1" applyBorder="1" applyAlignment="1">
      <alignment horizontal="center"/>
    </xf>
    <xf numFmtId="166" fontId="5" fillId="33" borderId="0" applyNumberFormat="1" applyFont="1" applyFill="1" applyBorder="1" applyAlignment="1">
      <alignment horizontal="center"/>
    </xf>
    <xf numFmtId="166" fontId="5" fillId="0" borderId="21" applyNumberFormat="1" applyFont="1" applyFill="1" applyBorder="1" applyAlignment="1">
      <alignment horizontal="center"/>
    </xf>
    <xf numFmtId="0" fontId="0" fillId="0" borderId="0" applyFont="1" applyFill="1" applyAlignment="1">
      <alignment horizontal="center"/>
    </xf>
    <xf numFmtId="0" fontId="0" fillId="0" borderId="0" applyFont="1" applyFill="1"/>
    <xf numFmtId="0" fontId="21" fillId="0" borderId="0" applyFont="1" applyFill="1"/>
    <xf numFmtId="0" fontId="22" fillId="0" borderId="0" applyFont="1" applyFill="1" applyAlignment="1">
      <alignment horizontal="center"/>
    </xf>
    <xf numFmtId="0" fontId="5" fillId="0" borderId="22" applyFont="1" applyFill="1" applyBorder="1" applyAlignment="1">
      <alignment horizontal="right"/>
    </xf>
    <xf numFmtId="0" fontId="5" fillId="33" borderId="23" applyFont="1" applyFill="1" applyBorder="1" applyAlignment="1">
      <alignment horizontal="right"/>
    </xf>
    <xf numFmtId="0" fontId="5" fillId="33" borderId="24" applyFont="1" applyFill="1" applyBorder="1" applyAlignment="1">
      <alignment horizontal="right"/>
    </xf>
    <xf numFmtId="0" fontId="5" fillId="0" borderId="24" applyFont="1" applyFill="1" applyBorder="1" applyAlignment="1">
      <alignment horizontal="right"/>
    </xf>
    <xf numFmtId="0" fontId="23" fillId="0" borderId="0" applyFont="1" applyFill="1" applyBorder="1" applyAlignment="1">
      <alignment horizontal="center"/>
    </xf>
    <xf numFmtId="0" fontId="23" fillId="0" borderId="0" applyFont="1" applyFill="1" applyBorder="1" applyAlignment="1">
      <alignment horizontal="center"/>
    </xf>
    <xf numFmtId="1" fontId="5" fillId="0" borderId="0" applyNumberFormat="1" applyFont="1" applyFill="1" applyAlignment="1">
      <alignment horizontal="left"/>
    </xf>
    <xf numFmtId="0" fontId="39" fillId="30" borderId="0" applyFont="1" applyFill="1" applyAlignment="1">
      <alignment horizontal="right" vertical="center"/>
    </xf>
    <xf numFmtId="0" fontId="0" fillId="30" borderId="0" applyFont="1" applyFill="1" applyAlignment="1">
      <alignment horizontal="center" vertical="center"/>
    </xf>
    <xf numFmtId="166" fontId="24" fillId="0" borderId="0" applyNumberFormat="1" applyFont="1" applyFill="1" applyBorder="1" applyAlignment="1">
      <alignment horizontal="right"/>
    </xf>
    <xf numFmtId="0" fontId="0" fillId="0" borderId="0" applyFont="1" applyFill="1"/>
    <xf numFmtId="166" fontId="24" fillId="30" borderId="0" applyNumberFormat="1" applyFont="1" applyFill="1" applyBorder="1" applyAlignment="1">
      <alignment horizontal="center"/>
    </xf>
    <xf numFmtId="0" fontId="0" fillId="30" borderId="0" applyFont="1" applyFill="1"/>
    <xf numFmtId="0" fontId="39" fillId="30" borderId="0" applyFont="1" applyFill="1" applyAlignment="1">
      <alignment horizontal="center"/>
    </xf>
    <xf numFmtId="166" fontId="0" fillId="30" borderId="0" applyNumberFormat="1" applyFont="1" applyFill="1"/>
    <xf numFmtId="166" fontId="5" fillId="30" borderId="0" applyNumberFormat="1" applyFont="1" applyFill="1" applyAlignment="1">
      <alignment horizontal="left"/>
    </xf>
    <xf numFmtId="167" fontId="5" fillId="30" borderId="0" applyNumberFormat="1" applyFont="1" applyFill="1" applyAlignment="1">
      <alignment horizontal="left"/>
    </xf>
    <xf numFmtId="0" fontId="0" fillId="0" borderId="0" applyFont="1" applyFill="1" applyBorder="1"/>
    <xf numFmtId="0" fontId="50" fillId="30" borderId="0" applyFont="1" applyFill="1" applyBorder="1" applyAlignment="1">
      <alignment horizontal="centerContinuous"/>
    </xf>
    <xf numFmtId="166" fontId="88" fillId="0" borderId="0" applyNumberFormat="1" applyFont="1" applyFill="1"/>
    <xf numFmtId="0" fontId="53" fillId="0" borderId="0" applyFont="1" applyFill="1" applyAlignment="1">
      <alignment horizontal="right"/>
    </xf>
    <xf numFmtId="0" fontId="39" fillId="0" borderId="0" applyFont="1" applyFill="1"/>
    <xf numFmtId="0" fontId="39" fillId="0" borderId="0" applyFont="1" applyFill="1" applyBorder="1"/>
    <xf numFmtId="0" fontId="53" fillId="0" borderId="0" applyFont="1" applyFill="1" applyBorder="1" applyAlignment="1">
      <alignment horizontal="right" vertical="top"/>
    </xf>
    <xf numFmtId="0" fontId="27" fillId="0" borderId="12" applyFont="1" applyFill="1" applyBorder="1" applyAlignment="1">
      <alignment horizontal="center" wrapText="1"/>
    </xf>
    <xf numFmtId="0" fontId="27" fillId="0" borderId="14" applyFont="1" applyFill="1" applyBorder="1" applyAlignment="1">
      <alignment horizontal="center" wrapText="1"/>
    </xf>
    <xf numFmtId="0" fontId="83" fillId="0" borderId="0" applyFont="1" applyFill="1"/>
    <xf numFmtId="0" fontId="82" fillId="0" borderId="0" applyFont="1" applyFill="1" applyAlignment="1">
      <alignment horizontal="right"/>
    </xf>
    <xf numFmtId="0" fontId="49" fillId="0" borderId="0" applyFont="1" applyFill="1"/>
    <xf numFmtId="164" fontId="88" fillId="30" borderId="0" applyNumberFormat="1" applyFont="1" applyFill="1" applyAlignment="1">
      <alignment horizontal="left"/>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8" fillId="0" borderId="0" applyFont="1" applyFill="1" applyBorder="1" applyAlignment="1">
      <alignment horizontal="left"/>
    </xf>
    <xf numFmtId="49" fontId="88" fillId="0" borderId="0" applyNumberFormat="1" applyFont="1" applyFill="1" applyAlignment="1">
      <alignment horizontal="left"/>
    </xf>
    <xf numFmtId="0" fontId="88" fillId="0" borderId="0" applyFont="1" applyFill="1" applyAlignment="1">
      <alignment horizontal="left"/>
    </xf>
    <xf numFmtId="49" fontId="88" fillId="0" borderId="0" applyNumberFormat="1" applyFont="1" applyFill="1"/>
    <xf numFmtId="16" fontId="88" fillId="0" borderId="0" applyNumberFormat="1" applyFont="1" applyFill="1" applyAlignment="1">
      <alignment horizontal="left"/>
    </xf>
    <xf numFmtId="0" fontId="88" fillId="0" borderId="0" applyFont="1" applyFill="1"/>
    <xf numFmtId="0" fontId="88" fillId="0" borderId="0" applyFont="1" applyFill="1" applyAlignment="1">
      <alignment horizontal="left" textRotation="90"/>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166" fontId="33" fillId="30" borderId="0" applyNumberFormat="1" applyFont="1" applyFill="1" applyBorder="1" applyAlignment="1">
      <alignment horizontal="center"/>
    </xf>
    <xf numFmtId="166" fontId="88" fillId="0" borderId="0" applyNumberFormat="1" applyFont="1" applyFill="1" applyBorder="1" applyAlignment="1">
      <alignment horizontal="left"/>
    </xf>
    <xf numFmtId="166" fontId="33" fillId="0" borderId="0" applyNumberFormat="1" applyFont="1" applyFill="1" applyBorder="1" applyAlignment="1">
      <alignment horizontal="right"/>
    </xf>
    <xf numFmtId="0" fontId="88" fillId="0" borderId="0" applyFont="1" applyFill="1" applyAlignment="1">
      <alignment horizontal="center"/>
    </xf>
    <xf numFmtId="0" fontId="82" fillId="0" borderId="0" applyFont="1" applyFill="1"/>
    <xf numFmtId="0" fontId="34" fillId="0" borderId="0" applyFont="1" applyFill="1"/>
    <xf numFmtId="0" fontId="34" fillId="0" borderId="0" applyFont="1" applyFill="1"/>
    <xf numFmtId="0" fontId="0" fillId="0" borderId="0" applyFont="1" applyFill="1" applyBorder="1"/>
    <xf numFmtId="166" fontId="33" fillId="0" borderId="0" applyNumberFormat="1" applyFont="1" applyFill="1" applyBorder="1"/>
    <xf numFmtId="0" fontId="88" fillId="0" borderId="0" applyFont="1" applyFill="1"/>
    <xf numFmtId="0" fontId="35" fillId="0" borderId="0" applyFont="1" applyFill="1" applyAlignment="1">
      <alignment vertical="center"/>
    </xf>
    <xf numFmtId="0" fontId="0" fillId="0" borderId="0" applyFont="1" applyFill="1" applyBorder="1"/>
    <xf numFmtId="166" fontId="88" fillId="0" borderId="0" applyNumberFormat="1" applyFont="1" applyFill="1" applyBorder="1" applyAlignment="1">
      <alignment horizontal="center"/>
    </xf>
    <xf numFmtId="166" fontId="88" fillId="33" borderId="0" applyNumberFormat="1" applyFont="1" applyFill="1" applyBorder="1" applyAlignment="1">
      <alignment horizontal="center"/>
    </xf>
    <xf numFmtId="0" fontId="88" fillId="0" borderId="0" applyFont="1" applyFill="1" applyBorder="1"/>
    <xf numFmtId="2"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0" fontId="88" fillId="0" borderId="0" applyFont="1" applyFill="1" applyBorder="1"/>
    <xf numFmtId="166" fontId="88" fillId="33" borderId="0" applyNumberFormat="1" applyFont="1" applyFill="1" applyBorder="1" applyAlignment="1">
      <alignment horizontal="center"/>
    </xf>
    <xf numFmtId="0" fontId="0" fillId="0" borderId="25" applyFont="1" applyFill="1" applyBorder="1"/>
    <xf numFmtId="0" fontId="88" fillId="0" borderId="0" applyFont="1" applyFill="1" applyBorder="1" applyAlignment="1">
      <alignment horizontal="right"/>
    </xf>
    <xf numFmtId="0" fontId="88" fillId="0" borderId="0" applyNumberFormat="1" applyFont="1" applyFill="1" applyBorder="1" applyAlignment="1">
      <alignment horizontal="center"/>
    </xf>
    <xf numFmtId="2" fontId="88" fillId="33" borderId="0" applyNumberFormat="1" applyFont="1" applyFill="1" applyBorder="1" applyAlignment="1">
      <alignment horizontal="center"/>
    </xf>
    <xf numFmtId="0" fontId="44" fillId="0" borderId="25" applyFont="1" applyFill="1" applyBorder="1" applyAlignment="1">
      <alignment horizontal="center"/>
    </xf>
    <xf numFmtId="0" fontId="38" fillId="30" borderId="0" applyFont="1" applyFill="1" applyAlignment="1">
      <alignment horizontal="left"/>
    </xf>
    <xf numFmtId="166" fontId="38" fillId="30" borderId="0" applyNumberFormat="1" applyFont="1" applyFill="1" applyAlignment="1">
      <alignment horizontal="left"/>
    </xf>
    <xf numFmtId="0" fontId="39" fillId="30" borderId="0"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39" fillId="30" borderId="0" applyFont="1" applyFill="1" applyAlignment="1">
      <alignment horizontal="left"/>
    </xf>
    <xf numFmtId="0" fontId="40" fillId="30" borderId="0" applyFont="1" applyFill="1" applyAlignment="1">
      <alignment horizontal="right"/>
    </xf>
    <xf numFmtId="0" fontId="0" fillId="0" borderId="0" applyFont="1" applyFill="1" applyAlignment="1">
      <alignment horizontal="right"/>
    </xf>
    <xf numFmtId="0" fontId="0" fillId="33" borderId="0" applyFont="1" applyFill="1"/>
    <xf numFmtId="0" fontId="53" fillId="30" borderId="0" applyFont="1" applyFill="1" applyBorder="1" applyAlignment="1">
      <alignment horizontal="right" vertical="top"/>
    </xf>
    <xf numFmtId="166" fontId="88" fillId="30" borderId="0" applyNumberFormat="1" applyFont="1" applyFill="1" applyBorder="1" applyAlignment="1">
      <alignment horizontal="center"/>
    </xf>
    <xf numFmtId="0" fontId="5" fillId="30" borderId="0" applyFont="1" applyFill="1" applyBorder="1" applyAlignment="1">
      <alignment horizontal="center"/>
    </xf>
    <xf numFmtId="0" fontId="88" fillId="30" borderId="0" applyFont="1" applyFill="1" applyBorder="1"/>
    <xf numFmtId="0" fontId="44" fillId="30" borderId="0" applyFont="1" applyFill="1" applyBorder="1" applyAlignment="1">
      <alignment horizontal="center"/>
    </xf>
    <xf numFmtId="0" fontId="41" fillId="0" borderId="0" applyFont="1" applyFill="1"/>
    <xf numFmtId="0" fontId="41" fillId="0" borderId="0" applyFont="1" applyFill="1" applyAlignment="1">
      <alignment horizontal="center"/>
    </xf>
    <xf numFmtId="0" fontId="41" fillId="30" borderId="0" applyFont="1" applyFill="1" applyBorder="1"/>
    <xf numFmtId="0" fontId="0" fillId="33" borderId="0" applyFont="1" applyFill="1" applyBorder="1"/>
    <xf numFmtId="166" fontId="0" fillId="33" borderId="0" applyNumberFormat="1" applyFont="1" applyFill="1" applyBorder="1"/>
    <xf numFmtId="0" fontId="0" fillId="0" borderId="0" applyFont="1" applyFill="1" applyAlignment="1">
      <alignment vertical="center"/>
    </xf>
    <xf numFmtId="166" fontId="88" fillId="30" borderId="0" applyNumberFormat="1" applyFont="1" applyFill="1" applyAlignment="1">
      <alignment horizontal="center"/>
    </xf>
    <xf numFmtId="166" fontId="88" fillId="30" borderId="0" applyNumberFormat="1" applyFont="1" applyFill="1" applyBorder="1" applyAlignment="1">
      <alignment horizontal="center"/>
    </xf>
    <xf numFmtId="166" fontId="88" fillId="30" borderId="0" applyNumberFormat="1" applyFont="1" applyFill="1" applyAlignment="1">
      <alignment horizontal="center"/>
    </xf>
    <xf numFmtId="0" fontId="0" fillId="33" borderId="0" applyFont="1" applyFill="1" applyBorder="1"/>
    <xf numFmtId="0" fontId="44" fillId="30" borderId="0" applyFont="1" applyFill="1" applyAlignment="1">
      <alignment horizontal="left"/>
    </xf>
    <xf numFmtId="0" fontId="16" fillId="30" borderId="0" applyFont="1" applyFill="1"/>
    <xf numFmtId="0" fontId="88" fillId="30" borderId="0" applyFont="1" applyFill="1" applyAlignment="1">
      <alignment horizontal="left"/>
    </xf>
    <xf numFmtId="0" fontId="0" fillId="30" borderId="0" applyFont="1" applyFill="1" applyAlignment="1">
      <alignment horizontal="left"/>
    </xf>
    <xf numFmtId="0" fontId="88" fillId="30" borderId="0" applyFont="1" applyFill="1"/>
    <xf numFmtId="0" fontId="82" fillId="30" borderId="0" applyFont="1" applyFill="1" applyBorder="1" applyAlignment="1">
      <alignment horizontal="left" vertical="top" wrapText="1"/>
    </xf>
    <xf numFmtId="17" fontId="5" fillId="33" borderId="0" applyNumberFormat="1" applyFont="1" applyFill="1" applyAlignment="1">
      <alignment horizontal="left"/>
    </xf>
    <xf numFmtId="166" fontId="0" fillId="33" borderId="0" applyNumberFormat="1" applyFont="1" applyFill="1" applyBorder="1" applyAlignment="1">
      <alignment horizontal="right"/>
    </xf>
    <xf numFmtId="2" fontId="0" fillId="33" borderId="0" applyNumberFormat="1" applyFont="1" applyFill="1" applyBorder="1" applyAlignment="1">
      <alignment horizontal="right"/>
    </xf>
    <xf numFmtId="2" fontId="0" fillId="33" borderId="0" applyNumberFormat="1" applyFont="1" applyFill="1" applyBorder="1"/>
    <xf numFmtId="0" fontId="44" fillId="0" borderId="0" applyFont="1" applyFill="1" applyAlignment="1">
      <alignment horizontal="right"/>
    </xf>
    <xf numFmtId="169" fontId="39" fillId="0" borderId="0" applyNumberFormat="1" applyFont="1" applyFill="1"/>
    <xf numFmtId="17" fontId="39" fillId="0" borderId="0" applyNumberFormat="1" applyFont="1" applyFill="1" applyAlignment="1">
      <alignment horizontal="right"/>
    </xf>
    <xf numFmtId="166" fontId="39" fillId="0" borderId="0" applyNumberFormat="1" applyFont="1" applyFill="1" applyAlignment="1">
      <alignment horizontal="right"/>
    </xf>
    <xf numFmtId="0" fontId="44" fillId="0" borderId="0" applyFont="1" applyFill="1" applyAlignment="1">
      <alignment horizontal="left"/>
    </xf>
    <xf numFmtId="166" fontId="39" fillId="0" borderId="0" applyNumberFormat="1" applyFont="1" applyFill="1"/>
    <xf numFmtId="167" fontId="5" fillId="33" borderId="0" applyNumberFormat="1" applyFont="1" applyFill="1" applyAlignment="1">
      <alignment horizontal="left"/>
    </xf>
    <xf numFmtId="0" fontId="41" fillId="30" borderId="0" applyFont="1" applyFill="1" applyBorder="1" applyAlignment="1">
      <alignment horizontal="center"/>
    </xf>
    <xf numFmtId="0" fontId="50" fillId="0" borderId="0" applyFont="1" applyFill="1" applyAlignment="1">
      <alignment horizontal="centerContinuous"/>
    </xf>
    <xf numFmtId="0" fontId="5" fillId="0" borderId="0" applyFont="1" applyFill="1" applyBorder="1" applyAlignment="1">
      <alignment horizontal="right"/>
    </xf>
    <xf numFmtId="2" fontId="88" fillId="33"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0" borderId="0" applyNumberFormat="1" applyFont="1" applyFill="1" applyBorder="1" applyAlignment="1">
      <alignment horizontal="center"/>
    </xf>
    <xf numFmtId="166" fontId="88" fillId="0" borderId="0" applyNumberFormat="1" applyFont="1" applyFill="1" applyBorder="1" applyAlignment="1">
      <alignment horizontal="center"/>
    </xf>
    <xf numFmtId="166" fontId="88" fillId="30" borderId="0" applyNumberFormat="1" applyFont="1" applyFill="1" applyBorder="1" applyAlignment="1">
      <alignment horizontal="center"/>
    </xf>
    <xf numFmtId="0" fontId="88" fillId="30" borderId="0" applyFont="1" applyFill="1" applyBorder="1"/>
    <xf numFmtId="166" fontId="88" fillId="0" borderId="0" applyNumberFormat="1" applyFont="1" applyFill="1"/>
    <xf numFmtId="2" fontId="0" fillId="0" borderId="0" applyNumberFormat="1" applyFont="1" applyFill="1" applyBorder="1" applyAlignment="1">
      <alignment horizontal="center"/>
    </xf>
    <xf numFmtId="0" fontId="39" fillId="30" borderId="0" applyFont="1" applyFill="1" applyBorder="1" applyAlignment="1">
      <alignment horizontal="right" vertical="center"/>
    </xf>
    <xf numFmtId="166" fontId="0" fillId="0" borderId="0" applyNumberFormat="1" applyFont="1" applyFill="1" applyBorder="1"/>
    <xf numFmtId="17" fontId="49" fillId="0" borderId="0" applyNumberFormat="1" applyFont="1" applyFill="1" applyAlignment="1">
      <alignment horizontal="right"/>
    </xf>
    <xf numFmtId="0" fontId="43" fillId="0" borderId="0" applyFont="1" applyFill="1"/>
    <xf numFmtId="166" fontId="0" fillId="0" borderId="0" applyNumberFormat="1" applyFont="1" applyFill="1" applyBorder="1" applyAlignment="1">
      <alignment horizontal="right"/>
    </xf>
    <xf numFmtId="2" fontId="0" fillId="0" borderId="0" applyNumberFormat="1" applyFont="1" applyFill="1" applyBorder="1" applyAlignment="1">
      <alignment horizontal="right"/>
    </xf>
    <xf numFmtId="166" fontId="88" fillId="0" borderId="0" applyNumberFormat="1" applyFont="1" applyFill="1" applyBorder="1"/>
    <xf numFmtId="2" fontId="88" fillId="0" borderId="0" applyNumberFormat="1" applyFont="1" applyFill="1" applyBorder="1"/>
    <xf numFmtId="0" fontId="45" fillId="0" borderId="0" applyFont="1" applyFill="1" applyBorder="1" applyAlignment="1">
      <alignment vertical="center"/>
    </xf>
    <xf numFmtId="0" fontId="39" fillId="0" borderId="0" applyFont="1" applyFill="1" applyAlignment="1">
      <alignment horizontal="right"/>
    </xf>
    <xf numFmtId="0" fontId="40" fillId="0" borderId="0" applyFont="1" applyFill="1" applyAlignment="1">
      <alignment horizontal="right"/>
    </xf>
    <xf numFmtId="0" fontId="0" fillId="0" borderId="0" applyFont="1" applyFill="1" applyAlignment="1">
      <alignment horizontal="right" vertical="center"/>
    </xf>
    <xf numFmtId="0" fontId="44" fillId="0" borderId="0" applyFont="1" applyFill="1"/>
    <xf numFmtId="0" fontId="49" fillId="0" borderId="0" applyFont="1" applyFill="1" applyAlignment="1">
      <alignment horizontal="right" vertical="center"/>
    </xf>
    <xf numFmtId="0" fontId="44" fillId="33" borderId="0" applyFont="1" applyFill="1" applyAlignment="1">
      <alignment horizontal="right"/>
    </xf>
    <xf numFmtId="0" fontId="44" fillId="33" borderId="0" applyFont="1" applyFill="1" applyAlignment="1">
      <alignment horizontal="left"/>
    </xf>
    <xf numFmtId="0" fontId="82" fillId="30" borderId="0" applyFont="1" applyFill="1" applyAlignment="1">
      <alignment horizontal="center"/>
    </xf>
    <xf numFmtId="166" fontId="88" fillId="30" borderId="0" applyNumberFormat="1" applyFont="1" applyFill="1" applyAlignment="1">
      <alignment horizontal="right"/>
    </xf>
    <xf numFmtId="0" fontId="50" fillId="30" borderId="0" applyFont="1" applyFill="1" applyAlignment="1">
      <alignment horizontal="right" vertical="center"/>
    </xf>
    <xf numFmtId="0" fontId="88" fillId="0" borderId="0" applyFont="1" applyFill="1" applyBorder="1"/>
    <xf numFmtId="16" fontId="88" fillId="0" borderId="0" applyNumberFormat="1" applyFont="1" applyFill="1" applyBorder="1"/>
    <xf numFmtId="165" fontId="0" fillId="0" borderId="0" applyNumberFormat="1" applyFont="1" applyFill="1"/>
    <xf numFmtId="16" fontId="43" fillId="0" borderId="0" applyNumberFormat="1" applyFont="1" applyFill="1" applyAlignment="1">
      <alignment horizontal="left"/>
    </xf>
    <xf numFmtId="166" fontId="0" fillId="0" borderId="0" applyNumberFormat="1" applyFont="1" applyFill="1" applyBorder="1"/>
    <xf numFmtId="166" fontId="0" fillId="33" borderId="0" applyNumberFormat="1" applyFont="1" applyFill="1" applyBorder="1"/>
    <xf numFmtId="0" fontId="53" fillId="30" borderId="0" applyFont="1" applyFill="1" applyAlignment="1">
      <alignment horizontal="right"/>
    </xf>
    <xf numFmtId="0" fontId="0" fillId="0" borderId="0" applyFont="1" applyFill="1" applyBorder="1" applyAlignment="1">
      <alignment horizontal="left" vertical="center"/>
    </xf>
    <xf numFmtId="0" fontId="44" fillId="0" borderId="0" applyFont="1" applyFill="1" applyBorder="1" applyAlignment="1">
      <alignment horizontal="center" vertical="center"/>
    </xf>
    <xf numFmtId="0" fontId="0" fillId="0" borderId="0" applyFont="1" applyFill="1" applyBorder="1" applyAlignment="1">
      <alignment horizontal="left" vertical="center"/>
    </xf>
    <xf numFmtId="0" fontId="88" fillId="0" borderId="19" applyFont="1" applyFill="1" applyBorder="1"/>
    <xf numFmtId="0" fontId="39" fillId="0" borderId="0" applyFont="1" applyFill="1" applyAlignment="1">
      <alignment horizontal="right"/>
    </xf>
    <xf numFmtId="2" fontId="0" fillId="0" borderId="0" applyNumberFormat="1" applyFont="1" applyFill="1" applyBorder="1"/>
    <xf numFmtId="166" fontId="44" fillId="0" borderId="0" applyNumberFormat="1"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166" fontId="44" fillId="0" borderId="0" applyNumberFormat="1" applyFont="1" applyFill="1"/>
    <xf numFmtId="169" fontId="44" fillId="0" borderId="0" applyNumberFormat="1" applyFont="1" applyFill="1"/>
    <xf numFmtId="17" fontId="44" fillId="0" borderId="0" applyNumberFormat="1"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0" fillId="0" borderId="0" applyFont="1" applyFill="1"/>
    <xf numFmtId="0" fontId="88" fillId="30" borderId="0" applyFont="1" applyFill="1"/>
    <xf numFmtId="49" fontId="0" fillId="0" borderId="0" applyNumberFormat="1" applyFont="1" applyFill="1" applyBorder="1" applyAlignment="1">
      <alignment horizontal="left" vertical="center"/>
    </xf>
    <xf numFmtId="49" fontId="0" fillId="0" borderId="0" applyNumberFormat="1" applyFont="1" applyFill="1"/>
    <xf numFmtId="0" fontId="43" fillId="30" borderId="0" applyFont="1" applyFill="1" applyAlignment="1">
      <alignment horizontal="center"/>
    </xf>
    <xf numFmtId="0" fontId="82" fillId="0" borderId="0" applyFont="1" applyFill="1"/>
    <xf numFmtId="0" fontId="43" fillId="0" borderId="0" applyFont="1" applyFill="1" applyAlignment="1">
      <alignment horizontal="left"/>
    </xf>
    <xf numFmtId="0" fontId="43" fillId="0" borderId="0" applyFont="1" applyFill="1" applyAlignment="1">
      <alignment horizontal="center"/>
    </xf>
    <xf numFmtId="0" fontId="82" fillId="0" borderId="0" applyFont="1" applyFill="1" applyAlignment="1">
      <alignment horizontal="right"/>
    </xf>
    <xf numFmtId="0" fontId="43" fillId="0" borderId="0" applyFont="1" applyFill="1" applyBorder="1" applyAlignment="1">
      <alignment horizontal="left"/>
    </xf>
    <xf numFmtId="16" fontId="82" fillId="30" borderId="0" applyNumberFormat="1" applyFont="1" applyFill="1" applyBorder="1" applyAlignment="1">
      <alignment horizontal="left" textRotation="90" wrapText="1"/>
    </xf>
    <xf numFmtId="0" fontId="82" fillId="0" borderId="0" applyFont="1" applyFill="1"/>
    <xf numFmtId="164" fontId="88" fillId="30" borderId="0" applyNumberFormat="1" applyFont="1" applyFill="1"/>
    <xf numFmtId="0" fontId="82" fillId="0" borderId="0" applyFont="1" applyFill="1" applyBorder="1" applyAlignment="1">
      <alignment horizontal="left" vertical="top" wrapText="1"/>
    </xf>
    <xf numFmtId="166" fontId="88" fillId="0" borderId="0" applyNumberFormat="1" applyFont="1" applyFill="1" applyBorder="1" applyAlignment="1">
      <alignment horizontal="center"/>
    </xf>
    <xf numFmtId="166" fontId="88" fillId="0" borderId="25" applyNumberFormat="1" applyFont="1" applyFill="1" applyBorder="1" applyAlignment="1">
      <alignment horizontal="center"/>
    </xf>
    <xf numFmtId="2" fontId="88" fillId="0" borderId="0" applyNumberFormat="1" applyFont="1" applyFill="1" applyBorder="1" applyAlignment="1">
      <alignment horizontal="center"/>
    </xf>
    <xf numFmtId="166" fontId="0" fillId="0" borderId="0" applyNumberFormat="1" applyFont="1" applyFill="1" applyBorder="1" applyAlignment="1">
      <alignment horizontal="center"/>
    </xf>
    <xf numFmtId="2" fontId="88" fillId="0" borderId="0" applyNumberFormat="1" applyFont="1" applyFill="1"/>
    <xf numFmtId="166" fontId="0" fillId="34" borderId="0" applyNumberFormat="1" applyFont="1" applyFill="1" applyBorder="1" applyAlignment="1">
      <alignment horizontal="right"/>
    </xf>
    <xf numFmtId="2" fontId="0" fillId="34" borderId="0" applyNumberFormat="1" applyFont="1" applyFill="1" applyBorder="1" applyAlignment="1">
      <alignment horizontal="right"/>
    </xf>
    <xf numFmtId="0" fontId="49" fillId="30" borderId="0" applyFont="1" applyFill="1" applyAlignment="1">
      <alignment horizontal="left"/>
    </xf>
    <xf numFmtId="0" fontId="88" fillId="0" borderId="0" applyFont="1" applyFill="1" applyBorder="1"/>
    <xf numFmtId="0" fontId="43" fillId="30" borderId="0" applyFont="1" applyFill="1" applyAlignment="1">
      <alignment horizontal="right"/>
    </xf>
    <xf numFmtId="0" fontId="43" fillId="33" borderId="0" applyFont="1" applyFill="1" applyBorder="1" applyAlignment="1">
      <alignment horizontal="right"/>
    </xf>
    <xf numFmtId="0" fontId="88" fillId="0" borderId="0" applyFont="1" applyFill="1"/>
    <xf numFmtId="0" fontId="0" fillId="0" borderId="0" applyFont="1" applyFill="1" applyAlignment="1">
      <alignment horizontal="center"/>
    </xf>
    <xf numFmtId="0" fontId="0" fillId="0" borderId="0" applyFont="1" applyFill="1" applyBorder="1"/>
    <xf numFmtId="0" fontId="0" fillId="0" borderId="0" applyFont="1" applyFill="1" applyBorder="1" applyAlignment="1">
      <alignment horizontal="right"/>
    </xf>
    <xf numFmtId="0" fontId="0" fillId="0" borderId="0" applyNumberFormat="1" applyFont="1" applyFill="1" applyBorder="1" applyAlignment="1">
      <alignment horizontal="center"/>
    </xf>
    <xf numFmtId="166" fontId="88" fillId="33" borderId="0" applyNumberFormat="1" applyFont="1" applyFill="1" applyBorder="1" applyAlignment="1">
      <alignment horizontal="center"/>
    </xf>
    <xf numFmtId="2" fontId="88" fillId="33" borderId="0" applyNumberFormat="1" applyFont="1" applyFill="1" applyBorder="1" applyAlignment="1">
      <alignment horizontal="center"/>
    </xf>
    <xf numFmtId="0" fontId="43" fillId="30" borderId="0" applyFont="1" applyFill="1" applyBorder="1"/>
    <xf numFmtId="0" fontId="44" fillId="0" borderId="0" applyFont="1" applyFill="1" applyAlignment="1">
      <alignment horizontal="centerContinuous"/>
    </xf>
    <xf numFmtId="0" fontId="50" fillId="0" borderId="0" applyFont="1" applyFill="1" applyAlignment="1">
      <alignment horizontal="right"/>
    </xf>
    <xf numFmtId="0" fontId="0" fillId="0" borderId="0" applyFont="1" applyFill="1" applyBorder="1" applyAlignment="1">
      <alignment horizontal="center"/>
    </xf>
    <xf numFmtId="0" fontId="0" fillId="35" borderId="0" applyFont="1" applyFill="1" applyBorder="1"/>
    <xf numFmtId="0" fontId="0" fillId="35" borderId="0" applyFont="1" applyFill="1"/>
    <xf numFmtId="0" fontId="45" fillId="0" borderId="0" applyFont="1" applyFill="1" applyBorder="1" applyAlignment="1">
      <alignment vertical="center"/>
    </xf>
    <xf numFmtId="166" fontId="0" fillId="0" borderId="26" applyNumberFormat="1" applyFont="1" applyFill="1" applyBorder="1"/>
    <xf numFmtId="166" fontId="0" fillId="0" borderId="27" applyNumberFormat="1" applyFont="1" applyFill="1" applyBorder="1"/>
    <xf numFmtId="166" fontId="0" fillId="33" borderId="28" applyNumberFormat="1" applyFont="1" applyFill="1" applyBorder="1"/>
    <xf numFmtId="166" fontId="0" fillId="33" borderId="29" applyNumberFormat="1" applyFont="1" applyFill="1" applyBorder="1"/>
    <xf numFmtId="166" fontId="0" fillId="0" borderId="28" applyNumberFormat="1" applyFont="1" applyFill="1" applyBorder="1"/>
    <xf numFmtId="166" fontId="0" fillId="0" borderId="29" applyNumberFormat="1" applyFont="1" applyFill="1" applyBorder="1"/>
    <xf numFmtId="166" fontId="0" fillId="33" borderId="30" applyNumberFormat="1" applyFont="1" applyFill="1" applyBorder="1"/>
    <xf numFmtId="166" fontId="0" fillId="33" borderId="31" applyNumberFormat="1" applyFont="1" applyFill="1" applyBorder="1"/>
    <xf numFmtId="166" fontId="0" fillId="0" borderId="32" applyNumberFormat="1" applyFont="1" applyFill="1" applyBorder="1"/>
    <xf numFmtId="166" fontId="0" fillId="0" borderId="27" applyNumberFormat="1" applyFont="1" applyFill="1" applyBorder="1"/>
    <xf numFmtId="166" fontId="0" fillId="33" borderId="29" applyNumberFormat="1" applyFont="1" applyFill="1" applyBorder="1"/>
    <xf numFmtId="166" fontId="0" fillId="0" borderId="29" applyNumberFormat="1" applyFont="1" applyFill="1" applyBorder="1"/>
    <xf numFmtId="166" fontId="0" fillId="33" borderId="33" applyNumberFormat="1" applyFont="1" applyFill="1" applyBorder="1"/>
    <xf numFmtId="166" fontId="0" fillId="33" borderId="31" applyNumberFormat="1" applyFont="1" applyFill="1" applyBorder="1"/>
    <xf numFmtId="0" fontId="39" fillId="0" borderId="0" applyFont="1" applyFill="1" applyBorder="1" applyAlignment="1">
      <alignment horizontal="right" vertical="center"/>
    </xf>
    <xf numFmtId="39" fontId="0" fillId="0" borderId="26" applyNumberFormat="1" applyFont="1" applyFill="1" applyBorder="1"/>
    <xf numFmtId="39" fontId="0" fillId="33" borderId="28" applyNumberFormat="1" applyFont="1" applyFill="1" applyBorder="1"/>
    <xf numFmtId="39" fontId="0" fillId="0" borderId="28" applyNumberFormat="1" applyFont="1" applyFill="1" applyBorder="1"/>
    <xf numFmtId="39" fontId="0" fillId="33" borderId="30" applyNumberFormat="1" applyFont="1" applyFill="1" applyBorder="1"/>
    <xf numFmtId="0" fontId="43" fillId="0" borderId="7" applyFont="1" applyFill="1" applyBorder="1" applyAlignment="1">
      <alignment horizontal="center" wrapText="1"/>
    </xf>
    <xf numFmtId="0" fontId="0" fillId="33" borderId="32" applyFont="1" applyFill="1" applyBorder="1"/>
    <xf numFmtId="0" fontId="0" fillId="33" borderId="32" applyFont="1" applyFill="1" applyBorder="1"/>
    <xf numFmtId="0" fontId="0" fillId="33" borderId="33" applyFont="1" applyFill="1" applyBorder="1"/>
    <xf numFmtId="0" fontId="43" fillId="0" borderId="7" applyFont="1" applyFill="1" applyBorder="1" applyAlignment="1">
      <alignment horizontal="center"/>
    </xf>
    <xf numFmtId="0" fontId="57" fillId="33" borderId="0" applyFont="1" applyFill="1" applyBorder="1" applyAlignment="1">
      <alignment horizontal="right"/>
    </xf>
    <xf numFmtId="0" fontId="5" fillId="0" borderId="23" applyFont="1" applyFill="1" applyBorder="1" applyAlignment="1">
      <alignment horizontal="right"/>
    </xf>
    <xf numFmtId="0" fontId="54" fillId="0" borderId="26" applyFont="1" applyFill="1" applyBorder="1" applyAlignment="1">
      <alignment vertical="center"/>
    </xf>
    <xf numFmtId="0" fontId="88" fillId="0" borderId="32" applyFont="1" applyFill="1" applyBorder="1" applyAlignment="1">
      <alignment vertical="center"/>
    </xf>
    <xf numFmtId="0" fontId="54" fillId="0" borderId="32" applyFont="1" applyFill="1" applyBorder="1" applyAlignment="1">
      <alignment vertical="center"/>
    </xf>
    <xf numFmtId="0" fontId="54" fillId="0" borderId="27" applyFont="1" applyFill="1" applyBorder="1" applyAlignment="1">
      <alignment vertical="center"/>
    </xf>
    <xf numFmtId="0" fontId="41" fillId="0" borderId="30" applyFont="1" applyFill="1" applyBorder="1" applyAlignment="1">
      <alignment horizontal="center"/>
    </xf>
    <xf numFmtId="0" fontId="41" fillId="0" borderId="33" applyFont="1" applyFill="1" applyBorder="1" applyAlignment="1">
      <alignment horizontal="center"/>
    </xf>
    <xf numFmtId="0" fontId="41" fillId="0" borderId="3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Font="1" applyFill="1" applyBorder="1"/>
    <xf numFmtId="0" fontId="43" fillId="33" borderId="35" applyFont="1" applyFill="1" applyBorder="1"/>
    <xf numFmtId="0" fontId="43" fillId="33" borderId="36" applyFont="1" applyFill="1" applyBorder="1"/>
    <xf numFmtId="0" fontId="62" fillId="35" borderId="0" applyFont="1" applyFill="1"/>
    <xf numFmtId="168" fontId="62" fillId="35" borderId="0" applyNumberFormat="1" applyFont="1" applyFill="1"/>
    <xf numFmtId="0" fontId="20" fillId="0" borderId="7" applyFont="1" applyFill="1" applyBorder="1" applyAlignment="1">
      <alignment horizontal="center"/>
    </xf>
    <xf numFmtId="0" fontId="5" fillId="0" borderId="26" applyFont="1" applyFill="1" applyBorder="1" applyAlignment="1">
      <alignment horizontal="center"/>
    </xf>
    <xf numFmtId="0" fontId="5" fillId="0" borderId="27" applyFont="1" applyFill="1" applyBorder="1" applyAlignment="1">
      <alignment horizontal="center"/>
    </xf>
    <xf numFmtId="0" fontId="5" fillId="33" borderId="28" applyFont="1" applyFill="1" applyBorder="1" applyAlignment="1">
      <alignment horizontal="center"/>
    </xf>
    <xf numFmtId="0" fontId="5" fillId="33" borderId="29" applyFont="1" applyFill="1" applyBorder="1" applyAlignment="1">
      <alignment horizontal="center"/>
    </xf>
    <xf numFmtId="0" fontId="5" fillId="0" borderId="28" applyFont="1" applyFill="1" applyBorder="1" applyAlignment="1">
      <alignment horizontal="center"/>
    </xf>
    <xf numFmtId="0" fontId="5" fillId="0" borderId="29" applyFont="1" applyFill="1" applyBorder="1" applyAlignment="1">
      <alignment horizontal="center"/>
    </xf>
    <xf numFmtId="0" fontId="5" fillId="33" borderId="30" applyFont="1" applyFill="1" applyBorder="1" applyAlignment="1">
      <alignment horizontal="center"/>
    </xf>
    <xf numFmtId="0" fontId="5" fillId="33" borderId="31" applyFont="1" applyFill="1" applyBorder="1" applyAlignment="1">
      <alignment horizontal="center"/>
    </xf>
    <xf numFmtId="3" fontId="0" fillId="0" borderId="37" applyNumberFormat="1" applyFont="1" applyFill="1" applyBorder="1"/>
    <xf numFmtId="3" fontId="88" fillId="33" borderId="38" applyNumberFormat="1" applyFont="1" applyFill="1" applyBorder="1"/>
    <xf numFmtId="3" fontId="0" fillId="0" borderId="38" applyNumberFormat="1" applyFont="1" applyFill="1" applyBorder="1"/>
    <xf numFmtId="3" fontId="88" fillId="33" borderId="39" applyNumberFormat="1" applyFont="1" applyFill="1" applyBorder="1"/>
    <xf numFmtId="0" fontId="43" fillId="0" borderId="7" applyFont="1" applyFill="1" applyBorder="1"/>
    <xf numFmtId="0" fontId="0" fillId="0" borderId="0" applyFont="1" applyFill="1" applyBorder="1" applyAlignment="1">
      <alignment horizontal="left"/>
    </xf>
    <xf numFmtId="0" fontId="43" fillId="0" borderId="37" applyFont="1" applyFill="1" applyBorder="1" applyAlignment="1">
      <alignment horizontal="center"/>
    </xf>
    <xf numFmtId="0" fontId="43" fillId="0" borderId="37" applyFont="1" applyFill="1" applyBorder="1"/>
    <xf numFmtId="0" fontId="0" fillId="30" borderId="37" applyFont="1" applyFill="1" applyBorder="1" applyAlignment="1">
      <alignment horizontal="left"/>
    </xf>
    <xf numFmtId="0" fontId="0" fillId="30" borderId="38" applyFont="1" applyFill="1" applyBorder="1" applyAlignment="1">
      <alignment horizontal="left"/>
    </xf>
    <xf numFmtId="0" fontId="0" fillId="30" borderId="39" applyFont="1" applyFill="1" applyBorder="1" applyAlignment="1">
      <alignment horizontal="left"/>
    </xf>
    <xf numFmtId="0" fontId="0" fillId="0" borderId="37" applyFont="1" applyFill="1" applyBorder="1" applyAlignment="1">
      <alignment horizontal="left"/>
    </xf>
    <xf numFmtId="0" fontId="0" fillId="33" borderId="38" applyFont="1" applyFill="1" applyBorder="1" applyAlignment="1">
      <alignment horizontal="left"/>
    </xf>
    <xf numFmtId="0" fontId="0" fillId="0" borderId="38" applyFont="1" applyFill="1" applyBorder="1" applyAlignment="1">
      <alignment horizontal="left"/>
    </xf>
    <xf numFmtId="0" fontId="0" fillId="33"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33" borderId="28" applyNumberFormat="1" applyFont="1" applyFill="1" applyBorder="1" applyAlignment="1">
      <alignment horizontal="right"/>
    </xf>
    <xf numFmtId="166" fontId="0" fillId="33" borderId="29" applyNumberFormat="1" applyFont="1" applyFill="1" applyBorder="1" applyAlignment="1">
      <alignment horizontal="right"/>
    </xf>
    <xf numFmtId="166" fontId="0" fillId="0" borderId="28" applyNumberFormat="1" applyFont="1" applyFill="1" applyBorder="1" applyAlignment="1">
      <alignment horizontal="right"/>
    </xf>
    <xf numFmtId="166" fontId="0" fillId="0" borderId="29" applyNumberFormat="1" applyFont="1" applyFill="1" applyBorder="1" applyAlignment="1">
      <alignment horizontal="right"/>
    </xf>
    <xf numFmtId="166" fontId="0" fillId="33" borderId="30" applyNumberFormat="1" applyFont="1" applyFill="1" applyBorder="1" applyAlignment="1">
      <alignment horizontal="right"/>
    </xf>
    <xf numFmtId="166" fontId="0" fillId="33" borderId="33" applyNumberFormat="1" applyFont="1" applyFill="1" applyBorder="1" applyAlignment="1">
      <alignment horizontal="right"/>
    </xf>
    <xf numFmtId="166" fontId="0" fillId="33"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33" borderId="28" applyNumberFormat="1" applyFont="1" applyFill="1" applyBorder="1" applyAlignment="1">
      <alignment horizontal="right"/>
    </xf>
    <xf numFmtId="2" fontId="0" fillId="0" borderId="28" applyNumberFormat="1" applyFont="1" applyFill="1" applyBorder="1" applyAlignment="1">
      <alignment horizontal="right"/>
    </xf>
    <xf numFmtId="2" fontId="0" fillId="33" borderId="30" applyNumberFormat="1" applyFont="1" applyFill="1" applyBorder="1" applyAlignment="1">
      <alignment horizontal="right"/>
    </xf>
    <xf numFmtId="2" fontId="0" fillId="33" borderId="33" applyNumberFormat="1" applyFont="1" applyFill="1" applyBorder="1" applyAlignment="1">
      <alignment horizontal="right"/>
    </xf>
    <xf numFmtId="0" fontId="0" fillId="30" borderId="37" applyFont="1" applyFill="1" applyBorder="1"/>
    <xf numFmtId="0" fontId="0" fillId="30" borderId="38" applyFont="1" applyFill="1" applyBorder="1"/>
    <xf numFmtId="0" fontId="0" fillId="30" borderId="39" applyFont="1" applyFill="1" applyBorder="1"/>
    <xf numFmtId="2" fontId="0" fillId="0" borderId="26" applyNumberFormat="1" applyFont="1" applyFill="1" applyBorder="1"/>
    <xf numFmtId="166" fontId="0" fillId="0" borderId="32" applyNumberFormat="1" applyFont="1" applyFill="1" applyBorder="1"/>
    <xf numFmtId="2" fontId="0" fillId="0" borderId="32" applyNumberFormat="1" applyFont="1" applyFill="1" applyBorder="1"/>
    <xf numFmtId="2" fontId="0" fillId="33" borderId="28" applyNumberFormat="1" applyFont="1" applyFill="1" applyBorder="1"/>
    <xf numFmtId="2" fontId="0" fillId="0" borderId="28" applyNumberFormat="1" applyFont="1" applyFill="1" applyBorder="1"/>
    <xf numFmtId="166" fontId="0" fillId="0" borderId="29" applyNumberFormat="1" applyFont="1" applyFill="1" applyBorder="1"/>
    <xf numFmtId="2" fontId="0" fillId="33" borderId="30" applyNumberFormat="1" applyFont="1" applyFill="1" applyBorder="1"/>
    <xf numFmtId="166" fontId="0" fillId="33" borderId="33" applyNumberFormat="1" applyFont="1" applyFill="1" applyBorder="1"/>
    <xf numFmtId="2" fontId="0" fillId="33" borderId="33" applyNumberFormat="1" applyFont="1" applyFill="1" applyBorder="1"/>
    <xf numFmtId="2" fontId="88" fillId="0" borderId="28" applyNumberFormat="1" applyFont="1" applyFill="1" applyBorder="1"/>
    <xf numFmtId="166" fontId="88" fillId="0" borderId="29" applyNumberFormat="1" applyFont="1" applyFill="1" applyBorder="1"/>
    <xf numFmtId="2" fontId="88" fillId="33" borderId="30" applyNumberFormat="1" applyFont="1" applyFill="1" applyBorder="1"/>
    <xf numFmtId="166" fontId="88" fillId="33" borderId="33" applyNumberFormat="1" applyFont="1" applyFill="1" applyBorder="1"/>
    <xf numFmtId="2" fontId="88" fillId="33" borderId="33" applyNumberFormat="1" applyFont="1" applyFill="1" applyBorder="1"/>
    <xf numFmtId="166" fontId="88" fillId="33" borderId="31" applyNumberFormat="1" applyFont="1" applyFill="1" applyBorder="1"/>
    <xf numFmtId="166" fontId="0" fillId="0" borderId="28" applyNumberFormat="1" applyFont="1" applyFill="1" applyBorder="1"/>
    <xf numFmtId="166" fontId="88" fillId="0" borderId="28" applyNumberFormat="1" applyFont="1" applyFill="1" applyBorder="1"/>
    <xf numFmtId="166" fontId="88" fillId="33" borderId="30" applyNumberFormat="1" applyFont="1" applyFill="1" applyBorder="1"/>
    <xf numFmtId="0" fontId="88" fillId="0" borderId="37" applyFont="1" applyFill="1" applyBorder="1" applyAlignment="1">
      <alignment wrapText="1"/>
    </xf>
    <xf numFmtId="0" fontId="0" fillId="0" borderId="38" applyFont="1" applyFill="1" applyBorder="1"/>
    <xf numFmtId="0" fontId="0" fillId="0" borderId="39" applyFont="1" applyFill="1" applyBorder="1"/>
    <xf numFmtId="0" fontId="88" fillId="0" borderId="37" applyFont="1" applyFill="1" applyBorder="1"/>
    <xf numFmtId="0" fontId="0" fillId="0" borderId="37" applyFont="1" applyFill="1" applyBorder="1"/>
    <xf numFmtId="0" fontId="0" fillId="33" borderId="39" applyFont="1" applyFill="1" applyBorder="1"/>
    <xf numFmtId="0" fontId="21" fillId="0" borderId="26" applyFont="1" applyFill="1" applyBorder="1" applyAlignment="1">
      <alignment horizontal="left"/>
    </xf>
    <xf numFmtId="0" fontId="21" fillId="0" borderId="32" applyFont="1" applyFill="1" applyBorder="1" applyAlignment="1">
      <alignment horizontal="left"/>
    </xf>
    <xf numFmtId="0" fontId="21" fillId="0" borderId="32" applyFont="1" applyFill="1" applyBorder="1"/>
    <xf numFmtId="0" fontId="21" fillId="0" borderId="27" applyFont="1" applyFill="1" applyBorder="1"/>
    <xf numFmtId="0" fontId="22" fillId="0" borderId="30" applyFont="1" applyFill="1" applyBorder="1" applyAlignment="1">
      <alignment horizontal="center"/>
    </xf>
    <xf numFmtId="0" fontId="22" fillId="0" borderId="33" applyFont="1" applyFill="1" applyBorder="1" applyAlignment="1">
      <alignment horizontal="center"/>
    </xf>
    <xf numFmtId="0" fontId="22" fillId="0" borderId="3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5" fillId="0" borderId="23" applyFont="1" applyFill="1" applyBorder="1" applyAlignment="1">
      <alignment horizontal="right"/>
    </xf>
    <xf numFmtId="0" fontId="43" fillId="34" borderId="40" applyFont="1" applyFill="1" applyBorder="1" applyAlignment="1">
      <alignment horizontal="right"/>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0" fontId="43" fillId="33" borderId="34" applyNumberFormat="1" applyFont="1" applyFill="1" applyBorder="1" applyAlignment="1">
      <alignment horizontal="center"/>
    </xf>
    <xf numFmtId="0" fontId="43" fillId="33" borderId="35" applyNumberFormat="1" applyFont="1" applyFill="1" applyBorder="1" applyAlignment="1">
      <alignment horizontal="center"/>
    </xf>
    <xf numFmtId="0" fontId="43" fillId="33" borderId="36" applyNumberFormat="1" applyFont="1" applyFill="1" applyBorder="1" applyAlignment="1">
      <alignment horizontal="center"/>
    </xf>
    <xf numFmtId="0" fontId="0" fillId="0" borderId="37" applyFont="1" applyFill="1" applyBorder="1" applyAlignment="1">
      <alignment horizontal="left"/>
    </xf>
    <xf numFmtId="0" fontId="0" fillId="0" borderId="39" applyFont="1" applyFill="1" applyBorder="1" applyAlignment="1">
      <alignment horizontal="left"/>
    </xf>
    <xf numFmtId="166" fontId="0" fillId="0" borderId="26" applyNumberFormat="1" applyFont="1" applyFill="1" applyBorder="1" applyAlignment="1">
      <alignment horizontal="right"/>
    </xf>
    <xf numFmtId="166" fontId="0" fillId="0" borderId="32" applyNumberFormat="1" applyFont="1" applyFill="1" applyBorder="1" applyAlignment="1">
      <alignment horizontal="right"/>
    </xf>
    <xf numFmtId="166" fontId="0" fillId="0" borderId="27" applyNumberFormat="1" applyFont="1" applyFill="1" applyBorder="1" applyAlignment="1">
      <alignment horizontal="right"/>
    </xf>
    <xf numFmtId="166" fontId="0" fillId="0" borderId="30" applyNumberFormat="1" applyFont="1" applyFill="1" applyBorder="1" applyAlignment="1">
      <alignment horizontal="right"/>
    </xf>
    <xf numFmtId="166" fontId="0" fillId="0" borderId="33" applyNumberFormat="1" applyFont="1" applyFill="1" applyBorder="1" applyAlignment="1">
      <alignment horizontal="right"/>
    </xf>
    <xf numFmtId="166" fontId="0" fillId="0" borderId="31" applyNumberFormat="1" applyFont="1" applyFill="1" applyBorder="1" applyAlignment="1">
      <alignment horizontal="right"/>
    </xf>
    <xf numFmtId="2" fontId="0" fillId="0" borderId="26" applyNumberFormat="1" applyFont="1" applyFill="1" applyBorder="1" applyAlignment="1">
      <alignment horizontal="right"/>
    </xf>
    <xf numFmtId="2" fontId="0" fillId="0" borderId="32" applyNumberFormat="1" applyFont="1" applyFill="1" applyBorder="1" applyAlignment="1">
      <alignment horizontal="right"/>
    </xf>
    <xf numFmtId="2" fontId="0" fillId="0" borderId="30" applyNumberFormat="1" applyFont="1" applyFill="1" applyBorder="1" applyAlignment="1">
      <alignment horizontal="right"/>
    </xf>
    <xf numFmtId="2" fontId="0" fillId="0" borderId="33" applyNumberFormat="1" applyFont="1" applyFill="1" applyBorder="1" applyAlignment="1">
      <alignment horizontal="right"/>
    </xf>
    <xf numFmtId="2" fontId="0" fillId="0" borderId="34" applyNumberFormat="1" applyFont="1" applyFill="1" applyBorder="1" applyAlignment="1">
      <alignment horizontal="right"/>
    </xf>
    <xf numFmtId="166" fontId="0" fillId="0" borderId="35" applyNumberFormat="1" applyFont="1" applyFill="1" applyBorder="1" applyAlignment="1">
      <alignment horizontal="right"/>
    </xf>
    <xf numFmtId="2" fontId="0" fillId="0" borderId="35" applyNumberFormat="1" applyFont="1" applyFill="1" applyBorder="1" applyAlignment="1">
      <alignment horizontal="right"/>
    </xf>
    <xf numFmtId="166" fontId="0" fillId="0" borderId="36" applyNumberFormat="1" applyFont="1" applyFill="1" applyBorder="1" applyAlignment="1">
      <alignment horizontal="right"/>
    </xf>
    <xf numFmtId="166" fontId="0" fillId="0" borderId="34" applyNumberFormat="1" applyFont="1" applyFill="1" applyBorder="1" applyAlignment="1">
      <alignment horizontal="right"/>
    </xf>
    <xf numFmtId="0" fontId="0" fillId="34" borderId="37" applyFont="1" applyFill="1" applyBorder="1" applyAlignment="1">
      <alignment horizontal="left"/>
    </xf>
    <xf numFmtId="0" fontId="0" fillId="34" borderId="38" applyFont="1" applyFill="1" applyBorder="1" applyAlignment="1">
      <alignment horizontal="left"/>
    </xf>
    <xf numFmtId="0" fontId="0" fillId="34" borderId="39" applyFont="1" applyFill="1" applyBorder="1" applyAlignment="1">
      <alignment horizontal="left"/>
    </xf>
    <xf numFmtId="166" fontId="0" fillId="34" borderId="26" applyNumberFormat="1" applyFont="1" applyFill="1" applyBorder="1" applyAlignment="1">
      <alignment horizontal="right"/>
    </xf>
    <xf numFmtId="166" fontId="0" fillId="34" borderId="32" applyNumberFormat="1" applyFont="1" applyFill="1" applyBorder="1" applyAlignment="1">
      <alignment horizontal="right"/>
    </xf>
    <xf numFmtId="166" fontId="0" fillId="34" borderId="27" applyNumberFormat="1" applyFont="1" applyFill="1" applyBorder="1" applyAlignment="1">
      <alignment horizontal="right"/>
    </xf>
    <xf numFmtId="166" fontId="0" fillId="34" borderId="28" applyNumberFormat="1" applyFont="1" applyFill="1" applyBorder="1" applyAlignment="1">
      <alignment horizontal="right"/>
    </xf>
    <xf numFmtId="166" fontId="0" fillId="34" borderId="29" applyNumberFormat="1" applyFont="1" applyFill="1" applyBorder="1" applyAlignment="1">
      <alignment horizontal="right"/>
    </xf>
    <xf numFmtId="166" fontId="0" fillId="34" borderId="30" applyNumberFormat="1" applyFont="1" applyFill="1" applyBorder="1" applyAlignment="1">
      <alignment horizontal="right"/>
    </xf>
    <xf numFmtId="166" fontId="0" fillId="34" borderId="33" applyNumberFormat="1" applyFont="1" applyFill="1" applyBorder="1" applyAlignment="1">
      <alignment horizontal="right"/>
    </xf>
    <xf numFmtId="166" fontId="0" fillId="34" borderId="31" applyNumberFormat="1" applyFont="1" applyFill="1" applyBorder="1" applyAlignment="1">
      <alignment horizontal="right"/>
    </xf>
    <xf numFmtId="166" fontId="0" fillId="34" borderId="34" applyNumberFormat="1" applyFont="1" applyFill="1" applyBorder="1" applyAlignment="1">
      <alignment horizontal="right"/>
    </xf>
    <xf numFmtId="166" fontId="0" fillId="34" borderId="35" applyNumberFormat="1" applyFont="1" applyFill="1" applyBorder="1" applyAlignment="1">
      <alignment horizontal="right"/>
    </xf>
    <xf numFmtId="166" fontId="0" fillId="34" borderId="36" applyNumberFormat="1" applyFont="1" applyFill="1" applyBorder="1" applyAlignment="1">
      <alignment horizontal="right"/>
    </xf>
    <xf numFmtId="2" fontId="0" fillId="34" borderId="26" applyNumberFormat="1" applyFont="1" applyFill="1" applyBorder="1" applyAlignment="1">
      <alignment horizontal="right"/>
    </xf>
    <xf numFmtId="2" fontId="0" fillId="34" borderId="32" applyNumberFormat="1" applyFont="1" applyFill="1" applyBorder="1" applyAlignment="1">
      <alignment horizontal="right"/>
    </xf>
    <xf numFmtId="2" fontId="0" fillId="34" borderId="28" applyNumberFormat="1" applyFont="1" applyFill="1" applyBorder="1" applyAlignment="1">
      <alignment horizontal="right"/>
    </xf>
    <xf numFmtId="2" fontId="0" fillId="34" borderId="30" applyNumberFormat="1" applyFont="1" applyFill="1" applyBorder="1" applyAlignment="1">
      <alignment horizontal="right"/>
    </xf>
    <xf numFmtId="2" fontId="0" fillId="34" borderId="33" applyNumberFormat="1" applyFont="1" applyFill="1" applyBorder="1" applyAlignment="1">
      <alignment horizontal="right"/>
    </xf>
    <xf numFmtId="2" fontId="0" fillId="34" borderId="34" applyNumberFormat="1" applyFont="1" applyFill="1" applyBorder="1" applyAlignment="1">
      <alignment horizontal="right"/>
    </xf>
    <xf numFmtId="2" fontId="0" fillId="34" borderId="35" applyNumberFormat="1" applyFont="1" applyFill="1" applyBorder="1" applyAlignment="1">
      <alignment horizontal="right"/>
    </xf>
    <xf numFmtId="0" fontId="88" fillId="0" borderId="19" applyFont="1" applyFill="1" applyBorder="1"/>
    <xf numFmtId="0" fontId="88" fillId="30" borderId="41" applyFont="1" applyFill="1" applyBorder="1"/>
    <xf numFmtId="0" fontId="27" fillId="0" borderId="34" applyFont="1" applyFill="1" applyBorder="1" applyAlignment="1">
      <alignment horizontal="center" wrapText="1"/>
    </xf>
    <xf numFmtId="0" fontId="27" fillId="0" borderId="35" applyFont="1" applyFill="1" applyBorder="1" applyAlignment="1">
      <alignment horizontal="center" wrapText="1"/>
    </xf>
    <xf numFmtId="0" fontId="27" fillId="0" borderId="36" applyFont="1" applyFill="1" applyBorder="1" applyAlignment="1">
      <alignment horizontal="center" wrapText="1"/>
    </xf>
    <xf numFmtId="166" fontId="0" fillId="0" borderId="26" applyNumberFormat="1" applyFont="1" applyFill="1" applyBorder="1" applyAlignment="1">
      <alignment horizontal="center"/>
    </xf>
    <xf numFmtId="166" fontId="0" fillId="0" borderId="32" applyNumberFormat="1" applyFont="1" applyFill="1" applyBorder="1" applyAlignment="1">
      <alignment horizontal="center"/>
    </xf>
    <xf numFmtId="166" fontId="0" fillId="0" borderId="27"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5" fillId="0" borderId="30" applyFont="1" applyFill="1" applyBorder="1" applyAlignment="1">
      <alignment horizontal="center"/>
    </xf>
    <xf numFmtId="0" fontId="5" fillId="0" borderId="3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88" fillId="30" borderId="41" applyFont="1" applyFill="1" applyBorder="1"/>
    <xf numFmtId="2" fontId="0" fillId="0" borderId="26" applyNumberFormat="1" applyFont="1" applyFill="1" applyBorder="1" applyAlignment="1">
      <alignment horizontal="center"/>
    </xf>
    <xf numFmtId="2" fontId="0" fillId="0" borderId="32" applyNumberFormat="1" applyFont="1" applyFill="1" applyBorder="1" applyAlignment="1">
      <alignment horizontal="center"/>
    </xf>
    <xf numFmtId="2" fontId="0" fillId="0" borderId="27" applyNumberFormat="1" applyFont="1" applyFill="1" applyBorder="1" applyAlignment="1">
      <alignment horizontal="center"/>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0" fillId="0" borderId="28" applyNumberFormat="1" applyFont="1" applyFill="1" applyBorder="1" applyAlignment="1">
      <alignment horizontal="center"/>
    </xf>
    <xf numFmtId="2" fontId="0"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166" fontId="88" fillId="33" borderId="28" applyNumberFormat="1" applyFont="1" applyFill="1" applyBorder="1" applyAlignment="1">
      <alignment horizontal="center"/>
    </xf>
    <xf numFmtId="166" fontId="88" fillId="33" borderId="29"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33" borderId="30" applyNumberFormat="1" applyFont="1" applyFill="1" applyBorder="1" applyAlignment="1">
      <alignment horizontal="center"/>
    </xf>
    <xf numFmtId="166" fontId="88" fillId="33" borderId="33" applyNumberFormat="1" applyFont="1" applyFill="1" applyBorder="1" applyAlignment="1">
      <alignment horizontal="center"/>
    </xf>
    <xf numFmtId="166" fontId="88" fillId="33" borderId="31" applyNumberFormat="1" applyFont="1" applyFill="1" applyBorder="1" applyAlignment="1">
      <alignment horizontal="center"/>
    </xf>
    <xf numFmtId="0" fontId="88" fillId="0" borderId="42" applyFont="1" applyFill="1" applyBorder="1"/>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0" fontId="0" fillId="35" borderId="0" applyFont="1" applyFill="1" applyAlignment="1">
      <alignment horizontal="left"/>
    </xf>
    <xf numFmtId="0" fontId="52" fillId="30" borderId="41" applyFont="1" applyFill="1" applyBorder="1"/>
    <xf numFmtId="166" fontId="88" fillId="0" borderId="34" applyNumberFormat="1" applyFont="1" applyFill="1" applyBorder="1" applyAlignment="1">
      <alignment horizontal="center"/>
    </xf>
    <xf numFmtId="166" fontId="88" fillId="0" borderId="35" applyNumberFormat="1" applyFont="1" applyFill="1" applyBorder="1" applyAlignment="1">
      <alignment horizontal="center"/>
    </xf>
    <xf numFmtId="166" fontId="88" fillId="0" borderId="36" applyNumberFormat="1" applyFont="1" applyFill="1" applyBorder="1" applyAlignment="1">
      <alignment horizontal="center"/>
    </xf>
    <xf numFmtId="166" fontId="88" fillId="0" borderId="26" applyNumberFormat="1" applyFont="1" applyFill="1" applyBorder="1" applyAlignment="1">
      <alignment horizontal="center"/>
    </xf>
    <xf numFmtId="166" fontId="88" fillId="0" borderId="32" applyNumberFormat="1" applyFont="1" applyFill="1" applyBorder="1" applyAlignment="1">
      <alignment horizontal="center"/>
    </xf>
    <xf numFmtId="166" fontId="88" fillId="0" borderId="27" applyNumberFormat="1" applyFont="1" applyFill="1" applyBorder="1" applyAlignment="1">
      <alignment horizontal="center"/>
    </xf>
    <xf numFmtId="166" fontId="88" fillId="0" borderId="28" applyNumberFormat="1" applyFont="1" applyFill="1" applyBorder="1" applyAlignment="1">
      <alignment horizontal="center"/>
    </xf>
    <xf numFmtId="166" fontId="88" fillId="0" borderId="29" applyNumberFormat="1" applyFont="1" applyFill="1" applyBorder="1" applyAlignment="1">
      <alignment horizontal="center"/>
    </xf>
    <xf numFmtId="166" fontId="88" fillId="0" borderId="30" applyNumberFormat="1" applyFont="1" applyFill="1" applyBorder="1" applyAlignment="1">
      <alignment horizontal="center"/>
    </xf>
    <xf numFmtId="166" fontId="88" fillId="0" borderId="33" applyNumberFormat="1" applyFont="1" applyFill="1" applyBorder="1" applyAlignment="1">
      <alignment horizontal="center"/>
    </xf>
    <xf numFmtId="166" fontId="88" fillId="0" borderId="31" applyNumberFormat="1" applyFont="1" applyFill="1" applyBorder="1" applyAlignment="1">
      <alignment horizontal="center"/>
    </xf>
    <xf numFmtId="166" fontId="88" fillId="33" borderId="26" applyNumberFormat="1" applyFont="1" applyFill="1" applyBorder="1" applyAlignment="1">
      <alignment horizontal="center"/>
    </xf>
    <xf numFmtId="166" fontId="88" fillId="33" borderId="32" applyNumberFormat="1" applyFont="1" applyFill="1" applyBorder="1" applyAlignment="1">
      <alignment horizontal="center"/>
    </xf>
    <xf numFmtId="166" fontId="88" fillId="33" borderId="27" applyNumberFormat="1" applyFont="1" applyFill="1" applyBorder="1" applyAlignment="1">
      <alignment horizontal="center"/>
    </xf>
    <xf numFmtId="2" fontId="88" fillId="0" borderId="34" applyNumberFormat="1" applyFont="1" applyFill="1" applyBorder="1" applyAlignment="1">
      <alignment horizontal="center"/>
    </xf>
    <xf numFmtId="2" fontId="88" fillId="0" borderId="35" applyNumberFormat="1" applyFont="1" applyFill="1" applyBorder="1" applyAlignment="1">
      <alignment horizontal="center"/>
    </xf>
    <xf numFmtId="2" fontId="88" fillId="0" borderId="36"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2" fontId="88" fillId="33" borderId="26" applyNumberFormat="1" applyFont="1" applyFill="1" applyBorder="1" applyAlignment="1">
      <alignment horizontal="center"/>
    </xf>
    <xf numFmtId="2" fontId="88" fillId="33" borderId="32" applyNumberFormat="1" applyFont="1" applyFill="1" applyBorder="1" applyAlignment="1">
      <alignment horizontal="center"/>
    </xf>
    <xf numFmtId="2" fontId="88" fillId="33" borderId="27" applyNumberFormat="1" applyFont="1" applyFill="1" applyBorder="1" applyAlignment="1">
      <alignment horizontal="center"/>
    </xf>
    <xf numFmtId="2" fontId="88" fillId="0" borderId="19" applyNumberFormat="1" applyFont="1" applyFill="1" applyBorder="1"/>
    <xf numFmtId="166" fontId="0" fillId="0" borderId="28" applyNumberFormat="1" applyFont="1" applyFill="1" applyBorder="1" applyAlignment="1">
      <alignment horizontal="center"/>
    </xf>
    <xf numFmtId="166" fontId="0" fillId="0" borderId="29" applyNumberFormat="1" applyFont="1" applyFill="1" applyBorder="1" applyAlignment="1">
      <alignment horizontal="center"/>
    </xf>
    <xf numFmtId="2" fontId="0" fillId="0" borderId="31" applyNumberFormat="1" applyFont="1" applyFill="1" applyBorder="1" applyAlignment="1">
      <alignment horizontal="center"/>
    </xf>
    <xf numFmtId="166" fontId="0" fillId="0" borderId="31" applyNumberFormat="1" applyFont="1" applyFill="1" applyBorder="1" applyAlignment="1">
      <alignment horizontal="center"/>
    </xf>
    <xf numFmtId="0" fontId="88" fillId="30" borderId="43" applyFont="1" applyFill="1" applyBorder="1"/>
    <xf numFmtId="0" fontId="27" fillId="0" borderId="7" applyFont="1" applyFill="1" applyBorder="1" applyAlignment="1">
      <alignment horizontal="center" wrapText="1"/>
    </xf>
    <xf numFmtId="2" fontId="88" fillId="33" borderId="28" applyNumberFormat="1" applyFont="1" applyFill="1" applyBorder="1" applyAlignment="1">
      <alignment horizontal="center"/>
    </xf>
    <xf numFmtId="2" fontId="88" fillId="33" borderId="29" applyNumberFormat="1" applyFont="1" applyFill="1" applyBorder="1" applyAlignment="1">
      <alignment horizontal="center"/>
    </xf>
    <xf numFmtId="2" fontId="88" fillId="0" borderId="28" applyNumberFormat="1" applyFont="1" applyFill="1" applyBorder="1" applyAlignment="1">
      <alignment horizontal="center"/>
    </xf>
    <xf numFmtId="2" fontId="88" fillId="0" borderId="29" applyNumberFormat="1" applyFont="1" applyFill="1" applyBorder="1" applyAlignment="1">
      <alignment horizontal="center"/>
    </xf>
    <xf numFmtId="2" fontId="88" fillId="33" borderId="30" applyNumberFormat="1" applyFont="1" applyFill="1" applyBorder="1" applyAlignment="1">
      <alignment horizontal="center"/>
    </xf>
    <xf numFmtId="2" fontId="88" fillId="33" borderId="33" applyNumberFormat="1" applyFont="1" applyFill="1" applyBorder="1" applyAlignment="1">
      <alignment horizontal="center"/>
    </xf>
    <xf numFmtId="2" fontId="88" fillId="33" borderId="31" applyNumberFormat="1" applyFont="1" applyFill="1" applyBorder="1" applyAlignment="1">
      <alignment horizontal="center"/>
    </xf>
    <xf numFmtId="2" fontId="88" fillId="0" borderId="26" applyNumberFormat="1" applyFont="1" applyFill="1" applyBorder="1" applyAlignment="1">
      <alignment horizontal="center"/>
    </xf>
    <xf numFmtId="2" fontId="88" fillId="0" borderId="32" applyNumberFormat="1" applyFont="1" applyFill="1" applyBorder="1" applyAlignment="1">
      <alignment horizontal="center"/>
    </xf>
    <xf numFmtId="2" fontId="88" fillId="0" borderId="27" applyNumberFormat="1" applyFont="1" applyFill="1" applyBorder="1" applyAlignment="1">
      <alignment horizontal="center"/>
    </xf>
    <xf numFmtId="2" fontId="88" fillId="0" borderId="30" applyNumberFormat="1" applyFont="1" applyFill="1" applyBorder="1" applyAlignment="1">
      <alignment horizontal="center"/>
    </xf>
    <xf numFmtId="2" fontId="88" fillId="0" borderId="33" applyNumberFormat="1" applyFont="1" applyFill="1" applyBorder="1" applyAlignment="1">
      <alignment horizontal="center"/>
    </xf>
    <xf numFmtId="2" fontId="88" fillId="0" borderId="31" applyNumberFormat="1" applyFont="1" applyFill="1" applyBorder="1" applyAlignment="1">
      <alignment horizontal="center"/>
    </xf>
    <xf numFmtId="166" fontId="5" fillId="0" borderId="29" applyNumberFormat="1" applyFont="1" applyFill="1" applyBorder="1" applyAlignment="1">
      <alignment horizontal="center"/>
    </xf>
    <xf numFmtId="166" fontId="5" fillId="33" borderId="29" applyNumberFormat="1" applyFont="1" applyFill="1" applyBorder="1" applyAlignment="1">
      <alignment horizontal="center"/>
    </xf>
    <xf numFmtId="166" fontId="5" fillId="0" borderId="33" applyNumberFormat="1" applyFont="1" applyFill="1" applyBorder="1" applyAlignment="1">
      <alignment horizontal="center"/>
    </xf>
    <xf numFmtId="166" fontId="5" fillId="0" borderId="31" applyNumberFormat="1" applyFont="1" applyFill="1" applyBorder="1" applyAlignment="1">
      <alignment horizontal="center"/>
    </xf>
    <xf numFmtId="0" fontId="88" fillId="0" borderId="0" applyFont="1" applyFill="1" applyBorder="1" applyAlignment="1">
      <alignment horizontal="center"/>
    </xf>
    <xf numFmtId="0" fontId="88" fillId="0" borderId="0" applyFont="1" applyFill="1" applyBorder="1" applyAlignment="1">
      <alignment horizontal="center"/>
    </xf>
    <xf numFmtId="0" fontId="52" fillId="0" borderId="0" applyFont="1" applyFill="1" applyBorder="1" applyAlignment="1">
      <alignment horizontal="center"/>
    </xf>
    <xf numFmtId="0" fontId="52" fillId="0" borderId="0" applyFont="1" applyFill="1" applyBorder="1"/>
    <xf numFmtId="0" fontId="88" fillId="0" borderId="0" applyFont="1" applyFill="1" applyBorder="1"/>
    <xf numFmtId="0" fontId="88" fillId="0" borderId="0" applyFont="1" applyFill="1" applyBorder="1"/>
    <xf numFmtId="0" fontId="0" fillId="30" borderId="34" applyFont="1" applyFill="1" applyBorder="1"/>
    <xf numFmtId="0" fontId="0" fillId="30" borderId="35" applyFont="1" applyFill="1" applyBorder="1"/>
    <xf numFmtId="0" fontId="0" fillId="30" borderId="36" applyFont="1" applyFill="1" applyBorder="1"/>
    <xf numFmtId="0" fontId="54" fillId="0" borderId="28" applyFont="1" applyFill="1" applyBorder="1"/>
    <xf numFmtId="166" fontId="88" fillId="0" borderId="28" applyNumberFormat="1" applyFont="1" applyFill="1" applyBorder="1"/>
    <xf numFmtId="166" fontId="88" fillId="0" borderId="28" applyNumberFormat="1" applyFont="1" applyFill="1" applyBorder="1"/>
    <xf numFmtId="0" fontId="0" fillId="0" borderId="28" applyFont="1" applyFill="1" applyBorder="1"/>
    <xf numFmtId="166" fontId="0" fillId="0" borderId="28" applyNumberFormat="1" applyFont="1" applyFill="1" applyBorder="1"/>
    <xf numFmtId="166" fontId="0" fillId="0" borderId="28" applyNumberFormat="1" applyFont="1" applyFill="1" applyBorder="1"/>
    <xf numFmtId="166" fontId="0" fillId="0" borderId="35" applyNumberFormat="1" applyFont="1" applyFill="1" applyBorder="1"/>
    <xf numFmtId="166" fontId="0" fillId="0" borderId="0" applyNumberFormat="1" applyFont="1" applyFill="1" applyBorder="1"/>
    <xf numFmtId="0" fontId="46" fillId="30" borderId="38" applyFont="1" applyFill="1" applyBorder="1" applyAlignment="1">
      <alignment vertical="center"/>
    </xf>
    <xf numFmtId="0" fontId="43" fillId="30" borderId="38" applyFont="1" applyFill="1" applyBorder="1" applyAlignment="1">
      <alignment horizontal="center" wrapText="1"/>
    </xf>
    <xf numFmtId="0" fontId="43" fillId="30" borderId="38" applyFont="1" applyFill="1" applyBorder="1" applyAlignment="1">
      <alignment horizontal="center"/>
    </xf>
    <xf numFmtId="166" fontId="0" fillId="30" borderId="38" applyNumberFormat="1" applyFont="1" applyFill="1" applyBorder="1"/>
    <xf numFmtId="166" fontId="38" fillId="30" borderId="0" applyNumberFormat="1" applyFont="1" applyFill="1" applyAlignment="1">
      <alignment horizontal="left"/>
    </xf>
    <xf numFmtId="0" fontId="0" fillId="30" borderId="0" applyFont="1" applyFill="1"/>
    <xf numFmtId="0" fontId="43" fillId="30" borderId="0" applyFont="1" applyFill="1" applyAlignment="1">
      <alignment horizontal="center"/>
    </xf>
    <xf numFmtId="0" fontId="43" fillId="30" borderId="0" applyFont="1" applyFill="1" applyAlignment="1">
      <alignment horizontal="right"/>
    </xf>
    <xf numFmtId="0" fontId="0" fillId="30" borderId="0" applyFont="1" applyFill="1" applyAlignment="1">
      <alignment horizontal="left"/>
    </xf>
    <xf numFmtId="0" fontId="40" fillId="0" borderId="0" applyFont="1" applyFill="1" applyAlignment="1">
      <alignment horizontal="right"/>
    </xf>
    <xf numFmtId="0" fontId="44" fillId="0" borderId="0" applyFont="1" applyFill="1"/>
    <xf numFmtId="166" fontId="44" fillId="0" borderId="0" applyNumberFormat="1" applyFont="1" applyFill="1" applyAlignment="1">
      <alignment horizontal="right"/>
    </xf>
    <xf numFmtId="0" fontId="53" fillId="30" borderId="0" applyFont="1" applyFill="1" applyAlignment="1">
      <alignment horizontal="right"/>
    </xf>
    <xf numFmtId="166" fontId="44" fillId="0" borderId="0" applyNumberFormat="1" applyFont="1" applyFill="1" applyAlignment="1">
      <alignment horizontal="center" vertical="center"/>
    </xf>
    <xf numFmtId="0" fontId="44" fillId="0" borderId="0" applyFont="1" applyFill="1" applyAlignment="1">
      <alignment horizontal="center" vertical="center"/>
    </xf>
    <xf numFmtId="2" fontId="44" fillId="0" borderId="0" applyNumberFormat="1" applyFont="1" applyFill="1" applyAlignment="1">
      <alignment horizontal="center" vertical="center"/>
    </xf>
    <xf numFmtId="0" fontId="44" fillId="0" borderId="0" applyFont="1" applyFill="1" applyAlignment="1">
      <alignment horizontal="left"/>
    </xf>
    <xf numFmtId="0" fontId="44" fillId="0" borderId="0" applyFont="1" applyFill="1" applyAlignment="1">
      <alignment horizontal="right"/>
    </xf>
    <xf numFmtId="0" fontId="53" fillId="0" borderId="0" applyFont="1" applyFill="1" applyAlignment="1">
      <alignment horizontal="right"/>
    </xf>
    <xf numFmtId="0" fontId="53" fillId="33" borderId="0" applyFont="1" applyFill="1" applyAlignment="1">
      <alignment horizontal="right"/>
    </xf>
    <xf numFmtId="0" fontId="39" fillId="33" borderId="0" applyFont="1" applyFill="1" applyAlignment="1">
      <alignment horizontal="right"/>
    </xf>
    <xf numFmtId="0" fontId="44" fillId="33" borderId="0" applyFont="1" applyFill="1" applyAlignment="1">
      <alignment horizontal="right"/>
    </xf>
    <xf numFmtId="166" fontId="44" fillId="33" borderId="0" applyNumberFormat="1" applyFont="1" applyFill="1" applyAlignment="1">
      <alignment horizontal="center" vertical="center"/>
    </xf>
    <xf numFmtId="0" fontId="44" fillId="33" borderId="0" applyFont="1" applyFill="1" applyAlignment="1">
      <alignment horizontal="center" vertical="center"/>
    </xf>
    <xf numFmtId="2" fontId="44" fillId="33" borderId="0" applyNumberFormat="1" applyFont="1" applyFill="1" applyAlignment="1">
      <alignment horizontal="center" vertical="center"/>
    </xf>
    <xf numFmtId="0" fontId="44" fillId="33" borderId="0" applyFont="1" applyFill="1" applyAlignment="1">
      <alignment horizontal="left"/>
    </xf>
    <xf numFmtId="17" fontId="44" fillId="0" borderId="0" applyNumberFormat="1" applyFont="1" applyFill="1" applyAlignment="1">
      <alignment horizontal="right"/>
    </xf>
    <xf numFmtId="17" fontId="39" fillId="0" borderId="0" applyNumberFormat="1" applyFont="1" applyFill="1" applyAlignment="1">
      <alignment horizontal="right"/>
    </xf>
    <xf numFmtId="166" fontId="39" fillId="0" borderId="0" applyNumberFormat="1" applyFont="1" applyFill="1" applyAlignment="1">
      <alignment horizontal="right"/>
    </xf>
    <xf numFmtId="17" fontId="49" fillId="0" borderId="0" applyNumberFormat="1" applyFont="1" applyFill="1" applyAlignment="1">
      <alignment horizontal="right"/>
    </xf>
    <xf numFmtId="17" fontId="39" fillId="30" borderId="0" applyNumberFormat="1" applyFont="1" applyFill="1" applyAlignment="1">
      <alignment horizontal="right"/>
    </xf>
    <xf numFmtId="166" fontId="39" fillId="30" borderId="0" applyNumberFormat="1" applyFont="1" applyFill="1" applyAlignment="1">
      <alignment horizontal="right"/>
    </xf>
    <xf numFmtId="0" fontId="44" fillId="30" borderId="0" applyFont="1" applyFill="1" applyAlignment="1">
      <alignment horizontal="left"/>
    </xf>
    <xf numFmtId="0" fontId="39" fillId="30" borderId="0" applyFont="1" applyFill="1" applyAlignment="1">
      <alignment horizontal="left"/>
    </xf>
    <xf numFmtId="166" fontId="88" fillId="0" borderId="0" applyNumberFormat="1" applyFont="1" applyFill="1" applyBorder="1" applyAlignment="1">
      <alignment horizontal="right"/>
    </xf>
    <xf numFmtId="166" fontId="88" fillId="33" borderId="33" applyNumberFormat="1" applyFont="1" applyFill="1" applyBorder="1" applyAlignment="1">
      <alignment horizontal="right"/>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166" fontId="88" fillId="30" borderId="30" applyNumberFormat="1" applyFont="1" applyFill="1" applyBorder="1" applyAlignment="1">
      <alignment horizontal="center"/>
    </xf>
    <xf numFmtId="166" fontId="88" fillId="30" borderId="33" applyNumberFormat="1" applyFont="1" applyFill="1" applyBorder="1" applyAlignment="1">
      <alignment horizontal="center"/>
    </xf>
    <xf numFmtId="166" fontId="88" fillId="30" borderId="31" applyNumberFormat="1" applyFont="1" applyFill="1" applyBorder="1" applyAlignment="1">
      <alignment horizontal="center"/>
    </xf>
    <xf numFmtId="166" fontId="88" fillId="30" borderId="26" applyNumberFormat="1" applyFont="1" applyFill="1" applyBorder="1" applyAlignment="1">
      <alignment horizontal="center"/>
    </xf>
    <xf numFmtId="166" fontId="88" fillId="30" borderId="32" applyNumberFormat="1" applyFont="1" applyFill="1" applyBorder="1" applyAlignment="1">
      <alignment horizontal="center"/>
    </xf>
    <xf numFmtId="166" fontId="88" fillId="30" borderId="27" applyNumberFormat="1" applyFont="1" applyFill="1" applyBorder="1" applyAlignment="1">
      <alignment horizontal="center"/>
    </xf>
    <xf numFmtId="166" fontId="88" fillId="30" borderId="28" applyNumberFormat="1" applyFont="1" applyFill="1" applyBorder="1" applyAlignment="1">
      <alignment horizontal="center"/>
    </xf>
    <xf numFmtId="166" fontId="88" fillId="30" borderId="0" applyNumberFormat="1" applyFont="1" applyFill="1" applyBorder="1" applyAlignment="1">
      <alignment horizontal="center"/>
    </xf>
    <xf numFmtId="166" fontId="88" fillId="30" borderId="29" applyNumberFormat="1" applyFont="1" applyFill="1" applyBorder="1" applyAlignment="1">
      <alignment horizontal="center"/>
    </xf>
    <xf numFmtId="2" fontId="88" fillId="30" borderId="26" applyNumberFormat="1" applyFont="1" applyFill="1" applyBorder="1" applyAlignment="1">
      <alignment horizontal="center"/>
    </xf>
    <xf numFmtId="2" fontId="88" fillId="30" borderId="32" applyNumberFormat="1" applyFont="1" applyFill="1" applyBorder="1" applyAlignment="1">
      <alignment horizontal="center"/>
    </xf>
    <xf numFmtId="2" fontId="88" fillId="30" borderId="27" applyNumberFormat="1" applyFont="1" applyFill="1" applyBorder="1" applyAlignment="1">
      <alignment horizontal="center"/>
    </xf>
    <xf numFmtId="0" fontId="82" fillId="0" borderId="0" applyFont="1" applyFill="1" applyAlignment="1">
      <alignment horizontal="center"/>
    </xf>
    <xf numFmtId="0" fontId="52" fillId="36" borderId="0" applyFont="1" applyFill="1" applyBorder="1"/>
    <xf numFmtId="0" fontId="0" fillId="36" borderId="0" applyFont="1" applyFill="1" applyBorder="1"/>
    <xf numFmtId="0" fontId="0" fillId="36" borderId="0" applyFont="1" applyFill="1" applyBorder="1" applyAlignment="1">
      <alignment horizontal="center"/>
    </xf>
    <xf numFmtId="0" fontId="59" fillId="36" borderId="0" applyFont="1" applyFill="1" applyAlignment="1">
      <alignment horizontal="right"/>
    </xf>
    <xf numFmtId="0" fontId="44" fillId="36" borderId="0" applyFont="1" applyFill="1" applyBorder="1" applyAlignment="1">
      <alignment horizontal="right"/>
    </xf>
    <xf numFmtId="0" fontId="60" fillId="36" borderId="0" applyFont="1" applyFill="1" applyBorder="1" applyAlignment="1">
      <alignment horizontal="right"/>
    </xf>
    <xf numFmtId="0" fontId="61" fillId="36" borderId="0" applyFont="1" applyFill="1" applyBorder="1"/>
    <xf numFmtId="0" fontId="52" fillId="36" borderId="0" applyFont="1" applyFill="1" applyBorder="1" applyAlignment="1">
      <alignment horizontal="center"/>
    </xf>
    <xf numFmtId="0" fontId="55" fillId="36" borderId="0" applyFont="1" applyFill="1" applyBorder="1"/>
    <xf numFmtId="0" fontId="55" fillId="36" borderId="0" applyFont="1" applyFill="1" applyBorder="1" applyAlignment="1">
      <alignment horizontal="center"/>
    </xf>
    <xf numFmtId="0" fontId="55" fillId="36" borderId="0" applyFont="1" applyFill="1" applyBorder="1" applyAlignment="1">
      <alignment horizontal="left" vertical="top"/>
    </xf>
    <xf numFmtId="0" fontId="55" fillId="36" borderId="0" applyFont="1" applyFill="1" applyBorder="1" applyAlignment="1">
      <alignment horizontal="right" vertical="top"/>
    </xf>
    <xf numFmtId="0" fontId="2" fillId="36" borderId="0" applyFont="1" applyFill="1" applyBorder="1"/>
    <xf numFmtId="0" fontId="2" fillId="36" borderId="0" applyFont="1" applyFill="1" applyBorder="1" applyAlignment="1">
      <alignment horizontal="right"/>
    </xf>
    <xf numFmtId="0" fontId="52" fillId="36" borderId="0" applyFont="1" applyFill="1" applyBorder="1" applyAlignment="1">
      <alignment horizontal="right"/>
    </xf>
    <xf numFmtId="0" fontId="55" fillId="36" borderId="0" applyFont="1" applyFill="1" applyBorder="1"/>
    <xf numFmtId="0" fontId="55" fillId="36" borderId="0" applyFont="1" applyFill="1" applyBorder="1" applyAlignment="1">
      <alignment horizontal="right"/>
    </xf>
    <xf numFmtId="0" fontId="48" fillId="36" borderId="37" applyFont="1" applyFill="1" applyBorder="1"/>
    <xf numFmtId="0" fontId="48" fillId="36" borderId="39" applyFont="1" applyFill="1" applyBorder="1" applyAlignment="1">
      <alignment horizontal="center" wrapText="1"/>
    </xf>
    <xf numFmtId="0" fontId="48" fillId="36" borderId="37" applyFont="1" applyFill="1" applyBorder="1" applyAlignment="1">
      <alignment horizontal="center" wrapText="1"/>
    </xf>
    <xf numFmtId="0" fontId="42" fillId="36" borderId="34" applyFont="1" applyFill="1" applyBorder="1" applyAlignment="1">
      <alignment vertical="center"/>
    </xf>
    <xf numFmtId="0" fontId="42" fillId="36" borderId="35" applyFont="1" applyFill="1" applyBorder="1" applyAlignment="1">
      <alignment vertical="center"/>
    </xf>
    <xf numFmtId="0" fontId="42" fillId="36" borderId="36" applyFont="1" applyFill="1" applyBorder="1" applyAlignment="1">
      <alignment vertical="center"/>
    </xf>
    <xf numFmtId="49" fontId="55" fillId="36" borderId="34" applyNumberFormat="1" applyFont="1" applyFill="1" applyBorder="1" applyAlignment="1">
      <alignment textRotation="90" wrapText="1"/>
    </xf>
    <xf numFmtId="49" fontId="55" fillId="36" borderId="35" applyNumberFormat="1" applyFont="1" applyFill="1" applyBorder="1" applyAlignment="1">
      <alignment textRotation="90" wrapText="1"/>
    </xf>
    <xf numFmtId="49" fontId="55" fillId="36" borderId="36" applyNumberFormat="1" applyFont="1" applyFill="1" applyBorder="1" applyAlignment="1">
      <alignment textRotation="90" wrapText="1"/>
    </xf>
    <xf numFmtId="0" fontId="54" fillId="0" borderId="28" applyFont="1" applyFill="1" applyBorder="1" applyAlignment="1">
      <alignment vertical="center"/>
    </xf>
    <xf numFmtId="0" fontId="88" fillId="0" borderId="0" applyFont="1" applyFill="1" applyBorder="1" applyAlignment="1">
      <alignment vertical="center"/>
    </xf>
    <xf numFmtId="0" fontId="54" fillId="0" borderId="0" applyFont="1" applyFill="1" applyBorder="1" applyAlignment="1">
      <alignment vertical="center"/>
    </xf>
    <xf numFmtId="0" fontId="54" fillId="0" borderId="29" applyFont="1" applyFill="1" applyBorder="1" applyAlignment="1">
      <alignment vertical="center"/>
    </xf>
    <xf numFmtId="0" fontId="43" fillId="33" borderId="30" applyFont="1" applyFill="1" applyBorder="1"/>
    <xf numFmtId="0" fontId="43" fillId="33" borderId="33" applyFont="1" applyFill="1" applyBorder="1"/>
    <xf numFmtId="0" fontId="43" fillId="33" borderId="31" applyFont="1" applyFill="1" applyBorder="1"/>
    <xf numFmtId="0" fontId="0" fillId="0" borderId="35" applyFont="1" applyFill="1" applyBorder="1"/>
    <xf numFmtId="0" fontId="35" fillId="0" borderId="0" applyFont="1" applyFill="1" applyBorder="1" applyAlignment="1">
      <alignment vertical="center"/>
    </xf>
    <xf numFmtId="166" fontId="88" fillId="0" borderId="44" applyNumberFormat="1" applyFont="1" applyFill="1" applyBorder="1" applyAlignment="1">
      <alignment horizontal="center"/>
    </xf>
    <xf numFmtId="166" fontId="88" fillId="0" borderId="45" applyNumberFormat="1" applyFont="1" applyFill="1" applyBorder="1" applyAlignment="1">
      <alignment horizontal="center"/>
    </xf>
    <xf numFmtId="0" fontId="5" fillId="0" borderId="0" applyFont="1" applyFill="1" applyBorder="1"/>
    <xf numFmtId="166" fontId="88" fillId="0" borderId="46" applyNumberFormat="1" applyFont="1" applyFill="1" applyBorder="1" applyAlignment="1">
      <alignment horizontal="center"/>
    </xf>
    <xf numFmtId="2" fontId="88" fillId="33" borderId="44" applyNumberFormat="1" applyFont="1" applyFill="1" applyBorder="1" applyAlignment="1">
      <alignment horizontal="center"/>
    </xf>
    <xf numFmtId="2" fontId="88" fillId="33" borderId="25" applyNumberFormat="1" applyFont="1" applyFill="1" applyBorder="1" applyAlignment="1">
      <alignment horizontal="center"/>
    </xf>
    <xf numFmtId="2" fontId="88" fillId="33" borderId="45" applyNumberFormat="1" applyFont="1" applyFill="1" applyBorder="1" applyAlignment="1">
      <alignment horizontal="center"/>
    </xf>
    <xf numFmtId="2" fontId="88" fillId="0" borderId="46" applyNumberFormat="1" applyFont="1" applyFill="1" applyBorder="1" applyAlignment="1">
      <alignment horizontal="center"/>
    </xf>
    <xf numFmtId="0" fontId="52" fillId="36" borderId="0" applyFont="1" applyFill="1" applyBorder="1" applyAlignment="1">
      <alignment horizontal="left" vertical="top"/>
    </xf>
    <xf numFmtId="0" fontId="85" fillId="36" borderId="0" applyFont="1" applyFill="1" applyBorder="1"/>
    <xf numFmtId="0" fontId="55" fillId="36" borderId="0" applyFont="1" applyFill="1" applyBorder="1" applyAlignment="1">
      <alignment vertical="top"/>
    </xf>
    <xf numFmtId="0" fontId="96" fillId="0" borderId="0" applyFont="1" applyFill="1"/>
    <xf numFmtId="0" fontId="97" fillId="0" borderId="0" applyFont="1" applyFill="1"/>
    <xf numFmtId="0" fontId="98" fillId="0" borderId="0" applyFont="1" applyFill="1"/>
    <xf numFmtId="0" fontId="99" fillId="0" borderId="0" applyFont="1" applyFill="1" applyAlignment="1">
      <alignment vertical="top"/>
    </xf>
    <xf numFmtId="0" fontId="100" fillId="0" borderId="0" applyFont="1" applyFill="1"/>
    <xf numFmtId="0" fontId="101" fillId="0" borderId="0" applyFont="1" applyFill="1"/>
    <xf numFmtId="0" fontId="101" fillId="0" borderId="0" applyFont="1" applyFill="1" applyAlignment="1">
      <alignment vertical="top" wrapText="1"/>
    </xf>
    <xf numFmtId="0" fontId="96" fillId="0" borderId="0" applyFont="1" applyFill="1" applyAlignment="1">
      <alignment vertical="top" wrapText="1"/>
    </xf>
    <xf numFmtId="0" fontId="83" fillId="30" borderId="0" applyFont="1" applyFill="1" applyBorder="1" applyAlignment="1">
      <alignment horizontal="center"/>
    </xf>
    <xf numFmtId="166" fontId="83" fillId="30" borderId="0" applyNumberFormat="1" applyFont="1" applyFill="1" applyBorder="1" applyAlignment="1">
      <alignment horizontal="center"/>
    </xf>
    <xf numFmtId="0" fontId="83" fillId="30" borderId="0" applyFont="1" applyFill="1" applyBorder="1"/>
    <xf numFmtId="0" fontId="83" fillId="0" borderId="0" applyFont="1" applyFill="1" applyAlignment="1">
      <alignment horizontal="left"/>
    </xf>
    <xf numFmtId="0" fontId="27" fillId="30" borderId="0" applyFont="1" applyFill="1" applyBorder="1"/>
    <xf numFmtId="0" fontId="27" fillId="30" borderId="0" applyFont="1" applyFill="1" applyBorder="1" applyAlignment="1">
      <alignment horizontal="right"/>
    </xf>
    <xf numFmtId="0" fontId="27" fillId="30" borderId="0" applyFont="1" applyFill="1" applyBorder="1" applyAlignment="1">
      <alignment horizontal="centerContinuous"/>
    </xf>
    <xf numFmtId="0" fontId="27" fillId="0" borderId="0" applyFont="1" applyFill="1" applyAlignment="1">
      <alignment horizontal="right"/>
    </xf>
    <xf numFmtId="0" fontId="49" fillId="0" borderId="0" applyFont="1" applyFill="1" applyAlignment="1">
      <alignment vertical="center"/>
    </xf>
    <xf numFmtId="0" fontId="49" fillId="30" borderId="0" applyFont="1" applyFill="1" applyAlignment="1">
      <alignment vertical="center"/>
    </xf>
    <xf numFmtId="166" fontId="88" fillId="30" borderId="0" applyNumberFormat="1" applyFont="1" applyFill="1" applyBorder="1" applyAlignment="1">
      <alignment horizontal="center"/>
    </xf>
    <xf numFmtId="0" fontId="88" fillId="30" borderId="0" applyFont="1" applyFill="1" applyBorder="1" applyAlignment="1">
      <alignment horizontal="center"/>
    </xf>
    <xf numFmtId="166" fontId="88" fillId="33" borderId="0" applyNumberFormat="1" applyFont="1" applyFill="1" applyBorder="1" applyAlignment="1">
      <alignment horizontal="center"/>
    </xf>
    <xf numFmtId="0" fontId="88" fillId="33" borderId="0" applyFont="1" applyFill="1" applyBorder="1" applyAlignment="1">
      <alignment horizontal="center"/>
    </xf>
    <xf numFmtId="0" fontId="0" fillId="30" borderId="0" applyFont="1" applyFill="1" applyBorder="1" applyAlignment="1">
      <alignment horizontal="center"/>
    </xf>
    <xf numFmtId="4" fontId="88" fillId="30" borderId="0" applyNumberFormat="1" applyFont="1" applyFill="1" applyBorder="1" applyAlignment="1">
      <alignment horizontal="center"/>
    </xf>
    <xf numFmtId="167" fontId="88" fillId="30" borderId="0" applyNumberFormat="1" applyFont="1" applyFill="1" applyBorder="1" applyAlignment="1">
      <alignment horizontal="center"/>
    </xf>
    <xf numFmtId="4" fontId="88" fillId="33" borderId="0" applyNumberFormat="1" applyFont="1" applyFill="1" applyBorder="1" applyAlignment="1">
      <alignment horizontal="center"/>
    </xf>
    <xf numFmtId="167" fontId="88" fillId="33" borderId="0" applyNumberFormat="1" applyFont="1" applyFill="1" applyBorder="1" applyAlignment="1">
      <alignment horizontal="center"/>
    </xf>
    <xf numFmtId="166" fontId="88" fillId="30" borderId="0" applyNumberFormat="1" applyFont="1" applyFill="1" applyBorder="1" applyAlignment="1">
      <alignment horizontal="right"/>
    </xf>
    <xf numFmtId="166" fontId="88" fillId="33" borderId="0" applyNumberFormat="1" applyFont="1" applyFill="1" applyBorder="1" applyAlignment="1">
      <alignment horizontal="right"/>
    </xf>
    <xf numFmtId="166" fontId="88" fillId="30" borderId="0" applyNumberFormat="1" applyFont="1" applyFill="1" applyBorder="1" applyAlignment="1">
      <alignment horizontal="right"/>
    </xf>
    <xf numFmtId="4" fontId="88" fillId="30" borderId="0" applyNumberFormat="1" applyFont="1" applyFill="1" applyBorder="1" applyAlignment="1">
      <alignment horizontal="right"/>
    </xf>
    <xf numFmtId="167" fontId="0" fillId="30" borderId="0" applyNumberFormat="1" applyFont="1" applyFill="1" applyBorder="1"/>
    <xf numFmtId="4" fontId="88" fillId="33" borderId="0" applyNumberFormat="1" applyFont="1" applyFill="1" applyBorder="1" applyAlignment="1">
      <alignment horizontal="right"/>
    </xf>
    <xf numFmtId="167" fontId="0" fillId="33" borderId="0" applyNumberFormat="1" applyFont="1" applyFill="1" applyBorder="1"/>
    <xf numFmtId="165" fontId="88" fillId="30" borderId="0" applyNumberFormat="1" applyFont="1" applyFill="1" applyBorder="1" applyAlignment="1">
      <alignment horizontal="right"/>
    </xf>
    <xf numFmtId="44" fontId="88" fillId="30" borderId="0" applyNumberFormat="1" applyFont="1" applyFill="1" applyBorder="1" applyAlignment="1">
      <alignment horizontal="right"/>
    </xf>
    <xf numFmtId="166" fontId="0" fillId="30" borderId="0" applyNumberFormat="1" applyFont="1" applyFill="1" applyBorder="1"/>
    <xf numFmtId="164" fontId="88" fillId="30" borderId="0" applyNumberFormat="1" applyFont="1" applyFill="1"/>
    <xf numFmtId="0" fontId="0" fillId="30" borderId="0" applyFont="1" applyFill="1" applyAlignment="1">
      <alignment vertical="top"/>
    </xf>
    <xf numFmtId="0" fontId="0" fillId="35" borderId="0" applyFont="1" applyFill="1" applyAlignment="1">
      <alignment vertical="top"/>
    </xf>
    <xf numFmtId="0" fontId="0" fillId="0" borderId="0" applyFont="1" applyFill="1" applyAlignment="1">
      <alignment vertical="top"/>
    </xf>
    <xf numFmtId="0" fontId="83" fillId="30" borderId="0" applyFont="1" applyFill="1" applyAlignment="1">
      <alignment vertical="center"/>
    </xf>
    <xf numFmtId="0" fontId="83" fillId="35" borderId="0" applyFont="1" applyFill="1" applyAlignment="1">
      <alignment vertical="center"/>
    </xf>
    <xf numFmtId="0" fontId="83" fillId="0" borderId="0" applyFont="1" applyFill="1" applyAlignment="1">
      <alignment vertical="center"/>
    </xf>
    <xf numFmtId="0" fontId="0" fillId="0" borderId="0" applyFont="1" applyFill="1" applyAlignment="1">
      <alignment horizontal="center"/>
    </xf>
    <xf numFmtId="0" fontId="43" fillId="0" borderId="0" applyFont="1" applyFill="1" applyAlignment="1">
      <alignment horizontal="right"/>
    </xf>
    <xf numFmtId="0" fontId="88" fillId="30" borderId="0" applyFont="1" applyFill="1"/>
    <xf numFmtId="0" fontId="43" fillId="0" borderId="0" applyFont="1" applyFill="1" applyAlignment="1">
      <alignment horizontal="right"/>
    </xf>
    <xf numFmtId="0" fontId="43" fillId="0" borderId="0" applyFont="1" applyFill="1" applyAlignment="1">
      <alignment horizontal="right"/>
    </xf>
    <xf numFmtId="0" fontId="87" fillId="0" borderId="0" applyNumberFormat="1" applyFont="1" applyFill="1" applyBorder="1" applyAlignment="1">
      <alignment horizontal="left" wrapText="1"/>
    </xf>
    <xf numFmtId="0" fontId="5" fillId="0" borderId="0" applyFont="1" applyFill="1"/>
    <xf numFmtId="0" fontId="5" fillId="0" borderId="0" applyFont="1" applyFill="1"/>
    <xf numFmtId="0" fontId="43" fillId="37" borderId="0" applyFont="1" applyFill="1" applyBorder="1" applyAlignment="1">
      <alignment horizontal="center"/>
    </xf>
    <xf numFmtId="1" fontId="0" fillId="37" borderId="0" applyNumberFormat="1" applyFont="1" applyFill="1" applyBorder="1"/>
    <xf numFmtId="0" fontId="84" fillId="36" borderId="0" applyNumberFormat="1" applyFont="1" applyFill="1" applyBorder="1" applyAlignment="1">
      <alignment horizontal="left" wrapText="1"/>
    </xf>
    <xf numFmtId="0" fontId="52" fillId="36" borderId="0" applyFont="1" applyFill="1" applyBorder="1" applyAlignment="1">
      <alignment horizontal="left" wrapText="1"/>
    </xf>
    <xf numFmtId="164" fontId="88" fillId="30" borderId="0" applyNumberFormat="1" applyFont="1" applyFill="1"/>
    <xf numFmtId="0" fontId="88" fillId="30" borderId="0" applyFont="1" applyFill="1"/>
    <xf numFmtId="0" fontId="88" fillId="30" borderId="0" applyFont="1" applyFill="1" applyAlignment="1">
      <alignment horizontal="left"/>
    </xf>
    <xf numFmtId="49" fontId="64" fillId="36" borderId="34" applyNumberFormat="1" applyFont="1" applyFill="1" applyBorder="1" applyAlignment="1">
      <alignment horizontal="center"/>
    </xf>
    <xf numFmtId="0" fontId="88" fillId="36" borderId="35" applyFont="1" applyFill="1" applyBorder="1"/>
    <xf numFmtId="0" fontId="88" fillId="36" borderId="36" applyFont="1" applyFill="1" applyBorder="1"/>
    <xf numFmtId="0" fontId="39" fillId="30" borderId="0" applyFont="1" applyFill="1" applyAlignment="1">
      <alignment horizontal="center"/>
    </xf>
    <xf numFmtId="0" fontId="83" fillId="30" borderId="0" applyNumberFormat="1" applyFont="1" applyFill="1" applyAlignment="1">
      <alignment horizontal="left" wrapText="1"/>
    </xf>
    <xf numFmtId="0" fontId="88" fillId="30" borderId="0" applyFont="1" applyFill="1" applyAlignment="1">
      <alignment vertical="center"/>
    </xf>
    <xf numFmtId="164" fontId="88" fillId="30" borderId="0" applyNumberFormat="1" applyFont="1" applyFill="1" applyAlignment="1">
      <alignment vertical="center"/>
    </xf>
    <xf numFmtId="0" fontId="88" fillId="0" borderId="28" applyFont="1" applyFill="1" applyBorder="1"/>
    <xf numFmtId="0" fontId="88" fillId="0" borderId="29" applyFont="1" applyFill="1" applyBorder="1"/>
    <xf numFmtId="0" fontId="88" fillId="33" borderId="28" applyFont="1" applyFill="1" applyBorder="1"/>
    <xf numFmtId="0" fontId="88" fillId="33" borderId="29" applyFont="1" applyFill="1" applyBorder="1"/>
    <xf numFmtId="0" fontId="43" fillId="0" borderId="26" applyFont="1" applyFill="1" applyBorder="1" applyAlignment="1">
      <alignment horizontal="center" vertical="center" wrapText="1"/>
    </xf>
    <xf numFmtId="0" fontId="43" fillId="0" borderId="27" applyFont="1" applyFill="1" applyBorder="1" applyAlignment="1">
      <alignment horizontal="center" vertical="center" wrapText="1"/>
    </xf>
    <xf numFmtId="0" fontId="43" fillId="0" borderId="30" applyFont="1" applyFill="1" applyBorder="1" applyAlignment="1">
      <alignment horizontal="center" vertical="center" wrapText="1"/>
    </xf>
    <xf numFmtId="0" fontId="43" fillId="0" borderId="31" applyFont="1" applyFill="1" applyBorder="1" applyAlignment="1">
      <alignment horizontal="center" vertical="center" wrapText="1"/>
    </xf>
    <xf numFmtId="0" fontId="48" fillId="36" borderId="0" applyFont="1" applyFill="1" applyBorder="1" applyAlignment="1">
      <alignment horizontal="center" vertical="center"/>
    </xf>
    <xf numFmtId="0" fontId="48" fillId="36" borderId="52" applyFont="1" applyFill="1" applyBorder="1" applyAlignment="1">
      <alignment horizontal="center" vertical="center"/>
    </xf>
    <xf numFmtId="0" fontId="45" fillId="0" borderId="0" applyFont="1" applyFill="1" applyBorder="1" applyAlignment="1">
      <alignment vertical="center"/>
    </xf>
    <xf numFmtId="0" fontId="88" fillId="0" borderId="26" applyFont="1" applyFill="1" applyBorder="1"/>
    <xf numFmtId="0" fontId="88" fillId="0" borderId="27" applyFont="1" applyFill="1" applyBorder="1"/>
    <xf numFmtId="0" fontId="48" fillId="36" borderId="26" applyFont="1" applyFill="1" applyBorder="1" applyAlignment="1">
      <alignment horizontal="center" vertical="center"/>
    </xf>
    <xf numFmtId="0" fontId="48" fillId="36" borderId="32" applyFont="1" applyFill="1" applyBorder="1" applyAlignment="1">
      <alignment horizontal="center" vertical="center"/>
    </xf>
    <xf numFmtId="0" fontId="48" fillId="36" borderId="35" applyFont="1" applyFill="1" applyBorder="1" applyAlignment="1">
      <alignment horizontal="center" vertical="center"/>
    </xf>
    <xf numFmtId="0" fontId="48" fillId="36" borderId="36" applyFont="1" applyFill="1" applyBorder="1" applyAlignment="1">
      <alignment horizontal="center" vertical="center"/>
    </xf>
    <xf numFmtId="0" fontId="50" fillId="0" borderId="0" applyFont="1" applyFill="1" applyBorder="1" applyAlignment="1">
      <alignment horizontal="center"/>
    </xf>
    <xf numFmtId="0" fontId="43" fillId="30" borderId="27" applyFont="1" applyFill="1" applyBorder="1" applyAlignment="1">
      <alignment horizontal="center" vertical="center" wrapText="1"/>
    </xf>
    <xf numFmtId="0" fontId="43" fillId="30" borderId="31" applyFont="1" applyFill="1" applyBorder="1" applyAlignment="1">
      <alignment horizontal="center" vertical="center" wrapText="1"/>
    </xf>
    <xf numFmtId="0" fontId="0" fillId="33" borderId="30" applyFont="1" applyFill="1" applyBorder="1"/>
    <xf numFmtId="0" fontId="0" fillId="33" borderId="31" applyFont="1" applyFill="1" applyBorder="1"/>
    <xf numFmtId="0" fontId="0" fillId="0" borderId="28" applyFont="1" applyFill="1" applyBorder="1"/>
    <xf numFmtId="0" fontId="0" fillId="0" borderId="29" applyFont="1" applyFill="1" applyBorder="1"/>
    <xf numFmtId="0" fontId="0" fillId="33" borderId="28" applyFont="1" applyFill="1" applyBorder="1"/>
    <xf numFmtId="0" fontId="0" fillId="33" borderId="29" applyFont="1" applyFill="1" applyBorder="1"/>
    <xf numFmtId="0" fontId="0" fillId="0" borderId="28" applyFont="1" applyFill="1" applyBorder="1"/>
    <xf numFmtId="0" fontId="0" fillId="0" borderId="29" applyFont="1" applyFill="1" applyBorder="1"/>
    <xf numFmtId="0" fontId="88" fillId="33" borderId="30" applyFont="1" applyFill="1" applyBorder="1"/>
    <xf numFmtId="0" fontId="88" fillId="33" borderId="31" applyFont="1" applyFill="1" applyBorder="1"/>
    <xf numFmtId="0" fontId="0" fillId="0" borderId="26" applyFont="1" applyFill="1" applyBorder="1"/>
    <xf numFmtId="0" fontId="0" fillId="0" borderId="27" applyFont="1" applyFill="1" applyBorder="1"/>
    <xf numFmtId="0" fontId="0" fillId="0" borderId="26" applyFont="1" applyFill="1" applyBorder="1"/>
    <xf numFmtId="0" fontId="0" fillId="0" borderId="27" applyFont="1" applyFill="1" applyBorder="1"/>
    <xf numFmtId="1" fontId="88" fillId="37" borderId="0" applyNumberFormat="1" applyFont="1" applyFill="1" applyBorder="1"/>
    <xf numFmtId="166" fontId="43" fillId="37" borderId="0" applyNumberFormat="1" applyFont="1" applyFill="1" applyBorder="1" applyAlignment="1">
      <alignment horizontal="center"/>
    </xf>
    <xf numFmtId="0" fontId="43" fillId="37" borderId="0" applyFont="1" applyFill="1" applyBorder="1" applyAlignment="1">
      <alignment horizontal="center"/>
    </xf>
    <xf numFmtId="0" fontId="0" fillId="33" borderId="26" applyFont="1" applyFill="1" applyBorder="1"/>
    <xf numFmtId="0" fontId="0" fillId="33" borderId="27" applyFont="1" applyFill="1" applyBorder="1"/>
    <xf numFmtId="0" fontId="43" fillId="0" borderId="49" applyFont="1" applyFill="1" applyBorder="1" applyAlignment="1">
      <alignment horizontal="center" wrapText="1"/>
    </xf>
    <xf numFmtId="0" fontId="43" fillId="0" borderId="51" applyFont="1" applyFill="1" applyBorder="1" applyAlignment="1">
      <alignment horizontal="center" wrapText="1"/>
    </xf>
    <xf numFmtId="0" fontId="43" fillId="0" borderId="50" applyFont="1" applyFill="1" applyBorder="1" applyAlignment="1">
      <alignment horizontal="center" wrapText="1"/>
    </xf>
    <xf numFmtId="0" fontId="0" fillId="0" borderId="51" applyFont="1" applyFill="1" applyBorder="1" applyAlignment="1">
      <alignment horizontal="center" wrapText="1"/>
    </xf>
    <xf numFmtId="0" fontId="43" fillId="0" borderId="47" applyFont="1" applyFill="1" applyBorder="1" applyAlignment="1">
      <alignment horizontal="center" vertical="center" wrapText="1"/>
    </xf>
    <xf numFmtId="0" fontId="43" fillId="0" borderId="48" applyFont="1" applyFill="1" applyBorder="1" applyAlignment="1">
      <alignment horizontal="center" vertical="center" wrapText="1"/>
    </xf>
    <xf numFmtId="0" fontId="43" fillId="30" borderId="47" applyFont="1" applyFill="1" applyBorder="1" applyAlignment="1">
      <alignment horizontal="center" vertical="center" wrapText="1"/>
    </xf>
    <xf numFmtId="0" fontId="43" fillId="30" borderId="48" applyFont="1" applyFill="1" applyBorder="1" applyAlignment="1">
      <alignment horizontal="center" vertical="center" wrapText="1"/>
    </xf>
    <xf numFmtId="0" fontId="48" fillId="36" borderId="27" applyFont="1" applyFill="1" applyBorder="1" applyAlignment="1">
      <alignment horizontal="center" vertical="center"/>
    </xf>
    <xf numFmtId="0" fontId="43" fillId="0" borderId="37" applyFont="1" applyFill="1" applyBorder="1" applyAlignment="1">
      <alignment horizontal="center" vertical="center" wrapText="1"/>
    </xf>
    <xf numFmtId="0" fontId="43" fillId="0" borderId="39" applyFont="1" applyFill="1" applyBorder="1" applyAlignment="1">
      <alignment horizontal="center" vertical="center" wrapText="1"/>
    </xf>
    <xf numFmtId="0" fontId="48" fillId="37" borderId="0" applyFont="1" applyFill="1" applyBorder="1" applyAlignment="1">
      <alignment horizontal="center" vertical="center"/>
    </xf>
    <xf numFmtId="0" fontId="83" fillId="30" borderId="0" applyNumberFormat="1" applyFont="1" applyFill="1" applyAlignment="1">
      <alignment horizontal="left" wrapText="1"/>
    </xf>
    <xf numFmtId="0" fontId="0" fillId="33" borderId="32" applyFont="1" applyFill="1" applyBorder="1" applyAlignment="1">
      <alignment horizontal="right" indent="2"/>
    </xf>
    <xf numFmtId="166" fontId="0" fillId="33" borderId="0" applyNumberFormat="1" applyFont="1" applyFill="1" applyBorder="1" applyAlignment="1">
      <alignment horizontal="right" indent="2"/>
    </xf>
    <xf numFmtId="166" fontId="0" fillId="33" borderId="29" applyNumberFormat="1" applyFont="1" applyFill="1" applyBorder="1" applyAlignment="1">
      <alignment horizontal="right" indent="2"/>
    </xf>
    <xf numFmtId="166" fontId="0" fillId="33" borderId="32" applyNumberFormat="1" applyFont="1" applyFill="1" applyBorder="1" applyAlignment="1">
      <alignment horizontal="right" indent="2"/>
    </xf>
    <xf numFmtId="166" fontId="0" fillId="33" borderId="27" applyNumberFormat="1" applyFont="1" applyFill="1" applyBorder="1" applyAlignment="1">
      <alignment horizontal="right" indent="2"/>
    </xf>
    <xf numFmtId="0" fontId="0" fillId="37" borderId="0" applyFont="1" applyFill="1" applyBorder="1" applyAlignment="1">
      <alignment horizontal="center" vertical="center" wrapText="1"/>
    </xf>
    <xf numFmtId="0" fontId="0" fillId="33" borderId="33" applyFont="1" applyFill="1" applyBorder="1" applyAlignment="1">
      <alignment horizontal="right" indent="2"/>
    </xf>
    <xf numFmtId="0" fontId="0" fillId="0" borderId="0" applyFont="1" applyFill="1" applyBorder="1" applyAlignment="1">
      <alignment horizontal="right" indent="2"/>
    </xf>
    <xf numFmtId="166" fontId="0" fillId="0" borderId="0" applyNumberFormat="1" applyFont="1" applyFill="1" applyBorder="1" applyAlignment="1">
      <alignment horizontal="right" indent="2"/>
    </xf>
    <xf numFmtId="166" fontId="0" fillId="0" borderId="29" applyNumberFormat="1" applyFont="1" applyFill="1" applyBorder="1" applyAlignment="1">
      <alignment horizontal="right" indent="2"/>
    </xf>
    <xf numFmtId="0" fontId="0" fillId="33" borderId="30" applyFont="1" applyFill="1" applyBorder="1" applyAlignment="1">
      <alignment horizontal="right" indent="2"/>
    </xf>
    <xf numFmtId="0" fontId="0" fillId="33" borderId="26" applyFont="1" applyFill="1" applyBorder="1" applyAlignment="1">
      <alignment horizontal="right" indent="2"/>
    </xf>
    <xf numFmtId="0" fontId="0" fillId="33" borderId="28" applyFont="1" applyFill="1" applyBorder="1" applyAlignment="1">
      <alignment horizontal="right" indent="2"/>
    </xf>
    <xf numFmtId="0" fontId="0" fillId="33" borderId="0" applyFont="1" applyFill="1" applyBorder="1" applyAlignment="1">
      <alignment horizontal="right" indent="2"/>
    </xf>
    <xf numFmtId="0" fontId="0" fillId="0" borderId="28" applyFont="1" applyFill="1" applyBorder="1" applyAlignment="1">
      <alignment horizontal="right" indent="2"/>
    </xf>
    <xf numFmtId="0" fontId="0" fillId="0" borderId="51" applyFont="1" applyFill="1" applyBorder="1"/>
    <xf numFmtId="166" fontId="0" fillId="33" borderId="33" applyNumberFormat="1" applyFont="1" applyFill="1" applyBorder="1" applyAlignment="1">
      <alignment horizontal="right" indent="2"/>
    </xf>
    <xf numFmtId="166" fontId="0" fillId="33" borderId="31" applyNumberFormat="1" applyFont="1" applyFill="1" applyBorder="1" applyAlignment="1">
      <alignment horizontal="right" indent="2"/>
    </xf>
    <xf numFmtId="0" fontId="43" fillId="0" borderId="0" applyFont="1" applyFill="1" applyBorder="1" applyAlignment="1">
      <alignment horizontal="center"/>
    </xf>
    <xf numFmtId="0" fontId="41" fillId="0" borderId="26" applyFont="1" applyFill="1" applyBorder="1" applyAlignment="1">
      <alignment horizontal="center" vertical="center" wrapText="1"/>
    </xf>
    <xf numFmtId="0" fontId="41" fillId="0" borderId="32" applyFont="1" applyFill="1" applyBorder="1" applyAlignment="1">
      <alignment horizontal="center" vertical="center" wrapText="1"/>
    </xf>
    <xf numFmtId="0" fontId="41" fillId="0" borderId="27" applyFont="1" applyFill="1" applyBorder="1" applyAlignment="1">
      <alignment horizontal="center" vertical="center" wrapText="1"/>
    </xf>
    <xf numFmtId="164" fontId="88" fillId="30" borderId="0" applyNumberFormat="1" applyFont="1" applyFill="1"/>
    <xf numFmtId="0" fontId="87" fillId="0" borderId="0" applyNumberFormat="1" applyFont="1" applyFill="1" applyBorder="1" applyAlignment="1">
      <alignment horizontal="left" wrapText="1"/>
    </xf>
    <xf numFmtId="0" fontId="43" fillId="0" borderId="0" applyFont="1" applyFill="1" applyAlignment="1">
      <alignment horizontal="right"/>
    </xf>
    <xf numFmtId="0" fontId="0" fillId="0" borderId="0" applyFont="1" applyFill="1" applyAlignment="1">
      <alignment horizontal="right"/>
    </xf>
    <xf numFmtId="0" fontId="25" fillId="36" borderId="37" applyFont="1" applyFill="1" applyBorder="1" applyAlignment="1">
      <alignment horizontal="center" vertical="center"/>
    </xf>
    <xf numFmtId="0" fontId="0" fillId="36" borderId="39" applyFont="1" applyFill="1" applyBorder="1" applyAlignment="1">
      <alignment horizontal="center" vertical="center"/>
    </xf>
    <xf numFmtId="0" fontId="41" fillId="0" borderId="26" applyFont="1" applyFill="1" applyBorder="1" applyAlignment="1">
      <alignment horizontal="center" vertical="center"/>
    </xf>
    <xf numFmtId="0" fontId="41" fillId="0" borderId="32" applyFont="1" applyFill="1" applyBorder="1" applyAlignment="1">
      <alignment horizontal="center" vertical="center"/>
    </xf>
    <xf numFmtId="0" fontId="41" fillId="0" borderId="27" applyFont="1" applyFill="1" applyBorder="1" applyAlignment="1">
      <alignment horizontal="center" vertical="center"/>
    </xf>
    <xf numFmtId="0" fontId="88" fillId="0" borderId="32" applyFont="1" applyFill="1" applyBorder="1" applyAlignment="1">
      <alignment horizontal="center" vertical="center"/>
    </xf>
    <xf numFmtId="0" fontId="88" fillId="0" borderId="27" applyFont="1" applyFill="1" applyBorder="1" applyAlignment="1">
      <alignment horizontal="center" vertical="center"/>
    </xf>
    <xf numFmtId="164" fontId="50" fillId="30" borderId="0" applyNumberFormat="1" applyFont="1" applyFill="1" applyAlignment="1">
      <alignment horizontal="right"/>
    </xf>
    <xf numFmtId="0" fontId="44" fillId="0" borderId="0" applyFont="1" applyFill="1" applyBorder="1" applyAlignment="1">
      <alignment horizontal="center"/>
    </xf>
    <xf numFmtId="0" fontId="41" fillId="0" borderId="28" applyFont="1" applyFill="1" applyBorder="1" applyAlignment="1">
      <alignment horizontal="center" vertical="center"/>
    </xf>
    <xf numFmtId="0" fontId="88" fillId="0" borderId="0" applyFont="1" applyFill="1" applyBorder="1" applyAlignment="1">
      <alignment horizontal="center" vertical="center"/>
    </xf>
    <xf numFmtId="0" fontId="88" fillId="0" borderId="29" applyFont="1" applyFill="1" applyBorder="1" applyAlignment="1">
      <alignment horizontal="center" vertical="center"/>
    </xf>
    <xf numFmtId="0" fontId="88" fillId="0" borderId="0" applyFont="1" applyFill="1"/>
    <xf numFmtId="0" fontId="41" fillId="0" borderId="28" applyFont="1" applyFill="1" applyBorder="1" applyAlignment="1">
      <alignment horizontal="center" vertical="center" wrapText="1"/>
    </xf>
    <xf numFmtId="0" fontId="41" fillId="0" borderId="0" applyFont="1" applyFill="1" applyBorder="1" applyAlignment="1">
      <alignment horizontal="center" vertical="center" wrapText="1"/>
    </xf>
    <xf numFmtId="0" fontId="41" fillId="0" borderId="29" applyFont="1" applyFill="1" applyBorder="1" applyAlignment="1">
      <alignment horizontal="center" vertical="center" wrapText="1"/>
    </xf>
    <xf numFmtId="0" fontId="41" fillId="0" borderId="0" applyFont="1" applyFill="1" applyBorder="1" applyAlignment="1">
      <alignment horizontal="center" vertical="center"/>
    </xf>
    <xf numFmtId="0" fontId="41" fillId="0" borderId="29" applyFont="1" applyFill="1" applyBorder="1" applyAlignment="1">
      <alignment horizontal="center" vertical="center"/>
    </xf>
    <xf numFmtId="0" fontId="42" fillId="36" borderId="34" applyFont="1" applyFill="1" applyBorder="1" applyAlignment="1">
      <alignment horizontal="center"/>
    </xf>
    <xf numFmtId="0" fontId="42" fillId="36" borderId="35" applyFont="1" applyFill="1" applyBorder="1" applyAlignment="1">
      <alignment horizontal="center"/>
    </xf>
    <xf numFmtId="0" fontId="42" fillId="36" borderId="36" applyFont="1" applyFill="1" applyBorder="1" applyAlignment="1">
      <alignment horizontal="center"/>
    </xf>
    <xf numFmtId="0" fontId="43" fillId="30" borderId="0" applyFont="1" applyFill="1" applyAlignment="1">
      <alignment horizontal="right"/>
    </xf>
    <xf numFmtId="0" fontId="48" fillId="36" borderId="26" applyFont="1" applyFill="1" applyBorder="1"/>
    <xf numFmtId="0" fontId="48" fillId="36" borderId="27" applyFont="1" applyFill="1" applyBorder="1"/>
    <xf numFmtId="0" fontId="43" fillId="30" borderId="49" applyFont="1" applyFill="1" applyBorder="1" applyAlignment="1">
      <alignment horizontal="center"/>
    </xf>
    <xf numFmtId="0" fontId="43" fillId="30" borderId="51" applyFont="1" applyFill="1" applyBorder="1" applyAlignment="1">
      <alignment horizontal="center"/>
    </xf>
    <xf numFmtId="0" fontId="48" fillId="36" borderId="34" applyFont="1" applyFill="1" applyBorder="1" applyAlignment="1">
      <alignment horizontal="center"/>
    </xf>
    <xf numFmtId="0" fontId="48" fillId="36" borderId="35" applyFont="1" applyFill="1" applyBorder="1" applyAlignment="1">
      <alignment horizontal="center"/>
    </xf>
    <xf numFmtId="0" fontId="48" fillId="36" borderId="36" applyFont="1" applyFill="1" applyBorder="1" applyAlignment="1">
      <alignment horizontal="center"/>
    </xf>
    <xf numFmtId="0" fontId="83" fillId="0" borderId="0" applyNumberFormat="1" applyFont="1" applyFill="1" applyAlignment="1">
      <alignment horizontal="left" wrapText="1"/>
    </xf>
    <xf numFmtId="0" fontId="43" fillId="30" borderId="34" applyFont="1" applyFill="1" applyBorder="1" applyAlignment="1">
      <alignment horizontal="center"/>
    </xf>
    <xf numFmtId="0" fontId="43" fillId="30" borderId="36" applyFont="1" applyFill="1" applyBorder="1" applyAlignment="1">
      <alignment horizontal="center"/>
    </xf>
    <xf numFmtId="0" fontId="83" fillId="0" borderId="0" applyNumberFormat="1" applyFont="1" applyFill="1" applyBorder="1" applyAlignment="1">
      <alignment horizontal="left" wrapText="1"/>
    </xf>
    <xf numFmtId="0" fontId="25" fillId="36" borderId="39" applyFont="1" applyFill="1" applyBorder="1" applyAlignment="1">
      <alignment horizontal="center" vertical="center"/>
    </xf>
    <xf numFmtId="0" fontId="43" fillId="0" borderId="0" applyFont="1" applyFill="1" applyAlignment="1">
      <alignment horizontal="right"/>
    </xf>
    <xf numFmtId="164" fontId="50" fillId="30" borderId="0" applyNumberFormat="1" applyFont="1" applyFill="1" applyAlignment="1">
      <alignment horizontal="right"/>
    </xf>
    <xf numFmtId="0" fontId="0" fillId="0" borderId="34" applyFont="1" applyFill="1" applyBorder="1" applyAlignment="1">
      <alignment horizontal="center"/>
    </xf>
    <xf numFmtId="0" fontId="0" fillId="0" borderId="36" applyFont="1" applyFill="1" applyBorder="1" applyAlignment="1">
      <alignment horizontal="center"/>
    </xf>
    <xf numFmtId="0" fontId="0" fillId="34" borderId="34" applyFont="1" applyFill="1" applyBorder="1" applyAlignment="1">
      <alignment horizontal="center"/>
    </xf>
    <xf numFmtId="0" fontId="0" fillId="34" borderId="36" applyFont="1" applyFill="1" applyBorder="1" applyAlignment="1">
      <alignment horizontal="center"/>
    </xf>
    <xf numFmtId="49" fontId="51" fillId="36" borderId="34" applyNumberFormat="1" applyFont="1" applyFill="1" applyBorder="1" applyAlignment="1">
      <alignment horizontal="center" vertical="center"/>
    </xf>
    <xf numFmtId="49" fontId="0" fillId="36" borderId="35" applyNumberFormat="1" applyFont="1" applyFill="1" applyBorder="1" applyAlignment="1">
      <alignment horizontal="center" vertical="center"/>
    </xf>
    <xf numFmtId="49" fontId="0" fillId="36" borderId="36" applyNumberFormat="1" applyFont="1" applyFill="1" applyBorder="1" applyAlignment="1">
      <alignment horizontal="center" vertical="center"/>
    </xf>
    <xf numFmtId="0" fontId="51" fillId="36" borderId="34" applyFont="1" applyFill="1" applyBorder="1" applyAlignment="1">
      <alignment horizontal="center" vertical="center"/>
    </xf>
    <xf numFmtId="0" fontId="0" fillId="36" borderId="35" applyFont="1" applyFill="1" applyBorder="1" applyAlignment="1">
      <alignment horizontal="center" vertical="center"/>
    </xf>
    <xf numFmtId="0" fontId="0" fillId="36" borderId="33" applyFont="1" applyFill="1" applyBorder="1" applyAlignment="1">
      <alignment horizontal="center" vertical="center"/>
    </xf>
    <xf numFmtId="0" fontId="0" fillId="36" borderId="31" applyFont="1" applyFill="1" applyBorder="1" applyAlignment="1">
      <alignment horizontal="center" vertical="center"/>
    </xf>
    <xf numFmtId="0" fontId="39" fillId="30" borderId="0" applyFont="1" applyFill="1" applyAlignment="1">
      <alignment horizontal="center"/>
    </xf>
    <xf numFmtId="0" fontId="0" fillId="0" borderId="0" applyFont="1" applyFill="1"/>
    <xf numFmtId="0" fontId="88" fillId="30" borderId="0" applyFont="1" applyFill="1"/>
    <xf numFmtId="164" fontId="88" fillId="30" borderId="0" applyNumberFormat="1" applyFont="1" applyFill="1" applyAlignment="1">
      <alignment horizontal="right"/>
    </xf>
    <xf numFmtId="1" fontId="83" fillId="0" borderId="0" applyNumberFormat="1" applyFont="1" applyFill="1" applyAlignment="1">
      <alignment horizontal="left" wrapText="1"/>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20" fillId="0" borderId="34" applyFont="1" applyFill="1" applyBorder="1" applyAlignment="1">
      <alignment horizontal="center"/>
    </xf>
    <xf numFmtId="0" fontId="20" fillId="0" borderId="35" applyFont="1" applyFill="1" applyBorder="1" applyAlignment="1">
      <alignment horizontal="center"/>
    </xf>
    <xf numFmtId="0" fontId="20" fillId="0" borderId="36" applyFont="1" applyFill="1" applyBorder="1" applyAlignment="1">
      <alignment horizontal="center"/>
    </xf>
    <xf numFmtId="0" fontId="51" fillId="36" borderId="34" applyFont="1" applyFill="1" applyBorder="1"/>
    <xf numFmtId="0" fontId="51" fillId="36" borderId="35" applyFont="1" applyFill="1" applyBorder="1"/>
    <xf numFmtId="0" fontId="51" fillId="36" borderId="36" applyFont="1" applyFill="1" applyBorder="1"/>
    <xf numFmtId="0" fontId="43" fillId="0" borderId="34" applyFont="1" applyFill="1" applyBorder="1" applyAlignment="1">
      <alignment horizontal="center" vertical="center" wrapText="1"/>
    </xf>
    <xf numFmtId="0" fontId="88" fillId="0" borderId="36"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0" fontId="51" fillId="36" borderId="26" applyFont="1" applyFill="1" applyBorder="1"/>
    <xf numFmtId="0" fontId="51" fillId="36" borderId="32" applyFont="1" applyFill="1" applyBorder="1"/>
    <xf numFmtId="0" fontId="51" fillId="36" borderId="27" applyFont="1" applyFill="1" applyBorder="1"/>
    <xf numFmtId="0" fontId="5" fillId="0" borderId="28" applyFont="1" applyFill="1" applyBorder="1"/>
    <xf numFmtId="0" fontId="5" fillId="0" borderId="29" applyFont="1" applyFill="1" applyBorder="1"/>
    <xf numFmtId="166" fontId="52" fillId="36" borderId="26" applyNumberFormat="1" applyFont="1" applyFill="1" applyBorder="1" applyAlignment="1">
      <alignment horizontal="center"/>
    </xf>
    <xf numFmtId="166" fontId="52" fillId="36" borderId="32" applyNumberFormat="1" applyFont="1" applyFill="1" applyBorder="1" applyAlignment="1">
      <alignment horizontal="center"/>
    </xf>
    <xf numFmtId="166" fontId="52" fillId="36" borderId="27" applyNumberFormat="1" applyFont="1" applyFill="1" applyBorder="1" applyAlignment="1">
      <alignment horizontal="center"/>
    </xf>
    <xf numFmtId="0" fontId="5" fillId="0" borderId="34" applyFont="1" applyFill="1" applyBorder="1"/>
    <xf numFmtId="0" fontId="5" fillId="0" borderId="36" applyFont="1" applyFill="1" applyBorder="1"/>
    <xf numFmtId="0" fontId="5" fillId="0" borderId="26" applyFont="1" applyFill="1" applyBorder="1"/>
    <xf numFmtId="0" fontId="5" fillId="0" borderId="27" applyFont="1" applyFill="1" applyBorder="1"/>
    <xf numFmtId="0" fontId="5" fillId="0" borderId="30" applyFont="1" applyFill="1" applyBorder="1"/>
    <xf numFmtId="0" fontId="5" fillId="0" borderId="31" applyFont="1" applyFill="1" applyBorder="1"/>
    <xf numFmtId="0" fontId="51" fillId="36" borderId="26" applyFont="1" applyFill="1" applyBorder="1" applyAlignment="1">
      <alignment horizontal="left"/>
    </xf>
    <xf numFmtId="0" fontId="51" fillId="36" borderId="32" applyFont="1" applyFill="1" applyBorder="1" applyAlignment="1">
      <alignment horizontal="left"/>
    </xf>
    <xf numFmtId="0" fontId="51" fillId="36" borderId="27" applyFont="1" applyFill="1" applyBorder="1" applyAlignment="1">
      <alignment horizontal="left"/>
    </xf>
    <xf numFmtId="166" fontId="52" fillId="36" borderId="34" applyNumberFormat="1" applyFont="1" applyFill="1" applyBorder="1" applyAlignment="1">
      <alignment horizontal="center"/>
    </xf>
    <xf numFmtId="166" fontId="52" fillId="36" borderId="35" applyNumberFormat="1" applyFont="1" applyFill="1" applyBorder="1" applyAlignment="1">
      <alignment horizontal="center"/>
    </xf>
    <xf numFmtId="166" fontId="52" fillId="36" borderId="36" applyNumberFormat="1" applyFont="1" applyFill="1" applyBorder="1" applyAlignment="1">
      <alignment horizontal="center"/>
    </xf>
    <xf numFmtId="0" fontId="5" fillId="33" borderId="30" applyFont="1" applyFill="1" applyBorder="1"/>
    <xf numFmtId="0" fontId="5" fillId="33" borderId="31" applyFont="1" applyFill="1" applyBorder="1"/>
    <xf numFmtId="0" fontId="5" fillId="33" borderId="26" applyFont="1" applyFill="1" applyBorder="1"/>
    <xf numFmtId="0" fontId="5" fillId="33" borderId="27" applyFont="1" applyFill="1" applyBorder="1"/>
    <xf numFmtId="0" fontId="5" fillId="33" borderId="28" applyFont="1" applyFill="1" applyBorder="1"/>
    <xf numFmtId="0" fontId="5" fillId="33" borderId="29" applyFont="1" applyFill="1" applyBorder="1"/>
    <xf numFmtId="0" fontId="83" fillId="0" borderId="0" applyNumberFormat="1" applyFont="1" applyFill="1" applyAlignment="1">
      <alignment horizontal="left" wrapText="1"/>
    </xf>
    <xf numFmtId="0" fontId="88" fillId="0" borderId="0" applyFont="1" applyFill="1" applyAlignment="1">
      <alignment horizontal="right"/>
    </xf>
    <xf numFmtId="49" fontId="42" fillId="36" borderId="34" applyNumberFormat="1" applyFont="1" applyFill="1" applyBorder="1" applyAlignment="1">
      <alignment horizontal="center"/>
    </xf>
    <xf numFmtId="49" fontId="42" fillId="36" borderId="35" applyNumberFormat="1" applyFont="1" applyFill="1" applyBorder="1" applyAlignment="1">
      <alignment horizontal="center"/>
    </xf>
    <xf numFmtId="49" fontId="42" fillId="36" borderId="36" applyNumberFormat="1" applyFont="1" applyFill="1" applyBorder="1" applyAlignment="1">
      <alignment horizontal="center"/>
    </xf>
    <xf numFmtId="0" fontId="43" fillId="0" borderId="0" applyFont="1" applyFill="1" applyBorder="1" applyAlignment="1">
      <alignment horizontal="center" vertical="center" wrapText="1"/>
    </xf>
    <xf numFmtId="0" fontId="88" fillId="0" borderId="19" applyFont="1" applyFill="1" applyBorder="1" applyAlignment="1">
      <alignment horizontal="center" vertical="center" wrapText="1"/>
    </xf>
    <xf numFmtId="0" fontId="51" fillId="36" borderId="34" applyFont="1" applyFill="1" applyBorder="1" applyAlignment="1">
      <alignment horizontal="left"/>
    </xf>
    <xf numFmtId="0" fontId="51" fillId="36" borderId="35" applyFont="1" applyFill="1" applyBorder="1" applyAlignment="1">
      <alignment horizontal="left"/>
    </xf>
    <xf numFmtId="0" fontId="51" fillId="36" borderId="36" applyFont="1" applyFill="1" applyBorder="1" applyAlignment="1">
      <alignment horizontal="left"/>
    </xf>
    <xf numFmtId="0" fontId="20" fillId="0" borderId="25" applyFont="1" applyFill="1" applyBorder="1" applyAlignment="1">
      <alignment horizontal="center"/>
    </xf>
    <xf numFmtId="0" fontId="20" fillId="0" borderId="53" applyFont="1" applyFill="1" applyBorder="1" applyAlignment="1">
      <alignment horizontal="center"/>
    </xf>
    <xf numFmtId="0" fontId="0" fillId="0" borderId="0" applyFont="1" applyFill="1" applyBorder="1" applyAlignment="1">
      <alignment horizontal="left" vertical="center"/>
    </xf>
    <xf numFmtId="170" fontId="0" fillId="0" borderId="0" applyNumberFormat="1" applyFont="1" applyFill="1" applyBorder="1" applyAlignment="1">
      <alignment horizontal="left" vertical="center"/>
    </xf>
    <xf numFmtId="0" fontId="82" fillId="0" borderId="0" applyNumberFormat="1" applyFont="1" applyFill="1" applyAlignment="1">
      <alignment horizontal="left" wrapText="1"/>
    </xf>
    <xf numFmtId="0" fontId="82" fillId="0" borderId="0" applyNumberFormat="1" applyFont="1" applyFill="1" applyAlignment="1">
      <alignment horizontal="left" wrapText="1"/>
    </xf>
    <xf numFmtId="0" fontId="82" fillId="33" borderId="0" applyFont="1" applyFill="1" applyBorder="1" applyAlignment="1">
      <alignment horizontal="center"/>
    </xf>
    <xf numFmtId="0" fontId="82" fillId="0" borderId="28" applyFont="1" applyFill="1" applyBorder="1" applyAlignment="1">
      <alignment horizontal="center"/>
    </xf>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29" applyFont="1" applyFill="1" applyBorder="1" applyAlignment="1">
      <alignment horizontal="center"/>
    </xf>
    <xf numFmtId="0" fontId="82" fillId="0" borderId="29" applyFont="1" applyFill="1" applyBorder="1" applyAlignment="1">
      <alignment horizontal="center"/>
    </xf>
    <xf numFmtId="0" fontId="82" fillId="33" borderId="30" applyFont="1" applyFill="1" applyBorder="1" applyAlignment="1">
      <alignment horizontal="center"/>
    </xf>
    <xf numFmtId="0" fontId="82" fillId="33" borderId="28" applyFont="1" applyFill="1" applyBorder="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39" fillId="0" borderId="0" applyFont="1" applyFill="1" applyAlignment="1">
      <alignment horizontal="center"/>
    </xf>
    <xf numFmtId="0" fontId="29" fillId="0" borderId="0" applyFont="1" applyFill="1" applyBorder="1" applyAlignment="1">
      <alignment horizontal="center"/>
    </xf>
    <xf numFmtId="0" fontId="82" fillId="0" borderId="26" applyFont="1" applyFill="1" applyBorder="1" applyAlignment="1">
      <alignment horizontal="center"/>
    </xf>
    <xf numFmtId="0" fontId="82" fillId="33" borderId="31" applyFont="1" applyFill="1" applyBorder="1" applyAlignment="1">
      <alignment horizontal="center"/>
    </xf>
    <xf numFmtId="0" fontId="0" fillId="0" borderId="0" applyFont="1" applyFill="1"/>
    <xf numFmtId="0" fontId="0" fillId="0" borderId="0" applyFont="1" applyFill="1" applyAlignment="1">
      <alignment horizontal="center"/>
    </xf>
    <xf numFmtId="0" fontId="43" fillId="0" borderId="0" applyFont="1" applyFill="1" applyBorder="1"/>
    <xf numFmtId="0" fontId="82" fillId="0" borderId="0" applyFont="1" applyFill="1" applyBorder="1" applyAlignment="1">
      <alignment horizontal="center"/>
    </xf>
    <xf numFmtId="0" fontId="82" fillId="33" borderId="33" applyFont="1" applyFill="1" applyBorder="1" applyAlignment="1">
      <alignment horizontal="center"/>
    </xf>
    <xf numFmtId="0" fontId="82" fillId="33" borderId="31" applyFont="1" applyFill="1" applyBorder="1" applyAlignment="1">
      <alignment horizontal="center"/>
    </xf>
    <xf numFmtId="0" fontId="82" fillId="0" borderId="29" applyFont="1" applyFill="1" applyBorder="1" applyAlignment="1">
      <alignment horizontal="center"/>
    </xf>
    <xf numFmtId="0" fontId="82" fillId="33" borderId="28" applyFont="1" applyFill="1" applyBorder="1" applyAlignment="1">
      <alignment horizontal="center"/>
    </xf>
    <xf numFmtId="0" fontId="82" fillId="33" borderId="0" applyFont="1" applyFill="1" applyBorder="1" applyAlignment="1">
      <alignment horizontal="center"/>
    </xf>
    <xf numFmtId="0" fontId="82" fillId="33" borderId="30" applyFont="1" applyFill="1" applyBorder="1" applyAlignment="1">
      <alignment horizontal="center"/>
    </xf>
    <xf numFmtId="0" fontId="82" fillId="0" borderId="28" applyFont="1" applyFill="1" applyBorder="1" applyAlignment="1">
      <alignment horizontal="center"/>
    </xf>
    <xf numFmtId="0" fontId="39" fillId="0" borderId="0" applyFont="1" applyFill="1" applyAlignment="1">
      <alignment horizontal="center"/>
    </xf>
    <xf numFmtId="0" fontId="82" fillId="0" borderId="32" applyFont="1" applyFill="1" applyBorder="1" applyAlignment="1">
      <alignment horizontal="center"/>
    </xf>
    <xf numFmtId="0" fontId="82" fillId="0" borderId="27" applyFont="1" applyFill="1" applyBorder="1" applyAlignment="1">
      <alignment horizontal="center"/>
    </xf>
    <xf numFmtId="0" fontId="82" fillId="0" borderId="26" applyFont="1" applyFill="1" applyBorder="1" applyAlignment="1">
      <alignment horizontal="center"/>
    </xf>
    <xf numFmtId="0" fontId="29" fillId="0" borderId="0" applyFont="1" applyFill="1" applyBorder="1" applyAlignment="1">
      <alignment horizontal="center"/>
    </xf>
    <xf numFmtId="0" fontId="82" fillId="33" borderId="29" applyFont="1" applyFill="1" applyBorder="1" applyAlignment="1">
      <alignment horizontal="center"/>
    </xf>
    <xf numFmtId="164" fontId="0" fillId="30" borderId="0" applyNumberFormat="1" applyFont="1" applyFill="1"/>
    <xf numFmtId="0" fontId="0" fillId="30" borderId="0" applyFont="1" applyFill="1"/>
    <xf numFmtId="0" fontId="0" fillId="30" borderId="0" applyFont="1" applyFill="1" applyAlignment="1">
      <alignment horizontal="center"/>
    </xf>
    <xf numFmtId="0" fontId="5" fillId="0" borderId="0" applyFont="1" applyFill="1" applyAlignment="1">
      <alignment horizontal="left" vertical="top" wrapText="1"/>
    </xf>
    <xf numFmtId="0" fontId="83" fillId="30" borderId="0" applyNumberFormat="1" applyFont="1" applyFill="1" applyBorder="1" applyAlignment="1">
      <alignment horizontal="left" wrapText="1"/>
    </xf>
    <xf numFmtId="0" fontId="39" fillId="30" borderId="0" applyFont="1" applyFill="1" applyBorder="1" applyAlignment="1">
      <alignment horizontal="center"/>
    </xf>
    <xf numFmtId="164" fontId="88" fillId="30" borderId="0" applyNumberFormat="1" applyFont="1" applyFill="1" applyBorder="1"/>
    <xf numFmtId="0" fontId="88" fillId="30" borderId="0" applyFont="1" applyFill="1" applyBorder="1" applyAlignment="1">
      <alignment horizontal="left"/>
    </xf>
    <xf numFmtId="49" fontId="52" fillId="36" borderId="34" applyNumberFormat="1" applyFont="1" applyFill="1" applyBorder="1" applyAlignment="1">
      <alignment horizontal="center"/>
    </xf>
    <xf numFmtId="49" fontId="52" fillId="36" borderId="7" applyNumberFormat="1" applyFont="1" applyFill="1" applyBorder="1" applyAlignment="1">
      <alignment horizontal="center"/>
    </xf>
    <xf numFmtId="0" fontId="43" fillId="0" borderId="36" applyFont="1" applyFill="1" applyBorder="1" applyAlignment="1">
      <alignment horizontal="center" vertical="center" wrapText="1"/>
    </xf>
    <xf numFmtId="0" fontId="43" fillId="0" borderId="54" applyFont="1" applyFill="1" applyBorder="1" applyAlignment="1">
      <alignment horizontal="center" vertical="center" wrapText="1"/>
    </xf>
    <xf numFmtId="0" fontId="0" fillId="33" borderId="38" applyFont="1" applyFill="1" applyBorder="1"/>
    <xf numFmtId="0" fontId="48" fillId="36" borderId="37" applyFont="1" applyFill="1" applyBorder="1" applyAlignment="1">
      <alignment horizontal="center" vertical="center"/>
    </xf>
    <xf numFmtId="0" fontId="43" fillId="30" borderId="54" applyFont="1" applyFill="1" applyBorder="1" applyAlignment="1">
      <alignment horizontal="center" vertical="center" wrapText="1"/>
    </xf>
    <xf numFmtId="0" fontId="43" fillId="0" borderId="7" applyFont="1" applyFill="1" applyBorder="1" applyAlignment="1">
      <alignment horizontal="center" vertical="center" wrapText="1"/>
    </xf>
    <xf numFmtId="0" fontId="0" fillId="33" borderId="37" applyFont="1" applyFill="1" applyBorder="1"/>
    <xf numFmtId="0" fontId="88" fillId="33" borderId="39" applyFont="1" applyFill="1" applyBorder="1"/>
    <xf numFmtId="0" fontId="88" fillId="30" borderId="0" applyFont="1" applyFill="1" applyBorder="1" applyAlignment="1">
      <alignment vertical="center"/>
    </xf>
    <xf numFmtId="164" fontId="88" fillId="30" borderId="0" applyNumberFormat="1" applyFont="1" applyFill="1" applyBorder="1" applyAlignment="1">
      <alignment vertical="center"/>
    </xf>
    <xf numFmtId="0" fontId="88" fillId="0" borderId="38" applyFont="1" applyFill="1" applyBorder="1"/>
    <xf numFmtId="0" fontId="88" fillId="33" borderId="38" applyFont="1" applyFill="1" applyBorder="1"/>
    <xf numFmtId="0" fontId="48" fillId="36" borderId="7" applyFont="1" applyFill="1" applyBorder="1" applyAlignment="1">
      <alignment horizontal="center" vertical="center"/>
    </xf>
    <xf numFmtId="0" fontId="43" fillId="30" borderId="36" applyFont="1" applyFill="1" applyBorder="1" applyAlignment="1">
      <alignment horizontal="center" vertical="center" wrapText="1"/>
    </xf>
    <xf numFmtId="0" fontId="41" fillId="0" borderId="37" applyFont="1" applyFill="1" applyBorder="1" applyAlignment="1">
      <alignment horizontal="center" vertical="center"/>
    </xf>
    <xf numFmtId="0" fontId="41" fillId="0" borderId="37" applyFont="1" applyFill="1" applyBorder="1" applyAlignment="1">
      <alignment horizontal="center" vertical="center" wrapText="1"/>
    </xf>
    <xf numFmtId="0" fontId="43" fillId="0" borderId="0" applyFont="1" applyFill="1" applyBorder="1" applyAlignment="1">
      <alignment horizontal="right"/>
    </xf>
    <xf numFmtId="164" fontId="50" fillId="30" borderId="0" applyNumberFormat="1" applyFont="1" applyFill="1" applyBorder="1" applyAlignment="1">
      <alignment horizontal="right"/>
    </xf>
    <xf numFmtId="164" fontId="43" fillId="30" borderId="0" applyNumberFormat="1" applyFont="1" applyFill="1" applyBorder="1" applyAlignment="1">
      <alignment horizontal="right"/>
    </xf>
    <xf numFmtId="0" fontId="41" fillId="0" borderId="38" applyFont="1" applyFill="1" applyBorder="1" applyAlignment="1">
      <alignment horizontal="center" vertical="center"/>
    </xf>
    <xf numFmtId="0" fontId="41" fillId="0" borderId="38" applyFont="1" applyFill="1" applyBorder="1" applyAlignment="1">
      <alignment horizontal="center" vertical="center" wrapText="1"/>
    </xf>
    <xf numFmtId="0" fontId="42" fillId="36" borderId="7" applyFont="1" applyFill="1" applyBorder="1" applyAlignment="1">
      <alignment horizontal="center"/>
    </xf>
    <xf numFmtId="0" fontId="43" fillId="30" borderId="0" applyFont="1" applyFill="1" applyBorder="1" applyAlignment="1">
      <alignment horizontal="right"/>
    </xf>
    <xf numFmtId="0" fontId="48" fillId="36" borderId="7" applyFont="1" applyFill="1" applyBorder="1" applyAlignment="1">
      <alignment horizontal="center"/>
    </xf>
    <xf numFmtId="0" fontId="43" fillId="30" borderId="7" applyFont="1" applyFill="1" applyBorder="1" applyAlignment="1">
      <alignment horizontal="center"/>
    </xf>
    <xf numFmtId="0" fontId="25" fillId="36" borderId="7" applyFont="1" applyFill="1" applyBorder="1" applyAlignment="1">
      <alignment horizontal="center" vertical="center"/>
    </xf>
    <xf numFmtId="0" fontId="0" fillId="0" borderId="7" applyFont="1" applyFill="1" applyBorder="1" applyAlignment="1">
      <alignment horizontal="center"/>
    </xf>
    <xf numFmtId="0" fontId="0" fillId="34" borderId="7" applyFont="1" applyFill="1" applyBorder="1" applyAlignment="1">
      <alignment horizontal="center"/>
    </xf>
    <xf numFmtId="49" fontId="48" fillId="36" borderId="34" applyNumberFormat="1" applyFont="1" applyFill="1" applyBorder="1" applyAlignment="1">
      <alignment horizontal="center" vertical="center"/>
    </xf>
    <xf numFmtId="49" fontId="48" fillId="36" borderId="7" applyNumberFormat="1" applyFont="1" applyFill="1" applyBorder="1" applyAlignment="1">
      <alignment horizontal="center" vertical="center"/>
    </xf>
    <xf numFmtId="0" fontId="48" fillId="36" borderId="34" applyFont="1" applyFill="1" applyBorder="1" applyAlignment="1">
      <alignment horizontal="center" vertical="center"/>
    </xf>
    <xf numFmtId="1" fontId="83" fillId="0" borderId="0" applyNumberFormat="1" applyFont="1" applyFill="1" applyBorder="1" applyAlignment="1">
      <alignment horizontal="left" wrapText="1"/>
    </xf>
    <xf numFmtId="166" fontId="52" fillId="36" borderId="7" applyNumberFormat="1" applyFont="1" applyFill="1" applyBorder="1" applyAlignment="1">
      <alignment horizontal="center"/>
    </xf>
    <xf numFmtId="0" fontId="51" fillId="36" borderId="7" applyFont="1" applyFill="1" applyBorder="1"/>
    <xf numFmtId="0" fontId="51" fillId="36" borderId="7" applyFont="1" applyFill="1" applyBorder="1" applyAlignment="1">
      <alignment horizontal="left"/>
    </xf>
    <xf numFmtId="164" fontId="88" fillId="30" borderId="0" applyNumberFormat="1" applyFont="1" applyFill="1" applyBorder="1" applyAlignment="1">
      <alignment horizontal="right"/>
    </xf>
    <xf numFmtId="166" fontId="52" fillId="36" borderId="37" applyNumberFormat="1" applyFont="1" applyFill="1" applyBorder="1" applyAlignment="1">
      <alignment horizontal="center"/>
    </xf>
    <xf numFmtId="0" fontId="51" fillId="36" borderId="37" applyFont="1" applyFill="1" applyBorder="1" applyAlignment="1">
      <alignment horizontal="left"/>
    </xf>
    <xf numFmtId="0" fontId="51" fillId="36" borderId="37" applyFont="1" applyFill="1" applyBorder="1"/>
    <xf numFmtId="49" fontId="42" fillId="36" borderId="7" applyNumberFormat="1" applyFont="1" applyFill="1" applyBorder="1" applyAlignment="1">
      <alignment horizontal="center"/>
    </xf>
    <xf numFmtId="0" fontId="43" fillId="0" borderId="19" applyFont="1" applyFill="1" applyBorder="1" applyAlignment="1">
      <alignment horizontal="center" vertical="center" wrapText="1"/>
    </xf>
    <xf numFmtId="0" fontId="5" fillId="33" borderId="37" applyFont="1" applyFill="1" applyBorder="1"/>
    <xf numFmtId="0" fontId="5" fillId="0" borderId="38" applyFont="1" applyFill="1" applyBorder="1"/>
    <xf numFmtId="0" fontId="5" fillId="0" borderId="7" applyFont="1" applyFill="1" applyBorder="1"/>
    <xf numFmtId="0" fontId="5" fillId="33" borderId="38" applyFont="1" applyFill="1" applyBorder="1"/>
    <xf numFmtId="0" fontId="5" fillId="33" borderId="39" applyFont="1" applyFill="1" applyBorder="1"/>
    <xf numFmtId="0" fontId="5" fillId="0" borderId="37" applyFont="1" applyFill="1" applyBorder="1"/>
    <xf numFmtId="0" fontId="5" fillId="0" borderId="39" applyFont="1" applyFill="1" applyBorder="1"/>
    <xf numFmtId="0" fontId="39" fillId="0" borderId="0" applyFont="1" applyFill="1" applyBorder="1" applyAlignment="1">
      <alignment horizontal="center"/>
    </xf>
    <xf numFmtId="0" fontId="82" fillId="0" borderId="0" applyNumberFormat="1" applyFont="1" applyFill="1" applyBorder="1" applyAlignment="1">
      <alignment horizontal="left" wrapText="1"/>
    </xf>
    <xf numFmtId="164" fontId="0" fillId="30" borderId="0" applyNumberFormat="1" applyFont="1" applyFill="1" applyBorder="1"/>
    <xf numFmtId="0" fontId="5" fillId="0" borderId="0" applyFont="1" applyFill="1" applyBorder="1" applyAlignment="1">
      <alignment horizontal="left" vertical="top" wrapText="1"/>
    </xf>
    <xf numFmtId="0" borderId="0"/>
    <xf numFmtId="0" fontId="103" fillId="36" borderId="55" applyFont="1" applyFill="1" applyBorder="1" applyAlignment="1">
      <alignment horizontal="center" vertical="bottom"/>
    </xf>
    <xf numFmtId="0" fontId="103" fillId="36" borderId="56" applyFont="1" applyFill="1" applyBorder="1" applyAlignment="1">
      <alignment horizontal="center" vertical="bottom"/>
    </xf>
    <xf numFmtId="0" fontId="103" fillId="36" borderId="57" applyFont="1" applyFill="1" applyBorder="1" applyAlignment="1">
      <alignment horizontal="center" vertical="bottom"/>
    </xf>
    <xf numFmtId="0" fontId="103" fillId="36" borderId="58" applyFont="1" applyFill="1" applyBorder="1" applyAlignment="1">
      <alignment horizontal="center" vertical="bottom"/>
    </xf>
    <xf numFmtId="0" fontId="43" fillId="0" borderId="59" applyFont="1" applyFill="1" applyBorder="1" applyAlignment="1">
      <alignment horizontal="right"/>
    </xf>
    <xf numFmtId="164" fontId="88" fillId="30" borderId="59" applyNumberFormat="1" applyFont="1" applyFill="1" applyBorder="1"/>
    <xf numFmtId="164" fontId="50" fillId="30" borderId="59" applyNumberFormat="1" applyFont="1" applyFill="1" applyBorder="1" applyAlignment="1">
      <alignment horizontal="right"/>
    </xf>
    <xf numFmtId="0" fontId="44" fillId="0" borderId="59" applyFont="1" applyFill="1" applyBorder="1" applyAlignment="1">
      <alignment horizontal="center"/>
    </xf>
    <xf numFmtId="0" fontId="104" fillId="0" borderId="60" applyFont="1" applyFill="1" applyBorder="1" applyAlignment="1">
      <alignment horizontal="center" vertical="center"/>
    </xf>
    <xf numFmtId="0" fontId="104" fillId="0" borderId="61" applyFont="1" applyFill="1" applyBorder="1" applyAlignment="1">
      <alignment horizontal="center" vertical="center"/>
    </xf>
    <xf numFmtId="0" fontId="41" fillId="0" borderId="62" applyFont="1" applyFill="1" applyBorder="1" applyAlignment="1">
      <alignment horizontal="center" vertical="center"/>
    </xf>
    <xf numFmtId="0" fontId="41" fillId="0" borderId="62" applyFont="1" applyFill="1" applyBorder="1" applyAlignment="1">
      <alignment horizontal="center" vertical="center" wrapText="1"/>
    </xf>
    <xf numFmtId="0" fontId="41" fillId="0" borderId="63" applyFont="1" applyFill="1" applyBorder="1" applyAlignment="1">
      <alignment horizontal="center"/>
    </xf>
    <xf numFmtId="166" fontId="88" fillId="30" borderId="64" applyNumberFormat="1" applyFont="1" applyFill="1" applyBorder="1" applyAlignment="1">
      <alignment horizontal="center"/>
    </xf>
    <xf numFmtId="166" fontId="88" fillId="30" borderId="60" applyNumberFormat="1" applyFont="1" applyFill="1" applyBorder="1" applyAlignment="1">
      <alignment horizontal="center"/>
    </xf>
    <xf numFmtId="166" fontId="88" fillId="33" borderId="65" applyNumberFormat="1" applyFont="1" applyFill="1" applyBorder="1" applyAlignment="1">
      <alignment horizontal="center"/>
    </xf>
    <xf numFmtId="166" fontId="88" fillId="33" borderId="66" applyNumberFormat="1" applyFont="1" applyFill="1" applyBorder="1" applyAlignment="1">
      <alignment horizontal="center"/>
    </xf>
    <xf numFmtId="166" fontId="88" fillId="30" borderId="65" applyNumberFormat="1" applyFont="1" applyFill="1" applyBorder="1" applyAlignment="1">
      <alignment horizontal="center"/>
    </xf>
    <xf numFmtId="166" fontId="88" fillId="30" borderId="66" applyNumberFormat="1" applyFont="1" applyFill="1" applyBorder="1" applyAlignment="1">
      <alignment horizontal="center"/>
    </xf>
    <xf numFmtId="166" fontId="88" fillId="33" borderId="67" applyNumberFormat="1" applyFont="1" applyFill="1" applyBorder="1" applyAlignment="1">
      <alignment horizontal="center"/>
    </xf>
    <xf numFmtId="166" fontId="88" fillId="33" borderId="63" applyNumberFormat="1" applyFont="1" applyFill="1" applyBorder="1" applyAlignment="1">
      <alignment horizontal="center"/>
    </xf>
    <xf numFmtId="2" fontId="88" fillId="30" borderId="64" applyNumberFormat="1" applyFont="1" applyFill="1" applyBorder="1" applyAlignment="1">
      <alignment horizontal="center"/>
    </xf>
    <xf numFmtId="2" fontId="88" fillId="30" borderId="60" applyNumberFormat="1" applyFont="1" applyFill="1" applyBorder="1" applyAlignment="1">
      <alignment horizontal="center"/>
    </xf>
    <xf numFmtId="2" fontId="88" fillId="33" borderId="65" applyNumberFormat="1" applyFont="1" applyFill="1" applyBorder="1" applyAlignment="1">
      <alignment horizontal="center"/>
    </xf>
    <xf numFmtId="2" fontId="88" fillId="33" borderId="66" applyNumberFormat="1" applyFont="1" applyFill="1" applyBorder="1" applyAlignment="1">
      <alignment horizontal="center"/>
    </xf>
    <xf numFmtId="0" fontId="105" fillId="38" borderId="68" applyFont="1" applyFill="1" applyBorder="1"/>
    <xf numFmtId="0" fontId="87" fillId="0" borderId="59" applyNumberFormat="1" applyFont="1" applyFill="1" applyBorder="1" applyAlignment="1">
      <alignment horizontal="left" wrapText="1"/>
    </xf>
    <xf numFmtId="0" fontId="106" fillId="39" borderId="0" applyFont="1" applyFill="1"/>
    <xf numFmtId="49" fontId="55" fillId="36" borderId="69" applyNumberFormat="1" applyFont="1" applyFill="1" applyBorder="1" applyAlignment="1">
      <alignment textRotation="90" wrapText="1"/>
    </xf>
    <xf numFmtId="0" fontId="107" fillId="38" borderId="70" applyFont="1" applyFill="1" applyBorder="1" applyAlignment="1">
      <alignment horizontal="left" vertical="center"/>
    </xf>
    <xf numFmtId="171" fontId="107" fillId="38" borderId="70" applyNumberFormat="1" applyFont="1" applyFill="1" applyBorder="1" applyAlignment="1">
      <alignment horizontal="left" vertical="center"/>
    </xf>
    <xf numFmtId="0" fontId="107" fillId="38" borderId="70" applyFont="1" applyFill="1" applyBorder="1" applyAlignment="1">
      <alignment horizontal="right" vertical="center"/>
    </xf>
    <xf numFmtId="0" fontId="108" fillId="38" borderId="71" applyFont="1" applyFill="1" applyBorder="1" applyAlignment="1">
      <alignment horizontal="center" vertical="center"/>
    </xf>
    <xf numFmtId="0" fontId="108" fillId="38" borderId="72" applyFont="1" applyFill="1" applyBorder="1" applyAlignment="1">
      <alignment horizontal="center" vertical="center"/>
    </xf>
    <xf numFmtId="0" fontId="108" fillId="38" borderId="73" applyFont="1" applyFill="1" applyBorder="1" applyAlignment="1">
      <alignment horizontal="center" vertical="center"/>
    </xf>
    <xf numFmtId="0" fontId="107" fillId="40" borderId="70" applyFont="1" applyFill="1" applyBorder="1" applyAlignment="1">
      <alignment horizontal="left" vertical="center"/>
    </xf>
    <xf numFmtId="0" fontId="107" fillId="40" borderId="70" applyFont="1" applyFill="1" applyBorder="1" applyAlignment="1">
      <alignment horizontal="right" vertical="center"/>
    </xf>
    <xf numFmtId="0" fontId="108" fillId="40" borderId="71" applyFont="1" applyFill="1" applyBorder="1" applyAlignment="1">
      <alignment horizontal="center" vertical="center"/>
    </xf>
    <xf numFmtId="0" fontId="108" fillId="40" borderId="72" applyFont="1" applyFill="1" applyBorder="1" applyAlignment="1">
      <alignment horizontal="center" vertical="center"/>
    </xf>
    <xf numFmtId="0" fontId="108" fillId="40" borderId="73" applyFont="1" applyFill="1" applyBorder="1" applyAlignment="1">
      <alignment horizontal="center" vertical="center"/>
    </xf>
    <xf numFmtId="171" fontId="107" fillId="40" borderId="70" applyNumberFormat="1" applyFont="1" applyFill="1" applyBorder="1" applyAlignment="1">
      <alignment horizontal="left" vertical="center"/>
    </xf>
    <xf numFmtId="0" fontId="109" fillId="0" borderId="0" applyFont="1" applyFill="1" applyBorder="1" applyAlignment="1">
      <alignment horizontal="left" vertical="center"/>
    </xf>
    <xf numFmtId="0" fontId="49" fillId="0" borderId="0" applyFont="1" applyFill="1" applyBorder="1" applyAlignment="1">
      <alignment horizontal="center" vertical="bottom"/>
    </xf>
  </cellXfs>
  <cellStyles count="788">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_Hyatt DBM Sample" xfId="57"/>
    <cellStyle name="Currency" xfId="58" builtinId="4"/>
    <cellStyle name="Currency 2" xfId="59"/>
    <cellStyle name="Explanatory Text" xfId="60" builtinId="53" customBuiltin="1"/>
    <cellStyle name="Explanatory Text 2" xfId="61"/>
    <cellStyle name="ExtStyle 0" xfId="62"/>
    <cellStyle name="ExtStyle 0 2" xfId="63"/>
    <cellStyle name="ExtStyle 0 3" xfId="64"/>
    <cellStyle name="ExtStyle 0 4" xfId="65"/>
    <cellStyle name="ExtStyle 16" xfId="66"/>
    <cellStyle name="ExtStyle 16 2" xfId="67"/>
    <cellStyle name="ExtStyle 16 3" xfId="68"/>
    <cellStyle name="ExtStyle 16 4" xfId="69"/>
    <cellStyle name="ExtStyle 17" xfId="70"/>
    <cellStyle name="ExtStyle 17 2" xfId="71"/>
    <cellStyle name="ExtStyle 17 3" xfId="72"/>
    <cellStyle name="ExtStyle 17 4" xfId="73"/>
    <cellStyle name="ExtStyle 18" xfId="74"/>
    <cellStyle name="ExtStyle 18 2" xfId="75"/>
    <cellStyle name="ExtStyle 18 3" xfId="76"/>
    <cellStyle name="ExtStyle 18 4" xfId="77"/>
    <cellStyle name="ExtStyle 19" xfId="78"/>
    <cellStyle name="ExtStyle 19 2" xfId="79"/>
    <cellStyle name="ExtStyle 19 3" xfId="80"/>
    <cellStyle name="ExtStyle 19 4" xfId="81"/>
    <cellStyle name="ExtStyle 20" xfId="82"/>
    <cellStyle name="ExtStyle 20 2" xfId="83"/>
    <cellStyle name="ExtStyle 21" xfId="84"/>
    <cellStyle name="ExtStyle 21 2" xfId="85"/>
    <cellStyle name="ExtStyle 22" xfId="86"/>
    <cellStyle name="ExtStyle 22 2" xfId="87"/>
    <cellStyle name="ExtStyle 22 3" xfId="88"/>
    <cellStyle name="ExtStyle 22 4" xfId="89"/>
    <cellStyle name="ExtStyle 28" xfId="90"/>
    <cellStyle name="ExtStyle 28 2" xfId="91"/>
    <cellStyle name="ExtStyle 29" xfId="92"/>
    <cellStyle name="ExtStyle 29 2" xfId="93"/>
    <cellStyle name="ExtStyle 30" xfId="94"/>
    <cellStyle name="ExtStyle 30 2" xfId="95"/>
    <cellStyle name="ExtStyle 30 3" xfId="96"/>
    <cellStyle name="ExtStyle 30 4" xfId="97"/>
    <cellStyle name="ExtStyle 31" xfId="98"/>
    <cellStyle name="ExtStyle 31 2" xfId="99"/>
    <cellStyle name="ExtStyle 32" xfId="100"/>
    <cellStyle name="ExtStyle 32 2" xfId="101"/>
    <cellStyle name="ExtStyle 33" xfId="102"/>
    <cellStyle name="ExtStyle 33 2" xfId="103"/>
    <cellStyle name="ExtStyle 33 3" xfId="104"/>
    <cellStyle name="ExtStyle 33 4" xfId="105"/>
    <cellStyle name="ExtStyle 34" xfId="106"/>
    <cellStyle name="ExtStyle 34 2" xfId="107"/>
    <cellStyle name="ExtStyle 35" xfId="108"/>
    <cellStyle name="ExtStyle 35 2" xfId="109"/>
    <cellStyle name="ExtStyle 36" xfId="110"/>
    <cellStyle name="ExtStyle 36 2" xfId="111"/>
    <cellStyle name="ExtStyle 36 3" xfId="112"/>
    <cellStyle name="ExtStyle 36 4" xfId="113"/>
    <cellStyle name="ExtStyle 37" xfId="114"/>
    <cellStyle name="ExtStyle 37 2" xfId="115"/>
    <cellStyle name="ExtStyle 38" xfId="116"/>
    <cellStyle name="ExtStyle 38 2" xfId="117"/>
    <cellStyle name="ExtStyle 39" xfId="118"/>
    <cellStyle name="ExtStyle 39 2" xfId="119"/>
    <cellStyle name="ExtStyle 39 3" xfId="120"/>
    <cellStyle name="ExtStyle 39 4" xfId="121"/>
    <cellStyle name="ExtStyle 43" xfId="122"/>
    <cellStyle name="ExtStyle 44" xfId="123"/>
    <cellStyle name="ExtStyle 46" xfId="124"/>
    <cellStyle name="ExtStyle 47" xfId="125"/>
    <cellStyle name="ExtStyle 69" xfId="126"/>
    <cellStyle name="ExtStyle 75" xfId="127"/>
    <cellStyle name="ExtStyle 82" xfId="128"/>
    <cellStyle name="Good" xfId="129" builtinId="26" customBuiltin="1"/>
    <cellStyle name="Good 2" xfId="130"/>
    <cellStyle name="Heading 1" xfId="131" builtinId="16" customBuiltin="1"/>
    <cellStyle name="Heading 1 2" xfId="132"/>
    <cellStyle name="Heading 2" xfId="133" builtinId="17" customBuiltin="1"/>
    <cellStyle name="Heading 2 2" xfId="134"/>
    <cellStyle name="Heading 3" xfId="135" builtinId="18" customBuiltin="1"/>
    <cellStyle name="Heading 3 2" xfId="136"/>
    <cellStyle name="Heading 4" xfId="137" builtinId="19" customBuiltin="1"/>
    <cellStyle name="Heading 4 2" xfId="138"/>
    <cellStyle name="Hyperlink 2" xfId="139"/>
    <cellStyle name="Input" xfId="140" builtinId="20" customBuiltin="1"/>
    <cellStyle name="Input 2" xfId="141"/>
    <cellStyle name="Linked Cell" xfId="142" builtinId="24" customBuiltin="1"/>
    <cellStyle name="Linked Cell 2" xfId="143"/>
    <cellStyle name="Neutral" xfId="144" builtinId="28" customBuiltin="1"/>
    <cellStyle name="Neutral 2" xfId="145"/>
    <cellStyle name="Normal" xfId="0" builtinId="0"/>
    <cellStyle name="Normal 2" xfId="146"/>
    <cellStyle name="Normal 3" xfId="147"/>
    <cellStyle name="Note" xfId="148" builtinId="10" customBuiltin="1"/>
    <cellStyle name="Note 2" xfId="149"/>
    <cellStyle name="Note 3" xfId="150"/>
    <cellStyle name="Note 4" xfId="151"/>
    <cellStyle name="Output" xfId="152" builtinId="21" customBuiltin="1"/>
    <cellStyle name="Output 2" xfId="153"/>
    <cellStyle name="Percent" xfId="154" builtinId="5"/>
    <cellStyle name="Percent 2" xfId="155"/>
    <cellStyle name="Style 1025" xfId="156"/>
    <cellStyle name="Style 1025 2" xfId="157"/>
    <cellStyle name="Style 1101" xfId="158"/>
    <cellStyle name="Style 1101 2" xfId="159"/>
    <cellStyle name="Style 1103" xfId="160"/>
    <cellStyle name="Style 1103 2" xfId="161"/>
    <cellStyle name="Style 1103 3" xfId="162"/>
    <cellStyle name="Style 1103 4" xfId="163"/>
    <cellStyle name="Style 1104" xfId="164"/>
    <cellStyle name="Style 1104 2" xfId="165"/>
    <cellStyle name="Style 1104 3" xfId="166"/>
    <cellStyle name="Style 1104 4" xfId="167"/>
    <cellStyle name="Style 1105" xfId="168"/>
    <cellStyle name="Style 1105 2" xfId="169"/>
    <cellStyle name="Style 1105 3" xfId="170"/>
    <cellStyle name="Style 1105 4" xfId="171"/>
    <cellStyle name="Style 1106" xfId="172"/>
    <cellStyle name="Style 1106 2" xfId="173"/>
    <cellStyle name="Style 1106 3" xfId="174"/>
    <cellStyle name="Style 1106 4" xfId="175"/>
    <cellStyle name="Style 1107" xfId="176"/>
    <cellStyle name="Style 1107 2" xfId="177"/>
    <cellStyle name="Style 1107 3" xfId="178"/>
    <cellStyle name="Style 1107 4" xfId="179"/>
    <cellStyle name="Style 1108" xfId="180"/>
    <cellStyle name="Style 1108 2" xfId="181"/>
    <cellStyle name="Style 1108 3" xfId="182"/>
    <cellStyle name="Style 1108 4" xfId="183"/>
    <cellStyle name="Style 1109" xfId="184"/>
    <cellStyle name="Style 1109 2" xfId="185"/>
    <cellStyle name="Style 1109 3" xfId="186"/>
    <cellStyle name="Style 1109 4" xfId="187"/>
    <cellStyle name="Style 1110" xfId="188"/>
    <cellStyle name="Style 1110 2" xfId="189"/>
    <cellStyle name="Style 1110 3" xfId="190"/>
    <cellStyle name="Style 1110 4" xfId="191"/>
    <cellStyle name="Style 1111" xfId="192"/>
    <cellStyle name="Style 1111 2" xfId="193"/>
    <cellStyle name="Style 1111 3" xfId="194"/>
    <cellStyle name="Style 1111 4" xfId="195"/>
    <cellStyle name="Style 1112" xfId="196"/>
    <cellStyle name="Style 1112 2" xfId="197"/>
    <cellStyle name="Style 1112 3" xfId="198"/>
    <cellStyle name="Style 1112 4" xfId="199"/>
    <cellStyle name="Style 1113" xfId="200"/>
    <cellStyle name="Style 1113 2" xfId="201"/>
    <cellStyle name="Style 1113 3" xfId="202"/>
    <cellStyle name="Style 1113 4" xfId="203"/>
    <cellStyle name="Style 1114" xfId="204"/>
    <cellStyle name="Style 1114 2" xfId="205"/>
    <cellStyle name="Style 1114 3" xfId="206"/>
    <cellStyle name="Style 1114 4" xfId="207"/>
    <cellStyle name="Style 1115" xfId="208"/>
    <cellStyle name="Style 1115 2" xfId="209"/>
    <cellStyle name="Style 1115 3" xfId="210"/>
    <cellStyle name="Style 1115 4" xfId="211"/>
    <cellStyle name="Style 1177" xfId="212"/>
    <cellStyle name="Style 1177 2" xfId="213"/>
    <cellStyle name="Style 1177 3" xfId="214"/>
    <cellStyle name="Style 1177 4" xfId="215"/>
    <cellStyle name="Style 1178" xfId="216"/>
    <cellStyle name="Style 1178 2" xfId="217"/>
    <cellStyle name="Style 1178 3" xfId="218"/>
    <cellStyle name="Style 1178 4" xfId="219"/>
    <cellStyle name="Style 1179" xfId="220"/>
    <cellStyle name="Style 1179 2" xfId="221"/>
    <cellStyle name="Style 1179 3" xfId="222"/>
    <cellStyle name="Style 1179 4" xfId="223"/>
    <cellStyle name="Style 1180" xfId="224"/>
    <cellStyle name="Style 1180 2" xfId="225"/>
    <cellStyle name="Style 1180 3" xfId="226"/>
    <cellStyle name="Style 1180 4" xfId="227"/>
    <cellStyle name="Style 1181" xfId="228"/>
    <cellStyle name="Style 1181 2" xfId="229"/>
    <cellStyle name="Style 1181 3" xfId="230"/>
    <cellStyle name="Style 1181 4" xfId="231"/>
    <cellStyle name="Style 1182" xfId="232"/>
    <cellStyle name="Style 1182 2" xfId="233"/>
    <cellStyle name="Style 1182 3" xfId="234"/>
    <cellStyle name="Style 1182 4" xfId="235"/>
    <cellStyle name="Style 1183" xfId="236"/>
    <cellStyle name="Style 1183 2" xfId="237"/>
    <cellStyle name="Style 1183 3" xfId="238"/>
    <cellStyle name="Style 1183 4" xfId="239"/>
    <cellStyle name="Style 1184" xfId="240"/>
    <cellStyle name="Style 1184 2" xfId="241"/>
    <cellStyle name="Style 1184 3" xfId="242"/>
    <cellStyle name="Style 1184 4" xfId="243"/>
    <cellStyle name="Style 1185" xfId="244"/>
    <cellStyle name="Style 1185 2" xfId="245"/>
    <cellStyle name="Style 1185 3" xfId="246"/>
    <cellStyle name="Style 1185 4" xfId="247"/>
    <cellStyle name="Style 1196" xfId="248"/>
    <cellStyle name="Style 1299" xfId="249"/>
    <cellStyle name="Style 1299 2" xfId="250"/>
    <cellStyle name="Style 1309" xfId="251"/>
    <cellStyle name="Style 1311" xfId="252"/>
    <cellStyle name="Style 1313" xfId="253"/>
    <cellStyle name="Style 1314" xfId="254"/>
    <cellStyle name="Style 1315" xfId="255"/>
    <cellStyle name="Style 1316" xfId="256"/>
    <cellStyle name="Style 1317" xfId="257"/>
    <cellStyle name="Style 1318" xfId="258"/>
    <cellStyle name="Style 1319" xfId="259"/>
    <cellStyle name="Style 1320" xfId="260"/>
    <cellStyle name="Style 1321" xfId="261"/>
    <cellStyle name="Style 1322" xfId="262"/>
    <cellStyle name="Style 1331" xfId="263"/>
    <cellStyle name="Style 1331 2" xfId="264"/>
    <cellStyle name="Style 1331 3" xfId="265"/>
    <cellStyle name="Style 1331 4" xfId="266"/>
    <cellStyle name="Style 1332" xfId="267"/>
    <cellStyle name="Style 1332 2" xfId="268"/>
    <cellStyle name="Style 1332 3" xfId="269"/>
    <cellStyle name="Style 1332 4" xfId="270"/>
    <cellStyle name="Style 1333" xfId="271"/>
    <cellStyle name="Style 1333 2" xfId="272"/>
    <cellStyle name="Style 1333 3" xfId="273"/>
    <cellStyle name="Style 1333 4" xfId="274"/>
    <cellStyle name="Style 1334" xfId="275"/>
    <cellStyle name="Style 1334 2" xfId="276"/>
    <cellStyle name="Style 1334 3" xfId="277"/>
    <cellStyle name="Style 1334 4" xfId="278"/>
    <cellStyle name="Style 1335" xfId="279"/>
    <cellStyle name="Style 1335 2" xfId="280"/>
    <cellStyle name="Style 1335 3" xfId="281"/>
    <cellStyle name="Style 1335 4" xfId="282"/>
    <cellStyle name="Style 1336" xfId="283"/>
    <cellStyle name="Style 1336 2" xfId="284"/>
    <cellStyle name="Style 1336 3" xfId="285"/>
    <cellStyle name="Style 1336 4" xfId="286"/>
    <cellStyle name="Style 1337" xfId="287"/>
    <cellStyle name="Style 1337 2" xfId="288"/>
    <cellStyle name="Style 1337 3" xfId="289"/>
    <cellStyle name="Style 1337 4" xfId="290"/>
    <cellStyle name="Style 1338" xfId="291"/>
    <cellStyle name="Style 1338 2" xfId="292"/>
    <cellStyle name="Style 1338 3" xfId="293"/>
    <cellStyle name="Style 1338 4" xfId="294"/>
    <cellStyle name="Style 1339" xfId="295"/>
    <cellStyle name="Style 1339 2" xfId="296"/>
    <cellStyle name="Style 1339 3" xfId="297"/>
    <cellStyle name="Style 1339 4" xfId="298"/>
    <cellStyle name="Style 1376" xfId="299"/>
    <cellStyle name="Style 1376 2" xfId="300"/>
    <cellStyle name="Style 1376 3" xfId="301"/>
    <cellStyle name="Style 1376 4" xfId="302"/>
    <cellStyle name="Style 1377" xfId="303"/>
    <cellStyle name="Style 1377 2" xfId="304"/>
    <cellStyle name="Style 1377 3" xfId="305"/>
    <cellStyle name="Style 1377 4" xfId="306"/>
    <cellStyle name="Style 1378" xfId="307"/>
    <cellStyle name="Style 1378 2" xfId="308"/>
    <cellStyle name="Style 1378 3" xfId="309"/>
    <cellStyle name="Style 1378 4" xfId="310"/>
    <cellStyle name="Style 1379" xfId="311"/>
    <cellStyle name="Style 1379 2" xfId="312"/>
    <cellStyle name="Style 1379 3" xfId="313"/>
    <cellStyle name="Style 1379 4" xfId="314"/>
    <cellStyle name="Style 1380" xfId="315"/>
    <cellStyle name="Style 1380 2" xfId="316"/>
    <cellStyle name="Style 1380 3" xfId="317"/>
    <cellStyle name="Style 1380 4" xfId="318"/>
    <cellStyle name="Style 1381" xfId="319"/>
    <cellStyle name="Style 1381 2" xfId="320"/>
    <cellStyle name="Style 1381 3" xfId="321"/>
    <cellStyle name="Style 1381 4" xfId="322"/>
    <cellStyle name="Style 1382" xfId="323"/>
    <cellStyle name="Style 1382 2" xfId="324"/>
    <cellStyle name="Style 1382 3" xfId="325"/>
    <cellStyle name="Style 1382 4" xfId="326"/>
    <cellStyle name="Style 1383" xfId="327"/>
    <cellStyle name="Style 1383 2" xfId="328"/>
    <cellStyle name="Style 1383 3" xfId="329"/>
    <cellStyle name="Style 1383 4" xfId="330"/>
    <cellStyle name="Style 1384" xfId="331"/>
    <cellStyle name="Style 1384 2" xfId="332"/>
    <cellStyle name="Style 1384 3" xfId="333"/>
    <cellStyle name="Style 1384 4" xfId="334"/>
    <cellStyle name="Style 1385" xfId="335"/>
    <cellStyle name="Style 1385 2" xfId="336"/>
    <cellStyle name="Style 1385 3" xfId="337"/>
    <cellStyle name="Style 1385 4" xfId="338"/>
    <cellStyle name="Style 1386" xfId="339"/>
    <cellStyle name="Style 1386 2" xfId="340"/>
    <cellStyle name="Style 1386 3" xfId="341"/>
    <cellStyle name="Style 1386 4" xfId="342"/>
    <cellStyle name="Style 1535" xfId="343"/>
    <cellStyle name="Style 1536" xfId="344"/>
    <cellStyle name="Style 1537" xfId="345"/>
    <cellStyle name="Style 1538" xfId="346"/>
    <cellStyle name="Style 1539" xfId="347"/>
    <cellStyle name="Style 1540" xfId="348"/>
    <cellStyle name="Style 1541" xfId="349"/>
    <cellStyle name="Style 1542" xfId="350"/>
    <cellStyle name="Style 1543" xfId="351"/>
    <cellStyle name="Style 1544" xfId="352"/>
    <cellStyle name="Style 1556" xfId="353"/>
    <cellStyle name="Style 1556 2" xfId="354"/>
    <cellStyle name="Style 1663" xfId="355"/>
    <cellStyle name="Style 1663 2" xfId="356"/>
    <cellStyle name="Style 1665" xfId="357"/>
    <cellStyle name="Style 1665 2" xfId="358"/>
    <cellStyle name="Style 1665 3" xfId="359"/>
    <cellStyle name="Style 1665 4" xfId="360"/>
    <cellStyle name="Style 1666" xfId="361"/>
    <cellStyle name="Style 1666 2" xfId="362"/>
    <cellStyle name="Style 1666 3" xfId="363"/>
    <cellStyle name="Style 1666 4" xfId="364"/>
    <cellStyle name="Style 1667" xfId="365"/>
    <cellStyle name="Style 1667 2" xfId="366"/>
    <cellStyle name="Style 1667 3" xfId="367"/>
    <cellStyle name="Style 1667 4" xfId="368"/>
    <cellStyle name="Style 1668" xfId="369"/>
    <cellStyle name="Style 1668 2" xfId="370"/>
    <cellStyle name="Style 1668 3" xfId="371"/>
    <cellStyle name="Style 1668 4" xfId="372"/>
    <cellStyle name="Style 1669" xfId="373"/>
    <cellStyle name="Style 1669 2" xfId="374"/>
    <cellStyle name="Style 1669 3" xfId="375"/>
    <cellStyle name="Style 1669 4" xfId="376"/>
    <cellStyle name="Style 1670" xfId="377"/>
    <cellStyle name="Style 1670 2" xfId="378"/>
    <cellStyle name="Style 1670 3" xfId="379"/>
    <cellStyle name="Style 1670 4" xfId="380"/>
    <cellStyle name="Style 1671" xfId="381"/>
    <cellStyle name="Style 1671 2" xfId="382"/>
    <cellStyle name="Style 1671 3" xfId="383"/>
    <cellStyle name="Style 1671 4" xfId="384"/>
    <cellStyle name="Style 1672" xfId="385"/>
    <cellStyle name="Style 1672 2" xfId="386"/>
    <cellStyle name="Style 1672 3" xfId="387"/>
    <cellStyle name="Style 1672 4" xfId="388"/>
    <cellStyle name="Style 1673" xfId="389"/>
    <cellStyle name="Style 1673 2" xfId="390"/>
    <cellStyle name="Style 1673 3" xfId="391"/>
    <cellStyle name="Style 1673 4" xfId="392"/>
    <cellStyle name="Style 1699" xfId="393"/>
    <cellStyle name="Style 1703" xfId="394"/>
    <cellStyle name="Style 1705" xfId="395"/>
    <cellStyle name="Style 1706" xfId="396"/>
    <cellStyle name="Style 1707" xfId="397"/>
    <cellStyle name="Style 1708" xfId="398"/>
    <cellStyle name="Style 1709" xfId="399"/>
    <cellStyle name="Style 1710" xfId="400"/>
    <cellStyle name="Style 1711" xfId="401"/>
    <cellStyle name="Style 1712" xfId="402"/>
    <cellStyle name="Style 1713" xfId="403"/>
    <cellStyle name="Style 1714" xfId="404"/>
    <cellStyle name="Style 1759" xfId="405"/>
    <cellStyle name="Style 1872" xfId="406"/>
    <cellStyle name="Style 1874" xfId="407"/>
    <cellStyle name="Style 1876" xfId="408"/>
    <cellStyle name="Style 1877" xfId="409"/>
    <cellStyle name="Style 1878" xfId="410"/>
    <cellStyle name="Style 1879" xfId="411"/>
    <cellStyle name="Style 1880" xfId="412"/>
    <cellStyle name="Style 1881" xfId="413"/>
    <cellStyle name="Style 1882" xfId="414"/>
    <cellStyle name="Style 1883" xfId="415"/>
    <cellStyle name="Style 1884" xfId="416"/>
    <cellStyle name="Style 1885" xfId="417"/>
    <cellStyle name="Style 1887" xfId="418"/>
    <cellStyle name="Style 1887 2" xfId="419"/>
    <cellStyle name="Style 1887 3" xfId="420"/>
    <cellStyle name="Style 1887 4" xfId="421"/>
    <cellStyle name="Style 1888" xfId="422"/>
    <cellStyle name="Style 1888 2" xfId="423"/>
    <cellStyle name="Style 1888 3" xfId="424"/>
    <cellStyle name="Style 1888 4" xfId="425"/>
    <cellStyle name="Style 1889" xfId="426"/>
    <cellStyle name="Style 1889 2" xfId="427"/>
    <cellStyle name="Style 1889 3" xfId="428"/>
    <cellStyle name="Style 1889 4" xfId="429"/>
    <cellStyle name="Style 1890" xfId="430"/>
    <cellStyle name="Style 1890 2" xfId="431"/>
    <cellStyle name="Style 1890 3" xfId="432"/>
    <cellStyle name="Style 1890 4" xfId="433"/>
    <cellStyle name="Style 1891" xfId="434"/>
    <cellStyle name="Style 1891 2" xfId="435"/>
    <cellStyle name="Style 1891 3" xfId="436"/>
    <cellStyle name="Style 1891 4" xfId="437"/>
    <cellStyle name="Style 1892" xfId="438"/>
    <cellStyle name="Style 1892 2" xfId="439"/>
    <cellStyle name="Style 1892 3" xfId="440"/>
    <cellStyle name="Style 1892 4" xfId="441"/>
    <cellStyle name="Style 1893" xfId="442"/>
    <cellStyle name="Style 1893 2" xfId="443"/>
    <cellStyle name="Style 1893 3" xfId="444"/>
    <cellStyle name="Style 1893 4" xfId="445"/>
    <cellStyle name="Style 1894" xfId="446"/>
    <cellStyle name="Style 1894 2" xfId="447"/>
    <cellStyle name="Style 1894 3" xfId="448"/>
    <cellStyle name="Style 1894 4" xfId="449"/>
    <cellStyle name="Style 1895" xfId="450"/>
    <cellStyle name="Style 1895 2" xfId="451"/>
    <cellStyle name="Style 1895 3" xfId="452"/>
    <cellStyle name="Style 1895 4" xfId="453"/>
    <cellStyle name="Style 2066" xfId="454"/>
    <cellStyle name="Style 2067" xfId="455"/>
    <cellStyle name="Style 2068" xfId="456"/>
    <cellStyle name="Style 2069" xfId="457"/>
    <cellStyle name="Style 2070" xfId="458"/>
    <cellStyle name="Style 2071" xfId="459"/>
    <cellStyle name="Style 2072" xfId="460"/>
    <cellStyle name="Style 2073" xfId="461"/>
    <cellStyle name="Style 2074" xfId="462"/>
    <cellStyle name="Style 2075" xfId="463"/>
    <cellStyle name="Style 2089" xfId="464"/>
    <cellStyle name="Style 2202" xfId="465"/>
    <cellStyle name="Style 2204" xfId="466"/>
    <cellStyle name="Style 2206" xfId="467"/>
    <cellStyle name="Style 2207" xfId="468"/>
    <cellStyle name="Style 2208" xfId="469"/>
    <cellStyle name="Style 2209" xfId="470"/>
    <cellStyle name="Style 2210" xfId="471"/>
    <cellStyle name="Style 2211" xfId="472"/>
    <cellStyle name="Style 2212" xfId="473"/>
    <cellStyle name="Style 2213" xfId="474"/>
    <cellStyle name="Style 2214" xfId="475"/>
    <cellStyle name="Style 2215" xfId="476"/>
    <cellStyle name="Style 2464" xfId="477"/>
    <cellStyle name="Style 2468" xfId="478"/>
    <cellStyle name="Style 2470" xfId="479"/>
    <cellStyle name="Style 2471" xfId="480"/>
    <cellStyle name="Style 2472" xfId="481"/>
    <cellStyle name="Style 2473" xfId="482"/>
    <cellStyle name="Style 2474" xfId="483"/>
    <cellStyle name="Style 2475" xfId="484"/>
    <cellStyle name="Style 2476" xfId="485"/>
    <cellStyle name="Style 2477" xfId="486"/>
    <cellStyle name="Style 2478" xfId="487"/>
    <cellStyle name="Style 2479" xfId="488"/>
    <cellStyle name="Style 297" xfId="489"/>
    <cellStyle name="Style 297 2" xfId="490"/>
    <cellStyle name="Style 300" xfId="491"/>
    <cellStyle name="Style 300 2" xfId="492"/>
    <cellStyle name="Style 528" xfId="493"/>
    <cellStyle name="Style 528 2" xfId="494"/>
    <cellStyle name="Style 561" xfId="495"/>
    <cellStyle name="Style 561 2" xfId="496"/>
    <cellStyle name="Style 669" xfId="497"/>
    <cellStyle name="Style 669 2" xfId="498"/>
    <cellStyle name="Style 670" xfId="499"/>
    <cellStyle name="Style 670 2" xfId="500"/>
    <cellStyle name="Style 671" xfId="501"/>
    <cellStyle name="Style 671 2" xfId="502"/>
    <cellStyle name="Style 672" xfId="503"/>
    <cellStyle name="Style 672 2" xfId="504"/>
    <cellStyle name="Style 673" xfId="505"/>
    <cellStyle name="Style 673 2" xfId="506"/>
    <cellStyle name="Style 674" xfId="507"/>
    <cellStyle name="Style 674 2" xfId="508"/>
    <cellStyle name="Style 675" xfId="509"/>
    <cellStyle name="Style 675 2" xfId="510"/>
    <cellStyle name="Style 676" xfId="511"/>
    <cellStyle name="Style 676 2" xfId="512"/>
    <cellStyle name="Style 707" xfId="513"/>
    <cellStyle name="Style 707 2" xfId="514"/>
    <cellStyle name="Style 707 3" xfId="515"/>
    <cellStyle name="Style 707 4" xfId="516"/>
    <cellStyle name="Style 708" xfId="517"/>
    <cellStyle name="Style 708 2" xfId="518"/>
    <cellStyle name="Style 708 3" xfId="519"/>
    <cellStyle name="Style 708 4" xfId="520"/>
    <cellStyle name="Style 709" xfId="521"/>
    <cellStyle name="Style 709 2" xfId="522"/>
    <cellStyle name="Style 709 3" xfId="523"/>
    <cellStyle name="Style 709 4" xfId="524"/>
    <cellStyle name="Style 710" xfId="525"/>
    <cellStyle name="Style 710 2" xfId="526"/>
    <cellStyle name="Style 710 3" xfId="527"/>
    <cellStyle name="Style 710 4" xfId="528"/>
    <cellStyle name="Style 711" xfId="529"/>
    <cellStyle name="Style 711 2" xfId="530"/>
    <cellStyle name="Style 711 3" xfId="531"/>
    <cellStyle name="Style 711 4" xfId="532"/>
    <cellStyle name="Style 712" xfId="533"/>
    <cellStyle name="Style 712 2" xfId="534"/>
    <cellStyle name="Style 712 3" xfId="535"/>
    <cellStyle name="Style 712 4" xfId="536"/>
    <cellStyle name="Style 713" xfId="537"/>
    <cellStyle name="Style 713 2" xfId="538"/>
    <cellStyle name="Style 713 3" xfId="539"/>
    <cellStyle name="Style 713 4" xfId="540"/>
    <cellStyle name="Style 714" xfId="541"/>
    <cellStyle name="Style 714 2" xfId="542"/>
    <cellStyle name="Style 714 3" xfId="543"/>
    <cellStyle name="Style 714 4" xfId="544"/>
    <cellStyle name="Style 723" xfId="545"/>
    <cellStyle name="Style 723 2" xfId="546"/>
    <cellStyle name="Style 740" xfId="547"/>
    <cellStyle name="Style 740 2" xfId="548"/>
    <cellStyle name="Style 740 3" xfId="549"/>
    <cellStyle name="Style 740 4" xfId="550"/>
    <cellStyle name="Style 741" xfId="551"/>
    <cellStyle name="Style 741 2" xfId="552"/>
    <cellStyle name="Style 741 3" xfId="553"/>
    <cellStyle name="Style 741 4" xfId="554"/>
    <cellStyle name="Style 742" xfId="555"/>
    <cellStyle name="Style 742 2" xfId="556"/>
    <cellStyle name="Style 742 3" xfId="557"/>
    <cellStyle name="Style 742 4" xfId="558"/>
    <cellStyle name="Style 743" xfId="559"/>
    <cellStyle name="Style 743 2" xfId="560"/>
    <cellStyle name="Style 743 3" xfId="561"/>
    <cellStyle name="Style 743 4" xfId="562"/>
    <cellStyle name="Style 744" xfId="563"/>
    <cellStyle name="Style 744 2" xfId="564"/>
    <cellStyle name="Style 744 3" xfId="565"/>
    <cellStyle name="Style 744 4" xfId="566"/>
    <cellStyle name="Style 745" xfId="567"/>
    <cellStyle name="Style 745 2" xfId="568"/>
    <cellStyle name="Style 745 3" xfId="569"/>
    <cellStyle name="Style 745 4" xfId="570"/>
    <cellStyle name="Style 746" xfId="571"/>
    <cellStyle name="Style 746 2" xfId="572"/>
    <cellStyle name="Style 746 3" xfId="573"/>
    <cellStyle name="Style 746 4" xfId="574"/>
    <cellStyle name="Style 747" xfId="575"/>
    <cellStyle name="Style 747 2" xfId="576"/>
    <cellStyle name="Style 747 3" xfId="577"/>
    <cellStyle name="Style 747 4" xfId="578"/>
    <cellStyle name="Style 868" xfId="579"/>
    <cellStyle name="Style 868 2" xfId="580"/>
    <cellStyle name="Style 902" xfId="581"/>
    <cellStyle name="Style 902 2" xfId="582"/>
    <cellStyle name="Style 902 3" xfId="583"/>
    <cellStyle name="Style 902 4" xfId="584"/>
    <cellStyle name="Style 903" xfId="585"/>
    <cellStyle name="Style 903 2" xfId="586"/>
    <cellStyle name="Style 903 3" xfId="587"/>
    <cellStyle name="Style 903 4" xfId="588"/>
    <cellStyle name="Style 904" xfId="589"/>
    <cellStyle name="Style 904 2" xfId="590"/>
    <cellStyle name="Style 904 3" xfId="591"/>
    <cellStyle name="Style 904 4" xfId="592"/>
    <cellStyle name="Style 905" xfId="593"/>
    <cellStyle name="Style 905 2" xfId="594"/>
    <cellStyle name="Style 905 3" xfId="595"/>
    <cellStyle name="Style 905 4" xfId="596"/>
    <cellStyle name="Style 910" xfId="597"/>
    <cellStyle name="Style 910 2" xfId="598"/>
    <cellStyle name="Style 910 3" xfId="599"/>
    <cellStyle name="Style 910 4" xfId="600"/>
    <cellStyle name="Style 911" xfId="601"/>
    <cellStyle name="Style 911 2" xfId="602"/>
    <cellStyle name="Style 911 3" xfId="603"/>
    <cellStyle name="Style 911 4" xfId="604"/>
    <cellStyle name="Style 912" xfId="605"/>
    <cellStyle name="Style 912 2" xfId="606"/>
    <cellStyle name="Style 912 3" xfId="607"/>
    <cellStyle name="Style 912 4" xfId="608"/>
    <cellStyle name="Style 913" xfId="609"/>
    <cellStyle name="Style 913 2" xfId="610"/>
    <cellStyle name="Style 913 3" xfId="611"/>
    <cellStyle name="Style 913 4" xfId="612"/>
    <cellStyle name="Style 918" xfId="613"/>
    <cellStyle name="Style 918 2" xfId="614"/>
    <cellStyle name="Style 918 3" xfId="615"/>
    <cellStyle name="Style 918 4" xfId="616"/>
    <cellStyle name="Style 919" xfId="617"/>
    <cellStyle name="Style 919 2" xfId="618"/>
    <cellStyle name="Style 919 3" xfId="619"/>
    <cellStyle name="Style 919 4" xfId="620"/>
    <cellStyle name="Style 920" xfId="621"/>
    <cellStyle name="Style 920 2" xfId="622"/>
    <cellStyle name="Style 920 3" xfId="623"/>
    <cellStyle name="Style 920 4" xfId="624"/>
    <cellStyle name="Style 921" xfId="625"/>
    <cellStyle name="Style 921 2" xfId="626"/>
    <cellStyle name="Style 921 3" xfId="627"/>
    <cellStyle name="Style 921 4" xfId="628"/>
    <cellStyle name="Style 926" xfId="629"/>
    <cellStyle name="Style 926 2" xfId="630"/>
    <cellStyle name="Style 926 3" xfId="631"/>
    <cellStyle name="Style 926 4" xfId="632"/>
    <cellStyle name="Style 927" xfId="633"/>
    <cellStyle name="Style 927 2" xfId="634"/>
    <cellStyle name="Style 927 3" xfId="635"/>
    <cellStyle name="Style 927 4" xfId="636"/>
    <cellStyle name="Style 928" xfId="637"/>
    <cellStyle name="Style 928 2" xfId="638"/>
    <cellStyle name="Style 928 3" xfId="639"/>
    <cellStyle name="Style 928 4" xfId="640"/>
    <cellStyle name="Style 929" xfId="641"/>
    <cellStyle name="Style 929 2" xfId="642"/>
    <cellStyle name="Style 929 3" xfId="643"/>
    <cellStyle name="Style 929 4" xfId="644"/>
    <cellStyle name="Style 934" xfId="645"/>
    <cellStyle name="Style 934 2" xfId="646"/>
    <cellStyle name="Style 934 3" xfId="647"/>
    <cellStyle name="Style 934 4" xfId="648"/>
    <cellStyle name="Style 935" xfId="649"/>
    <cellStyle name="Style 935 2" xfId="650"/>
    <cellStyle name="Style 935 3" xfId="651"/>
    <cellStyle name="Style 935 4" xfId="652"/>
    <cellStyle name="Style 936" xfId="653"/>
    <cellStyle name="Style 936 2" xfId="654"/>
    <cellStyle name="Style 936 3" xfId="655"/>
    <cellStyle name="Style 936 4" xfId="656"/>
    <cellStyle name="Style 937" xfId="657"/>
    <cellStyle name="Style 937 2" xfId="658"/>
    <cellStyle name="Style 937 3" xfId="659"/>
    <cellStyle name="Style 937 4" xfId="660"/>
    <cellStyle name="Style 942" xfId="661"/>
    <cellStyle name="Style 942 2" xfId="662"/>
    <cellStyle name="Style 942 3" xfId="663"/>
    <cellStyle name="Style 942 4" xfId="664"/>
    <cellStyle name="Style 943" xfId="665"/>
    <cellStyle name="Style 943 2" xfId="666"/>
    <cellStyle name="Style 943 3" xfId="667"/>
    <cellStyle name="Style 943 4" xfId="668"/>
    <cellStyle name="Style 944" xfId="669"/>
    <cellStyle name="Style 944 2" xfId="670"/>
    <cellStyle name="Style 944 3" xfId="671"/>
    <cellStyle name="Style 944 4" xfId="672"/>
    <cellStyle name="Style 945" xfId="673"/>
    <cellStyle name="Style 945 2" xfId="674"/>
    <cellStyle name="Style 945 3" xfId="675"/>
    <cellStyle name="Style 945 4" xfId="676"/>
    <cellStyle name="Style 950" xfId="677"/>
    <cellStyle name="Style 950 2" xfId="678"/>
    <cellStyle name="Style 950 3" xfId="679"/>
    <cellStyle name="Style 950 4" xfId="680"/>
    <cellStyle name="Style 951" xfId="681"/>
    <cellStyle name="Style 951 2" xfId="682"/>
    <cellStyle name="Style 951 3" xfId="683"/>
    <cellStyle name="Style 951 4" xfId="684"/>
    <cellStyle name="Style 952" xfId="685"/>
    <cellStyle name="Style 952 2" xfId="686"/>
    <cellStyle name="Style 952 3" xfId="687"/>
    <cellStyle name="Style 952 4" xfId="688"/>
    <cellStyle name="Style 953" xfId="689"/>
    <cellStyle name="Style 953 2" xfId="690"/>
    <cellStyle name="Style 953 3" xfId="691"/>
    <cellStyle name="Style 953 4" xfId="692"/>
    <cellStyle name="Style 958" xfId="693"/>
    <cellStyle name="Style 958 2" xfId="694"/>
    <cellStyle name="Style 958 3" xfId="695"/>
    <cellStyle name="Style 958 4" xfId="696"/>
    <cellStyle name="Style 959" xfId="697"/>
    <cellStyle name="Style 959 2" xfId="698"/>
    <cellStyle name="Style 959 3" xfId="699"/>
    <cellStyle name="Style 959 4" xfId="700"/>
    <cellStyle name="Style 960" xfId="701"/>
    <cellStyle name="Style 960 2" xfId="702"/>
    <cellStyle name="Style 960 3" xfId="703"/>
    <cellStyle name="Style 960 4" xfId="704"/>
    <cellStyle name="Style 961" xfId="705"/>
    <cellStyle name="Style 961 2" xfId="706"/>
    <cellStyle name="Style 961 3" xfId="707"/>
    <cellStyle name="Style 961 4" xfId="708"/>
    <cellStyle name="Style 966" xfId="709"/>
    <cellStyle name="Style 966 2" xfId="710"/>
    <cellStyle name="Style 966 3" xfId="711"/>
    <cellStyle name="Style 966 4" xfId="712"/>
    <cellStyle name="Style 967" xfId="713"/>
    <cellStyle name="Style 967 2" xfId="714"/>
    <cellStyle name="Style 967 3" xfId="715"/>
    <cellStyle name="Style 967 4" xfId="716"/>
    <cellStyle name="Style 968" xfId="717"/>
    <cellStyle name="Style 968 2" xfId="718"/>
    <cellStyle name="Style 968 3" xfId="719"/>
    <cellStyle name="Style 968 4" xfId="720"/>
    <cellStyle name="Style 969" xfId="721"/>
    <cellStyle name="Style 969 2" xfId="722"/>
    <cellStyle name="Style 969 3" xfId="723"/>
    <cellStyle name="Style 969 4" xfId="724"/>
    <cellStyle name="Style 974" xfId="725"/>
    <cellStyle name="Style 974 2" xfId="726"/>
    <cellStyle name="Style 974 3" xfId="727"/>
    <cellStyle name="Style 974 4" xfId="728"/>
    <cellStyle name="Style 975" xfId="729"/>
    <cellStyle name="Style 975 2" xfId="730"/>
    <cellStyle name="Style 975 3" xfId="731"/>
    <cellStyle name="Style 975 4" xfId="732"/>
    <cellStyle name="Style 976" xfId="733"/>
    <cellStyle name="Style 976 2" xfId="734"/>
    <cellStyle name="Style 976 3" xfId="735"/>
    <cellStyle name="Style 976 4" xfId="736"/>
    <cellStyle name="Style 977" xfId="737"/>
    <cellStyle name="Style 977 2" xfId="738"/>
    <cellStyle name="Style 977 3" xfId="739"/>
    <cellStyle name="Style 977 4" xfId="740"/>
    <cellStyle name="Style 979" xfId="741"/>
    <cellStyle name="Style 979 2" xfId="742"/>
    <cellStyle name="Style 981" xfId="743"/>
    <cellStyle name="Style 981 2" xfId="744"/>
    <cellStyle name="Style 981 3" xfId="745"/>
    <cellStyle name="Style 981 4" xfId="746"/>
    <cellStyle name="Style 982" xfId="747"/>
    <cellStyle name="Style 982 2" xfId="748"/>
    <cellStyle name="Style 982 3" xfId="749"/>
    <cellStyle name="Style 982 4" xfId="750"/>
    <cellStyle name="Style 983" xfId="751"/>
    <cellStyle name="Style 983 2" xfId="752"/>
    <cellStyle name="Style 983 3" xfId="753"/>
    <cellStyle name="Style 983 4" xfId="754"/>
    <cellStyle name="Style 984" xfId="755"/>
    <cellStyle name="Style 984 2" xfId="756"/>
    <cellStyle name="Style 984 3" xfId="757"/>
    <cellStyle name="Style 984 4" xfId="758"/>
    <cellStyle name="Style 985" xfId="759"/>
    <cellStyle name="Style 985 2" xfId="760"/>
    <cellStyle name="Style 985 3" xfId="761"/>
    <cellStyle name="Style 985 4" xfId="762"/>
    <cellStyle name="Style 986" xfId="763"/>
    <cellStyle name="Style 986 2" xfId="764"/>
    <cellStyle name="Style 986 3" xfId="765"/>
    <cellStyle name="Style 986 4" xfId="766"/>
    <cellStyle name="Style 987" xfId="767"/>
    <cellStyle name="Style 987 2" xfId="768"/>
    <cellStyle name="Style 987 3" xfId="769"/>
    <cellStyle name="Style 987 4" xfId="770"/>
    <cellStyle name="Style 988" xfId="771"/>
    <cellStyle name="Style 988 2" xfId="772"/>
    <cellStyle name="Style 988 3" xfId="773"/>
    <cellStyle name="Style 988 4" xfId="774"/>
    <cellStyle name="Style 989" xfId="775"/>
    <cellStyle name="Style 989 2" xfId="776"/>
    <cellStyle name="Style 989 3" xfId="777"/>
    <cellStyle name="Style 989 4" xfId="778"/>
    <cellStyle name="Style 991" xfId="779"/>
    <cellStyle name="Style 991 2" xfId="780"/>
    <cellStyle name="Title" xfId="781" builtinId="15" customBuiltin="1"/>
    <cellStyle name="Title 2" xfId="782"/>
    <cellStyle name="Total" xfId="783" builtinId="25" customBuiltin="1"/>
    <cellStyle name="Total 2" xfId="784"/>
    <cellStyle name="Warning Text" xfId="785" builtinId="11" customBuiltin="1"/>
    <cellStyle name="Warning Text 2" xfId="786"/>
    <cellStyle name="Hyperlink" xfId="787"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E5000"/>
      <rgbColor rgb="0000FF00"/>
      <rgbColor rgb="00009CDE"/>
      <rgbColor rgb="00FEDB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A0A0A0"/>
      <rgbColor rgb="00CC9900"/>
      <rgbColor rgb="00008C99"/>
      <rgbColor rgb="00579A32"/>
      <rgbColor rgb="00CC6633"/>
      <rgbColor rgb="003366FF"/>
      <rgbColor rgb="00666666"/>
      <rgbColor rgb="0000CC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8" Type="http://schemas.openxmlformats.org/officeDocument/2006/relationships/worksheet" Target="worksheets/sheet26.xml" />
<Relationship Id="rId4" Type="http://schemas.openxmlformats.org/officeDocument/2006/relationships/worksheet" Target="worksheets/sheet3.xml" />
<Relationship Id="rId5" Type="http://schemas.openxmlformats.org/officeDocument/2006/relationships/worksheet" Target="worksheets/sheet7.xml" />
<Relationship Id="rId3" Type="http://schemas.openxmlformats.org/officeDocument/2006/relationships/worksheet" Target="worksheets/sheet2.xml" />
<Relationship Id="rId9" Type="http://schemas.openxmlformats.org/officeDocument/2006/relationships/sharedStrings" Target="/xl/sharedStrings.xml" />
<Relationship Id="rId2" Type="http://schemas.openxmlformats.org/officeDocument/2006/relationships/worksheet" Target="worksheets/sheet1.xml" />
<Relationship Id="rId7" Type="http://schemas.openxmlformats.org/officeDocument/2006/relationships/worksheet" Target="worksheets/sheet23.xml" />
<Relationship Id="rId10" Type="http://schemas.openxmlformats.org/officeDocument/2006/relationships/styles" Target="/xl/styles.xml" />
<Relationship Id="rId6" Type="http://schemas.openxmlformats.org/officeDocument/2006/relationships/worksheet" Target="worksheets/sheet9.xml" />
<Relationship Id="rId11" Type="http://schemas.openxmlformats.org/officeDocument/2006/relationships/theme" Target="/xl/theme/theme1.xml" />
<Relationship Id="rId1" Type="http://schemas.openxmlformats.org/officeDocument/2006/relationships/worksheet" Target="worksheets/sheet28.xml" />
</Relationships>
</file>

<file path=xl/charts/chart3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Monthly Indexes</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Comp!$C$23:$T$23</f>
              <numCache>
                <formatCode>General</formatCode>
                <ptCount val="18"/>
                <pt idx="0">
                  <v>137.073086703814</v>
                </pt>
                <pt idx="0">
                  <v>185.52582276122</v>
                </pt>
                <pt idx="0">
                  <v>163.230633948893</v>
                </pt>
                <pt idx="0">
                  <v>154.303455998357</v>
                </pt>
                <pt idx="0">
                  <v>139.801139106188</v>
                </pt>
                <pt idx="0">
                  <v>134.00861326443</v>
                </pt>
                <pt idx="0">
                  <v>130.920085205807</v>
                </pt>
                <pt idx="0">
                  <v>165.503249326512</v>
                </pt>
                <pt idx="0">
                  <v>170.320743114143</v>
                </pt>
                <pt idx="0">
                  <v>163.349436392733</v>
                </pt>
                <pt idx="0">
                  <v>148.97978222916</v>
                </pt>
                <pt idx="0">
                  <v>144.200514714207</v>
                </pt>
                <pt idx="0">
                  <v>146.548250915246</v>
                </pt>
                <pt idx="0">
                  <v>190.15992534652</v>
                </pt>
                <pt idx="0">
                  <v>158.81612559669</v>
                </pt>
                <pt idx="0">
                  <v>154.091264907766</v>
                </pt>
                <pt idx="0">
                  <v>136.562035400707</v>
                </pt>
                <pt idx="0">
                  <v>130.744408693477</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Comp!$C$35:$T$35</f>
              <numCache>
                <formatCode>General</formatCode>
                <ptCount val="18"/>
                <pt idx="0">
                  <v>111.670252038816</v>
                </pt>
                <pt idx="0">
                  <v>107.668503311237</v>
                </pt>
                <pt idx="0">
                  <v>113.966910575842</v>
                </pt>
                <pt idx="0">
                  <v>117.608400865483</v>
                </pt>
                <pt idx="0">
                  <v>119.397714494441</v>
                </pt>
                <pt idx="0">
                  <v>115.082468169158</v>
                </pt>
                <pt idx="0">
                  <v>115.292913536625</v>
                </pt>
                <pt idx="0">
                  <v>111.246315911702</v>
                </pt>
                <pt idx="0">
                  <v>109.218185350809</v>
                </pt>
                <pt idx="0">
                  <v>105.629382595176</v>
                </pt>
                <pt idx="0">
                  <v>102.269741184115</v>
                </pt>
                <pt idx="0">
                  <v>105.559376295429</v>
                </pt>
                <pt idx="0">
                  <v>98.9176163777073</v>
                </pt>
                <pt idx="0">
                  <v>100.243460697295</v>
                </pt>
                <pt idx="0">
                  <v>105.511402673928</v>
                </pt>
                <pt idx="0">
                  <v>105.976389676249</v>
                </pt>
                <pt idx="0">
                  <v>101.99461131941</v>
                </pt>
                <pt idx="0">
                  <v>103.003118663643</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Comp!$C$47:$T$47</f>
              <numCache>
                <formatCode>General</formatCode>
                <ptCount val="18"/>
                <pt idx="0">
                  <v>153.069861399481</v>
                </pt>
                <pt idx="0">
                  <v>199.752876623331</v>
                </pt>
                <pt idx="0">
                  <v>186.028910624669</v>
                </pt>
                <pt idx="0">
                  <v>181.47382707976</v>
                </pt>
                <pt idx="0">
                  <v>166.919364929798</v>
                </pt>
                <pt idx="0">
                  <v>154.220419704094</v>
                </pt>
                <pt idx="0">
                  <v>150.941580638426</v>
                </pt>
                <pt idx="0">
                  <v>184.116267589955</v>
                </pt>
                <pt idx="0">
                  <v>186.021224905322</v>
                </pt>
                <pt idx="0">
                  <v>172.545001134545</v>
                </pt>
                <pt idx="0">
                  <v>152.361237702282</v>
                </pt>
                <pt idx="0">
                  <v>152.217163946857</v>
                </pt>
                <pt idx="0">
                  <v>144.962036648646</v>
                </pt>
                <pt idx="0">
                  <v>190.622890026848</v>
                </pt>
                <pt idx="0">
                  <v>167.569121789291</v>
                </pt>
                <pt idx="0">
                  <v>163.300359355478</v>
                </pt>
                <pt idx="0">
                  <v>139.28591721696</v>
                </pt>
                <pt idx="0">
                  <v>134.670818432528</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Comp!$C$20:$T$20</f>
            </multiLvlStrRef>
          </cat>
          <val>
            <numRef>
              <f>Comp!$C$60:$T$60</f>
              <numCache>
                <formatCode>General</formatCode>
                <ptCount val="18"/>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205"/>
          <min val="9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RevPAR Percent Change</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Comp!$X$50,Comp!$AB$50,Comp!$AF$50</f>
              <numCache>
                <formatCode>General</formatCode>
                <ptCount val="3"/>
                <pt idx="0">
                  <v>-3.0993465124592</v>
                </pt>
                <pt idx="0">
                  <v>-4.64363044136426</v>
                </pt>
                <pt idx="0">
                  <v>-0.0329648897621917</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Comp!$B$67:$B$69</f>
            </multiLvlStrRef>
          </cat>
          <val>
            <numRef>
              <f>Comp!$X$51,Comp!$AB$51,Comp!$AF$51</f>
              <numCache>
                <formatCode>General</formatCode>
                <ptCount val="3"/>
                <pt idx="0">
                  <v>9.56071338898382</v>
                </pt>
                <pt idx="0">
                  <v>10.1474020684953</v>
                </pt>
                <pt idx="0">
                  <v>-1.15930017474918</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5"/>
          <min val="-1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Occupancy</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Week'!$X$14:$AF$14</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Week'!$X$15:$AF$15</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84"/>
          <min val="34"/>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r"/>
      <legendEntry>
        <idx val="0"/>
        <txPr>
          <a:bodyPr/>
          <a:p>
            <a:pPr>
              <a:defRPr sz="1000" b="0" i="0" u="none" strike="noStrike" baseline="0">
                <a:solidFill>
                  <a:sysClr val="windowText"/>
                </a:solidFill>
                <a:latin typeface="Arial"/>
              </a:defRPr>
            </a:pPr>
          </a:p>
        </txPr>
      </legendEntry>
      <legendEntry>
        <idx val="1"/>
        <txPr>
          <a:bodyPr/>
          <a:p>
            <a:pPr>
              <a:defRPr sz="1000" b="0" i="0" u="none" strike="noStrike" baseline="0">
                <a:solidFill>
                  <a:sysClr val="windowText"/>
                </a:solidFill>
                <a:latin typeface="Arial"/>
              </a:defRPr>
            </a:pPr>
          </a:p>
        </txPr>
      </legendEntry>
      <overlay val="0"/>
      <spPr>
        <a:ln w="9525">
          <a:noFill/>
        </a:ln>
      </spPr>
      <txPr>
        <a:bodyPr/>
        <a:p>
          <a:pPr>
            <a:defRPr sz="1000" b="0" i="0" u="none" strike="noStrike" baseline="0">
              <a:solidFill>
                <a:sysClr val="windowText"/>
              </a:solidFill>
              <a:latin typeface="Arial"/>
            </a:defRPr>
          </a:pPr>
        </a:p>
      </txPr>
    </legend>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400" b="1" i="0" u="none" strike="noStrike" baseline="0">
                <a:solidFill>
                  <a:sysClr val="windowText"/>
                </a:solidFill>
                <a:latin typeface="Arial"/>
              </a:defRPr>
            </a:pPr>
            <a:r>
              <a:rPr sz="1400" b="1" i="0" u="none" strike="noStrike" baseline="0">
                <a:latin typeface="Arial" charset="0"/>
              </a:rPr>
              <a:t>Current Month ADR</a:t>
            </a:r>
          </a:p>
        </rich>
      </tx>
      <overlay val="0"/>
    </title>
    <plotArea>
      <barChart>
        <barDir val="col"/>
        <grouping val="clustered"/>
        <ser>
          <idx val="0"/>
          <order val="0"/>
          <tx>
            <v>My Property</v>
          </tx>
          <spPr>
            <a:solidFill>
              <a:srgbClr val="00BFB3"/>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Week'!$X$16:$AF$16</f>
              <numCache>
                <formatCode>General</formatCode>
                <ptCount val="9"/>
                <pt idx="0">
                  <v>0</v>
                </pt>
                <pt idx="0">
                  <v>0</v>
                </pt>
                <pt idx="0">
                  <v>0</v>
                </pt>
                <pt idx="0">
                  <v>0</v>
                </pt>
                <pt idx="0">
                  <v>0</v>
                </pt>
                <pt idx="0">
                  <v>0</v>
                </pt>
                <pt idx="0">
                  <v>0</v>
                </pt>
                <pt idx="0">
                  <v>0</v>
                </pt>
                <pt idx="0">
                  <v>0</v>
                </pt>
              </numCache>
            </numRef>
          </val>
        </ser>
        <ser>
          <idx val="1"/>
          <order val="1"/>
          <tx>
            <v>Competitive Set</v>
          </tx>
          <spPr>
            <a:solidFill>
              <a:srgbClr val="FEDB00"/>
            </a:solidFill>
            <a:ln w="28575">
              <a:noFill/>
            </a:ln>
          </spPr>
          <invertIfNegative val="0"/>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'Day of Week'!$X$13:$AF$13</f>
            </multiLvlStrRef>
          </cat>
          <val>
            <numRef>
              <f>'Day of Week'!$X$17:$AF$17</f>
              <numCache>
                <formatCode>General</formatCode>
                <ptCount val="9"/>
                <pt idx="0">
                  <v>0</v>
                </pt>
                <pt idx="0">
                  <v>0</v>
                </pt>
                <pt idx="0">
                  <v>0</v>
                </pt>
                <pt idx="0">
                  <v>0</v>
                </pt>
                <pt idx="0">
                  <v>0</v>
                </pt>
                <pt idx="0">
                  <v>0</v>
                </pt>
                <pt idx="0">
                  <v>0</v>
                </pt>
                <pt idx="0">
                  <v>0</v>
                </pt>
                <pt idx="0">
                  <v>0</v>
                </pt>
              </numCache>
            </numRef>
          </val>
        </ser>
        <overlap/>
        <axId val="1"/>
        <axId val="4"/>
      </barChart>
      <catAx>
        <axId val="1"/>
        <scaling>
          <orientation/>
        </scaling>
        <delete val="0"/>
        <axPos val="b"/>
        <majorTickMark val="none"/>
        <minorTickMark val="none"/>
        <tickLblPos val="low"/>
        <spPr>
          <a:ln w="9525">
            <a:solidFill>
              <a:srgbClr val="A0A0A0"/>
            </a:solidFill>
            <a:prstDash val="solid"/>
          </a:ln>
        </spPr>
        <txPr>
          <a:bodyPr/>
          <a:p>
            <a:pPr>
              <a:defRPr sz="1000" b="0" i="0" u="none" strike="noStrike" baseline="0">
                <a:solidFill>
                  <a:sysClr val="windowText"/>
                </a:solidFill>
                <a:latin typeface="Arial"/>
              </a:defRPr>
            </a:pPr>
          </a:p>
        </txPr>
        <crossAx val="4"/>
      </catAx>
      <valAx>
        <axId val="4"/>
        <scaling>
          <orientation/>
          <max val="145"/>
          <min val="114"/>
        </scaling>
        <delete val="0"/>
        <axPos val="l"/>
        <majorGridlines>
          <spPr>
            <a:ln w="9525">
              <a:solidFill>
                <a:srgbClr val="A0A0A0"/>
              </a:solidFill>
              <a:prstDash val="sysDash"/>
            </a:ln>
          </spPr>
        </majorGridlines>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3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0" i="0" u="none" strike="noStrike" baseline="0">
                <a:solidFill>
                  <a:sysClr val="windowText"/>
                </a:solidFill>
                <a:latin typeface="Arial"/>
              </a:defRPr>
            </a:pPr>
            <a:r>
              <a:rPr sz="1800" b="0" i="0" u="none" strike="noStrike" baseline="0">
                <a:latin typeface="Arial" charset="0"/>
              </a:rPr>
              <a:t>Daily Indexes for the Month of May</a:t>
            </a:r>
          </a:p>
        </rich>
      </tx>
      <overlay val="0"/>
    </title>
    <plotArea>
      <lineChart>
        <grouping/>
        <ser>
          <idx val="0"/>
          <order val="0"/>
          <tx>
            <v>Occupancy Index (MPI)</v>
          </tx>
          <spPr>
            <a:ln w="38100">
              <a:solidFill>
                <a:srgbClr val="009CDE"/>
              </a:solidFill>
              <a:prstDash val="solid"/>
            </a:ln>
          </spPr>
          <marker>
            <symbol val="circle"/>
            <size val="6"/>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102.252456538247</v>
                </pt>
                <pt idx="0">
                  <v>124.724724724757</v>
                </pt>
                <pt idx="0">
                  <v>117.916290274023</v>
                </pt>
                <pt idx="0">
                  <v>121.023438897898</v>
                </pt>
                <pt idx="0">
                  <v>157.29694606874</v>
                </pt>
                <pt idx="0">
                  <v>177.492877492801</v>
                </pt>
                <pt idx="0">
                  <v>160.921551472601</v>
                </pt>
                <pt idx="0">
                  <v>163.214670981734</v>
                </pt>
                <pt idx="0">
                  <v>140.812657317575</v>
                </pt>
                <pt idx="0">
                  <v>123.473306081993</v>
                </pt>
                <pt idx="0">
                  <v>50.0330687830344</v>
                </pt>
                <pt idx="0">
                  <v>120.630417651706</v>
                </pt>
                <pt idx="0">
                  <v>141.637731481384</v>
                </pt>
                <pt idx="0">
                  <v>114.454732510209</v>
                </pt>
                <pt idx="0">
                  <v>123.408137201267</v>
                </pt>
                <pt idx="0">
                  <v>119.294532627955</v>
                </pt>
                <pt idx="0">
                  <v>155.658436214173</v>
                </pt>
                <pt idx="0">
                  <v>201.591674318614</v>
                </pt>
                <pt idx="0">
                  <v>171.588026382364</v>
                </pt>
                <pt idx="0">
                  <v>164.219815483448</v>
                </pt>
                <pt idx="0">
                  <v>118.397581254812</v>
                </pt>
                <pt idx="0">
                  <v>121.209101478067</v>
                </pt>
                <pt idx="0">
                  <v>114.899470899556</v>
                </pt>
                <pt idx="0">
                  <v>123.92091339459</v>
                </pt>
                <pt idx="0">
                  <v>66.6880753586334</v>
                </pt>
                <pt idx="0">
                  <v>115.980795610561</v>
                </pt>
                <pt idx="0">
                  <v>170.919067215469</v>
                </pt>
                <pt idx="0">
                  <v>168.96981014633</v>
                </pt>
                <pt idx="0">
                  <v>140.497874924303</v>
                </pt>
                <pt idx="0">
                  <v>110.875420875311</v>
                </pt>
                <pt idx="0">
                  <v>120.667989417906</v>
                </pt>
              </numCache>
            </numRef>
          </val>
          <smooth val="0"/>
        </ser>
        <ser>
          <idx val="1"/>
          <order val="1"/>
          <tx>
            <v>ADR Index (ARI)</v>
          </tx>
          <spPr>
            <a:ln w="38100">
              <a:solidFill>
                <a:srgbClr val="D22630"/>
              </a:solidFill>
              <a:prstDash val="solid"/>
            </a:ln>
          </spPr>
          <marker>
            <symbol val="diamond"/>
            <size val="6"/>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Month'!$C$38:$AG$38</f>
              <numCache>
                <formatCode>General</formatCode>
                <ptCount val="31"/>
                <pt idx="0">
                  <v>97.1139971075705</v>
                </pt>
                <pt idx="0">
                  <v>101.55269060728</v>
                </pt>
                <pt idx="0">
                  <v>106.206540507166</v>
                </pt>
                <pt idx="0">
                  <v>99.6497359969861</v>
                </pt>
                <pt idx="0">
                  <v>103.769552118388</v>
                </pt>
                <pt idx="0">
                  <v>109.163365804361</v>
                </pt>
                <pt idx="0">
                  <v>106.741353597927</v>
                </pt>
                <pt idx="0">
                  <v>114.116000061261</v>
                </pt>
                <pt idx="0">
                  <v>112.44503025244</v>
                </pt>
                <pt idx="0">
                  <v>98.2089947749912</v>
                </pt>
                <pt idx="0">
                  <v>104.351248745205</v>
                </pt>
                <pt idx="0">
                  <v>103.181462512926</v>
                </pt>
                <pt idx="0">
                  <v>109.239596923615</v>
                </pt>
                <pt idx="0">
                  <v>101.641824136288</v>
                </pt>
                <pt idx="0">
                  <v>98.0186242579691</v>
                </pt>
                <pt idx="0">
                  <v>113.266245786652</v>
                </pt>
                <pt idx="0">
                  <v>102.395989165811</v>
                </pt>
                <pt idx="0">
                  <v>103.864420287888</v>
                </pt>
                <pt idx="0">
                  <v>99.8902285321019</v>
                </pt>
                <pt idx="0">
                  <v>102.729760743945</v>
                </pt>
                <pt idx="0">
                  <v>95.6307569865756</v>
                </pt>
                <pt idx="0">
                  <v>94.1301724971463</v>
                </pt>
                <pt idx="0">
                  <v>102.028872653001</v>
                </pt>
                <pt idx="0">
                  <v>91.1937667830394</v>
                </pt>
                <pt idx="0">
                  <v>89.9895552802424</v>
                </pt>
                <pt idx="0">
                  <v>96.3657805009626</v>
                </pt>
                <pt idx="0">
                  <v>116.229771019352</v>
                </pt>
                <pt idx="0">
                  <v>116.976190744648</v>
                </pt>
                <pt idx="0">
                  <v>95.9508285738508</v>
                </pt>
                <pt idx="0">
                  <v>100.993668633606</v>
                </pt>
                <pt idx="0">
                  <v>100.666145686967</v>
                </pt>
              </numCache>
            </numRef>
          </val>
          <smooth val="0"/>
        </ser>
        <ser>
          <idx val="2"/>
          <order val="2"/>
          <tx>
            <v>RevPAR Index (RGI)</v>
          </tx>
          <spPr>
            <a:ln w="38100">
              <a:solidFill>
                <a:srgbClr val="84BD00"/>
              </a:solidFill>
              <a:prstDash val="lgDash"/>
            </a:ln>
          </spPr>
          <marker>
            <symbol val="square"/>
            <size val="6"/>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Month'!$C$48:$AG$48</f>
              <numCache>
                <formatCode>General</formatCode>
                <ptCount val="31"/>
                <pt idx="0">
                  <v>99.3014476848285</v>
                </pt>
                <pt idx="0">
                  <v>126.661313810477</v>
                </pt>
                <pt idx="0">
                  <v>125.234812594484</v>
                </pt>
                <pt idx="0">
                  <v>120.59953735609</v>
                </pt>
                <pt idx="0">
                  <v>163.226336431679</v>
                </pt>
                <pt idx="0">
                  <v>193.757199134436</v>
                </pt>
                <pt idx="0">
                  <v>171.769842272657</v>
                </pt>
                <pt idx="0">
                  <v>186.254054037262</v>
                </pt>
                <pt idx="0">
                  <v>158.336835119867</v>
                </pt>
                <pt idx="0">
                  <v>121.26189271861</v>
                </pt>
                <pt idx="0">
                  <v>52.2101320607282</v>
                </pt>
                <pt idx="0">
                  <v>124.468229168525</v>
                </pt>
                <pt idx="0">
                  <v>154.724486962253</v>
                </pt>
                <pt idx="0">
                  <v>116.333877933839</v>
                </pt>
                <pt idx="0">
                  <v>120.962958306982</v>
                </pt>
                <pt idx="0">
                  <v>135.120438536335</v>
                </pt>
                <pt idx="0">
                  <v>159.387995481364</v>
                </pt>
                <pt idx="0">
                  <v>209.382023880052</v>
                </pt>
                <pt idx="0">
                  <v>171.399671687203</v>
                </pt>
                <pt idx="0">
                  <v>168.702623540275</v>
                </pt>
                <pt idx="0">
                  <v>113.224503207704</v>
                </pt>
                <pt idx="0">
                  <v>114.094336303578</v>
                </pt>
                <pt idx="0">
                  <v>117.230634842992</v>
                </pt>
                <pt idx="0">
                  <v>113.008148756535</v>
                </pt>
                <pt idx="0">
                  <v>60.0123024401846</v>
                </pt>
                <pt idx="0">
                  <v>111.765798921199</v>
                </pt>
                <pt idx="0">
                  <v>198.658840452868</v>
                </pt>
                <pt idx="0">
                  <v>197.654447417593</v>
                </pt>
                <pt idx="0">
                  <v>134.808875118304</v>
                </pt>
                <pt idx="0">
                  <v>111.977155155136</v>
                </pt>
                <pt idx="0">
                  <v>121.471814025144</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Month'!$C$60:$AG$60</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numFmt formatCode="General" sourceLinked="0"/>
        <majorTickMark val="none"/>
        <minorTickMark val="none"/>
        <spPr>
          <a:ln w="9525">
            <a:solidFill>
              <a:srgbClr val="A0A0A0"/>
            </a:solidFill>
            <a:prstDash val="solid"/>
          </a:ln>
        </spPr>
        <txPr>
          <a:bodyPr/>
          <a:p>
            <a:pPr>
              <a:defRPr sz="1200" b="0" i="0" u="none" strike="noStrike" baseline="0">
                <a:solidFill>
                  <a:sysClr val="windowText"/>
                </a:solidFill>
                <a:latin typeface="Arial"/>
              </a:defRPr>
            </a:pPr>
          </a:p>
        </txPr>
        <crossAx val="4"/>
      </catAx>
      <valAx>
        <axId val="4"/>
        <scaling>
          <orientation/>
          <max val="214"/>
          <min val="4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2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200" b="0" i="0" u="none" strike="noStrike" baseline="0">
                <a:solidFill>
                  <a:sysClr val="windowText"/>
                </a:solidFill>
                <a:latin typeface="Arial"/>
              </a:defRPr>
            </a:pPr>
          </a:p>
        </txPr>
      </legendEntry>
      <legendEntry>
        <idx val="1"/>
        <txPr>
          <a:bodyPr/>
          <a:p>
            <a:pPr>
              <a:defRPr sz="1200" b="0" i="0" u="none" strike="noStrike" baseline="0">
                <a:solidFill>
                  <a:sysClr val="windowText"/>
                </a:solidFill>
                <a:latin typeface="Arial"/>
              </a:defRPr>
            </a:pPr>
          </a:p>
        </txPr>
      </legendEntry>
      <legendEntry>
        <idx val="2"/>
        <txPr>
          <a:bodyPr/>
          <a:p>
            <a:pPr>
              <a:defRPr sz="1200" b="0" i="0" u="none" strike="noStrike" baseline="0">
                <a:solidFill>
                  <a:sysClr val="windowText"/>
                </a:solidFill>
                <a:latin typeface="Arial"/>
              </a:defRPr>
            </a:pPr>
          </a:p>
        </txPr>
      </legendEntry>
      <legendEntry>
        <idx val="3"/>
        <txPr>
          <a:bodyPr/>
          <a:p>
            <a:pPr>
              <a:defRPr sz="1200" b="0" i="0" u="none" strike="noStrike" baseline="0">
                <a:solidFill>
                  <a:sysClr val="windowText"/>
                </a:solidFill>
                <a:latin typeface="Arial"/>
              </a:defRPr>
            </a:pPr>
          </a:p>
        </txPr>
      </legendEntry>
      <overlay val="0"/>
      <spPr>
        <a:ln w="9525">
          <a:noFill/>
        </a:ln>
      </spPr>
      <txPr>
        <a:bodyPr/>
        <a:p>
          <a:pPr>
            <a:defRPr sz="120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0.xml.rels><?xml version="1.0" encoding="utf-8" standalone="yes" ?>
<Relationships xmlns="http://schemas.openxmlformats.org/package/2006/relationships">
<Relationship Id="rId35" Type="http://schemas.openxmlformats.org/officeDocument/2006/relationships/chart" Target="/xl/charts/chart31.xml" />
<Relationship Id="rId36" Type="http://schemas.openxmlformats.org/officeDocument/2006/relationships/chart" Target="/xl/charts/chart32.xml" />
</Relationships>
</file>

<file path=xl/drawings/_rels/drawing33.xml.rels><?xml version="1.0" encoding="utf-8" standalone="yes" ?>
<Relationships xmlns="http://schemas.openxmlformats.org/package/2006/relationships">
<Relationship Id="rId38" Type="http://schemas.openxmlformats.org/officeDocument/2006/relationships/chart" Target="/xl/charts/chart34.xml" />
<Relationship Id="rId39" Type="http://schemas.openxmlformats.org/officeDocument/2006/relationships/chart" Target="/xl/charts/chart35.xml" />
</Relationships>
</file>

<file path=xl/drawings/_rels/drawing36.xml.rels><?xml version="1.0" encoding="utf-8" standalone="yes" ?>
<Relationships xmlns="http://schemas.openxmlformats.org/package/2006/relationships">
<Relationship Id="rId41" Type="http://schemas.openxmlformats.org/officeDocument/2006/relationships/chart" Target="/xl/charts/chart37.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19050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20225" y="581025"/>
          <a:ext cx="1038225" cy="10382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1895475</xdr:colOff>
      <xdr:row>1</xdr:row>
      <xdr:rowOff>838200</xdr:rowOff>
    </xdr:to>
    <xdr:pic>
      <xdr:nvPicPr>
        <xdr:cNvPr id="7185" name="Picture 1">
          <a:extLst>
            <a:ext uri="{FF2B5EF4-FFF2-40B4-BE49-F238E27FC236}">
              <a16:creationId xmlns:a16="http://schemas.microsoft.com/office/drawing/2014/main" id="{00000000-0008-0000-1900-0000111C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57900"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3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37109</xdr:colOff>
      <xdr:row>5</xdr:row>
      <xdr:rowOff>31686</xdr:rowOff>
    </xdr:from>
    <xdr:to>
      <xdr:col>19</xdr:col>
      <xdr:colOff>338988</xdr:colOff>
      <xdr:row>16</xdr:row>
      <xdr:rowOff>102171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5"/>
        </a:graphicData>
      </a:graphic>
    </xdr:graphicFrame>
    <xdr:clientData/>
  </xdr:twoCellAnchor>
  <xdr:oneCellAnchor>
    <xdr:from>
      <xdr:col>20</xdr:col>
      <xdr:colOff>0</xdr:colOff>
      <xdr:row>4</xdr:row>
      <xdr:rowOff>0</xdr:rowOff>
    </xdr:from>
    <xdr:ext cx="6604000" cy="3810000"/>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6"/>
        </a:graphicData>
      </a:graphic>
    </xdr:graphicFrame>
    <xdr:clientData/>
  </xdr:oneCellAnchor>
</xdr:wsDr>
</file>

<file path=xl/drawings/drawing3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52375</xdr:colOff>
      <xdr:row>4</xdr:row>
      <xdr:rowOff>76581</xdr:rowOff>
    </xdr:from>
    <xdr:to>
      <xdr:col>11</xdr:col>
      <xdr:colOff>19990</xdr:colOff>
      <xdr:row>13</xdr:row>
      <xdr:rowOff>128651</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8"/>
        </a:graphicData>
      </a:graphic>
    </xdr:graphicFrame>
    <xdr:clientData/>
  </xdr:twoCellAnchor>
  <xdr:twoCellAnchor>
    <xdr:from>
      <xdr:col>11</xdr:col>
      <xdr:colOff>195199</xdr:colOff>
      <xdr:row>4</xdr:row>
      <xdr:rowOff>76581</xdr:rowOff>
    </xdr:from>
    <xdr:to>
      <xdr:col>20</xdr:col>
      <xdr:colOff>584834</xdr:colOff>
      <xdr:row>13</xdr:row>
      <xdr:rowOff>128651</xdr:rowOff>
    </xdr:to>
    <xdr:graphicFrame>
      <xdr:nvGraphicFramePr>
        <xdr:cNvPr id="0" name="Chart 2"/>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39"/>
        </a:graphicData>
      </a:graphic>
    </xdr:graphicFrame>
    <xdr:clientData/>
  </xdr:twoCellAnchor>
</xdr:wsDr>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0</xdr:colOff>
      <xdr:row>4</xdr:row>
      <xdr:rowOff>0</xdr:rowOff>
    </xdr:from>
    <xdr:to>
      <xdr:col>33</xdr:col>
      <xdr:colOff>130175</xdr:colOff>
      <xdr:row>20</xdr:row>
      <xdr:rowOff>377825</xdr:rowOff>
    </xdr:to>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41"/>
        </a:graphicData>
      </a:graphic>
    </xdr:graphicFrame>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1" Type="http://schemas.openxmlformats.org/officeDocument/2006/relationships/printerSettings" Target="../printerSettings/printerSettings3.bin" />
</Relationships>
</file>

<file path=xl/worksheets/_rels/sheet7.xml.rels><?xml version="1.0" encoding="utf-8" standalone="yes" ?>
<Relationships xmlns="http://schemas.openxmlformats.org/package/2006/relationships">
<Relationship Id="rId1" Type="http://schemas.openxmlformats.org/officeDocument/2006/relationships/printerSettings" Target="../printerSettings/printerSettings7.bin" />
<Relationship Id="rId37" Type="http://schemas.openxmlformats.org/officeDocument/2006/relationships/drawing" Target="../drawings/drawing33.xml" />
</Relationships>
</file>

<file path=xl/worksheets/_rels/sheet9.xml.rels><?xml version="1.0" encoding="utf-8" standalone="yes" ?>
<Relationships xmlns="http://schemas.openxmlformats.org/package/2006/relationships">
<Relationship Id="rId1" Type="http://schemas.openxmlformats.org/officeDocument/2006/relationships/printerSettings" Target="../printerSettings/printerSettings9.bin" />
<Relationship Id="rId40" Type="http://schemas.openxmlformats.org/officeDocument/2006/relationships/drawing" Target="../drawings/drawing36.xml" />
</Relationships>
</file>

<file path=xl/worksheets/_rels/sheet23.xml.rels><?xml version="1.0" encoding="utf-8" standalone="yes" ?>
<Relationships xmlns="http://schemas.openxmlformats.org/package/2006/relationships">
<Relationship Id="rId1" Type="http://schemas.openxmlformats.org/officeDocument/2006/relationships/printerSettings" Target="../printerSettings/printerSettings23.bin" />
</Relationships>
</file>

<file path=xl/worksheets/_rels/sheet2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26.bin" />
<Relationship Id="rId42" Type="http://schemas.openxmlformats.org/officeDocument/2006/relationships/hyperlink" Target="http://www.str.com/data-insights/resources/glossary" TargetMode="External" />
<Relationship Id="rId43" Type="http://schemas.openxmlformats.org/officeDocument/2006/relationships/hyperlink" Target="http://www.hotelnewsnow.com/" TargetMode="External" />
<Relationship Id="rId44" Type="http://schemas.openxmlformats.org/officeDocument/2006/relationships/hyperlink" Target="http://www.hoteldataconference.com/" TargetMode="External" />
<Relationship Id="rId45" Type="http://schemas.openxmlformats.org/officeDocument/2006/relationships/hyperlink" Target="http://www.str.com/data-insights/resources/FAQ" TargetMode="External" />
<Relationship Id="rId46" Type="http://schemas.openxmlformats.org/officeDocument/2006/relationships/hyperlink" Target="https://str.com/contact" TargetMode="External" />
</Relationships>
</file>

<file path=xl/worksheets/_rels/sheet28.xml.rels><?xml version="1.0" encoding="utf-8" standalone="yes" ?>
<Relationships xmlns="http://schemas.openxmlformats.org/package/2006/relationships">
<Relationship Id="rId1" Type="http://schemas.openxmlformats.org/officeDocument/2006/relationships/printerSettings" Target="../printerSettings/printerSettings29.bin" />
<Relationship Id="rId31" Type="http://schemas.openxmlformats.org/officeDocument/2006/relationships/drawing" Target="../drawings/drawing30.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AA153"/>
  <sheetViews>
    <sheetView showGridLines="0" tabSelected="1" zoomScaleNormal="100" workbookViewId="0"/>
  </sheetViews>
  <sheetFormatPr defaultRowHeight="12.75"/>
  <cols>
    <col min="1" max="1" width="13.42578125" style="4" customWidth="1"/>
    <col min="2" max="2" width="57.5703125" style="4" customWidth="1"/>
    <col min="3" max="3" width="5.42578125" style="4" customWidth="1"/>
    <col min="4" max="4" width="1.85546875" style="234" customWidth="1"/>
    <col min="5" max="5" width="57.5703125" style="4" customWidth="1"/>
    <col min="6" max="6" width="5.42578125" style="4" customWidth="1"/>
    <col min="7" max="7" width="15.5703125" style="4" customWidth="1"/>
    <col min="8" max="8" width="4.140625" style="4" customWidth="1"/>
    <col min="9" max="13" width="7.140625" style="235" customWidth="1"/>
    <col min="14" max="14" width="1.42578125" style="235" customWidth="1"/>
    <col min="15" max="15" width="7.42578125" style="235" customWidth="1"/>
    <col min="16" max="27" width="9.140625" style="235" customWidth="1"/>
    <col min="28" max="16384" width="9.140625" style="4" customWidth="1"/>
  </cols>
  <sheetData>
    <row r="1" ht="45.75" customHeight="1">
      <c r="A1" s="594"/>
      <c r="B1" s="595"/>
      <c r="C1" s="595"/>
      <c r="D1" s="596"/>
      <c r="E1" s="595"/>
      <c r="F1" s="595"/>
      <c r="G1" s="595"/>
      <c r="H1" s="597"/>
      <c r="O1" s="235"/>
    </row>
    <row r="2" ht="24.75" customHeight="1">
      <c r="A2" s="595"/>
      <c r="B2" s="637" t="s">
        <v>141</v>
      </c>
      <c r="C2" s="605"/>
      <c r="D2" s="604"/>
      <c r="E2" s="604"/>
      <c r="F2" s="605"/>
      <c r="G2" s="598"/>
      <c r="H2" s="599"/>
    </row>
    <row r="3" ht="25.5" customHeight="1">
      <c r="A3" s="595"/>
      <c r="B3" s="638" t="s">
        <v>140</v>
      </c>
      <c r="C3" s="607"/>
      <c r="D3" s="606"/>
      <c r="E3" s="606"/>
      <c r="F3" s="607"/>
      <c r="G3" s="598"/>
      <c r="H3" s="599"/>
    </row>
    <row r="4" ht="15" customHeight="1">
      <c r="A4" s="595"/>
      <c r="B4" s="695" t="s">
        <v>142</v>
      </c>
      <c r="C4" s="695"/>
      <c r="D4" s="695"/>
      <c r="E4" s="695"/>
      <c r="F4" s="608"/>
      <c r="G4" s="598"/>
      <c r="H4" s="599"/>
    </row>
    <row r="5" ht="15" customHeight="1">
      <c r="A5" s="595"/>
      <c r="B5" s="695" t="s">
        <v>143</v>
      </c>
      <c r="C5" s="695"/>
      <c r="D5" s="695"/>
      <c r="E5" s="695"/>
      <c r="F5" s="608"/>
      <c r="G5" s="598"/>
      <c r="H5" s="599"/>
    </row>
    <row r="6" ht="15" customHeight="1">
      <c r="A6" s="595"/>
      <c r="B6" s="609"/>
      <c r="C6" s="610"/>
      <c r="D6" s="609"/>
      <c r="E6" s="609"/>
      <c r="F6" s="610"/>
      <c r="G6" s="598"/>
      <c r="H6" s="599"/>
    </row>
    <row r="7" ht="15.75" customHeight="1">
      <c r="A7" s="595"/>
      <c r="B7" s="639" t="s">
        <v>108</v>
      </c>
      <c r="C7" s="605">
        <v>1</v>
      </c>
      <c r="D7" s="639"/>
      <c r="E7" s="639"/>
      <c r="F7" s="605"/>
      <c r="G7" s="598"/>
      <c r="H7" s="599"/>
    </row>
    <row r="8" ht="15.75" customHeight="1">
      <c r="A8" s="595"/>
      <c r="B8" s="639" t="str">
        <f>HYPERLINK("#'Glance'!A1", "Monthly Performance at a Glance")</f>
      </c>
      <c r="C8" s="605" t="str">
        <f>HYPERLINK("#'Glance'!A1", "2")</f>
      </c>
      <c r="D8" s="639"/>
      <c r="E8" s="639"/>
      <c r="F8" s="605"/>
      <c r="G8" s="598"/>
      <c r="H8" s="599"/>
    </row>
    <row r="9" ht="15.75" customHeight="1">
      <c r="A9" s="595"/>
      <c r="B9" s="639" t="str">
        <f>HYPERLINK("#'Summary'!A1", "STAR Summary")</f>
      </c>
      <c r="C9" s="605" t="str">
        <f>HYPERLINK("#'Summary'!A1", "3")</f>
      </c>
      <c r="D9" s="639"/>
      <c r="E9" s="639"/>
      <c r="F9" s="605"/>
      <c r="G9" s="595"/>
      <c r="H9" s="595"/>
    </row>
    <row r="10" ht="15.75" customHeight="1">
      <c r="A10" s="595"/>
      <c r="B10" s="639" t="str">
        <f>HYPERLINK("#'Comp'!A1", "Competitive Set Report")</f>
      </c>
      <c r="C10" s="605" t="str">
        <f>HYPERLINK("#'Comp'!A1", "4")</f>
      </c>
      <c r="D10" s="639"/>
      <c r="E10" s="639"/>
      <c r="F10" s="605"/>
      <c r="G10" s="595"/>
      <c r="H10" s="595"/>
    </row>
    <row r="11" ht="15.75" customHeight="1">
      <c r="A11" s="600"/>
      <c r="B11" s="639" t="str">
        <f>HYPERLINK("#'Response'!A1", "Response Report")</f>
      </c>
      <c r="C11" s="605" t="str">
        <f>HYPERLINK("#'Response'!A1", "5")</f>
      </c>
      <c r="D11" s="639"/>
      <c r="E11" s="639"/>
      <c r="F11" s="605"/>
      <c r="G11" s="595"/>
      <c r="H11" s="595"/>
    </row>
    <row r="12" ht="15.75" customHeight="1">
      <c r="A12" s="595"/>
      <c r="B12" s="639" t="str">
        <f>HYPERLINK("#'Day of Week'!A1", "Day of Week &amp; Weekday/Weekend")</f>
      </c>
      <c r="C12" s="605" t="str">
        <f>HYPERLINK("#'Day of Week'!A1", "6")</f>
      </c>
      <c r="D12" s="639"/>
      <c r="E12" s="639"/>
      <c r="F12" s="605"/>
      <c r="G12" s="595"/>
      <c r="H12" s="595"/>
    </row>
    <row r="13" ht="15.75" customHeight="1">
      <c r="A13" s="595"/>
      <c r="B13" s="639" t="str">
        <f>HYPERLINK("#'Daily by Month'!A1", "Daily Data for the Month")</f>
      </c>
      <c r="C13" s="605" t="str">
        <f>HYPERLINK("#'Daily by Month'!A1", "7")</f>
      </c>
      <c r="D13" s="639"/>
      <c r="E13" s="639"/>
      <c r="F13" s="605"/>
      <c r="G13" s="595"/>
      <c r="H13" s="595"/>
    </row>
    <row r="14" ht="15.75" customHeight="1">
      <c r="A14" s="595"/>
      <c r="B14" s="639" t="str">
        <f>HYPERLINK("#'Help'!A1", "Help")</f>
      </c>
      <c r="C14" s="605" t="str">
        <f>HYPERLINK("#'Help'!A1", "8")</f>
      </c>
      <c r="D14" s="639"/>
      <c r="E14" s="639"/>
      <c r="F14" s="605"/>
      <c r="G14" s="595"/>
      <c r="H14" s="595"/>
    </row>
    <row r="15" ht="15.75" customHeight="1">
      <c r="A15" s="595"/>
      <c r="B15" s="639"/>
      <c r="C15" s="605"/>
      <c r="D15" s="639"/>
      <c r="E15" s="639"/>
      <c r="F15" s="605"/>
      <c r="G15" s="595"/>
      <c r="H15" s="595"/>
    </row>
    <row r="16" ht="15.75" customHeight="1">
      <c r="A16" s="595"/>
      <c r="B16" s="639"/>
      <c r="C16" s="605"/>
      <c r="D16" s="639"/>
      <c r="E16" s="639"/>
      <c r="F16" s="605"/>
      <c r="G16" s="595"/>
      <c r="H16" s="595"/>
    </row>
    <row r="17" ht="15.75" customHeight="1">
      <c r="A17" s="595"/>
      <c r="B17" s="639"/>
      <c r="C17" s="605"/>
      <c r="D17" s="639"/>
      <c r="E17" s="639"/>
      <c r="F17" s="605"/>
      <c r="G17" s="595"/>
      <c r="H17" s="595"/>
    </row>
    <row r="18" ht="15.75" customHeight="1">
      <c r="A18" s="595"/>
      <c r="B18" s="639"/>
      <c r="C18" s="605"/>
      <c r="D18" s="639"/>
      <c r="E18" s="639"/>
      <c r="F18" s="605"/>
      <c r="G18" s="595"/>
      <c r="H18" s="595"/>
    </row>
    <row r="19" ht="15.75" customHeight="1">
      <c r="A19" s="595"/>
      <c r="B19" s="639"/>
      <c r="C19" s="605"/>
      <c r="D19" s="639"/>
      <c r="E19" s="639"/>
      <c r="F19" s="605"/>
      <c r="G19" s="595"/>
      <c r="H19" s="595"/>
    </row>
    <row r="20" ht="15.75" customHeight="1">
      <c r="A20" s="595"/>
      <c r="B20" s="639"/>
      <c r="C20" s="605"/>
      <c r="D20" s="639"/>
      <c r="E20" s="639"/>
      <c r="F20" s="605"/>
      <c r="G20" s="595"/>
      <c r="H20" s="595"/>
    </row>
    <row r="21" ht="15.75" customHeight="1">
      <c r="A21" s="595"/>
      <c r="B21" s="639"/>
      <c r="C21" s="605"/>
      <c r="D21" s="639"/>
      <c r="E21" s="639"/>
      <c r="F21" s="605"/>
      <c r="G21" s="595"/>
      <c r="H21" s="595"/>
    </row>
    <row r="22" ht="15.75" customHeight="1">
      <c r="A22" s="595"/>
      <c r="B22" s="639"/>
      <c r="C22" s="605"/>
      <c r="D22" s="639"/>
      <c r="E22" s="639"/>
      <c r="F22" s="605"/>
      <c r="G22" s="595"/>
      <c r="H22" s="595"/>
    </row>
    <row r="23" ht="15.75" customHeight="1">
      <c r="A23" s="595"/>
      <c r="B23" s="639"/>
      <c r="C23" s="605"/>
      <c r="D23" s="639"/>
      <c r="E23" s="639"/>
      <c r="F23" s="605"/>
      <c r="G23" s="595"/>
      <c r="H23" s="595"/>
    </row>
    <row r="24" ht="15.75" customHeight="1">
      <c r="A24" s="595"/>
      <c r="B24" s="639"/>
      <c r="C24" s="605"/>
      <c r="D24" s="639"/>
      <c r="E24" s="639"/>
      <c r="F24" s="605"/>
      <c r="G24" s="595"/>
      <c r="H24" s="595"/>
    </row>
    <row r="25" ht="15.75" customHeight="1">
      <c r="A25" s="595"/>
      <c r="B25" s="639"/>
      <c r="C25" s="605"/>
      <c r="D25" s="639"/>
      <c r="E25" s="639"/>
      <c r="F25" s="605"/>
      <c r="G25" s="595"/>
      <c r="H25" s="595"/>
    </row>
    <row r="26" ht="15.75" customHeight="1">
      <c r="A26" s="595"/>
      <c r="B26" s="639"/>
      <c r="C26" s="605"/>
      <c r="D26" s="639"/>
      <c r="E26" s="639"/>
      <c r="F26" s="605"/>
      <c r="G26" s="595"/>
      <c r="H26" s="595"/>
    </row>
    <row r="27" ht="15.75" customHeight="1">
      <c r="A27" s="595"/>
      <c r="B27" s="639"/>
      <c r="C27" s="605"/>
      <c r="D27" s="639"/>
      <c r="E27" s="639"/>
      <c r="F27" s="605"/>
      <c r="G27" s="595"/>
      <c r="H27" s="595"/>
    </row>
    <row r="28" ht="15.75" customHeight="1">
      <c r="A28" s="595"/>
      <c r="B28" s="639"/>
      <c r="C28" s="605"/>
      <c r="D28" s="639"/>
      <c r="E28" s="639"/>
      <c r="F28" s="605"/>
      <c r="G28" s="595"/>
      <c r="H28" s="595"/>
    </row>
    <row r="29" ht="15.75" customHeight="1">
      <c r="A29" s="595"/>
      <c r="B29" s="639"/>
      <c r="C29" s="605"/>
      <c r="D29" s="639"/>
      <c r="E29" s="639"/>
      <c r="F29" s="605"/>
      <c r="G29" s="595"/>
      <c r="H29" s="595"/>
    </row>
    <row r="30" ht="0" hidden="1" customHeight="1">
      <c r="A30" s="595"/>
      <c r="B30" s="639"/>
      <c r="C30" s="605"/>
      <c r="D30" s="639"/>
      <c r="E30" s="639"/>
      <c r="F30" s="605"/>
      <c r="G30" s="595"/>
      <c r="H30" s="595"/>
    </row>
    <row r="31" ht="0" hidden="1" customHeight="1">
      <c r="A31" s="595"/>
      <c r="B31" s="639"/>
      <c r="C31" s="605"/>
      <c r="D31" s="639"/>
      <c r="E31" s="639"/>
      <c r="F31" s="605"/>
      <c r="G31" s="595"/>
      <c r="H31" s="595"/>
    </row>
    <row r="32" ht="0" hidden="1" customHeight="1">
      <c r="A32" s="595"/>
      <c r="B32" s="639"/>
      <c r="C32" s="605"/>
      <c r="D32" s="639"/>
      <c r="E32" s="639"/>
      <c r="F32" s="605"/>
      <c r="G32" s="595"/>
      <c r="H32" s="595"/>
    </row>
    <row r="33" ht="0" hidden="1" customHeight="1">
      <c r="A33" s="595"/>
      <c r="B33" s="639"/>
      <c r="C33" s="605"/>
      <c r="D33" s="639"/>
      <c r="E33" s="639"/>
      <c r="F33" s="605"/>
      <c r="G33" s="595"/>
      <c r="H33" s="595"/>
    </row>
    <row r="34" ht="0" hidden="1" customHeight="1">
      <c r="A34" s="595"/>
      <c r="B34" s="639"/>
      <c r="C34" s="605"/>
      <c r="D34" s="639"/>
      <c r="E34" s="639"/>
      <c r="F34" s="605"/>
      <c r="G34" s="595"/>
      <c r="H34" s="595"/>
    </row>
    <row r="35" ht="0" hidden="1" customHeight="1">
      <c r="A35" s="595"/>
      <c r="B35" s="639"/>
      <c r="C35" s="605"/>
      <c r="D35" s="639"/>
      <c r="E35" s="639"/>
      <c r="F35" s="605"/>
      <c r="G35" s="595"/>
      <c r="H35" s="595"/>
    </row>
    <row r="36" ht="0" hidden="1" customHeight="1">
      <c r="A36" s="595"/>
      <c r="B36" s="639"/>
      <c r="C36" s="605"/>
      <c r="D36" s="639"/>
      <c r="E36" s="639"/>
      <c r="F36" s="605"/>
      <c r="G36" s="595"/>
      <c r="H36" s="595"/>
    </row>
    <row r="37" ht="0" hidden="1" customHeight="1">
      <c r="A37" s="595"/>
      <c r="B37" s="639"/>
      <c r="C37" s="605"/>
      <c r="D37" s="639"/>
      <c r="E37" s="639"/>
      <c r="F37" s="605"/>
      <c r="G37" s="595"/>
      <c r="H37" s="595"/>
    </row>
    <row r="38" ht="0" hidden="1" customHeight="1">
      <c r="A38" s="595"/>
      <c r="B38" s="639"/>
      <c r="C38" s="605"/>
      <c r="D38" s="639"/>
      <c r="E38" s="639"/>
      <c r="F38" s="605"/>
      <c r="G38" s="595"/>
      <c r="H38" s="595"/>
    </row>
    <row r="39" ht="0" hidden="1" customHeight="1">
      <c r="A39" s="595"/>
      <c r="B39" s="639"/>
      <c r="C39" s="605"/>
      <c r="D39" s="639"/>
      <c r="E39" s="639"/>
      <c r="F39" s="605"/>
      <c r="G39" s="595"/>
      <c r="H39" s="595"/>
    </row>
    <row r="40" ht="0" hidden="1" customHeight="1">
      <c r="A40" s="595"/>
      <c r="B40" s="639"/>
      <c r="C40" s="605"/>
      <c r="D40" s="639"/>
      <c r="E40" s="639"/>
      <c r="F40" s="605"/>
      <c r="G40" s="595"/>
      <c r="H40" s="595"/>
    </row>
    <row r="41" ht="0" hidden="1" customHeight="1">
      <c r="A41" s="595"/>
      <c r="B41" s="639"/>
      <c r="C41" s="605"/>
      <c r="D41" s="639"/>
      <c r="E41" s="639"/>
      <c r="F41" s="605"/>
      <c r="G41" s="595"/>
      <c r="H41" s="595"/>
    </row>
    <row r="42" ht="0" hidden="1" customHeight="1">
      <c r="A42" s="595"/>
      <c r="B42" s="639"/>
      <c r="C42" s="605"/>
      <c r="D42" s="639"/>
      <c r="E42" s="639"/>
      <c r="F42" s="605"/>
      <c r="G42" s="595"/>
      <c r="H42" s="595"/>
    </row>
    <row r="43" ht="0" hidden="1" customHeight="1">
      <c r="A43" s="595"/>
      <c r="B43" s="639"/>
      <c r="C43" s="605"/>
      <c r="D43" s="639"/>
      <c r="E43" s="639"/>
      <c r="F43" s="605"/>
      <c r="G43" s="595"/>
      <c r="H43" s="595"/>
    </row>
    <row r="44" ht="0" hidden="1" customHeight="1">
      <c r="A44" s="595"/>
      <c r="B44" s="639"/>
      <c r="C44" s="605"/>
      <c r="D44" s="639"/>
      <c r="E44" s="639"/>
      <c r="F44" s="605"/>
      <c r="G44" s="595"/>
      <c r="H44" s="595"/>
    </row>
    <row r="45" ht="0" hidden="1" customHeight="1">
      <c r="A45" s="595"/>
      <c r="B45" s="639"/>
      <c r="C45" s="605"/>
      <c r="D45" s="639"/>
      <c r="E45" s="639"/>
      <c r="F45" s="605"/>
      <c r="G45" s="595"/>
      <c r="H45" s="595"/>
    </row>
    <row r="46" ht="0" hidden="1" customHeight="1">
      <c r="A46" s="595"/>
      <c r="B46" s="639"/>
      <c r="C46" s="605"/>
      <c r="D46" s="639"/>
      <c r="E46" s="639"/>
      <c r="F46" s="605"/>
      <c r="G46" s="595"/>
      <c r="H46" s="595"/>
    </row>
    <row r="47" ht="0" hidden="1" customHeight="1">
      <c r="A47" s="595"/>
      <c r="B47" s="639"/>
      <c r="C47" s="605"/>
      <c r="D47" s="639"/>
      <c r="E47" s="639"/>
      <c r="F47" s="605"/>
      <c r="G47" s="595"/>
      <c r="H47" s="595"/>
    </row>
    <row r="48" ht="0" hidden="1" customHeight="1">
      <c r="A48" s="595"/>
      <c r="B48" s="639"/>
      <c r="C48" s="605"/>
      <c r="D48" s="639"/>
      <c r="E48" s="639"/>
      <c r="F48" s="605"/>
      <c r="G48" s="595"/>
      <c r="H48" s="595"/>
    </row>
    <row r="49" ht="0" hidden="1" customHeight="1">
      <c r="A49" s="595"/>
      <c r="B49" s="639"/>
      <c r="C49" s="605"/>
      <c r="D49" s="639"/>
      <c r="E49" s="639"/>
      <c r="F49" s="605"/>
      <c r="G49" s="595"/>
      <c r="H49" s="595"/>
    </row>
    <row r="50" ht="15.75" customHeight="1">
      <c r="A50" s="595"/>
      <c r="B50" s="639"/>
      <c r="C50" s="605"/>
      <c r="D50" s="639"/>
      <c r="E50" s="639"/>
      <c r="F50" s="605"/>
      <c r="G50" s="595"/>
      <c r="H50" s="595"/>
    </row>
    <row r="51" ht="15.75" customHeight="1">
      <c r="A51" s="595"/>
      <c r="B51" s="639"/>
      <c r="C51" s="605"/>
      <c r="D51" s="639"/>
      <c r="E51" s="639"/>
      <c r="F51" s="605"/>
      <c r="G51" s="595"/>
      <c r="H51" s="595"/>
    </row>
    <row r="52" ht="15.75" customHeight="1">
      <c r="A52" s="595"/>
      <c r="B52" s="639"/>
      <c r="C52" s="605"/>
      <c r="D52" s="639"/>
      <c r="E52" s="639"/>
      <c r="F52" s="605"/>
      <c r="G52" s="595"/>
      <c r="H52" s="595"/>
    </row>
    <row r="53" ht="15.75" customHeight="1">
      <c r="A53" s="595"/>
      <c r="B53" s="639"/>
      <c r="C53" s="605"/>
      <c r="D53" s="639"/>
      <c r="E53" s="639"/>
      <c r="F53" s="605"/>
      <c r="G53" s="595"/>
      <c r="H53" s="595"/>
    </row>
    <row r="54" ht="15.75" customHeight="1">
      <c r="A54" s="595"/>
      <c r="B54" s="639"/>
      <c r="C54" s="605"/>
      <c r="D54" s="639"/>
      <c r="E54" s="639"/>
      <c r="F54" s="605"/>
      <c r="G54" s="595"/>
      <c r="H54" s="595"/>
    </row>
    <row r="55" ht="15.75" customHeight="1">
      <c r="A55" s="595"/>
      <c r="B55" s="639"/>
      <c r="C55" s="605"/>
      <c r="D55" s="639"/>
      <c r="E55" s="639"/>
      <c r="F55" s="605"/>
      <c r="G55" s="595"/>
      <c r="H55" s="595"/>
    </row>
    <row r="56" ht="15.75" customHeight="1">
      <c r="A56" s="595"/>
      <c r="B56" s="639"/>
      <c r="C56" s="605"/>
      <c r="D56" s="639"/>
      <c r="E56" s="639"/>
      <c r="F56" s="605"/>
      <c r="G56" s="595"/>
      <c r="H56" s="595"/>
    </row>
    <row r="57" ht="10.5" customHeight="1">
      <c r="A57" s="595"/>
      <c r="B57" s="639"/>
      <c r="C57" s="639"/>
      <c r="D57" s="639"/>
      <c r="E57" s="639"/>
      <c r="F57" s="639"/>
      <c r="G57" s="595"/>
      <c r="H57" s="595"/>
    </row>
    <row r="58" ht="10.5" customHeight="1">
      <c r="A58" s="595"/>
      <c r="B58" s="602" t="s">
        <v>118</v>
      </c>
      <c r="C58" s="602"/>
      <c r="D58" s="603"/>
      <c r="E58" s="602" t="s">
        <v>119</v>
      </c>
      <c r="F58" s="602"/>
      <c r="G58" s="595"/>
      <c r="H58" s="595"/>
    </row>
    <row r="59" ht="10.5" customHeight="1">
      <c r="A59" s="595"/>
      <c r="B59" s="602" t="s">
        <v>124</v>
      </c>
      <c r="C59" s="602"/>
      <c r="D59" s="603"/>
      <c r="E59" s="602" t="s">
        <v>120</v>
      </c>
      <c r="F59" s="602"/>
      <c r="G59" s="595"/>
      <c r="H59" s="595"/>
    </row>
    <row r="60" ht="10.5" customHeight="1">
      <c r="A60" s="595"/>
      <c r="B60" s="602" t="s">
        <v>112</v>
      </c>
      <c r="C60" s="602"/>
      <c r="D60" s="603"/>
      <c r="E60" s="602" t="s">
        <v>125</v>
      </c>
      <c r="F60" s="602"/>
      <c r="G60" s="595"/>
      <c r="H60" s="595"/>
    </row>
    <row r="61" ht="20.1" customHeight="1">
      <c r="A61" s="595"/>
      <c r="B61" s="602"/>
      <c r="C61" s="602"/>
      <c r="D61" s="603"/>
      <c r="E61" s="602"/>
      <c r="F61" s="602"/>
      <c r="G61" s="595"/>
      <c r="H61" s="595"/>
    </row>
    <row r="62" ht="48" customHeight="1">
      <c r="A62" s="595"/>
      <c r="B62" s="694" t="s">
        <v>126</v>
      </c>
      <c r="C62" s="694"/>
      <c r="D62" s="694"/>
      <c r="E62" s="694"/>
      <c r="F62" s="694"/>
      <c r="G62" s="595"/>
      <c r="H62" s="595"/>
    </row>
    <row r="63" ht="8.1" customHeight="1">
      <c r="A63" s="595"/>
      <c r="B63" s="594"/>
      <c r="C63" s="595"/>
      <c r="D63" s="601"/>
      <c r="E63" s="595"/>
      <c r="F63" s="595"/>
      <c r="G63" s="595"/>
      <c r="H63" s="595"/>
    </row>
    <row r="64" ht="15.75" customHeight="1">
      <c r="A64" s="235"/>
      <c r="B64" s="235"/>
      <c r="C64" s="235"/>
      <c r="D64" s="235"/>
      <c r="E64" s="235"/>
      <c r="F64" s="235"/>
      <c r="G64" s="235"/>
      <c r="H64" s="235"/>
    </row>
    <row r="65" ht="15.75" customHeight="1">
      <c r="A65" s="235"/>
      <c r="B65" s="235"/>
      <c r="C65" s="235"/>
      <c r="D65" s="235"/>
      <c r="E65" s="235"/>
      <c r="F65" s="235"/>
      <c r="G65" s="235"/>
      <c r="H65" s="235"/>
    </row>
    <row r="66" ht="15.75" customHeight="1">
      <c r="A66" s="235"/>
      <c r="B66" s="235"/>
      <c r="C66" s="235"/>
      <c r="D66" s="235"/>
      <c r="E66" s="235"/>
      <c r="F66" s="235"/>
      <c r="G66" s="235"/>
      <c r="H66" s="235"/>
    </row>
    <row r="67" ht="15.75" customHeight="1">
      <c r="A67" s="235"/>
      <c r="B67" s="235"/>
      <c r="C67" s="235"/>
      <c r="D67" s="235"/>
      <c r="E67" s="235"/>
      <c r="F67" s="235"/>
      <c r="G67" s="235"/>
      <c r="H67" s="235"/>
    </row>
    <row r="68" ht="15.75" customHeight="1">
      <c r="A68" s="235"/>
      <c r="B68" s="235"/>
      <c r="C68" s="235"/>
      <c r="D68" s="235"/>
      <c r="E68" s="235"/>
      <c r="F68" s="235"/>
      <c r="G68" s="235"/>
      <c r="H68" s="235"/>
    </row>
    <row r="69" ht="15.75" customHeight="1">
      <c r="A69" s="235"/>
      <c r="B69" s="235"/>
      <c r="C69" s="235"/>
      <c r="D69" s="235"/>
      <c r="E69" s="235"/>
      <c r="F69" s="235"/>
      <c r="G69" s="235"/>
      <c r="H69" s="235"/>
    </row>
    <row r="70" ht="15.75" customHeight="1">
      <c r="A70" s="235"/>
      <c r="B70" s="235"/>
      <c r="C70" s="235"/>
      <c r="D70" s="235"/>
      <c r="E70" s="235"/>
      <c r="F70" s="235"/>
      <c r="G70" s="235"/>
      <c r="H70" s="235"/>
    </row>
    <row r="71" ht="15.75" customHeight="1">
      <c r="A71" s="235"/>
      <c r="B71" s="235"/>
      <c r="C71" s="235"/>
      <c r="D71" s="235"/>
      <c r="E71" s="235"/>
      <c r="F71" s="235"/>
      <c r="G71" s="235"/>
      <c r="H71" s="235"/>
    </row>
    <row r="72" ht="15.75" customHeight="1">
      <c r="A72" s="235"/>
      <c r="B72" s="235"/>
      <c r="C72" s="235"/>
      <c r="D72" s="235"/>
      <c r="E72" s="235"/>
      <c r="F72" s="235"/>
      <c r="G72" s="235"/>
      <c r="H72" s="235"/>
    </row>
    <row r="73" ht="15.75" customHeight="1">
      <c r="A73" s="235"/>
      <c r="B73" s="235"/>
      <c r="C73" s="235"/>
      <c r="D73" s="235"/>
      <c r="E73" s="235"/>
      <c r="F73" s="235"/>
      <c r="G73" s="235"/>
      <c r="H73" s="235"/>
    </row>
    <row r="74" ht="15.75" customHeight="1">
      <c r="A74" s="235"/>
      <c r="B74" s="235"/>
      <c r="C74" s="235"/>
      <c r="D74" s="235"/>
      <c r="E74" s="235"/>
      <c r="F74" s="235"/>
      <c r="G74" s="235"/>
      <c r="H74" s="235"/>
    </row>
    <row r="75" ht="15.75" customHeight="1">
      <c r="A75" s="235"/>
      <c r="B75" s="235"/>
      <c r="C75" s="235"/>
      <c r="D75" s="235"/>
      <c r="E75" s="235"/>
      <c r="F75" s="235"/>
      <c r="G75" s="235"/>
      <c r="H75" s="235"/>
    </row>
    <row r="76" ht="15.75" customHeight="1">
      <c r="A76" s="235"/>
      <c r="B76" s="235"/>
      <c r="C76" s="235"/>
      <c r="D76" s="235"/>
      <c r="E76" s="235"/>
      <c r="F76" s="235"/>
      <c r="G76" s="235"/>
      <c r="H76" s="235"/>
    </row>
    <row r="77" ht="15.75" customHeight="1">
      <c r="A77" s="235"/>
      <c r="B77" s="235"/>
      <c r="C77" s="235"/>
      <c r="D77" s="235"/>
      <c r="E77" s="235"/>
      <c r="F77" s="235"/>
      <c r="G77" s="235"/>
      <c r="H77" s="235"/>
    </row>
    <row r="78" ht="15.75" customHeight="1">
      <c r="A78" s="235"/>
      <c r="B78" s="235"/>
      <c r="C78" s="235"/>
      <c r="D78" s="235"/>
      <c r="E78" s="235"/>
      <c r="F78" s="235"/>
      <c r="G78" s="235"/>
      <c r="H78" s="235"/>
    </row>
    <row r="79" ht="15.75" customHeight="1">
      <c r="A79" s="235"/>
      <c r="B79" s="235"/>
      <c r="C79" s="235"/>
      <c r="D79" s="235"/>
      <c r="E79" s="235"/>
      <c r="F79" s="235"/>
      <c r="G79" s="235"/>
      <c r="H79" s="235"/>
    </row>
    <row r="80" ht="15.75" customHeight="1">
      <c r="A80" s="235"/>
      <c r="B80" s="235"/>
      <c r="C80" s="235"/>
      <c r="D80" s="235"/>
      <c r="E80" s="235"/>
      <c r="F80" s="235"/>
      <c r="G80" s="235"/>
      <c r="H80" s="235"/>
    </row>
    <row r="81" ht="15.75" customHeight="1">
      <c r="A81" s="235"/>
      <c r="B81" s="235"/>
      <c r="C81" s="235"/>
      <c r="D81" s="235"/>
      <c r="E81" s="235"/>
      <c r="F81" s="235"/>
      <c r="G81" s="235"/>
      <c r="H81" s="235"/>
    </row>
    <row r="82" ht="15.75" customHeight="1">
      <c r="A82" s="235"/>
      <c r="B82" s="235"/>
      <c r="C82" s="235"/>
      <c r="D82" s="235"/>
      <c r="E82" s="235"/>
      <c r="F82" s="235"/>
      <c r="G82" s="235"/>
      <c r="H82" s="235"/>
    </row>
    <row r="83" ht="15.75" customHeight="1">
      <c r="A83" s="235"/>
      <c r="B83" s="235"/>
      <c r="C83" s="235"/>
      <c r="D83" s="235"/>
      <c r="E83" s="235"/>
      <c r="F83" s="235"/>
      <c r="G83" s="235"/>
      <c r="H83" s="235"/>
    </row>
    <row r="84" ht="15.75" customHeight="1">
      <c r="A84" s="235"/>
      <c r="B84" s="235"/>
      <c r="C84" s="235"/>
      <c r="D84" s="235"/>
      <c r="E84" s="235"/>
      <c r="F84" s="235"/>
      <c r="G84" s="235"/>
      <c r="H84" s="235"/>
    </row>
    <row r="85" ht="15.75" customHeight="1">
      <c r="A85" s="235"/>
      <c r="B85" s="235"/>
      <c r="C85" s="235"/>
      <c r="D85" s="235"/>
      <c r="E85" s="235"/>
      <c r="F85" s="235"/>
      <c r="G85" s="235"/>
      <c r="H85" s="235"/>
    </row>
    <row r="86" ht="15.75" customHeight="1">
      <c r="A86" s="235"/>
      <c r="B86" s="235"/>
      <c r="C86" s="235"/>
      <c r="D86" s="235"/>
      <c r="E86" s="235"/>
      <c r="F86" s="235"/>
      <c r="G86" s="235"/>
      <c r="H86" s="235"/>
    </row>
    <row r="87" s="235" customFormat="1" ht="15.75" customHeight="1"/>
    <row r="88" s="235" customFormat="1" ht="15.75" customHeight="1"/>
    <row r="89" s="235" customFormat="1" ht="15.75" customHeight="1"/>
    <row r="90" s="235" customFormat="1" ht="15.75" customHeight="1"/>
    <row r="91" s="4" customFormat="1" ht="15.75" customHeight="1">
      <c r="B91" s="523"/>
      <c r="D91" s="522"/>
      <c r="I91" s="235"/>
      <c r="J91" s="235"/>
      <c r="K91" s="235"/>
      <c r="L91" s="235"/>
      <c r="M91" s="235"/>
      <c r="N91" s="235"/>
      <c r="O91" s="235"/>
      <c r="P91" s="235"/>
      <c r="Q91" s="235"/>
      <c r="R91" s="235"/>
      <c r="S91" s="235"/>
      <c r="T91" s="235"/>
      <c r="U91" s="235"/>
      <c r="V91" s="235"/>
      <c r="W91" s="235"/>
      <c r="X91" s="235"/>
      <c r="Y91" s="235"/>
      <c r="Z91" s="235"/>
      <c r="AA91" s="235"/>
    </row>
    <row r="92" s="4" customFormat="1" ht="15.75" customHeight="1">
      <c r="B92" s="523"/>
      <c r="D92" s="522"/>
      <c r="I92" s="235"/>
      <c r="J92" s="235"/>
      <c r="K92" s="235"/>
      <c r="L92" s="235"/>
      <c r="M92" s="235"/>
      <c r="N92" s="235"/>
      <c r="O92" s="235"/>
      <c r="P92" s="235"/>
      <c r="Q92" s="235"/>
      <c r="R92" s="235"/>
      <c r="S92" s="235"/>
      <c r="T92" s="235"/>
      <c r="U92" s="235"/>
      <c r="V92" s="235"/>
      <c r="W92" s="235"/>
      <c r="X92" s="235"/>
      <c r="Y92" s="235"/>
      <c r="Z92" s="235"/>
      <c r="AA92" s="235"/>
    </row>
    <row r="93" s="4" customFormat="1" ht="15.75" customHeight="1">
      <c r="B93" s="523"/>
      <c r="D93" s="522"/>
      <c r="I93" s="235"/>
      <c r="J93" s="235"/>
      <c r="K93" s="235"/>
      <c r="L93" s="235"/>
      <c r="M93" s="235"/>
      <c r="N93" s="235"/>
      <c r="O93" s="235"/>
      <c r="P93" s="235"/>
      <c r="Q93" s="235"/>
      <c r="R93" s="235"/>
      <c r="S93" s="235"/>
      <c r="T93" s="235"/>
      <c r="U93" s="235"/>
      <c r="V93" s="235"/>
      <c r="W93" s="235"/>
      <c r="X93" s="235"/>
      <c r="Y93" s="235"/>
      <c r="Z93" s="235"/>
      <c r="AA93" s="235"/>
    </row>
    <row r="94" s="4" customFormat="1" ht="15.75" customHeight="1">
      <c r="B94" s="523"/>
      <c r="D94" s="522"/>
      <c r="I94" s="235"/>
      <c r="J94" s="235"/>
      <c r="K94" s="235"/>
      <c r="L94" s="235"/>
      <c r="M94" s="235"/>
      <c r="N94" s="235"/>
      <c r="O94" s="235"/>
      <c r="P94" s="235"/>
      <c r="Q94" s="235"/>
      <c r="R94" s="235"/>
      <c r="S94" s="235"/>
      <c r="T94" s="235"/>
      <c r="U94" s="235"/>
      <c r="V94" s="235"/>
      <c r="W94" s="235"/>
      <c r="X94" s="235"/>
      <c r="Y94" s="235"/>
      <c r="Z94" s="235"/>
      <c r="AA94" s="235"/>
    </row>
    <row r="95" s="4" customFormat="1" ht="15.75" customHeight="1">
      <c r="B95" s="523"/>
      <c r="D95" s="522"/>
      <c r="I95" s="235"/>
      <c r="J95" s="235"/>
      <c r="K95" s="235"/>
      <c r="L95" s="235"/>
      <c r="M95" s="235"/>
      <c r="N95" s="235"/>
      <c r="O95" s="235"/>
      <c r="P95" s="235"/>
      <c r="Q95" s="235"/>
      <c r="R95" s="235"/>
      <c r="S95" s="235"/>
      <c r="T95" s="235"/>
      <c r="U95" s="235"/>
      <c r="V95" s="235"/>
      <c r="W95" s="235"/>
      <c r="X95" s="235"/>
      <c r="Y95" s="235"/>
      <c r="Z95" s="235"/>
      <c r="AA95" s="235"/>
    </row>
    <row r="96" s="4" customFormat="1" ht="15.75" customHeight="1">
      <c r="B96" s="523"/>
      <c r="D96" s="522"/>
      <c r="I96" s="235"/>
      <c r="J96" s="235"/>
      <c r="K96" s="235"/>
      <c r="L96" s="235"/>
      <c r="M96" s="235"/>
      <c r="N96" s="235"/>
      <c r="O96" s="235"/>
      <c r="P96" s="235"/>
      <c r="Q96" s="235"/>
      <c r="R96" s="235"/>
      <c r="S96" s="235"/>
      <c r="T96" s="235"/>
      <c r="U96" s="235"/>
      <c r="V96" s="235"/>
      <c r="W96" s="235"/>
      <c r="X96" s="235"/>
      <c r="Y96" s="235"/>
      <c r="Z96" s="235"/>
      <c r="AA96" s="235"/>
    </row>
    <row r="97" s="4" customFormat="1" ht="15.75" customHeight="1">
      <c r="B97" s="523"/>
      <c r="D97" s="522"/>
      <c r="I97" s="235"/>
      <c r="J97" s="235"/>
      <c r="K97" s="235"/>
      <c r="L97" s="235"/>
      <c r="M97" s="235"/>
      <c r="N97" s="235"/>
      <c r="O97" s="235"/>
      <c r="P97" s="235"/>
      <c r="Q97" s="235"/>
      <c r="R97" s="235"/>
      <c r="S97" s="235"/>
      <c r="T97" s="235"/>
      <c r="U97" s="235"/>
      <c r="V97" s="235"/>
      <c r="W97" s="235"/>
      <c r="X97" s="235"/>
      <c r="Y97" s="235"/>
      <c r="Z97" s="235"/>
      <c r="AA97" s="235"/>
    </row>
    <row r="98" s="4" customFormat="1" ht="15.75" customHeight="1">
      <c r="B98" s="523"/>
      <c r="D98" s="522"/>
      <c r="I98" s="235"/>
      <c r="J98" s="235"/>
      <c r="K98" s="235"/>
      <c r="L98" s="235"/>
      <c r="M98" s="235"/>
      <c r="N98" s="235"/>
      <c r="O98" s="235"/>
      <c r="P98" s="235"/>
      <c r="Q98" s="235"/>
      <c r="R98" s="235"/>
      <c r="S98" s="235"/>
      <c r="T98" s="235"/>
      <c r="U98" s="235"/>
      <c r="V98" s="235"/>
      <c r="W98" s="235"/>
      <c r="X98" s="235"/>
      <c r="Y98" s="235"/>
      <c r="Z98" s="235"/>
      <c r="AA98" s="235"/>
    </row>
    <row r="99" s="4" customFormat="1" ht="15.75" customHeight="1">
      <c r="B99" s="523"/>
      <c r="D99" s="522"/>
      <c r="I99" s="235"/>
      <c r="J99" s="235"/>
      <c r="K99" s="235"/>
      <c r="L99" s="235"/>
      <c r="M99" s="235"/>
      <c r="N99" s="235"/>
      <c r="O99" s="235"/>
      <c r="P99" s="235"/>
      <c r="Q99" s="235"/>
      <c r="R99" s="235"/>
      <c r="S99" s="235"/>
      <c r="T99" s="235"/>
      <c r="U99" s="235"/>
      <c r="V99" s="235"/>
      <c r="W99" s="235"/>
      <c r="X99" s="235"/>
      <c r="Y99" s="235"/>
      <c r="Z99" s="235"/>
      <c r="AA99" s="235"/>
    </row>
    <row r="100" s="4" customFormat="1" ht="15.75" customHeight="1">
      <c r="B100" s="523"/>
      <c r="D100" s="522"/>
      <c r="I100" s="235"/>
      <c r="J100" s="235"/>
      <c r="K100" s="235"/>
      <c r="L100" s="235"/>
      <c r="M100" s="235"/>
      <c r="N100" s="235"/>
      <c r="O100" s="235"/>
      <c r="P100" s="235"/>
      <c r="Q100" s="235"/>
      <c r="R100" s="235"/>
      <c r="S100" s="235"/>
      <c r="T100" s="235"/>
      <c r="U100" s="235"/>
      <c r="V100" s="235"/>
      <c r="W100" s="235"/>
      <c r="X100" s="235"/>
      <c r="Y100" s="235"/>
      <c r="Z100" s="235"/>
      <c r="AA100" s="235"/>
    </row>
    <row r="101" s="4" customFormat="1" ht="15.75" customHeight="1">
      <c r="B101" s="523"/>
      <c r="D101" s="522"/>
      <c r="I101" s="235"/>
      <c r="J101" s="235"/>
      <c r="K101" s="235"/>
      <c r="L101" s="235"/>
      <c r="M101" s="235"/>
      <c r="N101" s="235"/>
      <c r="O101" s="235"/>
      <c r="P101" s="235"/>
      <c r="Q101" s="235"/>
      <c r="R101" s="235"/>
      <c r="S101" s="235"/>
      <c r="T101" s="235"/>
      <c r="U101" s="235"/>
      <c r="V101" s="235"/>
      <c r="W101" s="235"/>
      <c r="X101" s="235"/>
      <c r="Y101" s="235"/>
      <c r="Z101" s="235"/>
      <c r="AA101" s="235"/>
    </row>
    <row r="102" s="4" customFormat="1">
      <c r="B102" s="523"/>
      <c r="D102" s="522"/>
      <c r="I102" s="235"/>
      <c r="J102" s="235"/>
      <c r="K102" s="235"/>
      <c r="L102" s="235"/>
      <c r="M102" s="235"/>
      <c r="N102" s="235"/>
      <c r="O102" s="235"/>
      <c r="P102" s="235"/>
      <c r="Q102" s="235"/>
      <c r="R102" s="235"/>
      <c r="S102" s="235"/>
      <c r="T102" s="235"/>
      <c r="U102" s="235"/>
      <c r="V102" s="235"/>
      <c r="W102" s="235"/>
      <c r="X102" s="235"/>
      <c r="Y102" s="235"/>
      <c r="Z102" s="235"/>
      <c r="AA102" s="235"/>
    </row>
    <row r="103" s="4" customFormat="1">
      <c r="B103" s="523"/>
      <c r="D103" s="522"/>
      <c r="I103" s="235"/>
      <c r="J103" s="235"/>
      <c r="K103" s="235"/>
      <c r="L103" s="235"/>
      <c r="M103" s="235"/>
      <c r="N103" s="235"/>
      <c r="O103" s="235"/>
      <c r="P103" s="235"/>
      <c r="Q103" s="235"/>
      <c r="R103" s="235"/>
      <c r="S103" s="235"/>
      <c r="T103" s="235"/>
      <c r="U103" s="235"/>
      <c r="V103" s="235"/>
      <c r="W103" s="235"/>
      <c r="X103" s="235"/>
      <c r="Y103" s="235"/>
      <c r="Z103" s="235"/>
      <c r="AA103" s="235"/>
    </row>
    <row r="104" s="4" customFormat="1">
      <c r="B104" s="523"/>
      <c r="D104" s="522"/>
      <c r="I104" s="235"/>
      <c r="J104" s="235"/>
      <c r="K104" s="235"/>
      <c r="L104" s="235"/>
      <c r="M104" s="235"/>
      <c r="N104" s="235"/>
      <c r="O104" s="235"/>
      <c r="P104" s="235"/>
      <c r="Q104" s="235"/>
      <c r="R104" s="235"/>
      <c r="S104" s="235"/>
      <c r="T104" s="235"/>
      <c r="U104" s="235"/>
      <c r="V104" s="235"/>
      <c r="W104" s="235"/>
      <c r="X104" s="235"/>
      <c r="Y104" s="235"/>
      <c r="Z104" s="235"/>
      <c r="AA104" s="235"/>
    </row>
    <row r="105" s="4" customFormat="1">
      <c r="B105" s="523"/>
      <c r="D105" s="522"/>
      <c r="I105" s="235"/>
      <c r="J105" s="235"/>
      <c r="K105" s="235"/>
      <c r="L105" s="235"/>
      <c r="M105" s="235"/>
      <c r="N105" s="235"/>
      <c r="O105" s="235"/>
      <c r="P105" s="235"/>
      <c r="Q105" s="235"/>
      <c r="R105" s="235"/>
      <c r="S105" s="235"/>
      <c r="T105" s="235"/>
      <c r="U105" s="235"/>
      <c r="V105" s="235"/>
      <c r="W105" s="235"/>
      <c r="X105" s="235"/>
      <c r="Y105" s="235"/>
      <c r="Z105" s="235"/>
      <c r="AA105" s="235"/>
    </row>
    <row r="106" s="4" customFormat="1">
      <c r="B106" s="523"/>
      <c r="D106" s="522"/>
      <c r="I106" s="235"/>
      <c r="J106" s="235"/>
      <c r="K106" s="235"/>
      <c r="L106" s="235"/>
      <c r="M106" s="235"/>
      <c r="N106" s="235"/>
      <c r="O106" s="235"/>
      <c r="P106" s="235"/>
      <c r="Q106" s="235"/>
      <c r="R106" s="235"/>
      <c r="S106" s="235"/>
      <c r="T106" s="235"/>
      <c r="U106" s="235"/>
      <c r="V106" s="235"/>
      <c r="W106" s="235"/>
      <c r="X106" s="235"/>
      <c r="Y106" s="235"/>
      <c r="Z106" s="235"/>
      <c r="AA106" s="235"/>
    </row>
    <row r="107" s="4" customFormat="1">
      <c r="B107" s="523"/>
      <c r="D107" s="522"/>
      <c r="I107" s="235"/>
      <c r="J107" s="235"/>
      <c r="K107" s="235"/>
      <c r="L107" s="235"/>
      <c r="M107" s="235"/>
      <c r="N107" s="235"/>
      <c r="O107" s="235"/>
      <c r="P107" s="235"/>
      <c r="Q107" s="235"/>
      <c r="R107" s="235"/>
      <c r="S107" s="235"/>
      <c r="T107" s="235"/>
      <c r="U107" s="235"/>
      <c r="V107" s="235"/>
      <c r="W107" s="235"/>
      <c r="X107" s="235"/>
      <c r="Y107" s="235"/>
      <c r="Z107" s="235"/>
      <c r="AA107" s="235"/>
    </row>
    <row r="108" s="4" customFormat="1">
      <c r="B108" s="523"/>
      <c r="D108" s="522"/>
      <c r="I108" s="235"/>
      <c r="J108" s="235"/>
      <c r="K108" s="235"/>
      <c r="L108" s="235"/>
      <c r="M108" s="235"/>
      <c r="N108" s="235"/>
      <c r="O108" s="235"/>
      <c r="P108" s="235"/>
      <c r="Q108" s="235"/>
      <c r="R108" s="235"/>
      <c r="S108" s="235"/>
      <c r="T108" s="235"/>
      <c r="U108" s="235"/>
      <c r="V108" s="235"/>
      <c r="W108" s="235"/>
      <c r="X108" s="235"/>
      <c r="Y108" s="235"/>
      <c r="Z108" s="235"/>
      <c r="AA108" s="235"/>
    </row>
    <row r="109" s="4" customFormat="1">
      <c r="B109" s="523"/>
      <c r="D109" s="522"/>
      <c r="I109" s="235"/>
      <c r="J109" s="235"/>
      <c r="K109" s="235"/>
      <c r="L109" s="235"/>
      <c r="M109" s="235"/>
      <c r="N109" s="235"/>
      <c r="O109" s="235"/>
      <c r="P109" s="235"/>
      <c r="Q109" s="235"/>
      <c r="R109" s="235"/>
      <c r="S109" s="235"/>
      <c r="T109" s="235"/>
      <c r="U109" s="235"/>
      <c r="V109" s="235"/>
      <c r="W109" s="235"/>
      <c r="X109" s="235"/>
      <c r="Y109" s="235"/>
      <c r="Z109" s="235"/>
      <c r="AA109" s="235"/>
    </row>
    <row r="110" s="4" customFormat="1">
      <c r="B110" s="523"/>
      <c r="D110" s="522"/>
      <c r="I110" s="235"/>
      <c r="J110" s="235"/>
      <c r="K110" s="235"/>
      <c r="L110" s="235"/>
      <c r="M110" s="235"/>
      <c r="N110" s="235"/>
      <c r="O110" s="235"/>
      <c r="P110" s="235"/>
      <c r="Q110" s="235"/>
      <c r="R110" s="235"/>
      <c r="S110" s="235"/>
      <c r="T110" s="235"/>
      <c r="U110" s="235"/>
      <c r="V110" s="235"/>
      <c r="W110" s="235"/>
      <c r="X110" s="235"/>
      <c r="Y110" s="235"/>
      <c r="Z110" s="235"/>
      <c r="AA110" s="235"/>
    </row>
    <row r="111" s="4" customFormat="1">
      <c r="B111" s="523"/>
      <c r="D111" s="522"/>
      <c r="I111" s="235"/>
      <c r="J111" s="235"/>
      <c r="K111" s="235"/>
      <c r="L111" s="235"/>
      <c r="M111" s="235"/>
      <c r="N111" s="235"/>
      <c r="O111" s="235"/>
      <c r="P111" s="235"/>
      <c r="Q111" s="235"/>
      <c r="R111" s="235"/>
      <c r="S111" s="235"/>
      <c r="T111" s="235"/>
      <c r="U111" s="235"/>
      <c r="V111" s="235"/>
      <c r="W111" s="235"/>
      <c r="X111" s="235"/>
      <c r="Y111" s="235"/>
      <c r="Z111" s="235"/>
      <c r="AA111" s="235"/>
    </row>
    <row r="112" s="4" customFormat="1">
      <c r="B112" s="524"/>
      <c r="D112" s="522"/>
      <c r="I112" s="235"/>
      <c r="J112" s="235"/>
      <c r="K112" s="235"/>
      <c r="L112" s="235"/>
      <c r="M112" s="235"/>
      <c r="N112" s="235"/>
      <c r="O112" s="235"/>
      <c r="P112" s="235"/>
      <c r="Q112" s="235"/>
      <c r="R112" s="235"/>
      <c r="S112" s="235"/>
      <c r="T112" s="235"/>
      <c r="U112" s="235"/>
      <c r="V112" s="235"/>
      <c r="W112" s="235"/>
      <c r="X112" s="235"/>
      <c r="Y112" s="235"/>
      <c r="Z112" s="235"/>
      <c r="AA112" s="235"/>
    </row>
    <row r="113" s="4" customFormat="1">
      <c r="B113" s="524"/>
      <c r="D113" s="522"/>
      <c r="I113" s="235"/>
      <c r="J113" s="235"/>
      <c r="K113" s="235"/>
      <c r="L113" s="235"/>
      <c r="M113" s="235"/>
      <c r="N113" s="235"/>
      <c r="O113" s="235"/>
      <c r="P113" s="235"/>
      <c r="Q113" s="235"/>
      <c r="R113" s="235"/>
      <c r="S113" s="235"/>
      <c r="T113" s="235"/>
      <c r="U113" s="235"/>
      <c r="V113" s="235"/>
      <c r="W113" s="235"/>
      <c r="X113" s="235"/>
      <c r="Y113" s="235"/>
      <c r="Z113" s="235"/>
      <c r="AA113" s="235"/>
    </row>
    <row r="114" s="4" customFormat="1">
      <c r="B114" s="524"/>
      <c r="D114" s="522"/>
      <c r="I114" s="235"/>
      <c r="J114" s="235"/>
      <c r="K114" s="235"/>
      <c r="L114" s="235"/>
      <c r="M114" s="235"/>
      <c r="N114" s="235"/>
      <c r="O114" s="235"/>
      <c r="P114" s="235"/>
      <c r="Q114" s="235"/>
      <c r="R114" s="235"/>
      <c r="S114" s="235"/>
      <c r="T114" s="235"/>
      <c r="U114" s="235"/>
      <c r="V114" s="235"/>
      <c r="W114" s="235"/>
      <c r="X114" s="235"/>
      <c r="Y114" s="235"/>
      <c r="Z114" s="235"/>
      <c r="AA114" s="235"/>
    </row>
    <row r="115" s="4" customFormat="1">
      <c r="B115" s="524"/>
      <c r="D115" s="522"/>
      <c r="I115" s="235"/>
      <c r="J115" s="235"/>
      <c r="K115" s="235"/>
      <c r="L115" s="235"/>
      <c r="M115" s="235"/>
      <c r="N115" s="235"/>
      <c r="O115" s="235"/>
      <c r="P115" s="235"/>
      <c r="Q115" s="235"/>
      <c r="R115" s="235"/>
      <c r="S115" s="235"/>
      <c r="T115" s="235"/>
      <c r="U115" s="235"/>
      <c r="V115" s="235"/>
      <c r="W115" s="235"/>
      <c r="X115" s="235"/>
      <c r="Y115" s="235"/>
      <c r="Z115" s="235"/>
      <c r="AA115" s="235"/>
    </row>
    <row r="116" s="4" customFormat="1">
      <c r="B116" s="524"/>
      <c r="D116" s="522"/>
      <c r="I116" s="235"/>
      <c r="J116" s="235"/>
      <c r="K116" s="235"/>
      <c r="L116" s="235"/>
      <c r="M116" s="235"/>
      <c r="N116" s="235"/>
      <c r="O116" s="235"/>
      <c r="P116" s="235"/>
      <c r="Q116" s="235"/>
      <c r="R116" s="235"/>
      <c r="S116" s="235"/>
      <c r="T116" s="235"/>
      <c r="U116" s="235"/>
      <c r="V116" s="235"/>
      <c r="W116" s="235"/>
      <c r="X116" s="235"/>
      <c r="Y116" s="235"/>
      <c r="Z116" s="235"/>
      <c r="AA116" s="235"/>
    </row>
    <row r="117" s="4" customFormat="1">
      <c r="B117" s="524"/>
      <c r="D117" s="520"/>
      <c r="I117" s="235"/>
      <c r="J117" s="235"/>
      <c r="K117" s="235"/>
      <c r="L117" s="235"/>
      <c r="M117" s="235"/>
      <c r="N117" s="235"/>
      <c r="O117" s="235"/>
      <c r="P117" s="235"/>
      <c r="Q117" s="235"/>
      <c r="R117" s="235"/>
      <c r="S117" s="235"/>
      <c r="T117" s="235"/>
      <c r="U117" s="235"/>
      <c r="V117" s="235"/>
      <c r="W117" s="235"/>
      <c r="X117" s="235"/>
      <c r="Y117" s="235"/>
      <c r="Z117" s="235"/>
      <c r="AA117" s="235"/>
    </row>
    <row r="118" s="4" customFormat="1">
      <c r="B118" s="524"/>
      <c r="D118" s="520"/>
      <c r="I118" s="235"/>
      <c r="J118" s="235"/>
      <c r="K118" s="235"/>
      <c r="L118" s="235"/>
      <c r="M118" s="235"/>
      <c r="N118" s="235"/>
      <c r="O118" s="235"/>
      <c r="P118" s="235"/>
      <c r="Q118" s="235"/>
      <c r="R118" s="235"/>
      <c r="S118" s="235"/>
      <c r="T118" s="235"/>
      <c r="U118" s="235"/>
      <c r="V118" s="235"/>
      <c r="W118" s="235"/>
      <c r="X118" s="235"/>
      <c r="Y118" s="235"/>
      <c r="Z118" s="235"/>
      <c r="AA118" s="235"/>
    </row>
    <row r="119" s="4" customFormat="1">
      <c r="B119" s="524"/>
      <c r="D119" s="520"/>
      <c r="I119" s="235"/>
      <c r="J119" s="235"/>
      <c r="K119" s="235"/>
      <c r="L119" s="235"/>
      <c r="M119" s="235"/>
      <c r="N119" s="235"/>
      <c r="O119" s="235"/>
      <c r="P119" s="235"/>
      <c r="Q119" s="235"/>
      <c r="R119" s="235"/>
      <c r="S119" s="235"/>
      <c r="T119" s="235"/>
      <c r="U119" s="235"/>
      <c r="V119" s="235"/>
      <c r="W119" s="235"/>
      <c r="X119" s="235"/>
      <c r="Y119" s="235"/>
      <c r="Z119" s="235"/>
      <c r="AA119" s="235"/>
    </row>
    <row r="120" s="4" customFormat="1">
      <c r="B120" s="524"/>
      <c r="D120" s="520"/>
      <c r="I120" s="235"/>
      <c r="J120" s="235"/>
      <c r="K120" s="235"/>
      <c r="L120" s="235"/>
      <c r="M120" s="235"/>
      <c r="N120" s="235"/>
      <c r="O120" s="235"/>
      <c r="P120" s="235"/>
      <c r="Q120" s="235"/>
      <c r="R120" s="235"/>
      <c r="S120" s="235"/>
      <c r="T120" s="235"/>
      <c r="U120" s="235"/>
      <c r="V120" s="235"/>
      <c r="W120" s="235"/>
      <c r="X120" s="235"/>
      <c r="Y120" s="235"/>
      <c r="Z120" s="235"/>
      <c r="AA120" s="235"/>
    </row>
    <row r="121" s="4" customFormat="1">
      <c r="B121" s="524"/>
      <c r="D121" s="520"/>
      <c r="I121" s="235"/>
      <c r="J121" s="235"/>
      <c r="K121" s="235"/>
      <c r="L121" s="235"/>
      <c r="M121" s="235"/>
      <c r="N121" s="235"/>
      <c r="O121" s="235"/>
      <c r="P121" s="235"/>
      <c r="Q121" s="235"/>
      <c r="R121" s="235"/>
      <c r="S121" s="235"/>
      <c r="T121" s="235"/>
      <c r="U121" s="235"/>
      <c r="V121" s="235"/>
      <c r="W121" s="235"/>
      <c r="X121" s="235"/>
      <c r="Y121" s="235"/>
      <c r="Z121" s="235"/>
      <c r="AA121" s="235"/>
    </row>
    <row r="122" s="4" customFormat="1">
      <c r="B122" s="524"/>
      <c r="D122" s="520"/>
      <c r="I122" s="235"/>
      <c r="J122" s="235"/>
      <c r="K122" s="235"/>
      <c r="L122" s="235"/>
      <c r="M122" s="235"/>
      <c r="N122" s="235"/>
      <c r="O122" s="235"/>
      <c r="P122" s="235"/>
      <c r="Q122" s="235"/>
      <c r="R122" s="235"/>
      <c r="S122" s="235"/>
      <c r="T122" s="235"/>
      <c r="U122" s="235"/>
      <c r="V122" s="235"/>
      <c r="W122" s="235"/>
      <c r="X122" s="235"/>
      <c r="Y122" s="235"/>
      <c r="Z122" s="235"/>
      <c r="AA122" s="235"/>
    </row>
    <row r="123" s="4" customFormat="1">
      <c r="B123" s="524"/>
      <c r="D123" s="520"/>
      <c r="I123" s="235"/>
      <c r="J123" s="235"/>
      <c r="K123" s="235"/>
      <c r="L123" s="235"/>
      <c r="M123" s="235"/>
      <c r="N123" s="235"/>
      <c r="O123" s="235"/>
      <c r="P123" s="235"/>
      <c r="Q123" s="235"/>
      <c r="R123" s="235"/>
      <c r="S123" s="235"/>
      <c r="T123" s="235"/>
      <c r="U123" s="235"/>
      <c r="V123" s="235"/>
      <c r="W123" s="235"/>
      <c r="X123" s="235"/>
      <c r="Y123" s="235"/>
      <c r="Z123" s="235"/>
      <c r="AA123" s="235"/>
    </row>
    <row r="124" s="4" customFormat="1">
      <c r="B124" s="524"/>
      <c r="D124" s="520"/>
      <c r="I124" s="235"/>
      <c r="J124" s="235"/>
      <c r="K124" s="235"/>
      <c r="L124" s="235"/>
      <c r="M124" s="235"/>
      <c r="N124" s="235"/>
      <c r="O124" s="235"/>
      <c r="P124" s="235"/>
      <c r="Q124" s="235"/>
      <c r="R124" s="235"/>
      <c r="S124" s="235"/>
      <c r="T124" s="235"/>
      <c r="U124" s="235"/>
      <c r="V124" s="235"/>
      <c r="W124" s="235"/>
      <c r="X124" s="235"/>
      <c r="Y124" s="235"/>
      <c r="Z124" s="235"/>
      <c r="AA124" s="235"/>
    </row>
    <row r="125" s="4" customFormat="1">
      <c r="B125" s="524"/>
      <c r="D125" s="520"/>
      <c r="I125" s="235"/>
      <c r="J125" s="235"/>
      <c r="K125" s="235"/>
      <c r="L125" s="235"/>
      <c r="M125" s="235"/>
      <c r="N125" s="235"/>
      <c r="O125" s="235"/>
      <c r="P125" s="235"/>
      <c r="Q125" s="235"/>
      <c r="R125" s="235"/>
      <c r="S125" s="235"/>
      <c r="T125" s="235"/>
      <c r="U125" s="235"/>
      <c r="V125" s="235"/>
      <c r="W125" s="235"/>
      <c r="X125" s="235"/>
      <c r="Y125" s="235"/>
      <c r="Z125" s="235"/>
      <c r="AA125" s="235"/>
    </row>
    <row r="126" s="4" customFormat="1">
      <c r="B126" s="524"/>
      <c r="D126" s="520"/>
      <c r="I126" s="235"/>
      <c r="J126" s="235"/>
      <c r="K126" s="235"/>
      <c r="L126" s="235"/>
      <c r="M126" s="235"/>
      <c r="N126" s="235"/>
      <c r="O126" s="235"/>
      <c r="P126" s="235"/>
      <c r="Q126" s="235"/>
      <c r="R126" s="235"/>
      <c r="S126" s="235"/>
      <c r="T126" s="235"/>
      <c r="U126" s="235"/>
      <c r="V126" s="235"/>
      <c r="W126" s="235"/>
      <c r="X126" s="235"/>
      <c r="Y126" s="235"/>
      <c r="Z126" s="235"/>
      <c r="AA126" s="235"/>
    </row>
    <row r="127" s="4" customFormat="1">
      <c r="B127" s="524"/>
      <c r="D127" s="520"/>
      <c r="I127" s="235"/>
      <c r="J127" s="235"/>
      <c r="K127" s="235"/>
      <c r="L127" s="235"/>
      <c r="M127" s="235"/>
      <c r="N127" s="235"/>
      <c r="O127" s="235"/>
      <c r="P127" s="235"/>
      <c r="Q127" s="235"/>
      <c r="R127" s="235"/>
      <c r="S127" s="235"/>
      <c r="T127" s="235"/>
      <c r="U127" s="235"/>
      <c r="V127" s="235"/>
      <c r="W127" s="235"/>
      <c r="X127" s="235"/>
      <c r="Y127" s="235"/>
      <c r="Z127" s="235"/>
      <c r="AA127" s="235"/>
    </row>
    <row r="128" s="4" customFormat="1">
      <c r="B128" s="524"/>
      <c r="D128" s="520"/>
      <c r="I128" s="235"/>
      <c r="J128" s="235"/>
      <c r="K128" s="235"/>
      <c r="L128" s="235"/>
      <c r="M128" s="235"/>
      <c r="N128" s="235"/>
      <c r="O128" s="235"/>
      <c r="P128" s="235"/>
      <c r="Q128" s="235"/>
      <c r="R128" s="235"/>
      <c r="S128" s="235"/>
      <c r="T128" s="235"/>
      <c r="U128" s="235"/>
      <c r="V128" s="235"/>
      <c r="W128" s="235"/>
      <c r="X128" s="235"/>
      <c r="Y128" s="235"/>
      <c r="Z128" s="235"/>
      <c r="AA128" s="235"/>
    </row>
    <row r="129" s="4" customFormat="1">
      <c r="B129" s="524"/>
      <c r="D129" s="520"/>
      <c r="I129" s="235"/>
      <c r="J129" s="235"/>
      <c r="K129" s="235"/>
      <c r="L129" s="235"/>
      <c r="M129" s="235"/>
      <c r="N129" s="235"/>
      <c r="O129" s="235"/>
      <c r="P129" s="235"/>
      <c r="Q129" s="235"/>
      <c r="R129" s="235"/>
      <c r="S129" s="235"/>
      <c r="T129" s="235"/>
      <c r="U129" s="235"/>
      <c r="V129" s="235"/>
      <c r="W129" s="235"/>
      <c r="X129" s="235"/>
      <c r="Y129" s="235"/>
      <c r="Z129" s="235"/>
      <c r="AA129" s="235"/>
    </row>
    <row r="130" s="4" customFormat="1">
      <c r="B130" s="524"/>
      <c r="D130" s="520"/>
      <c r="I130" s="235"/>
      <c r="J130" s="235"/>
      <c r="K130" s="235"/>
      <c r="L130" s="235"/>
      <c r="M130" s="235"/>
      <c r="N130" s="235"/>
      <c r="O130" s="235"/>
      <c r="P130" s="235"/>
      <c r="Q130" s="235"/>
      <c r="R130" s="235"/>
      <c r="S130" s="235"/>
      <c r="T130" s="235"/>
      <c r="U130" s="235"/>
      <c r="V130" s="235"/>
      <c r="W130" s="235"/>
      <c r="X130" s="235"/>
      <c r="Y130" s="235"/>
      <c r="Z130" s="235"/>
      <c r="AA130" s="235"/>
    </row>
    <row r="131">
      <c r="B131" s="525"/>
      <c r="D131" s="521"/>
    </row>
    <row r="132">
      <c r="B132" s="525"/>
    </row>
    <row r="133">
      <c r="B133" s="525"/>
    </row>
    <row r="134">
      <c r="B134" s="525"/>
    </row>
    <row r="135">
      <c r="B135" s="525"/>
    </row>
    <row r="136">
      <c r="B136" s="525"/>
    </row>
    <row r="137">
      <c r="B137" s="525"/>
    </row>
    <row r="138">
      <c r="B138" s="525"/>
    </row>
    <row r="139">
      <c r="B139" s="525"/>
    </row>
    <row r="140">
      <c r="B140" s="525"/>
    </row>
    <row r="141">
      <c r="B141" s="525"/>
    </row>
    <row r="142">
      <c r="B142" s="525"/>
    </row>
    <row r="143">
      <c r="B143" s="525"/>
    </row>
    <row r="144">
      <c r="B144" s="525"/>
    </row>
    <row r="145">
      <c r="B145" s="525"/>
    </row>
    <row r="146">
      <c r="B146" s="525"/>
    </row>
    <row r="147">
      <c r="B147" s="525"/>
    </row>
    <row r="148">
      <c r="B148" s="525"/>
    </row>
    <row r="149">
      <c r="B149" s="525"/>
    </row>
    <row r="150">
      <c r="B150" s="525"/>
    </row>
    <row r="151">
      <c r="B151" s="525"/>
    </row>
    <row r="152">
      <c r="B152" s="525"/>
    </row>
    <row r="153">
      <c r="B153" s="525"/>
    </row>
  </sheetData>
  <sheetProtection sheet="1" objects="1" scenarios="1"/>
  <mergeCells count="3">
    <mergeCell ref="B62:F62"/>
    <mergeCell ref="B5:E5"/>
    <mergeCell ref="B4:E4"/>
  </mergeCells>
  <phoneticPr fontId="0" type="noConversion"/>
  <printOptions horizontalCentered="1" verticalCentered="1"/>
  <pageMargins left="0.25" right="0.25" top="0.25" bottom="0.25" header="0" footer="0"/>
  <pageSetup scale="57" fitToWidth="1" fitToHeight="1" orientation="landscape" r:id="rId1"/>
  <headerFooter alignWithMargins="0">
    <oddHeader/>
    <oddFooter/>
  </headerFooter>
  <rowBreaks count="1" manualBreakCount="1">
    <brk id="38" max="16383" man="1"/>
  </rowBreaks>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V64"/>
  <sheetViews>
    <sheetView showGridLines="0" workbookViewId="0"/>
  </sheetViews>
  <sheetFormatPr defaultRowHeight="12.75"/>
  <cols>
    <col min="1" max="1" width="1.7109375" style="2" customWidth="1"/>
    <col min="2" max="2" width="8.7109375" customWidth="1"/>
    <col min="3" max="4" width="6.7109375" customWidth="1"/>
    <col min="5" max="6" width="3.7109375" customWidth="1"/>
    <col min="7" max="9" width="10.7109375" customWidth="1"/>
    <col min="10" max="11" width="3.7109375" customWidth="1"/>
    <col min="12" max="12" width="13.7109375" customWidth="1"/>
    <col min="13" max="13" width="13.7109375" style="110" customWidth="1"/>
    <col min="14" max="14" width="10.7109375" customWidth="1"/>
    <col min="15" max="16" width="3.7109375" customWidth="1"/>
    <col min="17" max="17" width="13.7109375" customWidth="1"/>
    <col min="18" max="18" width="13.7109375" style="110" customWidth="1"/>
    <col min="19" max="19" width="10.7109375" customWidth="1"/>
    <col min="20" max="20" width="3.7109375" customWidth="1"/>
    <col min="21" max="21" width="2.7109375" customWidth="1"/>
    <col min="22" max="24" width="7" style="236" customWidth="1"/>
    <col min="25" max="38" width="9.140625" style="236" customWidth="1"/>
  </cols>
  <sheetData>
    <row r="1" ht="26.25" customHeight="1">
      <c r="B1" s="220" t="s">
        <v>127</v>
      </c>
      <c r="C1" s="103"/>
      <c r="D1" s="103"/>
      <c r="E1" s="103"/>
      <c r="F1" s="103"/>
      <c r="G1" s="103"/>
      <c r="H1" s="103"/>
      <c r="I1" s="104"/>
      <c r="J1" s="103"/>
      <c r="K1" s="103"/>
      <c r="L1" s="103"/>
      <c r="M1" s="13"/>
      <c r="N1" s="51"/>
      <c r="O1" s="2"/>
      <c r="P1" s="2"/>
      <c r="Q1" s="2"/>
      <c r="R1" s="22"/>
      <c r="S1" s="51"/>
      <c r="T1" s="2"/>
      <c r="U1" s="2"/>
      <c r="V1" s="236"/>
    </row>
    <row r="2" ht="21.75" customHeight="1">
      <c r="B2" s="935" t="s">
        <v>144</v>
      </c>
      <c r="C2" s="935"/>
      <c r="D2" s="935"/>
      <c r="E2" s="935"/>
      <c r="F2" s="935"/>
      <c r="G2" s="935"/>
      <c r="H2" s="935"/>
      <c r="I2" s="935"/>
      <c r="J2" s="935"/>
      <c r="K2" s="935"/>
      <c r="L2" s="935"/>
      <c r="M2" s="935"/>
      <c r="N2" s="935"/>
      <c r="O2" s="935"/>
      <c r="P2" s="935"/>
      <c r="Q2" s="935"/>
      <c r="R2" s="935"/>
      <c r="S2" s="935"/>
      <c r="T2" s="2"/>
      <c r="U2" s="2"/>
    </row>
    <row r="3" ht="19.5" customHeight="1">
      <c r="A3"/>
      <c r="B3" s="115" t="s">
        <v>145</v>
      </c>
      <c r="C3" s="115"/>
      <c r="D3" s="115"/>
      <c r="E3" s="115"/>
      <c r="F3" s="115"/>
      <c r="G3" s="115"/>
      <c r="H3" s="115"/>
      <c r="I3" s="115"/>
      <c r="J3" s="115"/>
      <c r="K3" s="115"/>
      <c r="L3" s="115"/>
      <c r="M3" s="115"/>
      <c r="N3" s="115"/>
      <c r="O3" s="115"/>
      <c r="P3" s="115"/>
      <c r="Q3" s="115"/>
      <c r="R3" s="115"/>
      <c r="S3" s="115"/>
      <c r="T3" s="2"/>
      <c r="U3" s="2"/>
    </row>
    <row r="4" ht="18.75" customHeight="1">
      <c r="A4"/>
      <c r="B4" s="936" t="s">
        <v>146</v>
      </c>
      <c r="C4" s="936"/>
      <c r="D4" s="936"/>
      <c r="E4" s="936"/>
      <c r="F4" s="936"/>
      <c r="G4" s="936"/>
      <c r="H4" s="936"/>
      <c r="I4" s="936"/>
      <c r="J4" s="936"/>
      <c r="K4" s="936"/>
      <c r="L4" s="936"/>
      <c r="M4" s="936"/>
      <c r="N4" s="936"/>
      <c r="O4" s="936"/>
      <c r="P4" s="936"/>
      <c r="Q4" s="200"/>
      <c r="R4" s="203"/>
      <c r="S4" s="200"/>
      <c r="T4" s="222"/>
      <c r="U4" s="2"/>
    </row>
    <row r="5" ht="12" customHeight="1">
      <c r="A5"/>
      <c r="B5" s="129"/>
      <c r="D5" s="13"/>
      <c r="E5" s="13"/>
      <c r="F5" s="2"/>
      <c r="G5" s="2"/>
      <c r="H5" s="2"/>
      <c r="I5" s="2"/>
      <c r="J5" s="2"/>
      <c r="K5" s="2"/>
      <c r="L5" s="2"/>
      <c r="M5" s="2"/>
      <c r="N5" s="9"/>
      <c r="O5" s="2"/>
      <c r="P5" s="2"/>
      <c r="Q5" s="2"/>
      <c r="R5" s="2"/>
      <c r="S5" s="2"/>
      <c r="T5" s="2"/>
      <c r="U5" s="2"/>
    </row>
    <row r="6" ht="17.1" customHeight="1">
      <c r="B6" s="699" t="s">
        <v>147</v>
      </c>
      <c r="C6" s="937"/>
      <c r="D6" s="937"/>
      <c r="E6" s="937"/>
      <c r="F6" s="937"/>
      <c r="G6" s="937"/>
      <c r="H6" s="937"/>
      <c r="I6" s="937"/>
      <c r="J6" s="937"/>
      <c r="K6" s="937"/>
      <c r="L6" s="937"/>
      <c r="M6" s="937"/>
      <c r="N6" s="937"/>
      <c r="O6" s="937"/>
      <c r="P6" s="937"/>
      <c r="Q6" s="937"/>
      <c r="R6" s="937"/>
      <c r="S6" s="937"/>
      <c r="T6" s="938"/>
      <c r="U6" s="2"/>
    </row>
    <row r="7">
      <c r="B7" s="2"/>
      <c r="C7" s="2"/>
      <c r="D7" s="2"/>
      <c r="E7" s="2"/>
      <c r="F7" s="934" t="s">
        <v>22</v>
      </c>
      <c r="G7" s="934"/>
      <c r="H7" s="934"/>
      <c r="I7" s="934"/>
      <c r="J7" s="934"/>
      <c r="K7" s="934" t="s">
        <v>9</v>
      </c>
      <c r="L7" s="934"/>
      <c r="M7" s="934"/>
      <c r="N7" s="934"/>
      <c r="O7" s="934"/>
      <c r="P7" s="934" t="s">
        <v>10</v>
      </c>
      <c r="Q7" s="934"/>
      <c r="R7" s="934"/>
      <c r="S7" s="934"/>
      <c r="T7" s="934"/>
      <c r="U7" s="2"/>
    </row>
    <row r="8" ht="20.1" customHeight="1">
      <c r="B8" s="2"/>
      <c r="C8" s="2"/>
      <c r="D8" s="2"/>
      <c r="E8" s="2"/>
      <c r="F8" s="934"/>
      <c r="G8" s="934"/>
      <c r="H8" s="934"/>
      <c r="I8" s="934"/>
      <c r="J8" s="934"/>
      <c r="K8" s="934"/>
      <c r="L8" s="934"/>
      <c r="M8" s="934"/>
      <c r="N8" s="934"/>
      <c r="O8" s="934"/>
      <c r="P8" s="934"/>
      <c r="Q8" s="934"/>
      <c r="R8" s="934"/>
      <c r="S8" s="934"/>
      <c r="T8" s="934"/>
      <c r="U8" s="2"/>
    </row>
    <row r="9" ht="20.1" customHeight="1">
      <c r="B9" s="2"/>
      <c r="C9" s="2"/>
      <c r="D9" s="2"/>
      <c r="E9" s="2"/>
      <c r="F9" s="2"/>
      <c r="G9" s="22" t="s">
        <v>25</v>
      </c>
      <c r="H9" s="22" t="s">
        <v>15</v>
      </c>
      <c r="I9" s="593" t="s">
        <v>97</v>
      </c>
      <c r="J9" s="3"/>
      <c r="K9" s="3"/>
      <c r="L9" s="22" t="s">
        <v>25</v>
      </c>
      <c r="M9" s="22" t="s">
        <v>15</v>
      </c>
      <c r="N9" s="593" t="s">
        <v>98</v>
      </c>
      <c r="O9" s="2"/>
      <c r="P9" s="2"/>
      <c r="Q9" s="22" t="s">
        <v>25</v>
      </c>
      <c r="R9" s="22" t="s">
        <v>15</v>
      </c>
      <c r="S9" s="593" t="s">
        <v>99</v>
      </c>
      <c r="T9" s="2"/>
      <c r="U9" s="2"/>
    </row>
    <row r="10" ht="15" customHeight="1">
      <c r="B10" s="2"/>
      <c r="C10" s="109"/>
      <c r="D10" s="109"/>
      <c r="E10" s="109"/>
      <c r="F10" s="165"/>
      <c r="G10" s="185"/>
      <c r="H10" s="166"/>
      <c r="I10" s="176"/>
      <c r="J10" s="167"/>
      <c r="K10" s="165"/>
      <c r="L10" s="185"/>
      <c r="M10" s="168"/>
      <c r="N10" s="176"/>
      <c r="O10" s="167"/>
      <c r="P10" s="142"/>
      <c r="Q10" s="187"/>
      <c r="R10" s="168"/>
      <c r="S10" s="176"/>
      <c r="T10" s="167"/>
      <c r="U10" s="2"/>
    </row>
    <row r="11" ht="20.1" customHeight="1">
      <c r="B11" s="2"/>
      <c r="C11" s="180"/>
      <c r="D11" s="105" t="s">
        <v>42</v>
      </c>
      <c r="E11" s="180"/>
      <c r="F11" s="164"/>
      <c r="G11" s="193">
        <v>63.002787733970529669454400640</v>
      </c>
      <c r="H11" s="193">
        <v>48.187749184487133019209858640</v>
      </c>
      <c r="I11" s="193">
        <v>130.74440869347745550427868136</v>
      </c>
      <c r="J11" s="194"/>
      <c r="K11" s="194"/>
      <c r="L11" s="195">
        <v>130.45032237673830594184576485</v>
      </c>
      <c r="M11" s="195">
        <v>126.64696377084116835903221764</v>
      </c>
      <c r="N11" s="193">
        <v>103.00311866364317578028631128</v>
      </c>
      <c r="O11" s="194"/>
      <c r="P11" s="193"/>
      <c r="Q11" s="195">
        <v>82.18733970529669454400637196</v>
      </c>
      <c r="R11" s="195">
        <v>61.028321251661229914220128066</v>
      </c>
      <c r="S11" s="193">
        <v>134.67081843252781696113490763</v>
      </c>
      <c r="T11" s="141"/>
      <c r="U11" s="2"/>
    </row>
    <row r="12" ht="15" customHeight="1">
      <c r="B12" s="2"/>
      <c r="C12" s="109"/>
      <c r="D12" s="109"/>
      <c r="E12" s="109"/>
      <c r="F12" s="165"/>
      <c r="G12" s="193"/>
      <c r="H12" s="193"/>
      <c r="I12" s="193"/>
      <c r="J12" s="194"/>
      <c r="K12" s="194"/>
      <c r="L12" s="195"/>
      <c r="M12" s="195"/>
      <c r="N12" s="193"/>
      <c r="O12" s="194"/>
      <c r="P12" s="193"/>
      <c r="Q12" s="195"/>
      <c r="R12" s="195"/>
      <c r="S12" s="193"/>
      <c r="T12" s="167"/>
      <c r="U12" s="2"/>
    </row>
    <row r="13" ht="20.1" customHeight="1">
      <c r="B13" s="111"/>
      <c r="C13" s="188"/>
      <c r="D13" s="189" t="s">
        <v>58</v>
      </c>
      <c r="E13" s="188"/>
      <c r="F13" s="169"/>
      <c r="G13" s="196">
        <v>60.837216907857084457525958630</v>
      </c>
      <c r="H13" s="196">
        <v>40.572215194582930277550412980</v>
      </c>
      <c r="I13" s="196">
        <v>149.94797946342913844287982606</v>
      </c>
      <c r="J13" s="197"/>
      <c r="K13" s="197"/>
      <c r="L13" s="198">
        <v>124.36062760381669130493213278</v>
      </c>
      <c r="M13" s="198">
        <v>121.03416353354730246064496409</v>
      </c>
      <c r="N13" s="196">
        <v>102.74836787664169552116346455</v>
      </c>
      <c r="O13" s="197"/>
      <c r="P13" s="196"/>
      <c r="Q13" s="198">
        <v>75.65754476330635271032622026</v>
      </c>
      <c r="R13" s="198">
        <v>49.10624128779423072153186001</v>
      </c>
      <c r="S13" s="196">
        <v>154.06910156266181810370194647</v>
      </c>
      <c r="T13" s="170"/>
      <c r="U13" s="2"/>
    </row>
    <row r="14" ht="15" customHeight="1">
      <c r="B14" s="2"/>
      <c r="C14" s="180"/>
      <c r="D14" s="105"/>
      <c r="E14" s="105"/>
      <c r="F14" s="137"/>
      <c r="G14" s="193"/>
      <c r="H14" s="193"/>
      <c r="I14" s="193"/>
      <c r="J14" s="194"/>
      <c r="K14" s="194"/>
      <c r="L14" s="195"/>
      <c r="M14" s="195"/>
      <c r="N14" s="193"/>
      <c r="O14" s="194"/>
      <c r="P14" s="193"/>
      <c r="Q14" s="195"/>
      <c r="R14" s="195"/>
      <c r="S14" s="193"/>
      <c r="T14" s="167"/>
      <c r="U14" s="2"/>
    </row>
    <row r="15" ht="20.1" customHeight="1">
      <c r="B15" s="2"/>
      <c r="C15" s="180"/>
      <c r="D15" s="105" t="s">
        <v>44</v>
      </c>
      <c r="E15" s="180"/>
      <c r="F15" s="137"/>
      <c r="G15" s="193">
        <v>65.955448201825013419216317770</v>
      </c>
      <c r="H15" s="193">
        <v>47.097378277153558052434456930</v>
      </c>
      <c r="I15" s="193">
        <v>140.04059379618221510377757654</v>
      </c>
      <c r="J15" s="194"/>
      <c r="K15" s="194"/>
      <c r="L15" s="195">
        <v>128.31372126144455747711088505</v>
      </c>
      <c r="M15" s="195">
        <v>123.99039718212464344368571183</v>
      </c>
      <c r="N15" s="193">
        <v>103.48682170361552689828633307</v>
      </c>
      <c r="O15" s="194"/>
      <c r="P15" s="193"/>
      <c r="Q15" s="195">
        <v>84.62988996242619431025228127</v>
      </c>
      <c r="R15" s="195">
        <v>58.396226388210389187428757532</v>
      </c>
      <c r="S15" s="193">
        <v>144.92355961467944158937032852</v>
      </c>
      <c r="T15" s="141"/>
      <c r="U15" s="2"/>
    </row>
    <row r="16" ht="15" customHeight="1">
      <c r="B16" s="2"/>
      <c r="C16" s="180"/>
      <c r="D16" s="105"/>
      <c r="E16" s="180"/>
      <c r="F16" s="137"/>
      <c r="G16" s="193"/>
      <c r="H16" s="193"/>
      <c r="I16" s="193"/>
      <c r="J16" s="194"/>
      <c r="K16" s="194"/>
      <c r="L16" s="195"/>
      <c r="M16" s="195"/>
      <c r="N16" s="193"/>
      <c r="O16" s="194"/>
      <c r="P16" s="193"/>
      <c r="Q16" s="195"/>
      <c r="R16" s="195"/>
      <c r="S16" s="193"/>
      <c r="T16" s="167"/>
      <c r="U16" s="2"/>
    </row>
    <row r="17" ht="20.1" customHeight="1">
      <c r="B17" s="111"/>
      <c r="C17" s="188"/>
      <c r="D17" s="189" t="s">
        <v>45</v>
      </c>
      <c r="E17" s="188"/>
      <c r="F17" s="169"/>
      <c r="G17" s="196">
        <v>61.444275325553864366649754780</v>
      </c>
      <c r="H17" s="196">
        <v>40.636921182557630148826085410</v>
      </c>
      <c r="I17" s="196">
        <v>151.20307724459991769063976347</v>
      </c>
      <c r="J17" s="197"/>
      <c r="K17" s="197"/>
      <c r="L17" s="198">
        <v>125.83293900693603434988439943</v>
      </c>
      <c r="M17" s="198">
        <v>119.9822158459915089341687462</v>
      </c>
      <c r="N17" s="196">
        <v>104.87632531178251894433211552</v>
      </c>
      <c r="O17" s="197"/>
      <c r="P17" s="196"/>
      <c r="Q17" s="198">
        <v>77.317137493658041603247082699</v>
      </c>
      <c r="R17" s="198">
        <v>48.757078486421741000777479149</v>
      </c>
      <c r="S17" s="196">
        <v>158.57623117271968836840164719</v>
      </c>
      <c r="T17" s="170"/>
      <c r="U17" s="2"/>
    </row>
    <row r="18" ht="15" customHeight="1">
      <c r="B18" s="2"/>
      <c r="C18" s="105"/>
      <c r="D18" s="105"/>
      <c r="E18" s="105"/>
      <c r="F18" s="137"/>
      <c r="G18" s="191"/>
      <c r="H18" s="192"/>
      <c r="I18" s="187"/>
      <c r="J18" s="141"/>
      <c r="K18" s="137"/>
      <c r="L18" s="191"/>
      <c r="M18" s="192"/>
      <c r="N18" s="187"/>
      <c r="O18" s="141"/>
      <c r="P18" s="190"/>
      <c r="Q18" s="141"/>
      <c r="R18" s="192"/>
      <c r="S18" s="187"/>
      <c r="T18" s="141"/>
      <c r="U18" s="2"/>
    </row>
    <row r="19" ht="15" customHeight="1">
      <c r="B19" s="2"/>
      <c r="C19" s="105"/>
      <c r="D19" s="105"/>
      <c r="E19" s="105"/>
      <c r="F19" s="137"/>
      <c r="G19" s="138"/>
      <c r="H19" s="139"/>
      <c r="I19" s="140"/>
      <c r="J19" s="141"/>
      <c r="K19" s="137"/>
      <c r="L19" s="138"/>
      <c r="M19" s="139"/>
      <c r="N19" s="140"/>
      <c r="O19" s="141"/>
      <c r="P19" s="142"/>
      <c r="Q19" s="141"/>
      <c r="R19" s="157"/>
      <c r="S19" s="140"/>
      <c r="T19" s="141"/>
      <c r="U19" s="2"/>
    </row>
    <row r="20" ht="17.1" customHeight="1">
      <c r="B20" s="699" t="s">
        <v>148</v>
      </c>
      <c r="C20" s="937"/>
      <c r="D20" s="937"/>
      <c r="E20" s="937"/>
      <c r="F20" s="937"/>
      <c r="G20" s="937"/>
      <c r="H20" s="937"/>
      <c r="I20" s="937"/>
      <c r="J20" s="937"/>
      <c r="K20" s="937"/>
      <c r="L20" s="937"/>
      <c r="M20" s="937"/>
      <c r="N20" s="937"/>
      <c r="O20" s="937"/>
      <c r="P20" s="937"/>
      <c r="Q20" s="937"/>
      <c r="R20" s="937"/>
      <c r="S20" s="937"/>
      <c r="T20" s="938"/>
      <c r="U20" s="2"/>
    </row>
    <row r="21">
      <c r="B21" s="2"/>
      <c r="C21" s="2"/>
      <c r="D21" s="2"/>
      <c r="E21" s="2"/>
      <c r="F21" s="934" t="s">
        <v>72</v>
      </c>
      <c r="G21" s="934"/>
      <c r="H21" s="934"/>
      <c r="I21" s="934"/>
      <c r="J21" s="934"/>
      <c r="K21" s="934" t="s">
        <v>9</v>
      </c>
      <c r="L21" s="934"/>
      <c r="M21" s="934"/>
      <c r="N21" s="934"/>
      <c r="O21" s="934"/>
      <c r="P21" s="934" t="s">
        <v>10</v>
      </c>
      <c r="Q21" s="934"/>
      <c r="R21" s="934"/>
      <c r="S21" s="934"/>
      <c r="T21" s="934"/>
      <c r="U21" s="2"/>
    </row>
    <row r="22" ht="20.1" customHeight="1">
      <c r="B22" s="2"/>
      <c r="C22" s="2"/>
      <c r="D22" s="2"/>
      <c r="E22" s="2"/>
      <c r="F22" s="934"/>
      <c r="G22" s="934"/>
      <c r="H22" s="934"/>
      <c r="I22" s="934"/>
      <c r="J22" s="934"/>
      <c r="K22" s="934"/>
      <c r="L22" s="934"/>
      <c r="M22" s="934"/>
      <c r="N22" s="934"/>
      <c r="O22" s="934"/>
      <c r="P22" s="934"/>
      <c r="Q22" s="934"/>
      <c r="R22" s="934"/>
      <c r="S22" s="934"/>
      <c r="T22" s="934"/>
      <c r="U22" s="2"/>
    </row>
    <row r="23" ht="20.1" customHeight="1">
      <c r="B23" s="2"/>
      <c r="C23" s="2"/>
      <c r="D23" s="2"/>
      <c r="E23" s="2"/>
      <c r="F23" s="2"/>
      <c r="G23" s="22" t="s">
        <v>25</v>
      </c>
      <c r="H23" s="22" t="s">
        <v>15</v>
      </c>
      <c r="I23" s="593" t="s">
        <v>97</v>
      </c>
      <c r="J23" s="3"/>
      <c r="K23" s="3"/>
      <c r="L23" s="22" t="s">
        <v>25</v>
      </c>
      <c r="M23" s="22" t="s">
        <v>15</v>
      </c>
      <c r="N23" s="593" t="s">
        <v>98</v>
      </c>
      <c r="O23" s="2"/>
      <c r="P23" s="2"/>
      <c r="Q23" s="22" t="s">
        <v>25</v>
      </c>
      <c r="R23" s="22" t="s">
        <v>15</v>
      </c>
      <c r="S23" s="593" t="s">
        <v>99</v>
      </c>
      <c r="T23" s="2"/>
      <c r="U23" s="2"/>
    </row>
    <row r="24" ht="15" customHeight="1">
      <c r="B24" s="2"/>
      <c r="C24" s="109"/>
      <c r="D24" s="109"/>
      <c r="E24" s="109"/>
      <c r="F24" s="165"/>
      <c r="G24" s="185"/>
      <c r="H24" s="166"/>
      <c r="I24" s="176"/>
      <c r="J24" s="167"/>
      <c r="K24" s="165"/>
      <c r="L24" s="185"/>
      <c r="M24" s="168"/>
      <c r="N24" s="176"/>
      <c r="O24" s="167"/>
      <c r="P24" s="142"/>
      <c r="Q24" s="187"/>
      <c r="R24" s="168"/>
      <c r="S24" s="176"/>
      <c r="T24" s="167"/>
      <c r="U24" s="2"/>
    </row>
    <row r="25" ht="20.1" customHeight="1">
      <c r="B25" s="2"/>
      <c r="C25" s="180"/>
      <c r="D25" s="105" t="s">
        <v>42</v>
      </c>
      <c r="E25" s="180"/>
      <c r="F25" s="164"/>
      <c r="G25" s="193">
        <v>5.748663101639409816551814700</v>
      </c>
      <c r="H25" s="193">
        <v>8.388816305202113669216886170</v>
      </c>
      <c r="I25" s="193">
        <v>-2.4358169907200251167867637200</v>
      </c>
      <c r="J25" s="193"/>
      <c r="K25" s="193"/>
      <c r="L25" s="193">
        <v>-2.0476241459962200991155044900</v>
      </c>
      <c r="M25" s="193">
        <v>9.439416228959013645638995890</v>
      </c>
      <c r="N25" s="193">
        <v>-10.496255161817663213408147070</v>
      </c>
      <c r="O25" s="193"/>
      <c r="P25" s="193"/>
      <c r="Q25" s="193">
        <v>3.5833279418019689383900145300</v>
      </c>
      <c r="R25" s="193">
        <v>18.620087821989627319137104430</v>
      </c>
      <c r="S25" s="193">
        <v>-12.676402586039940943590529470</v>
      </c>
      <c r="T25" s="141"/>
      <c r="U25" s="2"/>
    </row>
    <row r="26" ht="15" customHeight="1">
      <c r="B26" s="2"/>
      <c r="C26" s="109"/>
      <c r="D26" s="109"/>
      <c r="E26" s="109"/>
      <c r="F26" s="165"/>
      <c r="G26" s="193"/>
      <c r="H26" s="193"/>
      <c r="I26" s="193"/>
      <c r="J26" s="193"/>
      <c r="K26" s="193"/>
      <c r="L26" s="193"/>
      <c r="M26" s="193"/>
      <c r="N26" s="193"/>
      <c r="O26" s="193"/>
      <c r="P26" s="193"/>
      <c r="Q26" s="193"/>
      <c r="R26" s="193"/>
      <c r="S26" s="193"/>
      <c r="T26" s="167"/>
      <c r="U26" s="2"/>
    </row>
    <row r="27" ht="20.1" customHeight="1">
      <c r="B27" s="111"/>
      <c r="C27" s="188"/>
      <c r="D27" s="189" t="s">
        <v>58</v>
      </c>
      <c r="E27" s="188"/>
      <c r="F27" s="169"/>
      <c r="G27" s="196">
        <v>-0.8566757684185974680627059200</v>
      </c>
      <c r="H27" s="196">
        <v>0.4235088605089654025886018800</v>
      </c>
      <c r="I27" s="196">
        <v>-1.2747857981579537630426378100</v>
      </c>
      <c r="J27" s="196"/>
      <c r="K27" s="196"/>
      <c r="L27" s="196">
        <v>-2.2620491711906697998813980800</v>
      </c>
      <c r="M27" s="196">
        <v>9.098670851357441249111327970</v>
      </c>
      <c r="N27" s="196">
        <v>-10.413252456573391160008239610</v>
      </c>
      <c r="O27" s="196"/>
      <c r="P27" s="196"/>
      <c r="Q27" s="196">
        <v>-3.0993465124591959653202519500</v>
      </c>
      <c r="R27" s="196">
        <v>9.560713388983818036466630980</v>
      </c>
      <c r="S27" s="196">
        <v>-11.555291591211814577933461690</v>
      </c>
      <c r="T27" s="170"/>
      <c r="U27" s="2"/>
    </row>
    <row r="28" ht="15" customHeight="1">
      <c r="B28" s="2"/>
      <c r="C28" s="180"/>
      <c r="D28" s="105"/>
      <c r="E28" s="105"/>
      <c r="F28" s="137"/>
      <c r="G28" s="193"/>
      <c r="H28" s="193"/>
      <c r="I28" s="193"/>
      <c r="J28" s="193"/>
      <c r="K28" s="193"/>
      <c r="L28" s="193"/>
      <c r="M28" s="193"/>
      <c r="N28" s="193"/>
      <c r="O28" s="193"/>
      <c r="P28" s="193"/>
      <c r="Q28" s="193"/>
      <c r="R28" s="193"/>
      <c r="S28" s="193"/>
      <c r="T28" s="167"/>
      <c r="U28" s="2"/>
    </row>
    <row r="29" ht="20.1" customHeight="1">
      <c r="B29" s="2"/>
      <c r="C29" s="180"/>
      <c r="D29" s="105" t="s">
        <v>44</v>
      </c>
      <c r="E29" s="180"/>
      <c r="F29" s="137"/>
      <c r="G29" s="193">
        <v>-0.0203417411882149815848063500</v>
      </c>
      <c r="H29" s="193">
        <v>1.8751428836852244956172443200</v>
      </c>
      <c r="I29" s="193">
        <v>-1.86059579539239618294681800</v>
      </c>
      <c r="J29" s="193"/>
      <c r="K29" s="193"/>
      <c r="L29" s="193">
        <v>-4.6242293489084004925880219200</v>
      </c>
      <c r="M29" s="193">
        <v>8.119997627006499580536763610</v>
      </c>
      <c r="N29" s="193">
        <v>-11.787113628937515662406366050</v>
      </c>
      <c r="O29" s="193"/>
      <c r="P29" s="193"/>
      <c r="Q29" s="193">
        <v>-4.6436304413642630299815340500</v>
      </c>
      <c r="R29" s="193">
        <v>10.147402068495265196964118560</v>
      </c>
      <c r="S29" s="193">
        <v>-13.428398883744849825381395830</v>
      </c>
      <c r="T29" s="141"/>
      <c r="U29" s="2"/>
    </row>
    <row r="30" ht="15" customHeight="1">
      <c r="B30" s="2"/>
      <c r="C30" s="180"/>
      <c r="D30" s="105"/>
      <c r="E30" s="180"/>
      <c r="F30" s="137"/>
      <c r="G30" s="193"/>
      <c r="H30" s="193"/>
      <c r="I30" s="193"/>
      <c r="J30" s="193"/>
      <c r="K30" s="193"/>
      <c r="L30" s="193"/>
      <c r="M30" s="193"/>
      <c r="N30" s="193"/>
      <c r="O30" s="193"/>
      <c r="P30" s="193"/>
      <c r="Q30" s="193"/>
      <c r="R30" s="193"/>
      <c r="S30" s="193"/>
      <c r="T30" s="167"/>
      <c r="U30" s="2"/>
    </row>
    <row r="31" ht="20.1" customHeight="1">
      <c r="B31" s="111"/>
      <c r="C31" s="188"/>
      <c r="D31" s="189" t="s">
        <v>45</v>
      </c>
      <c r="E31" s="188"/>
      <c r="F31" s="169"/>
      <c r="G31" s="196">
        <v>-0.9312565235606886750702825700</v>
      </c>
      <c r="H31" s="196">
        <v>-10.337007136185103435483330930</v>
      </c>
      <c r="I31" s="196">
        <v>10.490114496597107695380808170</v>
      </c>
      <c r="J31" s="196"/>
      <c r="K31" s="196"/>
      <c r="L31" s="196">
        <v>0.9067356688144103285096553800</v>
      </c>
      <c r="M31" s="196">
        <v>10.235780301696399316016518230</v>
      </c>
      <c r="N31" s="196">
        <v>-8.462809994474130221915889730</v>
      </c>
      <c r="O31" s="196"/>
      <c r="P31" s="196"/>
      <c r="Q31" s="196">
        <v>-0.0329648897621916633895645500</v>
      </c>
      <c r="R31" s="196">
        <v>-1.1593001747491801632473884300</v>
      </c>
      <c r="S31" s="196">
        <v>1.1395460442380764778270239900</v>
      </c>
      <c r="T31" s="170"/>
      <c r="U31" s="2"/>
    </row>
    <row r="32" ht="15" customHeight="1">
      <c r="B32" s="2"/>
      <c r="C32" s="105"/>
      <c r="D32" s="105"/>
      <c r="E32" s="105"/>
      <c r="F32" s="137"/>
      <c r="G32" s="191"/>
      <c r="H32" s="192"/>
      <c r="I32" s="187"/>
      <c r="J32" s="141"/>
      <c r="K32" s="137"/>
      <c r="L32" s="191"/>
      <c r="M32" s="192"/>
      <c r="N32" s="187"/>
      <c r="O32" s="141"/>
      <c r="P32" s="190"/>
      <c r="Q32" s="141"/>
      <c r="R32" s="192"/>
      <c r="S32" s="187"/>
      <c r="T32" s="141"/>
      <c r="U32" s="2"/>
    </row>
    <row r="33" ht="15" customHeight="1">
      <c r="B33" s="2"/>
      <c r="C33" s="105"/>
      <c r="D33" s="34"/>
      <c r="E33" s="34"/>
      <c r="F33" s="137"/>
      <c r="G33" s="138"/>
      <c r="H33" s="139"/>
      <c r="I33" s="140"/>
      <c r="J33" s="141"/>
      <c r="K33" s="137"/>
      <c r="L33" s="138"/>
      <c r="M33" s="139"/>
      <c r="N33" s="140"/>
      <c r="O33" s="141"/>
      <c r="P33" s="142"/>
      <c r="Q33" s="141"/>
      <c r="R33" s="139"/>
      <c r="S33" s="140"/>
      <c r="T33" s="141"/>
      <c r="U33" s="2"/>
    </row>
    <row r="34" ht="39.95" customHeight="1">
      <c r="B34" s="933" t="s">
        <v>126</v>
      </c>
      <c r="C34" s="933"/>
      <c r="D34" s="933"/>
      <c r="E34" s="933"/>
      <c r="F34" s="933"/>
      <c r="G34" s="933"/>
      <c r="H34" s="933"/>
      <c r="I34" s="933"/>
      <c r="J34" s="933"/>
      <c r="K34" s="933"/>
      <c r="L34" s="933"/>
      <c r="M34" s="933"/>
      <c r="N34" s="933"/>
      <c r="O34" s="933"/>
      <c r="P34" s="933"/>
      <c r="Q34" s="933"/>
      <c r="R34" s="933"/>
      <c r="S34" s="933"/>
      <c r="T34" s="933"/>
      <c r="U34" s="2"/>
    </row>
    <row r="35" ht="18">
      <c r="B35" s="2"/>
      <c r="C35" s="2"/>
      <c r="D35" s="2"/>
      <c r="E35" s="2"/>
      <c r="F35" s="2"/>
      <c r="G35" s="2"/>
      <c r="H35" s="106"/>
      <c r="I35" s="107"/>
      <c r="J35" s="127"/>
      <c r="K35" s="108"/>
      <c r="L35" s="2"/>
      <c r="M35" s="106"/>
      <c r="N35" s="107"/>
      <c r="O35" s="127"/>
      <c r="P35" s="2"/>
      <c r="Q35" s="2"/>
      <c r="R35" s="13"/>
      <c r="S35" s="51"/>
      <c r="T35" s="2"/>
      <c r="U35" s="2"/>
    </row>
    <row r="36" s="236" customFormat="1">
      <c r="A36" s="236"/>
    </row>
    <row r="37" s="236" customFormat="1"/>
    <row r="38" s="236" customFormat="1"/>
    <row r="39" s="236" customFormat="1"/>
    <row r="40" s="236" customFormat="1"/>
    <row r="41" s="236" customFormat="1"/>
    <row r="42" s="236" customFormat="1"/>
    <row r="43" s="236" customFormat="1"/>
    <row r="44" s="236" customFormat="1"/>
    <row r="45" s="236" customFormat="1"/>
    <row r="46" s="236" customFormat="1"/>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sheetData>
  <mergeCells count="12">
    <mergeCell ref="B34:T34"/>
    <mergeCell ref="K21:O22"/>
    <mergeCell ref="P21:T22"/>
    <mergeCell ref="F21:J22"/>
    <mergeCell ref="K7:O8"/>
    <mergeCell ref="P7:T8"/>
    <mergeCell ref="B2:S2"/>
    <mergeCell ref="B3:S3"/>
    <mergeCell ref="B4:P4"/>
    <mergeCell ref="B6:T6"/>
    <mergeCell ref="B20:T20"/>
    <mergeCell ref="F7:J8"/>
  </mergeCells>
  <phoneticPr fontId="12" type="noConversion"/>
  <printOptions horizontalCentered="1" verticalCentered="1"/>
  <pageMargins left="0.25" right="0.25" top="0.25" bottom="0.25" header="0" footer="0"/>
  <pageSetup scale="86" fitToWidth="1" fitToHeight="1" orientation="landscape" r:id="rId1"/>
  <headerFooter alignWithMargins="0">
    <oddHeader/>
    <oddFooter/>
  </headerFooter>
  <rowBreaks count="1" manualBreakCount="1">
    <brk id="36" max="16383" man="1"/>
  </rowBreaks>
  <colBreaks count="1" manualBreakCount="1">
    <brk id="22" max="1048575"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AI82"/>
  <sheetViews>
    <sheetView showGridLines="0" zoomScale="80" workbookViewId="0"/>
  </sheetViews>
  <sheetFormatPr defaultRowHeight="12.75"/>
  <cols>
    <col min="1" max="1" width="2.7109375" customWidth="1"/>
    <col min="2" max="2" width="17.7109375" customWidth="1"/>
    <col min="3" max="3" width="19" customWidth="1"/>
    <col min="4" max="4" width="2.7109375" customWidth="1"/>
    <col min="5" max="12" width="12.7109375" customWidth="1"/>
    <col min="13" max="13" width="2.7109375" customWidth="1"/>
    <col min="14" max="14" width="11.7109375" customWidth="1"/>
    <col min="15" max="15" width="1.7109375" customWidth="1"/>
    <col min="16" max="16" width="10.7109375" style="9" customWidth="1"/>
    <col min="17" max="17" width="1.7109375" style="9" customWidth="1"/>
    <col min="18" max="18" width="10.7109375" customWidth="1"/>
    <col min="19" max="19" width="1.7109375" customWidth="1"/>
    <col min="20" max="20" width="10.7109375" customWidth="1"/>
    <col min="21" max="21" width="2.7109375" customWidth="1"/>
    <col min="22" max="23" width="11.7109375" style="236" customWidth="1"/>
    <col min="24" max="24" width="5.7109375" style="236" customWidth="1"/>
    <col min="25" max="35" width="9.140625" style="236" customWidth="1"/>
  </cols>
  <sheetData>
    <row r="1" ht="30.75" customHeight="1">
      <c r="B1" s="20" t="s">
        <v>129</v>
      </c>
      <c r="E1" s="12"/>
      <c r="F1" s="12"/>
      <c r="G1" s="12"/>
      <c r="H1" s="12"/>
      <c r="I1" s="12"/>
      <c r="J1" s="12"/>
      <c r="K1" s="12"/>
      <c r="L1" s="12"/>
      <c r="M1" s="12"/>
      <c r="N1" s="12"/>
      <c r="O1" s="12"/>
      <c r="Q1" s="231"/>
      <c r="R1" s="2"/>
      <c r="S1" s="2"/>
      <c r="T1" s="2"/>
      <c r="U1" s="2"/>
      <c r="V1" s="236"/>
    </row>
    <row r="2" ht="18" customHeight="1">
      <c r="B2" s="948" t="s">
        <v>144</v>
      </c>
      <c r="C2" s="948"/>
      <c r="D2" s="948"/>
      <c r="E2" s="948"/>
      <c r="F2" s="948"/>
      <c r="G2" s="948"/>
      <c r="H2" s="948"/>
      <c r="I2" s="948"/>
      <c r="J2" s="948"/>
      <c r="K2" s="948"/>
      <c r="L2" s="948"/>
      <c r="M2" s="948"/>
      <c r="N2" s="948"/>
      <c r="O2" s="948"/>
      <c r="P2" s="948"/>
      <c r="Q2" s="948"/>
      <c r="R2" s="948"/>
      <c r="S2" s="948"/>
      <c r="T2" s="948"/>
      <c r="U2" s="2"/>
    </row>
    <row r="3" ht="18" customHeight="1">
      <c r="B3" s="947" t="s">
        <v>145</v>
      </c>
      <c r="C3" s="947"/>
      <c r="D3" s="947"/>
      <c r="E3" s="947"/>
      <c r="F3" s="947"/>
      <c r="G3" s="947"/>
      <c r="H3" s="947"/>
      <c r="I3" s="947"/>
      <c r="J3" s="947"/>
      <c r="K3" s="947"/>
      <c r="L3" s="947"/>
      <c r="M3" s="947"/>
      <c r="N3" s="947"/>
      <c r="O3" s="947"/>
      <c r="P3" s="947"/>
      <c r="Q3" s="947"/>
      <c r="R3" s="947"/>
      <c r="S3" s="947"/>
      <c r="T3" s="947"/>
      <c r="U3" s="2"/>
    </row>
    <row r="4" ht="18" customHeight="1">
      <c r="B4" s="947" t="s">
        <v>146</v>
      </c>
      <c r="C4" s="947"/>
      <c r="D4" s="947"/>
      <c r="E4" s="947"/>
      <c r="F4" s="947"/>
      <c r="G4" s="947"/>
      <c r="H4" s="947"/>
      <c r="I4" s="947"/>
      <c r="J4" s="947"/>
      <c r="K4" s="947"/>
      <c r="L4" s="947"/>
      <c r="M4" s="947"/>
      <c r="N4" s="947"/>
      <c r="O4" s="947"/>
      <c r="P4" s="947"/>
      <c r="Q4" s="947"/>
      <c r="R4" s="947"/>
      <c r="S4" s="947"/>
      <c r="T4" s="947"/>
      <c r="U4" s="2"/>
    </row>
    <row r="5" s="122" customFormat="1" ht="21" customHeight="1">
      <c r="B5" s="163"/>
      <c r="C5" s="163"/>
      <c r="D5" s="237"/>
      <c r="E5" s="719" t="s">
        <v>22</v>
      </c>
      <c r="F5" s="719"/>
      <c r="G5" s="719"/>
      <c r="H5" s="719"/>
      <c r="I5" s="719"/>
      <c r="J5" s="719"/>
      <c r="K5" s="719"/>
      <c r="L5" s="951"/>
      <c r="M5" s="537"/>
      <c r="N5" s="714" t="s">
        <v>28</v>
      </c>
      <c r="O5" s="714"/>
      <c r="P5" s="714"/>
      <c r="Q5" s="714"/>
      <c r="R5" s="714"/>
      <c r="S5" s="714"/>
      <c r="T5" s="715"/>
      <c r="V5" s="236"/>
      <c r="W5" s="236"/>
      <c r="X5" s="236"/>
      <c r="Y5" s="236"/>
      <c r="Z5" s="236"/>
      <c r="AA5" s="236"/>
      <c r="AB5" s="236"/>
      <c r="AC5" s="236"/>
      <c r="AD5" s="236"/>
      <c r="AE5" s="236"/>
      <c r="AF5" s="236"/>
      <c r="AG5" s="236"/>
      <c r="AH5" s="236"/>
      <c r="AI5" s="236"/>
    </row>
    <row r="6" s="122" customFormat="1" ht="15.75" customHeight="1">
      <c r="B6" s="723"/>
      <c r="C6" s="723"/>
      <c r="D6" s="237"/>
      <c r="E6" s="749" t="s">
        <v>42</v>
      </c>
      <c r="F6" s="711" t="s">
        <v>24</v>
      </c>
      <c r="G6" s="751" t="s">
        <v>37</v>
      </c>
      <c r="H6" s="724" t="s">
        <v>24</v>
      </c>
      <c r="I6" s="751" t="s">
        <v>44</v>
      </c>
      <c r="J6" s="711" t="s">
        <v>24</v>
      </c>
      <c r="K6" s="751" t="s">
        <v>45</v>
      </c>
      <c r="L6" s="711" t="s">
        <v>24</v>
      </c>
      <c r="M6" s="538"/>
      <c r="N6" s="711" t="s">
        <v>63</v>
      </c>
      <c r="O6" s="710" t="s">
        <v>64</v>
      </c>
      <c r="P6" s="754"/>
      <c r="Q6" s="710" t="s">
        <v>65</v>
      </c>
      <c r="R6" s="754"/>
      <c r="S6" s="710" t="s">
        <v>66</v>
      </c>
      <c r="T6" s="754"/>
      <c r="V6" s="236"/>
      <c r="W6" s="236"/>
      <c r="X6" s="236"/>
      <c r="Y6" s="236"/>
      <c r="Z6" s="236"/>
      <c r="AA6" s="236"/>
      <c r="AB6" s="236"/>
      <c r="AC6" s="236"/>
      <c r="AD6" s="236"/>
      <c r="AE6" s="236"/>
      <c r="AF6" s="236"/>
      <c r="AG6" s="236"/>
      <c r="AH6" s="236"/>
      <c r="AI6" s="236"/>
    </row>
    <row r="7" s="122" customFormat="1" ht="24" customHeight="1">
      <c r="B7" s="776"/>
      <c r="C7" s="776"/>
      <c r="D7" s="237"/>
      <c r="E7" s="940"/>
      <c r="F7" s="939"/>
      <c r="G7" s="943"/>
      <c r="H7" s="952"/>
      <c r="I7" s="943"/>
      <c r="J7" s="939"/>
      <c r="K7" s="943"/>
      <c r="L7" s="939"/>
      <c r="M7" s="539"/>
      <c r="N7" s="939"/>
      <c r="O7" s="845"/>
      <c r="P7" s="944"/>
      <c r="Q7" s="845"/>
      <c r="R7" s="944"/>
      <c r="S7" s="845"/>
      <c r="T7" s="944"/>
      <c r="V7" s="236"/>
      <c r="W7" s="236"/>
      <c r="X7" s="236"/>
      <c r="Y7" s="236"/>
      <c r="Z7" s="236"/>
      <c r="AA7" s="236"/>
      <c r="AB7" s="236"/>
      <c r="AC7" s="236"/>
      <c r="AD7" s="236"/>
      <c r="AE7" s="236"/>
      <c r="AF7" s="236"/>
      <c r="AG7" s="236"/>
      <c r="AH7" s="236"/>
      <c r="AI7" s="236"/>
    </row>
    <row r="8" ht="20.1" customHeight="1">
      <c r="B8" s="717" t="s">
        <v>149</v>
      </c>
      <c r="C8" s="347"/>
      <c r="D8" s="345"/>
      <c r="E8" s="238">
        <v>63.002787733970529669454400640</v>
      </c>
      <c r="F8" s="239">
        <v>5.748663101639409816551814700</v>
      </c>
      <c r="G8" s="238">
        <v>60.837216907857084457525958630</v>
      </c>
      <c r="H8" s="239">
        <v>-0.8566757684185974680627059200</v>
      </c>
      <c r="I8" s="238">
        <v>65.955448201825013419216317770</v>
      </c>
      <c r="J8" s="239">
        <v>-0.0203417411882149815848063500</v>
      </c>
      <c r="K8" s="238">
        <v>61.444275325553864366649754780</v>
      </c>
      <c r="L8" s="239">
        <v>-0.9312565235606886750702825700</v>
      </c>
      <c r="M8" s="540"/>
      <c r="N8" s="536">
        <v>0</v>
      </c>
      <c r="O8" s="178"/>
      <c r="P8" s="178">
        <v>-0.6578947368421052631578947400</v>
      </c>
      <c r="Q8" s="178"/>
      <c r="R8" s="178">
        <v>0</v>
      </c>
      <c r="S8" s="178"/>
      <c r="T8" s="249">
        <v>-0.2732240437158469945355191300</v>
      </c>
    </row>
    <row r="9" ht="20.1" customHeight="1">
      <c r="B9" s="708" t="s">
        <v>150</v>
      </c>
      <c r="C9" s="950"/>
      <c r="D9" s="345"/>
      <c r="E9" s="240">
        <v>58.153316036418857722663724830</v>
      </c>
      <c r="F9" s="241">
        <v>4.7575464911458974370808530700</v>
      </c>
      <c r="G9" s="240">
        <v>53.865170336460009493054369940</v>
      </c>
      <c r="H9" s="241">
        <v>3.6918453540436732919374722900</v>
      </c>
      <c r="I9" s="240">
        <v>57.652426302896719222458731070</v>
      </c>
      <c r="J9" s="241">
        <v>4.1259225523533942861156563600</v>
      </c>
      <c r="K9" s="240">
        <v>52.637572737818608377508336130</v>
      </c>
      <c r="L9" s="241">
        <v>-1.3991561061303328379388433200</v>
      </c>
      <c r="M9" s="540"/>
      <c r="N9" s="121">
        <v>0.522026992615227909345556400</v>
      </c>
      <c r="O9" s="179"/>
      <c r="P9" s="179">
        <v>0.3726885675381523947746282200</v>
      </c>
      <c r="Q9" s="179"/>
      <c r="R9" s="179">
        <v>0.4471111127514437746761137500</v>
      </c>
      <c r="S9" s="179"/>
      <c r="T9" s="248">
        <v>0.0681866048404306347691791400</v>
      </c>
    </row>
    <row r="10" ht="20.1" customHeight="1">
      <c r="B10" s="706" t="s">
        <v>151</v>
      </c>
      <c r="C10" s="949"/>
      <c r="D10" s="345"/>
      <c r="E10" s="242">
        <v>66.252652040152679565345538600</v>
      </c>
      <c r="F10" s="243">
        <v>2.6062569247271696322960854600</v>
      </c>
      <c r="G10" s="242">
        <v>61.690040563025045292109594080</v>
      </c>
      <c r="H10" s="243">
        <v>0.3066263495712560072176153200</v>
      </c>
      <c r="I10" s="242">
        <v>65.69894630879106780402593600</v>
      </c>
      <c r="J10" s="243">
        <v>0.6444557164753208366005228500</v>
      </c>
      <c r="K10" s="242">
        <v>60.713098671808466829075976870</v>
      </c>
      <c r="L10" s="243">
        <v>-1.781036101241029824792717400</v>
      </c>
      <c r="M10" s="540"/>
      <c r="N10" s="536">
        <v>2.00261880921204652237541400</v>
      </c>
      <c r="O10" s="178"/>
      <c r="P10" s="178">
        <v>1.4431787576818549078177411100</v>
      </c>
      <c r="Q10" s="178"/>
      <c r="R10" s="178">
        <v>1.7983382952288778971832731100</v>
      </c>
      <c r="S10" s="178"/>
      <c r="T10" s="249">
        <v>0.847734361247874761388274900</v>
      </c>
    </row>
    <row r="11" ht="20.1" customHeight="1">
      <c r="B11" s="708" t="s">
        <v>152</v>
      </c>
      <c r="C11" s="950"/>
      <c r="D11" s="345"/>
      <c r="E11" s="240">
        <v>56.619094167481264255457803840</v>
      </c>
      <c r="F11" s="241">
        <v>-1.406707892906888384041763800</v>
      </c>
      <c r="G11" s="240">
        <v>53.432359717098161782474907770</v>
      </c>
      <c r="H11" s="241">
        <v>2.9086195726626166771601655500</v>
      </c>
      <c r="I11" s="240">
        <v>56.053123792424026482554338160</v>
      </c>
      <c r="J11" s="241">
        <v>0.1872065300334720623727876400</v>
      </c>
      <c r="K11" s="240">
        <v>52.062051823705103478488465990</v>
      </c>
      <c r="L11" s="241">
        <v>-0.1924220655626587949844991600</v>
      </c>
      <c r="M11" s="540"/>
      <c r="N11" s="121">
        <v>1.282226162870004092211158100</v>
      </c>
      <c r="O11" s="179"/>
      <c r="P11" s="179">
        <v>0.7608845632511784827581231200</v>
      </c>
      <c r="Q11" s="179"/>
      <c r="R11" s="179">
        <v>0.9114065937976312621209515300</v>
      </c>
      <c r="S11" s="179"/>
      <c r="T11" s="248">
        <v>-0.5759721005670025273525843300</v>
      </c>
    </row>
    <row r="12" ht="20.1" customHeight="1">
      <c r="B12" s="706" t="s">
        <v>153</v>
      </c>
      <c r="C12" s="949"/>
      <c r="D12" s="345"/>
      <c r="E12" s="242">
        <v>64.397314798312837877977781740</v>
      </c>
      <c r="F12" s="243">
        <v>-7.8284642421800752834230992800</v>
      </c>
      <c r="G12" s="242">
        <v>60.389559415170248258267098420</v>
      </c>
      <c r="H12" s="243">
        <v>-3.2542533308742568058983249500</v>
      </c>
      <c r="I12" s="242">
        <v>63.006645848346544959564416690</v>
      </c>
      <c r="J12" s="243">
        <v>-5.9338709175077966115765636600</v>
      </c>
      <c r="K12" s="242">
        <v>59.616080608677770923298375490</v>
      </c>
      <c r="L12" s="243">
        <v>-3.1409479105501676007431517500</v>
      </c>
      <c r="M12" s="540"/>
      <c r="N12" s="536">
        <v>2.8409090909090909090909090900</v>
      </c>
      <c r="O12" s="178"/>
      <c r="P12" s="178">
        <v>2.249724710350138334616764200</v>
      </c>
      <c r="Q12" s="178"/>
      <c r="R12" s="178">
        <v>2.8409090909090909090909090900</v>
      </c>
      <c r="S12" s="178"/>
      <c r="T12" s="249">
        <v>0.1436359985790847452391616600</v>
      </c>
    </row>
    <row r="13" ht="20.1" customHeight="1">
      <c r="B13" s="734" t="s">
        <v>74</v>
      </c>
      <c r="C13" s="946"/>
      <c r="D13" s="345"/>
      <c r="E13" s="244">
        <v>48.187749184487133019209858640</v>
      </c>
      <c r="F13" s="245">
        <v>8.388816305202113669216886170</v>
      </c>
      <c r="G13" s="244">
        <v>40.572215194582930277550412980</v>
      </c>
      <c r="H13" s="245">
        <v>0.4235088605089654025886018800</v>
      </c>
      <c r="I13" s="244">
        <v>47.097378277153558052434456930</v>
      </c>
      <c r="J13" s="245">
        <v>1.8751428836852244956172443200</v>
      </c>
      <c r="K13" s="244">
        <v>40.636921182557630148826085410</v>
      </c>
      <c r="L13" s="245">
        <v>-10.337007136185103435483330930</v>
      </c>
      <c r="M13" s="540"/>
      <c r="N13" s="333">
        <v>0</v>
      </c>
      <c r="O13" s="250"/>
      <c r="P13" s="250">
        <v>-0.032889501883189220730995700</v>
      </c>
      <c r="Q13" s="250"/>
      <c r="R13" s="250">
        <v>0</v>
      </c>
      <c r="S13" s="250"/>
      <c r="T13" s="251">
        <v>-0.1074537839082476261485493700</v>
      </c>
    </row>
    <row r="14" ht="9.95" customHeight="1">
      <c r="B14" s="54"/>
      <c r="C14" s="54"/>
      <c r="D14" s="54"/>
      <c r="E14" s="535"/>
      <c r="F14" s="535"/>
      <c r="G14" s="535"/>
      <c r="H14" s="535"/>
      <c r="I14" s="535"/>
      <c r="J14" s="535"/>
      <c r="K14" s="535"/>
      <c r="L14" s="535"/>
      <c r="M14" s="156"/>
      <c r="N14" s="156"/>
      <c r="O14" s="156"/>
      <c r="P14" s="156"/>
      <c r="Q14" s="156"/>
      <c r="R14" s="156"/>
      <c r="S14" s="156"/>
      <c r="T14" s="156"/>
    </row>
    <row r="15" ht="21" customHeight="1">
      <c r="B15" s="4"/>
      <c r="C15" s="4"/>
      <c r="D15" s="54"/>
      <c r="E15" s="719" t="s">
        <v>90</v>
      </c>
      <c r="F15" s="719"/>
      <c r="G15" s="719"/>
      <c r="H15" s="719"/>
      <c r="I15" s="719"/>
      <c r="J15" s="719"/>
      <c r="K15" s="719"/>
      <c r="L15" s="942"/>
      <c r="M15" s="537"/>
      <c r="N15" s="719" t="s">
        <v>29</v>
      </c>
      <c r="O15" s="719"/>
      <c r="P15" s="719"/>
      <c r="Q15" s="719"/>
      <c r="R15" s="719"/>
      <c r="S15" s="719"/>
      <c r="T15" s="942"/>
    </row>
    <row r="16" ht="22.5" customHeight="1">
      <c r="B16" s="4"/>
      <c r="C16" s="4"/>
      <c r="D16" s="54"/>
      <c r="E16" s="749" t="s">
        <v>42</v>
      </c>
      <c r="F16" s="711" t="s">
        <v>24</v>
      </c>
      <c r="G16" s="749" t="s">
        <v>37</v>
      </c>
      <c r="H16" s="711" t="s">
        <v>24</v>
      </c>
      <c r="I16" s="749" t="s">
        <v>44</v>
      </c>
      <c r="J16" s="711" t="s">
        <v>24</v>
      </c>
      <c r="K16" s="749" t="s">
        <v>45</v>
      </c>
      <c r="L16" s="711" t="s">
        <v>24</v>
      </c>
      <c r="M16" s="538"/>
      <c r="N16" s="754" t="s">
        <v>63</v>
      </c>
      <c r="O16" s="710" t="s">
        <v>64</v>
      </c>
      <c r="P16" s="754"/>
      <c r="Q16" s="710" t="s">
        <v>65</v>
      </c>
      <c r="R16" s="754"/>
      <c r="S16" s="710" t="s">
        <v>66</v>
      </c>
      <c r="T16" s="754"/>
    </row>
    <row r="17" ht="18.75" customHeight="1">
      <c r="B17" s="4"/>
      <c r="C17" s="4"/>
      <c r="D17" s="54"/>
      <c r="E17" s="940"/>
      <c r="F17" s="939"/>
      <c r="G17" s="940"/>
      <c r="H17" s="939"/>
      <c r="I17" s="940"/>
      <c r="J17" s="939"/>
      <c r="K17" s="940"/>
      <c r="L17" s="939"/>
      <c r="M17" s="539"/>
      <c r="N17" s="944"/>
      <c r="O17" s="845"/>
      <c r="P17" s="944"/>
      <c r="Q17" s="845"/>
      <c r="R17" s="944"/>
      <c r="S17" s="845"/>
      <c r="T17" s="944"/>
    </row>
    <row r="18" ht="20.1" customHeight="1">
      <c r="B18" s="736" t="s">
        <v>149</v>
      </c>
      <c r="C18" s="348"/>
      <c r="D18" s="345"/>
      <c r="E18" s="253">
        <v>130.45032237673830594184576485</v>
      </c>
      <c r="F18" s="239">
        <v>-2.0476241459962200991155044900</v>
      </c>
      <c r="G18" s="253">
        <v>124.36062760381669130493213278</v>
      </c>
      <c r="H18" s="239">
        <v>-2.2620491711906697998813980800</v>
      </c>
      <c r="I18" s="253">
        <v>128.31372126144455747711088505</v>
      </c>
      <c r="J18" s="239">
        <v>-4.6242293489084004925880219200</v>
      </c>
      <c r="K18" s="253">
        <v>125.83293900693603434988439943</v>
      </c>
      <c r="L18" s="239">
        <v>0.9067356688144103285096553800</v>
      </c>
      <c r="M18" s="540"/>
      <c r="N18" s="238">
        <v>5.7486631016042780748663101600</v>
      </c>
      <c r="O18" s="246"/>
      <c r="P18" s="246">
        <v>-1.5089344804765056254136333600</v>
      </c>
      <c r="Q18" s="246"/>
      <c r="R18" s="246">
        <v>-0.0203417412530512611879576900</v>
      </c>
      <c r="S18" s="246"/>
      <c r="T18" s="247">
        <v>-1.2019361505411431989992929800</v>
      </c>
    </row>
    <row r="19" ht="20.1" customHeight="1">
      <c r="B19" s="730" t="s">
        <v>150</v>
      </c>
      <c r="C19" s="941"/>
      <c r="D19" s="345"/>
      <c r="E19" s="254">
        <v>113.4007897288410284274278541</v>
      </c>
      <c r="F19" s="241">
        <v>0.8441527222510453429598977600</v>
      </c>
      <c r="G19" s="254">
        <v>107.28168488929913285404126419</v>
      </c>
      <c r="H19" s="241">
        <v>0.6926950932345464727833148900</v>
      </c>
      <c r="I19" s="254">
        <v>110.74395160808475755048193549</v>
      </c>
      <c r="J19" s="241">
        <v>-0.335408028984153066701592700</v>
      </c>
      <c r="K19" s="254">
        <v>109.780348444862838012936118</v>
      </c>
      <c r="L19" s="241">
        <v>2.6143001806704470052709920500</v>
      </c>
      <c r="M19" s="540"/>
      <c r="N19" s="240">
        <v>5.3044091606366869392365478400</v>
      </c>
      <c r="O19" s="179"/>
      <c r="P19" s="179">
        <v>4.078293007206284180732708800</v>
      </c>
      <c r="Q19" s="179"/>
      <c r="R19" s="179">
        <v>4.5914811233461914857894432100</v>
      </c>
      <c r="S19" s="179"/>
      <c r="T19" s="248">
        <v>-1.3319235384113128867410026900</v>
      </c>
    </row>
    <row r="20" ht="20.1" customHeight="1">
      <c r="B20" s="532" t="s">
        <v>151</v>
      </c>
      <c r="C20" s="345"/>
      <c r="D20" s="345"/>
      <c r="E20" s="255">
        <v>125.72006588501740879226733434</v>
      </c>
      <c r="F20" s="243">
        <v>3.2610334840683844286786508400</v>
      </c>
      <c r="G20" s="255">
        <v>119.19108459365944908364000929</v>
      </c>
      <c r="H20" s="243">
        <v>2.6396034350314316736195684800</v>
      </c>
      <c r="I20" s="255">
        <v>123.05008111721437477154488236</v>
      </c>
      <c r="J20" s="243">
        <v>1.9909809354634842917867075100</v>
      </c>
      <c r="K20" s="255">
        <v>120.09783011384138229274836179</v>
      </c>
      <c r="L20" s="243">
        <v>1.9312414415462929153686561800</v>
      </c>
      <c r="M20" s="540"/>
      <c r="N20" s="242">
        <v>4.6610691252751312164262956200</v>
      </c>
      <c r="O20" s="178"/>
      <c r="P20" s="178">
        <v>1.7542302735142828232897685500</v>
      </c>
      <c r="Q20" s="178"/>
      <c r="R20" s="178">
        <v>2.4543835055988980475999317700</v>
      </c>
      <c r="S20" s="178"/>
      <c r="T20" s="249">
        <v>-0.9484001949388872045265655400</v>
      </c>
    </row>
    <row r="21" ht="20.1" customHeight="1">
      <c r="B21" s="730" t="s">
        <v>152</v>
      </c>
      <c r="C21" s="941"/>
      <c r="D21" s="345"/>
      <c r="E21" s="254">
        <v>101.7388642066250776915816855</v>
      </c>
      <c r="F21" s="241">
        <v>-0.6682165690955644464382423700</v>
      </c>
      <c r="G21" s="254">
        <v>98.33574879227053140096618357</v>
      </c>
      <c r="H21" s="241">
        <v>0.7589790138172820987227493200</v>
      </c>
      <c r="I21" s="254">
        <v>99.71253247076648047035756507</v>
      </c>
      <c r="J21" s="241">
        <v>-0.4430749410766524102160217400</v>
      </c>
      <c r="K21" s="254">
        <v>98.89755191397113355011694906</v>
      </c>
      <c r="L21" s="241">
        <v>1.0105430884654032198686088200</v>
      </c>
      <c r="M21" s="540"/>
      <c r="N21" s="240">
        <v>-0.1425189067420637657173068500</v>
      </c>
      <c r="O21" s="179"/>
      <c r="P21" s="179">
        <v>3.6916353732800216766770765700</v>
      </c>
      <c r="Q21" s="179"/>
      <c r="R21" s="179">
        <v>1.1003193364162768818985278700</v>
      </c>
      <c r="S21" s="179"/>
      <c r="T21" s="248">
        <v>-0.7672858686506793625363811500</v>
      </c>
    </row>
    <row r="22" ht="20.1" customHeight="1">
      <c r="B22" s="532" t="s">
        <v>153</v>
      </c>
      <c r="C22" s="345"/>
      <c r="D22" s="345"/>
      <c r="E22" s="255">
        <v>122.15769372693726937269372694</v>
      </c>
      <c r="F22" s="243">
        <v>1.1698104980052314147281425400</v>
      </c>
      <c r="G22" s="255">
        <v>119.34948735030791479128414279</v>
      </c>
      <c r="H22" s="243">
        <v>3.541109055218348332511490800</v>
      </c>
      <c r="I22" s="255">
        <v>121.01178055382582063566699285</v>
      </c>
      <c r="J22" s="243">
        <v>2.2311305809076409970105272200</v>
      </c>
      <c r="K22" s="255">
        <v>119.64737179774622041784949278</v>
      </c>
      <c r="L22" s="243">
        <v>3.0715011601759036400280349900</v>
      </c>
      <c r="M22" s="540"/>
      <c r="N22" s="242">
        <v>-5.2099547036499414120568740300</v>
      </c>
      <c r="O22" s="178"/>
      <c r="P22" s="178">
        <v>-1.0777403618185763540067670200</v>
      </c>
      <c r="Q22" s="178"/>
      <c r="R22" s="178">
        <v>-3.2615377049986476850827370900</v>
      </c>
      <c r="S22" s="178"/>
      <c r="T22" s="249">
        <v>-3.0018234437994546397443832900</v>
      </c>
    </row>
    <row r="23" ht="20.1" customHeight="1">
      <c r="B23" s="726" t="s">
        <v>74</v>
      </c>
      <c r="C23" s="349"/>
      <c r="D23" s="345"/>
      <c r="E23" s="256">
        <v>126.64696377084116835903221764</v>
      </c>
      <c r="F23" s="245">
        <v>9.439416228959013645638995890</v>
      </c>
      <c r="G23" s="256">
        <v>121.03416353354730246064496409</v>
      </c>
      <c r="H23" s="245">
        <v>9.098670851357441249111327970</v>
      </c>
      <c r="I23" s="256">
        <v>123.99039718212464344368571183</v>
      </c>
      <c r="J23" s="245">
        <v>8.119997627006499580536763610</v>
      </c>
      <c r="K23" s="256">
        <v>119.9822158459915089341687462</v>
      </c>
      <c r="L23" s="245">
        <v>10.235780301696399316016518230</v>
      </c>
      <c r="M23" s="540"/>
      <c r="N23" s="244">
        <v>8.388816305199895479487849480</v>
      </c>
      <c r="O23" s="250"/>
      <c r="P23" s="250">
        <v>0.3904800686187535159685993700</v>
      </c>
      <c r="Q23" s="250"/>
      <c r="R23" s="250">
        <v>1.8751428837540113290940958300</v>
      </c>
      <c r="S23" s="250"/>
      <c r="T23" s="251">
        <v>-10.433353414790390337326503660</v>
      </c>
    </row>
    <row r="24" ht="9.95" customHeight="1">
      <c r="B24" s="54"/>
      <c r="C24" s="54"/>
      <c r="D24" s="54"/>
      <c r="E24" s="535"/>
      <c r="F24" s="535"/>
      <c r="G24" s="535"/>
      <c r="H24" s="535"/>
      <c r="I24" s="535"/>
      <c r="J24" s="535"/>
      <c r="K24" s="535"/>
      <c r="L24" s="535"/>
      <c r="M24" s="156"/>
      <c r="N24" s="156"/>
      <c r="O24" s="156"/>
      <c r="P24" s="156"/>
      <c r="Q24" s="156"/>
      <c r="R24" s="156"/>
      <c r="S24" s="156"/>
      <c r="T24" s="156"/>
    </row>
    <row r="25" s="122" customFormat="1" ht="21" customHeight="1">
      <c r="B25" s="163"/>
      <c r="C25" s="163"/>
      <c r="D25" s="237"/>
      <c r="E25" s="719" t="s">
        <v>10</v>
      </c>
      <c r="F25" s="719"/>
      <c r="G25" s="719"/>
      <c r="H25" s="719"/>
      <c r="I25" s="719"/>
      <c r="J25" s="719"/>
      <c r="K25" s="719"/>
      <c r="L25" s="942"/>
      <c r="M25" s="537"/>
      <c r="N25" s="719" t="s">
        <v>38</v>
      </c>
      <c r="O25" s="719"/>
      <c r="P25" s="719"/>
      <c r="Q25" s="719"/>
      <c r="R25" s="719"/>
      <c r="S25" s="719"/>
      <c r="T25" s="942"/>
      <c r="V25" s="236"/>
      <c r="W25" s="236"/>
      <c r="X25" s="236"/>
      <c r="Y25" s="236"/>
      <c r="Z25" s="236"/>
      <c r="AA25" s="236"/>
      <c r="AB25" s="236"/>
      <c r="AC25" s="236"/>
      <c r="AD25" s="236"/>
      <c r="AE25" s="236"/>
      <c r="AF25" s="236"/>
      <c r="AG25" s="236"/>
      <c r="AH25" s="236"/>
      <c r="AI25" s="236"/>
    </row>
    <row r="26" s="122" customFormat="1" ht="19.5" customHeight="1">
      <c r="B26" s="163"/>
      <c r="C26" s="163"/>
      <c r="D26" s="237"/>
      <c r="E26" s="749" t="s">
        <v>42</v>
      </c>
      <c r="F26" s="711" t="s">
        <v>24</v>
      </c>
      <c r="G26" s="749" t="s">
        <v>37</v>
      </c>
      <c r="H26" s="711" t="s">
        <v>24</v>
      </c>
      <c r="I26" s="749" t="s">
        <v>44</v>
      </c>
      <c r="J26" s="711" t="s">
        <v>24</v>
      </c>
      <c r="K26" s="749" t="s">
        <v>45</v>
      </c>
      <c r="L26" s="711" t="s">
        <v>24</v>
      </c>
      <c r="M26" s="538"/>
      <c r="N26" s="754" t="s">
        <v>63</v>
      </c>
      <c r="O26" s="710" t="s">
        <v>64</v>
      </c>
      <c r="P26" s="754"/>
      <c r="Q26" s="710" t="s">
        <v>65</v>
      </c>
      <c r="R26" s="754"/>
      <c r="S26" s="710" t="s">
        <v>66</v>
      </c>
      <c r="T26" s="754"/>
      <c r="V26" s="236"/>
      <c r="W26" s="236"/>
      <c r="X26" s="236"/>
      <c r="Y26" s="236"/>
      <c r="Z26" s="236"/>
      <c r="AA26" s="236"/>
      <c r="AB26" s="236"/>
      <c r="AC26" s="236"/>
      <c r="AD26" s="236"/>
      <c r="AE26" s="236"/>
      <c r="AF26" s="236"/>
      <c r="AG26" s="236"/>
      <c r="AH26" s="236"/>
      <c r="AI26" s="236"/>
    </row>
    <row r="27" s="122" customFormat="1" ht="25.5" customHeight="1">
      <c r="B27" s="163"/>
      <c r="C27" s="163"/>
      <c r="D27" s="237"/>
      <c r="E27" s="940"/>
      <c r="F27" s="939"/>
      <c r="G27" s="940"/>
      <c r="H27" s="939"/>
      <c r="I27" s="940"/>
      <c r="J27" s="939"/>
      <c r="K27" s="940"/>
      <c r="L27" s="939"/>
      <c r="M27" s="539"/>
      <c r="N27" s="944"/>
      <c r="O27" s="845"/>
      <c r="P27" s="944"/>
      <c r="Q27" s="845"/>
      <c r="R27" s="944"/>
      <c r="S27" s="845"/>
      <c r="T27" s="944"/>
      <c r="V27" s="236"/>
      <c r="W27" s="236"/>
      <c r="X27" s="236"/>
      <c r="Y27" s="236"/>
      <c r="Z27" s="236"/>
      <c r="AA27" s="236"/>
      <c r="AB27" s="236"/>
      <c r="AC27" s="236"/>
      <c r="AD27" s="236"/>
      <c r="AE27" s="236"/>
      <c r="AF27" s="236"/>
      <c r="AG27" s="236"/>
      <c r="AH27" s="236"/>
      <c r="AI27" s="236"/>
    </row>
    <row r="28" ht="20.1" customHeight="1">
      <c r="B28" s="736" t="s">
        <v>149</v>
      </c>
      <c r="C28" s="348"/>
      <c r="D28" s="345"/>
      <c r="E28" s="253">
        <v>82.18733970529669454400637196</v>
      </c>
      <c r="F28" s="239">
        <v>3.5833279418019689383900145300</v>
      </c>
      <c r="G28" s="253">
        <v>75.65754476330635271032622026</v>
      </c>
      <c r="H28" s="239">
        <v>-3.0993465124591959653202519500</v>
      </c>
      <c r="I28" s="253">
        <v>84.62988996242619431025228127</v>
      </c>
      <c r="J28" s="239">
        <v>-4.6436304413642630299815340500</v>
      </c>
      <c r="K28" s="253">
        <v>77.317137493658041603247082699</v>
      </c>
      <c r="L28" s="239">
        <v>-0.0329648897621916633895645500</v>
      </c>
      <c r="M28" s="540"/>
      <c r="N28" s="238">
        <v>3.5833279418297841178401815800</v>
      </c>
      <c r="O28" s="246"/>
      <c r="P28" s="246">
        <v>-3.7368508117711650991088656400</v>
      </c>
      <c r="Q28" s="246"/>
      <c r="R28" s="246">
        <v>-4.6436304413621291769256802500</v>
      </c>
      <c r="S28" s="246"/>
      <c r="T28" s="247">
        <v>-0.3060988655277905722269902500</v>
      </c>
    </row>
    <row r="29" ht="20.1" customHeight="1">
      <c r="B29" s="730" t="s">
        <v>150</v>
      </c>
      <c r="C29" s="941"/>
      <c r="D29" s="345"/>
      <c r="E29" s="254">
        <v>65.946319638807738666775623608</v>
      </c>
      <c r="F29" s="241">
        <v>5.6418601715781390357073285800</v>
      </c>
      <c r="G29" s="254">
        <v>57.787462305445256883199716749</v>
      </c>
      <c r="H29" s="241">
        <v>4.4101136789869241167155598700</v>
      </c>
      <c r="I29" s="254">
        <v>63.846575085766671022267069342</v>
      </c>
      <c r="J29" s="241">
        <v>3.7766758478861721463379469500</v>
      </c>
      <c r="K29" s="254">
        <v>57.785710764495395828169224179</v>
      </c>
      <c r="L29" s="241">
        <v>1.1785659337589742359306853700</v>
      </c>
      <c r="M29" s="540"/>
      <c r="N29" s="240">
        <v>6.1933391972029756314732615500</v>
      </c>
      <c r="O29" s="179"/>
      <c r="P29" s="179">
        <v>4.7992382360212368876619312100</v>
      </c>
      <c r="Q29" s="179"/>
      <c r="R29" s="179">
        <v>4.2406728980279878663507894700</v>
      </c>
      <c r="S29" s="179"/>
      <c r="T29" s="248">
        <v>1.2475561627824123469328402500</v>
      </c>
    </row>
    <row r="30" ht="20.1" customHeight="1">
      <c r="B30" s="532" t="s">
        <v>151</v>
      </c>
      <c r="C30" s="345"/>
      <c r="D30" s="345"/>
      <c r="E30" s="255">
        <v>83.29287779545127919071061279</v>
      </c>
      <c r="F30" s="243">
        <v>5.9522813197632526495973973100</v>
      </c>
      <c r="G30" s="255">
        <v>73.529028433338009621084928928</v>
      </c>
      <c r="H30" s="243">
        <v>2.9543235040679657569593140400</v>
      </c>
      <c r="I30" s="255">
        <v>80.84260672612252820096125061</v>
      </c>
      <c r="J30" s="243">
        <v>2.6482676422816433212917351800</v>
      </c>
      <c r="K30" s="255">
        <v>72.915114099717421178737062058</v>
      </c>
      <c r="L30" s="243">
        <v>0.1158092330711076101273056100</v>
      </c>
      <c r="M30" s="540"/>
      <c r="N30" s="242">
        <v>8.074101634262269704128105320</v>
      </c>
      <c r="O30" s="178"/>
      <c r="P30" s="178">
        <v>4.4401384310604161506636764700</v>
      </c>
      <c r="Q30" s="178"/>
      <c r="R30" s="178">
        <v>4.4942307487059755400260478100</v>
      </c>
      <c r="S30" s="178"/>
      <c r="T30" s="249">
        <v>0.9645253490049878437599142300</v>
      </c>
    </row>
    <row r="31" ht="20.1" customHeight="1">
      <c r="B31" s="730" t="s">
        <v>152</v>
      </c>
      <c r="C31" s="941"/>
      <c r="D31" s="345"/>
      <c r="E31" s="254">
        <v>57.60362333007494297816878462</v>
      </c>
      <c r="F31" s="241">
        <v>-2.0655246068867653580142623800</v>
      </c>
      <c r="G31" s="254">
        <v>52.543111025188001553776231162</v>
      </c>
      <c r="H31" s="241">
        <v>3.6896743987056704594137117300</v>
      </c>
      <c r="I31" s="254">
        <v>55.891989262399739053392673219</v>
      </c>
      <c r="J31" s="241">
        <v>-0.2566978763935208073462355100</v>
      </c>
      <c r="K31" s="254">
        <v>51.488094729827310004807772628</v>
      </c>
      <c r="L31" s="241">
        <v>0.8161765151929810791517114900</v>
      </c>
      <c r="M31" s="540"/>
      <c r="N31" s="240">
        <v>-0.8097831409052589259991595800</v>
      </c>
      <c r="O31" s="179"/>
      <c r="P31" s="179">
        <v>4.4786331248059109601841634800</v>
      </c>
      <c r="Q31" s="179"/>
      <c r="R31" s="179">
        <v>0.6523691560652566544614746900</v>
      </c>
      <c r="S31" s="179"/>
      <c r="T31" s="248">
        <v>0.2355034655493200745659668600</v>
      </c>
    </row>
    <row r="32" ht="20.1" customHeight="1">
      <c r="B32" s="532" t="s">
        <v>153</v>
      </c>
      <c r="C32" s="345"/>
      <c r="D32" s="345"/>
      <c r="E32" s="255">
        <v>78.66627457969464741876076754</v>
      </c>
      <c r="F32" s="243">
        <v>-6.7502319407948280904970464600</v>
      </c>
      <c r="G32" s="255">
        <v>72.074629575115297811794720832</v>
      </c>
      <c r="H32" s="243">
        <v>0.1716190649944960662025289200</v>
      </c>
      <c r="I32" s="255">
        <v>76.2454640083273280486828409</v>
      </c>
      <c r="J32" s="243">
        <v>-3.835132745293495726469049600</v>
      </c>
      <c r="K32" s="255">
        <v>71.329073617108780588114332716</v>
      </c>
      <c r="L32" s="243">
        <v>-0.1659210018736700868148604700</v>
      </c>
      <c r="M32" s="540"/>
      <c r="N32" s="242">
        <v>-4.1010908026981108299573151600</v>
      </c>
      <c r="O32" s="178"/>
      <c r="P32" s="178">
        <v>2.4252047318659935862976521800</v>
      </c>
      <c r="Q32" s="178"/>
      <c r="R32" s="178">
        <v>-1.1031762892213238894406931200</v>
      </c>
      <c r="S32" s="178"/>
      <c r="T32" s="249">
        <v>-0.0225233255271494341441394300</v>
      </c>
    </row>
    <row r="33" ht="20.1" customHeight="1">
      <c r="B33" s="726" t="s">
        <v>74</v>
      </c>
      <c r="C33" s="349"/>
      <c r="D33" s="345"/>
      <c r="E33" s="256">
        <v>61.028321251661229914220128066</v>
      </c>
      <c r="F33" s="245">
        <v>18.620087821989627319137104430</v>
      </c>
      <c r="G33" s="256">
        <v>49.10624128779423072153186001</v>
      </c>
      <c r="H33" s="245">
        <v>9.560713388983818036466630980</v>
      </c>
      <c r="I33" s="256">
        <v>58.396226388210389187428757532</v>
      </c>
      <c r="J33" s="245">
        <v>10.147402068495265196964118560</v>
      </c>
      <c r="K33" s="256">
        <v>48.757078486421741000777479149</v>
      </c>
      <c r="L33" s="245">
        <v>-1.1593001747491801632473884300</v>
      </c>
      <c r="M33" s="540"/>
      <c r="N33" s="244">
        <v>18.620087821927648668200043970</v>
      </c>
      <c r="O33" s="250"/>
      <c r="P33" s="250">
        <v>9.524679416189132945276570400</v>
      </c>
      <c r="Q33" s="250"/>
      <c r="R33" s="250">
        <v>10.147402068466081397310415920</v>
      </c>
      <c r="S33" s="250"/>
      <c r="T33" s="251">
        <v>-1.2655082467685140788899264600</v>
      </c>
    </row>
    <row r="34" ht="9.95" customHeight="1">
      <c r="B34" s="54"/>
      <c r="C34" s="54"/>
      <c r="D34" s="54"/>
      <c r="E34" s="535"/>
      <c r="F34" s="535"/>
      <c r="G34" s="535"/>
      <c r="H34" s="535"/>
      <c r="I34" s="535"/>
      <c r="J34" s="535"/>
      <c r="K34" s="535"/>
      <c r="L34" s="535"/>
      <c r="M34" s="156"/>
      <c r="N34" s="156"/>
      <c r="O34" s="156"/>
      <c r="P34" s="156"/>
      <c r="Q34" s="156"/>
      <c r="R34" s="156"/>
      <c r="S34" s="156"/>
      <c r="T34" s="156"/>
    </row>
    <row r="35" ht="21" customHeight="1">
      <c r="B35" s="9"/>
      <c r="C35" s="155"/>
      <c r="D35" s="252"/>
      <c r="E35" s="719" t="s">
        <v>30</v>
      </c>
      <c r="F35" s="719"/>
      <c r="G35" s="719"/>
      <c r="H35" s="719"/>
      <c r="I35" s="719"/>
      <c r="J35" s="719"/>
      <c r="K35" s="719"/>
      <c r="L35" s="942"/>
      <c r="M35" s="124"/>
      <c r="N35" s="756" t="s">
        <v>56</v>
      </c>
      <c r="O35" s="756"/>
      <c r="P35" s="756"/>
      <c r="Q35" s="756"/>
      <c r="R35" s="756"/>
      <c r="S35" s="756"/>
      <c r="T35" s="756"/>
      <c r="U35" s="125"/>
    </row>
    <row r="36" ht="24.95" customHeight="1">
      <c r="B36" s="9"/>
      <c r="C36" s="155"/>
      <c r="D36" s="252"/>
      <c r="E36" s="745" t="s">
        <v>31</v>
      </c>
      <c r="F36" s="747"/>
      <c r="G36" s="746"/>
      <c r="H36" s="745" t="s">
        <v>32</v>
      </c>
      <c r="I36" s="747"/>
      <c r="J36" s="746"/>
      <c r="K36" s="745" t="s">
        <v>36</v>
      </c>
      <c r="L36" s="746"/>
      <c r="M36" s="124"/>
      <c r="N36" s="741"/>
      <c r="O36" s="741"/>
      <c r="P36" s="741"/>
      <c r="Q36" s="741"/>
      <c r="R36" s="741"/>
      <c r="S36" s="741"/>
      <c r="T36" s="741"/>
      <c r="U36" s="123"/>
    </row>
    <row r="37" ht="24.95" customHeight="1">
      <c r="B37" s="9"/>
      <c r="C37" s="155"/>
      <c r="D37" s="252"/>
      <c r="E37" s="745" t="s">
        <v>33</v>
      </c>
      <c r="F37" s="746"/>
      <c r="G37" s="257" t="s">
        <v>34</v>
      </c>
      <c r="H37" s="745" t="s">
        <v>33</v>
      </c>
      <c r="I37" s="746"/>
      <c r="J37" s="257" t="s">
        <v>34</v>
      </c>
      <c r="K37" s="745" t="s">
        <v>34</v>
      </c>
      <c r="L37" s="746"/>
      <c r="M37" s="124"/>
      <c r="N37" s="741"/>
      <c r="O37" s="741"/>
      <c r="P37" s="741"/>
      <c r="Q37" s="741"/>
      <c r="R37" s="741"/>
      <c r="S37" s="741"/>
      <c r="T37" s="741"/>
      <c r="U37" s="123"/>
    </row>
    <row r="38" ht="18.95" customHeight="1">
      <c r="B38" s="743" t="s">
        <v>150</v>
      </c>
      <c r="C38" s="945"/>
      <c r="D38" s="54"/>
      <c r="E38" s="769">
        <v>560</v>
      </c>
      <c r="F38" s="769"/>
      <c r="G38" s="258">
        <v>47370</v>
      </c>
      <c r="H38" s="758">
        <v>319</v>
      </c>
      <c r="I38" s="758"/>
      <c r="J38" s="259">
        <v>26399</v>
      </c>
      <c r="K38" s="761">
        <v>55.729364576736331011188515940</v>
      </c>
      <c r="L38" s="762"/>
      <c r="N38" s="692"/>
      <c r="O38" s="741"/>
      <c r="P38" s="741"/>
      <c r="Q38" s="692"/>
      <c r="R38" s="692"/>
      <c r="S38" s="741"/>
      <c r="T38" s="741"/>
      <c r="U38" s="123"/>
    </row>
    <row r="39" ht="18.95" customHeight="1">
      <c r="B39" s="532" t="s">
        <v>151</v>
      </c>
      <c r="C39" s="345"/>
      <c r="D39" s="54"/>
      <c r="E39" s="772">
        <v>125</v>
      </c>
      <c r="F39" s="772"/>
      <c r="G39" s="90">
        <v>13243</v>
      </c>
      <c r="H39" s="765">
        <v>113</v>
      </c>
      <c r="I39" s="765"/>
      <c r="J39" s="54">
        <v>10696</v>
      </c>
      <c r="K39" s="766">
        <v>80.76719776485690553499962244</v>
      </c>
      <c r="L39" s="767"/>
      <c r="N39" s="693"/>
      <c r="O39" s="740"/>
      <c r="P39" s="740"/>
      <c r="Q39" s="740"/>
      <c r="R39" s="740"/>
      <c r="S39" s="740"/>
      <c r="T39" s="740"/>
      <c r="U39" s="123"/>
    </row>
    <row r="40" ht="18.95" customHeight="1">
      <c r="B40" s="730" t="s">
        <v>152</v>
      </c>
      <c r="C40" s="941"/>
      <c r="D40" s="54"/>
      <c r="E40" s="770">
        <v>123</v>
      </c>
      <c r="F40" s="770"/>
      <c r="G40" s="126">
        <v>7425</v>
      </c>
      <c r="H40" s="771">
        <v>62</v>
      </c>
      <c r="I40" s="771"/>
      <c r="J40" s="120">
        <v>4674</v>
      </c>
      <c r="K40" s="759">
        <v>62.949494949494949494949494950</v>
      </c>
      <c r="L40" s="760"/>
      <c r="N40" s="763"/>
      <c r="O40" s="763"/>
      <c r="P40" s="763"/>
      <c r="Q40" s="763"/>
      <c r="R40" s="763"/>
      <c r="S40" s="763"/>
      <c r="T40" s="763"/>
      <c r="U40" s="123"/>
    </row>
    <row r="41" ht="18.95" customHeight="1">
      <c r="B41" s="532" t="s">
        <v>153</v>
      </c>
      <c r="C41" s="345"/>
      <c r="D41" s="54"/>
      <c r="E41" s="772">
        <v>36</v>
      </c>
      <c r="F41" s="772"/>
      <c r="G41" s="90">
        <v>2715</v>
      </c>
      <c r="H41" s="765">
        <v>35</v>
      </c>
      <c r="I41" s="765"/>
      <c r="J41" s="54">
        <v>2665</v>
      </c>
      <c r="K41" s="766">
        <v>98.15837937384898710865561694</v>
      </c>
      <c r="L41" s="767"/>
      <c r="N41" s="763"/>
      <c r="O41" s="763"/>
      <c r="P41" s="763"/>
      <c r="Q41" s="763"/>
      <c r="R41" s="763"/>
      <c r="S41" s="763"/>
      <c r="T41" s="763"/>
      <c r="U41" s="123"/>
    </row>
    <row r="42" ht="18.95" customHeight="1">
      <c r="B42" s="726" t="s">
        <v>74</v>
      </c>
      <c r="C42" s="349"/>
      <c r="D42" s="54"/>
      <c r="E42" s="768">
        <v>6</v>
      </c>
      <c r="F42" s="768"/>
      <c r="G42" s="260">
        <v>624</v>
      </c>
      <c r="H42" s="764">
        <v>5</v>
      </c>
      <c r="I42" s="764"/>
      <c r="J42" s="260">
        <v>534</v>
      </c>
      <c r="K42" s="774">
        <v>85.57692307692307692307692308</v>
      </c>
      <c r="L42" s="775"/>
      <c r="N42" s="763"/>
      <c r="O42" s="763"/>
      <c r="P42" s="763"/>
      <c r="Q42" s="763"/>
      <c r="R42" s="763"/>
      <c r="S42" s="763"/>
      <c r="T42" s="763"/>
      <c r="U42" s="123"/>
    </row>
    <row r="43" ht="15" customHeight="1">
      <c r="B43" s="2"/>
      <c r="C43" s="44"/>
      <c r="D43" s="44"/>
      <c r="E43" s="16"/>
      <c r="F43" s="19"/>
      <c r="G43" s="123"/>
      <c r="H43" s="124"/>
      <c r="I43" s="124"/>
      <c r="J43" s="124"/>
      <c r="K43" s="125"/>
      <c r="L43" s="123"/>
      <c r="M43" s="124"/>
      <c r="N43" s="125"/>
      <c r="O43" s="125"/>
      <c r="P43" s="124"/>
      <c r="Q43" s="124"/>
      <c r="R43" s="123"/>
      <c r="S43" s="123"/>
      <c r="T43" s="123"/>
      <c r="U43" s="123"/>
    </row>
    <row r="44" ht="39.95" customHeight="1">
      <c r="B44" s="933" t="s">
        <v>126</v>
      </c>
      <c r="C44" s="933"/>
      <c r="D44" s="933"/>
      <c r="E44" s="933"/>
      <c r="F44" s="933"/>
      <c r="G44" s="933"/>
      <c r="H44" s="933"/>
      <c r="I44" s="933"/>
      <c r="J44" s="933"/>
      <c r="K44" s="933"/>
      <c r="L44" s="933"/>
      <c r="M44" s="933"/>
      <c r="N44" s="933"/>
      <c r="O44" s="933"/>
      <c r="P44" s="933"/>
      <c r="Q44" s="933"/>
      <c r="R44" s="933"/>
      <c r="S44" s="933"/>
      <c r="T44" s="933"/>
      <c r="U44" s="2"/>
    </row>
    <row r="45" ht="12" customHeight="1">
      <c r="B45" s="2"/>
      <c r="C45" s="2"/>
      <c r="D45" s="2"/>
      <c r="E45" s="2"/>
      <c r="F45" s="2"/>
      <c r="G45" s="2"/>
      <c r="H45" s="2"/>
      <c r="I45" s="2"/>
      <c r="J45" s="2"/>
      <c r="K45" s="2"/>
      <c r="L45" s="2"/>
      <c r="M45" s="2"/>
      <c r="N45" s="2"/>
      <c r="O45" s="2"/>
      <c r="R45" s="2"/>
      <c r="S45" s="2"/>
      <c r="T45" s="2"/>
      <c r="U45" s="2"/>
    </row>
    <row r="46" s="236" customFormat="1" ht="18" customHeight="1">
      <c r="A46" s="236"/>
    </row>
    <row r="47" s="236" customFormat="1"/>
    <row r="48" s="236" customFormat="1"/>
    <row r="49" s="236" customFormat="1"/>
    <row r="50" s="236" customFormat="1"/>
    <row r="51" s="236" customFormat="1"/>
    <row r="52" s="236" customFormat="1"/>
    <row r="53" s="236" customFormat="1"/>
    <row r="54" s="236" customFormat="1"/>
    <row r="55" s="236" customFormat="1"/>
    <row r="56" s="236" customFormat="1"/>
    <row r="57" s="236" customFormat="1"/>
    <row r="58" s="236" customFormat="1"/>
    <row r="59" s="236" customFormat="1"/>
    <row r="60" s="236" customFormat="1"/>
    <row r="61" s="236" customFormat="1"/>
    <row r="62" s="236" customFormat="1"/>
    <row r="63" s="236" customFormat="1"/>
    <row r="64" s="236" customFormat="1"/>
    <row r="65" s="236" customFormat="1"/>
    <row r="66" s="236" customFormat="1"/>
    <row r="67" s="236" customFormat="1"/>
    <row r="68" s="236" customFormat="1"/>
    <row r="69" s="236" customFormat="1"/>
    <row r="70" s="236" customFormat="1"/>
    <row r="71" s="236" customFormat="1"/>
    <row r="72" s="236" customFormat="1"/>
    <row r="73" s="236" customFormat="1"/>
    <row r="74" s="236" customFormat="1"/>
    <row r="75" s="236" customFormat="1"/>
    <row r="76" s="236" customFormat="1"/>
    <row r="77" s="236" customFormat="1"/>
    <row r="78" s="236" customFormat="1"/>
    <row r="79" s="236" customFormat="1"/>
    <row r="80" s="236" customFormat="1"/>
    <row r="81" s="236" customFormat="1"/>
    <row r="82" s="236" customFormat="1"/>
  </sheetData>
  <mergeCells count="106">
    <mergeCell ref="H40:I40"/>
    <mergeCell ref="H39:I39"/>
    <mergeCell ref="K42:L42"/>
    <mergeCell ref="K41:L41"/>
    <mergeCell ref="F16:F17"/>
    <mergeCell ref="G16:G17"/>
    <mergeCell ref="B7:C7"/>
    <mergeCell ref="K36:L36"/>
    <mergeCell ref="B31:C31"/>
    <mergeCell ref="H36:J36"/>
    <mergeCell ref="E39:F39"/>
    <mergeCell ref="L6:L7"/>
    <mergeCell ref="E6:E7"/>
    <mergeCell ref="F6:F7"/>
    <mergeCell ref="H16:H17"/>
    <mergeCell ref="E15:L15"/>
    <mergeCell ref="I6:I7"/>
    <mergeCell ref="J6:J7"/>
    <mergeCell ref="K6:K7"/>
    <mergeCell ref="I16:I17"/>
    <mergeCell ref="J16:J17"/>
    <mergeCell ref="K16:K17"/>
    <mergeCell ref="L16:L17"/>
    <mergeCell ref="E35:L35"/>
    <mergeCell ref="B44:T44"/>
    <mergeCell ref="J26:J27"/>
    <mergeCell ref="K26:K27"/>
    <mergeCell ref="E25:L25"/>
    <mergeCell ref="E26:E27"/>
    <mergeCell ref="F26:F27"/>
    <mergeCell ref="G26:G27"/>
    <mergeCell ref="H26:H27"/>
    <mergeCell ref="I26:I27"/>
    <mergeCell ref="H38:I38"/>
    <mergeCell ref="K40:L40"/>
    <mergeCell ref="K38:L38"/>
    <mergeCell ref="N40:T42"/>
    <mergeCell ref="N37:P37"/>
    <mergeCell ref="H37:I37"/>
    <mergeCell ref="H42:I42"/>
    <mergeCell ref="H41:I41"/>
    <mergeCell ref="Q37:T37"/>
    <mergeCell ref="K39:L39"/>
    <mergeCell ref="E42:F42"/>
    <mergeCell ref="E38:F38"/>
    <mergeCell ref="E40:F40"/>
    <mergeCell ref="E41:F41"/>
    <mergeCell ref="E37:F37"/>
    <mergeCell ref="L26:L27"/>
    <mergeCell ref="E36:G36"/>
    <mergeCell ref="E16:E17"/>
    <mergeCell ref="G6:G7"/>
    <mergeCell ref="N15:T15"/>
    <mergeCell ref="N6:N7"/>
    <mergeCell ref="N16:N17"/>
    <mergeCell ref="O16:P17"/>
    <mergeCell ref="Q16:R17"/>
    <mergeCell ref="S16:T17"/>
    <mergeCell ref="N36:T36"/>
    <mergeCell ref="N25:T25"/>
    <mergeCell ref="N35:T35"/>
    <mergeCell ref="N26:N27"/>
    <mergeCell ref="O26:P27"/>
    <mergeCell ref="Q26:R27"/>
    <mergeCell ref="S26:T27"/>
    <mergeCell ref="S39:T39"/>
    <mergeCell ref="Q39:R39"/>
    <mergeCell ref="O39:P39"/>
    <mergeCell ref="O38:P38"/>
    <mergeCell ref="Q38:R38"/>
    <mergeCell ref="S38:T38"/>
    <mergeCell ref="B38:C38"/>
    <mergeCell ref="B33:C33"/>
    <mergeCell ref="B32:C32"/>
    <mergeCell ref="K37:L37"/>
    <mergeCell ref="B42:C42"/>
    <mergeCell ref="B41:C41"/>
    <mergeCell ref="B40:C40"/>
    <mergeCell ref="B39:C39"/>
    <mergeCell ref="B21:C21"/>
    <mergeCell ref="B20:C20"/>
    <mergeCell ref="B19:C19"/>
    <mergeCell ref="B13:C13"/>
    <mergeCell ref="B30:C30"/>
    <mergeCell ref="B29:C29"/>
    <mergeCell ref="B23:C23"/>
    <mergeCell ref="B22:C22"/>
    <mergeCell ref="B25:C25"/>
    <mergeCell ref="B28:C28"/>
    <mergeCell ref="B18:C18"/>
    <mergeCell ref="B4:T4"/>
    <mergeCell ref="B3:T3"/>
    <mergeCell ref="B2:T2"/>
    <mergeCell ref="B12:C12"/>
    <mergeCell ref="B11:C11"/>
    <mergeCell ref="B10:C10"/>
    <mergeCell ref="B9:C9"/>
    <mergeCell ref="O6:P7"/>
    <mergeCell ref="S6:T7"/>
    <mergeCell ref="Q6:R7"/>
    <mergeCell ref="N5:T5"/>
    <mergeCell ref="B5:C5"/>
    <mergeCell ref="B8:C8"/>
    <mergeCell ref="E5:L5"/>
    <mergeCell ref="B6:C6"/>
    <mergeCell ref="H6:H7"/>
  </mergeCells>
  <phoneticPr fontId="0" type="noConversion"/>
  <printOptions horizontalCentered="1" verticalCentered="1"/>
  <pageMargins left="0.25" right="0.25" top="0.25" bottom="0.25" header="0" footer="0"/>
  <pageSetup scale="66" fitToWidth="1" fitToHeight="1" orientation="landscape" r:id="rId1"/>
  <headerFooter alignWithMargins="0">
    <oddHeader/>
    <oddFooter/>
  </headerFooter>
  <rowBreaks count="1" manualBreakCount="1">
    <brk id="46" max="16383" man="1"/>
  </rowBreaks>
  <colBreaks count="1" manualBreakCount="1">
    <brk id="22" max="1048575" man="1"/>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9">
    <pageSetUpPr fitToPage="1"/>
  </sheetPr>
  <dimension ref="A1:EI109"/>
  <sheetViews>
    <sheetView showGridLines="0" zoomScale="70" workbookViewId="0"/>
  </sheetViews>
  <sheetFormatPr defaultRowHeight="12.75"/>
  <cols>
    <col min="1" max="1" width="1.5703125" style="34" customWidth="1"/>
    <col min="2" max="2" width="15.7109375" style="34" customWidth="1"/>
    <col min="3" max="3" width="18.7109375" customWidth="1"/>
    <col min="4" max="21" width="11.7109375" customWidth="1"/>
    <col min="22" max="22" width="2.7109375" customWidth="1"/>
    <col min="23" max="37" width="9.140625" style="281" customWidth="1"/>
  </cols>
  <sheetData>
    <row r="1" s="2" customFormat="1" ht="23.25">
      <c r="B1" s="657" t="s">
        <v>135</v>
      </c>
      <c r="C1" s="130"/>
      <c r="P1" s="222"/>
      <c r="Q1" s="222"/>
      <c r="R1" s="222"/>
      <c r="S1" s="222"/>
      <c r="T1" s="222"/>
      <c r="U1" s="222"/>
      <c r="W1" s="281"/>
      <c r="X1" s="281"/>
      <c r="Y1" s="281"/>
      <c r="Z1" s="281"/>
      <c r="AA1" s="281"/>
      <c r="AB1" s="281"/>
      <c r="AC1" s="281"/>
      <c r="AD1" s="281"/>
      <c r="AE1" s="281"/>
      <c r="AF1" s="281"/>
      <c r="AG1" s="281"/>
      <c r="AH1" s="281"/>
      <c r="AI1" s="281"/>
      <c r="AJ1" s="281"/>
      <c r="AK1" s="281"/>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34"/>
      <c r="CQ1" s="34"/>
      <c r="CR1" s="34"/>
      <c r="CS1" s="34"/>
      <c r="CT1" s="34"/>
      <c r="CU1" s="34"/>
      <c r="CV1" s="34"/>
      <c r="CW1" s="34"/>
      <c r="CX1" s="34"/>
      <c r="CY1" s="34"/>
      <c r="CZ1" s="34"/>
      <c r="DA1" s="34"/>
      <c r="DB1" s="34"/>
      <c r="DC1" s="34"/>
      <c r="DD1" s="34"/>
      <c r="DE1" s="34"/>
      <c r="DF1" s="34"/>
      <c r="DG1" s="34"/>
      <c r="DH1" s="34"/>
      <c r="DI1" s="34"/>
      <c r="DJ1" s="34"/>
      <c r="DK1" s="34"/>
      <c r="DL1" s="34"/>
      <c r="DM1" s="34"/>
      <c r="DN1" s="34"/>
      <c r="DO1" s="34"/>
      <c r="DP1" s="34"/>
      <c r="DQ1" s="34"/>
      <c r="DR1" s="34"/>
      <c r="DS1" s="34"/>
      <c r="DT1" s="34"/>
      <c r="DU1" s="34"/>
      <c r="DV1" s="34"/>
      <c r="DW1" s="34"/>
      <c r="DX1" s="34"/>
      <c r="DY1" s="34"/>
      <c r="DZ1" s="34"/>
      <c r="EA1" s="34"/>
      <c r="EB1" s="34"/>
      <c r="EC1" s="34"/>
      <c r="ED1" s="34"/>
      <c r="EE1" s="34"/>
      <c r="EF1" s="34"/>
      <c r="EG1" s="34"/>
      <c r="EH1" s="34"/>
      <c r="EI1" s="34"/>
    </row>
    <row r="2" s="2" customFormat="1" ht="15" customHeight="1">
      <c r="B2" s="66" t="s">
        <v>144</v>
      </c>
      <c r="C2" s="130"/>
      <c r="W2" s="281"/>
      <c r="X2" s="281"/>
      <c r="Y2" s="281"/>
      <c r="Z2" s="281"/>
      <c r="AA2" s="281"/>
      <c r="AB2" s="281"/>
      <c r="AC2" s="281"/>
      <c r="AD2" s="281"/>
      <c r="AE2" s="281"/>
      <c r="AF2" s="281"/>
      <c r="AG2" s="281"/>
      <c r="AH2" s="281"/>
      <c r="AI2" s="281"/>
      <c r="AJ2" s="281"/>
      <c r="AK2" s="281"/>
      <c r="AL2" s="34"/>
      <c r="AM2" s="34"/>
      <c r="AN2" s="34"/>
      <c r="AO2" s="34"/>
      <c r="AP2" s="34"/>
      <c r="AQ2" s="34"/>
      <c r="AR2" s="34"/>
      <c r="AS2" s="34"/>
      <c r="AT2" s="34"/>
      <c r="AU2" s="34"/>
      <c r="AV2" s="34"/>
      <c r="AW2" s="34"/>
      <c r="AX2" s="34"/>
      <c r="AY2" s="34"/>
      <c r="AZ2" s="34"/>
      <c r="BA2" s="34"/>
      <c r="BB2" s="34"/>
      <c r="BC2" s="34"/>
      <c r="BD2" s="34"/>
      <c r="BE2" s="34"/>
      <c r="BF2" s="34"/>
      <c r="BG2" s="34"/>
      <c r="BH2" s="34"/>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c r="CK2" s="34"/>
      <c r="CL2" s="34"/>
      <c r="CM2" s="34"/>
      <c r="CN2" s="34"/>
      <c r="CO2" s="34"/>
      <c r="CP2" s="34"/>
      <c r="CQ2" s="34"/>
      <c r="CR2" s="34"/>
      <c r="CS2" s="34"/>
      <c r="CT2" s="34"/>
      <c r="CU2" s="34"/>
      <c r="CV2" s="34"/>
      <c r="CW2" s="34"/>
      <c r="CX2" s="34"/>
      <c r="CY2" s="34"/>
      <c r="CZ2" s="34"/>
      <c r="DA2" s="34"/>
      <c r="DB2" s="34"/>
      <c r="DC2" s="34"/>
      <c r="DD2" s="34"/>
      <c r="DE2" s="34"/>
      <c r="DF2" s="34"/>
      <c r="DG2" s="34"/>
      <c r="DH2" s="34"/>
      <c r="DI2" s="34"/>
      <c r="DJ2" s="34"/>
      <c r="DK2" s="34"/>
      <c r="DL2" s="34"/>
      <c r="DM2" s="34"/>
      <c r="DN2" s="34"/>
      <c r="DO2" s="34"/>
      <c r="DP2" s="34"/>
      <c r="DQ2" s="34"/>
      <c r="DR2" s="34"/>
      <c r="DS2" s="34"/>
      <c r="DT2" s="34"/>
      <c r="DU2" s="34"/>
      <c r="DV2" s="34"/>
      <c r="DW2" s="34"/>
      <c r="DX2" s="34"/>
      <c r="DY2" s="34"/>
      <c r="DZ2" s="34"/>
      <c r="EA2" s="34"/>
      <c r="EB2" s="34"/>
      <c r="EC2" s="34"/>
      <c r="ED2" s="34"/>
      <c r="EE2" s="34"/>
      <c r="EF2" s="34"/>
      <c r="EG2" s="34"/>
      <c r="EH2" s="34"/>
      <c r="EI2" s="34"/>
    </row>
    <row r="3" s="2" customFormat="1" ht="17.1" customHeight="1">
      <c r="B3" s="66" t="s">
        <v>145</v>
      </c>
      <c r="C3" s="130"/>
      <c r="O3" s="961"/>
      <c r="P3" s="961"/>
      <c r="Q3" s="961"/>
      <c r="R3" s="961"/>
      <c r="S3" s="961"/>
      <c r="T3" s="961"/>
      <c r="U3" s="961"/>
      <c r="W3" s="281"/>
      <c r="X3" s="281"/>
      <c r="Y3" s="281"/>
      <c r="Z3" s="281"/>
      <c r="AA3" s="281"/>
      <c r="AB3" s="281"/>
      <c r="AC3" s="281"/>
      <c r="AD3" s="281"/>
      <c r="AE3" s="281"/>
      <c r="AF3" s="281"/>
      <c r="AG3" s="281"/>
      <c r="AH3" s="281"/>
      <c r="AI3" s="281"/>
      <c r="AJ3" s="281"/>
      <c r="AK3" s="281"/>
      <c r="AL3" s="34"/>
      <c r="AM3" s="34"/>
      <c r="AN3" s="34"/>
      <c r="AO3" s="34"/>
      <c r="AP3" s="34"/>
      <c r="AQ3" s="34"/>
      <c r="AR3" s="34"/>
      <c r="AS3" s="34"/>
      <c r="AT3" s="34"/>
      <c r="AU3" s="34"/>
      <c r="AV3" s="34"/>
      <c r="AW3" s="34"/>
      <c r="AX3" s="34"/>
      <c r="AY3" s="34"/>
      <c r="AZ3" s="34"/>
      <c r="BA3" s="34"/>
      <c r="BB3" s="34"/>
      <c r="BC3" s="34"/>
      <c r="BD3" s="34"/>
      <c r="BE3" s="34"/>
      <c r="BF3" s="34"/>
      <c r="BG3" s="34"/>
      <c r="BH3" s="34"/>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c r="CK3" s="34"/>
      <c r="CL3" s="34"/>
      <c r="CM3" s="34"/>
      <c r="CN3" s="34"/>
      <c r="CO3" s="34"/>
      <c r="CP3" s="34"/>
      <c r="CQ3" s="34"/>
      <c r="CR3" s="34"/>
      <c r="CS3" s="34"/>
      <c r="CT3" s="34"/>
      <c r="CU3" s="34"/>
      <c r="CV3" s="34"/>
      <c r="CW3" s="34"/>
      <c r="CX3" s="34"/>
      <c r="CY3" s="34"/>
      <c r="CZ3" s="34"/>
      <c r="DA3" s="34"/>
      <c r="DB3" s="34"/>
      <c r="DC3" s="34"/>
      <c r="DD3" s="34"/>
      <c r="DE3" s="34"/>
      <c r="DF3" s="34"/>
      <c r="DG3" s="34"/>
      <c r="DH3" s="34"/>
      <c r="DI3" s="34"/>
      <c r="DJ3" s="34"/>
      <c r="DK3" s="34"/>
      <c r="DL3" s="34"/>
      <c r="DM3" s="34"/>
      <c r="DN3" s="34"/>
      <c r="DO3" s="34"/>
      <c r="DP3" s="34"/>
      <c r="DQ3" s="34"/>
      <c r="DR3" s="34"/>
      <c r="DS3" s="34"/>
      <c r="DT3" s="34"/>
      <c r="DU3" s="34"/>
      <c r="DV3" s="34"/>
      <c r="DW3" s="34"/>
      <c r="DX3" s="34"/>
      <c r="DY3" s="34"/>
      <c r="DZ3" s="34"/>
      <c r="EA3" s="34"/>
      <c r="EB3" s="34"/>
      <c r="EC3" s="34"/>
      <c r="ED3" s="34"/>
      <c r="EE3" s="34"/>
      <c r="EF3" s="34"/>
      <c r="EG3" s="34"/>
      <c r="EH3" s="34"/>
      <c r="EI3" s="34"/>
    </row>
    <row r="4" s="2" customFormat="1" ht="15.75" customHeight="1">
      <c r="A4" s="9"/>
      <c r="B4" s="66" t="s">
        <v>146</v>
      </c>
      <c r="C4" s="131"/>
      <c r="D4" s="131"/>
      <c r="E4" s="131"/>
      <c r="G4" s="132"/>
      <c r="H4" s="132"/>
      <c r="I4" s="132"/>
      <c r="J4" s="132"/>
      <c r="K4" s="132"/>
      <c r="L4" s="132"/>
      <c r="M4" s="132"/>
      <c r="N4" s="132"/>
      <c r="O4" s="132"/>
      <c r="P4" s="132"/>
      <c r="Q4" s="132"/>
      <c r="R4" s="132"/>
      <c r="S4" s="132"/>
      <c r="T4" s="132"/>
      <c r="U4" s="132"/>
      <c r="V4" s="132"/>
      <c r="W4" s="281"/>
      <c r="X4" s="281"/>
      <c r="Y4" s="281"/>
      <c r="Z4" s="281"/>
      <c r="AA4" s="281"/>
      <c r="AB4" s="281"/>
      <c r="AC4" s="281"/>
      <c r="AD4" s="281"/>
      <c r="AE4" s="281"/>
      <c r="AF4" s="281"/>
      <c r="AG4" s="281"/>
      <c r="AH4" s="281"/>
      <c r="AI4" s="281"/>
      <c r="AJ4" s="281"/>
      <c r="AK4" s="281"/>
      <c r="AL4" s="34"/>
      <c r="AM4" s="34"/>
      <c r="AN4" s="34"/>
      <c r="AO4" s="34"/>
      <c r="AP4" s="34"/>
      <c r="AQ4" s="34"/>
      <c r="AR4" s="34"/>
      <c r="AS4" s="34"/>
      <c r="AT4" s="34"/>
      <c r="AU4" s="34"/>
      <c r="AV4" s="34"/>
      <c r="AW4" s="34"/>
      <c r="AX4" s="34"/>
      <c r="AY4" s="34"/>
      <c r="AZ4" s="34"/>
      <c r="BA4" s="34"/>
      <c r="BB4" s="34"/>
      <c r="BC4" s="34"/>
      <c r="BD4" s="34"/>
      <c r="BE4" s="34"/>
      <c r="BF4" s="34"/>
      <c r="BG4" s="34"/>
      <c r="BH4" s="34"/>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c r="CK4" s="34"/>
      <c r="CL4" s="34"/>
      <c r="CM4" s="34"/>
      <c r="CN4" s="34"/>
      <c r="CO4" s="34"/>
      <c r="CP4" s="34"/>
      <c r="CQ4" s="34"/>
      <c r="CR4" s="34"/>
      <c r="CS4" s="34"/>
      <c r="CT4" s="34"/>
      <c r="CU4" s="34"/>
      <c r="CV4" s="34"/>
      <c r="CW4" s="34"/>
      <c r="CX4" s="34"/>
      <c r="CY4" s="34"/>
      <c r="CZ4" s="34"/>
      <c r="DA4" s="34"/>
      <c r="DB4" s="34"/>
      <c r="DC4" s="34"/>
      <c r="DD4" s="34"/>
      <c r="DE4" s="34"/>
      <c r="DF4" s="34"/>
      <c r="DG4" s="34"/>
      <c r="DH4" s="34"/>
      <c r="DI4" s="34"/>
      <c r="DJ4" s="34"/>
      <c r="DK4" s="34"/>
      <c r="DL4" s="34"/>
      <c r="DM4" s="34"/>
      <c r="DN4" s="34"/>
      <c r="DO4" s="34"/>
      <c r="DP4" s="34"/>
      <c r="DQ4" s="34"/>
      <c r="DR4" s="34"/>
      <c r="DS4" s="34"/>
      <c r="DT4" s="34"/>
      <c r="DU4" s="34"/>
      <c r="DV4" s="34"/>
      <c r="DW4" s="34"/>
      <c r="DX4" s="34"/>
      <c r="DY4" s="34"/>
      <c r="DZ4" s="34"/>
      <c r="EA4" s="34"/>
      <c r="EB4" s="34"/>
      <c r="EC4" s="34"/>
      <c r="ED4" s="34"/>
      <c r="EE4" s="34"/>
      <c r="EF4" s="34"/>
      <c r="EG4" s="34"/>
      <c r="EH4" s="34"/>
      <c r="EI4" s="34"/>
    </row>
    <row r="5" s="2" customFormat="1" ht="20.1" customHeight="1">
      <c r="A5" s="9"/>
      <c r="B5" s="66"/>
      <c r="C5" s="131"/>
      <c r="D5" s="131"/>
      <c r="E5" s="131"/>
      <c r="G5" s="132"/>
      <c r="H5" s="132"/>
      <c r="I5" s="132"/>
      <c r="J5" s="132"/>
      <c r="K5" s="132"/>
      <c r="L5" s="132"/>
      <c r="M5" s="132"/>
      <c r="N5" s="132"/>
      <c r="O5" s="132"/>
      <c r="P5" s="132"/>
      <c r="Q5" s="132"/>
      <c r="R5" s="132"/>
      <c r="S5" s="132"/>
      <c r="T5" s="132"/>
      <c r="U5" s="132"/>
      <c r="V5" s="132"/>
      <c r="W5" s="281"/>
      <c r="X5" s="281"/>
      <c r="Y5" s="281"/>
      <c r="Z5" s="281"/>
      <c r="AA5" s="281"/>
      <c r="AB5" s="281"/>
      <c r="AC5" s="281"/>
      <c r="AD5" s="281"/>
      <c r="AE5" s="281"/>
      <c r="AF5" s="281"/>
      <c r="AG5" s="281"/>
      <c r="AH5" s="281"/>
      <c r="AI5" s="281"/>
      <c r="AJ5" s="281"/>
      <c r="AK5" s="281"/>
      <c r="AL5" s="34"/>
      <c r="AM5" s="34"/>
      <c r="AN5" s="34"/>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c r="CK5" s="34"/>
      <c r="CL5" s="34"/>
      <c r="CM5" s="34"/>
      <c r="CN5" s="34"/>
      <c r="CO5" s="34"/>
      <c r="CP5" s="34"/>
      <c r="CQ5" s="34"/>
      <c r="CR5" s="34"/>
      <c r="CS5" s="34"/>
      <c r="CT5" s="34"/>
      <c r="CU5" s="34"/>
      <c r="CV5" s="34"/>
      <c r="CW5" s="34"/>
      <c r="CX5" s="34"/>
      <c r="CY5" s="34"/>
      <c r="CZ5" s="34"/>
      <c r="DA5" s="34"/>
      <c r="DB5" s="34"/>
      <c r="DC5" s="34"/>
      <c r="DD5" s="34"/>
      <c r="DE5" s="34"/>
      <c r="DF5" s="34"/>
      <c r="DG5" s="34"/>
      <c r="DH5" s="34"/>
      <c r="DI5" s="34"/>
      <c r="DJ5" s="34"/>
      <c r="DK5" s="34"/>
      <c r="DL5" s="34"/>
      <c r="DM5" s="34"/>
      <c r="DN5" s="34"/>
      <c r="DO5" s="34"/>
      <c r="DP5" s="34"/>
      <c r="DQ5" s="34"/>
      <c r="DR5" s="34"/>
      <c r="DS5" s="34"/>
      <c r="DT5" s="34"/>
      <c r="DU5" s="34"/>
      <c r="DV5" s="34"/>
      <c r="DW5" s="34"/>
      <c r="DX5" s="34"/>
      <c r="DY5" s="34"/>
      <c r="DZ5" s="34"/>
      <c r="EA5" s="34"/>
      <c r="EB5" s="34"/>
      <c r="EC5" s="34"/>
      <c r="ED5" s="34"/>
      <c r="EE5" s="34"/>
      <c r="EF5" s="34"/>
      <c r="EG5" s="34"/>
      <c r="EH5" s="34"/>
      <c r="EI5" s="34"/>
    </row>
    <row r="6" s="2" customFormat="1" ht="20.1" customHeight="1">
      <c r="A6" s="9"/>
      <c r="B6" s="66"/>
      <c r="C6" s="131"/>
      <c r="D6" s="131"/>
      <c r="E6" s="131"/>
      <c r="G6" s="132"/>
      <c r="H6" s="132"/>
      <c r="I6" s="132"/>
      <c r="J6" s="132"/>
      <c r="K6" s="132"/>
      <c r="L6" s="132"/>
      <c r="M6" s="132"/>
      <c r="N6" s="132"/>
      <c r="O6" s="132"/>
      <c r="P6" s="132"/>
      <c r="Q6" s="132"/>
      <c r="R6" s="132"/>
      <c r="S6" s="132"/>
      <c r="T6" s="132"/>
      <c r="U6" s="132"/>
      <c r="V6" s="132"/>
      <c r="W6" s="281"/>
      <c r="X6" s="281"/>
      <c r="Y6" s="281"/>
      <c r="Z6" s="281"/>
      <c r="AA6" s="281"/>
      <c r="AB6" s="281"/>
      <c r="AC6" s="281"/>
      <c r="AD6" s="281"/>
      <c r="AE6" s="281"/>
      <c r="AF6" s="281"/>
      <c r="AG6" s="281"/>
      <c r="AH6" s="281"/>
      <c r="AI6" s="281"/>
      <c r="AJ6" s="281"/>
      <c r="AK6" s="281"/>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c r="CK6" s="34"/>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row>
    <row r="7" s="2" customFormat="1" ht="20.1" customHeight="1">
      <c r="A7" s="9"/>
      <c r="B7" s="66"/>
      <c r="C7" s="131"/>
      <c r="D7" s="131"/>
      <c r="E7" s="131"/>
      <c r="G7" s="132"/>
      <c r="H7" s="132"/>
      <c r="I7" s="132"/>
      <c r="J7" s="132"/>
      <c r="K7" s="132"/>
      <c r="L7" s="132"/>
      <c r="M7" s="132"/>
      <c r="N7" s="132"/>
      <c r="O7" s="132"/>
      <c r="P7" s="132"/>
      <c r="Q7" s="132"/>
      <c r="R7" s="132"/>
      <c r="S7" s="132"/>
      <c r="T7" s="132"/>
      <c r="U7" s="132"/>
      <c r="V7" s="132"/>
      <c r="W7" s="281"/>
      <c r="X7" s="281"/>
      <c r="Y7" s="281"/>
      <c r="Z7" s="281"/>
      <c r="AA7" s="281"/>
      <c r="AB7" s="281"/>
      <c r="AC7" s="281"/>
      <c r="AD7" s="281"/>
      <c r="AE7" s="281"/>
      <c r="AF7" s="281"/>
      <c r="AG7" s="281"/>
      <c r="AH7" s="281"/>
      <c r="AI7" s="281"/>
      <c r="AJ7" s="281"/>
      <c r="AK7" s="281"/>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c r="DP7" s="34"/>
      <c r="DQ7" s="34"/>
      <c r="DR7" s="34"/>
      <c r="DS7" s="34"/>
      <c r="DT7" s="34"/>
      <c r="DU7" s="34"/>
      <c r="DV7" s="34"/>
      <c r="DW7" s="34"/>
      <c r="DX7" s="34"/>
      <c r="DY7" s="34"/>
      <c r="DZ7" s="34"/>
      <c r="EA7" s="34"/>
      <c r="EB7" s="34"/>
      <c r="EC7" s="34"/>
      <c r="ED7" s="34"/>
      <c r="EE7" s="34"/>
      <c r="EF7" s="34"/>
      <c r="EG7" s="34"/>
      <c r="EH7" s="34"/>
      <c r="EI7" s="34"/>
    </row>
    <row r="8" s="2" customFormat="1" ht="20.1" customHeight="1">
      <c r="A8" s="9"/>
      <c r="B8" s="66"/>
      <c r="C8" s="131"/>
      <c r="D8" s="131"/>
      <c r="E8" s="131"/>
      <c r="G8" s="132"/>
      <c r="H8" s="132"/>
      <c r="I8" s="132"/>
      <c r="J8" s="132"/>
      <c r="K8" s="132"/>
      <c r="L8" s="132"/>
      <c r="M8" s="132"/>
      <c r="N8" s="132"/>
      <c r="O8" s="132"/>
      <c r="P8" s="132"/>
      <c r="Q8" s="132"/>
      <c r="R8" s="132"/>
      <c r="S8" s="132"/>
      <c r="T8" s="132"/>
      <c r="U8" s="132"/>
      <c r="V8" s="132"/>
      <c r="W8" s="281"/>
      <c r="X8" s="281"/>
      <c r="Y8" s="281"/>
      <c r="Z8" s="281"/>
      <c r="AA8" s="281"/>
      <c r="AB8" s="281"/>
      <c r="AC8" s="281"/>
      <c r="AD8" s="281"/>
      <c r="AE8" s="281"/>
      <c r="AF8" s="281"/>
      <c r="AG8" s="281"/>
      <c r="AH8" s="281"/>
      <c r="AI8" s="281"/>
      <c r="AJ8" s="281"/>
      <c r="AK8" s="281"/>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c r="CK8" s="34"/>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row>
    <row r="9" s="2" customFormat="1" ht="20.1" customHeight="1">
      <c r="A9" s="9"/>
      <c r="B9" s="66"/>
      <c r="C9" s="131"/>
      <c r="D9" s="131"/>
      <c r="E9" s="131"/>
      <c r="G9" s="132"/>
      <c r="H9" s="132"/>
      <c r="I9" s="132"/>
      <c r="J9" s="132"/>
      <c r="K9" s="132"/>
      <c r="L9" s="132"/>
      <c r="M9" s="132"/>
      <c r="N9" s="132"/>
      <c r="O9" s="132"/>
      <c r="P9" s="132"/>
      <c r="Q9" s="132"/>
      <c r="R9" s="132"/>
      <c r="S9" s="132"/>
      <c r="T9" s="132"/>
      <c r="U9" s="132"/>
      <c r="V9" s="132"/>
      <c r="W9" s="281"/>
      <c r="X9" s="281"/>
      <c r="Y9" s="281"/>
      <c r="Z9" s="281"/>
      <c r="AA9" s="281"/>
      <c r="AB9" s="281"/>
      <c r="AC9" s="281"/>
      <c r="AD9" s="281"/>
      <c r="AE9" s="281"/>
      <c r="AF9" s="281"/>
      <c r="AG9" s="281"/>
      <c r="AH9" s="281"/>
      <c r="AI9" s="281"/>
      <c r="AJ9" s="281"/>
      <c r="AK9" s="281"/>
      <c r="AL9" s="34"/>
      <c r="AM9" s="34"/>
      <c r="AN9" s="34"/>
      <c r="AO9" s="34"/>
      <c r="AP9" s="34"/>
      <c r="AQ9" s="34"/>
      <c r="AR9" s="34"/>
      <c r="AS9" s="34"/>
      <c r="AT9" s="34"/>
      <c r="AU9" s="34"/>
      <c r="AV9" s="34"/>
      <c r="AW9" s="34"/>
      <c r="AX9" s="34"/>
      <c r="AY9" s="34"/>
      <c r="AZ9" s="34"/>
      <c r="BA9" s="34"/>
      <c r="BB9" s="34"/>
      <c r="BC9" s="34"/>
      <c r="BD9" s="34"/>
      <c r="BE9" s="34"/>
      <c r="BF9" s="34"/>
      <c r="BG9" s="34"/>
      <c r="BH9" s="34"/>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c r="CK9" s="34"/>
      <c r="CL9" s="34"/>
      <c r="CM9" s="34"/>
      <c r="CN9" s="34"/>
      <c r="CO9" s="34"/>
      <c r="CP9" s="34"/>
      <c r="CQ9" s="34"/>
      <c r="CR9" s="34"/>
      <c r="CS9" s="34"/>
      <c r="CT9" s="34"/>
      <c r="CU9" s="34"/>
      <c r="CV9" s="34"/>
      <c r="CW9" s="34"/>
      <c r="CX9" s="34"/>
      <c r="CY9" s="34"/>
      <c r="CZ9" s="34"/>
      <c r="DA9" s="34"/>
      <c r="DB9" s="34"/>
      <c r="DC9" s="34"/>
      <c r="DD9" s="34"/>
      <c r="DE9" s="34"/>
      <c r="DF9" s="34"/>
      <c r="DG9" s="34"/>
      <c r="DH9" s="34"/>
      <c r="DI9" s="34"/>
      <c r="DJ9" s="34"/>
      <c r="DK9" s="34"/>
      <c r="DL9" s="34"/>
      <c r="DM9" s="34"/>
      <c r="DN9" s="34"/>
      <c r="DO9" s="34"/>
      <c r="DP9" s="34"/>
      <c r="DQ9" s="34"/>
      <c r="DR9" s="34"/>
      <c r="DS9" s="34"/>
      <c r="DT9" s="34"/>
      <c r="DU9" s="34"/>
      <c r="DV9" s="34"/>
      <c r="DW9" s="34"/>
      <c r="DX9" s="34"/>
      <c r="DY9" s="34"/>
      <c r="DZ9" s="34"/>
      <c r="EA9" s="34"/>
      <c r="EB9" s="34"/>
      <c r="EC9" s="34"/>
      <c r="ED9" s="34"/>
      <c r="EE9" s="34"/>
      <c r="EF9" s="34"/>
      <c r="EG9" s="34"/>
      <c r="EH9" s="34"/>
      <c r="EI9" s="34"/>
    </row>
    <row r="10" s="2" customFormat="1" ht="20.1" customHeight="1">
      <c r="A10" s="9"/>
      <c r="B10" s="66"/>
      <c r="C10" s="131"/>
      <c r="D10" s="131"/>
      <c r="E10" s="131"/>
      <c r="G10" s="132"/>
      <c r="H10" s="132"/>
      <c r="I10" s="132"/>
      <c r="J10" s="132"/>
      <c r="K10" s="132"/>
      <c r="L10" s="132"/>
      <c r="M10" s="132"/>
      <c r="N10" s="132"/>
      <c r="O10" s="132"/>
      <c r="P10" s="132"/>
      <c r="Q10" s="132"/>
      <c r="R10" s="132"/>
      <c r="S10" s="132"/>
      <c r="T10" s="132"/>
      <c r="U10" s="132"/>
      <c r="V10" s="132"/>
      <c r="W10" s="281"/>
      <c r="X10" s="281"/>
      <c r="Y10" s="281"/>
      <c r="Z10" s="281"/>
      <c r="AA10" s="281"/>
      <c r="AB10" s="281"/>
      <c r="AC10" s="281"/>
      <c r="AD10" s="281"/>
      <c r="AE10" s="281"/>
      <c r="AF10" s="281"/>
      <c r="AG10" s="281"/>
      <c r="AH10" s="281"/>
      <c r="AI10" s="281"/>
      <c r="AJ10" s="281"/>
      <c r="AK10" s="281"/>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c r="CK10" s="34"/>
      <c r="CL10" s="34"/>
      <c r="CM10" s="34"/>
      <c r="CN10" s="34"/>
      <c r="CO10" s="34"/>
      <c r="CP10" s="34"/>
      <c r="CQ10" s="34"/>
      <c r="CR10" s="34"/>
      <c r="CS10" s="34"/>
      <c r="CT10" s="34"/>
      <c r="CU10" s="34"/>
      <c r="CV10" s="34"/>
      <c r="CW10" s="34"/>
      <c r="CX10" s="34"/>
      <c r="CY10" s="34"/>
      <c r="CZ10" s="34"/>
      <c r="DA10" s="34"/>
      <c r="DB10" s="34"/>
      <c r="DC10" s="34"/>
      <c r="DD10" s="34"/>
      <c r="DE10" s="34"/>
      <c r="DF10" s="34"/>
      <c r="DG10" s="34"/>
      <c r="DH10" s="34"/>
      <c r="DI10" s="34"/>
      <c r="DJ10" s="34"/>
      <c r="DK10" s="34"/>
      <c r="DL10" s="34"/>
      <c r="DM10" s="34"/>
      <c r="DN10" s="34"/>
      <c r="DO10" s="34"/>
      <c r="DP10" s="34"/>
      <c r="DQ10" s="34"/>
      <c r="DR10" s="34"/>
      <c r="DS10" s="34"/>
      <c r="DT10" s="34"/>
      <c r="DU10" s="34"/>
      <c r="DV10" s="34"/>
      <c r="DW10" s="34"/>
      <c r="DX10" s="34"/>
      <c r="DY10" s="34"/>
      <c r="DZ10" s="34"/>
      <c r="EA10" s="34"/>
      <c r="EB10" s="34"/>
      <c r="EC10" s="34"/>
      <c r="ED10" s="34"/>
      <c r="EE10" s="34"/>
      <c r="EF10" s="34"/>
      <c r="EG10" s="34"/>
      <c r="EH10" s="34"/>
      <c r="EI10" s="34"/>
    </row>
    <row r="11" s="2" customFormat="1" ht="20.1" customHeight="1">
      <c r="A11" s="9"/>
      <c r="B11" s="66"/>
      <c r="C11" s="131"/>
      <c r="D11" s="131"/>
      <c r="E11" s="131"/>
      <c r="G11" s="132"/>
      <c r="H11" s="132"/>
      <c r="I11" s="132"/>
      <c r="J11" s="132"/>
      <c r="K11" s="132"/>
      <c r="L11" s="132"/>
      <c r="M11" s="132"/>
      <c r="N11" s="132"/>
      <c r="O11" s="132"/>
      <c r="P11" s="132"/>
      <c r="Q11" s="132"/>
      <c r="R11" s="132"/>
      <c r="S11" s="132"/>
      <c r="T11" s="132"/>
      <c r="U11" s="132"/>
      <c r="V11" s="132"/>
      <c r="W11" s="281"/>
      <c r="X11" s="281"/>
      <c r="Y11" s="281"/>
      <c r="Z11" s="281"/>
      <c r="AA11" s="281"/>
      <c r="AB11" s="281"/>
      <c r="AC11" s="281"/>
      <c r="AD11" s="281"/>
      <c r="AE11" s="281"/>
      <c r="AF11" s="281"/>
      <c r="AG11" s="281"/>
      <c r="AH11" s="281"/>
      <c r="AI11" s="281"/>
      <c r="AJ11" s="281"/>
      <c r="AK11" s="281"/>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4"/>
      <c r="CX11" s="34"/>
      <c r="CY11" s="34"/>
      <c r="CZ11" s="34"/>
      <c r="DA11" s="34"/>
      <c r="DB11" s="34"/>
      <c r="DC11" s="34"/>
      <c r="DD11" s="34"/>
      <c r="DE11" s="34"/>
      <c r="DF11" s="34"/>
      <c r="DG11" s="34"/>
      <c r="DH11" s="34"/>
      <c r="DI11" s="34"/>
      <c r="DJ11" s="34"/>
      <c r="DK11" s="34"/>
      <c r="DL11" s="34"/>
      <c r="DM11" s="34"/>
      <c r="DN11" s="34"/>
      <c r="DO11" s="34"/>
      <c r="DP11" s="34"/>
      <c r="DQ11" s="34"/>
      <c r="DR11" s="34"/>
      <c r="DS11" s="34"/>
      <c r="DT11" s="34"/>
      <c r="DU11" s="34"/>
      <c r="DV11" s="34"/>
      <c r="DW11" s="34"/>
      <c r="DX11" s="34"/>
      <c r="DY11" s="34"/>
      <c r="DZ11" s="34"/>
      <c r="EA11" s="34"/>
      <c r="EB11" s="34"/>
      <c r="EC11" s="34"/>
      <c r="ED11" s="34"/>
      <c r="EE11" s="34"/>
      <c r="EF11" s="34"/>
      <c r="EG11" s="34"/>
      <c r="EH11" s="34"/>
      <c r="EI11" s="34"/>
    </row>
    <row r="12" s="2" customFormat="1" ht="20.1" customHeight="1">
      <c r="A12" s="9"/>
      <c r="B12" s="66"/>
      <c r="C12" s="131"/>
      <c r="D12" s="131"/>
      <c r="E12" s="131"/>
      <c r="G12" s="132"/>
      <c r="H12" s="132"/>
      <c r="I12" s="132"/>
      <c r="J12" s="132"/>
      <c r="K12" s="132"/>
      <c r="L12" s="132"/>
      <c r="M12" s="132"/>
      <c r="N12" s="132"/>
      <c r="O12" s="132"/>
      <c r="P12" s="132"/>
      <c r="Q12" s="132"/>
      <c r="R12" s="132"/>
      <c r="S12" s="132"/>
      <c r="T12" s="132"/>
      <c r="U12" s="132"/>
      <c r="V12" s="132"/>
      <c r="W12" s="281"/>
      <c r="X12" s="281"/>
      <c r="Y12" s="281"/>
      <c r="Z12" s="281"/>
      <c r="AA12" s="281"/>
      <c r="AB12" s="281"/>
      <c r="AC12" s="281"/>
      <c r="AD12" s="281"/>
      <c r="AE12" s="281"/>
      <c r="AF12" s="281"/>
      <c r="AG12" s="281"/>
      <c r="AH12" s="281"/>
      <c r="AI12" s="281"/>
      <c r="AJ12" s="281"/>
      <c r="AK12" s="281"/>
      <c r="AL12" s="34"/>
      <c r="AM12" s="34"/>
      <c r="AN12" s="34"/>
      <c r="AO12" s="34"/>
      <c r="AP12" s="34"/>
      <c r="AQ12" s="34"/>
      <c r="AR12" s="34"/>
      <c r="AS12" s="34"/>
      <c r="AT12" s="34"/>
      <c r="AU12" s="34"/>
      <c r="AV12" s="34"/>
      <c r="AW12" s="34"/>
      <c r="AX12" s="34"/>
      <c r="AY12" s="34"/>
      <c r="AZ12" s="34"/>
      <c r="BA12" s="34"/>
      <c r="BB12" s="34"/>
      <c r="BC12" s="34"/>
      <c r="BD12" s="34"/>
      <c r="BE12" s="34"/>
      <c r="BF12" s="34"/>
      <c r="BG12" s="34"/>
      <c r="BH12" s="34"/>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c r="CK12" s="34"/>
      <c r="CL12" s="34"/>
      <c r="CM12" s="34"/>
      <c r="CN12" s="34"/>
      <c r="CO12" s="34"/>
      <c r="CP12" s="34"/>
      <c r="CQ12" s="34"/>
      <c r="CR12" s="34"/>
      <c r="CS12" s="34"/>
      <c r="CT12" s="34"/>
      <c r="CU12" s="34"/>
      <c r="CV12" s="34"/>
      <c r="CW12" s="34"/>
      <c r="CX12" s="34"/>
      <c r="CY12" s="34"/>
      <c r="CZ12" s="34"/>
      <c r="DA12" s="34"/>
      <c r="DB12" s="34"/>
      <c r="DC12" s="34"/>
      <c r="DD12" s="34"/>
      <c r="DE12" s="34"/>
      <c r="DF12" s="34"/>
      <c r="DG12" s="34"/>
      <c r="DH12" s="34"/>
      <c r="DI12" s="34"/>
      <c r="DJ12" s="34"/>
      <c r="DK12" s="34"/>
      <c r="DL12" s="34"/>
      <c r="DM12" s="34"/>
      <c r="DN12" s="34"/>
      <c r="DO12" s="34"/>
      <c r="DP12" s="34"/>
      <c r="DQ12" s="34"/>
      <c r="DR12" s="34"/>
      <c r="DS12" s="34"/>
      <c r="DT12" s="34"/>
      <c r="DU12" s="34"/>
      <c r="DV12" s="34"/>
      <c r="DW12" s="34"/>
      <c r="DX12" s="34"/>
      <c r="DY12" s="34"/>
      <c r="DZ12" s="34"/>
      <c r="EA12" s="34"/>
      <c r="EB12" s="34"/>
      <c r="EC12" s="34"/>
      <c r="ED12" s="34"/>
      <c r="EE12" s="34"/>
      <c r="EF12" s="34"/>
      <c r="EG12" s="34"/>
      <c r="EH12" s="34"/>
      <c r="EI12" s="34"/>
    </row>
    <row r="13" s="2" customFormat="1" ht="20.1" customHeight="1">
      <c r="A13" s="9"/>
      <c r="B13" s="66"/>
      <c r="C13" s="131"/>
      <c r="D13" s="131"/>
      <c r="E13" s="131"/>
      <c r="G13" s="132"/>
      <c r="H13" s="132"/>
      <c r="I13" s="132"/>
      <c r="J13" s="132"/>
      <c r="K13" s="132"/>
      <c r="L13" s="132"/>
      <c r="M13" s="132"/>
      <c r="N13" s="132"/>
      <c r="O13" s="132"/>
      <c r="P13" s="132"/>
      <c r="Q13" s="132"/>
      <c r="R13" s="132"/>
      <c r="S13" s="132"/>
      <c r="T13" s="132"/>
      <c r="U13" s="132"/>
      <c r="V13" s="132"/>
      <c r="W13" s="281"/>
      <c r="X13" s="1019" t="s">
        <v>43</v>
      </c>
      <c r="Y13" s="1019" t="s">
        <v>46</v>
      </c>
      <c r="Z13" s="1019" t="s">
        <v>47</v>
      </c>
      <c r="AA13" s="1019" t="s">
        <v>48</v>
      </c>
      <c r="AB13" s="1019" t="s">
        <v>49</v>
      </c>
      <c r="AC13" s="1019" t="s">
        <v>50</v>
      </c>
      <c r="AD13" s="1019" t="s">
        <v>51</v>
      </c>
      <c r="AE13" s="1019" t="s">
        <v>40</v>
      </c>
      <c r="AF13" s="1019" t="s">
        <v>52</v>
      </c>
      <c r="AG13" s="281"/>
      <c r="AH13" s="281"/>
      <c r="AI13" s="281"/>
      <c r="AJ13" s="281"/>
      <c r="AK13" s="281"/>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c r="CK13" s="34"/>
      <c r="CL13" s="34"/>
      <c r="CM13" s="34"/>
      <c r="CN13" s="34"/>
      <c r="CO13" s="34"/>
      <c r="CP13" s="34"/>
      <c r="CQ13" s="34"/>
      <c r="CR13" s="34"/>
      <c r="CS13" s="34"/>
      <c r="CT13" s="34"/>
      <c r="CU13" s="34"/>
      <c r="CV13" s="34"/>
      <c r="CW13" s="34"/>
      <c r="CX13" s="34"/>
      <c r="CY13" s="34"/>
      <c r="CZ13" s="34"/>
      <c r="DA13" s="34"/>
      <c r="DB13" s="34"/>
      <c r="DC13" s="34"/>
      <c r="DD13" s="34"/>
      <c r="DE13" s="34"/>
      <c r="DF13" s="34"/>
      <c r="DG13" s="34"/>
      <c r="DH13" s="34"/>
      <c r="DI13" s="34"/>
      <c r="DJ13" s="34"/>
      <c r="DK13" s="34"/>
      <c r="DL13" s="34"/>
      <c r="DM13" s="34"/>
      <c r="DN13" s="34"/>
      <c r="DO13" s="34"/>
      <c r="DP13" s="34"/>
      <c r="DQ13" s="34"/>
      <c r="DR13" s="34"/>
      <c r="DS13" s="34"/>
      <c r="DT13" s="34"/>
      <c r="DU13" s="34"/>
      <c r="DV13" s="34"/>
      <c r="DW13" s="34"/>
      <c r="DX13" s="34"/>
      <c r="DY13" s="34"/>
      <c r="DZ13" s="34"/>
      <c r="EA13" s="34"/>
      <c r="EB13" s="34"/>
      <c r="EC13" s="34"/>
      <c r="ED13" s="34"/>
      <c r="EE13" s="34"/>
      <c r="EF13" s="34"/>
      <c r="EG13" s="34"/>
      <c r="EH13" s="34"/>
      <c r="EI13" s="34"/>
    </row>
    <row r="14" s="2" customFormat="1" ht="20.1" customHeight="1">
      <c r="A14" s="9"/>
      <c r="B14" s="66"/>
      <c r="C14" s="131"/>
      <c r="D14" s="131"/>
      <c r="E14" s="131"/>
      <c r="G14" s="132"/>
      <c r="H14" s="132"/>
      <c r="I14" s="132"/>
      <c r="J14" s="132"/>
      <c r="K14" s="132"/>
      <c r="L14" s="132"/>
      <c r="M14" s="132"/>
      <c r="N14" s="132"/>
      <c r="O14" s="132"/>
      <c r="P14" s="132"/>
      <c r="Q14" s="132"/>
      <c r="R14" s="132"/>
      <c r="S14" s="132"/>
      <c r="T14" s="132"/>
      <c r="U14" s="132"/>
      <c r="V14" s="132"/>
      <c r="W14" s="281"/>
      <c r="X14" s="1019" t="str">
        <f>D18</f>
      </c>
      <c r="Y14" s="1019" t="str">
        <f>D24</f>
      </c>
      <c r="Z14" s="1019" t="str">
        <f>D30</f>
      </c>
      <c r="AA14" s="1019" t="str">
        <f>D36</f>
      </c>
      <c r="AB14" s="1019" t="str">
        <f>D42</f>
      </c>
      <c r="AC14" s="1019" t="str">
        <f>D48</f>
      </c>
      <c r="AD14" s="1019" t="str">
        <f>D54</f>
      </c>
      <c r="AE14" s="1019" t="str">
        <f>D60</f>
      </c>
      <c r="AF14" s="1019" t="str">
        <f>D66</f>
      </c>
      <c r="AG14" s="281"/>
      <c r="AH14" s="281"/>
      <c r="AI14" s="281"/>
      <c r="AJ14" s="281"/>
      <c r="AK14" s="281"/>
      <c r="AL14" s="34"/>
      <c r="AM14" s="34"/>
      <c r="AN14" s="34"/>
      <c r="AO14" s="34"/>
      <c r="AP14" s="34"/>
      <c r="AQ14" s="34"/>
      <c r="AR14" s="34"/>
      <c r="AS14" s="34"/>
      <c r="AT14" s="34"/>
      <c r="AU14" s="34"/>
      <c r="AV14" s="34"/>
      <c r="AW14" s="34"/>
      <c r="AX14" s="34"/>
      <c r="AY14" s="34"/>
      <c r="AZ14" s="34"/>
      <c r="BA14" s="34"/>
      <c r="BB14" s="34"/>
      <c r="BC14" s="34"/>
      <c r="BD14" s="34"/>
      <c r="BE14" s="34"/>
      <c r="BF14" s="34"/>
      <c r="BG14" s="34"/>
      <c r="BH14" s="34"/>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c r="CK14" s="34"/>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row>
    <row r="15" s="2" customFormat="1" ht="15.95" customHeight="1">
      <c r="D15" s="810" t="s">
        <v>22</v>
      </c>
      <c r="E15" s="810"/>
      <c r="F15" s="810"/>
      <c r="G15" s="810"/>
      <c r="H15" s="810"/>
      <c r="I15" s="962"/>
      <c r="J15" s="810" t="s">
        <v>90</v>
      </c>
      <c r="K15" s="810"/>
      <c r="L15" s="810"/>
      <c r="M15" s="810"/>
      <c r="N15" s="810"/>
      <c r="O15" s="962"/>
      <c r="P15" s="810" t="s">
        <v>10</v>
      </c>
      <c r="Q15" s="810"/>
      <c r="R15" s="810"/>
      <c r="S15" s="810"/>
      <c r="T15" s="810"/>
      <c r="U15" s="962"/>
      <c r="W15" s="281"/>
      <c r="X15" s="1019" t="str">
        <f>F18</f>
      </c>
      <c r="Y15" s="1019" t="str">
        <f>F24</f>
      </c>
      <c r="Z15" s="1019" t="str">
        <f>F30</f>
      </c>
      <c r="AA15" s="1019" t="str">
        <f>F36</f>
      </c>
      <c r="AB15" s="1019" t="str">
        <f>F42</f>
      </c>
      <c r="AC15" s="1019" t="str">
        <f>F48</f>
      </c>
      <c r="AD15" s="1019" t="str">
        <f>F54</f>
      </c>
      <c r="AE15" s="1019" t="str">
        <f>F60</f>
      </c>
      <c r="AF15" s="1019" t="str">
        <f>F66</f>
      </c>
      <c r="AG15" s="281"/>
      <c r="AH15" s="281"/>
      <c r="AI15" s="281"/>
      <c r="AJ15" s="281"/>
      <c r="AK15" s="281"/>
      <c r="AL15" s="34"/>
      <c r="AM15" s="34"/>
      <c r="AN15" s="34"/>
      <c r="AO15" s="34"/>
      <c r="AP15" s="34"/>
      <c r="AQ15" s="34"/>
      <c r="AR15" s="34"/>
      <c r="AS15" s="34"/>
      <c r="AT15" s="34"/>
      <c r="AU15" s="34"/>
      <c r="AV15" s="34"/>
      <c r="AW15" s="34"/>
      <c r="AX15" s="34"/>
      <c r="AY15" s="34"/>
      <c r="AZ15" s="34"/>
      <c r="BA15" s="34"/>
      <c r="BB15" s="34"/>
      <c r="BC15" s="34"/>
      <c r="BD15" s="34"/>
      <c r="BE15" s="34"/>
      <c r="BF15" s="34"/>
      <c r="BG15" s="34"/>
      <c r="BH15" s="34"/>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c r="CK15" s="34"/>
      <c r="CL15" s="34"/>
      <c r="CM15" s="34"/>
      <c r="CN15" s="34"/>
      <c r="CO15" s="34"/>
      <c r="CP15" s="34"/>
      <c r="CQ15" s="34"/>
      <c r="CR15" s="34"/>
      <c r="CS15" s="34"/>
      <c r="CT15" s="34"/>
      <c r="CU15" s="34"/>
      <c r="CV15" s="34"/>
      <c r="CW15" s="34"/>
      <c r="CX15" s="34"/>
      <c r="CY15" s="34"/>
      <c r="CZ15" s="34"/>
      <c r="DA15" s="34"/>
      <c r="DB15" s="34"/>
      <c r="DC15" s="34"/>
      <c r="DD15" s="34"/>
      <c r="DE15" s="34"/>
      <c r="DF15" s="34"/>
      <c r="DG15" s="34"/>
      <c r="DH15" s="34"/>
      <c r="DI15" s="34"/>
      <c r="DJ15" s="34"/>
      <c r="DK15" s="34"/>
      <c r="DL15" s="34"/>
      <c r="DM15" s="34"/>
      <c r="DN15" s="34"/>
      <c r="DO15" s="34"/>
      <c r="DP15" s="34"/>
      <c r="DQ15" s="34"/>
      <c r="DR15" s="34"/>
      <c r="DS15" s="34"/>
      <c r="DT15" s="34"/>
      <c r="DU15" s="34"/>
      <c r="DV15" s="34"/>
      <c r="DW15" s="34"/>
      <c r="DX15" s="34"/>
      <c r="DY15" s="34"/>
      <c r="DZ15" s="34"/>
      <c r="EA15" s="34"/>
      <c r="EB15" s="34"/>
      <c r="EC15" s="34"/>
      <c r="ED15" s="34"/>
      <c r="EE15" s="34"/>
      <c r="EF15" s="34"/>
      <c r="EG15" s="34"/>
      <c r="EH15" s="34"/>
      <c r="EI15" s="34"/>
    </row>
    <row r="16" s="2" customFormat="1" ht="15.95" customHeight="1">
      <c r="D16" s="808" t="s">
        <v>19</v>
      </c>
      <c r="E16" s="809"/>
      <c r="F16" s="808" t="s">
        <v>35</v>
      </c>
      <c r="G16" s="809"/>
      <c r="H16" s="808" t="s">
        <v>97</v>
      </c>
      <c r="I16" s="809"/>
      <c r="J16" s="808" t="s">
        <v>19</v>
      </c>
      <c r="K16" s="809"/>
      <c r="L16" s="808" t="s">
        <v>35</v>
      </c>
      <c r="M16" s="809"/>
      <c r="N16" s="808" t="s">
        <v>98</v>
      </c>
      <c r="O16" s="809"/>
      <c r="P16" s="808" t="s">
        <v>19</v>
      </c>
      <c r="Q16" s="809"/>
      <c r="R16" s="808" t="s">
        <v>35</v>
      </c>
      <c r="S16" s="809"/>
      <c r="T16" s="808" t="s">
        <v>99</v>
      </c>
      <c r="U16" s="809"/>
      <c r="W16" s="281"/>
      <c r="X16" s="1019" t="str">
        <f>J18</f>
      </c>
      <c r="Y16" s="1019" t="str">
        <f>J24</f>
      </c>
      <c r="Z16" s="1019" t="str">
        <f>J30</f>
      </c>
      <c r="AA16" s="1019" t="str">
        <f>J36</f>
      </c>
      <c r="AB16" s="1019" t="str">
        <f>J42</f>
      </c>
      <c r="AC16" s="1019" t="str">
        <f>J48</f>
      </c>
      <c r="AD16" s="1019" t="str">
        <f>J54</f>
      </c>
      <c r="AE16" s="1019" t="str">
        <f>J60</f>
      </c>
      <c r="AF16" s="1019" t="str">
        <f>J66</f>
      </c>
      <c r="AG16" s="281"/>
      <c r="AH16" s="281"/>
      <c r="AI16" s="281"/>
      <c r="AJ16" s="281"/>
      <c r="AK16" s="281"/>
      <c r="AL16" s="34"/>
      <c r="AM16" s="34"/>
      <c r="AN16" s="34"/>
      <c r="AO16" s="34"/>
      <c r="AP16" s="34"/>
      <c r="AQ16" s="34"/>
      <c r="AR16" s="34"/>
      <c r="AS16" s="34"/>
      <c r="AT16" s="34"/>
      <c r="AU16" s="34"/>
      <c r="AV16" s="34"/>
      <c r="AW16" s="34"/>
      <c r="AX16" s="34"/>
      <c r="AY16" s="34"/>
      <c r="AZ16" s="34"/>
      <c r="BA16" s="34"/>
      <c r="BB16" s="34"/>
      <c r="BC16" s="34"/>
      <c r="BD16" s="34"/>
      <c r="BE16" s="34"/>
      <c r="BF16" s="34"/>
      <c r="BG16" s="34"/>
      <c r="BH16" s="34"/>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c r="CK16" s="34"/>
      <c r="CL16" s="34"/>
      <c r="CM16" s="34"/>
      <c r="CN16" s="34"/>
      <c r="CO16" s="34"/>
      <c r="CP16" s="34"/>
      <c r="CQ16" s="34"/>
      <c r="CR16" s="34"/>
      <c r="CS16" s="34"/>
      <c r="CT16" s="34"/>
      <c r="CU16" s="34"/>
      <c r="CV16" s="34"/>
      <c r="CW16" s="34"/>
      <c r="CX16" s="34"/>
      <c r="CY16" s="34"/>
      <c r="CZ16" s="34"/>
      <c r="DA16" s="34"/>
      <c r="DB16" s="34"/>
      <c r="DC16" s="34"/>
      <c r="DD16" s="34"/>
      <c r="DE16" s="34"/>
      <c r="DF16" s="34"/>
      <c r="DG16" s="34"/>
      <c r="DH16" s="34"/>
      <c r="DI16" s="34"/>
      <c r="DJ16" s="34"/>
      <c r="DK16" s="34"/>
      <c r="DL16" s="34"/>
      <c r="DM16" s="34"/>
      <c r="DN16" s="34"/>
      <c r="DO16" s="34"/>
      <c r="DP16" s="34"/>
      <c r="DQ16" s="34"/>
      <c r="DR16" s="34"/>
      <c r="DS16" s="34"/>
      <c r="DT16" s="34"/>
      <c r="DU16" s="34"/>
      <c r="DV16" s="34"/>
      <c r="DW16" s="34"/>
      <c r="DX16" s="34"/>
      <c r="DY16" s="34"/>
      <c r="DZ16" s="34"/>
      <c r="EA16" s="34"/>
      <c r="EB16" s="34"/>
      <c r="EC16" s="34"/>
      <c r="ED16" s="34"/>
      <c r="EE16" s="34"/>
      <c r="EF16" s="34"/>
      <c r="EG16" s="34"/>
      <c r="EH16" s="34"/>
      <c r="EI16" s="34"/>
    </row>
    <row r="17" s="2" customFormat="1" ht="15.95" customHeight="1">
      <c r="B17" s="611" t="s">
        <v>39</v>
      </c>
      <c r="C17" s="611" t="s">
        <v>41</v>
      </c>
      <c r="D17" s="298"/>
      <c r="E17" s="298" t="s">
        <v>24</v>
      </c>
      <c r="F17" s="299"/>
      <c r="G17" s="298" t="s">
        <v>24</v>
      </c>
      <c r="H17" s="299"/>
      <c r="I17" s="298" t="s">
        <v>24</v>
      </c>
      <c r="J17" s="299"/>
      <c r="K17" s="298" t="s">
        <v>24</v>
      </c>
      <c r="L17" s="299"/>
      <c r="M17" s="298" t="s">
        <v>24</v>
      </c>
      <c r="N17" s="299"/>
      <c r="O17" s="298" t="s">
        <v>24</v>
      </c>
      <c r="P17" s="299"/>
      <c r="Q17" s="298" t="s">
        <v>24</v>
      </c>
      <c r="R17" s="299"/>
      <c r="S17" s="298" t="s">
        <v>24</v>
      </c>
      <c r="T17" s="299"/>
      <c r="U17" s="298" t="s">
        <v>24</v>
      </c>
      <c r="W17" s="281"/>
      <c r="X17" s="1019" t="str">
        <f>L18</f>
      </c>
      <c r="Y17" s="1019" t="str">
        <f>L24</f>
      </c>
      <c r="Z17" s="1019" t="str">
        <f>L30</f>
      </c>
      <c r="AA17" s="1019" t="str">
        <f>L36</f>
      </c>
      <c r="AB17" s="1019" t="str">
        <f>L42</f>
      </c>
      <c r="AC17" s="1019" t="str">
        <f>L48</f>
      </c>
      <c r="AD17" s="1019" t="str">
        <f>L54</f>
      </c>
      <c r="AE17" s="1019" t="str">
        <f>L60</f>
      </c>
      <c r="AF17" s="1019" t="str">
        <f>L66</f>
      </c>
      <c r="AG17" s="281"/>
      <c r="AH17" s="281"/>
      <c r="AI17" s="281"/>
      <c r="AJ17" s="281"/>
      <c r="AK17" s="281"/>
      <c r="AL17" s="34"/>
      <c r="AM17" s="34"/>
      <c r="AN17" s="34"/>
      <c r="AO17" s="34"/>
      <c r="AP17" s="34"/>
      <c r="AQ17" s="34"/>
      <c r="AR17" s="34"/>
      <c r="AS17" s="34"/>
      <c r="AT17" s="34"/>
      <c r="AU17" s="34"/>
      <c r="AV17" s="34"/>
      <c r="AW17" s="34"/>
      <c r="AX17" s="34"/>
      <c r="AY17" s="34"/>
      <c r="AZ17" s="34"/>
      <c r="BA17" s="34"/>
      <c r="BB17" s="34"/>
      <c r="BC17" s="34"/>
      <c r="BD17" s="34"/>
      <c r="BE17" s="34"/>
      <c r="BF17" s="34"/>
      <c r="BG17" s="34"/>
      <c r="BH17" s="34"/>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c r="CK17" s="34"/>
      <c r="CL17" s="34"/>
      <c r="CM17" s="34"/>
      <c r="CN17" s="34"/>
      <c r="CO17" s="34"/>
      <c r="CP17" s="34"/>
      <c r="CQ17" s="34"/>
      <c r="CR17" s="34"/>
      <c r="CS17" s="34"/>
      <c r="CT17" s="34"/>
      <c r="CU17" s="34"/>
      <c r="CV17" s="34"/>
      <c r="CW17" s="34"/>
      <c r="CX17" s="34"/>
      <c r="CY17" s="34"/>
      <c r="CZ17" s="34"/>
      <c r="DA17" s="34"/>
      <c r="DB17" s="34"/>
      <c r="DC17" s="34"/>
      <c r="DD17" s="34"/>
      <c r="DE17" s="34"/>
      <c r="DF17" s="34"/>
      <c r="DG17" s="34"/>
      <c r="DH17" s="34"/>
      <c r="DI17" s="34"/>
      <c r="DJ17" s="34"/>
      <c r="DK17" s="34"/>
      <c r="DL17" s="34"/>
      <c r="DM17" s="34"/>
      <c r="DN17" s="34"/>
      <c r="DO17" s="34"/>
      <c r="DP17" s="34"/>
      <c r="DQ17" s="34"/>
      <c r="DR17" s="34"/>
      <c r="DS17" s="34"/>
      <c r="DT17" s="34"/>
      <c r="DU17" s="34"/>
      <c r="DV17" s="34"/>
      <c r="DW17" s="34"/>
      <c r="DX17" s="34"/>
      <c r="DY17" s="34"/>
      <c r="DZ17" s="34"/>
      <c r="EA17" s="34"/>
      <c r="EB17" s="34"/>
      <c r="EC17" s="34"/>
      <c r="ED17" s="34"/>
      <c r="EE17" s="34"/>
      <c r="EF17" s="34"/>
      <c r="EG17" s="34"/>
      <c r="EH17" s="34"/>
      <c r="EI17" s="34"/>
    </row>
    <row r="18" s="2" customFormat="1" ht="15.95" customHeight="1">
      <c r="B18" s="300" t="s">
        <v>43</v>
      </c>
      <c r="C18" s="303" t="s">
        <v>42</v>
      </c>
      <c r="D18" s="307">
        <v>39.197530864197530864197530860</v>
      </c>
      <c r="E18" s="308">
        <v>-8.633093525177226851612235330</v>
      </c>
      <c r="F18" s="308">
        <v>42.027243589743589743589743590</v>
      </c>
      <c r="G18" s="308">
        <v>10.421052631571508476454294130</v>
      </c>
      <c r="H18" s="308">
        <v>93.26695618411678883256945290</v>
      </c>
      <c r="I18" s="309">
        <v>-17.255899760581412267609084160</v>
      </c>
      <c r="J18" s="317">
        <v>119.57338582677165354330708665</v>
      </c>
      <c r="K18" s="308">
        <v>-4.7836977890806240172162188600</v>
      </c>
      <c r="L18" s="318">
        <v>121.55067013994948392646426691</v>
      </c>
      <c r="M18" s="308">
        <v>11.135092601705155118235118950</v>
      </c>
      <c r="N18" s="308">
        <v>98.37328390633093948256319962</v>
      </c>
      <c r="O18" s="309">
        <v>-14.323819792761738735933292970</v>
      </c>
      <c r="P18" s="317">
        <v>46.869814814814814814814814827</v>
      </c>
      <c r="Q18" s="308">
        <v>-13.003810210101900828148775570</v>
      </c>
      <c r="R18" s="318">
        <v>51.084396224682295127748804483</v>
      </c>
      <c r="S18" s="308">
        <v>22.716539093863244571791298150</v>
      </c>
      <c r="T18" s="308">
        <v>91.74976759763017854403094761</v>
      </c>
      <c r="U18" s="309">
        <v>-29.108015568100807958077385750</v>
      </c>
      <c r="W18" s="281"/>
      <c r="X18" s="1019"/>
      <c r="Y18" s="1019"/>
      <c r="Z18" s="1019"/>
      <c r="AA18" s="1019"/>
      <c r="AB18" s="1019"/>
      <c r="AC18" s="1019"/>
      <c r="AD18" s="1019"/>
      <c r="AE18" s="1019"/>
      <c r="AF18" s="1019"/>
      <c r="AG18" s="281"/>
      <c r="AH18" s="281"/>
      <c r="AI18" s="281"/>
      <c r="AJ18" s="281"/>
      <c r="AK18" s="281"/>
      <c r="AL18" s="34"/>
      <c r="AM18" s="34"/>
      <c r="AN18" s="34"/>
      <c r="AO18" s="34"/>
      <c r="AP18" s="34"/>
      <c r="AQ18" s="34"/>
      <c r="AR18" s="34"/>
      <c r="AS18" s="34"/>
      <c r="AT18" s="34"/>
      <c r="AU18" s="34"/>
      <c r="AV18" s="34"/>
      <c r="AW18" s="34"/>
      <c r="AX18" s="34"/>
      <c r="AY18" s="34"/>
      <c r="AZ18" s="34"/>
      <c r="BA18" s="34"/>
      <c r="BB18" s="34"/>
      <c r="BC18" s="34"/>
      <c r="BD18" s="34"/>
      <c r="BE18" s="34"/>
      <c r="BF18" s="34"/>
      <c r="BG18" s="34"/>
      <c r="BH18" s="34"/>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c r="CK18" s="34"/>
      <c r="CL18" s="34"/>
      <c r="CM18" s="34"/>
      <c r="CN18" s="34"/>
      <c r="CO18" s="34"/>
      <c r="CP18" s="34"/>
      <c r="CQ18" s="34"/>
      <c r="CR18" s="34"/>
      <c r="CS18" s="34"/>
      <c r="CT18" s="34"/>
      <c r="CU18" s="34"/>
      <c r="CV18" s="34"/>
      <c r="CW18" s="34"/>
      <c r="CX18" s="34"/>
      <c r="CY18" s="34"/>
      <c r="CZ18" s="34"/>
      <c r="DA18" s="34"/>
      <c r="DB18" s="34"/>
      <c r="DC18" s="34"/>
      <c r="DD18" s="34"/>
      <c r="DE18" s="34"/>
      <c r="DF18" s="34"/>
      <c r="DG18" s="34"/>
      <c r="DH18" s="34"/>
      <c r="DI18" s="34"/>
      <c r="DJ18" s="34"/>
      <c r="DK18" s="34"/>
      <c r="DL18" s="34"/>
      <c r="DM18" s="34"/>
      <c r="DN18" s="34"/>
      <c r="DO18" s="34"/>
      <c r="DP18" s="34"/>
      <c r="DQ18" s="34"/>
      <c r="DR18" s="34"/>
      <c r="DS18" s="34"/>
      <c r="DT18" s="34"/>
      <c r="DU18" s="34"/>
      <c r="DV18" s="34"/>
      <c r="DW18" s="34"/>
      <c r="DX18" s="34"/>
      <c r="DY18" s="34"/>
      <c r="DZ18" s="34"/>
      <c r="EA18" s="34"/>
      <c r="EB18" s="34"/>
      <c r="EC18" s="34"/>
      <c r="ED18" s="34"/>
      <c r="EE18" s="34"/>
      <c r="EF18" s="34"/>
      <c r="EG18" s="34"/>
      <c r="EH18" s="34"/>
      <c r="EI18" s="34"/>
    </row>
    <row r="19" s="2" customFormat="1" ht="15.95" customHeight="1">
      <c r="B19" s="301"/>
      <c r="C19" s="304" t="s">
        <v>58</v>
      </c>
      <c r="D19" s="310">
        <v>40.094062316284538506760728980</v>
      </c>
      <c r="E19" s="134">
        <v>2.402402402504804804804907200</v>
      </c>
      <c r="F19" s="134">
        <v>28.869047619047619047619047620</v>
      </c>
      <c r="G19" s="134">
        <v>-4.2844410492083532489320078800</v>
      </c>
      <c r="H19" s="134">
        <v>138.88252513704975404426322575</v>
      </c>
      <c r="I19" s="311">
        <v>6.9861614193666966664787193700</v>
      </c>
      <c r="J19" s="319">
        <v>115.75404692082111436950146633</v>
      </c>
      <c r="K19" s="134">
        <v>1.8814899849264102186925247100</v>
      </c>
      <c r="L19" s="135">
        <v>115.37763332238413910393612648</v>
      </c>
      <c r="M19" s="134">
        <v>11.329040350851124012561122370</v>
      </c>
      <c r="N19" s="134">
        <v>100.32624486010152499881337463</v>
      </c>
      <c r="O19" s="311">
        <v>-8.486150905561395902417251880</v>
      </c>
      <c r="P19" s="319">
        <v>46.410499706055261610817166396</v>
      </c>
      <c r="Q19" s="134">
        <v>4.3290933479673537363292122200</v>
      </c>
      <c r="R19" s="135">
        <v>33.308423905569230634172036514</v>
      </c>
      <c r="S19" s="134">
        <v>6.5592132464071163722929353400</v>
      </c>
      <c r="T19" s="134">
        <v>139.33562223654919548916396326</v>
      </c>
      <c r="U19" s="311">
        <v>-2.0928456870233336816087432200</v>
      </c>
      <c r="W19" s="281"/>
      <c r="X19" s="281"/>
      <c r="Y19" s="281"/>
      <c r="Z19" s="281"/>
      <c r="AA19" s="281"/>
      <c r="AB19" s="281"/>
      <c r="AC19" s="281"/>
      <c r="AD19" s="281"/>
      <c r="AE19" s="281"/>
      <c r="AF19" s="281"/>
      <c r="AG19" s="281"/>
      <c r="AH19" s="281"/>
      <c r="AI19" s="281"/>
      <c r="AJ19" s="281"/>
      <c r="AK19" s="281"/>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c r="CK19" s="34"/>
      <c r="CL19" s="34"/>
      <c r="CM19" s="34"/>
      <c r="CN19" s="34"/>
      <c r="CO19" s="34"/>
      <c r="CP19" s="34"/>
      <c r="CQ19" s="34"/>
      <c r="CR19" s="34"/>
      <c r="CS19" s="34"/>
      <c r="CT19" s="34"/>
      <c r="CU19" s="34"/>
      <c r="CV19" s="34"/>
      <c r="CW19" s="34"/>
      <c r="CX19" s="34"/>
      <c r="CY19" s="34"/>
      <c r="CZ19" s="34"/>
      <c r="DA19" s="34"/>
      <c r="DB19" s="34"/>
      <c r="DC19" s="34"/>
      <c r="DD19" s="34"/>
      <c r="DE19" s="34"/>
      <c r="DF19" s="34"/>
      <c r="DG19" s="34"/>
      <c r="DH19" s="34"/>
      <c r="DI19" s="34"/>
      <c r="DJ19" s="34"/>
      <c r="DK19" s="34"/>
      <c r="DL19" s="34"/>
      <c r="DM19" s="34"/>
      <c r="DN19" s="34"/>
      <c r="DO19" s="34"/>
      <c r="DP19" s="34"/>
      <c r="DQ19" s="34"/>
      <c r="DR19" s="34"/>
      <c r="DS19" s="34"/>
      <c r="DT19" s="34"/>
      <c r="DU19" s="34"/>
      <c r="DV19" s="34"/>
      <c r="DW19" s="34"/>
      <c r="DX19" s="34"/>
      <c r="DY19" s="34"/>
      <c r="DZ19" s="34"/>
      <c r="EA19" s="34"/>
      <c r="EB19" s="34"/>
      <c r="EC19" s="34"/>
      <c r="ED19" s="34"/>
      <c r="EE19" s="34"/>
      <c r="EF19" s="34"/>
      <c r="EG19" s="34"/>
      <c r="EH19" s="34"/>
      <c r="EI19" s="34"/>
    </row>
    <row r="20" s="2" customFormat="1" ht="15.95" customHeight="1">
      <c r="B20" s="301"/>
      <c r="C20" s="305" t="s">
        <v>44</v>
      </c>
      <c r="D20" s="312">
        <v>44.159544159544159544159544160</v>
      </c>
      <c r="E20" s="159">
        <v>7.8886310905072647111072867300</v>
      </c>
      <c r="F20" s="159">
        <v>33.826429980276134122287968440</v>
      </c>
      <c r="G20" s="159">
        <v>-1.7895490337728756118667558500</v>
      </c>
      <c r="H20" s="159">
        <v>130.54745707797721659814841776</v>
      </c>
      <c r="I20" s="313">
        <v>9.854531802833098560354820770</v>
      </c>
      <c r="J20" s="320">
        <v>117.74774193548387096774193556</v>
      </c>
      <c r="K20" s="159">
        <v>-0.1075964301649313897689593200</v>
      </c>
      <c r="L20" s="160">
        <v>117.39212867235353572515652943</v>
      </c>
      <c r="M20" s="159">
        <v>10.811196544674871636677194350</v>
      </c>
      <c r="N20" s="159">
        <v>100.30292768953552420764113824</v>
      </c>
      <c r="O20" s="313">
        <v>-9.853510579544030841190631720</v>
      </c>
      <c r="P20" s="320">
        <v>51.996866096866096866096866131</v>
      </c>
      <c r="Q20" s="159">
        <v>7.7725467748930026097225163600</v>
      </c>
      <c r="R20" s="160">
        <v>39.70956620770933210426892465</v>
      </c>
      <c r="S20" s="159">
        <v>8.828175847903476555339125950</v>
      </c>
      <c r="T20" s="159">
        <v>130.94292147362589902235615937</v>
      </c>
      <c r="U20" s="313">
        <v>-0.9699961105991775737531787700</v>
      </c>
      <c r="W20" s="281"/>
      <c r="X20" s="281"/>
      <c r="Y20" s="281"/>
      <c r="Z20" s="281"/>
      <c r="AA20" s="281"/>
      <c r="AB20" s="281"/>
      <c r="AC20" s="281"/>
      <c r="AD20" s="281"/>
      <c r="AE20" s="281"/>
      <c r="AF20" s="281"/>
      <c r="AG20" s="281"/>
      <c r="AH20" s="281"/>
      <c r="AI20" s="281"/>
      <c r="AJ20" s="281"/>
      <c r="AK20" s="281"/>
      <c r="AL20" s="34"/>
      <c r="AM20" s="34"/>
      <c r="AN20" s="34"/>
      <c r="AO20" s="34"/>
      <c r="AP20" s="34"/>
      <c r="AQ20" s="34"/>
      <c r="AR20" s="34"/>
      <c r="AS20" s="34"/>
      <c r="AT20" s="34"/>
      <c r="AU20" s="34"/>
      <c r="AV20" s="34"/>
      <c r="AW20" s="34"/>
      <c r="AX20" s="34"/>
      <c r="AY20" s="34"/>
      <c r="AZ20" s="34"/>
      <c r="BA20" s="34"/>
      <c r="BB20" s="34"/>
      <c r="BC20" s="34"/>
      <c r="BD20" s="34"/>
      <c r="BE20" s="34"/>
      <c r="BF20" s="34"/>
      <c r="BG20" s="34"/>
      <c r="BH20" s="34"/>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c r="CK20" s="34"/>
      <c r="CL20" s="34"/>
      <c r="CM20" s="34"/>
      <c r="CN20" s="34"/>
      <c r="CO20" s="34"/>
      <c r="CP20" s="34"/>
      <c r="CQ20" s="34"/>
      <c r="CR20" s="34"/>
      <c r="CS20" s="34"/>
      <c r="CT20" s="34"/>
      <c r="CU20" s="34"/>
      <c r="CV20" s="34"/>
      <c r="CW20" s="34"/>
      <c r="CX20" s="34"/>
      <c r="CY20" s="34"/>
      <c r="CZ20" s="34"/>
      <c r="DA20" s="34"/>
      <c r="DB20" s="34"/>
      <c r="DC20" s="34"/>
      <c r="DD20" s="34"/>
      <c r="DE20" s="34"/>
      <c r="DF20" s="34"/>
      <c r="DG20" s="34"/>
      <c r="DH20" s="34"/>
      <c r="DI20" s="34"/>
      <c r="DJ20" s="34"/>
      <c r="DK20" s="34"/>
      <c r="DL20" s="34"/>
      <c r="DM20" s="34"/>
      <c r="DN20" s="34"/>
      <c r="DO20" s="34"/>
      <c r="DP20" s="34"/>
      <c r="DQ20" s="34"/>
      <c r="DR20" s="34"/>
      <c r="DS20" s="34"/>
      <c r="DT20" s="34"/>
      <c r="DU20" s="34"/>
      <c r="DV20" s="34"/>
      <c r="DW20" s="34"/>
      <c r="DX20" s="34"/>
      <c r="DY20" s="34"/>
      <c r="DZ20" s="34"/>
      <c r="EA20" s="34"/>
      <c r="EB20" s="34"/>
      <c r="EC20" s="34"/>
      <c r="ED20" s="34"/>
      <c r="EE20" s="34"/>
      <c r="EF20" s="34"/>
      <c r="EG20" s="34"/>
      <c r="EH20" s="34"/>
      <c r="EI20" s="34"/>
    </row>
    <row r="21" s="2" customFormat="1" ht="15.95" customHeight="1">
      <c r="B21" s="302"/>
      <c r="C21" s="306" t="s">
        <v>45</v>
      </c>
      <c r="D21" s="314">
        <v>39.221272554605887939221272550</v>
      </c>
      <c r="E21" s="315">
        <v>-1.3731343283629194920917796900</v>
      </c>
      <c r="F21" s="315">
        <v>27.650394477317554240631163710</v>
      </c>
      <c r="G21" s="315">
        <v>-17.565384769621041807446527120</v>
      </c>
      <c r="H21" s="315">
        <v>141.84706329164732642937595574</v>
      </c>
      <c r="I21" s="316">
        <v>19.642537781120642912481257130</v>
      </c>
      <c r="J21" s="321">
        <v>115.41254237288135593220338985</v>
      </c>
      <c r="K21" s="315">
        <v>-0.153358314129015121502976900</v>
      </c>
      <c r="L21" s="322">
        <v>110.80837214257506259546355927</v>
      </c>
      <c r="M21" s="315">
        <v>8.365025145462126397668260590</v>
      </c>
      <c r="N21" s="315">
        <v>104.15507433351355431213542367</v>
      </c>
      <c r="O21" s="316">
        <v>-7.8608235897197423913723498700</v>
      </c>
      <c r="P21" s="321">
        <v>45.266267806267806267806267816</v>
      </c>
      <c r="Q21" s="315">
        <v>-1.5243868267456891603043815500</v>
      </c>
      <c r="R21" s="322">
        <v>30.638952011316058358188457033</v>
      </c>
      <c r="S21" s="315">
        <v>-10.669708477018182674110785300</v>
      </c>
      <c r="T21" s="315">
        <v>147.74091421133817815284626473</v>
      </c>
      <c r="U21" s="316">
        <v>10.237648947856811749022879220</v>
      </c>
      <c r="W21" s="281"/>
      <c r="X21" s="281"/>
      <c r="Y21" s="281"/>
      <c r="Z21" s="281"/>
      <c r="AA21" s="281"/>
      <c r="AB21" s="281"/>
      <c r="AC21" s="281"/>
      <c r="AD21" s="281"/>
      <c r="AE21" s="281"/>
      <c r="AF21" s="281"/>
      <c r="AG21" s="281"/>
      <c r="AH21" s="281"/>
      <c r="AI21" s="281"/>
      <c r="AJ21" s="281"/>
      <c r="AK21" s="281"/>
      <c r="AL21" s="34"/>
      <c r="AM21" s="34"/>
      <c r="AN21" s="34"/>
      <c r="AO21" s="34"/>
      <c r="AP21" s="34"/>
      <c r="AQ21" s="34"/>
      <c r="AR21" s="34"/>
      <c r="AS21" s="34"/>
      <c r="AT21" s="34"/>
      <c r="AU21" s="34"/>
      <c r="AV21" s="34"/>
      <c r="AW21" s="34"/>
      <c r="AX21" s="34"/>
      <c r="AY21" s="34"/>
      <c r="AZ21" s="34"/>
      <c r="BA21" s="34"/>
      <c r="BB21" s="34"/>
      <c r="BC21" s="34"/>
      <c r="BD21" s="34"/>
      <c r="BE21" s="34"/>
      <c r="BF21" s="34"/>
      <c r="BG21" s="34"/>
      <c r="BH21" s="34"/>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c r="CK21" s="34"/>
      <c r="CL21" s="34"/>
      <c r="CM21" s="34"/>
      <c r="CN21" s="34"/>
      <c r="CO21" s="34"/>
      <c r="CP21" s="34"/>
      <c r="CQ21" s="34"/>
      <c r="CR21" s="34"/>
      <c r="CS21" s="34"/>
      <c r="CT21" s="34"/>
      <c r="CU21" s="34"/>
      <c r="CV21" s="34"/>
      <c r="CW21" s="34"/>
      <c r="CX21" s="34"/>
      <c r="CY21" s="34"/>
      <c r="CZ21" s="34"/>
      <c r="DA21" s="34"/>
      <c r="DB21" s="34"/>
      <c r="DC21" s="34"/>
      <c r="DD21" s="34"/>
      <c r="DE21" s="34"/>
      <c r="DF21" s="34"/>
      <c r="DG21" s="34"/>
      <c r="DH21" s="34"/>
      <c r="DI21" s="34"/>
      <c r="DJ21" s="34"/>
      <c r="DK21" s="34"/>
      <c r="DL21" s="34"/>
      <c r="DM21" s="34"/>
      <c r="DN21" s="34"/>
      <c r="DO21" s="34"/>
      <c r="DP21" s="34"/>
      <c r="DQ21" s="34"/>
      <c r="DR21" s="34"/>
      <c r="DS21" s="34"/>
      <c r="DT21" s="34"/>
      <c r="DU21" s="34"/>
      <c r="DV21" s="34"/>
      <c r="DW21" s="34"/>
      <c r="DX21" s="34"/>
      <c r="DY21" s="34"/>
      <c r="DZ21" s="34"/>
      <c r="EA21" s="34"/>
      <c r="EB21" s="34"/>
      <c r="EC21" s="34"/>
      <c r="ED21" s="34"/>
      <c r="EE21" s="34"/>
      <c r="EF21" s="34"/>
      <c r="EG21" s="34"/>
      <c r="EH21" s="34"/>
      <c r="EI21" s="34"/>
    </row>
    <row r="22" s="2" customFormat="1" ht="5.1" customHeight="1">
      <c r="B22" s="297"/>
      <c r="C22" s="297"/>
      <c r="D22" s="159"/>
      <c r="E22" s="159"/>
      <c r="F22" s="159"/>
      <c r="G22" s="159"/>
      <c r="H22" s="159"/>
      <c r="I22" s="159"/>
      <c r="J22" s="160"/>
      <c r="K22" s="159"/>
      <c r="L22" s="160"/>
      <c r="M22" s="159"/>
      <c r="N22" s="159"/>
      <c r="O22" s="159"/>
      <c r="P22" s="160"/>
      <c r="Q22" s="159"/>
      <c r="R22" s="160"/>
      <c r="S22" s="159"/>
      <c r="T22" s="159"/>
      <c r="U22" s="159"/>
      <c r="W22" s="281"/>
      <c r="X22" s="281"/>
      <c r="Y22" s="281"/>
      <c r="Z22" s="281"/>
      <c r="AA22" s="281"/>
      <c r="AB22" s="281"/>
      <c r="AC22" s="281"/>
      <c r="AD22" s="281"/>
      <c r="AE22" s="281"/>
      <c r="AF22" s="281"/>
      <c r="AG22" s="281"/>
      <c r="AH22" s="281"/>
      <c r="AI22" s="281"/>
      <c r="AJ22" s="281"/>
      <c r="AK22" s="281"/>
      <c r="AL22" s="34"/>
      <c r="AM22" s="34"/>
      <c r="AN22" s="34"/>
      <c r="AO22" s="34"/>
      <c r="AP22" s="34"/>
      <c r="AQ22" s="34"/>
      <c r="AR22" s="34"/>
      <c r="AS22" s="34"/>
      <c r="AT22" s="34"/>
      <c r="AU22" s="34"/>
      <c r="AV22" s="34"/>
      <c r="AW22" s="34"/>
      <c r="AX22" s="34"/>
      <c r="AY22" s="34"/>
      <c r="AZ22" s="34"/>
      <c r="BA22" s="34"/>
      <c r="BB22" s="34"/>
      <c r="BC22" s="34"/>
      <c r="BD22" s="34"/>
      <c r="BE22" s="34"/>
      <c r="BF22" s="34"/>
      <c r="BG22" s="34"/>
      <c r="BH22" s="34"/>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c r="CK22" s="34"/>
      <c r="CL22" s="34"/>
      <c r="CM22" s="34"/>
      <c r="CN22" s="34"/>
      <c r="CO22" s="34"/>
      <c r="CP22" s="34"/>
      <c r="CQ22" s="34"/>
      <c r="CR22" s="34"/>
      <c r="CS22" s="34"/>
      <c r="CT22" s="34"/>
      <c r="CU22" s="34"/>
      <c r="CV22" s="34"/>
      <c r="CW22" s="34"/>
      <c r="CX22" s="34"/>
      <c r="CY22" s="34"/>
      <c r="CZ22" s="34"/>
      <c r="DA22" s="34"/>
      <c r="DB22" s="34"/>
      <c r="DC22" s="34"/>
      <c r="DD22" s="34"/>
      <c r="DE22" s="34"/>
      <c r="DF22" s="34"/>
      <c r="DG22" s="34"/>
      <c r="DH22" s="34"/>
      <c r="DI22" s="34"/>
      <c r="DJ22" s="34"/>
      <c r="DK22" s="34"/>
      <c r="DL22" s="34"/>
      <c r="DM22" s="34"/>
      <c r="DN22" s="34"/>
      <c r="DO22" s="34"/>
      <c r="DP22" s="34"/>
      <c r="DQ22" s="34"/>
      <c r="DR22" s="34"/>
      <c r="DS22" s="34"/>
      <c r="DT22" s="34"/>
      <c r="DU22" s="34"/>
      <c r="DV22" s="34"/>
      <c r="DW22" s="34"/>
      <c r="DX22" s="34"/>
      <c r="DY22" s="34"/>
      <c r="DZ22" s="34"/>
      <c r="EA22" s="34"/>
      <c r="EB22" s="34"/>
      <c r="EC22" s="34"/>
      <c r="ED22" s="34"/>
      <c r="EE22" s="34"/>
      <c r="EF22" s="34"/>
      <c r="EG22" s="34"/>
      <c r="EH22" s="34"/>
      <c r="EI22" s="34"/>
    </row>
    <row r="23" s="9" customFormat="1" ht="5.1" customHeight="1">
      <c r="B23" s="297"/>
      <c r="C23" s="297"/>
      <c r="D23" s="159"/>
      <c r="E23" s="159"/>
      <c r="F23" s="159"/>
      <c r="G23" s="159"/>
      <c r="H23" s="159"/>
      <c r="I23" s="159"/>
      <c r="J23" s="160"/>
      <c r="K23" s="159"/>
      <c r="L23" s="160"/>
      <c r="M23" s="159"/>
      <c r="N23" s="159"/>
      <c r="O23" s="159"/>
      <c r="P23" s="160"/>
      <c r="Q23" s="159"/>
      <c r="R23" s="160"/>
      <c r="S23" s="159"/>
      <c r="T23" s="159"/>
      <c r="U23" s="159"/>
      <c r="W23" s="281"/>
      <c r="X23" s="281"/>
      <c r="Y23" s="281"/>
      <c r="Z23" s="281"/>
      <c r="AA23" s="281"/>
      <c r="AB23" s="281"/>
      <c r="AC23" s="281"/>
      <c r="AD23" s="281"/>
      <c r="AE23" s="281"/>
      <c r="AF23" s="281"/>
      <c r="AG23" s="281"/>
      <c r="AH23" s="281"/>
      <c r="AI23" s="281"/>
      <c r="AJ23" s="281"/>
      <c r="AK23" s="281"/>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c r="CA23" s="54"/>
      <c r="CB23" s="54"/>
      <c r="CC23" s="54"/>
      <c r="CD23" s="54"/>
      <c r="CE23" s="54"/>
      <c r="CF23" s="54"/>
      <c r="CG23" s="54"/>
      <c r="CH23" s="54"/>
      <c r="CI23" s="54"/>
      <c r="CJ23" s="54"/>
      <c r="CK23" s="54"/>
      <c r="CL23" s="54"/>
      <c r="CM23" s="54"/>
      <c r="CN23" s="54"/>
      <c r="CO23" s="54"/>
      <c r="CP23" s="54"/>
      <c r="CQ23" s="54"/>
      <c r="CR23" s="54"/>
      <c r="CS23" s="54"/>
      <c r="CT23" s="54"/>
      <c r="CU23" s="54"/>
      <c r="CV23" s="54"/>
      <c r="CW23" s="54"/>
      <c r="CX23" s="54"/>
      <c r="CY23" s="54"/>
      <c r="CZ23" s="54"/>
      <c r="DA23" s="54"/>
      <c r="DB23" s="54"/>
      <c r="DC23" s="54"/>
      <c r="DD23" s="54"/>
      <c r="DE23" s="54"/>
      <c r="DF23" s="54"/>
      <c r="DG23" s="54"/>
      <c r="DH23" s="54"/>
      <c r="DI23" s="54"/>
      <c r="DJ23" s="54"/>
      <c r="DK23" s="54"/>
      <c r="DL23" s="54"/>
      <c r="DM23" s="54"/>
      <c r="DN23" s="54"/>
      <c r="DO23" s="54"/>
      <c r="DP23" s="54"/>
      <c r="DQ23" s="54"/>
      <c r="DR23" s="54"/>
      <c r="DS23" s="54"/>
      <c r="DT23" s="54"/>
      <c r="DU23" s="54"/>
      <c r="DV23" s="54"/>
      <c r="DW23" s="54"/>
      <c r="DX23" s="54"/>
      <c r="DY23" s="54"/>
      <c r="DZ23" s="54"/>
      <c r="EA23" s="54"/>
      <c r="EB23" s="54"/>
      <c r="EC23" s="54"/>
      <c r="ED23" s="54"/>
      <c r="EE23" s="54"/>
      <c r="EF23" s="54"/>
      <c r="EG23" s="54"/>
      <c r="EH23" s="54"/>
      <c r="EI23" s="54"/>
    </row>
    <row r="24" s="2" customFormat="1" ht="15.95" customHeight="1">
      <c r="B24" s="323" t="s">
        <v>46</v>
      </c>
      <c r="C24" s="303" t="s">
        <v>42</v>
      </c>
      <c r="D24" s="307">
        <v>63.580246913580246913580246910</v>
      </c>
      <c r="E24" s="308">
        <v>7.2916666665929036458333840400</v>
      </c>
      <c r="F24" s="308">
        <v>44.711538461538461538461538460</v>
      </c>
      <c r="G24" s="308">
        <v>16.858638743510316932101667660</v>
      </c>
      <c r="H24" s="308">
        <v>142.20098234447384340443278779</v>
      </c>
      <c r="I24" s="309">
        <v>-8.186790621208484542330641760</v>
      </c>
      <c r="J24" s="317">
        <v>125.31320388349514563106796119</v>
      </c>
      <c r="K24" s="308">
        <v>-1.9248259822552958664851665700</v>
      </c>
      <c r="L24" s="318">
        <v>123.4812658141655970425357924</v>
      </c>
      <c r="M24" s="308">
        <v>9.316575487953647305289158900</v>
      </c>
      <c r="N24" s="308">
        <v>101.48357571265233813295695028</v>
      </c>
      <c r="O24" s="309">
        <v>-10.283345796400273821189585950</v>
      </c>
      <c r="P24" s="317">
        <v>79.67444444444444444444444446</v>
      </c>
      <c r="Q24" s="308">
        <v>5.2264887899439823304020496200</v>
      </c>
      <c r="R24" s="318">
        <v>55.210373657295194831518407179</v>
      </c>
      <c r="S24" s="308">
        <v>27.745862036126550078716688240</v>
      </c>
      <c r="T24" s="308">
        <v>144.31064158159300486637470005</v>
      </c>
      <c r="U24" s="309">
        <v>-17.628260428415819983533836220</v>
      </c>
      <c r="W24" s="281"/>
      <c r="X24" s="281"/>
      <c r="Y24" s="281"/>
      <c r="Z24" s="281"/>
      <c r="AA24" s="281"/>
      <c r="AB24" s="281"/>
      <c r="AC24" s="281"/>
      <c r="AD24" s="281"/>
      <c r="AE24" s="281"/>
      <c r="AF24" s="281"/>
      <c r="AG24" s="281"/>
      <c r="AH24" s="281"/>
      <c r="AI24" s="281"/>
      <c r="AJ24" s="281"/>
      <c r="AK24" s="281"/>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row>
    <row r="25" s="2" customFormat="1" ht="15.95" customHeight="1">
      <c r="B25" s="324"/>
      <c r="C25" s="304" t="s">
        <v>58</v>
      </c>
      <c r="D25" s="310">
        <v>65.902410346854791299235743680</v>
      </c>
      <c r="E25" s="134">
        <v>7.4456498062038104597290333700</v>
      </c>
      <c r="F25" s="134">
        <v>40.369352869352869352869352870</v>
      </c>
      <c r="G25" s="134">
        <v>12.187336028914892378454721740</v>
      </c>
      <c r="H25" s="134">
        <v>163.24861723708449181949507587</v>
      </c>
      <c r="I25" s="311">
        <v>-4.2265788552655433243396574200</v>
      </c>
      <c r="J25" s="319">
        <v>121.17920606601248884924174847</v>
      </c>
      <c r="K25" s="134">
        <v>-3.1918229393671348486902300</v>
      </c>
      <c r="L25" s="135">
        <v>119.6818994212120626436033396</v>
      </c>
      <c r="M25" s="134">
        <v>8.427157465292534727694917750</v>
      </c>
      <c r="N25" s="134">
        <v>101.25107192654335631375729731</v>
      </c>
      <c r="O25" s="311">
        <v>-10.715931945691699069150664250</v>
      </c>
      <c r="P25" s="319">
        <v>79.86001763668430335097001765</v>
      </c>
      <c r="Q25" s="134">
        <v>4.0161749083050529479978901800</v>
      </c>
      <c r="R25" s="135">
        <v>48.314808298093086949378942801</v>
      </c>
      <c r="S25" s="134">
        <v>21.641539492214939676020431140</v>
      </c>
      <c r="T25" s="134">
        <v>165.29097485796053934311329534</v>
      </c>
      <c r="U25" s="311">
        <v>-14.489593487156435666443609900</v>
      </c>
      <c r="W25" s="281"/>
      <c r="X25" s="281"/>
      <c r="Y25" s="281"/>
      <c r="Z25" s="281"/>
      <c r="AA25" s="281"/>
      <c r="AB25" s="281"/>
      <c r="AC25" s="281"/>
      <c r="AD25" s="281"/>
      <c r="AE25" s="281"/>
      <c r="AF25" s="281"/>
      <c r="AG25" s="281"/>
      <c r="AH25" s="281"/>
      <c r="AI25" s="281"/>
      <c r="AJ25" s="281"/>
      <c r="AK25" s="281"/>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c r="DD25" s="34"/>
      <c r="DE25" s="34"/>
      <c r="DF25" s="34"/>
      <c r="DG25" s="34"/>
      <c r="DH25" s="34"/>
      <c r="DI25" s="34"/>
      <c r="DJ25" s="34"/>
      <c r="DK25" s="34"/>
      <c r="DL25" s="34"/>
      <c r="DM25" s="34"/>
      <c r="DN25" s="34"/>
      <c r="DO25" s="34"/>
      <c r="DP25" s="34"/>
      <c r="DQ25" s="34"/>
      <c r="DR25" s="34"/>
      <c r="DS25" s="34"/>
      <c r="DT25" s="34"/>
      <c r="DU25" s="34"/>
      <c r="DV25" s="34"/>
      <c r="DW25" s="34"/>
      <c r="DX25" s="34"/>
      <c r="DY25" s="34"/>
      <c r="DZ25" s="34"/>
      <c r="EA25" s="34"/>
      <c r="EB25" s="34"/>
      <c r="EC25" s="34"/>
      <c r="ED25" s="34"/>
      <c r="EE25" s="34"/>
      <c r="EF25" s="34"/>
      <c r="EG25" s="34"/>
      <c r="EH25" s="34"/>
      <c r="EI25" s="34"/>
    </row>
    <row r="26" s="2" customFormat="1" ht="15.95" customHeight="1">
      <c r="B26" s="324"/>
      <c r="C26" s="305" t="s">
        <v>44</v>
      </c>
      <c r="D26" s="312">
        <v>68.660968660968660968660968660</v>
      </c>
      <c r="E26" s="159">
        <v>6.3235294118161477076124816300</v>
      </c>
      <c r="F26" s="159">
        <v>44.736193293885601577909270220</v>
      </c>
      <c r="G26" s="159">
        <v>8.913565426264084169081878860</v>
      </c>
      <c r="H26" s="159">
        <v>153.47968525147382571105099376</v>
      </c>
      <c r="I26" s="313">
        <v>-2.3780655829429988026937516700</v>
      </c>
      <c r="J26" s="320">
        <v>123.80065006915629322268326418</v>
      </c>
      <c r="K26" s="159">
        <v>-6.0851953018565411267485934200</v>
      </c>
      <c r="L26" s="160">
        <v>121.57335597210469043720615999</v>
      </c>
      <c r="M26" s="159">
        <v>7.3337944615787126092876101700</v>
      </c>
      <c r="N26" s="159">
        <v>101.83205775578609291376934935</v>
      </c>
      <c r="O26" s="313">
        <v>-12.502110664001757305470510870</v>
      </c>
      <c r="P26" s="320">
        <v>85.00272554605887939221272555</v>
      </c>
      <c r="Q26" s="159">
        <v>-0.1464650047950152860316562600</v>
      </c>
      <c r="R26" s="160">
        <v>54.387291521544369033114047659</v>
      </c>
      <c r="S26" s="159">
        <v>16.901062455226543123899960590</v>
      </c>
      <c r="T26" s="159">
        <v>156.29152172885131119373667218</v>
      </c>
      <c r="U26" s="313">
        <v>-14.582867855873718572492936170</v>
      </c>
      <c r="W26" s="281"/>
      <c r="X26" s="281"/>
      <c r="Y26" s="281"/>
      <c r="Z26" s="281"/>
      <c r="AA26" s="281"/>
      <c r="AB26" s="281"/>
      <c r="AC26" s="281"/>
      <c r="AD26" s="281"/>
      <c r="AE26" s="281"/>
      <c r="AF26" s="281"/>
      <c r="AG26" s="281"/>
      <c r="AH26" s="281"/>
      <c r="AI26" s="281"/>
      <c r="AJ26" s="281"/>
      <c r="AK26" s="281"/>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c r="DD26" s="34"/>
      <c r="DE26" s="34"/>
      <c r="DF26" s="34"/>
      <c r="DG26" s="34"/>
      <c r="DH26" s="34"/>
      <c r="DI26" s="34"/>
      <c r="DJ26" s="34"/>
      <c r="DK26" s="34"/>
      <c r="DL26" s="34"/>
      <c r="DM26" s="34"/>
      <c r="DN26" s="34"/>
      <c r="DO26" s="34"/>
      <c r="DP26" s="34"/>
      <c r="DQ26" s="34"/>
      <c r="DR26" s="34"/>
      <c r="DS26" s="34"/>
      <c r="DT26" s="34"/>
      <c r="DU26" s="34"/>
      <c r="DV26" s="34"/>
      <c r="DW26" s="34"/>
      <c r="DX26" s="34"/>
      <c r="DY26" s="34"/>
      <c r="DZ26" s="34"/>
      <c r="EA26" s="34"/>
      <c r="EB26" s="34"/>
      <c r="EC26" s="34"/>
      <c r="ED26" s="34"/>
      <c r="EE26" s="34"/>
      <c r="EF26" s="34"/>
      <c r="EG26" s="34"/>
      <c r="EH26" s="34"/>
      <c r="EI26" s="34"/>
    </row>
    <row r="27" s="2" customFormat="1" ht="15.95" customHeight="1">
      <c r="B27" s="325"/>
      <c r="C27" s="306" t="s">
        <v>45</v>
      </c>
      <c r="D27" s="314">
        <v>65.883190883190883190883190880</v>
      </c>
      <c r="E27" s="315">
        <v>9.080188679173763461196202100</v>
      </c>
      <c r="F27" s="315">
        <v>37.761957593688362919132149900</v>
      </c>
      <c r="G27" s="315">
        <v>-6.7607762006379862215273364900</v>
      </c>
      <c r="H27" s="315">
        <v>174.46974437093927854590982706</v>
      </c>
      <c r="I27" s="316">
        <v>16.989593257365596018551016210</v>
      </c>
      <c r="J27" s="321">
        <v>121.67472072072072072072072069</v>
      </c>
      <c r="K27" s="315">
        <v>-0.7676662260013956898254403700</v>
      </c>
      <c r="L27" s="322">
        <v>116.32162764447581084515353409</v>
      </c>
      <c r="M27" s="315">
        <v>9.411661177548574894850035770</v>
      </c>
      <c r="N27" s="315">
        <v>104.60197573281964765047353712</v>
      </c>
      <c r="O27" s="316">
        <v>-9.303695139968305501039613960</v>
      </c>
      <c r="P27" s="321">
        <v>80.16318850902184235517568849</v>
      </c>
      <c r="Q27" s="315">
        <v>8.242816911457809816301538040</v>
      </c>
      <c r="R27" s="322">
        <v>43.925323703395035450125315989</v>
      </c>
      <c r="S27" s="315">
        <v>2.0145836279837537091763396100</v>
      </c>
      <c r="T27" s="315">
        <v>182.49879966807594218471543434</v>
      </c>
      <c r="U27" s="316">
        <v>6.1052381551832476510730688400</v>
      </c>
      <c r="W27" s="281"/>
      <c r="X27" s="281"/>
      <c r="Y27" s="281"/>
      <c r="Z27" s="281"/>
      <c r="AA27" s="281"/>
      <c r="AB27" s="281"/>
      <c r="AC27" s="281"/>
      <c r="AD27" s="281"/>
      <c r="AE27" s="281"/>
      <c r="AF27" s="281"/>
      <c r="AG27" s="281"/>
      <c r="AH27" s="281"/>
      <c r="AI27" s="281"/>
      <c r="AJ27" s="281"/>
      <c r="AK27" s="281"/>
      <c r="AL27" s="34"/>
      <c r="AM27" s="34"/>
      <c r="AN27" s="34"/>
      <c r="AO27" s="34"/>
      <c r="AP27" s="34"/>
      <c r="AQ27" s="34"/>
      <c r="AR27" s="34"/>
      <c r="AS27" s="34"/>
      <c r="AT27" s="34"/>
      <c r="AU27" s="34"/>
      <c r="AV27" s="34"/>
      <c r="AW27" s="34"/>
      <c r="AX27" s="34"/>
      <c r="AY27" s="34"/>
      <c r="AZ27" s="34"/>
      <c r="BA27" s="34"/>
      <c r="BB27" s="34"/>
      <c r="BC27" s="34"/>
      <c r="BD27" s="34"/>
      <c r="BE27" s="34"/>
      <c r="BF27" s="34"/>
      <c r="BG27" s="34"/>
      <c r="BH27" s="34"/>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c r="CK27" s="34"/>
      <c r="CL27" s="34"/>
      <c r="CM27" s="34"/>
      <c r="CN27" s="34"/>
      <c r="CO27" s="34"/>
      <c r="CP27" s="34"/>
      <c r="CQ27" s="34"/>
      <c r="CR27" s="34"/>
      <c r="CS27" s="34"/>
      <c r="CT27" s="34"/>
      <c r="CU27" s="34"/>
      <c r="CV27" s="34"/>
      <c r="CW27" s="34"/>
      <c r="CX27" s="34"/>
      <c r="CY27" s="34"/>
      <c r="CZ27" s="34"/>
      <c r="DA27" s="34"/>
      <c r="DB27" s="34"/>
      <c r="DC27" s="34"/>
      <c r="DD27" s="34"/>
      <c r="DE27" s="34"/>
      <c r="DF27" s="34"/>
      <c r="DG27" s="34"/>
      <c r="DH27" s="34"/>
      <c r="DI27" s="34"/>
      <c r="DJ27" s="34"/>
      <c r="DK27" s="34"/>
      <c r="DL27" s="34"/>
      <c r="DM27" s="34"/>
      <c r="DN27" s="34"/>
      <c r="DO27" s="34"/>
      <c r="DP27" s="34"/>
      <c r="DQ27" s="34"/>
      <c r="DR27" s="34"/>
      <c r="DS27" s="34"/>
      <c r="DT27" s="34"/>
      <c r="DU27" s="34"/>
      <c r="DV27" s="34"/>
      <c r="DW27" s="34"/>
      <c r="DX27" s="34"/>
      <c r="DY27" s="34"/>
      <c r="DZ27" s="34"/>
      <c r="EA27" s="34"/>
      <c r="EB27" s="34"/>
      <c r="EC27" s="34"/>
      <c r="ED27" s="34"/>
      <c r="EE27" s="34"/>
      <c r="EF27" s="34"/>
      <c r="EG27" s="34"/>
      <c r="EH27" s="34"/>
      <c r="EI27" s="34"/>
    </row>
    <row r="28" s="2" customFormat="1" ht="5.1" customHeight="1">
      <c r="B28" s="54"/>
      <c r="C28" s="297"/>
      <c r="D28" s="159"/>
      <c r="E28" s="159"/>
      <c r="F28" s="159"/>
      <c r="G28" s="159"/>
      <c r="H28" s="159"/>
      <c r="I28" s="159"/>
      <c r="J28" s="160"/>
      <c r="K28" s="159"/>
      <c r="L28" s="160"/>
      <c r="M28" s="159"/>
      <c r="N28" s="159"/>
      <c r="O28" s="159"/>
      <c r="P28" s="160"/>
      <c r="Q28" s="159"/>
      <c r="R28" s="160"/>
      <c r="S28" s="159"/>
      <c r="T28" s="159"/>
      <c r="U28" s="159"/>
      <c r="W28" s="281"/>
      <c r="X28" s="281"/>
      <c r="Y28" s="281"/>
      <c r="Z28" s="281"/>
      <c r="AA28" s="281"/>
      <c r="AB28" s="281"/>
      <c r="AC28" s="281"/>
      <c r="AD28" s="281"/>
      <c r="AE28" s="281"/>
      <c r="AF28" s="281"/>
      <c r="AG28" s="281"/>
      <c r="AH28" s="281"/>
      <c r="AI28" s="281"/>
      <c r="AJ28" s="281"/>
      <c r="AK28" s="281"/>
      <c r="AL28" s="34"/>
      <c r="AM28" s="34"/>
      <c r="AN28" s="34"/>
      <c r="AO28" s="34"/>
      <c r="AP28" s="34"/>
      <c r="AQ28" s="34"/>
      <c r="AR28" s="34"/>
      <c r="AS28" s="34"/>
      <c r="AT28" s="34"/>
      <c r="AU28" s="34"/>
      <c r="AV28" s="34"/>
      <c r="AW28" s="34"/>
      <c r="AX28" s="34"/>
      <c r="AY28" s="34"/>
      <c r="AZ28" s="34"/>
      <c r="BA28" s="34"/>
      <c r="BB28" s="34"/>
      <c r="BC28" s="34"/>
      <c r="BD28" s="34"/>
      <c r="BE28" s="34"/>
      <c r="BF28" s="34"/>
      <c r="BG28" s="34"/>
      <c r="BH28" s="34"/>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c r="CK28" s="34"/>
      <c r="CL28" s="34"/>
      <c r="CM28" s="34"/>
      <c r="CN28" s="34"/>
      <c r="CO28" s="34"/>
      <c r="CP28" s="34"/>
      <c r="CQ28" s="34"/>
      <c r="CR28" s="34"/>
      <c r="CS28" s="34"/>
      <c r="CT28" s="34"/>
      <c r="CU28" s="34"/>
      <c r="CV28" s="34"/>
      <c r="CW28" s="34"/>
      <c r="CX28" s="34"/>
      <c r="CY28" s="34"/>
      <c r="CZ28" s="34"/>
      <c r="DA28" s="34"/>
      <c r="DB28" s="34"/>
      <c r="DC28" s="34"/>
      <c r="DD28" s="34"/>
      <c r="DE28" s="34"/>
      <c r="DF28" s="34"/>
      <c r="DG28" s="34"/>
      <c r="DH28" s="34"/>
      <c r="DI28" s="34"/>
      <c r="DJ28" s="34"/>
      <c r="DK28" s="34"/>
      <c r="DL28" s="34"/>
      <c r="DM28" s="34"/>
      <c r="DN28" s="34"/>
      <c r="DO28" s="34"/>
      <c r="DP28" s="34"/>
      <c r="DQ28" s="34"/>
      <c r="DR28" s="34"/>
      <c r="DS28" s="34"/>
      <c r="DT28" s="34"/>
      <c r="DU28" s="34"/>
      <c r="DV28" s="34"/>
      <c r="DW28" s="34"/>
      <c r="DX28" s="34"/>
      <c r="DY28" s="34"/>
      <c r="DZ28" s="34"/>
      <c r="EA28" s="34"/>
      <c r="EB28" s="34"/>
      <c r="EC28" s="34"/>
      <c r="ED28" s="34"/>
      <c r="EE28" s="34"/>
      <c r="EF28" s="34"/>
      <c r="EG28" s="34"/>
      <c r="EH28" s="34"/>
      <c r="EI28" s="34"/>
    </row>
    <row r="29" s="9" customFormat="1" ht="5.1" customHeight="1">
      <c r="B29" s="54"/>
      <c r="C29" s="297"/>
      <c r="D29" s="159"/>
      <c r="E29" s="159"/>
      <c r="F29" s="159"/>
      <c r="G29" s="159"/>
      <c r="H29" s="159"/>
      <c r="I29" s="159"/>
      <c r="J29" s="160"/>
      <c r="K29" s="159"/>
      <c r="L29" s="160"/>
      <c r="M29" s="159"/>
      <c r="N29" s="159"/>
      <c r="O29" s="159"/>
      <c r="P29" s="160"/>
      <c r="Q29" s="159"/>
      <c r="R29" s="160"/>
      <c r="S29" s="159"/>
      <c r="T29" s="159"/>
      <c r="U29" s="159"/>
      <c r="W29" s="281"/>
      <c r="X29" s="281"/>
      <c r="Y29" s="281"/>
      <c r="Z29" s="281"/>
      <c r="AA29" s="281"/>
      <c r="AB29" s="281"/>
      <c r="AC29" s="281"/>
      <c r="AD29" s="281"/>
      <c r="AE29" s="281"/>
      <c r="AF29" s="281"/>
      <c r="AG29" s="281"/>
      <c r="AH29" s="281"/>
      <c r="AI29" s="281"/>
      <c r="AJ29" s="281"/>
      <c r="AK29" s="281"/>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row>
    <row r="30" s="2" customFormat="1" ht="15.95" customHeight="1">
      <c r="B30" s="323" t="s">
        <v>47</v>
      </c>
      <c r="C30" s="303" t="s">
        <v>42</v>
      </c>
      <c r="D30" s="307">
        <v>79.32098765432098765432098765</v>
      </c>
      <c r="E30" s="308">
        <v>22.966507177045259952839908630</v>
      </c>
      <c r="F30" s="308">
        <v>48.517628205128205128205128210</v>
      </c>
      <c r="G30" s="308">
        <v>18.842001962768250348385610750</v>
      </c>
      <c r="H30" s="308">
        <v>163.48900510759725965712711284</v>
      </c>
      <c r="I30" s="308">
        <v>3.4705787063787650720901645300</v>
      </c>
      <c r="J30" s="317">
        <v>135.23587548638132295719844372</v>
      </c>
      <c r="K30" s="308">
        <v>1.6856454965198228795404070300</v>
      </c>
      <c r="L30" s="318">
        <v>123.88674381991084640160978383</v>
      </c>
      <c r="M30" s="308">
        <v>6.5304721220913049900329068100</v>
      </c>
      <c r="N30" s="308">
        <v>109.16089269646160908347530845</v>
      </c>
      <c r="O30" s="309">
        <v>-4.5478317415862520445619670800</v>
      </c>
      <c r="P30" s="317">
        <v>107.27043209876543209876543221</v>
      </c>
      <c r="Q30" s="308">
        <v>25.039286567519673093489090360</v>
      </c>
      <c r="R30" s="318">
        <v>60.106909761983988378345131498</v>
      </c>
      <c r="S30" s="308">
        <v>26.602945770109554216258855650</v>
      </c>
      <c r="T30" s="308">
        <v>178.46605743584996932314164744</v>
      </c>
      <c r="U30" s="309">
        <v>-1.235089115179247798673674100</v>
      </c>
      <c r="W30" s="281"/>
      <c r="X30" s="281"/>
      <c r="Y30" s="281"/>
      <c r="Z30" s="281"/>
      <c r="AA30" s="281"/>
      <c r="AB30" s="281"/>
      <c r="AC30" s="281"/>
      <c r="AD30" s="281"/>
      <c r="AE30" s="281"/>
      <c r="AF30" s="281"/>
      <c r="AG30" s="281"/>
      <c r="AH30" s="281"/>
      <c r="AI30" s="281"/>
      <c r="AJ30" s="281"/>
      <c r="AK30" s="281"/>
      <c r="AL30" s="34"/>
      <c r="AM30" s="34"/>
      <c r="AN30" s="34"/>
      <c r="AO30" s="34"/>
      <c r="AP30" s="34"/>
      <c r="AQ30" s="34"/>
      <c r="AR30" s="34"/>
      <c r="AS30" s="34"/>
      <c r="AT30" s="34"/>
      <c r="AU30" s="34"/>
      <c r="AV30" s="34"/>
      <c r="AW30" s="34"/>
      <c r="AX30" s="34"/>
      <c r="AY30" s="34"/>
      <c r="AZ30" s="34"/>
      <c r="BA30" s="34"/>
      <c r="BB30" s="34"/>
      <c r="BC30" s="34"/>
      <c r="BD30" s="34"/>
      <c r="BE30" s="34"/>
      <c r="BF30" s="34"/>
      <c r="BG30" s="34"/>
      <c r="BH30" s="34"/>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row>
    <row r="31" s="2" customFormat="1" ht="15.95" customHeight="1">
      <c r="B31" s="324"/>
      <c r="C31" s="304" t="s">
        <v>58</v>
      </c>
      <c r="D31" s="310">
        <v>67.842445620223398001175778950</v>
      </c>
      <c r="E31" s="134">
        <v>-5.62432623319679800869298100</v>
      </c>
      <c r="F31" s="134">
        <v>42.590048840048840048840048840</v>
      </c>
      <c r="G31" s="134">
        <v>-0.506554284759181106885454700</v>
      </c>
      <c r="H31" s="134">
        <v>159.29177699488028575168870116</v>
      </c>
      <c r="I31" s="134">
        <v>-5.143828230682479034407360300</v>
      </c>
      <c r="J31" s="319">
        <v>127.52411611785095320623916813</v>
      </c>
      <c r="K31" s="134">
        <v>-0.9920932614549533843992368600</v>
      </c>
      <c r="L31" s="135">
        <v>119.33255314676236539222294336</v>
      </c>
      <c r="M31" s="134">
        <v>6.1886487938721185053592249200</v>
      </c>
      <c r="N31" s="134">
        <v>106.86448312303675593165362885</v>
      </c>
      <c r="O31" s="311">
        <v>-6.762250143462396705353372300</v>
      </c>
      <c r="P31" s="319">
        <v>86.51547912992357436801881248</v>
      </c>
      <c r="Q31" s="134">
        <v>-6.5606209331053284530604938600</v>
      </c>
      <c r="R31" s="135">
        <v>50.823792667283330376525965118</v>
      </c>
      <c r="S31" s="134">
        <v>5.650745643473867169891879300</v>
      </c>
      <c r="T31" s="134">
        <v>170.22633414288183501256326455</v>
      </c>
      <c r="U31" s="311">
        <v>-11.558239842302086565035680770</v>
      </c>
      <c r="W31" s="281"/>
      <c r="X31" s="281"/>
      <c r="Y31" s="281"/>
      <c r="Z31" s="281"/>
      <c r="AA31" s="281"/>
      <c r="AB31" s="281"/>
      <c r="AC31" s="281"/>
      <c r="AD31" s="281"/>
      <c r="AE31" s="281"/>
      <c r="AF31" s="281"/>
      <c r="AG31" s="281"/>
      <c r="AH31" s="281"/>
      <c r="AI31" s="281"/>
      <c r="AJ31" s="281"/>
      <c r="AK31" s="281"/>
      <c r="AL31" s="34"/>
      <c r="AM31" s="34"/>
      <c r="AN31" s="34"/>
      <c r="AO31" s="34"/>
      <c r="AP31" s="34"/>
      <c r="AQ31" s="34"/>
      <c r="AR31" s="34"/>
      <c r="AS31" s="34"/>
      <c r="AT31" s="34"/>
      <c r="AU31" s="34"/>
      <c r="AV31" s="34"/>
      <c r="AW31" s="34"/>
      <c r="AX31" s="34"/>
      <c r="AY31" s="34"/>
      <c r="AZ31" s="34"/>
      <c r="BA31" s="34"/>
      <c r="BB31" s="34"/>
      <c r="BC31" s="34"/>
      <c r="BD31" s="34"/>
      <c r="BE31" s="34"/>
      <c r="BF31" s="34"/>
      <c r="BG31" s="34"/>
      <c r="BH31" s="34"/>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c r="CK31" s="34"/>
      <c r="CL31" s="34"/>
      <c r="CM31" s="34"/>
      <c r="CN31" s="34"/>
      <c r="CO31" s="34"/>
      <c r="CP31" s="34"/>
      <c r="CQ31" s="34"/>
      <c r="CR31" s="34"/>
      <c r="CS31" s="34"/>
      <c r="CT31" s="34"/>
      <c r="CU31" s="34"/>
      <c r="CV31" s="34"/>
      <c r="CW31" s="34"/>
      <c r="CX31" s="34"/>
      <c r="CY31" s="34"/>
      <c r="CZ31" s="34"/>
      <c r="DA31" s="34"/>
      <c r="DB31" s="34"/>
      <c r="DC31" s="34"/>
      <c r="DD31" s="34"/>
      <c r="DE31" s="34"/>
      <c r="DF31" s="34"/>
      <c r="DG31" s="34"/>
      <c r="DH31" s="34"/>
      <c r="DI31" s="34"/>
      <c r="DJ31" s="34"/>
      <c r="DK31" s="34"/>
      <c r="DL31" s="34"/>
      <c r="DM31" s="34"/>
      <c r="DN31" s="34"/>
      <c r="DO31" s="34"/>
      <c r="DP31" s="34"/>
      <c r="DQ31" s="34"/>
      <c r="DR31" s="34"/>
      <c r="DS31" s="34"/>
      <c r="DT31" s="34"/>
      <c r="DU31" s="34"/>
      <c r="DV31" s="34"/>
      <c r="DW31" s="34"/>
      <c r="DX31" s="34"/>
      <c r="DY31" s="34"/>
      <c r="DZ31" s="34"/>
      <c r="EA31" s="34"/>
      <c r="EB31" s="34"/>
      <c r="EC31" s="34"/>
      <c r="ED31" s="34"/>
      <c r="EE31" s="34"/>
      <c r="EF31" s="34"/>
      <c r="EG31" s="34"/>
      <c r="EH31" s="34"/>
      <c r="EI31" s="34"/>
    </row>
    <row r="32" s="2" customFormat="1" ht="15.95" customHeight="1">
      <c r="B32" s="324"/>
      <c r="C32" s="305" t="s">
        <v>44</v>
      </c>
      <c r="D32" s="312">
        <v>72.649572649572649572649572650</v>
      </c>
      <c r="E32" s="159">
        <v>-2.1739130434243439341709921900</v>
      </c>
      <c r="F32" s="159">
        <v>47.731755424063116370808678500</v>
      </c>
      <c r="G32" s="159">
        <v>-2.6156941649613317733361858300</v>
      </c>
      <c r="H32" s="159">
        <v>152.20385674919368269471584345</v>
      </c>
      <c r="I32" s="159">
        <v>0.4536471432821733551155595600</v>
      </c>
      <c r="J32" s="320">
        <v>131.00116339869281045751633992</v>
      </c>
      <c r="K32" s="159">
        <v>-5.2914366366835947136894841300</v>
      </c>
      <c r="L32" s="160">
        <v>121.16796444003924819808014435</v>
      </c>
      <c r="M32" s="159">
        <v>4.5686619356175937300705579700</v>
      </c>
      <c r="N32" s="159">
        <v>108.11534550748520477292284858</v>
      </c>
      <c r="O32" s="313">
        <v>-9.429305481974848694175259290</v>
      </c>
      <c r="P32" s="320">
        <v>95.17178537511870845204178541</v>
      </c>
      <c r="Q32" s="159">
        <v>-7.350318448966777670550188200</v>
      </c>
      <c r="R32" s="160">
        <v>57.835596438835301901253244442</v>
      </c>
      <c r="S32" s="159">
        <v>1.8334655470490625770035859300</v>
      </c>
      <c r="T32" s="159">
        <v>164.55572560028288550532181567</v>
      </c>
      <c r="U32" s="313">
        <v>-9.018434113582539989470861150</v>
      </c>
      <c r="W32" s="281"/>
      <c r="X32" s="281"/>
      <c r="Y32" s="281"/>
      <c r="Z32" s="281"/>
      <c r="AA32" s="281"/>
      <c r="AB32" s="281"/>
      <c r="AC32" s="281"/>
      <c r="AD32" s="281"/>
      <c r="AE32" s="281"/>
      <c r="AF32" s="281"/>
      <c r="AG32" s="281"/>
      <c r="AH32" s="281"/>
      <c r="AI32" s="281"/>
      <c r="AJ32" s="281"/>
      <c r="AK32" s="281"/>
      <c r="AL32" s="34"/>
      <c r="AM32" s="34"/>
      <c r="AN32" s="34"/>
      <c r="AO32" s="34"/>
      <c r="AP32" s="34"/>
      <c r="AQ32" s="34"/>
      <c r="AR32" s="34"/>
      <c r="AS32" s="34"/>
      <c r="AT32" s="34"/>
      <c r="AU32" s="34"/>
      <c r="AV32" s="34"/>
      <c r="AW32" s="34"/>
      <c r="AX32" s="34"/>
      <c r="AY32" s="34"/>
      <c r="AZ32" s="34"/>
      <c r="BA32" s="34"/>
      <c r="BB32" s="34"/>
      <c r="BC32" s="34"/>
      <c r="BD32" s="34"/>
      <c r="BE32" s="34"/>
      <c r="BF32" s="34"/>
      <c r="BG32" s="34"/>
      <c r="BH32" s="34"/>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c r="CK32" s="34"/>
      <c r="CL32" s="34"/>
      <c r="CM32" s="34"/>
      <c r="CN32" s="34"/>
      <c r="CO32" s="34"/>
      <c r="CP32" s="34"/>
      <c r="CQ32" s="34"/>
      <c r="CR32" s="34"/>
      <c r="CS32" s="34"/>
      <c r="CT32" s="34"/>
      <c r="CU32" s="34"/>
      <c r="CV32" s="34"/>
      <c r="CW32" s="34"/>
      <c r="CX32" s="34"/>
      <c r="CY32" s="34"/>
      <c r="CZ32" s="34"/>
      <c r="DA32" s="34"/>
      <c r="DB32" s="34"/>
      <c r="DC32" s="34"/>
      <c r="DD32" s="34"/>
      <c r="DE32" s="34"/>
      <c r="DF32" s="34"/>
      <c r="DG32" s="34"/>
      <c r="DH32" s="34"/>
      <c r="DI32" s="34"/>
      <c r="DJ32" s="34"/>
      <c r="DK32" s="34"/>
      <c r="DL32" s="34"/>
      <c r="DM32" s="34"/>
      <c r="DN32" s="34"/>
      <c r="DO32" s="34"/>
      <c r="DP32" s="34"/>
      <c r="DQ32" s="34"/>
      <c r="DR32" s="34"/>
      <c r="DS32" s="34"/>
      <c r="DT32" s="34"/>
      <c r="DU32" s="34"/>
      <c r="DV32" s="34"/>
      <c r="DW32" s="34"/>
      <c r="DX32" s="34"/>
      <c r="DY32" s="34"/>
      <c r="DZ32" s="34"/>
      <c r="EA32" s="34"/>
      <c r="EB32" s="34"/>
      <c r="EC32" s="34"/>
      <c r="ED32" s="34"/>
      <c r="EE32" s="34"/>
      <c r="EF32" s="34"/>
      <c r="EG32" s="34"/>
      <c r="EH32" s="34"/>
      <c r="EI32" s="34"/>
    </row>
    <row r="33" s="2" customFormat="1" ht="15.95" customHeight="1">
      <c r="B33" s="325"/>
      <c r="C33" s="306" t="s">
        <v>45</v>
      </c>
      <c r="D33" s="314">
        <v>67.402659069325735992402659070</v>
      </c>
      <c r="E33" s="315">
        <v>-3.0727210652408112748266287300</v>
      </c>
      <c r="F33" s="315">
        <v>41.315335305719921104536489150</v>
      </c>
      <c r="G33" s="315">
        <v>-10.552009140587486659032067510</v>
      </c>
      <c r="H33" s="315">
        <v>163.14198728051141513406405395</v>
      </c>
      <c r="I33" s="315">
        <v>8.361605446421939063592725250</v>
      </c>
      <c r="J33" s="321">
        <v>126.91609721733004579077139838</v>
      </c>
      <c r="K33" s="315">
        <v>0.7851203117310666557338630100</v>
      </c>
      <c r="L33" s="322">
        <v>118.18036355384425930202598887</v>
      </c>
      <c r="M33" s="315">
        <v>8.635744696545780222082411790</v>
      </c>
      <c r="N33" s="315">
        <v>107.39186562034328324521248574</v>
      </c>
      <c r="O33" s="316">
        <v>-7.2265573423364375272141475400</v>
      </c>
      <c r="P33" s="321">
        <v>85.54482431149097815764482431</v>
      </c>
      <c r="Q33" s="315">
        <v>-2.3117253106062562039005153900</v>
      </c>
      <c r="R33" s="322">
        <v>48.826613467789575326767764016</v>
      </c>
      <c r="S33" s="315">
        <v>-2.827509013760827010034746500</v>
      </c>
      <c r="T33" s="315">
        <v>175.20122375045685321856681919</v>
      </c>
      <c r="U33" s="316">
        <v>0.5307918916342895524450900100</v>
      </c>
      <c r="W33" s="281"/>
      <c r="X33" s="281"/>
      <c r="Y33" s="281"/>
      <c r="Z33" s="281"/>
      <c r="AA33" s="281"/>
      <c r="AB33" s="281"/>
      <c r="AC33" s="281"/>
      <c r="AD33" s="281"/>
      <c r="AE33" s="281"/>
      <c r="AF33" s="281"/>
      <c r="AG33" s="281"/>
      <c r="AH33" s="281"/>
      <c r="AI33" s="281"/>
      <c r="AJ33" s="281"/>
      <c r="AK33" s="281"/>
      <c r="AL33" s="34"/>
      <c r="AM33" s="34"/>
      <c r="AN33" s="34"/>
      <c r="AO33" s="34"/>
      <c r="AP33" s="34"/>
      <c r="AQ33" s="34"/>
      <c r="AR33" s="34"/>
      <c r="AS33" s="34"/>
      <c r="AT33" s="34"/>
      <c r="AU33" s="34"/>
      <c r="AV33" s="34"/>
      <c r="AW33" s="34"/>
      <c r="AX33" s="34"/>
      <c r="AY33" s="34"/>
      <c r="AZ33" s="34"/>
      <c r="BA33" s="34"/>
      <c r="BB33" s="34"/>
      <c r="BC33" s="34"/>
      <c r="BD33" s="34"/>
      <c r="BE33" s="34"/>
      <c r="BF33" s="34"/>
      <c r="BG33" s="34"/>
      <c r="BH33" s="34"/>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c r="CK33" s="34"/>
      <c r="CL33" s="34"/>
      <c r="CM33" s="34"/>
      <c r="CN33" s="34"/>
      <c r="CO33" s="34"/>
      <c r="CP33" s="34"/>
      <c r="CQ33" s="34"/>
      <c r="CR33" s="34"/>
      <c r="CS33" s="34"/>
      <c r="CT33" s="34"/>
      <c r="CU33" s="34"/>
      <c r="CV33" s="34"/>
      <c r="CW33" s="34"/>
      <c r="CX33" s="34"/>
      <c r="CY33" s="34"/>
      <c r="CZ33" s="34"/>
      <c r="DA33" s="34"/>
      <c r="DB33" s="34"/>
      <c r="DC33" s="34"/>
      <c r="DD33" s="34"/>
      <c r="DE33" s="34"/>
      <c r="DF33" s="34"/>
      <c r="DG33" s="34"/>
      <c r="DH33" s="34"/>
      <c r="DI33" s="34"/>
      <c r="DJ33" s="34"/>
      <c r="DK33" s="34"/>
      <c r="DL33" s="34"/>
      <c r="DM33" s="34"/>
      <c r="DN33" s="34"/>
      <c r="DO33" s="34"/>
      <c r="DP33" s="34"/>
      <c r="DQ33" s="34"/>
      <c r="DR33" s="34"/>
      <c r="DS33" s="34"/>
      <c r="DT33" s="34"/>
      <c r="DU33" s="34"/>
      <c r="DV33" s="34"/>
      <c r="DW33" s="34"/>
      <c r="DX33" s="34"/>
      <c r="DY33" s="34"/>
      <c r="DZ33" s="34"/>
      <c r="EA33" s="34"/>
      <c r="EB33" s="34"/>
      <c r="EC33" s="34"/>
      <c r="ED33" s="34"/>
      <c r="EE33" s="34"/>
      <c r="EF33" s="34"/>
      <c r="EG33" s="34"/>
      <c r="EH33" s="34"/>
      <c r="EI33" s="34"/>
    </row>
    <row r="34" s="2" customFormat="1" ht="5.1" customHeight="1">
      <c r="B34" s="54"/>
      <c r="C34" s="297"/>
      <c r="D34" s="159"/>
      <c r="E34" s="159"/>
      <c r="F34" s="159"/>
      <c r="G34" s="159"/>
      <c r="H34" s="159"/>
      <c r="I34" s="159"/>
      <c r="J34" s="160"/>
      <c r="K34" s="159"/>
      <c r="L34" s="160"/>
      <c r="M34" s="159"/>
      <c r="N34" s="159"/>
      <c r="O34" s="159"/>
      <c r="P34" s="160"/>
      <c r="Q34" s="159"/>
      <c r="R34" s="160"/>
      <c r="S34" s="159"/>
      <c r="T34" s="159"/>
      <c r="U34" s="159"/>
      <c r="W34" s="281"/>
      <c r="X34" s="281"/>
      <c r="Y34" s="281"/>
      <c r="Z34" s="281"/>
      <c r="AA34" s="281"/>
      <c r="AB34" s="281"/>
      <c r="AC34" s="281"/>
      <c r="AD34" s="281"/>
      <c r="AE34" s="281"/>
      <c r="AF34" s="281"/>
      <c r="AG34" s="281"/>
      <c r="AH34" s="281"/>
      <c r="AI34" s="281"/>
      <c r="AJ34" s="281"/>
      <c r="AK34" s="281"/>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c r="CK34" s="34"/>
      <c r="CL34" s="34"/>
      <c r="CM34" s="34"/>
      <c r="CN34" s="34"/>
      <c r="CO34" s="34"/>
      <c r="CP34" s="34"/>
      <c r="CQ34" s="34"/>
      <c r="CR34" s="34"/>
      <c r="CS34" s="34"/>
      <c r="CT34" s="34"/>
      <c r="CU34" s="34"/>
      <c r="CV34" s="34"/>
      <c r="CW34" s="34"/>
      <c r="CX34" s="34"/>
      <c r="CY34" s="34"/>
      <c r="CZ34" s="34"/>
      <c r="DA34" s="34"/>
      <c r="DB34" s="34"/>
      <c r="DC34" s="34"/>
      <c r="DD34" s="34"/>
      <c r="DE34" s="34"/>
      <c r="DF34" s="34"/>
      <c r="DG34" s="34"/>
      <c r="DH34" s="34"/>
      <c r="DI34" s="34"/>
      <c r="DJ34" s="34"/>
      <c r="DK34" s="34"/>
      <c r="DL34" s="34"/>
      <c r="DM34" s="34"/>
      <c r="DN34" s="34"/>
      <c r="DO34" s="34"/>
      <c r="DP34" s="34"/>
      <c r="DQ34" s="34"/>
      <c r="DR34" s="34"/>
      <c r="DS34" s="34"/>
      <c r="DT34" s="34"/>
      <c r="DU34" s="34"/>
      <c r="DV34" s="34"/>
      <c r="DW34" s="34"/>
      <c r="DX34" s="34"/>
      <c r="DY34" s="34"/>
      <c r="DZ34" s="34"/>
      <c r="EA34" s="34"/>
      <c r="EB34" s="34"/>
      <c r="EC34" s="34"/>
      <c r="ED34" s="34"/>
      <c r="EE34" s="34"/>
      <c r="EF34" s="34"/>
      <c r="EG34" s="34"/>
      <c r="EH34" s="34"/>
      <c r="EI34" s="34"/>
    </row>
    <row r="35" s="9" customFormat="1" ht="5.1" customHeight="1">
      <c r="B35" s="54"/>
      <c r="C35" s="297"/>
      <c r="D35" s="159"/>
      <c r="E35" s="159"/>
      <c r="F35" s="159"/>
      <c r="G35" s="159"/>
      <c r="H35" s="159"/>
      <c r="I35" s="159"/>
      <c r="J35" s="160"/>
      <c r="K35" s="159"/>
      <c r="L35" s="160"/>
      <c r="M35" s="159"/>
      <c r="N35" s="159"/>
      <c r="O35" s="159"/>
      <c r="P35" s="160"/>
      <c r="Q35" s="159"/>
      <c r="R35" s="160"/>
      <c r="S35" s="159"/>
      <c r="T35" s="159"/>
      <c r="U35" s="159"/>
      <c r="W35" s="281"/>
      <c r="X35" s="281"/>
      <c r="Y35" s="281"/>
      <c r="Z35" s="281"/>
      <c r="AA35" s="281"/>
      <c r="AB35" s="281"/>
      <c r="AC35" s="281"/>
      <c r="AD35" s="281"/>
      <c r="AE35" s="281"/>
      <c r="AF35" s="281"/>
      <c r="AG35" s="281"/>
      <c r="AH35" s="281"/>
      <c r="AI35" s="281"/>
      <c r="AJ35" s="281"/>
      <c r="AK35" s="281"/>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c r="CA35" s="54"/>
      <c r="CB35" s="54"/>
      <c r="CC35" s="54"/>
      <c r="CD35" s="54"/>
      <c r="CE35" s="54"/>
      <c r="CF35" s="54"/>
      <c r="CG35" s="54"/>
      <c r="CH35" s="54"/>
      <c r="CI35" s="54"/>
      <c r="CJ35" s="54"/>
      <c r="CK35" s="54"/>
      <c r="CL35" s="54"/>
      <c r="CM35" s="54"/>
      <c r="CN35" s="54"/>
      <c r="CO35" s="54"/>
      <c r="CP35" s="54"/>
      <c r="CQ35" s="54"/>
      <c r="CR35" s="54"/>
      <c r="CS35" s="54"/>
      <c r="CT35" s="54"/>
      <c r="CU35" s="54"/>
      <c r="CV35" s="54"/>
      <c r="CW35" s="54"/>
      <c r="CX35" s="54"/>
      <c r="CY35" s="54"/>
      <c r="CZ35" s="54"/>
      <c r="DA35" s="54"/>
      <c r="DB35" s="54"/>
      <c r="DC35" s="54"/>
      <c r="DD35" s="54"/>
      <c r="DE35" s="54"/>
      <c r="DF35" s="54"/>
      <c r="DG35" s="54"/>
      <c r="DH35" s="54"/>
      <c r="DI35" s="54"/>
      <c r="DJ35" s="54"/>
      <c r="DK35" s="54"/>
      <c r="DL35" s="54"/>
      <c r="DM35" s="54"/>
      <c r="DN35" s="54"/>
      <c r="DO35" s="54"/>
      <c r="DP35" s="54"/>
      <c r="DQ35" s="54"/>
      <c r="DR35" s="54"/>
      <c r="DS35" s="54"/>
      <c r="DT35" s="54"/>
      <c r="DU35" s="54"/>
      <c r="DV35" s="54"/>
      <c r="DW35" s="54"/>
      <c r="DX35" s="54"/>
      <c r="DY35" s="54"/>
      <c r="DZ35" s="54"/>
      <c r="EA35" s="54"/>
      <c r="EB35" s="54"/>
      <c r="EC35" s="54"/>
      <c r="ED35" s="54"/>
      <c r="EE35" s="54"/>
      <c r="EF35" s="54"/>
      <c r="EG35" s="54"/>
      <c r="EH35" s="54"/>
      <c r="EI35" s="54"/>
    </row>
    <row r="36" s="2" customFormat="1" ht="15.95" customHeight="1">
      <c r="B36" s="323" t="s">
        <v>48</v>
      </c>
      <c r="C36" s="303" t="s">
        <v>42</v>
      </c>
      <c r="D36" s="307">
        <v>66.975308641975308641975308640</v>
      </c>
      <c r="E36" s="308">
        <v>5.5447470816401932656058870200</v>
      </c>
      <c r="F36" s="308">
        <v>47.996794871794871794871794870</v>
      </c>
      <c r="G36" s="308">
        <v>6.6595441595441595441595441600</v>
      </c>
      <c r="H36" s="308">
        <v>139.54121065972663530501329329</v>
      </c>
      <c r="I36" s="308">
        <v>-1.04519205158790579268807500</v>
      </c>
      <c r="J36" s="317">
        <v>128.33391705069124423963133636</v>
      </c>
      <c r="K36" s="308">
        <v>-3.7105687389907731649078061600</v>
      </c>
      <c r="L36" s="318">
        <v>120.98415381256788748226597403</v>
      </c>
      <c r="M36" s="308">
        <v>4.8459679561535178216431208100</v>
      </c>
      <c r="N36" s="308">
        <v>106.07498007505657054913765779</v>
      </c>
      <c r="O36" s="309">
        <v>-8.161054604153042771351966090</v>
      </c>
      <c r="P36" s="317">
        <v>85.95203703703703703703703701</v>
      </c>
      <c r="Q36" s="308">
        <v>1.6284366907986620172520551600</v>
      </c>
      <c r="R36" s="318">
        <v>58.068516132795003687401697472</v>
      </c>
      <c r="S36" s="308">
        <v>11.828231491770455944201228900</v>
      </c>
      <c r="T36" s="308">
        <v>148.01831140384011103837640616</v>
      </c>
      <c r="U36" s="309">
        <v>-9.120947961780329675897730690</v>
      </c>
      <c r="W36" s="281"/>
      <c r="X36" s="281"/>
      <c r="Y36" s="281"/>
      <c r="Z36" s="281"/>
      <c r="AA36" s="281"/>
      <c r="AB36" s="281"/>
      <c r="AC36" s="281"/>
      <c r="AD36" s="281"/>
      <c r="AE36" s="281"/>
      <c r="AF36" s="281"/>
      <c r="AG36" s="281"/>
      <c r="AH36" s="281"/>
      <c r="AI36" s="281"/>
      <c r="AJ36" s="281"/>
      <c r="AK36" s="281"/>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c r="CK36" s="34"/>
      <c r="CL36" s="34"/>
      <c r="CM36" s="34"/>
      <c r="CN36" s="34"/>
      <c r="CO36" s="34"/>
      <c r="CP36" s="34"/>
      <c r="CQ36" s="34"/>
      <c r="CR36" s="34"/>
      <c r="CS36" s="34"/>
      <c r="CT36" s="34"/>
      <c r="CU36" s="34"/>
      <c r="CV36" s="34"/>
      <c r="CW36" s="34"/>
      <c r="CX36" s="34"/>
      <c r="CY36" s="34"/>
      <c r="CZ36" s="34"/>
      <c r="DA36" s="34"/>
      <c r="DB36" s="34"/>
      <c r="DC36" s="34"/>
      <c r="DD36" s="34"/>
      <c r="DE36" s="34"/>
      <c r="DF36" s="34"/>
      <c r="DG36" s="34"/>
      <c r="DH36" s="34"/>
      <c r="DI36" s="34"/>
      <c r="DJ36" s="34"/>
      <c r="DK36" s="34"/>
      <c r="DL36" s="34"/>
      <c r="DM36" s="34"/>
      <c r="DN36" s="34"/>
      <c r="DO36" s="34"/>
      <c r="DP36" s="34"/>
      <c r="DQ36" s="34"/>
      <c r="DR36" s="34"/>
      <c r="DS36" s="34"/>
      <c r="DT36" s="34"/>
      <c r="DU36" s="34"/>
      <c r="DV36" s="34"/>
      <c r="DW36" s="34"/>
      <c r="DX36" s="34"/>
      <c r="DY36" s="34"/>
      <c r="DZ36" s="34"/>
      <c r="EA36" s="34"/>
      <c r="EB36" s="34"/>
      <c r="EC36" s="34"/>
      <c r="ED36" s="34"/>
      <c r="EE36" s="34"/>
      <c r="EF36" s="34"/>
      <c r="EG36" s="34"/>
      <c r="EH36" s="34"/>
      <c r="EI36" s="34"/>
    </row>
    <row r="37" s="2" customFormat="1" ht="15.95" customHeight="1">
      <c r="B37" s="324"/>
      <c r="C37" s="304" t="s">
        <v>58</v>
      </c>
      <c r="D37" s="310">
        <v>66.386083052749719416386083050</v>
      </c>
      <c r="E37" s="134">
        <v>-8.789514263740421433959718580</v>
      </c>
      <c r="F37" s="134">
        <v>41.761363636363636363636363640</v>
      </c>
      <c r="G37" s="134">
        <v>-3.3524750987097406039058085200</v>
      </c>
      <c r="H37" s="134">
        <v>158.96531452073165764836222845</v>
      </c>
      <c r="I37" s="134">
        <v>-5.6256372531355961815689230100</v>
      </c>
      <c r="J37" s="319">
        <v>126.18270498732037193575655113</v>
      </c>
      <c r="K37" s="134">
        <v>-2.2473991596247592581802437800</v>
      </c>
      <c r="L37" s="135">
        <v>118.83199082520500375275347033</v>
      </c>
      <c r="M37" s="134">
        <v>7.0356598766153063183634525800</v>
      </c>
      <c r="N37" s="134">
        <v>106.18580410129891495702285631</v>
      </c>
      <c r="O37" s="311">
        <v>-8.672865703792939301697258040</v>
      </c>
      <c r="P37" s="319">
        <v>83.76775533108866442199775533</v>
      </c>
      <c r="Q37" s="134">
        <v>-10.839377953606898173262872810</v>
      </c>
      <c r="R37" s="135">
        <v>49.625859804844135089928295847</v>
      </c>
      <c r="S37" s="134">
        <v>3.4473160326269057394570992300</v>
      </c>
      <c r="T37" s="134">
        <v>168.79859746628779163966432947</v>
      </c>
      <c r="U37" s="311">
        <v>-13.810598992898433194964695780</v>
      </c>
      <c r="W37" s="281"/>
      <c r="X37" s="281"/>
      <c r="Y37" s="281"/>
      <c r="Z37" s="281"/>
      <c r="AA37" s="281"/>
      <c r="AB37" s="281"/>
      <c r="AC37" s="281"/>
      <c r="AD37" s="281"/>
      <c r="AE37" s="281"/>
      <c r="AF37" s="281"/>
      <c r="AG37" s="281"/>
      <c r="AH37" s="281"/>
      <c r="AI37" s="281"/>
      <c r="AJ37" s="281"/>
      <c r="AK37" s="281"/>
      <c r="AL37" s="34"/>
      <c r="AM37" s="34"/>
      <c r="AN37" s="34"/>
      <c r="AO37" s="34"/>
      <c r="AP37" s="34"/>
      <c r="AQ37" s="34"/>
      <c r="AR37" s="34"/>
      <c r="AS37" s="34"/>
      <c r="AT37" s="34"/>
      <c r="AU37" s="34"/>
      <c r="AV37" s="34"/>
      <c r="AW37" s="34"/>
      <c r="AX37" s="34"/>
      <c r="AY37" s="34"/>
      <c r="AZ37" s="34"/>
      <c r="BA37" s="34"/>
      <c r="BB37" s="34"/>
      <c r="BC37" s="34"/>
      <c r="BD37" s="34"/>
      <c r="BE37" s="34"/>
      <c r="BF37" s="34"/>
      <c r="BG37" s="34"/>
      <c r="BH37" s="34"/>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c r="CK37" s="34"/>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row>
    <row r="38" s="2" customFormat="1" ht="15.95" customHeight="1">
      <c r="B38" s="324"/>
      <c r="C38" s="305" t="s">
        <v>44</v>
      </c>
      <c r="D38" s="312">
        <v>70.560303893637226970560303890</v>
      </c>
      <c r="E38" s="159">
        <v>-6.4231738034742386221598729100</v>
      </c>
      <c r="F38" s="159">
        <v>49.309664694280078895463510850</v>
      </c>
      <c r="G38" s="159">
        <v>-0.4232013940133075207068601400</v>
      </c>
      <c r="H38" s="159">
        <v>143.09629629623848539259261594</v>
      </c>
      <c r="I38" s="159">
        <v>-6.0254722922608545388391933300</v>
      </c>
      <c r="J38" s="320">
        <v>129.56752355316285329744279945</v>
      </c>
      <c r="K38" s="159">
        <v>-5.5953796546263583031010985800</v>
      </c>
      <c r="L38" s="160">
        <v>121.05989126363132266571495031</v>
      </c>
      <c r="M38" s="159">
        <v>5.5220640359026834177809087600</v>
      </c>
      <c r="N38" s="159">
        <v>107.02762260957102637620380306</v>
      </c>
      <c r="O38" s="313">
        <v>-10.535657913894139392511861620</v>
      </c>
      <c r="P38" s="320">
        <v>91.42323836657169990503323836</v>
      </c>
      <c r="Q38" s="159">
        <v>-11.659152497934950083712483360</v>
      </c>
      <c r="R38" s="160">
        <v>59.69422646135666798112177037</v>
      </c>
      <c r="S38" s="159">
        <v>5.075493189942763134753092900</v>
      </c>
      <c r="T38" s="159">
        <v>153.15256396812276241945881425</v>
      </c>
      <c r="U38" s="313">
        <v>-15.926307057796358704770296850</v>
      </c>
      <c r="W38" s="281"/>
      <c r="X38" s="281"/>
      <c r="Y38" s="281"/>
      <c r="Z38" s="281"/>
      <c r="AA38" s="281"/>
      <c r="AB38" s="281"/>
      <c r="AC38" s="281"/>
      <c r="AD38" s="281"/>
      <c r="AE38" s="281"/>
      <c r="AF38" s="281"/>
      <c r="AG38" s="281"/>
      <c r="AH38" s="281"/>
      <c r="AI38" s="281"/>
      <c r="AJ38" s="281"/>
      <c r="AK38" s="281"/>
      <c r="AL38" s="34"/>
      <c r="AM38" s="34"/>
      <c r="AN38" s="34"/>
      <c r="AO38" s="34"/>
      <c r="AP38" s="34"/>
      <c r="AQ38" s="34"/>
      <c r="AR38" s="34"/>
      <c r="AS38" s="34"/>
      <c r="AT38" s="34"/>
      <c r="AU38" s="34"/>
      <c r="AV38" s="34"/>
      <c r="AW38" s="34"/>
      <c r="AX38" s="34"/>
      <c r="AY38" s="34"/>
      <c r="AZ38" s="34"/>
      <c r="BA38" s="34"/>
      <c r="BB38" s="34"/>
      <c r="BC38" s="34"/>
      <c r="BD38" s="34"/>
      <c r="BE38" s="34"/>
      <c r="BF38" s="34"/>
      <c r="BG38" s="34"/>
      <c r="BH38" s="34"/>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c r="CK38" s="34"/>
      <c r="CL38" s="34"/>
      <c r="CM38" s="34"/>
      <c r="CN38" s="34"/>
      <c r="CO38" s="34"/>
      <c r="CP38" s="34"/>
      <c r="CQ38" s="34"/>
      <c r="CR38" s="34"/>
      <c r="CS38" s="34"/>
      <c r="CT38" s="34"/>
      <c r="CU38" s="34"/>
      <c r="CV38" s="34"/>
      <c r="CW38" s="34"/>
      <c r="CX38" s="34"/>
      <c r="CY38" s="34"/>
      <c r="CZ38" s="34"/>
      <c r="DA38" s="34"/>
      <c r="DB38" s="34"/>
      <c r="DC38" s="34"/>
      <c r="DD38" s="34"/>
      <c r="DE38" s="34"/>
      <c r="DF38" s="34"/>
      <c r="DG38" s="34"/>
      <c r="DH38" s="34"/>
      <c r="DI38" s="34"/>
      <c r="DJ38" s="34"/>
      <c r="DK38" s="34"/>
      <c r="DL38" s="34"/>
      <c r="DM38" s="34"/>
      <c r="DN38" s="34"/>
      <c r="DO38" s="34"/>
      <c r="DP38" s="34"/>
      <c r="DQ38" s="34"/>
      <c r="DR38" s="34"/>
      <c r="DS38" s="34"/>
      <c r="DT38" s="34"/>
      <c r="DU38" s="34"/>
      <c r="DV38" s="34"/>
      <c r="DW38" s="34"/>
      <c r="DX38" s="34"/>
      <c r="DY38" s="34"/>
      <c r="DZ38" s="34"/>
      <c r="EA38" s="34"/>
      <c r="EB38" s="34"/>
      <c r="EC38" s="34"/>
      <c r="ED38" s="34"/>
      <c r="EE38" s="34"/>
      <c r="EF38" s="34"/>
      <c r="EG38" s="34"/>
      <c r="EH38" s="34"/>
      <c r="EI38" s="34"/>
    </row>
    <row r="39" s="2" customFormat="1" ht="15.95" customHeight="1">
      <c r="B39" s="325"/>
      <c r="C39" s="306" t="s">
        <v>45</v>
      </c>
      <c r="D39" s="314">
        <v>69.278252611585944919278252610</v>
      </c>
      <c r="E39" s="315">
        <v>-1.684636118593082729709897200</v>
      </c>
      <c r="F39" s="315">
        <v>42.998027613412228796844181460</v>
      </c>
      <c r="G39" s="315">
        <v>-11.126070022478880523268429410</v>
      </c>
      <c r="H39" s="315">
        <v>161.11960584442230958548820301</v>
      </c>
      <c r="I39" s="315">
        <v>10.623400930132982960488870530</v>
      </c>
      <c r="J39" s="321">
        <v>126.68393420150788211103495545</v>
      </c>
      <c r="K39" s="315">
        <v>0.8650558938240598557172226400</v>
      </c>
      <c r="L39" s="322">
        <v>119.29124033848392276156273225</v>
      </c>
      <c r="M39" s="315">
        <v>10.308631318251156538198645070</v>
      </c>
      <c r="N39" s="315">
        <v>106.19718081732608785388277301</v>
      </c>
      <c r="O39" s="316">
        <v>-8.561048497867752896103845920</v>
      </c>
      <c r="P39" s="321">
        <v>87.76441595441595441595441595</v>
      </c>
      <c r="Q39" s="315">
        <v>-0.8341532688831908983210280100</v>
      </c>
      <c r="R39" s="322">
        <v>51.292880461123264619370168898</v>
      </c>
      <c r="S39" s="315">
        <v>-1.9643842431702038524971884900</v>
      </c>
      <c r="T39" s="315">
        <v>171.10447915081625568995279845</v>
      </c>
      <c r="U39" s="316">
        <v>1.1528779267107090319623400300</v>
      </c>
      <c r="W39" s="281"/>
      <c r="X39" s="281"/>
      <c r="Y39" s="281"/>
      <c r="Z39" s="281"/>
      <c r="AA39" s="281"/>
      <c r="AB39" s="281"/>
      <c r="AC39" s="281"/>
      <c r="AD39" s="281"/>
      <c r="AE39" s="281"/>
      <c r="AF39" s="281"/>
      <c r="AG39" s="281"/>
      <c r="AH39" s="281"/>
      <c r="AI39" s="281"/>
      <c r="AJ39" s="281"/>
      <c r="AK39" s="281"/>
      <c r="AL39" s="34"/>
      <c r="AM39" s="34"/>
      <c r="AN39" s="34"/>
      <c r="AO39" s="34"/>
      <c r="AP39" s="34"/>
      <c r="AQ39" s="34"/>
      <c r="AR39" s="34"/>
      <c r="AS39" s="34"/>
      <c r="AT39" s="34"/>
      <c r="AU39" s="34"/>
      <c r="AV39" s="34"/>
      <c r="AW39" s="34"/>
      <c r="AX39" s="34"/>
      <c r="AY39" s="34"/>
      <c r="AZ39" s="34"/>
      <c r="BA39" s="34"/>
      <c r="BB39" s="34"/>
      <c r="BC39" s="34"/>
      <c r="BD39" s="34"/>
      <c r="BE39" s="34"/>
      <c r="BF39" s="34"/>
      <c r="BG39" s="34"/>
      <c r="BH39" s="34"/>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c r="CK39" s="34"/>
      <c r="CL39" s="34"/>
      <c r="CM39" s="34"/>
      <c r="CN39" s="34"/>
      <c r="CO39" s="34"/>
      <c r="CP39" s="34"/>
      <c r="CQ39" s="34"/>
      <c r="CR39" s="34"/>
      <c r="CS39" s="34"/>
      <c r="CT39" s="34"/>
      <c r="CU39" s="34"/>
      <c r="CV39" s="34"/>
      <c r="CW39" s="34"/>
      <c r="CX39" s="34"/>
      <c r="CY39" s="34"/>
      <c r="CZ39" s="34"/>
      <c r="DA39" s="34"/>
      <c r="DB39" s="34"/>
      <c r="DC39" s="34"/>
      <c r="DD39" s="34"/>
      <c r="DE39" s="34"/>
      <c r="DF39" s="34"/>
      <c r="DG39" s="34"/>
      <c r="DH39" s="34"/>
      <c r="DI39" s="34"/>
      <c r="DJ39" s="34"/>
      <c r="DK39" s="34"/>
      <c r="DL39" s="34"/>
      <c r="DM39" s="34"/>
      <c r="DN39" s="34"/>
      <c r="DO39" s="34"/>
      <c r="DP39" s="34"/>
      <c r="DQ39" s="34"/>
      <c r="DR39" s="34"/>
      <c r="DS39" s="34"/>
      <c r="DT39" s="34"/>
      <c r="DU39" s="34"/>
      <c r="DV39" s="34"/>
      <c r="DW39" s="34"/>
      <c r="DX39" s="34"/>
      <c r="DY39" s="34"/>
      <c r="DZ39" s="34"/>
      <c r="EA39" s="34"/>
      <c r="EB39" s="34"/>
      <c r="EC39" s="34"/>
      <c r="ED39" s="34"/>
      <c r="EE39" s="34"/>
      <c r="EF39" s="34"/>
      <c r="EG39" s="34"/>
      <c r="EH39" s="34"/>
      <c r="EI39" s="34"/>
    </row>
    <row r="40" s="2" customFormat="1" ht="5.1" customHeight="1">
      <c r="B40" s="54"/>
      <c r="C40" s="297"/>
      <c r="D40" s="159"/>
      <c r="E40" s="159"/>
      <c r="F40" s="159"/>
      <c r="G40" s="159"/>
      <c r="H40" s="159"/>
      <c r="I40" s="159"/>
      <c r="J40" s="160"/>
      <c r="K40" s="159"/>
      <c r="L40" s="160"/>
      <c r="M40" s="159"/>
      <c r="N40" s="159"/>
      <c r="O40" s="159"/>
      <c r="P40" s="160"/>
      <c r="Q40" s="159"/>
      <c r="R40" s="160"/>
      <c r="S40" s="159"/>
      <c r="T40" s="159"/>
      <c r="U40" s="159"/>
      <c r="W40" s="281"/>
      <c r="X40" s="281"/>
      <c r="Y40" s="281"/>
      <c r="Z40" s="281"/>
      <c r="AA40" s="281"/>
      <c r="AB40" s="281"/>
      <c r="AC40" s="281"/>
      <c r="AD40" s="281"/>
      <c r="AE40" s="281"/>
      <c r="AF40" s="281"/>
      <c r="AG40" s="281"/>
      <c r="AH40" s="281"/>
      <c r="AI40" s="281"/>
      <c r="AJ40" s="281"/>
      <c r="AK40" s="281"/>
      <c r="AL40" s="34"/>
      <c r="AM40" s="34"/>
      <c r="AN40" s="34"/>
      <c r="AO40" s="34"/>
      <c r="AP40" s="34"/>
      <c r="AQ40" s="34"/>
      <c r="AR40" s="34"/>
      <c r="AS40" s="34"/>
      <c r="AT40" s="34"/>
      <c r="AU40" s="34"/>
      <c r="AV40" s="34"/>
      <c r="AW40" s="34"/>
      <c r="AX40" s="34"/>
      <c r="AY40" s="34"/>
      <c r="AZ40" s="34"/>
      <c r="BA40" s="34"/>
      <c r="BB40" s="34"/>
      <c r="BC40" s="34"/>
      <c r="BD40" s="34"/>
      <c r="BE40" s="34"/>
      <c r="BF40" s="34"/>
      <c r="BG40" s="34"/>
      <c r="BH40" s="34"/>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c r="CK40" s="34"/>
      <c r="CL40" s="34"/>
      <c r="CM40" s="34"/>
      <c r="CN40" s="34"/>
      <c r="CO40" s="34"/>
      <c r="CP40" s="34"/>
      <c r="CQ40" s="34"/>
      <c r="CR40" s="34"/>
      <c r="CS40" s="34"/>
      <c r="CT40" s="34"/>
      <c r="CU40" s="34"/>
      <c r="CV40" s="34"/>
      <c r="CW40" s="34"/>
      <c r="CX40" s="34"/>
      <c r="CY40" s="34"/>
      <c r="CZ40" s="34"/>
      <c r="DA40" s="34"/>
      <c r="DB40" s="34"/>
      <c r="DC40" s="34"/>
      <c r="DD40" s="34"/>
      <c r="DE40" s="34"/>
      <c r="DF40" s="34"/>
      <c r="DG40" s="34"/>
      <c r="DH40" s="34"/>
      <c r="DI40" s="34"/>
      <c r="DJ40" s="34"/>
      <c r="DK40" s="34"/>
      <c r="DL40" s="34"/>
      <c r="DM40" s="34"/>
      <c r="DN40" s="34"/>
      <c r="DO40" s="34"/>
      <c r="DP40" s="34"/>
      <c r="DQ40" s="34"/>
      <c r="DR40" s="34"/>
      <c r="DS40" s="34"/>
      <c r="DT40" s="34"/>
      <c r="DU40" s="34"/>
      <c r="DV40" s="34"/>
      <c r="DW40" s="34"/>
      <c r="DX40" s="34"/>
      <c r="DY40" s="34"/>
      <c r="DZ40" s="34"/>
      <c r="EA40" s="34"/>
      <c r="EB40" s="34"/>
      <c r="EC40" s="34"/>
      <c r="ED40" s="34"/>
      <c r="EE40" s="34"/>
      <c r="EF40" s="34"/>
      <c r="EG40" s="34"/>
      <c r="EH40" s="34"/>
      <c r="EI40" s="34"/>
    </row>
    <row r="41" s="9" customFormat="1" ht="5.1" customHeight="1">
      <c r="B41" s="54"/>
      <c r="C41" s="297"/>
      <c r="D41" s="159"/>
      <c r="E41" s="159"/>
      <c r="F41" s="159"/>
      <c r="G41" s="159"/>
      <c r="H41" s="159"/>
      <c r="I41" s="159"/>
      <c r="J41" s="160"/>
      <c r="K41" s="159"/>
      <c r="L41" s="160"/>
      <c r="M41" s="159"/>
      <c r="N41" s="159"/>
      <c r="O41" s="159"/>
      <c r="P41" s="160"/>
      <c r="Q41" s="159"/>
      <c r="R41" s="160"/>
      <c r="S41" s="159"/>
      <c r="T41" s="159"/>
      <c r="U41" s="159"/>
      <c r="W41" s="281"/>
      <c r="X41" s="281"/>
      <c r="Y41" s="281"/>
      <c r="Z41" s="281"/>
      <c r="AA41" s="281"/>
      <c r="AB41" s="281"/>
      <c r="AC41" s="281"/>
      <c r="AD41" s="281"/>
      <c r="AE41" s="281"/>
      <c r="AF41" s="281"/>
      <c r="AG41" s="281"/>
      <c r="AH41" s="281"/>
      <c r="AI41" s="281"/>
      <c r="AJ41" s="281"/>
      <c r="AK41" s="281"/>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row>
    <row r="42" s="2" customFormat="1" ht="15.95" customHeight="1">
      <c r="B42" s="323" t="s">
        <v>49</v>
      </c>
      <c r="C42" s="303" t="s">
        <v>42</v>
      </c>
      <c r="D42" s="307">
        <v>51.111111111111111111111111110</v>
      </c>
      <c r="E42" s="308">
        <v>-3.7209302325827690643591067400</v>
      </c>
      <c r="F42" s="308">
        <v>39.711538461538461538461538460</v>
      </c>
      <c r="G42" s="308">
        <v>-4.1763341067107519877692270600</v>
      </c>
      <c r="H42" s="308">
        <v>128.70594565522285213999429708</v>
      </c>
      <c r="I42" s="308">
        <v>0.475251984971206449357605900</v>
      </c>
      <c r="J42" s="317">
        <v>119.58608695652173913043478265</v>
      </c>
      <c r="K42" s="308">
        <v>-4.5036457092404734732744779900</v>
      </c>
      <c r="L42" s="318">
        <v>119.4343255630164974428029791</v>
      </c>
      <c r="M42" s="308">
        <v>6.291348560185638001028479300</v>
      </c>
      <c r="N42" s="308">
        <v>100.12706681501013461743742827</v>
      </c>
      <c r="O42" s="309">
        <v>-10.156042251427628288733766320</v>
      </c>
      <c r="P42" s="317">
        <v>61.121777777777777777777777798</v>
      </c>
      <c r="Q42" s="308">
        <v>-8.056998427072033926449077580</v>
      </c>
      <c r="R42" s="318">
        <v>47.429208132236359080651567663</v>
      </c>
      <c r="S42" s="308">
        <v>1.8522667176830810825542361100</v>
      </c>
      <c r="T42" s="308">
        <v>128.86948820105179571201632519</v>
      </c>
      <c r="U42" s="309">
        <v>-9.729057058815329561044237610</v>
      </c>
      <c r="W42" s="281"/>
      <c r="X42" s="281"/>
      <c r="Y42" s="281"/>
      <c r="Z42" s="281"/>
      <c r="AA42" s="281"/>
      <c r="AB42" s="281"/>
      <c r="AC42" s="281"/>
      <c r="AD42" s="281"/>
      <c r="AE42" s="281"/>
      <c r="AF42" s="281"/>
      <c r="AG42" s="281"/>
      <c r="AH42" s="281"/>
      <c r="AI42" s="281"/>
      <c r="AJ42" s="281"/>
      <c r="AK42" s="281"/>
      <c r="AL42" s="34"/>
      <c r="AM42" s="34"/>
      <c r="AN42" s="34"/>
      <c r="AO42" s="34"/>
      <c r="AP42" s="34"/>
      <c r="AQ42" s="34"/>
      <c r="AR42" s="34"/>
      <c r="AS42" s="34"/>
      <c r="AT42" s="34"/>
      <c r="AU42" s="34"/>
      <c r="AV42" s="34"/>
      <c r="AW42" s="34"/>
      <c r="AX42" s="34"/>
      <c r="AY42" s="34"/>
      <c r="AZ42" s="34"/>
      <c r="BA42" s="34"/>
      <c r="BB42" s="34"/>
      <c r="BC42" s="34"/>
      <c r="BD42" s="34"/>
      <c r="BE42" s="34"/>
      <c r="BF42" s="34"/>
      <c r="BG42" s="34"/>
      <c r="BH42" s="34"/>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c r="DH42" s="34"/>
      <c r="DI42" s="34"/>
      <c r="DJ42" s="34"/>
      <c r="DK42" s="34"/>
      <c r="DL42" s="34"/>
      <c r="DM42" s="34"/>
      <c r="DN42" s="34"/>
      <c r="DO42" s="34"/>
      <c r="DP42" s="34"/>
      <c r="DQ42" s="34"/>
      <c r="DR42" s="34"/>
      <c r="DS42" s="34"/>
      <c r="DT42" s="34"/>
      <c r="DU42" s="34"/>
      <c r="DV42" s="34"/>
      <c r="DW42" s="34"/>
      <c r="DX42" s="34"/>
      <c r="DY42" s="34"/>
      <c r="DZ42" s="34"/>
      <c r="EA42" s="34"/>
      <c r="EB42" s="34"/>
      <c r="EC42" s="34"/>
      <c r="ED42" s="34"/>
      <c r="EE42" s="34"/>
      <c r="EF42" s="34"/>
      <c r="EG42" s="34"/>
      <c r="EH42" s="34"/>
      <c r="EI42" s="34"/>
    </row>
    <row r="43" s="2" customFormat="1" ht="15.95" customHeight="1">
      <c r="B43" s="324"/>
      <c r="C43" s="304" t="s">
        <v>58</v>
      </c>
      <c r="D43" s="310">
        <v>60.044893378226711560044893380</v>
      </c>
      <c r="E43" s="134">
        <v>3.6821705425603085000901935800</v>
      </c>
      <c r="F43" s="134">
        <v>35.598776223776223776223776220</v>
      </c>
      <c r="G43" s="134">
        <v>-2.3899899918085842869776316500</v>
      </c>
      <c r="H43" s="134">
        <v>168.67122903534801583890421944</v>
      </c>
      <c r="I43" s="134">
        <v>6.2208379384871261075765789500</v>
      </c>
      <c r="J43" s="319">
        <v>120.71678504672897196261682241</v>
      </c>
      <c r="K43" s="134">
        <v>-1.3554415183539083386873404200</v>
      </c>
      <c r="L43" s="135">
        <v>116.51140587363063249305006282</v>
      </c>
      <c r="M43" s="134">
        <v>8.807105149669267575278865980</v>
      </c>
      <c r="N43" s="134">
        <v>103.60941415271503242493582422</v>
      </c>
      <c r="O43" s="311">
        <v>-9.339966038042346836374918260</v>
      </c>
      <c r="P43" s="319">
        <v>72.48426487093153759820426486</v>
      </c>
      <c r="Q43" s="134">
        <v>2.2768193559790158028706434700</v>
      </c>
      <c r="R43" s="135">
        <v>41.476634652129436261184124199</v>
      </c>
      <c r="S43" s="134">
        <v>6.2066262262359488087378908900</v>
      </c>
      <c r="T43" s="134">
        <v>174.75927224790305613909854830</v>
      </c>
      <c r="U43" s="311">
        <v>-3.7001522502150281001193800600</v>
      </c>
      <c r="W43" s="281"/>
      <c r="X43" s="281"/>
      <c r="Y43" s="281"/>
      <c r="Z43" s="281"/>
      <c r="AA43" s="281"/>
      <c r="AB43" s="281"/>
      <c r="AC43" s="281"/>
      <c r="AD43" s="281"/>
      <c r="AE43" s="281"/>
      <c r="AF43" s="281"/>
      <c r="AG43" s="281"/>
      <c r="AH43" s="281"/>
      <c r="AI43" s="281"/>
      <c r="AJ43" s="281"/>
      <c r="AK43" s="281"/>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c r="DH43" s="34"/>
      <c r="DI43" s="34"/>
      <c r="DJ43" s="34"/>
      <c r="DK43" s="34"/>
      <c r="DL43" s="34"/>
      <c r="DM43" s="34"/>
      <c r="DN43" s="34"/>
      <c r="DO43" s="34"/>
      <c r="DP43" s="34"/>
      <c r="DQ43" s="34"/>
      <c r="DR43" s="34"/>
      <c r="DS43" s="34"/>
      <c r="DT43" s="34"/>
      <c r="DU43" s="34"/>
      <c r="DV43" s="34"/>
      <c r="DW43" s="34"/>
      <c r="DX43" s="34"/>
      <c r="DY43" s="34"/>
      <c r="DZ43" s="34"/>
      <c r="EA43" s="34"/>
      <c r="EB43" s="34"/>
      <c r="EC43" s="34"/>
      <c r="ED43" s="34"/>
      <c r="EE43" s="34"/>
      <c r="EF43" s="34"/>
      <c r="EG43" s="34"/>
      <c r="EH43" s="34"/>
      <c r="EI43" s="34"/>
    </row>
    <row r="44" s="2" customFormat="1" ht="15.95" customHeight="1">
      <c r="B44" s="324"/>
      <c r="C44" s="305" t="s">
        <v>44</v>
      </c>
      <c r="D44" s="312">
        <v>64.007597340930674264007597340</v>
      </c>
      <c r="E44" s="159">
        <v>6.4770932068803785479512010100</v>
      </c>
      <c r="F44" s="159">
        <v>42.443293885601577909270216960</v>
      </c>
      <c r="G44" s="159">
        <v>1.9543973942493591926223753600</v>
      </c>
      <c r="H44" s="159">
        <v>150.80732780413852250002572157</v>
      </c>
      <c r="I44" s="159">
        <v>4.4359987683398455209027447600</v>
      </c>
      <c r="J44" s="320">
        <v>124.38777448071216617210682491</v>
      </c>
      <c r="K44" s="159">
        <v>-4.4143548600981918875310006500</v>
      </c>
      <c r="L44" s="160">
        <v>120.26929947521418500267649588</v>
      </c>
      <c r="M44" s="159">
        <v>8.851900031484898394156407260</v>
      </c>
      <c r="N44" s="159">
        <v>103.42437764540352363835535499</v>
      </c>
      <c r="O44" s="313">
        <v>-12.187435302250640759948801200</v>
      </c>
      <c r="P44" s="320">
        <v>79.61762583095916429249762582</v>
      </c>
      <c r="Q44" s="159">
        <v>1.7768164680186547737072060200</v>
      </c>
      <c r="R44" s="160">
        <v>51.046252230419432811170509777</v>
      </c>
      <c r="S44" s="159">
        <v>10.979298729161236203908380050</v>
      </c>
      <c r="T44" s="159">
        <v>155.97154022512903712068875163</v>
      </c>
      <c r="U44" s="313">
        <v>-8.292071013653234540510778490</v>
      </c>
      <c r="W44" s="281"/>
      <c r="X44" s="281"/>
      <c r="Y44" s="281"/>
      <c r="Z44" s="281"/>
      <c r="AA44" s="281"/>
      <c r="AB44" s="281"/>
      <c r="AC44" s="281"/>
      <c r="AD44" s="281"/>
      <c r="AE44" s="281"/>
      <c r="AF44" s="281"/>
      <c r="AG44" s="281"/>
      <c r="AH44" s="281"/>
      <c r="AI44" s="281"/>
      <c r="AJ44" s="281"/>
      <c r="AK44" s="281"/>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c r="DH44" s="34"/>
      <c r="DI44" s="34"/>
      <c r="DJ44" s="34"/>
      <c r="DK44" s="34"/>
      <c r="DL44" s="34"/>
      <c r="DM44" s="34"/>
      <c r="DN44" s="34"/>
      <c r="DO44" s="34"/>
      <c r="DP44" s="34"/>
      <c r="DQ44" s="34"/>
      <c r="DR44" s="34"/>
      <c r="DS44" s="34"/>
      <c r="DT44" s="34"/>
      <c r="DU44" s="34"/>
      <c r="DV44" s="34"/>
      <c r="DW44" s="34"/>
      <c r="DX44" s="34"/>
      <c r="DY44" s="34"/>
      <c r="DZ44" s="34"/>
      <c r="EA44" s="34"/>
      <c r="EB44" s="34"/>
      <c r="EC44" s="34"/>
      <c r="ED44" s="34"/>
      <c r="EE44" s="34"/>
      <c r="EF44" s="34"/>
      <c r="EG44" s="34"/>
      <c r="EH44" s="34"/>
      <c r="EI44" s="34"/>
    </row>
    <row r="45" s="2" customFormat="1" ht="15.95" customHeight="1">
      <c r="B45" s="325"/>
      <c r="C45" s="306" t="s">
        <v>45</v>
      </c>
      <c r="D45" s="314">
        <v>62.298195631528964862298195630</v>
      </c>
      <c r="E45" s="315">
        <v>3.4207864833502701223891993200</v>
      </c>
      <c r="F45" s="315">
        <v>38.258136094674556213017751480</v>
      </c>
      <c r="G45" s="315">
        <v>-11.726192803644043676357773750</v>
      </c>
      <c r="H45" s="315">
        <v>162.83646301357398695128176132</v>
      </c>
      <c r="I45" s="315">
        <v>17.159086900276855523106117950</v>
      </c>
      <c r="J45" s="321">
        <v>123.37892530487804878048780487</v>
      </c>
      <c r="K45" s="315">
        <v>0.6116744551274674494395127100</v>
      </c>
      <c r="L45" s="322">
        <v>117.59501830549548392100127153</v>
      </c>
      <c r="M45" s="315">
        <v>10.928862599263795114096693700</v>
      </c>
      <c r="N45" s="315">
        <v>104.91849661892312615631187238</v>
      </c>
      <c r="O45" s="316">
        <v>-9.300724718901954487455526330</v>
      </c>
      <c r="P45" s="321">
        <v>76.862844254510921177587844247</v>
      </c>
      <c r="Q45" s="315">
        <v>4.0533850155851776307169744700</v>
      </c>
      <c r="R45" s="322">
        <v>44.989662143873919421699635873</v>
      </c>
      <c r="S45" s="315">
        <v>-2.0788697039660103419991313200</v>
      </c>
      <c r="T45" s="315">
        <v>170.84556894129177381032331769</v>
      </c>
      <c r="U45" s="316">
        <v>6.2624427444535595925310049700</v>
      </c>
      <c r="W45" s="281"/>
      <c r="X45" s="281"/>
      <c r="Y45" s="281"/>
      <c r="Z45" s="281"/>
      <c r="AA45" s="281"/>
      <c r="AB45" s="281"/>
      <c r="AC45" s="281"/>
      <c r="AD45" s="281"/>
      <c r="AE45" s="281"/>
      <c r="AF45" s="281"/>
      <c r="AG45" s="281"/>
      <c r="AH45" s="281"/>
      <c r="AI45" s="281"/>
      <c r="AJ45" s="281"/>
      <c r="AK45" s="281"/>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c r="DH45" s="34"/>
      <c r="DI45" s="34"/>
      <c r="DJ45" s="34"/>
      <c r="DK45" s="34"/>
      <c r="DL45" s="34"/>
      <c r="DM45" s="34"/>
      <c r="DN45" s="34"/>
      <c r="DO45" s="34"/>
      <c r="DP45" s="34"/>
      <c r="DQ45" s="34"/>
      <c r="DR45" s="34"/>
      <c r="DS45" s="34"/>
      <c r="DT45" s="34"/>
      <c r="DU45" s="34"/>
      <c r="DV45" s="34"/>
      <c r="DW45" s="34"/>
      <c r="DX45" s="34"/>
      <c r="DY45" s="34"/>
      <c r="DZ45" s="34"/>
      <c r="EA45" s="34"/>
      <c r="EB45" s="34"/>
      <c r="EC45" s="34"/>
      <c r="ED45" s="34"/>
      <c r="EE45" s="34"/>
      <c r="EF45" s="34"/>
      <c r="EG45" s="34"/>
      <c r="EH45" s="34"/>
      <c r="EI45" s="34"/>
    </row>
    <row r="46" s="2" customFormat="1" ht="5.1" customHeight="1">
      <c r="A46" s="54"/>
      <c r="B46" s="54"/>
      <c r="C46" s="297"/>
      <c r="D46" s="159"/>
      <c r="E46" s="159"/>
      <c r="F46" s="159"/>
      <c r="G46" s="159"/>
      <c r="H46" s="159"/>
      <c r="I46" s="159"/>
      <c r="J46" s="160"/>
      <c r="K46" s="159"/>
      <c r="L46" s="160"/>
      <c r="M46" s="159"/>
      <c r="N46" s="159"/>
      <c r="O46" s="159"/>
      <c r="P46" s="160"/>
      <c r="Q46" s="159"/>
      <c r="R46" s="160"/>
      <c r="S46" s="159"/>
      <c r="T46" s="159"/>
      <c r="U46" s="159"/>
      <c r="W46" s="281"/>
      <c r="X46" s="281"/>
      <c r="Y46" s="281"/>
      <c r="Z46" s="281"/>
      <c r="AA46" s="281"/>
      <c r="AB46" s="281"/>
      <c r="AC46" s="281"/>
      <c r="AD46" s="281"/>
      <c r="AE46" s="281"/>
      <c r="AF46" s="281"/>
      <c r="AG46" s="281"/>
      <c r="AH46" s="281"/>
      <c r="AI46" s="281"/>
      <c r="AJ46" s="281"/>
      <c r="AK46" s="281"/>
      <c r="AL46" s="34"/>
      <c r="AM46" s="34"/>
      <c r="AN46" s="34"/>
      <c r="AO46" s="34"/>
      <c r="AP46" s="34"/>
      <c r="AQ46" s="34"/>
      <c r="AR46" s="34"/>
      <c r="AS46" s="34"/>
      <c r="AT46" s="34"/>
      <c r="AU46" s="34"/>
      <c r="AV46" s="34"/>
      <c r="AW46" s="34"/>
      <c r="AX46" s="34"/>
      <c r="AY46" s="34"/>
      <c r="AZ46" s="34"/>
      <c r="BA46" s="34"/>
      <c r="BB46" s="34"/>
      <c r="BC46" s="34"/>
      <c r="BD46" s="34"/>
      <c r="BE46" s="34"/>
      <c r="BF46" s="34"/>
      <c r="BG46" s="34"/>
      <c r="BH46" s="34"/>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c r="CK46" s="34"/>
      <c r="CL46" s="34"/>
      <c r="CM46" s="34"/>
      <c r="CN46" s="34"/>
      <c r="CO46" s="34"/>
      <c r="CP46" s="34"/>
      <c r="CQ46" s="34"/>
      <c r="CR46" s="34"/>
      <c r="CS46" s="34"/>
      <c r="CT46" s="34"/>
      <c r="CU46" s="34"/>
      <c r="CV46" s="34"/>
      <c r="CW46" s="34"/>
      <c r="CX46" s="34"/>
      <c r="CY46" s="34"/>
      <c r="CZ46" s="34"/>
      <c r="DA46" s="34"/>
      <c r="DB46" s="34"/>
      <c r="DC46" s="34"/>
      <c r="DD46" s="34"/>
      <c r="DE46" s="34"/>
      <c r="DF46" s="34"/>
      <c r="DG46" s="34"/>
      <c r="DH46" s="34"/>
      <c r="DI46" s="34"/>
      <c r="DJ46" s="34"/>
      <c r="DK46" s="34"/>
      <c r="DL46" s="34"/>
      <c r="DM46" s="34"/>
      <c r="DN46" s="34"/>
      <c r="DO46" s="34"/>
      <c r="DP46" s="34"/>
      <c r="DQ46" s="34"/>
      <c r="DR46" s="34"/>
      <c r="DS46" s="34"/>
      <c r="DT46" s="34"/>
      <c r="DU46" s="34"/>
      <c r="DV46" s="34"/>
      <c r="DW46" s="34"/>
      <c r="DX46" s="34"/>
      <c r="DY46" s="34"/>
      <c r="DZ46" s="34"/>
      <c r="EA46" s="34"/>
      <c r="EB46" s="34"/>
      <c r="EC46" s="34"/>
      <c r="ED46" s="34"/>
      <c r="EE46" s="34"/>
      <c r="EF46" s="34"/>
      <c r="EG46" s="34"/>
      <c r="EH46" s="34"/>
      <c r="EI46" s="34"/>
    </row>
    <row r="47" s="9" customFormat="1" ht="5.1" customHeight="1">
      <c r="A47" s="54"/>
      <c r="B47" s="54"/>
      <c r="C47" s="297"/>
      <c r="D47" s="159"/>
      <c r="E47" s="159"/>
      <c r="F47" s="159"/>
      <c r="G47" s="159"/>
      <c r="H47" s="159"/>
      <c r="I47" s="159"/>
      <c r="J47" s="160"/>
      <c r="K47" s="159"/>
      <c r="L47" s="160"/>
      <c r="M47" s="159"/>
      <c r="N47" s="159"/>
      <c r="O47" s="159"/>
      <c r="P47" s="160"/>
      <c r="Q47" s="159"/>
      <c r="R47" s="160"/>
      <c r="S47" s="159"/>
      <c r="T47" s="159"/>
      <c r="U47" s="159"/>
      <c r="W47" s="281"/>
      <c r="X47" s="281"/>
      <c r="Y47" s="281"/>
      <c r="Z47" s="281"/>
      <c r="AA47" s="281"/>
      <c r="AB47" s="281"/>
      <c r="AC47" s="281"/>
      <c r="AD47" s="281"/>
      <c r="AE47" s="281"/>
      <c r="AF47" s="281"/>
      <c r="AG47" s="281"/>
      <c r="AH47" s="281"/>
      <c r="AI47" s="281"/>
      <c r="AJ47" s="281"/>
      <c r="AK47" s="281"/>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c r="CA47" s="54"/>
      <c r="CB47" s="54"/>
      <c r="CC47" s="54"/>
      <c r="CD47" s="54"/>
      <c r="CE47" s="54"/>
      <c r="CF47" s="54"/>
      <c r="CG47" s="54"/>
      <c r="CH47" s="54"/>
      <c r="CI47" s="54"/>
      <c r="CJ47" s="54"/>
      <c r="CK47" s="54"/>
      <c r="CL47" s="54"/>
      <c r="CM47" s="54"/>
      <c r="CN47" s="54"/>
      <c r="CO47" s="54"/>
      <c r="CP47" s="54"/>
      <c r="CQ47" s="54"/>
      <c r="CR47" s="54"/>
      <c r="CS47" s="54"/>
      <c r="CT47" s="54"/>
      <c r="CU47" s="54"/>
      <c r="CV47" s="54"/>
      <c r="CW47" s="54"/>
      <c r="CX47" s="54"/>
      <c r="CY47" s="54"/>
      <c r="CZ47" s="54"/>
      <c r="DA47" s="54"/>
      <c r="DB47" s="54"/>
      <c r="DC47" s="54"/>
      <c r="DD47" s="54"/>
      <c r="DE47" s="54"/>
      <c r="DF47" s="54"/>
      <c r="DG47" s="54"/>
      <c r="DH47" s="54"/>
      <c r="DI47" s="54"/>
      <c r="DJ47" s="54"/>
      <c r="DK47" s="54"/>
      <c r="DL47" s="54"/>
      <c r="DM47" s="54"/>
      <c r="DN47" s="54"/>
      <c r="DO47" s="54"/>
      <c r="DP47" s="54"/>
      <c r="DQ47" s="54"/>
      <c r="DR47" s="54"/>
      <c r="DS47" s="54"/>
      <c r="DT47" s="54"/>
      <c r="DU47" s="54"/>
      <c r="DV47" s="54"/>
      <c r="DW47" s="54"/>
      <c r="DX47" s="54"/>
      <c r="DY47" s="54"/>
      <c r="DZ47" s="54"/>
      <c r="EA47" s="54"/>
      <c r="EB47" s="54"/>
      <c r="EC47" s="54"/>
      <c r="ED47" s="54"/>
      <c r="EE47" s="54"/>
      <c r="EF47" s="54"/>
      <c r="EG47" s="54"/>
      <c r="EH47" s="54"/>
      <c r="EI47" s="54"/>
    </row>
    <row r="48" s="2" customFormat="1" ht="15.95" customHeight="1">
      <c r="B48" s="323" t="s">
        <v>50</v>
      </c>
      <c r="C48" s="303" t="s">
        <v>42</v>
      </c>
      <c r="D48" s="307">
        <v>68.888888888888888888888888890</v>
      </c>
      <c r="E48" s="308">
        <v>-0.7117437722667266118716773300</v>
      </c>
      <c r="F48" s="308">
        <v>56.025641025641025641025641030</v>
      </c>
      <c r="G48" s="308">
        <v>4.482964734000766721842534300</v>
      </c>
      <c r="H48" s="308">
        <v>122.95957284524640823030620637</v>
      </c>
      <c r="I48" s="308">
        <v>-4.9718234158161352323395265200</v>
      </c>
      <c r="J48" s="317">
        <v>139.69512544802867383512544807</v>
      </c>
      <c r="K48" s="308">
        <v>-1.0267368499158663996098081800</v>
      </c>
      <c r="L48" s="318">
        <v>132.61606446142676229102783024</v>
      </c>
      <c r="M48" s="308">
        <v>9.950347338112961239229646690</v>
      </c>
      <c r="N48" s="308">
        <v>105.33801166199525272193220273</v>
      </c>
      <c r="O48" s="309">
        <v>-9.983673952598628974947341370</v>
      </c>
      <c r="P48" s="317">
        <v>96.23441975308641975308641978</v>
      </c>
      <c r="Q48" s="308">
        <v>-1.731172886566809652751658300</v>
      </c>
      <c r="R48" s="318">
        <v>74.299000217491660411768156173</v>
      </c>
      <c r="S48" s="308">
        <v>14.879382634164474486176406650</v>
      </c>
      <c r="T48" s="308">
        <v>129.52316918312968785552880751</v>
      </c>
      <c r="U48" s="309">
        <v>-14.459126729181249587142349270</v>
      </c>
      <c r="W48" s="281"/>
      <c r="X48" s="281"/>
      <c r="Y48" s="281"/>
      <c r="Z48" s="281"/>
      <c r="AA48" s="281"/>
      <c r="AB48" s="281"/>
      <c r="AC48" s="281"/>
      <c r="AD48" s="281"/>
      <c r="AE48" s="281"/>
      <c r="AF48" s="281"/>
      <c r="AG48" s="281"/>
      <c r="AH48" s="281"/>
      <c r="AI48" s="281"/>
      <c r="AJ48" s="281"/>
      <c r="AK48" s="281"/>
      <c r="AL48" s="34"/>
      <c r="AM48" s="34"/>
      <c r="AN48" s="34"/>
      <c r="AO48" s="34"/>
      <c r="AP48" s="34"/>
      <c r="AQ48" s="34"/>
      <c r="AR48" s="34"/>
      <c r="AS48" s="34"/>
      <c r="AT48" s="34"/>
      <c r="AU48" s="34"/>
      <c r="AV48" s="34"/>
      <c r="AW48" s="34"/>
      <c r="AX48" s="34"/>
      <c r="AY48" s="34"/>
      <c r="AZ48" s="34"/>
      <c r="BA48" s="34"/>
      <c r="BB48" s="34"/>
      <c r="BC48" s="34"/>
      <c r="BD48" s="34"/>
      <c r="BE48" s="34"/>
      <c r="BF48" s="34"/>
      <c r="BG48" s="34"/>
      <c r="BH48" s="34"/>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c r="DI48" s="34"/>
      <c r="DJ48" s="34"/>
      <c r="DK48" s="34"/>
      <c r="DL48" s="34"/>
      <c r="DM48" s="34"/>
      <c r="DN48" s="34"/>
      <c r="DO48" s="34"/>
      <c r="DP48" s="34"/>
      <c r="DQ48" s="34"/>
      <c r="DR48" s="34"/>
      <c r="DS48" s="34"/>
      <c r="DT48" s="34"/>
      <c r="DU48" s="34"/>
      <c r="DV48" s="34"/>
      <c r="DW48" s="34"/>
      <c r="DX48" s="34"/>
      <c r="DY48" s="34"/>
      <c r="DZ48" s="34"/>
      <c r="EA48" s="34"/>
      <c r="EB48" s="34"/>
      <c r="EC48" s="34"/>
      <c r="ED48" s="34"/>
      <c r="EE48" s="34"/>
      <c r="EF48" s="34"/>
      <c r="EG48" s="34"/>
      <c r="EH48" s="34"/>
      <c r="EI48" s="34"/>
    </row>
    <row r="49" s="2" customFormat="1" ht="15.95" customHeight="1">
      <c r="B49" s="324"/>
      <c r="C49" s="304" t="s">
        <v>58</v>
      </c>
      <c r="D49" s="310">
        <v>64.309764309764309764309764310</v>
      </c>
      <c r="E49" s="134">
        <v>1.5057573074264417981220361400</v>
      </c>
      <c r="F49" s="134">
        <v>47.785547785547785547785547790</v>
      </c>
      <c r="G49" s="134">
        <v>2.9831012456846668473564361700</v>
      </c>
      <c r="H49" s="134">
        <v>134.57994579959257452574539203</v>
      </c>
      <c r="I49" s="134">
        <v>-1.4345498634111944959516684800</v>
      </c>
      <c r="J49" s="319">
        <v>130.23593368237347294938917977</v>
      </c>
      <c r="K49" s="134">
        <v>-2.1355404802866954959616519100</v>
      </c>
      <c r="L49" s="135">
        <v>126.51523281306427962390373416</v>
      </c>
      <c r="M49" s="134">
        <v>9.961748128966784748966136560</v>
      </c>
      <c r="N49" s="134">
        <v>102.94091137212705153370317003</v>
      </c>
      <c r="O49" s="311">
        <v>-11.001360759596683139890384540</v>
      </c>
      <c r="P49" s="319">
        <v>83.75442199775533108866442201</v>
      </c>
      <c r="Q49" s="134">
        <v>-0.6619392298103445201074824500</v>
      </c>
      <c r="R49" s="135">
        <v>60.455997031883863223543742432</v>
      </c>
      <c r="S49" s="134">
        <v>13.242018407154864693298250960</v>
      </c>
      <c r="T49" s="134">
        <v>138.53782273007881358365371177</v>
      </c>
      <c r="U49" s="311">
        <v>-12.278090617364886568526054400</v>
      </c>
      <c r="W49" s="281"/>
      <c r="X49" s="281"/>
      <c r="Y49" s="281"/>
      <c r="Z49" s="281"/>
      <c r="AA49" s="281"/>
      <c r="AB49" s="281"/>
      <c r="AC49" s="281"/>
      <c r="AD49" s="281"/>
      <c r="AE49" s="281"/>
      <c r="AF49" s="281"/>
      <c r="AG49" s="281"/>
      <c r="AH49" s="281"/>
      <c r="AI49" s="281"/>
      <c r="AJ49" s="281"/>
      <c r="AK49" s="281"/>
      <c r="AL49" s="34"/>
      <c r="AM49" s="34"/>
      <c r="AN49" s="34"/>
      <c r="AO49" s="34"/>
      <c r="AP49" s="34"/>
      <c r="AQ49" s="34"/>
      <c r="AR49" s="34"/>
      <c r="AS49" s="34"/>
      <c r="AT49" s="34"/>
      <c r="AU49" s="34"/>
      <c r="AV49" s="34"/>
      <c r="AW49" s="34"/>
      <c r="AX49" s="34"/>
      <c r="AY49" s="34"/>
      <c r="AZ49" s="34"/>
      <c r="BA49" s="34"/>
      <c r="BB49" s="34"/>
      <c r="BC49" s="34"/>
      <c r="BD49" s="34"/>
      <c r="BE49" s="34"/>
      <c r="BF49" s="34"/>
      <c r="BG49" s="34"/>
      <c r="BH49" s="34"/>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c r="DI49" s="34"/>
      <c r="DJ49" s="34"/>
      <c r="DK49" s="34"/>
      <c r="DL49" s="34"/>
      <c r="DM49" s="34"/>
      <c r="DN49" s="34"/>
      <c r="DO49" s="34"/>
      <c r="DP49" s="34"/>
      <c r="DQ49" s="34"/>
      <c r="DR49" s="34"/>
      <c r="DS49" s="34"/>
      <c r="DT49" s="34"/>
      <c r="DU49" s="34"/>
      <c r="DV49" s="34"/>
      <c r="DW49" s="34"/>
      <c r="DX49" s="34"/>
      <c r="DY49" s="34"/>
      <c r="DZ49" s="34"/>
      <c r="EA49" s="34"/>
      <c r="EB49" s="34"/>
      <c r="EC49" s="34"/>
      <c r="ED49" s="34"/>
      <c r="EE49" s="34"/>
      <c r="EF49" s="34"/>
      <c r="EG49" s="34"/>
      <c r="EH49" s="34"/>
      <c r="EI49" s="34"/>
    </row>
    <row r="50" s="2" customFormat="1" ht="15.95" customHeight="1">
      <c r="B50" s="324"/>
      <c r="C50" s="305" t="s">
        <v>44</v>
      </c>
      <c r="D50" s="312">
        <v>73.219373219373219373219373220</v>
      </c>
      <c r="E50" s="159">
        <v>-2.0863570391766051599255129900</v>
      </c>
      <c r="F50" s="159">
        <v>57.371794871794871794871794870</v>
      </c>
      <c r="G50" s="159">
        <v>6.3215952482416084100493235800</v>
      </c>
      <c r="H50" s="159">
        <v>127.62259466168939934597685706</v>
      </c>
      <c r="I50" s="159">
        <v>-7.9080381251227362853995764400</v>
      </c>
      <c r="J50" s="320">
        <v>134.82880674448767833981841768</v>
      </c>
      <c r="K50" s="159">
        <v>-2.8927711385525339848924888600</v>
      </c>
      <c r="L50" s="160">
        <v>130.34372699538818878672174083</v>
      </c>
      <c r="M50" s="159">
        <v>9.563737275886903087692169490</v>
      </c>
      <c r="N50" s="159">
        <v>103.44096325344906138020518203</v>
      </c>
      <c r="O50" s="313">
        <v>-11.369189043851859617453360740</v>
      </c>
      <c r="P50" s="320">
        <v>98.72080721747388414055080725</v>
      </c>
      <c r="Q50" s="159">
        <v>-4.9187746434416753023745694300</v>
      </c>
      <c r="R50" s="160">
        <v>74.780535680046428823151255158</v>
      </c>
      <c r="S50" s="159">
        <v>16.489913285206937391541362370</v>
      </c>
      <c r="T50" s="159">
        <v>132.01404124720210100071699199</v>
      </c>
      <c r="U50" s="313">
        <v>-18.378147364697510848846833320</v>
      </c>
      <c r="W50" s="281"/>
      <c r="X50" s="281"/>
      <c r="Y50" s="281"/>
      <c r="Z50" s="281"/>
      <c r="AA50" s="281"/>
      <c r="AB50" s="281"/>
      <c r="AC50" s="281"/>
      <c r="AD50" s="281"/>
      <c r="AE50" s="281"/>
      <c r="AF50" s="281"/>
      <c r="AG50" s="281"/>
      <c r="AH50" s="281"/>
      <c r="AI50" s="281"/>
      <c r="AJ50" s="281"/>
      <c r="AK50" s="281"/>
      <c r="AL50" s="34"/>
      <c r="AM50" s="34"/>
      <c r="AN50" s="34"/>
      <c r="AO50" s="34"/>
      <c r="AP50" s="34"/>
      <c r="AQ50" s="34"/>
      <c r="AR50" s="34"/>
      <c r="AS50" s="34"/>
      <c r="AT50" s="34"/>
      <c r="AU50" s="34"/>
      <c r="AV50" s="34"/>
      <c r="AW50" s="34"/>
      <c r="AX50" s="34"/>
      <c r="AY50" s="34"/>
      <c r="AZ50" s="34"/>
      <c r="BA50" s="34"/>
      <c r="BB50" s="34"/>
      <c r="BC50" s="34"/>
      <c r="BD50" s="34"/>
      <c r="BE50" s="34"/>
      <c r="BF50" s="34"/>
      <c r="BG50" s="34"/>
      <c r="BH50" s="34"/>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c r="DI50" s="34"/>
      <c r="DJ50" s="34"/>
      <c r="DK50" s="34"/>
      <c r="DL50" s="34"/>
      <c r="DM50" s="34"/>
      <c r="DN50" s="34"/>
      <c r="DO50" s="34"/>
      <c r="DP50" s="34"/>
      <c r="DQ50" s="34"/>
      <c r="DR50" s="34"/>
      <c r="DS50" s="34"/>
      <c r="DT50" s="34"/>
      <c r="DU50" s="34"/>
      <c r="DV50" s="34"/>
      <c r="DW50" s="34"/>
      <c r="DX50" s="34"/>
      <c r="DY50" s="34"/>
      <c r="DZ50" s="34"/>
      <c r="EA50" s="34"/>
      <c r="EB50" s="34"/>
      <c r="EC50" s="34"/>
      <c r="ED50" s="34"/>
      <c r="EE50" s="34"/>
      <c r="EF50" s="34"/>
      <c r="EG50" s="34"/>
      <c r="EH50" s="34"/>
      <c r="EI50" s="34"/>
    </row>
    <row r="51" s="2" customFormat="1" ht="15.95" customHeight="1">
      <c r="B51" s="325"/>
      <c r="C51" s="306" t="s">
        <v>45</v>
      </c>
      <c r="D51" s="314">
        <v>64.173789173789173789173789170</v>
      </c>
      <c r="E51" s="315">
        <v>-2.3748841519267181794834130300</v>
      </c>
      <c r="F51" s="315">
        <v>48.249506903353057199211045360</v>
      </c>
      <c r="G51" s="315">
        <v>-7.4771782076526810742004918300</v>
      </c>
      <c r="H51" s="315">
        <v>133.00403111325275892368383016</v>
      </c>
      <c r="I51" s="315">
        <v>5.5146329918673665278727512400</v>
      </c>
      <c r="J51" s="321">
        <v>131.37770255271920088790233077</v>
      </c>
      <c r="K51" s="315">
        <v>2.1082272447300689330216899200</v>
      </c>
      <c r="L51" s="322">
        <v>126.35998629402723878049260879</v>
      </c>
      <c r="M51" s="315">
        <v>11.460710852395594986514833320</v>
      </c>
      <c r="N51" s="315">
        <v>103.97096929643894638954124954</v>
      </c>
      <c r="O51" s="316">
        <v>-8.390834345237215580351759740</v>
      </c>
      <c r="P51" s="321">
        <v>84.31004985754985754985754987</v>
      </c>
      <c r="Q51" s="315">
        <v>-0.3167248619410708889699197600</v>
      </c>
      <c r="R51" s="322">
        <v>60.968070310012649480627227663</v>
      </c>
      <c r="S51" s="315">
        <v>3.1265948704746668630434119400</v>
      </c>
      <c r="T51" s="315">
        <v>138.28558035191955142898067864</v>
      </c>
      <c r="U51" s="316">
        <v>-3.3389250724400062194095709300</v>
      </c>
      <c r="W51" s="281"/>
      <c r="X51" s="281"/>
      <c r="Y51" s="281"/>
      <c r="Z51" s="281"/>
      <c r="AA51" s="281"/>
      <c r="AB51" s="281"/>
      <c r="AC51" s="281"/>
      <c r="AD51" s="281"/>
      <c r="AE51" s="281"/>
      <c r="AF51" s="281"/>
      <c r="AG51" s="281"/>
      <c r="AH51" s="281"/>
      <c r="AI51" s="281"/>
      <c r="AJ51" s="281"/>
      <c r="AK51" s="281"/>
      <c r="AL51" s="34"/>
      <c r="AM51" s="34"/>
      <c r="AN51" s="34"/>
      <c r="AO51" s="34"/>
      <c r="AP51" s="34"/>
      <c r="AQ51" s="34"/>
      <c r="AR51" s="34"/>
      <c r="AS51" s="34"/>
      <c r="AT51" s="34"/>
      <c r="AU51" s="34"/>
      <c r="AV51" s="34"/>
      <c r="AW51" s="34"/>
      <c r="AX51" s="34"/>
      <c r="AY51" s="34"/>
      <c r="AZ51" s="34"/>
      <c r="BA51" s="34"/>
      <c r="BB51" s="34"/>
      <c r="BC51" s="34"/>
      <c r="BD51" s="34"/>
      <c r="BE51" s="34"/>
      <c r="BF51" s="34"/>
      <c r="BG51" s="34"/>
      <c r="BH51" s="34"/>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c r="DI51" s="34"/>
      <c r="DJ51" s="34"/>
      <c r="DK51" s="34"/>
      <c r="DL51" s="34"/>
      <c r="DM51" s="34"/>
      <c r="DN51" s="34"/>
      <c r="DO51" s="34"/>
      <c r="DP51" s="34"/>
      <c r="DQ51" s="34"/>
      <c r="DR51" s="34"/>
      <c r="DS51" s="34"/>
      <c r="DT51" s="34"/>
      <c r="DU51" s="34"/>
      <c r="DV51" s="34"/>
      <c r="DW51" s="34"/>
      <c r="DX51" s="34"/>
      <c r="DY51" s="34"/>
      <c r="DZ51" s="34"/>
      <c r="EA51" s="34"/>
      <c r="EB51" s="34"/>
      <c r="EC51" s="34"/>
      <c r="ED51" s="34"/>
      <c r="EE51" s="34"/>
      <c r="EF51" s="34"/>
      <c r="EG51" s="34"/>
      <c r="EH51" s="34"/>
      <c r="EI51" s="34"/>
    </row>
    <row r="52" s="2" customFormat="1" ht="5.1" customHeight="1">
      <c r="B52" s="54"/>
      <c r="C52" s="297"/>
      <c r="D52" s="159"/>
      <c r="E52" s="159"/>
      <c r="F52" s="159"/>
      <c r="G52" s="159"/>
      <c r="H52" s="159"/>
      <c r="I52" s="159"/>
      <c r="J52" s="160"/>
      <c r="K52" s="159"/>
      <c r="L52" s="160"/>
      <c r="M52" s="159"/>
      <c r="N52" s="159"/>
      <c r="O52" s="159"/>
      <c r="P52" s="160"/>
      <c r="Q52" s="159"/>
      <c r="R52" s="160"/>
      <c r="S52" s="159"/>
      <c r="T52" s="159"/>
      <c r="U52" s="159"/>
      <c r="W52" s="281"/>
      <c r="X52" s="281"/>
      <c r="Y52" s="281"/>
      <c r="Z52" s="281"/>
      <c r="AA52" s="281"/>
      <c r="AB52" s="281"/>
      <c r="AC52" s="281"/>
      <c r="AD52" s="281"/>
      <c r="AE52" s="281"/>
      <c r="AF52" s="281"/>
      <c r="AG52" s="281"/>
      <c r="AH52" s="281"/>
      <c r="AI52" s="281"/>
      <c r="AJ52" s="281"/>
      <c r="AK52" s="281"/>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c r="DI52" s="34"/>
      <c r="DJ52" s="34"/>
      <c r="DK52" s="34"/>
      <c r="DL52" s="34"/>
      <c r="DM52" s="34"/>
      <c r="DN52" s="34"/>
      <c r="DO52" s="34"/>
      <c r="DP52" s="34"/>
      <c r="DQ52" s="34"/>
      <c r="DR52" s="34"/>
      <c r="DS52" s="34"/>
      <c r="DT52" s="34"/>
      <c r="DU52" s="34"/>
      <c r="DV52" s="34"/>
      <c r="DW52" s="34"/>
      <c r="DX52" s="34"/>
      <c r="DY52" s="34"/>
      <c r="DZ52" s="34"/>
      <c r="EA52" s="34"/>
      <c r="EB52" s="34"/>
      <c r="EC52" s="34"/>
      <c r="ED52" s="34"/>
      <c r="EE52" s="34"/>
      <c r="EF52" s="34"/>
      <c r="EG52" s="34"/>
      <c r="EH52" s="34"/>
      <c r="EI52" s="34"/>
    </row>
    <row r="53" s="9" customFormat="1" ht="5.1" customHeight="1">
      <c r="B53" s="54"/>
      <c r="C53" s="297"/>
      <c r="D53" s="159"/>
      <c r="E53" s="159"/>
      <c r="F53" s="159"/>
      <c r="G53" s="159"/>
      <c r="H53" s="159"/>
      <c r="I53" s="159"/>
      <c r="J53" s="160"/>
      <c r="K53" s="159"/>
      <c r="L53" s="160"/>
      <c r="M53" s="159"/>
      <c r="N53" s="159"/>
      <c r="O53" s="159"/>
      <c r="P53" s="160"/>
      <c r="Q53" s="159"/>
      <c r="R53" s="160"/>
      <c r="S53" s="159"/>
      <c r="T53" s="159"/>
      <c r="U53" s="159"/>
      <c r="W53" s="281"/>
      <c r="X53" s="281"/>
      <c r="Y53" s="281"/>
      <c r="Z53" s="281"/>
      <c r="AA53" s="281"/>
      <c r="AB53" s="281"/>
      <c r="AC53" s="281"/>
      <c r="AD53" s="281"/>
      <c r="AE53" s="281"/>
      <c r="AF53" s="281"/>
      <c r="AG53" s="281"/>
      <c r="AH53" s="281"/>
      <c r="AI53" s="281"/>
      <c r="AJ53" s="281"/>
      <c r="AK53" s="281"/>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c r="CA53" s="54"/>
      <c r="CB53" s="54"/>
      <c r="CC53" s="54"/>
      <c r="CD53" s="54"/>
      <c r="CE53" s="54"/>
      <c r="CF53" s="54"/>
      <c r="CG53" s="54"/>
      <c r="CH53" s="54"/>
      <c r="CI53" s="54"/>
      <c r="CJ53" s="54"/>
      <c r="CK53" s="54"/>
      <c r="CL53" s="54"/>
      <c r="CM53" s="54"/>
      <c r="CN53" s="54"/>
      <c r="CO53" s="54"/>
      <c r="CP53" s="54"/>
      <c r="CQ53" s="54"/>
      <c r="CR53" s="54"/>
      <c r="CS53" s="54"/>
      <c r="CT53" s="54"/>
      <c r="CU53" s="54"/>
      <c r="CV53" s="54"/>
      <c r="CW53" s="54"/>
      <c r="CX53" s="54"/>
      <c r="CY53" s="54"/>
      <c r="CZ53" s="54"/>
      <c r="DA53" s="54"/>
      <c r="DB53" s="54"/>
      <c r="DC53" s="54"/>
      <c r="DD53" s="54"/>
      <c r="DE53" s="54"/>
      <c r="DF53" s="54"/>
      <c r="DG53" s="54"/>
      <c r="DH53" s="54"/>
      <c r="DI53" s="54"/>
      <c r="DJ53" s="54"/>
      <c r="DK53" s="54"/>
      <c r="DL53" s="54"/>
      <c r="DM53" s="54"/>
      <c r="DN53" s="54"/>
      <c r="DO53" s="54"/>
      <c r="DP53" s="54"/>
      <c r="DQ53" s="54"/>
      <c r="DR53" s="54"/>
      <c r="DS53" s="54"/>
      <c r="DT53" s="54"/>
      <c r="DU53" s="54"/>
      <c r="DV53" s="54"/>
      <c r="DW53" s="54"/>
      <c r="DX53" s="54"/>
      <c r="DY53" s="54"/>
      <c r="DZ53" s="54"/>
      <c r="EA53" s="54"/>
      <c r="EB53" s="54"/>
      <c r="EC53" s="54"/>
      <c r="ED53" s="54"/>
      <c r="EE53" s="54"/>
      <c r="EF53" s="54"/>
      <c r="EG53" s="54"/>
      <c r="EH53" s="54"/>
      <c r="EI53" s="54"/>
    </row>
    <row r="54" s="2" customFormat="1" ht="15.95" customHeight="1">
      <c r="B54" s="323" t="s">
        <v>51</v>
      </c>
      <c r="C54" s="303" t="s">
        <v>42</v>
      </c>
      <c r="D54" s="307">
        <v>71.358024691358024691358024690</v>
      </c>
      <c r="E54" s="308">
        <v>13.891625615680512509403346230</v>
      </c>
      <c r="F54" s="308">
        <v>56.410256410256410256410256410</v>
      </c>
      <c r="G54" s="308">
        <v>7.8101071975867526248273498200</v>
      </c>
      <c r="H54" s="308">
        <v>126.49831649821874961738605655</v>
      </c>
      <c r="I54" s="308">
        <v>5.6409538735745145757182285200</v>
      </c>
      <c r="J54" s="317">
        <v>135.08211072664359861591695504</v>
      </c>
      <c r="K54" s="308">
        <v>-4.1586114207029496243516934200</v>
      </c>
      <c r="L54" s="318">
        <v>136.62626567170411583492334819</v>
      </c>
      <c r="M54" s="308">
        <v>14.487598290728310618768456290</v>
      </c>
      <c r="N54" s="308">
        <v>98.86979642057489902026916883</v>
      </c>
      <c r="O54" s="309">
        <v>-16.286663350261529704365452110</v>
      </c>
      <c r="P54" s="317">
        <v>96.39192592592592592592592594</v>
      </c>
      <c r="Q54" s="308">
        <v>9.155315465735569042964564330</v>
      </c>
      <c r="R54" s="318">
        <v>77.071226789166424317136247696</v>
      </c>
      <c r="S54" s="308">
        <v>23.429202445105364740312892330</v>
      </c>
      <c r="T54" s="308">
        <v>125.06862799728177902785421611</v>
      </c>
      <c r="U54" s="309">
        <v>-11.564432643737233776361163300</v>
      </c>
      <c r="W54" s="281"/>
      <c r="X54" s="281"/>
      <c r="Y54" s="281"/>
      <c r="Z54" s="281"/>
      <c r="AA54" s="281"/>
      <c r="AB54" s="281"/>
      <c r="AC54" s="281"/>
      <c r="AD54" s="281"/>
      <c r="AE54" s="281"/>
      <c r="AF54" s="281"/>
      <c r="AG54" s="281"/>
      <c r="AH54" s="281"/>
      <c r="AI54" s="281"/>
      <c r="AJ54" s="281"/>
      <c r="AK54" s="281"/>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row>
    <row r="55" s="2" customFormat="1" ht="15.95" customHeight="1">
      <c r="B55" s="324"/>
      <c r="C55" s="304" t="s">
        <v>58</v>
      </c>
      <c r="D55" s="310">
        <v>60.886644219977553310886644220</v>
      </c>
      <c r="E55" s="134">
        <v>-2.0168573149127380776760008400</v>
      </c>
      <c r="F55" s="134">
        <v>46.576340326340326340326340330</v>
      </c>
      <c r="G55" s="134">
        <v>-2.1739069125823300686392575800</v>
      </c>
      <c r="H55" s="134">
        <v>130.72440598257359120478126044</v>
      </c>
      <c r="I55" s="134">
        <v>0.1605395788351088236899688200</v>
      </c>
      <c r="J55" s="319">
        <v>125.09398156682027649769585251</v>
      </c>
      <c r="K55" s="134">
        <v>-5.4539263783738634212381923900</v>
      </c>
      <c r="L55" s="135">
        <v>126.80727150973052368062914833</v>
      </c>
      <c r="M55" s="134">
        <v>11.611597861330582571122692830</v>
      </c>
      <c r="N55" s="134">
        <v>98.64890244661666185316039728</v>
      </c>
      <c r="O55" s="311">
        <v>-15.290099386351581683889707080</v>
      </c>
      <c r="P55" s="319">
        <v>76.16552749719416386083052748</v>
      </c>
      <c r="Q55" s="134">
        <v>-7.3607857800932668996577692500</v>
      </c>
      <c r="R55" s="135">
        <v>59.062186336918485461388605361</v>
      </c>
      <c r="S55" s="134">
        <v>9.185265620171898780341000220</v>
      </c>
      <c r="T55" s="134">
        <v>128.95819173156580407840870221</v>
      </c>
      <c r="U55" s="311">
        <v>-15.154106468785842450658698710</v>
      </c>
      <c r="W55" s="281"/>
      <c r="X55" s="281"/>
      <c r="Y55" s="281"/>
      <c r="Z55" s="281"/>
      <c r="AA55" s="281"/>
      <c r="AB55" s="281"/>
      <c r="AC55" s="281"/>
      <c r="AD55" s="281"/>
      <c r="AE55" s="281"/>
      <c r="AF55" s="281"/>
      <c r="AG55" s="281"/>
      <c r="AH55" s="281"/>
      <c r="AI55" s="281"/>
      <c r="AJ55" s="281"/>
      <c r="AK55" s="281"/>
      <c r="AL55" s="34"/>
      <c r="AM55" s="34"/>
      <c r="AN55" s="34"/>
      <c r="AO55" s="34"/>
      <c r="AP55" s="34"/>
      <c r="AQ55" s="34"/>
      <c r="AR55" s="34"/>
      <c r="AS55" s="34"/>
      <c r="AT55" s="34"/>
      <c r="AU55" s="34"/>
      <c r="AV55" s="34"/>
      <c r="AW55" s="34"/>
      <c r="AX55" s="34"/>
      <c r="AY55" s="34"/>
      <c r="AZ55" s="34"/>
      <c r="BA55" s="34"/>
      <c r="BB55" s="34"/>
      <c r="BC55" s="34"/>
      <c r="BD55" s="34"/>
      <c r="BE55" s="34"/>
      <c r="BF55" s="34"/>
      <c r="BG55" s="34"/>
      <c r="BH55" s="34"/>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c r="DI55" s="34"/>
      <c r="DJ55" s="34"/>
      <c r="DK55" s="34"/>
      <c r="DL55" s="34"/>
      <c r="DM55" s="34"/>
      <c r="DN55" s="34"/>
      <c r="DO55" s="34"/>
      <c r="DP55" s="34"/>
      <c r="DQ55" s="34"/>
      <c r="DR55" s="34"/>
      <c r="DS55" s="34"/>
      <c r="DT55" s="34"/>
      <c r="DU55" s="34"/>
      <c r="DV55" s="34"/>
      <c r="DW55" s="34"/>
      <c r="DX55" s="34"/>
      <c r="DY55" s="34"/>
      <c r="DZ55" s="34"/>
      <c r="EA55" s="34"/>
      <c r="EB55" s="34"/>
      <c r="EC55" s="34"/>
      <c r="ED55" s="34"/>
      <c r="EE55" s="34"/>
      <c r="EF55" s="34"/>
      <c r="EG55" s="34"/>
      <c r="EH55" s="34"/>
      <c r="EI55" s="34"/>
    </row>
    <row r="56" s="2" customFormat="1" ht="15.95" customHeight="1">
      <c r="B56" s="324"/>
      <c r="C56" s="305" t="s">
        <v>44</v>
      </c>
      <c r="D56" s="312">
        <v>68.253968253968253968253968250</v>
      </c>
      <c r="E56" s="159">
        <v>-3.9152024446083003619532398600</v>
      </c>
      <c r="F56" s="159">
        <v>53.754578754578754578754578750</v>
      </c>
      <c r="G56" s="159">
        <v>0.7060376112704993679629822800</v>
      </c>
      <c r="H56" s="159">
        <v>126.97331061891631264952256345</v>
      </c>
      <c r="I56" s="159">
        <v>-4.5888411117427279056118561500</v>
      </c>
      <c r="J56" s="320">
        <v>131.94630490956072351421188628</v>
      </c>
      <c r="K56" s="159">
        <v>-4.8030883370330363279060880200</v>
      </c>
      <c r="L56" s="160">
        <v>130.95997182679294688477662975</v>
      </c>
      <c r="M56" s="159">
        <v>10.176966323050743554071835810</v>
      </c>
      <c r="N56" s="159">
        <v>100.75315615069403799751420235</v>
      </c>
      <c r="O56" s="313">
        <v>-13.596357895874739877241415010</v>
      </c>
      <c r="P56" s="320">
        <v>90.05858906525573192239858905</v>
      </c>
      <c r="Q56" s="159">
        <v>-8.530240149717154517888518610</v>
      </c>
      <c r="R56" s="160">
        <v>70.396981192607563938977913611</v>
      </c>
      <c r="S56" s="159">
        <v>10.954857144339802791664530440</v>
      </c>
      <c r="T56" s="159">
        <v>127.92961791765372411779635323</v>
      </c>
      <c r="U56" s="313">
        <v>-17.561283746833338574415652490</v>
      </c>
      <c r="W56" s="281"/>
      <c r="X56" s="281"/>
      <c r="Y56" s="281"/>
      <c r="Z56" s="281"/>
      <c r="AA56" s="281"/>
      <c r="AB56" s="281"/>
      <c r="AC56" s="281"/>
      <c r="AD56" s="281"/>
      <c r="AE56" s="281"/>
      <c r="AF56" s="281"/>
      <c r="AG56" s="281"/>
      <c r="AH56" s="281"/>
      <c r="AI56" s="281"/>
      <c r="AJ56" s="281"/>
      <c r="AK56" s="281"/>
      <c r="AL56" s="34"/>
      <c r="AM56" s="34"/>
      <c r="AN56" s="34"/>
      <c r="AO56" s="34"/>
      <c r="AP56" s="34"/>
      <c r="AQ56" s="34"/>
      <c r="AR56" s="34"/>
      <c r="AS56" s="34"/>
      <c r="AT56" s="34"/>
      <c r="AU56" s="34"/>
      <c r="AV56" s="34"/>
      <c r="AW56" s="34"/>
      <c r="AX56" s="34"/>
      <c r="AY56" s="34"/>
      <c r="AZ56" s="34"/>
      <c r="BA56" s="34"/>
      <c r="BB56" s="34"/>
      <c r="BC56" s="34"/>
      <c r="BD56" s="34"/>
      <c r="BE56" s="34"/>
      <c r="BF56" s="34"/>
      <c r="BG56" s="34"/>
      <c r="BH56" s="34"/>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c r="DI56" s="34"/>
      <c r="DJ56" s="34"/>
      <c r="DK56" s="34"/>
      <c r="DL56" s="34"/>
      <c r="DM56" s="34"/>
      <c r="DN56" s="34"/>
      <c r="DO56" s="34"/>
      <c r="DP56" s="34"/>
      <c r="DQ56" s="34"/>
      <c r="DR56" s="34"/>
      <c r="DS56" s="34"/>
      <c r="DT56" s="34"/>
      <c r="DU56" s="34"/>
      <c r="DV56" s="34"/>
      <c r="DW56" s="34"/>
      <c r="DX56" s="34"/>
      <c r="DY56" s="34"/>
      <c r="DZ56" s="34"/>
      <c r="EA56" s="34"/>
      <c r="EB56" s="34"/>
      <c r="EC56" s="34"/>
      <c r="ED56" s="34"/>
      <c r="EE56" s="34"/>
      <c r="EF56" s="34"/>
      <c r="EG56" s="34"/>
      <c r="EH56" s="34"/>
      <c r="EI56" s="34"/>
    </row>
    <row r="57" s="2" customFormat="1" ht="15.95" customHeight="1">
      <c r="B57" s="325"/>
      <c r="C57" s="306" t="s">
        <v>45</v>
      </c>
      <c r="D57" s="314">
        <v>61.844863731656184486373165620</v>
      </c>
      <c r="E57" s="315">
        <v>-9.014821502676681580726927060</v>
      </c>
      <c r="F57" s="315">
        <v>48.098089017900338655055636190</v>
      </c>
      <c r="G57" s="315">
        <v>-9.342084497844006572251797670</v>
      </c>
      <c r="H57" s="315">
        <v>128.58070870266849401978424796</v>
      </c>
      <c r="I57" s="315">
        <v>0.3609866754053000529892419600</v>
      </c>
      <c r="J57" s="321">
        <v>131.34973634651600753295668548</v>
      </c>
      <c r="K57" s="315">
        <v>2.8803614671988928027768174900</v>
      </c>
      <c r="L57" s="322">
        <v>125.64636549993052560178938608</v>
      </c>
      <c r="M57" s="315">
        <v>10.715291730834357723074867840</v>
      </c>
      <c r="N57" s="315">
        <v>104.53922469139829337733456665</v>
      </c>
      <c r="O57" s="316">
        <v>-7.0766469031712604329175201700</v>
      </c>
      <c r="P57" s="321">
        <v>81.23306545539249941765665035</v>
      </c>
      <c r="Q57" s="315">
        <v>-6.3941194804140534757942216700</v>
      </c>
      <c r="R57" s="322">
        <v>60.433500725913004074372997227</v>
      </c>
      <c r="S57" s="315">
        <v>0.3721756252846731680629357300</v>
      </c>
      <c r="T57" s="315">
        <v>134.41727598047025751515806804</v>
      </c>
      <c r="U57" s="316">
        <v>-6.7412059801200642984028848300</v>
      </c>
      <c r="W57" s="281"/>
      <c r="X57" s="281"/>
      <c r="Y57" s="281"/>
      <c r="Z57" s="281"/>
      <c r="AA57" s="281"/>
      <c r="AB57" s="281"/>
      <c r="AC57" s="281"/>
      <c r="AD57" s="281"/>
      <c r="AE57" s="281"/>
      <c r="AF57" s="281"/>
      <c r="AG57" s="281"/>
      <c r="AH57" s="281"/>
      <c r="AI57" s="281"/>
      <c r="AJ57" s="281"/>
      <c r="AK57" s="281"/>
      <c r="AL57" s="34"/>
      <c r="AM57" s="34"/>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34"/>
      <c r="DT57" s="34"/>
      <c r="DU57" s="34"/>
      <c r="DV57" s="34"/>
      <c r="DW57" s="34"/>
      <c r="DX57" s="34"/>
      <c r="DY57" s="34"/>
      <c r="DZ57" s="34"/>
      <c r="EA57" s="34"/>
      <c r="EB57" s="34"/>
      <c r="EC57" s="34"/>
      <c r="ED57" s="34"/>
      <c r="EE57" s="34"/>
      <c r="EF57" s="34"/>
      <c r="EG57" s="34"/>
      <c r="EH57" s="34"/>
      <c r="EI57" s="34"/>
    </row>
    <row r="58" s="2" customFormat="1" ht="5.1" customHeight="1">
      <c r="B58" s="54"/>
      <c r="C58" s="297"/>
      <c r="D58" s="159"/>
      <c r="E58" s="159"/>
      <c r="F58" s="159"/>
      <c r="G58" s="159"/>
      <c r="H58" s="159"/>
      <c r="I58" s="159"/>
      <c r="J58" s="160"/>
      <c r="K58" s="159"/>
      <c r="L58" s="160"/>
      <c r="M58" s="159"/>
      <c r="N58" s="159"/>
      <c r="O58" s="159"/>
      <c r="P58" s="160"/>
      <c r="Q58" s="159"/>
      <c r="R58" s="160"/>
      <c r="S58" s="159"/>
      <c r="T58" s="159"/>
      <c r="U58" s="159"/>
      <c r="W58" s="281"/>
      <c r="X58" s="281"/>
      <c r="Y58" s="281"/>
      <c r="Z58" s="281"/>
      <c r="AA58" s="281"/>
      <c r="AB58" s="281"/>
      <c r="AC58" s="281"/>
      <c r="AD58" s="281"/>
      <c r="AE58" s="281"/>
      <c r="AF58" s="281"/>
      <c r="AG58" s="281"/>
      <c r="AH58" s="281"/>
      <c r="AI58" s="281"/>
      <c r="AJ58" s="281"/>
      <c r="AK58" s="281"/>
      <c r="AL58" s="34"/>
      <c r="AM58" s="34"/>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34"/>
      <c r="DT58" s="34"/>
      <c r="DU58" s="34"/>
      <c r="DV58" s="34"/>
      <c r="DW58" s="34"/>
      <c r="DX58" s="34"/>
      <c r="DY58" s="34"/>
      <c r="DZ58" s="34"/>
      <c r="EA58" s="34"/>
      <c r="EB58" s="34"/>
      <c r="EC58" s="34"/>
      <c r="ED58" s="34"/>
      <c r="EE58" s="34"/>
      <c r="EF58" s="34"/>
      <c r="EG58" s="34"/>
      <c r="EH58" s="34"/>
      <c r="EI58" s="34"/>
    </row>
    <row r="59" s="2" customFormat="1" ht="15.95" customHeight="1">
      <c r="B59" s="806" t="s">
        <v>57</v>
      </c>
      <c r="C59" s="611"/>
      <c r="D59" s="526"/>
      <c r="E59" s="527"/>
      <c r="F59" s="527"/>
      <c r="G59" s="527"/>
      <c r="H59" s="527"/>
      <c r="I59" s="527"/>
      <c r="J59" s="527"/>
      <c r="K59" s="527"/>
      <c r="L59" s="527"/>
      <c r="M59" s="527"/>
      <c r="N59" s="527"/>
      <c r="O59" s="527"/>
      <c r="P59" s="527"/>
      <c r="Q59" s="527"/>
      <c r="R59" s="527"/>
      <c r="S59" s="527"/>
      <c r="T59" s="527"/>
      <c r="U59" s="528"/>
      <c r="W59" s="281"/>
      <c r="X59" s="281"/>
      <c r="Y59" s="281"/>
      <c r="Z59" s="281"/>
      <c r="AA59" s="281"/>
      <c r="AB59" s="281"/>
      <c r="AC59" s="281"/>
      <c r="AD59" s="281"/>
      <c r="AE59" s="281"/>
      <c r="AF59" s="281"/>
      <c r="AG59" s="281"/>
      <c r="AH59" s="281"/>
      <c r="AI59" s="281"/>
      <c r="AJ59" s="281"/>
      <c r="AK59" s="281"/>
      <c r="AL59" s="34"/>
      <c r="AM59" s="34"/>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34"/>
      <c r="DT59" s="34"/>
      <c r="DU59" s="34"/>
      <c r="DV59" s="34"/>
      <c r="DW59" s="34"/>
      <c r="DX59" s="34"/>
      <c r="DY59" s="34"/>
      <c r="DZ59" s="34"/>
      <c r="EA59" s="34"/>
      <c r="EB59" s="34"/>
      <c r="EC59" s="34"/>
      <c r="ED59" s="34"/>
      <c r="EE59" s="34"/>
      <c r="EF59" s="34"/>
      <c r="EG59" s="34"/>
      <c r="EH59" s="34"/>
      <c r="EI59" s="34"/>
    </row>
    <row r="60" ht="15.95" customHeight="1">
      <c r="B60" s="344" t="s">
        <v>40</v>
      </c>
      <c r="C60" s="348" t="s">
        <v>42</v>
      </c>
      <c r="D60" s="238">
        <v>59.611992945326278659611992950</v>
      </c>
      <c r="E60" s="327">
        <v>4.9689440993606265190386205200</v>
      </c>
      <c r="F60" s="327">
        <v>44.360500610500610500610500610</v>
      </c>
      <c r="G60" s="327">
        <v>8.340322430375922419473121150</v>
      </c>
      <c r="H60" s="327">
        <v>134.38079400577435162894822253</v>
      </c>
      <c r="I60" s="239">
        <v>-3.1118407766875498575345944400</v>
      </c>
      <c r="J60" s="326">
        <v>126.58652859960552268244575941</v>
      </c>
      <c r="K60" s="327">
        <v>-2.1797490467548378536824091400</v>
      </c>
      <c r="L60" s="328">
        <v>121.84014072447301212215171796</v>
      </c>
      <c r="M60" s="327">
        <v>7.4163415406962905883759196800</v>
      </c>
      <c r="N60" s="327">
        <v>103.89558633704951395371183160</v>
      </c>
      <c r="O60" s="239">
        <v>-8.933548145309165368996733610</v>
      </c>
      <c r="P60" s="326">
        <v>75.460752498530276308054085855</v>
      </c>
      <c r="Q60" s="327">
        <v>2.6808845409254043579784357900</v>
      </c>
      <c r="R60" s="328">
        <v>54.048896369914653500157809564</v>
      </c>
      <c r="S60" s="327">
        <v>16.375210768073978745402337210</v>
      </c>
      <c r="T60" s="327">
        <v>139.61571385674880528908537760</v>
      </c>
      <c r="U60" s="239">
        <v>-11.767391127938246654672753400</v>
      </c>
    </row>
    <row r="61" ht="15.95" customHeight="1">
      <c r="B61" s="345" t="s">
        <v>67</v>
      </c>
      <c r="C61" s="304" t="s">
        <v>58</v>
      </c>
      <c r="D61" s="240">
        <v>60.113072574131764162916810890</v>
      </c>
      <c r="E61" s="121">
        <v>-1.147640574272917871860144500</v>
      </c>
      <c r="F61" s="121">
        <v>37.853462736640306733764677690</v>
      </c>
      <c r="G61" s="121">
        <v>0.1496927159558698729036572300</v>
      </c>
      <c r="H61" s="121">
        <v>158.80468582867386964210852658</v>
      </c>
      <c r="I61" s="241">
        <v>-1.2953941793229443211896722900</v>
      </c>
      <c r="J61" s="329">
        <v>122.91556238003838771593090212</v>
      </c>
      <c r="K61" s="121">
        <v>-1.6774713500725843914329761500</v>
      </c>
      <c r="L61" s="136">
        <v>118.15465924721868158490621121</v>
      </c>
      <c r="M61" s="121">
        <v>8.094983335200508699468346190</v>
      </c>
      <c r="N61" s="121">
        <v>104.02938247477634736204839070</v>
      </c>
      <c r="O61" s="241">
        <v>-9.040618152376595385059442340</v>
      </c>
      <c r="P61" s="329">
        <v>73.888321218414676358601592252</v>
      </c>
      <c r="Q61" s="121">
        <v>-2.8058605824834021203717568200</v>
      </c>
      <c r="R61" s="136">
        <v>44.725629909750253989589617514</v>
      </c>
      <c r="S61" s="121">
        <v>8.256793651636489349894168680</v>
      </c>
      <c r="T61" s="121">
        <v>165.20353400819231396850320376</v>
      </c>
      <c r="U61" s="241">
        <v>-10.218900690657219720148282610</v>
      </c>
    </row>
    <row r="62" ht="15.95" customHeight="1">
      <c r="B62" s="345"/>
      <c r="C62" s="305" t="s">
        <v>44</v>
      </c>
      <c r="D62" s="341">
        <v>64.007597340930674264007597340</v>
      </c>
      <c r="E62" s="156">
        <v>1.506024096379733088982436100</v>
      </c>
      <c r="F62" s="156">
        <v>43.609467455621301775147928990</v>
      </c>
      <c r="G62" s="156">
        <v>1.0973936898836597101090344100</v>
      </c>
      <c r="H62" s="156">
        <v>146.77454478456672773717134807</v>
      </c>
      <c r="I62" s="331">
        <v>0.4041947983546517217533727800</v>
      </c>
      <c r="J62" s="330">
        <v>125.98886943620178041543026708</v>
      </c>
      <c r="K62" s="156">
        <v>-4.9264728798650723109294557900</v>
      </c>
      <c r="L62" s="186">
        <v>120.46601262772646552897399178</v>
      </c>
      <c r="M62" s="156">
        <v>7.0926972122162116471133909800</v>
      </c>
      <c r="N62" s="156">
        <v>104.58457675159396174389417757</v>
      </c>
      <c r="O62" s="331">
        <v>-11.223146306807367817023613550</v>
      </c>
      <c r="P62" s="330">
        <v>80.64244824311490978157644825</v>
      </c>
      <c r="Q62" s="156">
        <v>-3.4946426520948364557882831800</v>
      </c>
      <c r="R62" s="186">
        <v>52.534586571973020766185699374</v>
      </c>
      <c r="S62" s="156">
        <v>8.267925713800303206478362860</v>
      </c>
      <c r="T62" s="156">
        <v>153.50353644183030458126596076</v>
      </c>
      <c r="U62" s="331">
        <v>-10.864314882192592577636910320</v>
      </c>
    </row>
    <row r="63" ht="15.95" customHeight="1">
      <c r="B63" s="346"/>
      <c r="C63" s="349" t="s">
        <v>45</v>
      </c>
      <c r="D63" s="244">
        <v>60.816714150047483380816714150</v>
      </c>
      <c r="E63" s="333">
        <v>1.2223393046135884925733599700</v>
      </c>
      <c r="F63" s="333">
        <v>37.596770216962524654832347140</v>
      </c>
      <c r="G63" s="333">
        <v>-11.315959671404753790331792510</v>
      </c>
      <c r="H63" s="333">
        <v>161.76047516589125148472248661</v>
      </c>
      <c r="I63" s="245">
        <v>14.138168411600735316508064890</v>
      </c>
      <c r="J63" s="332">
        <v>123.51918254216114928169893815</v>
      </c>
      <c r="K63" s="333">
        <v>0.2978893918287584274718533900</v>
      </c>
      <c r="L63" s="334">
        <v>116.85760799122465596438773611</v>
      </c>
      <c r="M63" s="333">
        <v>9.659837265981387471981448860</v>
      </c>
      <c r="N63" s="333">
        <v>105.70059122848278848032335519</v>
      </c>
      <c r="O63" s="245">
        <v>-8.537262235231702883412462010</v>
      </c>
      <c r="P63" s="332">
        <v>75.120308167141500474833808158</v>
      </c>
      <c r="Q63" s="333">
        <v>1.5238699154146969073139970300</v>
      </c>
      <c r="R63" s="334">
        <v>43.934686357499570635230268364</v>
      </c>
      <c r="S63" s="333">
        <v>-2.7492256948299785807626874700</v>
      </c>
      <c r="T63" s="333">
        <v>170.98177862448281044345636344</v>
      </c>
      <c r="U63" s="245">
        <v>4.3938936639138983757471954800</v>
      </c>
    </row>
    <row r="64" ht="5.1" customHeight="1">
      <c r="B64" s="54"/>
      <c r="C64" s="54"/>
      <c r="D64" s="156"/>
      <c r="E64" s="156"/>
      <c r="F64" s="156"/>
      <c r="G64" s="156"/>
      <c r="H64" s="156"/>
      <c r="I64" s="156"/>
      <c r="J64" s="156"/>
      <c r="K64" s="156"/>
      <c r="L64" s="156"/>
      <c r="M64" s="156"/>
      <c r="N64" s="156"/>
      <c r="O64" s="156"/>
      <c r="P64" s="156"/>
      <c r="Q64" s="156"/>
      <c r="R64" s="156"/>
      <c r="S64" s="156"/>
      <c r="T64" s="156"/>
      <c r="U64" s="156"/>
    </row>
    <row r="65" s="4" customFormat="1" ht="5.1" customHeight="1">
      <c r="A65" s="54"/>
      <c r="B65" s="54"/>
      <c r="C65" s="54"/>
      <c r="D65" s="156"/>
      <c r="E65" s="156"/>
      <c r="F65" s="156"/>
      <c r="G65" s="156"/>
      <c r="H65" s="156"/>
      <c r="I65" s="156"/>
      <c r="J65" s="156"/>
      <c r="K65" s="156"/>
      <c r="L65" s="156"/>
      <c r="M65" s="156"/>
      <c r="N65" s="156"/>
      <c r="O65" s="156"/>
      <c r="P65" s="156"/>
      <c r="Q65" s="156"/>
      <c r="R65" s="156"/>
      <c r="S65" s="156"/>
      <c r="T65" s="156"/>
      <c r="U65" s="156"/>
      <c r="W65" s="281"/>
      <c r="X65" s="281"/>
      <c r="Y65" s="281"/>
      <c r="Z65" s="281"/>
      <c r="AA65" s="281"/>
      <c r="AB65" s="281"/>
      <c r="AC65" s="281"/>
      <c r="AD65" s="281"/>
      <c r="AE65" s="281"/>
      <c r="AF65" s="281"/>
      <c r="AG65" s="281"/>
      <c r="AH65" s="281"/>
      <c r="AI65" s="281"/>
      <c r="AJ65" s="281"/>
      <c r="AK65" s="281"/>
    </row>
    <row r="66" ht="15.95" customHeight="1">
      <c r="B66" s="347" t="s">
        <v>52</v>
      </c>
      <c r="C66" s="348" t="s">
        <v>42</v>
      </c>
      <c r="D66" s="238">
        <v>70.123456790123456790123456790</v>
      </c>
      <c r="E66" s="327">
        <v>5.6198347106962290827129508700</v>
      </c>
      <c r="F66" s="327">
        <v>56.217948717948717948717948720</v>
      </c>
      <c r="G66" s="327">
        <v>5.9818731117261244420916501600</v>
      </c>
      <c r="H66" s="327">
        <v>124.73499725505973909977929076</v>
      </c>
      <c r="I66" s="239">
        <v>-0.3416040783644972367250537900</v>
      </c>
      <c r="J66" s="326">
        <v>137.3480105633802816901408451</v>
      </c>
      <c r="K66" s="327">
        <v>-2.6315253590762192374213901600</v>
      </c>
      <c r="L66" s="328">
        <v>134.62802401960468197097541051</v>
      </c>
      <c r="M66" s="327">
        <v>12.139072014445880917118151270</v>
      </c>
      <c r="N66" s="327">
        <v>102.02037173433095090975410790</v>
      </c>
      <c r="O66" s="239">
        <v>-13.171677906882240569872852660</v>
      </c>
      <c r="P66" s="326">
        <v>96.31317283950617283950617286</v>
      </c>
      <c r="Q66" s="327">
        <v>2.8404219760714541626923996800</v>
      </c>
      <c r="R66" s="328">
        <v>75.685113503329042364452201934</v>
      </c>
      <c r="S66" s="327">
        <v>18.847089011023882506520149550</v>
      </c>
      <c r="T66" s="327">
        <v>127.25510788235358103729144132</v>
      </c>
      <c r="U66" s="239">
        <v>-13.468286996380095887297426350</v>
      </c>
    </row>
    <row r="67" ht="15.95" customHeight="1">
      <c r="B67" s="345" t="s">
        <v>55</v>
      </c>
      <c r="C67" s="304" t="s">
        <v>58</v>
      </c>
      <c r="D67" s="240">
        <v>62.598204264870931537598204260</v>
      </c>
      <c r="E67" s="121">
        <v>-0.2609581635285891456973394900</v>
      </c>
      <c r="F67" s="121">
        <v>47.180944055944055944055944060</v>
      </c>
      <c r="G67" s="121">
        <v>0.4016514212514814825412538800</v>
      </c>
      <c r="H67" s="121">
        <v>132.67687944248117614868245704</v>
      </c>
      <c r="I67" s="241">
        <v>-0.6599588506095849369676688600</v>
      </c>
      <c r="J67" s="329">
        <v>127.73525324966382787987449574</v>
      </c>
      <c r="K67" s="121">
        <v>-3.746129443976298429569031400</v>
      </c>
      <c r="L67" s="136">
        <v>126.65938098555802398847856033</v>
      </c>
      <c r="M67" s="121">
        <v>10.772500930055191516665409430</v>
      </c>
      <c r="N67" s="121">
        <v>100.84942169754180671727782714</v>
      </c>
      <c r="O67" s="241">
        <v>-13.106709925405049419691530250</v>
      </c>
      <c r="P67" s="329">
        <v>79.95997474747474747474747475</v>
      </c>
      <c r="Q67" s="121">
        <v>-3.9973117769390941998075183700</v>
      </c>
      <c r="R67" s="136">
        <v>59.759091684401174342466173896</v>
      </c>
      <c r="S67" s="121">
        <v>11.217420254306000507758856880</v>
      </c>
      <c r="T67" s="121">
        <v>133.80386564400902786012874271</v>
      </c>
      <c r="U67" s="241">
        <v>-13.680169883836598284481146050</v>
      </c>
    </row>
    <row r="68" ht="15.95" customHeight="1">
      <c r="B68" s="345"/>
      <c r="C68" s="305" t="s">
        <v>44</v>
      </c>
      <c r="D68" s="342">
        <v>70.644718792866941015089163240</v>
      </c>
      <c r="E68" s="161">
        <v>-3.1954887218207060178642066800</v>
      </c>
      <c r="F68" s="161">
        <v>55.496201329534662867996201330</v>
      </c>
      <c r="G68" s="161">
        <v>3.3834586466075793198165700600</v>
      </c>
      <c r="H68" s="161">
        <v>127.29649435539739398387783348</v>
      </c>
      <c r="I68" s="336">
        <v>-6.3636363635774282889569954600</v>
      </c>
      <c r="J68" s="335">
        <v>133.38475728155339805825242719</v>
      </c>
      <c r="K68" s="161">
        <v>-3.8543634413462505908438300</v>
      </c>
      <c r="L68" s="162">
        <v>130.65323349039104911062182193</v>
      </c>
      <c r="M68" s="161">
        <v>9.869366270057677529904016210</v>
      </c>
      <c r="N68" s="161">
        <v>102.09066681181993254854051562</v>
      </c>
      <c r="O68" s="336">
        <v>-12.490951916192160331434448650</v>
      </c>
      <c r="P68" s="335">
        <v>94.22928669410150891632373114</v>
      </c>
      <c r="Q68" s="161">
        <v>-6.9266864141017061227513891300</v>
      </c>
      <c r="R68" s="162">
        <v>72.507581501374424809135448421</v>
      </c>
      <c r="S68" s="161">
        <v>13.586750843068072450063423400</v>
      </c>
      <c r="T68" s="161">
        <v>129.95783991537781350148665730</v>
      </c>
      <c r="U68" s="336">
        <v>-18.059709521528076924518126720</v>
      </c>
    </row>
    <row r="69" ht="15.95" customHeight="1">
      <c r="B69" s="346"/>
      <c r="C69" s="349" t="s">
        <v>45</v>
      </c>
      <c r="D69" s="343">
        <v>62.998236331569664902998236330</v>
      </c>
      <c r="E69" s="338">
        <v>-5.7519788918203317994166011100</v>
      </c>
      <c r="F69" s="338">
        <v>48.173076923076923076923076920</v>
      </c>
      <c r="G69" s="338">
        <v>-8.411508055458178858118952530</v>
      </c>
      <c r="H69" s="338">
        <v>130.77478200559094920446471847</v>
      </c>
      <c r="I69" s="340">
        <v>2.9037809304711512460449878900</v>
      </c>
      <c r="J69" s="337">
        <v>131.36384471817842478536767451</v>
      </c>
      <c r="K69" s="338">
        <v>2.4957598165337515163264631700</v>
      </c>
      <c r="L69" s="339">
        <v>126.0003384160784881378530573</v>
      </c>
      <c r="M69" s="338">
        <v>11.085358710191068485397498470</v>
      </c>
      <c r="N69" s="338">
        <v>104.25673960046530296437105500</v>
      </c>
      <c r="O69" s="340">
        <v>-7.732431162307601711853436500</v>
      </c>
      <c r="P69" s="337">
        <v>82.75690534979423868312757202</v>
      </c>
      <c r="Q69" s="338">
        <v>-3.3997746530993327885315084800</v>
      </c>
      <c r="R69" s="339">
        <v>60.698239948514733227946520871</v>
      </c>
      <c r="S69" s="338">
        <v>1.7414048139759918539035841500</v>
      </c>
      <c r="T69" s="338">
        <v>136.34152393876679704649174753</v>
      </c>
      <c r="U69" s="340">
        <v>-5.0531830934203143038466193500</v>
      </c>
    </row>
    <row r="70" ht="5.1" customHeight="1">
      <c r="B70" s="54"/>
      <c r="C70" s="54"/>
      <c r="D70" s="161"/>
      <c r="E70" s="161"/>
      <c r="F70" s="161"/>
      <c r="G70" s="161"/>
      <c r="H70" s="161"/>
      <c r="I70" s="161"/>
      <c r="J70" s="162"/>
      <c r="K70" s="161"/>
      <c r="L70" s="162"/>
      <c r="M70" s="161"/>
      <c r="N70" s="161"/>
      <c r="O70" s="161"/>
      <c r="P70" s="162"/>
      <c r="Q70" s="161"/>
      <c r="R70" s="162"/>
      <c r="S70" s="161"/>
      <c r="T70" s="161"/>
      <c r="U70" s="161"/>
    </row>
    <row r="71" s="4" customFormat="1" ht="5.1" customHeight="1">
      <c r="A71" s="54"/>
      <c r="B71" s="54"/>
      <c r="C71" s="54"/>
      <c r="D71" s="161"/>
      <c r="E71" s="161"/>
      <c r="F71" s="161"/>
      <c r="G71" s="161"/>
      <c r="H71" s="161"/>
      <c r="I71" s="161"/>
      <c r="J71" s="162"/>
      <c r="K71" s="161"/>
      <c r="L71" s="162"/>
      <c r="M71" s="161"/>
      <c r="N71" s="161"/>
      <c r="O71" s="161"/>
      <c r="P71" s="162"/>
      <c r="Q71" s="161"/>
      <c r="R71" s="162"/>
      <c r="S71" s="161"/>
      <c r="T71" s="161"/>
      <c r="U71" s="161"/>
      <c r="W71" s="281"/>
      <c r="X71" s="281"/>
      <c r="Y71" s="281"/>
      <c r="Z71" s="281"/>
      <c r="AA71" s="281"/>
      <c r="AB71" s="281"/>
      <c r="AC71" s="281"/>
      <c r="AD71" s="281"/>
      <c r="AE71" s="281"/>
      <c r="AF71" s="281"/>
      <c r="AG71" s="281"/>
      <c r="AH71" s="281"/>
      <c r="AI71" s="281"/>
      <c r="AJ71" s="281"/>
      <c r="AK71" s="281"/>
    </row>
    <row r="72" ht="15.95" customHeight="1">
      <c r="B72" s="347" t="s">
        <v>12</v>
      </c>
      <c r="C72" s="348" t="s">
        <v>42</v>
      </c>
      <c r="D72" s="238">
        <v>63.002787733970529669454400640</v>
      </c>
      <c r="E72" s="327">
        <v>5.748663101639409816551814700</v>
      </c>
      <c r="F72" s="327">
        <v>48.187749184487133019209858640</v>
      </c>
      <c r="G72" s="327">
        <v>8.388816305202113669216886170</v>
      </c>
      <c r="H72" s="327">
        <v>130.74440869347745550427868136</v>
      </c>
      <c r="I72" s="239">
        <v>-2.4358169907200251167867637200</v>
      </c>
      <c r="J72" s="326">
        <v>130.45032237673830594184576485</v>
      </c>
      <c r="K72" s="327">
        <v>-2.0476241459962200991155044900</v>
      </c>
      <c r="L72" s="328">
        <v>126.64696377084116835903221764</v>
      </c>
      <c r="M72" s="327">
        <v>9.439416228959013645638995890</v>
      </c>
      <c r="N72" s="327">
        <v>103.00311866364317578028631128</v>
      </c>
      <c r="O72" s="239">
        <v>-10.496255161817663213408147070</v>
      </c>
      <c r="P72" s="326">
        <v>82.18733970529669454400637196</v>
      </c>
      <c r="Q72" s="327">
        <v>3.5833279418019689383900145300</v>
      </c>
      <c r="R72" s="328">
        <v>61.028321251661229914220128066</v>
      </c>
      <c r="S72" s="327">
        <v>18.620087821989627319137104430</v>
      </c>
      <c r="T72" s="327">
        <v>134.67081843252781696113490763</v>
      </c>
      <c r="U72" s="239">
        <v>-12.676402586039940943590529470</v>
      </c>
    </row>
    <row r="73" ht="15.95" customHeight="1">
      <c r="B73" s="345"/>
      <c r="C73" s="304" t="s">
        <v>58</v>
      </c>
      <c r="D73" s="240">
        <v>60.837216907857084457525958630</v>
      </c>
      <c r="E73" s="121">
        <v>-0.8566757684185974680627059200</v>
      </c>
      <c r="F73" s="121">
        <v>40.572215194582930277550412980</v>
      </c>
      <c r="G73" s="121">
        <v>0.4235088605089654025886018800</v>
      </c>
      <c r="H73" s="121">
        <v>149.94797946342913844287982606</v>
      </c>
      <c r="I73" s="241">
        <v>-1.2747857981579537630426378100</v>
      </c>
      <c r="J73" s="329">
        <v>124.36062760381669130493213278</v>
      </c>
      <c r="K73" s="121">
        <v>-2.2620491711906697998813980800</v>
      </c>
      <c r="L73" s="136">
        <v>121.03416353354730246064496409</v>
      </c>
      <c r="M73" s="121">
        <v>9.098670851357441249111327970</v>
      </c>
      <c r="N73" s="121">
        <v>102.74836787664169552116346455</v>
      </c>
      <c r="O73" s="241">
        <v>-10.413252456573391160008239610</v>
      </c>
      <c r="P73" s="329">
        <v>75.65754476330635271032622026</v>
      </c>
      <c r="Q73" s="121">
        <v>-3.0993465124591959653202519500</v>
      </c>
      <c r="R73" s="136">
        <v>49.10624128779423072153186001</v>
      </c>
      <c r="S73" s="121">
        <v>9.560713388983818036466630980</v>
      </c>
      <c r="T73" s="121">
        <v>154.06910156266181810370194647</v>
      </c>
      <c r="U73" s="241">
        <v>-11.555291591211814577933461690</v>
      </c>
    </row>
    <row r="74" ht="15.95" customHeight="1">
      <c r="B74" s="345"/>
      <c r="C74" s="305" t="s">
        <v>44</v>
      </c>
      <c r="D74" s="341">
        <v>65.955448201825013419216317770</v>
      </c>
      <c r="E74" s="156">
        <v>-0.0203417411882149815848063500</v>
      </c>
      <c r="F74" s="156">
        <v>47.097378277153558052434456930</v>
      </c>
      <c r="G74" s="156">
        <v>1.8751428836852244956172443200</v>
      </c>
      <c r="H74" s="156">
        <v>140.04059379618221510377757654</v>
      </c>
      <c r="I74" s="331">
        <v>-1.86059579539239618294681800</v>
      </c>
      <c r="J74" s="330">
        <v>128.31372126144455747711088505</v>
      </c>
      <c r="K74" s="156">
        <v>-4.6242293489084004925880219200</v>
      </c>
      <c r="L74" s="186">
        <v>123.99039718212464344368571183</v>
      </c>
      <c r="M74" s="156">
        <v>8.119997627006499580536763610</v>
      </c>
      <c r="N74" s="156">
        <v>103.48682170361552689828633307</v>
      </c>
      <c r="O74" s="331">
        <v>-11.787113628937515662406366050</v>
      </c>
      <c r="P74" s="330">
        <v>84.62988996242619431025228127</v>
      </c>
      <c r="Q74" s="156">
        <v>-4.6436304413642630299815340500</v>
      </c>
      <c r="R74" s="186">
        <v>58.396226388210389187428757532</v>
      </c>
      <c r="S74" s="156">
        <v>10.147402068495265196964118560</v>
      </c>
      <c r="T74" s="156">
        <v>144.92355961467944158937032852</v>
      </c>
      <c r="U74" s="331">
        <v>-13.428398883744849825381395830</v>
      </c>
    </row>
    <row r="75" ht="15.95" customHeight="1">
      <c r="B75" s="346"/>
      <c r="C75" s="349" t="s">
        <v>45</v>
      </c>
      <c r="D75" s="244">
        <v>61.444275325553864366649754780</v>
      </c>
      <c r="E75" s="333">
        <v>-0.9312565235606886750702825700</v>
      </c>
      <c r="F75" s="333">
        <v>40.636921182557630148826085410</v>
      </c>
      <c r="G75" s="333">
        <v>-10.337007136185103435483330930</v>
      </c>
      <c r="H75" s="333">
        <v>151.20307724459991769063976347</v>
      </c>
      <c r="I75" s="245">
        <v>10.490114496597107695380808170</v>
      </c>
      <c r="J75" s="332">
        <v>125.83293900693603434988439943</v>
      </c>
      <c r="K75" s="333">
        <v>0.9067356688144103285096553800</v>
      </c>
      <c r="L75" s="334">
        <v>119.9822158459915089341687462</v>
      </c>
      <c r="M75" s="333">
        <v>10.235780301696399316016518230</v>
      </c>
      <c r="N75" s="333">
        <v>104.87632531178251894433211552</v>
      </c>
      <c r="O75" s="245">
        <v>-8.462809994474130221915889730</v>
      </c>
      <c r="P75" s="332">
        <v>77.317137493658041603247082699</v>
      </c>
      <c r="Q75" s="333">
        <v>-0.0329648897621916633895645500</v>
      </c>
      <c r="R75" s="334">
        <v>48.757078486421741000777479149</v>
      </c>
      <c r="S75" s="333">
        <v>-1.1593001747491801632473884300</v>
      </c>
      <c r="T75" s="333">
        <v>158.57623117271968836840164719</v>
      </c>
      <c r="U75" s="245">
        <v>1.1395460442380764778270239900</v>
      </c>
    </row>
    <row r="76" ht="9.95" customHeight="1"/>
    <row r="77" ht="24" customHeight="1">
      <c r="B77" s="816" t="s">
        <v>126</v>
      </c>
      <c r="C77" s="816"/>
      <c r="D77" s="816"/>
      <c r="E77" s="816"/>
      <c r="F77" s="816"/>
      <c r="G77" s="816"/>
      <c r="H77" s="816"/>
      <c r="I77" s="816"/>
      <c r="J77" s="816"/>
      <c r="K77" s="816"/>
      <c r="L77" s="816"/>
      <c r="M77" s="816"/>
      <c r="N77" s="816"/>
      <c r="O77" s="816"/>
      <c r="P77" s="816"/>
      <c r="Q77" s="816"/>
      <c r="R77" s="816"/>
      <c r="S77" s="816"/>
      <c r="T77" s="816"/>
      <c r="U77" s="816"/>
    </row>
    <row r="78" ht="9.95" customHeight="1">
      <c r="S78" s="55"/>
    </row>
    <row r="79" s="235" customFormat="1">
      <c r="A79" s="235"/>
    </row>
    <row r="80" s="235" customFormat="1"/>
    <row r="81" s="235" customFormat="1"/>
    <row r="82" s="235" customFormat="1"/>
    <row r="83" s="235" customFormat="1"/>
    <row r="84" s="235" customFormat="1"/>
    <row r="85" s="235" customFormat="1"/>
    <row r="86" s="235" customFormat="1"/>
    <row r="87" s="235" customFormat="1"/>
    <row r="88" s="235" customFormat="1"/>
    <row r="89" s="235" customFormat="1"/>
    <row r="90" s="235" customFormat="1"/>
    <row r="91" s="235" customFormat="1"/>
    <row r="92" s="235" customFormat="1"/>
    <row r="93" s="235" customFormat="1"/>
    <row r="94" s="235" customFormat="1"/>
    <row r="95" s="235" customFormat="1"/>
    <row r="96" s="235" customFormat="1"/>
    <row r="97" s="235" customFormat="1"/>
    <row r="98" s="235" customFormat="1"/>
    <row r="99" s="235" customFormat="1"/>
    <row r="100" s="235" customFormat="1"/>
    <row r="101" s="235" customFormat="1"/>
    <row r="102" s="235" customFormat="1"/>
    <row r="103" s="235" customFormat="1"/>
    <row r="104" s="235" customFormat="1"/>
    <row r="105" s="235" customFormat="1"/>
    <row r="106" s="235" customFormat="1"/>
    <row r="107" s="235" customFormat="1"/>
    <row r="108" s="235" customFormat="1"/>
    <row r="109" s="235" customFormat="1"/>
  </sheetData>
  <mergeCells count="15">
    <mergeCell ref="B77:U77"/>
    <mergeCell ref="J16:K16"/>
    <mergeCell ref="T16:U16"/>
    <mergeCell ref="L16:M16"/>
    <mergeCell ref="N16:O16"/>
    <mergeCell ref="O3:U3"/>
    <mergeCell ref="B59:C59"/>
    <mergeCell ref="P16:Q16"/>
    <mergeCell ref="R16:S16"/>
    <mergeCell ref="D15:I15"/>
    <mergeCell ref="J15:O15"/>
    <mergeCell ref="P15:U15"/>
    <mergeCell ref="D16:E16"/>
    <mergeCell ref="F16:G16"/>
    <mergeCell ref="H16:I16"/>
  </mergeCells>
  <phoneticPr fontId="12" type="noConversion"/>
  <printOptions horizontalCentered="1" verticalCentered="1"/>
  <pageMargins left="0.25" right="0.25" top="0.25" bottom="0.25" header="0" footer="0"/>
  <pageSetup scale="53" fitToWidth="1" fitToHeight="1" orientation="landscape" r:id="rId1"/>
  <headerFooter alignWithMargins="0">
    <oddHeader/>
    <oddFooter/>
  </headerFooter>
  <rowBreaks count="1" manualBreakCount="1">
    <brk id="79" max="16383" man="1"/>
  </rowBreaks>
  <colBreaks count="1" manualBreakCount="1">
    <brk id="23" max="1048575" man="1"/>
  </colBreaks>
  <drawing r:id="rId37"/>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pageSetUpPr fitToPage="1"/>
  </sheetPr>
  <dimension ref="A1:AW94"/>
  <sheetViews>
    <sheetView showGridLines="0" zoomScale="55" zoomScaleNormal="75" workbookViewId="0"/>
  </sheetViews>
  <sheetFormatPr defaultRowHeight="12.75"/>
  <cols>
    <col min="1" max="1" width="2.140625" customWidth="1"/>
    <col min="2" max="2" width="23" customWidth="1"/>
    <col min="3" max="30" width="10.28515625" customWidth="1"/>
    <col min="31" max="33" width="10.28515625" style="34" customWidth="1"/>
    <col min="34" max="34" width="2.7109375" customWidth="1"/>
    <col min="35" max="38" width="9.28515625" style="236" customWidth="1"/>
    <col min="39" max="49" width="9.140625" style="236" customWidth="1"/>
  </cols>
  <sheetData>
    <row r="1" ht="39.95" customHeight="1">
      <c r="A1" s="7"/>
      <c r="B1" s="656" t="s">
        <v>137</v>
      </c>
      <c r="AA1" s="955"/>
      <c r="AB1" s="955"/>
      <c r="AC1" s="955"/>
      <c r="AD1" s="955"/>
      <c r="AE1" s="955"/>
      <c r="AF1" s="955"/>
      <c r="AG1" s="955"/>
      <c r="AH1"/>
    </row>
    <row r="2" ht="21.95" customHeight="1">
      <c r="A2" s="6"/>
      <c r="B2" s="935" t="s">
        <v>144</v>
      </c>
      <c r="C2" s="935"/>
      <c r="D2" s="935"/>
      <c r="E2" s="935"/>
      <c r="F2" s="935"/>
      <c r="G2" s="935"/>
      <c r="H2" s="935"/>
      <c r="I2" s="935"/>
      <c r="J2" s="935"/>
      <c r="K2" s="935"/>
      <c r="L2" s="935"/>
      <c r="M2" s="935"/>
      <c r="N2" s="935"/>
      <c r="O2" s="935"/>
      <c r="P2" s="935"/>
      <c r="Q2" s="935"/>
      <c r="R2" s="935"/>
      <c r="S2" s="935"/>
      <c r="T2" s="935"/>
      <c r="U2" s="935"/>
      <c r="V2" s="935"/>
      <c r="W2" s="935"/>
      <c r="X2" s="935"/>
      <c r="Y2" s="935"/>
      <c r="Z2" s="935"/>
      <c r="AA2" s="935"/>
      <c r="AB2" s="935"/>
      <c r="AC2" s="935"/>
      <c r="AD2" s="935"/>
      <c r="AE2" s="935"/>
      <c r="AF2" s="935"/>
      <c r="AG2" s="935"/>
    </row>
    <row r="3" ht="21.95" customHeight="1">
      <c r="A3" s="6"/>
      <c r="B3" s="935" t="s">
        <v>145</v>
      </c>
      <c r="C3" s="935"/>
      <c r="D3" s="935"/>
      <c r="E3" s="935"/>
      <c r="F3" s="935"/>
      <c r="G3" s="935"/>
      <c r="H3" s="935"/>
      <c r="I3" s="935"/>
      <c r="J3" s="935"/>
      <c r="K3" s="935"/>
      <c r="L3" s="935"/>
      <c r="M3" s="935"/>
      <c r="N3" s="935"/>
      <c r="O3" s="935"/>
      <c r="P3" s="935"/>
      <c r="Q3" s="935"/>
      <c r="R3" s="935"/>
      <c r="S3" s="935"/>
      <c r="T3" s="935"/>
      <c r="U3" s="956"/>
      <c r="V3" s="956"/>
      <c r="W3" s="956"/>
      <c r="X3" s="956"/>
      <c r="Y3" s="956"/>
      <c r="Z3" s="956"/>
      <c r="AA3" s="956"/>
      <c r="AB3" s="956"/>
      <c r="AC3" s="956"/>
      <c r="AD3" s="956"/>
      <c r="AE3" s="956"/>
      <c r="AF3" s="956"/>
      <c r="AG3" s="956"/>
    </row>
    <row r="4" ht="21.95" customHeight="1">
      <c r="A4" s="6"/>
      <c r="B4" s="935" t="s">
        <v>227</v>
      </c>
      <c r="C4" s="935"/>
      <c r="D4" s="935"/>
      <c r="E4" s="935"/>
      <c r="F4" s="935"/>
      <c r="G4" s="935"/>
      <c r="H4" s="935"/>
      <c r="I4" s="935"/>
      <c r="J4" s="935"/>
      <c r="K4" s="935"/>
      <c r="L4" s="935"/>
      <c r="M4" s="935"/>
      <c r="N4" s="935"/>
      <c r="O4" s="935"/>
      <c r="P4" s="935"/>
      <c r="Q4" s="935"/>
      <c r="R4" s="935"/>
      <c r="S4" s="935"/>
      <c r="T4" s="935"/>
      <c r="U4" s="935"/>
      <c r="V4" s="935"/>
      <c r="W4" s="935"/>
      <c r="X4" s="935"/>
      <c r="Y4" s="935"/>
      <c r="Z4" s="935"/>
      <c r="AA4" s="935"/>
      <c r="AB4" s="935"/>
      <c r="AC4" s="935"/>
      <c r="AD4" s="935"/>
      <c r="AE4" s="935"/>
      <c r="AF4" s="935"/>
      <c r="AG4" s="935"/>
      <c r="AH4" s="4"/>
    </row>
    <row r="5" ht="21.95"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ht="21.95" customHeight="1">
      <c r="A6" s="6"/>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ht="21.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ht="21.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ht="21.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ht="21.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ht="21.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ht="21.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ht="21.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ht="21.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ht="21.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ht="21.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ht="21.9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ht="21.95" customHeight="1">
      <c r="AE18"/>
      <c r="AF18"/>
      <c r="AG18"/>
    </row>
    <row r="19" ht="21.95" customHeight="1">
      <c r="AE19"/>
      <c r="AF19"/>
      <c r="AG19"/>
    </row>
    <row r="20" ht="30" customHeight="1">
      <c r="AE20"/>
      <c r="AF20"/>
      <c r="AG20"/>
    </row>
    <row r="21" ht="31.5" customHeight="1">
      <c r="AE21"/>
      <c r="AF21"/>
      <c r="AG21"/>
    </row>
    <row r="22" ht="30" customHeight="1">
      <c r="A22" s="8"/>
      <c r="B22" s="25"/>
      <c r="X22" s="792"/>
      <c r="Y22" s="792"/>
      <c r="Z22" s="792"/>
      <c r="AA22" s="792"/>
      <c r="AB22" s="792"/>
      <c r="AC22" s="792"/>
      <c r="AD22" s="792"/>
      <c r="AE22"/>
      <c r="AF22"/>
      <c r="AG22"/>
    </row>
    <row r="23" s="82" customFormat="1" ht="21.95" customHeight="1">
      <c r="B23" s="25"/>
      <c r="C23" s="41" t="s">
        <v>228</v>
      </c>
      <c r="D23" s="41" t="s">
        <v>229</v>
      </c>
      <c r="E23" s="41" t="s">
        <v>230</v>
      </c>
      <c r="F23" s="41" t="s">
        <v>231</v>
      </c>
      <c r="G23" s="41" t="s">
        <v>232</v>
      </c>
      <c r="H23" s="41" t="s">
        <v>233</v>
      </c>
      <c r="I23" s="41" t="s">
        <v>234</v>
      </c>
      <c r="J23" s="41" t="s">
        <v>228</v>
      </c>
      <c r="K23" s="41" t="s">
        <v>229</v>
      </c>
      <c r="L23" s="41" t="s">
        <v>230</v>
      </c>
      <c r="M23" s="41" t="s">
        <v>231</v>
      </c>
      <c r="N23" s="41" t="s">
        <v>232</v>
      </c>
      <c r="O23" s="41" t="s">
        <v>233</v>
      </c>
      <c r="P23" s="41" t="s">
        <v>234</v>
      </c>
      <c r="Q23" s="41" t="s">
        <v>228</v>
      </c>
      <c r="R23" s="41" t="s">
        <v>229</v>
      </c>
      <c r="S23" s="41" t="s">
        <v>230</v>
      </c>
      <c r="T23" s="41" t="s">
        <v>231</v>
      </c>
      <c r="U23" s="41" t="s">
        <v>232</v>
      </c>
      <c r="V23" s="41" t="s">
        <v>233</v>
      </c>
      <c r="W23" s="41" t="s">
        <v>234</v>
      </c>
      <c r="X23" s="42" t="s">
        <v>228</v>
      </c>
      <c r="Y23" s="42" t="s">
        <v>229</v>
      </c>
      <c r="Z23" s="42" t="s">
        <v>230</v>
      </c>
      <c r="AA23" s="42" t="s">
        <v>231</v>
      </c>
      <c r="AB23" s="42" t="s">
        <v>232</v>
      </c>
      <c r="AC23" s="42" t="s">
        <v>233</v>
      </c>
      <c r="AD23" s="42" t="s">
        <v>234</v>
      </c>
      <c r="AE23" s="42" t="s">
        <v>228</v>
      </c>
      <c r="AF23" s="42" t="s">
        <v>229</v>
      </c>
      <c r="AG23" s="42" t="s">
        <v>230</v>
      </c>
      <c r="AH23" s="96"/>
      <c r="AI23" s="236"/>
      <c r="AJ23" s="236"/>
      <c r="AK23" s="236"/>
      <c r="AL23" s="236"/>
      <c r="AM23" s="236"/>
      <c r="AN23" s="236"/>
      <c r="AO23" s="236"/>
      <c r="AP23" s="236"/>
      <c r="AQ23" s="236"/>
      <c r="AR23" s="236"/>
      <c r="AS23" s="236"/>
      <c r="AT23" s="236"/>
      <c r="AU23" s="236"/>
      <c r="AV23" s="236"/>
      <c r="AW23" s="236"/>
    </row>
    <row r="24" s="35" customFormat="1" ht="20.1" customHeight="1">
      <c r="B24" s="784" t="s">
        <v>22</v>
      </c>
      <c r="C24" s="350" t="s">
        <v>162</v>
      </c>
      <c r="D24" s="351"/>
      <c r="E24" s="351"/>
      <c r="F24" s="351"/>
      <c r="G24" s="351"/>
      <c r="H24" s="351"/>
      <c r="I24" s="351"/>
      <c r="J24" s="351"/>
      <c r="K24" s="351"/>
      <c r="L24" s="351"/>
      <c r="M24" s="351"/>
      <c r="N24" s="351"/>
      <c r="O24" s="351"/>
      <c r="P24" s="351"/>
      <c r="Q24" s="351"/>
      <c r="R24" s="351"/>
      <c r="S24" s="352"/>
      <c r="T24" s="352"/>
      <c r="U24" s="352"/>
      <c r="V24" s="352"/>
      <c r="W24" s="352"/>
      <c r="X24" s="352"/>
      <c r="Y24" s="352"/>
      <c r="Z24" s="352"/>
      <c r="AA24" s="352"/>
      <c r="AB24" s="352"/>
      <c r="AC24" s="352"/>
      <c r="AD24" s="352"/>
      <c r="AE24" s="352"/>
      <c r="AF24" s="352"/>
      <c r="AG24" s="353"/>
      <c r="AH24" s="529"/>
      <c r="AI24" s="236"/>
      <c r="AJ24" s="236"/>
      <c r="AK24" s="236"/>
      <c r="AL24" s="236"/>
      <c r="AM24" s="236"/>
      <c r="AN24" s="236"/>
      <c r="AO24" s="236"/>
      <c r="AP24" s="236"/>
      <c r="AQ24" s="236"/>
      <c r="AR24" s="236"/>
      <c r="AS24" s="236"/>
      <c r="AT24" s="236"/>
      <c r="AU24" s="236"/>
      <c r="AV24" s="236"/>
      <c r="AW24" s="236"/>
    </row>
    <row r="25" s="36" customFormat="1" ht="20.1" customHeight="1">
      <c r="B25" s="964"/>
      <c r="C25" s="354">
        <v>1</v>
      </c>
      <c r="D25" s="355">
        <v>2</v>
      </c>
      <c r="E25" s="355">
        <v>3</v>
      </c>
      <c r="F25" s="355">
        <v>4</v>
      </c>
      <c r="G25" s="355">
        <v>5</v>
      </c>
      <c r="H25" s="355">
        <v>6</v>
      </c>
      <c r="I25" s="355">
        <v>7</v>
      </c>
      <c r="J25" s="355">
        <v>8</v>
      </c>
      <c r="K25" s="355">
        <v>9</v>
      </c>
      <c r="L25" s="355">
        <v>10</v>
      </c>
      <c r="M25" s="355">
        <v>11</v>
      </c>
      <c r="N25" s="355">
        <v>12</v>
      </c>
      <c r="O25" s="355">
        <v>13</v>
      </c>
      <c r="P25" s="355">
        <v>14</v>
      </c>
      <c r="Q25" s="355">
        <v>15</v>
      </c>
      <c r="R25" s="355">
        <v>16</v>
      </c>
      <c r="S25" s="355">
        <v>17</v>
      </c>
      <c r="T25" s="355">
        <v>18</v>
      </c>
      <c r="U25" s="355">
        <v>19</v>
      </c>
      <c r="V25" s="355">
        <v>20</v>
      </c>
      <c r="W25" s="355">
        <v>21</v>
      </c>
      <c r="X25" s="355">
        <v>22</v>
      </c>
      <c r="Y25" s="355">
        <v>23</v>
      </c>
      <c r="Z25" s="355">
        <v>24</v>
      </c>
      <c r="AA25" s="355">
        <v>25</v>
      </c>
      <c r="AB25" s="355">
        <v>26</v>
      </c>
      <c r="AC25" s="355">
        <v>27</v>
      </c>
      <c r="AD25" s="355">
        <v>28</v>
      </c>
      <c r="AE25" s="355">
        <v>29</v>
      </c>
      <c r="AF25" s="355">
        <v>30</v>
      </c>
      <c r="AG25" s="356">
        <v>31</v>
      </c>
      <c r="AH25" s="529"/>
      <c r="AI25" s="236"/>
      <c r="AJ25" s="236"/>
      <c r="AK25" s="236"/>
      <c r="AL25" s="236"/>
      <c r="AM25" s="236"/>
      <c r="AN25" s="236"/>
      <c r="AO25" s="236"/>
      <c r="AP25" s="236"/>
      <c r="AQ25" s="236"/>
      <c r="AR25" s="236"/>
      <c r="AS25" s="236"/>
      <c r="AT25" s="236"/>
      <c r="AU25" s="236"/>
      <c r="AV25" s="236"/>
      <c r="AW25" s="236"/>
    </row>
    <row r="26" ht="24.95" customHeight="1">
      <c r="B26" s="263" t="s">
        <v>19</v>
      </c>
      <c r="C26" s="573">
        <v>46.913580246913580246913580250</v>
      </c>
      <c r="D26" s="574">
        <v>95.06172839506172839506172840</v>
      </c>
      <c r="E26" s="574">
        <v>81.48148148148148148148148148</v>
      </c>
      <c r="F26" s="574">
        <v>46.913580246913580246913580250</v>
      </c>
      <c r="G26" s="574">
        <v>83.95061728395061728395061728</v>
      </c>
      <c r="H26" s="574">
        <v>86.41975308641975308641975309</v>
      </c>
      <c r="I26" s="574">
        <v>76.543209876543209876543209880</v>
      </c>
      <c r="J26" s="574">
        <v>62.962962962962962962962962960</v>
      </c>
      <c r="K26" s="574">
        <v>81.48148148148148148148148148</v>
      </c>
      <c r="L26" s="574">
        <v>69.135802469135802469135802470</v>
      </c>
      <c r="M26" s="574">
        <v>20.987654320987654320987654320</v>
      </c>
      <c r="N26" s="574">
        <v>53.086419753086419753086419750</v>
      </c>
      <c r="O26" s="574">
        <v>67.901234567901234567901234570</v>
      </c>
      <c r="P26" s="574">
        <v>61.728395061728395061728395060</v>
      </c>
      <c r="Q26" s="574">
        <v>46.913580246913580246913580250</v>
      </c>
      <c r="R26" s="574">
        <v>46.913580246913580246913580250</v>
      </c>
      <c r="S26" s="574">
        <v>62.962962962962962962962962960</v>
      </c>
      <c r="T26" s="574">
        <v>45.679012345679012345679012350</v>
      </c>
      <c r="U26" s="574">
        <v>70.370370370370370370370370370</v>
      </c>
      <c r="V26" s="574">
        <v>85.18518518518518518518518519</v>
      </c>
      <c r="W26" s="574">
        <v>54.320987654320987654320987650</v>
      </c>
      <c r="X26" s="574">
        <v>50.617283950617283950617283950</v>
      </c>
      <c r="Y26" s="574">
        <v>75.308641975308641975308641980</v>
      </c>
      <c r="Z26" s="574">
        <v>92.59259259259259259259259259</v>
      </c>
      <c r="AA26" s="574">
        <v>43.209876543209876543209876540</v>
      </c>
      <c r="AB26" s="574">
        <v>46.913580246913580246913580250</v>
      </c>
      <c r="AC26" s="574">
        <v>77.777777777777777777777777780</v>
      </c>
      <c r="AD26" s="574">
        <v>75.308641975308641975308641980</v>
      </c>
      <c r="AE26" s="574">
        <v>48.148148148148148148148148150</v>
      </c>
      <c r="AF26" s="574">
        <v>45.679012345679012345679012350</v>
      </c>
      <c r="AG26" s="575">
        <v>50.617283950617283950617283950</v>
      </c>
      <c r="AH26" s="530"/>
    </row>
    <row r="27" ht="24.95" customHeight="1">
      <c r="B27" s="38" t="s">
        <v>35</v>
      </c>
      <c r="C27" s="271">
        <v>45.880149812734082397003745320</v>
      </c>
      <c r="D27" s="97">
        <v>76.217228464419475655430711610</v>
      </c>
      <c r="E27" s="97">
        <v>69.101123595505617977528089890</v>
      </c>
      <c r="F27" s="97">
        <v>38.764044943820224719101123600</v>
      </c>
      <c r="G27" s="97">
        <v>53.370786516853932584269662920</v>
      </c>
      <c r="H27" s="97">
        <v>48.689138576779026217228464420</v>
      </c>
      <c r="I27" s="97">
        <v>47.565543071161048689138576780</v>
      </c>
      <c r="J27" s="97">
        <v>38.576779026217228464419475660</v>
      </c>
      <c r="K27" s="97">
        <v>57.865168539325842696629213480</v>
      </c>
      <c r="L27" s="97">
        <v>55.992509363295880149812734080</v>
      </c>
      <c r="M27" s="97">
        <v>41.947565543071161048689138580</v>
      </c>
      <c r="N27" s="97">
        <v>44.007490636704119850187265920</v>
      </c>
      <c r="O27" s="97">
        <v>47.940074906367041198501872660</v>
      </c>
      <c r="P27" s="97">
        <v>53.932584269662921348314606740</v>
      </c>
      <c r="Q27" s="97">
        <v>38.014981273408239700374531840</v>
      </c>
      <c r="R27" s="97">
        <v>39.325842696629213483146067420</v>
      </c>
      <c r="S27" s="97">
        <v>40.449438202247191011235955060</v>
      </c>
      <c r="T27" s="97">
        <v>22.659176029962546816479400750</v>
      </c>
      <c r="U27" s="97">
        <v>41.011235955056179775280898880</v>
      </c>
      <c r="V27" s="97">
        <v>51.872659176029962546816479400</v>
      </c>
      <c r="W27" s="97">
        <v>45.880149812734082397003745320</v>
      </c>
      <c r="X27" s="97">
        <v>41.760299625468164794007490640</v>
      </c>
      <c r="Y27" s="97">
        <v>65.543071161048689138576779030</v>
      </c>
      <c r="Z27" s="97">
        <v>74.719101123595505617977528090</v>
      </c>
      <c r="AA27" s="97">
        <v>64.794007490636704119850187270</v>
      </c>
      <c r="AB27" s="97">
        <v>40.449438202247191011235955060</v>
      </c>
      <c r="AC27" s="97">
        <v>45.505617977528089887640449440</v>
      </c>
      <c r="AD27" s="97">
        <v>44.569288389513108614232209740</v>
      </c>
      <c r="AE27" s="97">
        <v>34.269662921348314606741573030</v>
      </c>
      <c r="AF27" s="97">
        <v>41.198501872659176029962546820</v>
      </c>
      <c r="AG27" s="272">
        <v>41.947565543071161048689138580</v>
      </c>
      <c r="AH27" s="530"/>
    </row>
    <row r="28" ht="24.95" customHeight="1">
      <c r="A28" s="23"/>
      <c r="B28" s="40" t="s">
        <v>97</v>
      </c>
      <c r="C28" s="581">
        <v>102.25245653824678285282372558</v>
      </c>
      <c r="D28" s="582">
        <v>124.72472472475659541605488366</v>
      </c>
      <c r="E28" s="582">
        <v>117.91629027402343793988978811</v>
      </c>
      <c r="F28" s="582">
        <v>121.02343889789817576450640027</v>
      </c>
      <c r="G28" s="582">
        <v>157.29694606874012133647971775</v>
      </c>
      <c r="H28" s="582">
        <v>177.49287749280103440718828629</v>
      </c>
      <c r="I28" s="582">
        <v>160.92155147260079681640855555</v>
      </c>
      <c r="J28" s="582">
        <v>163.21467098173416491239097944</v>
      </c>
      <c r="K28" s="582">
        <v>140.81265731757457364990594305</v>
      </c>
      <c r="L28" s="582">
        <v>123.47330608199264918322647050</v>
      </c>
      <c r="M28" s="582">
        <v>50.033068783034385333994732640</v>
      </c>
      <c r="N28" s="582">
        <v>120.63041765170554049930419433</v>
      </c>
      <c r="O28" s="582">
        <v>141.63773148138410554108802991</v>
      </c>
      <c r="P28" s="582">
        <v>114.45473251020937821502063023</v>
      </c>
      <c r="Q28" s="582">
        <v>123.40813720126739807826949566</v>
      </c>
      <c r="R28" s="582">
        <v>119.29453262795457999496101318</v>
      </c>
      <c r="S28" s="582">
        <v>155.65843621417337105624163847</v>
      </c>
      <c r="T28" s="582">
        <v>201.59167431861383684073446138</v>
      </c>
      <c r="U28" s="582">
        <v>171.58802638236358986120687077</v>
      </c>
      <c r="V28" s="582">
        <v>164.21981548344824570168317910</v>
      </c>
      <c r="W28" s="582">
        <v>118.39758125481206435590115592</v>
      </c>
      <c r="X28" s="582">
        <v>121.20910147806737256671909496</v>
      </c>
      <c r="Y28" s="582">
        <v>114.89947089955625336356771269</v>
      </c>
      <c r="Z28" s="582">
        <v>123.92091339459015123439341925</v>
      </c>
      <c r="AA28" s="582">
        <v>66.688075358633366869492387900</v>
      </c>
      <c r="AB28" s="582">
        <v>115.98079561056055098308200515</v>
      </c>
      <c r="AC28" s="582">
        <v>170.91906721546901725685454192</v>
      </c>
      <c r="AD28" s="582">
        <v>168.96981014633043151901284852</v>
      </c>
      <c r="AE28" s="582">
        <v>140.49787492430251127235836699</v>
      </c>
      <c r="AF28" s="582">
        <v>110.87542087531100795837170361</v>
      </c>
      <c r="AG28" s="583">
        <v>120.66798941790645874669317873</v>
      </c>
      <c r="AH28" s="531"/>
    </row>
    <row r="29" ht="24.95" customHeight="1">
      <c r="B29" s="25" t="s">
        <v>68</v>
      </c>
      <c r="R29" s="4"/>
      <c r="S29" s="4"/>
      <c r="T29" s="4"/>
      <c r="U29" s="4"/>
      <c r="V29" s="4"/>
      <c r="W29" s="4"/>
      <c r="X29" s="4"/>
      <c r="Y29" s="4"/>
      <c r="Z29" s="4"/>
      <c r="AA29" s="4"/>
      <c r="AB29" s="4"/>
      <c r="AC29" s="4"/>
      <c r="AD29" s="4"/>
      <c r="AE29" s="4"/>
      <c r="AF29" s="4"/>
      <c r="AG29" s="4"/>
      <c r="AH29" s="4"/>
    </row>
    <row r="30" ht="24.95" customHeight="1">
      <c r="B30" s="37" t="s">
        <v>19</v>
      </c>
      <c r="C30" s="573">
        <v>11.764705882287197231833948710</v>
      </c>
      <c r="D30" s="574">
        <v>63.829787234112267994567707360</v>
      </c>
      <c r="E30" s="574">
        <v>22.222222222161111111111141660</v>
      </c>
      <c r="F30" s="574">
        <v>35.714285714159693877551137440</v>
      </c>
      <c r="G30" s="574">
        <v>61.904761904611564625850479730</v>
      </c>
      <c r="H30" s="574">
        <v>45.833333333233072916666735600</v>
      </c>
      <c r="I30" s="574">
        <v>31.914893617077410593028543580</v>
      </c>
      <c r="J30" s="574">
        <v>2.0000000000469200000000215800</v>
      </c>
      <c r="K30" s="574">
        <v>8.196721311487825853265252700</v>
      </c>
      <c r="L30" s="574">
        <v>19.148936170263467632412878070</v>
      </c>
      <c r="M30" s="574">
        <v>-41.379310344823543400713436110</v>
      </c>
      <c r="N30" s="574">
        <v>-23.214285714245950255102020230</v>
      </c>
      <c r="O30" s="574">
        <v>-19.117647058871107266435958170</v>
      </c>
      <c r="P30" s="574">
        <v>2.0408163265201999167013754900</v>
      </c>
      <c r="Q30" s="574">
        <v>22.580645161199375650364271440</v>
      </c>
      <c r="R30" s="574">
        <v>11.764705882287197231833948710</v>
      </c>
      <c r="S30" s="574">
        <v>70.000000000170000000000169990</v>
      </c>
      <c r="T30" s="574">
        <v>47.999999999828320000000199160</v>
      </c>
      <c r="U30" s="574">
        <v>11.764705882287197231833948710</v>
      </c>
      <c r="V30" s="574">
        <v>43.749999999901171875000067950</v>
      </c>
      <c r="W30" s="574">
        <v>-19.999999999998545454545454530</v>
      </c>
      <c r="X30" s="574">
        <v>13.888888889002777777777891670</v>
      </c>
      <c r="Y30" s="574">
        <v>-7.5757575757785812672176260700</v>
      </c>
      <c r="Z30" s="574">
        <v>4.1666666666536458333333349600</v>
      </c>
      <c r="AA30" s="574">
        <v>-38.596491228096029547553082380</v>
      </c>
      <c r="AB30" s="574">
        <v>-11.627906976766792861005943370</v>
      </c>
      <c r="AC30" s="574">
        <v>39.999999999888000000000089600</v>
      </c>
      <c r="AD30" s="574">
        <v>-7.5757575757785812672176260700</v>
      </c>
      <c r="AE30" s="574">
        <v>-39.062499999990478515624998510</v>
      </c>
      <c r="AF30" s="574">
        <v>-49.315068493137492963032460440</v>
      </c>
      <c r="AG30" s="575">
        <v>-38.805970149241857874805076780</v>
      </c>
      <c r="AH30" s="530"/>
    </row>
    <row r="31" ht="24.95" customHeight="1">
      <c r="B31" s="38" t="s">
        <v>35</v>
      </c>
      <c r="C31" s="271">
        <v>35.683476223451366594075413750</v>
      </c>
      <c r="D31" s="97">
        <v>39.881031064058376579448719330</v>
      </c>
      <c r="E31" s="97">
        <v>23.550433018869975883484293680</v>
      </c>
      <c r="F31" s="97">
        <v>8.958396598916712764997050150</v>
      </c>
      <c r="G31" s="97">
        <v>32.682752137382020510107967590</v>
      </c>
      <c r="H31" s="97">
        <v>22.016154505804228964049130180</v>
      </c>
      <c r="I31" s="97">
        <v>-1.0636704119375292883894903100</v>
      </c>
      <c r="J31" s="97">
        <v>-15.832482124555743337357184560</v>
      </c>
      <c r="K31" s="97">
        <v>17.615195988770354217092415280</v>
      </c>
      <c r="L31" s="97">
        <v>19.655225488614965389716266550</v>
      </c>
      <c r="M31" s="97">
        <v>28.942270437621704651078746190</v>
      </c>
      <c r="N31" s="97">
        <v>6.4367215398167325996642895900</v>
      </c>
      <c r="O31" s="97">
        <v>3.5107499708466777849989691600</v>
      </c>
      <c r="P31" s="97">
        <v>26.995972016257621497514177070</v>
      </c>
      <c r="Q31" s="97">
        <v>8.813524378922020902035069340</v>
      </c>
      <c r="R31" s="97">
        <v>4.422663160290324464270413200</v>
      </c>
      <c r="S31" s="97">
        <v>1.367266820206590216286969700</v>
      </c>
      <c r="T31" s="97">
        <v>-25.972116006885943706574618750</v>
      </c>
      <c r="U31" s="97">
        <v>12.241277350561922250926079120</v>
      </c>
      <c r="V31" s="97">
        <v>45.150400564233710214983234220</v>
      </c>
      <c r="W31" s="97">
        <v>6.4283029112603676106488305600</v>
      </c>
      <c r="X31" s="97">
        <v>20.640865584632191242428469760</v>
      </c>
      <c r="Y31" s="97">
        <v>6.5074906366375526685393674500</v>
      </c>
      <c r="Z31" s="97">
        <v>12.078651685337219101123623530</v>
      </c>
      <c r="AA31" s="97">
        <v>21.052277467629619023407874370</v>
      </c>
      <c r="AB31" s="97">
        <v>15.781878156882544408076724020</v>
      </c>
      <c r="AC31" s="97">
        <v>10.060099294363685198801797320</v>
      </c>
      <c r="AD31" s="97">
        <v>-14.950348761221180199273189060</v>
      </c>
      <c r="AE31" s="97">
        <v>-40.927431870362128167604046360</v>
      </c>
      <c r="AF31" s="97">
        <v>-36.835712116650722886981592630</v>
      </c>
      <c r="AG31" s="272">
        <v>-27.692594201973315352695663290</v>
      </c>
      <c r="AH31" s="530"/>
    </row>
    <row r="32" ht="24.95" customHeight="1">
      <c r="A32" s="23"/>
      <c r="B32" s="40" t="s">
        <v>97</v>
      </c>
      <c r="C32" s="581">
        <v>-17.628359035860579580944447380</v>
      </c>
      <c r="D32" s="582">
        <v>17.120803291121701042981149870</v>
      </c>
      <c r="E32" s="582">
        <v>-1.0750353230033208117952784400</v>
      </c>
      <c r="F32" s="582">
        <v>24.556059882165458103473013140</v>
      </c>
      <c r="G32" s="582">
        <v>22.023970181917444503702941420</v>
      </c>
      <c r="H32" s="582">
        <v>19.519693047174533082166106630</v>
      </c>
      <c r="I32" s="582">
        <v>33.333118548278756242831986990</v>
      </c>
      <c r="J32" s="582">
        <v>21.18689320387884180424642100</v>
      </c>
      <c r="K32" s="582">
        <v>-8.007872280516106774194340620</v>
      </c>
      <c r="L32" s="582">
        <v>-0.4231234501516494185382833500</v>
      </c>
      <c r="M32" s="582">
        <v>-54.537259615329098384337890300</v>
      </c>
      <c r="N32" s="582">
        <v>-27.857873509365943434912259390</v>
      </c>
      <c r="O32" s="582">
        <v>-21.860914963981283317656177080</v>
      </c>
      <c r="P32" s="582">
        <v>-19.650352128151610227462704850</v>
      </c>
      <c r="Q32" s="582">
        <v>12.652030950145893182374224120</v>
      </c>
      <c r="R32" s="582">
        <v>7.0310816636513831983479845400</v>
      </c>
      <c r="S32" s="582">
        <v>67.706997863332576782681522200</v>
      </c>
      <c r="T32" s="582">
        <v>99.92466624272583626539196547</v>
      </c>
      <c r="U32" s="582">
        <v>-0.4245955495077271668630845100</v>
      </c>
      <c r="V32" s="582">
        <v>-0.9647927657914014453804876100</v>
      </c>
      <c r="W32" s="582">
        <v>-24.832025117624895256587865140</v>
      </c>
      <c r="X32" s="582">
        <v>-5.5967575025891708886870449500</v>
      </c>
      <c r="Y32" s="582">
        <v>-13.222777222642366985262332480</v>
      </c>
      <c r="Z32" s="582">
        <v>-7.059314954034151402943444100</v>
      </c>
      <c r="AA32" s="582">
        <v>-49.275213935233900514741095150</v>
      </c>
      <c r="AB32" s="582">
        <v>-23.673640097951392945369961280</v>
      </c>
      <c r="AC32" s="582">
        <v>27.203228870162904944404756700</v>
      </c>
      <c r="AD32" s="582">
        <v>8.670924663486654205356894880</v>
      </c>
      <c r="AE32" s="582">
        <v>3.1570184427443318652932993200</v>
      </c>
      <c r="AF32" s="582">
        <v>-19.756981032723308356222709650</v>
      </c>
      <c r="AG32" s="583">
        <v>-15.369623380414070342521258420</v>
      </c>
      <c r="AH32" s="531"/>
    </row>
    <row r="33" ht="30" customHeight="1">
      <c r="A33" s="8"/>
      <c r="B33" s="25"/>
      <c r="X33" s="792"/>
      <c r="Y33" s="792"/>
      <c r="Z33" s="792"/>
      <c r="AA33" s="792"/>
      <c r="AB33" s="792"/>
      <c r="AC33" s="792"/>
      <c r="AD33" s="792"/>
      <c r="AE33"/>
      <c r="AF33"/>
      <c r="AG33" s="4"/>
      <c r="AH33" s="4"/>
    </row>
    <row r="34" s="35" customFormat="1" ht="20.1" customHeight="1">
      <c r="B34" s="784" t="s">
        <v>9</v>
      </c>
      <c r="C34" s="350" t="s">
        <v>162</v>
      </c>
      <c r="D34" s="351"/>
      <c r="E34" s="351"/>
      <c r="F34" s="351"/>
      <c r="G34" s="351"/>
      <c r="H34" s="351"/>
      <c r="I34" s="351"/>
      <c r="J34" s="351"/>
      <c r="K34" s="351"/>
      <c r="L34" s="351"/>
      <c r="M34" s="351"/>
      <c r="N34" s="351"/>
      <c r="O34" s="351"/>
      <c r="P34" s="351"/>
      <c r="Q34" s="351"/>
      <c r="R34" s="351"/>
      <c r="S34" s="352"/>
      <c r="T34" s="352"/>
      <c r="U34" s="352"/>
      <c r="V34" s="352"/>
      <c r="W34" s="352"/>
      <c r="X34" s="352"/>
      <c r="Y34" s="352"/>
      <c r="Z34" s="352"/>
      <c r="AA34" s="352"/>
      <c r="AB34" s="352"/>
      <c r="AC34" s="352"/>
      <c r="AD34" s="352"/>
      <c r="AE34" s="352"/>
      <c r="AF34" s="352"/>
      <c r="AG34" s="353"/>
      <c r="AH34" s="529"/>
      <c r="AI34" s="236"/>
      <c r="AJ34" s="236"/>
      <c r="AK34" s="236"/>
      <c r="AL34" s="236"/>
      <c r="AM34" s="236"/>
      <c r="AN34" s="236"/>
      <c r="AO34" s="236"/>
      <c r="AP34" s="236"/>
      <c r="AQ34" s="236"/>
      <c r="AR34" s="236"/>
      <c r="AS34" s="236"/>
      <c r="AT34" s="236"/>
      <c r="AU34" s="236"/>
      <c r="AV34" s="236"/>
      <c r="AW34" s="236"/>
    </row>
    <row r="35" s="36" customFormat="1" ht="20.1" customHeight="1">
      <c r="B35" s="964"/>
      <c r="C35" s="354">
        <v>1</v>
      </c>
      <c r="D35" s="355">
        <v>2</v>
      </c>
      <c r="E35" s="355">
        <v>3</v>
      </c>
      <c r="F35" s="355">
        <v>4</v>
      </c>
      <c r="G35" s="355">
        <v>5</v>
      </c>
      <c r="H35" s="355">
        <v>6</v>
      </c>
      <c r="I35" s="355">
        <v>7</v>
      </c>
      <c r="J35" s="355">
        <v>8</v>
      </c>
      <c r="K35" s="355">
        <v>9</v>
      </c>
      <c r="L35" s="355">
        <v>10</v>
      </c>
      <c r="M35" s="355">
        <v>11</v>
      </c>
      <c r="N35" s="355">
        <v>12</v>
      </c>
      <c r="O35" s="355">
        <v>13</v>
      </c>
      <c r="P35" s="355">
        <v>14</v>
      </c>
      <c r="Q35" s="355">
        <v>15</v>
      </c>
      <c r="R35" s="355">
        <v>16</v>
      </c>
      <c r="S35" s="355">
        <v>17</v>
      </c>
      <c r="T35" s="355">
        <v>18</v>
      </c>
      <c r="U35" s="355">
        <v>19</v>
      </c>
      <c r="V35" s="355">
        <v>20</v>
      </c>
      <c r="W35" s="355">
        <v>21</v>
      </c>
      <c r="X35" s="355">
        <v>22</v>
      </c>
      <c r="Y35" s="355">
        <v>23</v>
      </c>
      <c r="Z35" s="355">
        <v>24</v>
      </c>
      <c r="AA35" s="355">
        <v>25</v>
      </c>
      <c r="AB35" s="355">
        <v>26</v>
      </c>
      <c r="AC35" s="355">
        <v>27</v>
      </c>
      <c r="AD35" s="355">
        <v>28</v>
      </c>
      <c r="AE35" s="355">
        <v>29</v>
      </c>
      <c r="AF35" s="355">
        <v>30</v>
      </c>
      <c r="AG35" s="356">
        <v>31</v>
      </c>
      <c r="AH35" s="529"/>
      <c r="AI35" s="236"/>
      <c r="AJ35" s="236"/>
      <c r="AK35" s="236"/>
      <c r="AL35" s="236"/>
      <c r="AM35" s="236"/>
      <c r="AN35" s="236"/>
      <c r="AO35" s="236"/>
      <c r="AP35" s="236"/>
      <c r="AQ35" s="236"/>
      <c r="AR35" s="236"/>
      <c r="AS35" s="236"/>
      <c r="AT35" s="236"/>
      <c r="AU35" s="236"/>
      <c r="AV35" s="236"/>
      <c r="AW35" s="236"/>
    </row>
    <row r="36" ht="24.95" customHeight="1">
      <c r="B36" s="263" t="s">
        <v>19</v>
      </c>
      <c r="C36" s="578">
        <v>117.22868421052631578947368421</v>
      </c>
      <c r="D36" s="579">
        <v>141.95701298701298701298701299</v>
      </c>
      <c r="E36" s="579">
        <v>146.12333333333333333333333333</v>
      </c>
      <c r="F36" s="579">
        <v>126.05263157894736842105263158</v>
      </c>
      <c r="G36" s="579">
        <v>134.36911764705882352941176471</v>
      </c>
      <c r="H36" s="579">
        <v>141.70328571428571428571428571</v>
      </c>
      <c r="I36" s="579">
        <v>131.24580645161290322580645161</v>
      </c>
      <c r="J36" s="579">
        <v>130.76607843137254901960784314</v>
      </c>
      <c r="K36" s="579">
        <v>139.0869696969696969696969697</v>
      </c>
      <c r="L36" s="579">
        <v>125.14535714285714285714285714</v>
      </c>
      <c r="M36" s="579">
        <v>119.63647058823529411764705882</v>
      </c>
      <c r="N36" s="579">
        <v>126.33046511627906976744186047</v>
      </c>
      <c r="O36" s="579">
        <v>131.63072727272727272727272727</v>
      </c>
      <c r="P36" s="579">
        <v>122.441200000</v>
      </c>
      <c r="Q36" s="579">
        <v>116.765000000</v>
      </c>
      <c r="R36" s="579">
        <v>140.68131578947368421052631579</v>
      </c>
      <c r="S36" s="579">
        <v>135.22921568627450980392156863</v>
      </c>
      <c r="T36" s="579">
        <v>119.35918918918918918918918919</v>
      </c>
      <c r="U36" s="579">
        <v>120.34701754385964912280701754</v>
      </c>
      <c r="V36" s="579">
        <v>132.6889855072463768115942029</v>
      </c>
      <c r="W36" s="579">
        <v>116.81886363636363636363636364</v>
      </c>
      <c r="X36" s="579">
        <v>118.50634146341463414634146341</v>
      </c>
      <c r="Y36" s="579">
        <v>149.70918032786885245901639344</v>
      </c>
      <c r="Z36" s="579">
        <v>141.621200000</v>
      </c>
      <c r="AA36" s="579">
        <v>112.73457142857142857142857143</v>
      </c>
      <c r="AB36" s="579">
        <v>115.40605263157894736842105263</v>
      </c>
      <c r="AC36" s="579">
        <v>133.98666666666666666666666667</v>
      </c>
      <c r="AD36" s="579">
        <v>138.51032786885245901639344262</v>
      </c>
      <c r="AE36" s="579">
        <v>111.14692307692307692307692308</v>
      </c>
      <c r="AF36" s="579">
        <v>118.55027027027027027027027027</v>
      </c>
      <c r="AG36" s="580">
        <v>118.73585365853658536585365854</v>
      </c>
      <c r="AH36" s="530"/>
    </row>
    <row r="37" ht="24.95" customHeight="1">
      <c r="B37" s="38" t="s">
        <v>35</v>
      </c>
      <c r="C37" s="276">
        <v>120.71244897959183673469387754</v>
      </c>
      <c r="D37" s="101">
        <v>139.7865601965601965601965602</v>
      </c>
      <c r="E37" s="101">
        <v>137.58411924119241192411924119</v>
      </c>
      <c r="F37" s="101">
        <v>126.49570048309178743961352656</v>
      </c>
      <c r="G37" s="101">
        <v>129.488</v>
      </c>
      <c r="H37" s="101">
        <v>129.80846153846153846153846154</v>
      </c>
      <c r="I37" s="101">
        <v>122.95685039370078740157480315</v>
      </c>
      <c r="J37" s="101">
        <v>114.59048543689320388349514562</v>
      </c>
      <c r="K37" s="101">
        <v>123.6933009708737864077669903</v>
      </c>
      <c r="L37" s="101">
        <v>127.42759197324414715719063546</v>
      </c>
      <c r="M37" s="101">
        <v>114.64785714285714285714285713</v>
      </c>
      <c r="N37" s="101">
        <v>122.43523404255319148936170212</v>
      </c>
      <c r="O37" s="101">
        <v>120.497265625</v>
      </c>
      <c r="P37" s="101">
        <v>120.46340277777777777777777778</v>
      </c>
      <c r="Q37" s="101">
        <v>119.12532019704433497536945811</v>
      </c>
      <c r="R37" s="101">
        <v>124.20409523809523809523809522</v>
      </c>
      <c r="S37" s="101">
        <v>132.06495370370370370370370369</v>
      </c>
      <c r="T37" s="101">
        <v>114.91826446280991735537190082</v>
      </c>
      <c r="U37" s="101">
        <v>120.47926940639269406392694063</v>
      </c>
      <c r="V37" s="101">
        <v>129.16314079422382671480144404</v>
      </c>
      <c r="W37" s="101">
        <v>122.15616326530612244897959183</v>
      </c>
      <c r="X37" s="101">
        <v>125.89623318385650224215246636</v>
      </c>
      <c r="Y37" s="101">
        <v>146.73217142857142857142857142</v>
      </c>
      <c r="Z37" s="101">
        <v>155.29701754385964912280701754</v>
      </c>
      <c r="AA37" s="101">
        <v>125.2751734104046242774566474</v>
      </c>
      <c r="AB37" s="101">
        <v>119.75833333333333333333333332</v>
      </c>
      <c r="AC37" s="101">
        <v>115.2774074074074074074074074</v>
      </c>
      <c r="AD37" s="101">
        <v>118.40899159663865546218487394</v>
      </c>
      <c r="AE37" s="101">
        <v>115.83737704918032786885245903</v>
      </c>
      <c r="AF37" s="101">
        <v>117.38386363636363636363636363</v>
      </c>
      <c r="AG37" s="277">
        <v>117.95013392857142857142857142</v>
      </c>
      <c r="AH37" s="530"/>
    </row>
    <row r="38" ht="24.95" customHeight="1">
      <c r="A38" s="23"/>
      <c r="B38" s="40" t="s">
        <v>98</v>
      </c>
      <c r="C38" s="581">
        <v>97.11399710757054659658017187</v>
      </c>
      <c r="D38" s="582">
        <v>101.55269060728041185009039731</v>
      </c>
      <c r="E38" s="582">
        <v>106.20654050716649763193071799</v>
      </c>
      <c r="F38" s="582">
        <v>99.64973599698605867204417394</v>
      </c>
      <c r="G38" s="582">
        <v>103.76955211838844026428067829</v>
      </c>
      <c r="H38" s="582">
        <v>109.16336580436077231455007143</v>
      </c>
      <c r="I38" s="582">
        <v>106.74135359792658490419158172</v>
      </c>
      <c r="J38" s="582">
        <v>114.11600006126140818058039531</v>
      </c>
      <c r="K38" s="582">
        <v>112.44503025243962142554260035</v>
      </c>
      <c r="L38" s="582">
        <v>98.20899477499123851986507684</v>
      </c>
      <c r="M38" s="582">
        <v>104.35124874520538108335384695</v>
      </c>
      <c r="N38" s="582">
        <v>103.18146251292643973460711248</v>
      </c>
      <c r="O38" s="582">
        <v>109.23959692361464963929361137</v>
      </c>
      <c r="P38" s="582">
        <v>101.64182413628820798863900445</v>
      </c>
      <c r="Q38" s="582">
        <v>98.01862425796909524507542340</v>
      </c>
      <c r="R38" s="582">
        <v>113.26624578665200450315900862</v>
      </c>
      <c r="S38" s="582">
        <v>102.39598916581141254342221934</v>
      </c>
      <c r="T38" s="582">
        <v>103.86442028788796539499037798</v>
      </c>
      <c r="U38" s="582">
        <v>99.89022853210186755726831957</v>
      </c>
      <c r="V38" s="582">
        <v>102.72976074394491879276367689</v>
      </c>
      <c r="W38" s="582">
        <v>95.63075698657564913712226413</v>
      </c>
      <c r="X38" s="582">
        <v>94.13017249714631805074690719</v>
      </c>
      <c r="Y38" s="582">
        <v>102.02887265300061856800015741</v>
      </c>
      <c r="Z38" s="582">
        <v>91.19376678303943369823292879</v>
      </c>
      <c r="AA38" s="582">
        <v>89.98955528024239383913186623</v>
      </c>
      <c r="AB38" s="582">
        <v>96.36578050096255177392362965</v>
      </c>
      <c r="AC38" s="582">
        <v>116.22977101935210906836772823</v>
      </c>
      <c r="AD38" s="582">
        <v>116.97619074464751163518181504</v>
      </c>
      <c r="AE38" s="582">
        <v>95.95082857385079538251486112</v>
      </c>
      <c r="AF38" s="582">
        <v>100.99366863360644647211758990</v>
      </c>
      <c r="AG38" s="583">
        <v>100.66614568696650517272641948</v>
      </c>
      <c r="AH38" s="531"/>
    </row>
    <row r="39" ht="24.95" customHeight="1">
      <c r="B39" s="25" t="s">
        <v>68</v>
      </c>
      <c r="S39" s="4"/>
      <c r="T39" s="4"/>
      <c r="U39" s="4"/>
      <c r="V39" s="4"/>
      <c r="W39" s="4"/>
      <c r="X39" s="4"/>
      <c r="Y39" s="4"/>
      <c r="Z39" s="4"/>
      <c r="AA39" s="4"/>
      <c r="AB39" s="4"/>
      <c r="AC39" s="4"/>
      <c r="AD39" s="4"/>
      <c r="AE39" s="4"/>
      <c r="AF39" s="4"/>
      <c r="AG39" s="4"/>
      <c r="AH39" s="4"/>
    </row>
    <row r="40" ht="24.95" customHeight="1">
      <c r="B40" s="37" t="s">
        <v>19</v>
      </c>
      <c r="C40" s="573">
        <v>-9.535503230682898640676948260</v>
      </c>
      <c r="D40" s="574">
        <v>9.520348167915156745142051550</v>
      </c>
      <c r="E40" s="574">
        <v>14.039897618386208815402103160</v>
      </c>
      <c r="F40" s="574">
        <v>0.5834620749880588055307377800</v>
      </c>
      <c r="G40" s="574">
        <v>2.5703541420094896647009519500</v>
      </c>
      <c r="H40" s="574">
        <v>6.6905567852940186318723184200</v>
      </c>
      <c r="I40" s="574">
        <v>2.0248142733483121058803422300</v>
      </c>
      <c r="J40" s="574">
        <v>-0.3621734975605647153963283400</v>
      </c>
      <c r="K40" s="574">
        <v>-11.245817944222266164345225060</v>
      </c>
      <c r="L40" s="574">
        <v>-19.400573808194503359547049100</v>
      </c>
      <c r="M40" s="574">
        <v>-4.6254893983708569990559051600</v>
      </c>
      <c r="N40" s="574">
        <v>3.1199955471273481215708743300</v>
      </c>
      <c r="O40" s="574">
        <v>0.280190351466174109975891800</v>
      </c>
      <c r="P40" s="574">
        <v>-8.265795340203886993914608970</v>
      </c>
      <c r="Q40" s="574">
        <v>-7.2906768569292225921796128600</v>
      </c>
      <c r="R40" s="574">
        <v>37.317048110760062674989083250</v>
      </c>
      <c r="S40" s="574">
        <v>15.840259230441956510047960510</v>
      </c>
      <c r="T40" s="574">
        <v>-8.341481605824848420546830030</v>
      </c>
      <c r="U40" s="574">
        <v>-5.5811415316041912095493109800</v>
      </c>
      <c r="V40" s="574">
        <v>-3.7541170479884243130524529700</v>
      </c>
      <c r="W40" s="574">
        <v>-9.800108379632646406669303670</v>
      </c>
      <c r="X40" s="574">
        <v>-2.6477595422342703281955672500</v>
      </c>
      <c r="Y40" s="574">
        <v>-2.0739608184831433721580672200</v>
      </c>
      <c r="Z40" s="574">
        <v>-6.3881548506778533149670812800</v>
      </c>
      <c r="AA40" s="574">
        <v>-8.897740099150059101243391950</v>
      </c>
      <c r="AB40" s="574">
        <v>-12.467848532299712528893447790</v>
      </c>
      <c r="AC40" s="574">
        <v>2.5903667757547555735165437900</v>
      </c>
      <c r="AD40" s="574">
        <v>1.0035702651536184298753850900</v>
      </c>
      <c r="AE40" s="574">
        <v>-7.2441067300859058531230080100</v>
      </c>
      <c r="AF40" s="574">
        <v>-17.080635155913312855994806130</v>
      </c>
      <c r="AG40" s="575">
        <v>-26.579227785649144744476310650</v>
      </c>
      <c r="AH40" s="530"/>
    </row>
    <row r="41" ht="24.95" customHeight="1">
      <c r="B41" s="38" t="s">
        <v>35</v>
      </c>
      <c r="C41" s="271">
        <v>13.883640468112626766271543980</v>
      </c>
      <c r="D41" s="97">
        <v>22.028599491036437523230839600</v>
      </c>
      <c r="E41" s="97">
        <v>19.182362475045401874670167350</v>
      </c>
      <c r="F41" s="97">
        <v>20.301887365003564403330776830</v>
      </c>
      <c r="G41" s="97">
        <v>13.500405265180071427726917940</v>
      </c>
      <c r="H41" s="97">
        <v>19.181361111311286036568660890</v>
      </c>
      <c r="I41" s="97">
        <v>10.590376454395427261363642600</v>
      </c>
      <c r="J41" s="97">
        <v>3.1788991868298252147444134900</v>
      </c>
      <c r="K41" s="97">
        <v>5.0525331172578430872439599300</v>
      </c>
      <c r="L41" s="97">
        <v>4.8394629332255526559733478700</v>
      </c>
      <c r="M41" s="97">
        <v>8.023865630674099911991242810</v>
      </c>
      <c r="N41" s="97">
        <v>8.313986917874844922982168710</v>
      </c>
      <c r="O41" s="97">
        <v>-1.3261190850921108386359261600</v>
      </c>
      <c r="P41" s="97">
        <v>4.5211300653475011435355506800</v>
      </c>
      <c r="Q41" s="97">
        <v>10.241428697329809787965943160</v>
      </c>
      <c r="R41" s="97">
        <v>13.847197661511791572891539680</v>
      </c>
      <c r="S41" s="97">
        <v>21.027801475626572357866987530</v>
      </c>
      <c r="T41" s="97">
        <v>2.8063809759206614582000216400</v>
      </c>
      <c r="U41" s="97">
        <v>6.5846925459124807811816865500</v>
      </c>
      <c r="V41" s="97">
        <v>8.289287939057940082205162670</v>
      </c>
      <c r="W41" s="97">
        <v>0.223559845945950653226366800</v>
      </c>
      <c r="X41" s="97">
        <v>10.532609801514973268099226790</v>
      </c>
      <c r="Y41" s="97">
        <v>13.450813842626476054094447190</v>
      </c>
      <c r="Z41" s="97">
        <v>22.115343303310557157745208980</v>
      </c>
      <c r="AA41" s="97">
        <v>11.088505994293346018478006960</v>
      </c>
      <c r="AB41" s="97">
        <v>7.4245643083922055438681828300</v>
      </c>
      <c r="AC41" s="97">
        <v>0.8486611169260514788525968100</v>
      </c>
      <c r="AD41" s="97">
        <v>-2.7417362522827433261947226500</v>
      </c>
      <c r="AE41" s="97">
        <v>-2.4822258071259884689816778100</v>
      </c>
      <c r="AF41" s="97">
        <v>-7.0341347980346585296593765700</v>
      </c>
      <c r="AG41" s="272">
        <v>-8.980984676661685558283002470</v>
      </c>
      <c r="AH41" s="530"/>
    </row>
    <row r="42" ht="24.95" customHeight="1">
      <c r="A42" s="23"/>
      <c r="B42" s="40" t="s">
        <v>98</v>
      </c>
      <c r="C42" s="581">
        <v>-20.564098234423837911740693900</v>
      </c>
      <c r="D42" s="582">
        <v>-10.250262131469588933293914340</v>
      </c>
      <c r="E42" s="582">
        <v>-4.3147868106067947049323713800</v>
      </c>
      <c r="F42" s="582">
        <v>-16.390786314309724221935371910</v>
      </c>
      <c r="G42" s="582">
        <v>-9.629966604657919667508112350</v>
      </c>
      <c r="H42" s="582">
        <v>-10.480501489132313224245965020</v>
      </c>
      <c r="I42" s="582">
        <v>-7.745305202545880609609218300</v>
      </c>
      <c r="J42" s="582">
        <v>-3.4319737003319496500282126500</v>
      </c>
      <c r="K42" s="582">
        <v>-15.514476974376463179476060910</v>
      </c>
      <c r="L42" s="582">
        <v>-23.121099692090329805557949130</v>
      </c>
      <c r="M42" s="582">
        <v>-11.709778163561096779112904700</v>
      </c>
      <c r="N42" s="582">
        <v>-4.7953099305475382356766899400</v>
      </c>
      <c r="O42" s="582">
        <v>1.6278972932663954333770236400</v>
      </c>
      <c r="P42" s="582">
        <v>-12.233818556684774497133808030</v>
      </c>
      <c r="Q42" s="582">
        <v>-15.903372952806681517260310320</v>
      </c>
      <c r="R42" s="582">
        <v>20.615220164656788493677024720</v>
      </c>
      <c r="S42" s="582">
        <v>-4.2862401711405463056958805800</v>
      </c>
      <c r="T42" s="582">
        <v>-10.843551223130620093338664720</v>
      </c>
      <c r="U42" s="582">
        <v>-11.414241376430446535822880160</v>
      </c>
      <c r="V42" s="582">
        <v>-11.121510923462979866965888490</v>
      </c>
      <c r="W42" s="582">
        <v>-10.001309313903330991609716320</v>
      </c>
      <c r="X42" s="582">
        <v>-11.924417027224033880508605150</v>
      </c>
      <c r="Y42" s="582">
        <v>-13.684145697417541971060246890</v>
      </c>
      <c r="Z42" s="582">
        <v>-23.341455203675453643071458540</v>
      </c>
      <c r="AA42" s="582">
        <v>-17.991281739289463131299188520</v>
      </c>
      <c r="AB42" s="582">
        <v>-18.517564365943887692075320950</v>
      </c>
      <c r="AC42" s="582">
        <v>1.7270488666714140329121545300</v>
      </c>
      <c r="AD42" s="582">
        <v>3.850887701654326258419618700</v>
      </c>
      <c r="AE42" s="582">
        <v>-4.8830902493345171927819590900</v>
      </c>
      <c r="AF42" s="582">
        <v>-10.80665504060019416889934500</v>
      </c>
      <c r="AG42" s="583">
        <v>-19.334688522508919719773064350</v>
      </c>
      <c r="AH42" s="531"/>
    </row>
    <row r="43" ht="30" customHeight="1">
      <c r="A43" s="8"/>
      <c r="B43" s="25"/>
      <c r="X43" s="792"/>
      <c r="Y43" s="792"/>
      <c r="Z43" s="792"/>
      <c r="AA43" s="792"/>
      <c r="AB43" s="792"/>
      <c r="AC43" s="792"/>
      <c r="AD43" s="792"/>
      <c r="AE43"/>
      <c r="AF43"/>
      <c r="AG43" s="4"/>
      <c r="AH43" s="4"/>
    </row>
    <row r="44" s="35" customFormat="1" ht="20.1" customHeight="1">
      <c r="B44" s="784" t="s">
        <v>10</v>
      </c>
      <c r="C44" s="350" t="s">
        <v>162</v>
      </c>
      <c r="D44" s="351"/>
      <c r="E44" s="351"/>
      <c r="F44" s="351"/>
      <c r="G44" s="351"/>
      <c r="H44" s="351"/>
      <c r="I44" s="351"/>
      <c r="J44" s="351"/>
      <c r="K44" s="351"/>
      <c r="L44" s="351"/>
      <c r="M44" s="351"/>
      <c r="N44" s="351"/>
      <c r="O44" s="351"/>
      <c r="P44" s="351"/>
      <c r="Q44" s="351"/>
      <c r="R44" s="351"/>
      <c r="S44" s="352"/>
      <c r="T44" s="352"/>
      <c r="U44" s="352"/>
      <c r="V44" s="352"/>
      <c r="W44" s="352"/>
      <c r="X44" s="352"/>
      <c r="Y44" s="352"/>
      <c r="Z44" s="352"/>
      <c r="AA44" s="352"/>
      <c r="AB44" s="352"/>
      <c r="AC44" s="352"/>
      <c r="AD44" s="352"/>
      <c r="AE44" s="352"/>
      <c r="AF44" s="352"/>
      <c r="AG44" s="353"/>
      <c r="AH44" s="529"/>
      <c r="AI44" s="236"/>
      <c r="AJ44" s="236"/>
      <c r="AK44" s="236"/>
      <c r="AL44" s="236"/>
      <c r="AM44" s="236"/>
      <c r="AN44" s="236"/>
      <c r="AO44" s="236"/>
      <c r="AP44" s="236"/>
      <c r="AQ44" s="236"/>
      <c r="AR44" s="236"/>
      <c r="AS44" s="236"/>
      <c r="AT44" s="236"/>
      <c r="AU44" s="236"/>
      <c r="AV44" s="236"/>
      <c r="AW44" s="236"/>
    </row>
    <row r="45" s="36" customFormat="1" ht="20.1" customHeight="1">
      <c r="B45" s="964"/>
      <c r="C45" s="354">
        <v>1</v>
      </c>
      <c r="D45" s="355">
        <v>2</v>
      </c>
      <c r="E45" s="355">
        <v>3</v>
      </c>
      <c r="F45" s="355">
        <v>4</v>
      </c>
      <c r="G45" s="355">
        <v>5</v>
      </c>
      <c r="H45" s="355">
        <v>6</v>
      </c>
      <c r="I45" s="355">
        <v>7</v>
      </c>
      <c r="J45" s="355">
        <v>8</v>
      </c>
      <c r="K45" s="355">
        <v>9</v>
      </c>
      <c r="L45" s="355">
        <v>10</v>
      </c>
      <c r="M45" s="355">
        <v>11</v>
      </c>
      <c r="N45" s="355">
        <v>12</v>
      </c>
      <c r="O45" s="355">
        <v>13</v>
      </c>
      <c r="P45" s="355">
        <v>14</v>
      </c>
      <c r="Q45" s="355">
        <v>15</v>
      </c>
      <c r="R45" s="355">
        <v>16</v>
      </c>
      <c r="S45" s="355">
        <v>17</v>
      </c>
      <c r="T45" s="355">
        <v>18</v>
      </c>
      <c r="U45" s="355">
        <v>19</v>
      </c>
      <c r="V45" s="355">
        <v>20</v>
      </c>
      <c r="W45" s="355">
        <v>21</v>
      </c>
      <c r="X45" s="355">
        <v>22</v>
      </c>
      <c r="Y45" s="355">
        <v>23</v>
      </c>
      <c r="Z45" s="355">
        <v>24</v>
      </c>
      <c r="AA45" s="355">
        <v>25</v>
      </c>
      <c r="AB45" s="355">
        <v>26</v>
      </c>
      <c r="AC45" s="355">
        <v>27</v>
      </c>
      <c r="AD45" s="355">
        <v>28</v>
      </c>
      <c r="AE45" s="355">
        <v>29</v>
      </c>
      <c r="AF45" s="355">
        <v>30</v>
      </c>
      <c r="AG45" s="356">
        <v>31</v>
      </c>
      <c r="AH45" s="529"/>
      <c r="AI45" s="236"/>
      <c r="AJ45" s="236"/>
      <c r="AK45" s="236"/>
      <c r="AL45" s="236"/>
      <c r="AM45" s="236"/>
      <c r="AN45" s="236"/>
      <c r="AO45" s="236"/>
      <c r="AP45" s="236"/>
      <c r="AQ45" s="236"/>
      <c r="AR45" s="236"/>
      <c r="AS45" s="236"/>
      <c r="AT45" s="236"/>
      <c r="AU45" s="236"/>
      <c r="AV45" s="236"/>
      <c r="AW45" s="236"/>
    </row>
    <row r="46" ht="24.95" customHeight="1">
      <c r="B46" s="263" t="s">
        <v>19</v>
      </c>
      <c r="C46" s="578">
        <v>54.99617283950617283950617284</v>
      </c>
      <c r="D46" s="579">
        <v>134.94679012345679012345679012</v>
      </c>
      <c r="E46" s="579">
        <v>119.06345679012345679012345679</v>
      </c>
      <c r="F46" s="579">
        <v>59.135802469135802469135802469</v>
      </c>
      <c r="G46" s="579">
        <v>112.8037037037037037037037037</v>
      </c>
      <c r="H46" s="579">
        <v>122.45962962962962962962962963</v>
      </c>
      <c r="I46" s="579">
        <v>100.45975308641975308641975309</v>
      </c>
      <c r="J46" s="579">
        <v>82.33419753086419753086419753</v>
      </c>
      <c r="K46" s="579">
        <v>113.33012345679012345679012346</v>
      </c>
      <c r="L46" s="579">
        <v>86.52024691358024691358024691</v>
      </c>
      <c r="M46" s="579">
        <v>25.108888888888888888888888889</v>
      </c>
      <c r="N46" s="579">
        <v>67.064320987654320987654320988</v>
      </c>
      <c r="O46" s="579">
        <v>89.37888888888888888888888889</v>
      </c>
      <c r="P46" s="579">
        <v>75.580987654320987654320987654</v>
      </c>
      <c r="Q46" s="579">
        <v>54.778641975308641975308641975</v>
      </c>
      <c r="R46" s="579">
        <v>65.998641975308641975308641975</v>
      </c>
      <c r="S46" s="579">
        <v>85.14432098765432098765432099</v>
      </c>
      <c r="T46" s="579">
        <v>54.522098765432098765432098765</v>
      </c>
      <c r="U46" s="579">
        <v>84.68864197530864197530864198</v>
      </c>
      <c r="V46" s="579">
        <v>113.03135802469135802469135802</v>
      </c>
      <c r="W46" s="579">
        <v>63.457160493827160493827160494</v>
      </c>
      <c r="X46" s="579">
        <v>59.984691358024691358024691358</v>
      </c>
      <c r="Y46" s="579">
        <v>112.74395061728395061728395062</v>
      </c>
      <c r="Z46" s="579">
        <v>131.13074074074074074074074074</v>
      </c>
      <c r="AA46" s="579">
        <v>48.712469135802469135802469136</v>
      </c>
      <c r="AB46" s="579">
        <v>54.141111111111111111111111111</v>
      </c>
      <c r="AC46" s="579">
        <v>104.21185185185185185185185185</v>
      </c>
      <c r="AD46" s="579">
        <v>104.31024691358024691358024691</v>
      </c>
      <c r="AE46" s="579">
        <v>53.515185185185185185185185185</v>
      </c>
      <c r="AF46" s="579">
        <v>54.152592592592592592592592593</v>
      </c>
      <c r="AG46" s="580">
        <v>60.100864197530864197530864198</v>
      </c>
      <c r="AH46" s="530"/>
    </row>
    <row r="47" ht="24.95" customHeight="1">
      <c r="B47" s="38" t="s">
        <v>35</v>
      </c>
      <c r="C47" s="276">
        <v>55.383052434456928838951310861</v>
      </c>
      <c r="D47" s="101">
        <v>106.54144194756554307116104869</v>
      </c>
      <c r="E47" s="101">
        <v>95.07217228464419475655430712</v>
      </c>
      <c r="F47" s="101">
        <v>49.034850187265917602996254683</v>
      </c>
      <c r="G47" s="101">
        <v>69.108764044943820224719101123</v>
      </c>
      <c r="H47" s="101">
        <v>63.202621722846441947565543071</v>
      </c>
      <c r="I47" s="101">
        <v>58.485093632958801498127340824</v>
      </c>
      <c r="J47" s="101">
        <v>44.205318352059925093632958801</v>
      </c>
      <c r="K47" s="101">
        <v>71.575337078651685393258426966</v>
      </c>
      <c r="L47" s="101">
        <v>71.349906367041198501872659176</v>
      </c>
      <c r="M47" s="101">
        <v>48.091985018726591760299625468</v>
      </c>
      <c r="N47" s="101">
        <v>53.880674157303370786516853933</v>
      </c>
      <c r="O47" s="101">
        <v>57.766479400749063670411985019</v>
      </c>
      <c r="P47" s="101">
        <v>64.969026217228464419475655431</v>
      </c>
      <c r="Q47" s="101">
        <v>45.28546816479400749063670412</v>
      </c>
      <c r="R47" s="101">
        <v>48.844307116104868913857677902</v>
      </c>
      <c r="S47" s="101">
        <v>53.41953183520599250936329588</v>
      </c>
      <c r="T47" s="101">
        <v>26.03953183520599250936329588</v>
      </c>
      <c r="U47" s="101">
        <v>49.41003745318352059925093633</v>
      </c>
      <c r="V47" s="101">
        <v>67.000355805243445692883895131</v>
      </c>
      <c r="W47" s="101">
        <v>56.04543071161048689138576779</v>
      </c>
      <c r="X47" s="101">
        <v>52.574644194756554307116104869</v>
      </c>
      <c r="Y47" s="101">
        <v>96.17277153558052434456928839</v>
      </c>
      <c r="Z47" s="101">
        <v>116.03653558052434456928838951</v>
      </c>
      <c r="AA47" s="101">
        <v>81.17080524344569288389513109</v>
      </c>
      <c r="AB47" s="101">
        <v>48.441573033707865168539325843</v>
      </c>
      <c r="AC47" s="101">
        <v>52.457696629213483146067415731</v>
      </c>
      <c r="AD47" s="101">
        <v>52.774044943820224719101123596</v>
      </c>
      <c r="AE47" s="101">
        <v>39.697078651685393258426966292</v>
      </c>
      <c r="AF47" s="101">
        <v>48.360393258426966292134831462</v>
      </c>
      <c r="AG47" s="277">
        <v>49.477209737827715355805243446</v>
      </c>
      <c r="AH47" s="530"/>
    </row>
    <row r="48" ht="24.95" customHeight="1">
      <c r="A48" s="23"/>
      <c r="B48" s="40" t="s">
        <v>99</v>
      </c>
      <c r="C48" s="581">
        <v>99.30144768482853319265647570</v>
      </c>
      <c r="D48" s="582">
        <v>126.66131381047697717489756348</v>
      </c>
      <c r="E48" s="582">
        <v>125.23481259448367304180546471</v>
      </c>
      <c r="F48" s="582">
        <v>120.59953735609035002896629003</v>
      </c>
      <c r="G48" s="582">
        <v>163.22633643167902503057328801</v>
      </c>
      <c r="H48" s="582">
        <v>193.75719913443557077471411205</v>
      </c>
      <c r="I48" s="582">
        <v>171.76984227265681444757575685</v>
      </c>
      <c r="J48" s="582">
        <v>186.25405403726237930391850139</v>
      </c>
      <c r="K48" s="582">
        <v>158.33683511986682538072427362</v>
      </c>
      <c r="L48" s="582">
        <v>121.26189271861002961416857119</v>
      </c>
      <c r="M48" s="582">
        <v>52.210132060728194507947044640</v>
      </c>
      <c r="N48" s="582">
        <v>124.46822916852487128420980491</v>
      </c>
      <c r="O48" s="582">
        <v>154.72448696225343703420000152</v>
      </c>
      <c r="P48" s="582">
        <v>116.33387793383851064971136018</v>
      </c>
      <c r="Q48" s="582">
        <v>120.96295830698202497410927677</v>
      </c>
      <c r="R48" s="582">
        <v>135.12043853633507961249939434</v>
      </c>
      <c r="S48" s="582">
        <v>159.38799548136389053528588119</v>
      </c>
      <c r="T48" s="582">
        <v>209.38202388005158510436021284</v>
      </c>
      <c r="U48" s="582">
        <v>171.39967168720260195090817264</v>
      </c>
      <c r="V48" s="582">
        <v>168.70262354027502283890417315</v>
      </c>
      <c r="W48" s="582">
        <v>113.22450320770417082678156076</v>
      </c>
      <c r="X48" s="582">
        <v>114.09433630357805986980079358</v>
      </c>
      <c r="Y48" s="582">
        <v>117.23063484299175532565252705</v>
      </c>
      <c r="Z48" s="582">
        <v>113.00814875653468729401208076</v>
      </c>
      <c r="AA48" s="582">
        <v>60.012302440184651361278267130</v>
      </c>
      <c r="AB48" s="582">
        <v>111.76579892119943519312822779</v>
      </c>
      <c r="AC48" s="582">
        <v>198.65884045286782652903300848</v>
      </c>
      <c r="AD48" s="582">
        <v>197.65444741759333847209874311</v>
      </c>
      <c r="AE48" s="582">
        <v>134.80887511830403748910127055</v>
      </c>
      <c r="AF48" s="582">
        <v>111.97715515513619517467664967</v>
      </c>
      <c r="AG48" s="583">
        <v>121.47181402514402200823063771</v>
      </c>
      <c r="AH48" s="531"/>
    </row>
    <row r="49" ht="24.95" customHeight="1">
      <c r="B49" s="25" t="s">
        <v>68</v>
      </c>
      <c r="S49" s="4"/>
      <c r="T49" s="4"/>
      <c r="U49" s="4"/>
      <c r="V49" s="4"/>
      <c r="W49" s="4"/>
      <c r="X49" s="4"/>
      <c r="Y49" s="4"/>
      <c r="Z49" s="4"/>
      <c r="AA49" s="4"/>
      <c r="AB49" s="4"/>
      <c r="AC49" s="4"/>
      <c r="AD49" s="4"/>
      <c r="AE49" s="4"/>
      <c r="AF49" s="4"/>
      <c r="AG49" s="4"/>
      <c r="AH49" s="4"/>
    </row>
    <row r="50" ht="24.95" customHeight="1">
      <c r="B50" s="37" t="s">
        <v>19</v>
      </c>
      <c r="C50" s="573">
        <v>1.107378742129745638945263200</v>
      </c>
      <c r="D50" s="574">
        <v>79.42695338150747563406191825</v>
      </c>
      <c r="E50" s="574">
        <v>39.382097089138699663269237200</v>
      </c>
      <c r="F50" s="574">
        <v>36.506127101804519924785713220</v>
      </c>
      <c r="G50" s="574">
        <v>66.066287658600211536928339970</v>
      </c>
      <c r="H50" s="574">
        <v>55.590395311821215670228948440</v>
      </c>
      <c r="I50" s="574">
        <v>34.585925211688806644536729730</v>
      </c>
      <c r="J50" s="574">
        <v>1.6305830325424305197314107400</v>
      </c>
      <c r="K50" s="574">
        <v>-3.9708849888125665738615892700</v>
      </c>
      <c r="L50" s="574">
        <v>-3.9666411332100294982229561400</v>
      </c>
      <c r="M50" s="574">
        <v>-44.090804130071783247939902620</v>
      </c>
      <c r="N50" s="574">
        <v>-20.818574847716108792200981910</v>
      </c>
      <c r="O50" s="574">
        <v>-18.891022509813548729006300510</v>
      </c>
      <c r="P50" s="574">
        <v>-6.3936687144808810667771900100</v>
      </c>
      <c r="Q50" s="574">
        <v>13.643686433482347621953619690</v>
      </c>
      <c r="R50" s="574">
        <v>53.471994947333287858778801710</v>
      </c>
      <c r="S50" s="574">
        <v>96.92844069183567263932118963</v>
      </c>
      <c r="T50" s="574">
        <v>35.654607223216715823436190250</v>
      </c>
      <c r="U50" s="574">
        <v>5.5269594645948769408560171500</v>
      </c>
      <c r="V50" s="574">
        <v>38.353456743479007073464496280</v>
      </c>
      <c r="W50" s="574">
        <v>-27.840086703676738981721302100</v>
      </c>
      <c r="X50" s="574">
        <v>10.873384965834288588281808150</v>
      </c>
      <c r="Y50" s="574">
        <v>-9.492600150445839398535882840</v>
      </c>
      <c r="Z50" s="574">
        <v>-2.4876613027491456516827608800</v>
      </c>
      <c r="AA50" s="574">
        <v>-44.060015850348161686755636380</v>
      </c>
      <c r="AB50" s="574">
        <v>-22.646005679723095937068808110</v>
      </c>
      <c r="AC50" s="574">
        <v>43.626513486100646349138492040</v>
      </c>
      <c r="AD50" s="574">
        <v>-6.6482153609974772100051489400</v>
      </c>
      <c r="AE50" s="574">
        <v>-43.476877538629146991222898450</v>
      </c>
      <c r="AF50" s="574">
        <v>-57.972376722861783009241294070</v>
      </c>
      <c r="AG50" s="575">
        <v>-55.070870734495910225714340280</v>
      </c>
      <c r="AH50" s="530"/>
    </row>
    <row r="51" ht="24.95" customHeight="1">
      <c r="B51" s="38" t="s">
        <v>35</v>
      </c>
      <c r="C51" s="271">
        <v>54.521282237098933367548792510</v>
      </c>
      <c r="D51" s="97">
        <v>70.694863160988028655436672040</v>
      </c>
      <c r="E51" s="97">
        <v>47.250324920071547675295139970</v>
      </c>
      <c r="F51" s="97">
        <v>31.079007551010465154580456650</v>
      </c>
      <c r="G51" s="97">
        <v>50.595461392976640274631881630</v>
      </c>
      <c r="H51" s="97">
        <v>45.420513715748629653137798710</v>
      </c>
      <c r="I51" s="97">
        <v>9.414059341456639386290928090</v>
      </c>
      <c r="J51" s="97">
        <v>-13.156881583301556714045560040</v>
      </c>
      <c r="K51" s="97">
        <v>23.557742716900506080896347630</v>
      </c>
      <c r="L51" s="97">
        <v>25.445895773923380038240588240</v>
      </c>
      <c r="M51" s="97">
        <v>39.288424958747766651852195090</v>
      </c>
      <c r="N51" s="97">
        <v>15.285856644490534152270616260</v>
      </c>
      <c r="O51" s="97">
        <v>2.1380741604410249387355408300</v>
      </c>
      <c r="P51" s="97">
        <v>32.737625088864349359961913880</v>
      </c>
      <c r="Q51" s="97">
        <v>19.957583891173329504347000880</v>
      </c>
      <c r="R51" s="97">
        <v>18.882275731637779888497812530</v>
      </c>
      <c r="S51" s="97">
        <v>22.682574448255263373919846640</v>
      </c>
      <c r="T51" s="97">
        <v>-23.894611553461942416915143780</v>
      </c>
      <c r="U51" s="97">
        <v>19.632020373821684916569285610</v>
      </c>
      <c r="V51" s="97">
        <v>57.182335211615507300894188380</v>
      </c>
      <c r="W51" s="97">
        <v>6.6662338613154248849319456800</v>
      </c>
      <c r="X51" s="97">
        <v>33.347497217838897989008673140</v>
      </c>
      <c r="Y51" s="97">
        <v>20.833614930805120263071877450</v>
      </c>
      <c r="Z51" s="97">
        <v>36.865230275393452208881268370</v>
      </c>
      <c r="AA51" s="97">
        <v>34.475166510838958207375021110</v>
      </c>
      <c r="AB51" s="97">
        <v>24.378178158171045320561666560</v>
      </c>
      <c r="AC51" s="97">
        <v>10.994136562471635529341259930</v>
      </c>
      <c r="AD51" s="97">
        <v>-17.282185881663521940312409030</v>
      </c>
      <c r="AE51" s="97">
        <v>-42.393746401426842726407463920</v>
      </c>
      <c r="AF51" s="97">
        <v>-41.278773270527137870451917440</v>
      </c>
      <c r="AG51" s="272">
        <v>-34.186511236824939691441943710</v>
      </c>
      <c r="AH51" s="530"/>
    </row>
    <row r="52" ht="24.95" customHeight="1">
      <c r="A52" s="23"/>
      <c r="B52" s="40" t="s">
        <v>99</v>
      </c>
      <c r="C52" s="581">
        <v>-34.567344201230609297031485470</v>
      </c>
      <c r="D52" s="582">
        <v>5.1156139433689816326774546200</v>
      </c>
      <c r="E52" s="582">
        <v>-5.3434366512314212343438505400</v>
      </c>
      <c r="F52" s="582">
        <v>4.1403422653829176922739948900</v>
      </c>
      <c r="G52" s="582">
        <v>10.273102603830640388901349790</v>
      </c>
      <c r="H52" s="582">
        <v>6.9934298376133074807330914900</v>
      </c>
      <c r="I52" s="582">
        <v>23.006061580731300988451705060</v>
      </c>
      <c r="J52" s="582">
        <v>17.027790900790568515536521880</v>
      </c>
      <c r="K52" s="582">
        <v>-22.279969753768484185315488220</v>
      </c>
      <c r="L52" s="582">
        <v>-23.446392347579340741737960450</v>
      </c>
      <c r="M52" s="582">
        <v>-59.860845661431701544890743260</v>
      </c>
      <c r="N52" s="582">
        <v>-31.317312065054022185592085880</v>
      </c>
      <c r="O52" s="582">
        <v>-20.588890913665226208021231320</v>
      </c>
      <c r="P52" s="582">
        <v>-29.480182259649051742330091260</v>
      </c>
      <c r="Q52" s="582">
        <v>-5.2634416707786850482592809600</v>
      </c>
      <c r="R52" s="582">
        <v>29.095774793083022434212674340</v>
      </c>
      <c r="S52" s="582">
        <v>60.518673150978918526137475630</v>
      </c>
      <c r="T52" s="582">
        <v>78.245732651008652159672794350</v>
      </c>
      <c r="U52" s="582">
        <v>-11.790372565083234359185643570</v>
      </c>
      <c r="V52" s="582">
        <v>-11.979004156332637829145504590</v>
      </c>
      <c r="W52" s="582">
        <v>-32.349806790672279328037231340</v>
      </c>
      <c r="X52" s="582">
        <v>-16.853793825194548114258702120</v>
      </c>
      <c r="Y52" s="582">
        <v>-25.097498819876856132881206170</v>
      </c>
      <c r="Z52" s="582">
        <v>-28.753023320052345840876324510</v>
      </c>
      <c r="AA52" s="582">
        <v>-58.401253107835381603394082140</v>
      </c>
      <c r="AB52" s="582">
        <v>-37.807422921137494193784581700</v>
      </c>
      <c r="AC52" s="582">
        <v>29.400090792416237688845918800</v>
      </c>
      <c r="AD52" s="582">
        <v>12.855719936593366891907928140</v>
      </c>
      <c r="AE52" s="582">
        <v>-1.8802318664419661589442627200</v>
      </c>
      <c r="AF52" s="582">
        <v>-28.428567286628654765081923320</v>
      </c>
      <c r="AG52" s="583">
        <v>-31.732643095098896962842738980</v>
      </c>
      <c r="AH52" s="531"/>
    </row>
    <row r="53" ht="16.5" customHeight="1">
      <c r="B53" s="99"/>
      <c r="C53" s="100"/>
      <c r="D53" s="100"/>
      <c r="E53" s="100"/>
      <c r="F53" s="100"/>
      <c r="G53" s="100"/>
      <c r="H53" s="100"/>
      <c r="I53" s="100"/>
      <c r="J53" s="100"/>
      <c r="K53" s="100"/>
      <c r="L53" s="100"/>
      <c r="M53" s="100"/>
      <c r="N53" s="100"/>
      <c r="O53" s="100"/>
      <c r="P53" s="100"/>
      <c r="Q53" s="100"/>
      <c r="R53" s="100"/>
      <c r="S53" s="100"/>
      <c r="T53" s="100"/>
      <c r="U53" s="100"/>
      <c r="V53" s="100"/>
      <c r="W53" s="100"/>
      <c r="X53" s="100"/>
      <c r="Y53" s="100"/>
      <c r="Z53" s="100"/>
      <c r="AA53" s="100"/>
      <c r="AB53" s="100"/>
      <c r="AC53" s="100"/>
      <c r="AD53" s="100"/>
      <c r="AE53" s="100"/>
      <c r="AF53" s="100"/>
      <c r="AG53" s="100"/>
      <c r="AH53" s="4"/>
    </row>
    <row r="54" ht="0" hidden="1" customHeight="1">
      <c r="B54" s="223" t="s">
        <v>89</v>
      </c>
      <c r="C54" s="357"/>
      <c r="D54" s="358"/>
      <c r="E54" s="358"/>
      <c r="F54" s="358"/>
      <c r="G54" s="358"/>
      <c r="H54" s="358"/>
      <c r="I54" s="358"/>
      <c r="J54" s="358"/>
      <c r="K54" s="358"/>
      <c r="L54" s="358"/>
      <c r="M54" s="358"/>
      <c r="N54" s="358"/>
      <c r="O54" s="358"/>
      <c r="P54" s="358"/>
      <c r="Q54" s="358"/>
      <c r="R54" s="358"/>
      <c r="S54" s="358"/>
      <c r="T54" s="358"/>
      <c r="U54" s="358"/>
      <c r="V54" s="358"/>
      <c r="W54" s="358"/>
      <c r="X54" s="358"/>
      <c r="Y54" s="358"/>
      <c r="Z54" s="358"/>
      <c r="AA54" s="358"/>
      <c r="AB54" s="358"/>
      <c r="AC54" s="358"/>
      <c r="AD54" s="358"/>
      <c r="AE54" s="358"/>
      <c r="AF54" s="358"/>
      <c r="AG54" s="359"/>
      <c r="AH54" s="532"/>
    </row>
    <row r="55" ht="0" hidden="1" customHeight="1">
      <c r="B55" s="99"/>
      <c r="C55" s="100"/>
      <c r="D55" s="100"/>
      <c r="E55" s="100"/>
      <c r="F55" s="100"/>
      <c r="G55" s="100"/>
      <c r="H55" s="100"/>
      <c r="I55" s="100"/>
      <c r="J55" s="100"/>
      <c r="K55" s="100"/>
      <c r="L55" s="100"/>
      <c r="M55" s="100"/>
      <c r="N55" s="100"/>
      <c r="O55" s="100"/>
      <c r="P55" s="100"/>
      <c r="Q55" s="100"/>
      <c r="R55" s="100"/>
      <c r="S55" s="100"/>
      <c r="T55" s="100"/>
      <c r="U55" s="100"/>
      <c r="V55" s="100"/>
      <c r="W55" s="100"/>
      <c r="X55" s="100"/>
      <c r="Y55" s="100"/>
      <c r="Z55" s="100"/>
      <c r="AA55" s="100"/>
      <c r="AB55" s="100"/>
      <c r="AC55" s="100"/>
      <c r="AD55" s="100"/>
      <c r="AE55" s="100"/>
      <c r="AF55" s="100"/>
      <c r="AG55" s="100"/>
      <c r="AH55" s="4"/>
    </row>
    <row r="56" ht="24" customHeight="1">
      <c r="B56" s="816" t="s">
        <v>126</v>
      </c>
      <c r="C56" s="816"/>
      <c r="D56" s="816"/>
      <c r="E56" s="816"/>
      <c r="F56" s="816"/>
      <c r="G56" s="816"/>
      <c r="H56" s="816"/>
      <c r="I56" s="816"/>
      <c r="J56" s="816"/>
      <c r="K56" s="816"/>
      <c r="L56" s="816"/>
      <c r="M56" s="816"/>
      <c r="N56" s="816"/>
      <c r="O56" s="816"/>
      <c r="P56" s="816"/>
      <c r="Q56" s="816"/>
      <c r="R56" s="816"/>
      <c r="S56" s="816"/>
      <c r="T56" s="816"/>
      <c r="U56" s="816"/>
      <c r="V56" s="816"/>
      <c r="W56" s="816"/>
      <c r="X56" s="816"/>
      <c r="Y56" s="816"/>
      <c r="Z56" s="816"/>
      <c r="AA56" s="816"/>
      <c r="AB56" s="816"/>
      <c r="AC56" s="816"/>
      <c r="AD56" s="816"/>
      <c r="AE56" s="816"/>
      <c r="AF56" s="816"/>
      <c r="AG56" s="816"/>
    </row>
    <row r="57" ht="15" customHeight="1">
      <c r="A57"/>
      <c r="AE57"/>
      <c r="AF57"/>
      <c r="AG57"/>
    </row>
    <row r="58" s="282" customFormat="1"/>
    <row r="59" s="282" customFormat="1"/>
    <row r="60" s="282" customFormat="1">
      <c r="C60" s="282">
        <v>100</v>
      </c>
      <c r="D60" s="282">
        <v>100</v>
      </c>
      <c r="E60" s="282">
        <v>100</v>
      </c>
      <c r="F60" s="282">
        <v>100</v>
      </c>
      <c r="G60" s="282">
        <v>100</v>
      </c>
      <c r="H60" s="282">
        <v>100</v>
      </c>
      <c r="I60" s="282">
        <v>100</v>
      </c>
      <c r="J60" s="282">
        <v>100</v>
      </c>
      <c r="K60" s="282">
        <v>100</v>
      </c>
      <c r="L60" s="282">
        <v>100</v>
      </c>
      <c r="M60" s="282">
        <v>100</v>
      </c>
      <c r="N60" s="282">
        <v>100</v>
      </c>
      <c r="O60" s="282">
        <v>100</v>
      </c>
      <c r="P60" s="282">
        <v>100</v>
      </c>
      <c r="Q60" s="282">
        <v>100</v>
      </c>
      <c r="R60" s="282">
        <v>100</v>
      </c>
      <c r="S60" s="282">
        <v>100</v>
      </c>
      <c r="T60" s="282">
        <v>100</v>
      </c>
      <c r="U60" s="282">
        <v>100</v>
      </c>
      <c r="V60" s="282">
        <v>100</v>
      </c>
      <c r="W60" s="282">
        <v>100</v>
      </c>
      <c r="X60" s="282">
        <v>100</v>
      </c>
      <c r="Y60" s="282">
        <v>100</v>
      </c>
      <c r="Z60" s="282">
        <v>100</v>
      </c>
      <c r="AA60" s="282">
        <v>100</v>
      </c>
      <c r="AB60" s="282">
        <v>100</v>
      </c>
      <c r="AC60" s="282">
        <v>100</v>
      </c>
      <c r="AD60" s="282">
        <v>100</v>
      </c>
      <c r="AE60" s="282">
        <v>100</v>
      </c>
      <c r="AF60" s="282">
        <v>100</v>
      </c>
      <c r="AG60" s="282">
        <v>100</v>
      </c>
    </row>
    <row r="61" s="282" customFormat="1"/>
    <row r="62" s="282" customFormat="1"/>
    <row r="63" s="282" customFormat="1"/>
    <row r="64" s="282" customFormat="1"/>
    <row r="65" s="282" customFormat="1" ht="10.5" customHeight="1">
      <c r="B65" s="1019"/>
      <c r="C65" s="1019"/>
      <c r="D65" s="1019"/>
      <c r="E65" s="1019"/>
      <c r="F65" s="1019"/>
      <c r="G65" s="1019"/>
      <c r="H65" s="1019"/>
      <c r="I65" s="1019"/>
      <c r="J65" s="1019"/>
      <c r="K65" s="1019"/>
      <c r="L65" s="1019"/>
      <c r="M65" s="1019"/>
      <c r="N65" s="1019"/>
      <c r="O65" s="1019"/>
      <c r="P65" s="1019"/>
      <c r="Q65" s="1019"/>
      <c r="R65" s="1019"/>
      <c r="S65" s="1019"/>
      <c r="T65" s="1019"/>
      <c r="U65" s="1019"/>
      <c r="V65" s="1019"/>
      <c r="W65" s="1019"/>
      <c r="X65" s="1019"/>
      <c r="Y65" s="1019"/>
      <c r="Z65" s="1019"/>
      <c r="AA65" s="1019"/>
      <c r="AB65" s="1019"/>
      <c r="AC65" s="1019"/>
      <c r="AD65" s="1019"/>
      <c r="AE65" s="1019"/>
      <c r="AF65" s="1019"/>
      <c r="AG65" s="1019"/>
      <c r="AH65" s="1019"/>
      <c r="AI65" s="1019"/>
    </row>
    <row r="66" s="282" customFormat="1">
      <c r="B66" s="1019"/>
      <c r="C66" s="1019"/>
      <c r="D66" s="1019"/>
      <c r="E66" s="1019"/>
      <c r="F66" s="1019"/>
      <c r="G66" s="1019"/>
      <c r="H66" s="1019"/>
      <c r="I66" s="1019"/>
      <c r="J66" s="1019"/>
      <c r="K66" s="1019"/>
      <c r="L66" s="1019"/>
      <c r="M66" s="1019"/>
      <c r="N66" s="1019"/>
      <c r="O66" s="1019"/>
      <c r="P66" s="1019"/>
      <c r="Q66" s="1019"/>
      <c r="R66" s="1019"/>
      <c r="S66" s="1019"/>
      <c r="T66" s="1019"/>
      <c r="U66" s="1019"/>
      <c r="V66" s="1019"/>
      <c r="W66" s="1019"/>
      <c r="X66" s="1019"/>
      <c r="Y66" s="1019"/>
      <c r="Z66" s="1019"/>
      <c r="AA66" s="1019"/>
      <c r="AB66" s="1019"/>
      <c r="AC66" s="1019"/>
      <c r="AD66" s="1019"/>
      <c r="AE66" s="1019"/>
      <c r="AF66" s="1019"/>
      <c r="AG66" s="1019"/>
      <c r="AH66" s="1019"/>
      <c r="AI66" s="1019"/>
    </row>
    <row r="67" s="282" customFormat="1">
      <c r="B67" s="1019"/>
      <c r="C67" s="1019"/>
      <c r="D67" s="1019"/>
      <c r="E67" s="1019"/>
      <c r="F67" s="1019"/>
      <c r="G67" s="1019"/>
      <c r="H67" s="1019"/>
      <c r="I67" s="1019"/>
      <c r="J67" s="1019"/>
      <c r="K67" s="1019"/>
      <c r="L67" s="1019"/>
      <c r="M67" s="1019"/>
      <c r="N67" s="1019"/>
      <c r="O67" s="1019"/>
      <c r="P67" s="1019"/>
      <c r="Q67" s="1019"/>
      <c r="R67" s="1019"/>
      <c r="S67" s="1019"/>
      <c r="T67" s="1019"/>
      <c r="U67" s="1019"/>
      <c r="V67" s="1019"/>
      <c r="W67" s="1019"/>
      <c r="X67" s="1019"/>
      <c r="Y67" s="1019"/>
      <c r="Z67" s="1019"/>
      <c r="AA67" s="1019"/>
      <c r="AB67" s="1019"/>
      <c r="AC67" s="1019"/>
      <c r="AD67" s="1019"/>
      <c r="AE67" s="1019"/>
      <c r="AF67" s="1019"/>
      <c r="AG67" s="1019"/>
      <c r="AH67" s="1019"/>
      <c r="AI67" s="1019"/>
    </row>
    <row r="68" s="282" customFormat="1">
      <c r="B68" s="1019"/>
      <c r="C68" s="1019"/>
      <c r="D68" s="1019"/>
      <c r="E68" s="1019"/>
      <c r="F68" s="1019"/>
      <c r="G68" s="1019"/>
      <c r="H68" s="1019"/>
      <c r="I68" s="1019"/>
      <c r="J68" s="1019"/>
      <c r="K68" s="1019"/>
      <c r="L68" s="1019"/>
      <c r="M68" s="1019"/>
      <c r="N68" s="1019"/>
      <c r="O68" s="1019"/>
      <c r="P68" s="1019"/>
      <c r="Q68" s="1019"/>
      <c r="R68" s="1019"/>
      <c r="S68" s="1019"/>
      <c r="T68" s="1019"/>
      <c r="U68" s="1019"/>
      <c r="V68" s="1019"/>
      <c r="W68" s="1019"/>
      <c r="X68" s="1019"/>
      <c r="Y68" s="1019"/>
      <c r="Z68" s="1019"/>
      <c r="AA68" s="1019"/>
      <c r="AB68" s="1019"/>
      <c r="AC68" s="1019"/>
      <c r="AD68" s="1019"/>
      <c r="AE68" s="1019"/>
      <c r="AF68" s="1019"/>
      <c r="AG68" s="1019"/>
      <c r="AH68" s="1019"/>
      <c r="AI68" s="1019"/>
    </row>
    <row r="69" s="282" customFormat="1">
      <c r="B69" s="1019"/>
      <c r="C69" s="1019"/>
      <c r="D69" s="1019"/>
      <c r="E69" s="1019"/>
      <c r="F69" s="1019"/>
      <c r="G69" s="1019"/>
      <c r="H69" s="1019"/>
      <c r="I69" s="1019"/>
      <c r="J69" s="1019"/>
      <c r="K69" s="1019"/>
      <c r="L69" s="1019"/>
      <c r="M69" s="1019"/>
      <c r="N69" s="1019"/>
      <c r="O69" s="1019"/>
      <c r="P69" s="1019"/>
      <c r="Q69" s="1019"/>
      <c r="R69" s="1019"/>
      <c r="S69" s="1019"/>
      <c r="T69" s="1019"/>
      <c r="U69" s="1019"/>
      <c r="V69" s="1019"/>
      <c r="W69" s="1019"/>
      <c r="X69" s="1019"/>
      <c r="Y69" s="1019"/>
      <c r="Z69" s="1019"/>
      <c r="AA69" s="1019"/>
      <c r="AB69" s="1019"/>
      <c r="AC69" s="1019"/>
      <c r="AD69" s="1019"/>
      <c r="AE69" s="1019"/>
      <c r="AF69" s="1019"/>
      <c r="AG69" s="1019"/>
      <c r="AH69" s="1019"/>
      <c r="AI69" s="1019"/>
    </row>
    <row r="70" s="282" customFormat="1">
      <c r="B70" s="1019"/>
      <c r="C70" s="1019"/>
      <c r="D70" s="1019"/>
      <c r="E70" s="1019"/>
      <c r="F70" s="1019"/>
      <c r="G70" s="1019"/>
      <c r="H70" s="1019"/>
      <c r="I70" s="1019"/>
      <c r="J70" s="1019"/>
      <c r="K70" s="1019"/>
      <c r="L70" s="1019"/>
      <c r="M70" s="1019"/>
      <c r="N70" s="1019"/>
      <c r="O70" s="1019"/>
      <c r="P70" s="1019"/>
      <c r="Q70" s="1019"/>
      <c r="R70" s="1019"/>
      <c r="S70" s="1019"/>
      <c r="T70" s="1019"/>
      <c r="U70" s="1019"/>
      <c r="V70" s="1019"/>
      <c r="W70" s="1019"/>
      <c r="X70" s="1019"/>
      <c r="Y70" s="1019"/>
      <c r="Z70" s="1019"/>
      <c r="AA70" s="1019"/>
      <c r="AB70" s="1019"/>
      <c r="AC70" s="1019"/>
      <c r="AD70" s="1019"/>
      <c r="AE70" s="1019"/>
      <c r="AF70" s="1019"/>
      <c r="AG70" s="1019"/>
      <c r="AH70" s="1019"/>
      <c r="AI70" s="1019"/>
    </row>
    <row r="71" s="282" customFormat="1"/>
    <row r="72" s="282" customFormat="1"/>
    <row r="73" s="282" customFormat="1"/>
    <row r="74" s="282" customFormat="1"/>
    <row r="75" s="282" customFormat="1"/>
    <row r="76" s="282" customFormat="1"/>
    <row r="77" s="282" customFormat="1"/>
    <row r="78" s="282" customFormat="1"/>
    <row r="79" s="282" customFormat="1"/>
    <row r="80" s="282" customFormat="1"/>
    <row r="81" s="282" customFormat="1"/>
    <row r="82" s="282" customFormat="1"/>
    <row r="83" s="282" customFormat="1"/>
    <row r="84" s="282" customFormat="1"/>
    <row r="85" s="282" customFormat="1"/>
    <row r="86" s="282" customFormat="1"/>
    <row r="87" s="282" customFormat="1"/>
    <row r="88" s="282" customFormat="1"/>
    <row r="89" s="282" customFormat="1"/>
    <row r="90" s="282" customFormat="1"/>
    <row r="91" s="282" customFormat="1"/>
    <row r="92" s="282" customFormat="1"/>
    <row r="93" s="282" customFormat="1"/>
    <row r="94" s="282" customFormat="1"/>
  </sheetData>
  <mergeCells count="12">
    <mergeCell ref="B56:AG56"/>
    <mergeCell ref="B34:B35"/>
    <mergeCell ref="B3:T3"/>
    <mergeCell ref="AA1:AG1"/>
    <mergeCell ref="U3:AG3"/>
    <mergeCell ref="B44:B45"/>
    <mergeCell ref="B4:AG4"/>
    <mergeCell ref="B2:AG2"/>
    <mergeCell ref="X22:AD22"/>
    <mergeCell ref="X33:AD33"/>
    <mergeCell ref="X43:AD43"/>
    <mergeCell ref="B24:B25"/>
  </mergeCells>
  <phoneticPr fontId="0" type="noConversion"/>
  <printOptions horizontalCentered="1" verticalCentered="1"/>
  <pageMargins left="0.25" right="0.25" top="0.25" bottom="0.25" header="0" footer="0"/>
  <pageSetup scale="41" fitToWidth="1" fitToHeight="1" orientation="landscape" r:id="rId1"/>
  <headerFooter alignWithMargins="0">
    <oddHeader/>
    <oddFooter/>
  </headerFooter>
  <rowBreaks count="1" manualBreakCount="1">
    <brk id="57" max="16383" man="1"/>
  </rowBreaks>
  <colBreaks count="1" manualBreakCount="1">
    <brk id="34" max="1048575" man="1"/>
  </colBreaks>
  <drawing r:id="rId40"/>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5">
    <pageSetUpPr fitToPage="1"/>
  </sheetPr>
  <dimension ref="A1:BW153"/>
  <sheetViews>
    <sheetView showGridLines="0" zoomScale="85" workbookViewId="0"/>
  </sheetViews>
  <sheetFormatPr defaultRowHeight="12.75"/>
  <cols>
    <col min="1" max="1" width="1" customWidth="1"/>
    <col min="2" max="2" width="1.28515625" style="33" customWidth="1"/>
    <col min="3" max="3" width="9" customWidth="1"/>
    <col min="4" max="4" width="40.7109375" customWidth="1"/>
    <col min="5" max="5" width="28.7109375" customWidth="1"/>
    <col min="6" max="6" width="11.7109375" customWidth="1"/>
    <col min="7" max="7" width="14.7109375" customWidth="1"/>
    <col min="8" max="44" width="2.7109375" customWidth="1"/>
    <col min="45" max="69" width="2.42578125" style="236" customWidth="1"/>
    <col min="70" max="75" width="9.140625" style="236" customWidth="1"/>
  </cols>
  <sheetData>
    <row r="1" ht="23.25" customHeight="1">
      <c r="B1" s="6" t="s">
        <v>133</v>
      </c>
      <c r="D1" s="65"/>
      <c r="E1" s="65"/>
      <c r="AS1" s="236"/>
    </row>
    <row r="2" ht="15" customHeight="1">
      <c r="B2" s="199"/>
      <c r="C2" s="4" t="s">
        <v>144</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199"/>
    </row>
    <row r="3" ht="15" customHeight="1">
      <c r="B3" s="199"/>
      <c r="C3" s="4" t="s">
        <v>145</v>
      </c>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199"/>
    </row>
    <row r="4" ht="15" customHeight="1">
      <c r="B4" s="199"/>
      <c r="C4" s="4" t="s">
        <v>177</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199"/>
    </row>
    <row r="5" ht="12.75" customHeight="1">
      <c r="C5" s="67"/>
      <c r="D5" s="67"/>
      <c r="E5" s="67"/>
    </row>
    <row r="6" ht="18" customHeight="1">
      <c r="B6" s="68"/>
      <c r="C6" s="68" t="s">
        <v>7</v>
      </c>
      <c r="D6" s="69"/>
      <c r="E6" s="69"/>
      <c r="F6" s="69"/>
      <c r="H6" s="987" t="s">
        <v>179</v>
      </c>
      <c r="I6" s="987"/>
      <c r="J6" s="987"/>
      <c r="K6" s="987"/>
      <c r="L6" s="987"/>
      <c r="M6" s="987"/>
      <c r="N6" s="987"/>
      <c r="O6" s="987"/>
      <c r="P6" s="987"/>
      <c r="Q6" s="987"/>
      <c r="R6" s="987"/>
      <c r="S6" s="987"/>
      <c r="T6" s="987"/>
      <c r="U6" s="987"/>
      <c r="Z6" s="987" t="s">
        <v>180</v>
      </c>
      <c r="AA6" s="987"/>
      <c r="AB6" s="987"/>
      <c r="AC6" s="987"/>
      <c r="AD6" s="987"/>
      <c r="AE6" s="987"/>
      <c r="AF6" s="987"/>
      <c r="AG6" s="987"/>
      <c r="AH6" s="987"/>
      <c r="AI6" s="987"/>
      <c r="AJ6" s="987"/>
      <c r="AK6" s="987"/>
      <c r="AL6" s="987"/>
      <c r="AM6" s="987"/>
    </row>
    <row r="7" ht="15" customHeight="1">
      <c r="D7" s="174" t="s">
        <v>182</v>
      </c>
      <c r="E7" s="71"/>
      <c r="F7" s="71"/>
      <c r="H7" s="909" t="s">
        <v>0</v>
      </c>
      <c r="I7" s="909"/>
      <c r="J7" s="909" t="s">
        <v>1</v>
      </c>
      <c r="K7" s="909"/>
      <c r="L7" s="909" t="s">
        <v>2</v>
      </c>
      <c r="M7" s="909"/>
      <c r="N7" s="909" t="s">
        <v>3</v>
      </c>
      <c r="O7" s="909"/>
      <c r="P7" s="909" t="s">
        <v>4</v>
      </c>
      <c r="Q7" s="909"/>
      <c r="R7" s="909" t="s">
        <v>5</v>
      </c>
      <c r="S7" s="909"/>
      <c r="T7" s="909" t="s">
        <v>6</v>
      </c>
      <c r="U7" s="909"/>
      <c r="Z7" s="909" t="s">
        <v>0</v>
      </c>
      <c r="AA7" s="909"/>
      <c r="AB7" s="909" t="s">
        <v>1</v>
      </c>
      <c r="AC7" s="909"/>
      <c r="AD7" s="909" t="s">
        <v>2</v>
      </c>
      <c r="AE7" s="909"/>
      <c r="AF7" s="909" t="s">
        <v>3</v>
      </c>
      <c r="AG7" s="909"/>
      <c r="AH7" s="909" t="s">
        <v>4</v>
      </c>
      <c r="AI7" s="909"/>
      <c r="AJ7" s="909" t="s">
        <v>5</v>
      </c>
      <c r="AK7" s="909"/>
      <c r="AL7" s="909" t="s">
        <v>6</v>
      </c>
      <c r="AM7" s="909"/>
    </row>
    <row r="8" ht="15" customHeight="1">
      <c r="D8" s="175" t="s">
        <v>184</v>
      </c>
      <c r="E8" s="71"/>
      <c r="F8" s="71"/>
      <c r="G8" s="71"/>
      <c r="H8" s="910"/>
      <c r="I8" s="910"/>
      <c r="J8" s="906"/>
      <c r="K8" s="906"/>
      <c r="L8" s="906"/>
      <c r="M8" s="906"/>
      <c r="N8" s="906"/>
      <c r="O8" s="906"/>
      <c r="P8" s="906">
        <v>1</v>
      </c>
      <c r="Q8" s="906"/>
      <c r="R8" s="906">
        <v>2</v>
      </c>
      <c r="S8" s="906"/>
      <c r="T8" s="906">
        <v>3</v>
      </c>
      <c r="U8" s="907"/>
      <c r="Z8" s="910"/>
      <c r="AA8" s="910"/>
      <c r="AB8" s="906"/>
      <c r="AC8" s="906"/>
      <c r="AD8" s="906"/>
      <c r="AE8" s="906"/>
      <c r="AF8" s="906">
        <v>1</v>
      </c>
      <c r="AG8" s="906"/>
      <c r="AH8" s="906">
        <v>2</v>
      </c>
      <c r="AI8" s="906"/>
      <c r="AJ8" s="906">
        <v>3</v>
      </c>
      <c r="AK8" s="906"/>
      <c r="AL8" s="906">
        <v>4</v>
      </c>
      <c r="AM8" s="907"/>
    </row>
    <row r="9" ht="15" customHeight="1">
      <c r="D9" s="175"/>
      <c r="H9" s="905">
        <v>4</v>
      </c>
      <c r="I9" s="905"/>
      <c r="J9" s="898">
        <v>5</v>
      </c>
      <c r="K9" s="898"/>
      <c r="L9" s="898">
        <v>6</v>
      </c>
      <c r="M9" s="898"/>
      <c r="N9" s="898">
        <v>7</v>
      </c>
      <c r="O9" s="898"/>
      <c r="P9" s="898">
        <v>8</v>
      </c>
      <c r="Q9" s="898"/>
      <c r="R9" s="898">
        <v>9</v>
      </c>
      <c r="S9" s="898"/>
      <c r="T9" s="898">
        <v>10</v>
      </c>
      <c r="U9" s="902"/>
      <c r="Z9" s="905">
        <v>5</v>
      </c>
      <c r="AA9" s="905"/>
      <c r="AB9" s="898">
        <v>6</v>
      </c>
      <c r="AC9" s="898"/>
      <c r="AD9" s="898">
        <v>7</v>
      </c>
      <c r="AE9" s="898"/>
      <c r="AF9" s="898">
        <v>8</v>
      </c>
      <c r="AG9" s="898"/>
      <c r="AH9" s="898">
        <v>9</v>
      </c>
      <c r="AI9" s="898"/>
      <c r="AJ9" s="898">
        <v>10</v>
      </c>
      <c r="AK9" s="898"/>
      <c r="AL9" s="898">
        <v>11</v>
      </c>
      <c r="AM9" s="902"/>
    </row>
    <row r="10" ht="15" customHeight="1">
      <c r="H10" s="899">
        <v>11</v>
      </c>
      <c r="I10" s="899"/>
      <c r="J10" s="900">
        <v>12</v>
      </c>
      <c r="K10" s="900"/>
      <c r="L10" s="900">
        <v>13</v>
      </c>
      <c r="M10" s="900"/>
      <c r="N10" s="900">
        <v>14</v>
      </c>
      <c r="O10" s="900"/>
      <c r="P10" s="900">
        <v>15</v>
      </c>
      <c r="Q10" s="900"/>
      <c r="R10" s="900">
        <v>16</v>
      </c>
      <c r="S10" s="900"/>
      <c r="T10" s="900">
        <v>17</v>
      </c>
      <c r="U10" s="903"/>
      <c r="Z10" s="899">
        <v>12</v>
      </c>
      <c r="AA10" s="899"/>
      <c r="AB10" s="900">
        <v>13</v>
      </c>
      <c r="AC10" s="900"/>
      <c r="AD10" s="900">
        <v>14</v>
      </c>
      <c r="AE10" s="900"/>
      <c r="AF10" s="900">
        <v>15</v>
      </c>
      <c r="AG10" s="900"/>
      <c r="AH10" s="900">
        <v>16</v>
      </c>
      <c r="AI10" s="900"/>
      <c r="AJ10" s="900">
        <v>17</v>
      </c>
      <c r="AK10" s="900"/>
      <c r="AL10" s="900">
        <v>18</v>
      </c>
      <c r="AM10" s="903"/>
    </row>
    <row r="11" ht="15" customHeight="1">
      <c r="H11" s="905">
        <v>18</v>
      </c>
      <c r="I11" s="905"/>
      <c r="J11" s="898">
        <v>19</v>
      </c>
      <c r="K11" s="898"/>
      <c r="L11" s="898">
        <v>20</v>
      </c>
      <c r="M11" s="898"/>
      <c r="N11" s="898">
        <v>21</v>
      </c>
      <c r="O11" s="898"/>
      <c r="P11" s="898">
        <v>22</v>
      </c>
      <c r="Q11" s="898"/>
      <c r="R11" s="898">
        <v>23</v>
      </c>
      <c r="S11" s="898"/>
      <c r="T11" s="898">
        <v>24</v>
      </c>
      <c r="U11" s="902"/>
      <c r="Z11" s="905">
        <v>19</v>
      </c>
      <c r="AA11" s="905"/>
      <c r="AB11" s="898">
        <v>20</v>
      </c>
      <c r="AC11" s="898"/>
      <c r="AD11" s="898">
        <v>21</v>
      </c>
      <c r="AE11" s="898"/>
      <c r="AF11" s="898">
        <v>22</v>
      </c>
      <c r="AG11" s="898"/>
      <c r="AH11" s="898">
        <v>23</v>
      </c>
      <c r="AI11" s="898"/>
      <c r="AJ11" s="898">
        <v>24</v>
      </c>
      <c r="AK11" s="898"/>
      <c r="AL11" s="898">
        <v>25</v>
      </c>
      <c r="AM11" s="902"/>
      <c r="AN11" t="s">
        <v>27</v>
      </c>
    </row>
    <row r="12" ht="15" customHeight="1">
      <c r="A12" s="68"/>
      <c r="H12" s="899">
        <v>25</v>
      </c>
      <c r="I12" s="899"/>
      <c r="J12" s="900">
        <v>26</v>
      </c>
      <c r="K12" s="900"/>
      <c r="L12" s="900">
        <v>27</v>
      </c>
      <c r="M12" s="900"/>
      <c r="N12" s="900">
        <v>28</v>
      </c>
      <c r="O12" s="900"/>
      <c r="P12" s="900">
        <v>29</v>
      </c>
      <c r="Q12" s="900"/>
      <c r="R12" s="900">
        <v>30</v>
      </c>
      <c r="S12" s="900"/>
      <c r="T12" s="900">
        <v>31</v>
      </c>
      <c r="U12" s="903"/>
      <c r="Z12" s="899">
        <v>26</v>
      </c>
      <c r="AA12" s="899"/>
      <c r="AB12" s="900">
        <v>27</v>
      </c>
      <c r="AC12" s="900"/>
      <c r="AD12" s="900">
        <v>28</v>
      </c>
      <c r="AE12" s="900"/>
      <c r="AF12" s="900">
        <v>29</v>
      </c>
      <c r="AG12" s="900"/>
      <c r="AH12" s="900">
        <v>30</v>
      </c>
      <c r="AI12" s="900"/>
      <c r="AJ12" s="900">
        <v>31</v>
      </c>
      <c r="AK12" s="900"/>
      <c r="AL12" s="900"/>
      <c r="AM12" s="903"/>
    </row>
    <row r="13" ht="15" customHeight="1">
      <c r="C13" s="72"/>
      <c r="D13" s="73"/>
      <c r="E13" s="73"/>
      <c r="F13" s="73"/>
      <c r="G13" s="73"/>
      <c r="H13" s="904" t="s">
        <v>27</v>
      </c>
      <c r="I13" s="904"/>
      <c r="J13" s="901" t="s">
        <v>27</v>
      </c>
      <c r="K13" s="901"/>
      <c r="L13" s="901" t="s">
        <v>27</v>
      </c>
      <c r="M13" s="901"/>
      <c r="N13" s="901" t="s">
        <v>27</v>
      </c>
      <c r="O13" s="901"/>
      <c r="P13" s="901" t="s">
        <v>27</v>
      </c>
      <c r="Q13" s="901"/>
      <c r="R13" s="901" t="s">
        <v>27</v>
      </c>
      <c r="S13" s="901"/>
      <c r="T13" s="901" t="s">
        <v>27</v>
      </c>
      <c r="U13" s="911"/>
      <c r="Z13" s="904" t="s">
        <v>27</v>
      </c>
      <c r="AA13" s="904"/>
      <c r="AB13" s="901" t="s">
        <v>27</v>
      </c>
      <c r="AC13" s="901"/>
      <c r="AD13" s="901" t="s">
        <v>27</v>
      </c>
      <c r="AE13" s="901"/>
      <c r="AF13" s="901" t="s">
        <v>27</v>
      </c>
      <c r="AG13" s="901"/>
      <c r="AH13" s="901" t="s">
        <v>27</v>
      </c>
      <c r="AI13" s="901"/>
      <c r="AJ13" s="901" t="s">
        <v>27</v>
      </c>
      <c r="AK13" s="901"/>
      <c r="AL13" s="901" t="s">
        <v>27</v>
      </c>
      <c r="AM13" s="911"/>
    </row>
    <row r="14" ht="15" customHeight="1">
      <c r="A14" s="68"/>
      <c r="C14" s="68" t="s">
        <v>8</v>
      </c>
      <c r="F14" s="64"/>
    </row>
    <row r="15" ht="15" customHeight="1">
      <c r="D15" s="70" t="s">
        <v>186</v>
      </c>
      <c r="F15" s="64"/>
      <c r="P15" s="234"/>
      <c r="Q15" s="234"/>
      <c r="R15" s="234"/>
      <c r="S15" s="234"/>
      <c r="T15" s="234"/>
      <c r="U15" s="234"/>
      <c r="V15" s="234"/>
      <c r="W15" s="47"/>
      <c r="X15" s="234"/>
      <c r="Y15" s="234"/>
      <c r="Z15" s="234"/>
      <c r="AA15" s="234"/>
      <c r="AB15" s="234"/>
      <c r="AC15" s="234"/>
      <c r="AD15" s="234"/>
      <c r="AE15" s="47"/>
      <c r="AF15" s="234"/>
      <c r="AG15" s="234"/>
      <c r="AH15" s="234"/>
      <c r="AI15" s="234"/>
      <c r="AJ15" s="234"/>
      <c r="AK15" s="234"/>
      <c r="AL15" s="234"/>
      <c r="AM15" s="47"/>
      <c r="AN15" s="47"/>
    </row>
    <row r="16" ht="15" customHeight="1">
      <c r="C16" s="70"/>
      <c r="D16" s="73" t="s">
        <v>188</v>
      </c>
      <c r="F16" s="64"/>
      <c r="P16" s="21"/>
      <c r="Q16" s="21"/>
      <c r="R16" s="21"/>
      <c r="S16" s="21"/>
      <c r="T16" s="21"/>
      <c r="U16" s="21"/>
      <c r="V16" s="21"/>
      <c r="W16" s="47"/>
      <c r="X16" s="21"/>
      <c r="Y16" s="21"/>
      <c r="Z16" s="21"/>
      <c r="AA16" s="21"/>
      <c r="AB16" s="21"/>
      <c r="AC16" s="21"/>
      <c r="AD16" s="21"/>
      <c r="AE16" s="47"/>
      <c r="AF16" s="21"/>
      <c r="AG16" s="21"/>
      <c r="AH16" s="21"/>
      <c r="AI16" s="21"/>
      <c r="AJ16" s="21"/>
      <c r="AK16" s="21"/>
      <c r="AL16" s="21"/>
      <c r="AM16" s="47"/>
      <c r="AN16" s="47"/>
    </row>
    <row r="17" ht="15" customHeight="1">
      <c r="C17" s="70"/>
      <c r="D17" s="73"/>
      <c r="F17" s="64"/>
      <c r="P17" s="21"/>
      <c r="Q17" s="21"/>
      <c r="R17" s="21"/>
      <c r="S17" s="21"/>
      <c r="T17" s="21"/>
      <c r="U17" s="21"/>
      <c r="V17" s="21"/>
      <c r="W17" s="47"/>
      <c r="X17" s="21"/>
      <c r="Y17" s="21"/>
      <c r="Z17" s="21"/>
      <c r="AA17" s="21"/>
      <c r="AB17" s="21"/>
      <c r="AC17" s="21"/>
      <c r="AD17" s="21"/>
      <c r="AE17" s="47"/>
      <c r="AF17" s="21"/>
      <c r="AG17" s="21"/>
      <c r="AH17" s="21"/>
      <c r="AI17" s="21"/>
      <c r="AJ17" s="21"/>
      <c r="AK17" s="21"/>
      <c r="AL17" s="21"/>
      <c r="AM17" s="47"/>
      <c r="AN17" s="47"/>
    </row>
    <row r="18" ht="15" customHeight="1">
      <c r="C18" s="70"/>
      <c r="D18" s="71"/>
      <c r="F18" s="64"/>
      <c r="P18" s="21"/>
      <c r="Q18" s="21"/>
      <c r="R18" s="21"/>
      <c r="S18" s="21"/>
      <c r="T18" s="21"/>
      <c r="U18" s="21"/>
      <c r="V18" s="21"/>
      <c r="W18" s="47"/>
      <c r="X18" s="21"/>
      <c r="Y18" s="21"/>
      <c r="Z18" s="21"/>
      <c r="AA18" s="21"/>
      <c r="AB18" s="21"/>
      <c r="AC18" s="21"/>
      <c r="AD18" s="21"/>
      <c r="AE18" s="47"/>
      <c r="AF18" s="21"/>
      <c r="AG18" s="21"/>
      <c r="AH18" s="21"/>
      <c r="AI18" s="21"/>
      <c r="AJ18" s="21"/>
      <c r="AK18" s="21"/>
      <c r="AL18" s="21"/>
      <c r="AM18" s="47"/>
      <c r="AN18" s="47"/>
    </row>
    <row r="19" ht="15" customHeight="1">
      <c r="C19" s="74"/>
      <c r="D19" s="71"/>
      <c r="F19" s="64"/>
      <c r="P19" s="21"/>
      <c r="Q19" s="21"/>
      <c r="R19" s="21"/>
      <c r="S19" s="21"/>
      <c r="T19" s="21"/>
      <c r="U19" s="21"/>
      <c r="V19" s="21"/>
      <c r="W19" s="47"/>
      <c r="X19" s="21"/>
      <c r="Y19" s="21"/>
      <c r="Z19" s="21"/>
      <c r="AA19" s="21"/>
      <c r="AB19" s="21"/>
      <c r="AC19" s="21"/>
      <c r="AD19" s="21"/>
      <c r="AE19" s="47"/>
      <c r="AF19" s="21"/>
      <c r="AG19" s="21"/>
      <c r="AH19" s="21"/>
      <c r="AI19" s="21"/>
      <c r="AJ19" s="21"/>
      <c r="AK19" s="21"/>
      <c r="AL19" s="21"/>
      <c r="AM19" s="47"/>
      <c r="AN19" s="47"/>
    </row>
    <row r="20" ht="15" customHeight="1">
      <c r="C20" s="74"/>
      <c r="D20" s="71"/>
      <c r="F20" s="64"/>
      <c r="P20" s="21"/>
      <c r="Q20" s="21"/>
      <c r="R20" s="21"/>
      <c r="S20" s="21"/>
      <c r="T20" s="21"/>
      <c r="U20" s="21"/>
      <c r="V20" s="21"/>
      <c r="W20" s="47"/>
      <c r="X20" s="21"/>
      <c r="Y20" s="21"/>
      <c r="Z20" s="21"/>
      <c r="AA20" s="21"/>
      <c r="AB20" s="21"/>
      <c r="AC20" s="21"/>
      <c r="AD20" s="21"/>
      <c r="AE20" s="47"/>
      <c r="AF20" s="21"/>
      <c r="AG20" s="21"/>
      <c r="AH20" s="21"/>
      <c r="AI20" s="21"/>
      <c r="AJ20" s="21"/>
      <c r="AK20" s="21"/>
      <c r="AL20" s="21"/>
      <c r="AM20" s="47"/>
      <c r="AN20" s="47"/>
    </row>
    <row r="21" ht="30" customHeight="1">
      <c r="R21" s="993">
        <v>2023</v>
      </c>
      <c r="S21" s="993"/>
      <c r="T21" s="993"/>
      <c r="U21" s="993"/>
      <c r="V21" s="993"/>
      <c r="W21" s="993"/>
      <c r="X21" s="993"/>
      <c r="Y21" s="995">
        <v>2024</v>
      </c>
      <c r="Z21" s="995"/>
      <c r="AA21" s="995"/>
      <c r="AB21" s="995"/>
      <c r="AC21" s="995"/>
      <c r="AD21" s="995"/>
      <c r="AE21" s="995"/>
      <c r="AF21" s="995"/>
      <c r="AG21" s="995"/>
      <c r="AH21" s="995"/>
      <c r="AI21" s="995"/>
      <c r="AJ21" s="995"/>
      <c r="AK21" s="995">
        <v>2025</v>
      </c>
      <c r="AL21" s="995"/>
      <c r="AM21" s="995"/>
      <c r="AN21" s="995"/>
      <c r="AO21" s="995"/>
    </row>
    <row r="22" s="5" customFormat="1" ht="30" customHeight="1">
      <c r="B22" s="76"/>
      <c r="C22" s="77" t="s">
        <v>71</v>
      </c>
      <c r="D22" s="77" t="s">
        <v>21</v>
      </c>
      <c r="E22" s="177" t="s">
        <v>178</v>
      </c>
      <c r="F22" s="158" t="s">
        <v>60</v>
      </c>
      <c r="G22" s="158" t="s">
        <v>61</v>
      </c>
      <c r="H22" s="914" t="s">
        <v>34</v>
      </c>
      <c r="I22" s="914"/>
      <c r="J22" s="914"/>
      <c r="K22" s="914"/>
      <c r="L22" s="914" t="s">
        <v>62</v>
      </c>
      <c r="M22" s="914"/>
      <c r="N22" s="914"/>
      <c r="O22" s="914"/>
      <c r="R22" s="617" t="s">
        <v>163</v>
      </c>
      <c r="S22" s="618" t="s">
        <v>164</v>
      </c>
      <c r="T22" s="618" t="s">
        <v>165</v>
      </c>
      <c r="U22" s="618" t="s">
        <v>166</v>
      </c>
      <c r="V22" s="618" t="s">
        <v>167</v>
      </c>
      <c r="W22" s="618" t="s">
        <v>171</v>
      </c>
      <c r="X22" s="1020" t="s">
        <v>154</v>
      </c>
      <c r="Y22" s="618" t="s">
        <v>157</v>
      </c>
      <c r="Z22" s="618" t="s">
        <v>159</v>
      </c>
      <c r="AA22" s="618" t="s">
        <v>160</v>
      </c>
      <c r="AB22" s="618" t="s">
        <v>161</v>
      </c>
      <c r="AC22" s="618" t="s">
        <v>162</v>
      </c>
      <c r="AD22" s="618" t="s">
        <v>163</v>
      </c>
      <c r="AE22" s="618" t="s">
        <v>164</v>
      </c>
      <c r="AF22" s="618" t="s">
        <v>165</v>
      </c>
      <c r="AG22" s="618" t="s">
        <v>166</v>
      </c>
      <c r="AH22" s="618" t="s">
        <v>167</v>
      </c>
      <c r="AI22" s="618" t="s">
        <v>171</v>
      </c>
      <c r="AJ22" s="1020" t="s">
        <v>154</v>
      </c>
      <c r="AK22" s="618" t="s">
        <v>157</v>
      </c>
      <c r="AL22" s="618" t="s">
        <v>159</v>
      </c>
      <c r="AM22" s="618" t="s">
        <v>160</v>
      </c>
      <c r="AN22" s="618" t="s">
        <v>161</v>
      </c>
      <c r="AO22" s="1020" t="s">
        <v>162</v>
      </c>
      <c r="AP22" s="78"/>
      <c r="AQ22" s="78"/>
      <c r="AR22" s="78"/>
      <c r="AS22" s="236"/>
      <c r="AT22" s="236"/>
      <c r="AU22" s="236"/>
      <c r="AV22" s="236"/>
      <c r="AW22" s="236"/>
      <c r="AX22" s="236"/>
      <c r="AY22" s="236"/>
      <c r="AZ22" s="236"/>
      <c r="BA22" s="236"/>
      <c r="BB22" s="236"/>
      <c r="BC22" s="236"/>
      <c r="BD22" s="236"/>
      <c r="BE22" s="236"/>
      <c r="BF22" s="236"/>
      <c r="BG22" s="236"/>
      <c r="BH22" s="236"/>
      <c r="BI22" s="236"/>
      <c r="BJ22" s="236"/>
      <c r="BK22" s="236"/>
      <c r="BL22" s="236"/>
      <c r="BM22" s="236"/>
      <c r="BN22" s="236"/>
      <c r="BO22" s="236"/>
      <c r="BP22" s="236"/>
      <c r="BQ22" s="236"/>
      <c r="BR22" s="236"/>
      <c r="BS22" s="236"/>
      <c r="BT22" s="236"/>
      <c r="BU22" s="236"/>
      <c r="BV22" s="236"/>
      <c r="BW22" s="236"/>
    </row>
    <row r="23" s="0" customFormat="1" ht="18" customHeight="1">
      <c r="B23" s="33"/>
      <c r="C23" s="1021">
        <v>62536</v>
      </c>
      <c r="D23" s="1021" t="s">
        <v>149</v>
      </c>
      <c r="E23" s="1021" t="s">
        <v>189</v>
      </c>
      <c r="F23" s="1022" t="s">
        <v>190</v>
      </c>
      <c r="G23" s="1021" t="s">
        <v>191</v>
      </c>
      <c r="H23" s="1023" t="s">
        <v>192</v>
      </c>
      <c r="I23" s="1023"/>
      <c r="J23" s="1023"/>
      <c r="K23" s="1023"/>
      <c r="L23" s="1023" t="s">
        <v>193</v>
      </c>
      <c r="M23" s="1023"/>
      <c r="N23" s="1023"/>
      <c r="O23" s="1023"/>
      <c r="P23" s="80"/>
      <c r="Q23" s="90"/>
      <c r="R23" s="1024" t="s">
        <v>194</v>
      </c>
      <c r="S23" s="1025" t="s">
        <v>194</v>
      </c>
      <c r="T23" s="1025" t="s">
        <v>194</v>
      </c>
      <c r="U23" s="1025" t="s">
        <v>194</v>
      </c>
      <c r="V23" s="1025" t="s">
        <v>194</v>
      </c>
      <c r="W23" s="1025" t="s">
        <v>194</v>
      </c>
      <c r="X23" s="1025" t="s">
        <v>194</v>
      </c>
      <c r="Y23" s="1025" t="s">
        <v>194</v>
      </c>
      <c r="Z23" s="1025" t="s">
        <v>194</v>
      </c>
      <c r="AA23" s="1025" t="s">
        <v>194</v>
      </c>
      <c r="AB23" s="1025" t="s">
        <v>194</v>
      </c>
      <c r="AC23" s="1025" t="s">
        <v>194</v>
      </c>
      <c r="AD23" s="1025" t="s">
        <v>194</v>
      </c>
      <c r="AE23" s="1025" t="s">
        <v>194</v>
      </c>
      <c r="AF23" s="1025" t="s">
        <v>194</v>
      </c>
      <c r="AG23" s="1025" t="s">
        <v>194</v>
      </c>
      <c r="AH23" s="1025" t="s">
        <v>194</v>
      </c>
      <c r="AI23" s="1025" t="s">
        <v>194</v>
      </c>
      <c r="AJ23" s="1025" t="s">
        <v>194</v>
      </c>
      <c r="AK23" s="1025" t="s">
        <v>194</v>
      </c>
      <c r="AL23" s="1025" t="s">
        <v>194</v>
      </c>
      <c r="AM23" s="1025" t="s">
        <v>194</v>
      </c>
      <c r="AN23" s="1025" t="s">
        <v>194</v>
      </c>
      <c r="AO23" s="1026" t="s">
        <v>194</v>
      </c>
      <c r="AP23" s="79"/>
      <c r="AQ23" s="79"/>
      <c r="AR23" s="79"/>
      <c r="AS23" s="236"/>
      <c r="AT23" s="236"/>
      <c r="AU23" s="236"/>
      <c r="AV23" s="236"/>
      <c r="AW23" s="236"/>
      <c r="AX23" s="236"/>
      <c r="AY23" s="236"/>
      <c r="AZ23" s="236"/>
      <c r="BA23" s="236"/>
      <c r="BB23" s="236"/>
      <c r="BC23" s="236"/>
      <c r="BD23" s="236"/>
      <c r="BE23" s="236"/>
      <c r="BF23" s="236"/>
      <c r="BG23" s="236"/>
      <c r="BH23" s="236"/>
      <c r="BI23" s="236"/>
      <c r="BJ23" s="236"/>
      <c r="BK23" s="236"/>
      <c r="BL23" s="236"/>
      <c r="BM23" s="236"/>
      <c r="BN23" s="236"/>
      <c r="BO23" s="236"/>
      <c r="BP23" s="236"/>
      <c r="BQ23" s="236"/>
      <c r="BR23" s="236"/>
      <c r="BS23" s="236"/>
      <c r="BT23" s="236"/>
      <c r="BU23" s="236"/>
      <c r="BV23" s="236"/>
      <c r="BW23" s="236"/>
    </row>
    <row r="24" s="0" customFormat="1" ht="18" customHeight="1">
      <c r="B24" s="33"/>
      <c r="C24" s="1027">
        <v>1717</v>
      </c>
      <c r="D24" s="1027" t="s">
        <v>195</v>
      </c>
      <c r="E24" s="1027" t="s">
        <v>189</v>
      </c>
      <c r="F24" s="1027" t="s">
        <v>196</v>
      </c>
      <c r="G24" s="1027" t="s">
        <v>197</v>
      </c>
      <c r="H24" s="1028" t="s">
        <v>198</v>
      </c>
      <c r="I24" s="1028"/>
      <c r="J24" s="1028"/>
      <c r="K24" s="1028"/>
      <c r="L24" s="1028" t="s">
        <v>199</v>
      </c>
      <c r="M24" s="1028"/>
      <c r="N24" s="1028"/>
      <c r="O24" s="1028"/>
      <c r="P24" s="80"/>
      <c r="Q24" s="90"/>
      <c r="R24" s="1029" t="s">
        <v>194</v>
      </c>
      <c r="S24" s="1030" t="s">
        <v>194</v>
      </c>
      <c r="T24" s="1030" t="s">
        <v>194</v>
      </c>
      <c r="U24" s="1030" t="s">
        <v>194</v>
      </c>
      <c r="V24" s="1030" t="s">
        <v>194</v>
      </c>
      <c r="W24" s="1030" t="s">
        <v>194</v>
      </c>
      <c r="X24" s="1030" t="s">
        <v>194</v>
      </c>
      <c r="Y24" s="1030" t="s">
        <v>194</v>
      </c>
      <c r="Z24" s="1030" t="s">
        <v>194</v>
      </c>
      <c r="AA24" s="1030" t="s">
        <v>194</v>
      </c>
      <c r="AB24" s="1030" t="s">
        <v>194</v>
      </c>
      <c r="AC24" s="1030" t="s">
        <v>194</v>
      </c>
      <c r="AD24" s="1030" t="s">
        <v>194</v>
      </c>
      <c r="AE24" s="1030" t="s">
        <v>194</v>
      </c>
      <c r="AF24" s="1030" t="s">
        <v>194</v>
      </c>
      <c r="AG24" s="1030" t="s">
        <v>194</v>
      </c>
      <c r="AH24" s="1030" t="s">
        <v>194</v>
      </c>
      <c r="AI24" s="1030" t="s">
        <v>194</v>
      </c>
      <c r="AJ24" s="1030" t="s">
        <v>194</v>
      </c>
      <c r="AK24" s="1030" t="s">
        <v>194</v>
      </c>
      <c r="AL24" s="1030" t="s">
        <v>194</v>
      </c>
      <c r="AM24" s="1030" t="s">
        <v>194</v>
      </c>
      <c r="AN24" s="1030" t="s">
        <v>194</v>
      </c>
      <c r="AO24" s="1031" t="s">
        <v>194</v>
      </c>
      <c r="AP24" s="79"/>
      <c r="AQ24" s="79"/>
      <c r="AR24" s="79"/>
      <c r="AS24" s="236"/>
      <c r="AT24" s="236"/>
      <c r="AU24" s="236"/>
      <c r="AV24" s="236"/>
      <c r="AW24" s="236"/>
      <c r="AX24" s="236"/>
      <c r="AY24" s="236"/>
      <c r="AZ24" s="236"/>
      <c r="BA24" s="236"/>
      <c r="BB24" s="236"/>
      <c r="BC24" s="236"/>
      <c r="BD24" s="236"/>
      <c r="BE24" s="236"/>
      <c r="BF24" s="236"/>
      <c r="BG24" s="236"/>
      <c r="BH24" s="236"/>
      <c r="BI24" s="236"/>
      <c r="BJ24" s="236"/>
      <c r="BK24" s="236"/>
      <c r="BL24" s="236"/>
      <c r="BM24" s="236"/>
      <c r="BN24" s="236"/>
      <c r="BO24" s="236"/>
      <c r="BP24" s="236"/>
      <c r="BQ24" s="236"/>
      <c r="BR24" s="236"/>
      <c r="BS24" s="236"/>
      <c r="BT24" s="236"/>
      <c r="BU24" s="236"/>
      <c r="BV24" s="236"/>
      <c r="BW24" s="236"/>
    </row>
    <row r="25" s="0" customFormat="1" ht="18" customHeight="1">
      <c r="B25" s="33"/>
      <c r="C25" s="1021">
        <v>7089</v>
      </c>
      <c r="D25" s="1021" t="s">
        <v>200</v>
      </c>
      <c r="E25" s="1021" t="s">
        <v>189</v>
      </c>
      <c r="F25" s="1022" t="s">
        <v>190</v>
      </c>
      <c r="G25" s="1021" t="s">
        <v>201</v>
      </c>
      <c r="H25" s="1023" t="s">
        <v>202</v>
      </c>
      <c r="I25" s="1023"/>
      <c r="J25" s="1023"/>
      <c r="K25" s="1023"/>
      <c r="L25" s="1023" t="s">
        <v>203</v>
      </c>
      <c r="M25" s="1023"/>
      <c r="N25" s="1023"/>
      <c r="O25" s="1023"/>
      <c r="P25" s="80"/>
      <c r="Q25" s="90"/>
      <c r="R25" s="1024" t="s">
        <v>194</v>
      </c>
      <c r="S25" s="1025" t="s">
        <v>194</v>
      </c>
      <c r="T25" s="1025" t="s">
        <v>194</v>
      </c>
      <c r="U25" s="1025" t="s">
        <v>194</v>
      </c>
      <c r="V25" s="1025" t="s">
        <v>194</v>
      </c>
      <c r="W25" s="1025" t="s">
        <v>194</v>
      </c>
      <c r="X25" s="1025" t="s">
        <v>194</v>
      </c>
      <c r="Y25" s="1025" t="s">
        <v>194</v>
      </c>
      <c r="Z25" s="1025" t="s">
        <v>194</v>
      </c>
      <c r="AA25" s="1025" t="s">
        <v>194</v>
      </c>
      <c r="AB25" s="1025" t="s">
        <v>194</v>
      </c>
      <c r="AC25" s="1025" t="s">
        <v>194</v>
      </c>
      <c r="AD25" s="1025" t="s">
        <v>194</v>
      </c>
      <c r="AE25" s="1025" t="s">
        <v>194</v>
      </c>
      <c r="AF25" s="1025" t="s">
        <v>194</v>
      </c>
      <c r="AG25" s="1025" t="s">
        <v>194</v>
      </c>
      <c r="AH25" s="1025" t="s">
        <v>194</v>
      </c>
      <c r="AI25" s="1025" t="s">
        <v>194</v>
      </c>
      <c r="AJ25" s="1025" t="s">
        <v>194</v>
      </c>
      <c r="AK25" s="1025" t="s">
        <v>194</v>
      </c>
      <c r="AL25" s="1025" t="s">
        <v>194</v>
      </c>
      <c r="AM25" s="1025" t="s">
        <v>194</v>
      </c>
      <c r="AN25" s="1025" t="s">
        <v>194</v>
      </c>
      <c r="AO25" s="1026" t="s">
        <v>194</v>
      </c>
      <c r="AP25" s="79"/>
      <c r="AQ25" s="79"/>
      <c r="AR25" s="79"/>
      <c r="AS25" s="236"/>
      <c r="AT25" s="236"/>
      <c r="AU25" s="236"/>
      <c r="AV25" s="236"/>
      <c r="AW25" s="236"/>
      <c r="AX25" s="236"/>
      <c r="AY25" s="236"/>
      <c r="AZ25" s="236"/>
      <c r="BA25" s="236"/>
      <c r="BB25" s="236"/>
      <c r="BC25" s="236"/>
      <c r="BD25" s="236"/>
      <c r="BE25" s="236"/>
      <c r="BF25" s="236"/>
      <c r="BG25" s="236"/>
      <c r="BH25" s="236"/>
      <c r="BI25" s="236"/>
      <c r="BJ25" s="236"/>
      <c r="BK25" s="236"/>
      <c r="BL25" s="236"/>
      <c r="BM25" s="236"/>
      <c r="BN25" s="236"/>
      <c r="BO25" s="236"/>
      <c r="BP25" s="236"/>
      <c r="BQ25" s="236"/>
      <c r="BR25" s="236"/>
      <c r="BS25" s="236"/>
      <c r="BT25" s="236"/>
      <c r="BU25" s="236"/>
      <c r="BV25" s="236"/>
      <c r="BW25" s="236"/>
    </row>
    <row r="26" s="0" customFormat="1" ht="18" customHeight="1">
      <c r="B26" s="33"/>
      <c r="C26" s="1027">
        <v>46191</v>
      </c>
      <c r="D26" s="1027" t="s">
        <v>204</v>
      </c>
      <c r="E26" s="1027" t="s">
        <v>205</v>
      </c>
      <c r="F26" s="1032" t="s">
        <v>206</v>
      </c>
      <c r="G26" s="1027" t="s">
        <v>207</v>
      </c>
      <c r="H26" s="1028" t="s">
        <v>208</v>
      </c>
      <c r="I26" s="1028"/>
      <c r="J26" s="1028"/>
      <c r="K26" s="1028"/>
      <c r="L26" s="1028" t="s">
        <v>209</v>
      </c>
      <c r="M26" s="1028"/>
      <c r="N26" s="1028"/>
      <c r="O26" s="1028"/>
      <c r="P26" s="80"/>
      <c r="Q26" s="90"/>
      <c r="R26" s="1029" t="s">
        <v>194</v>
      </c>
      <c r="S26" s="1030" t="s">
        <v>194</v>
      </c>
      <c r="T26" s="1030" t="s">
        <v>194</v>
      </c>
      <c r="U26" s="1030" t="s">
        <v>194</v>
      </c>
      <c r="V26" s="1030" t="s">
        <v>194</v>
      </c>
      <c r="W26" s="1030" t="s">
        <v>194</v>
      </c>
      <c r="X26" s="1030" t="s">
        <v>194</v>
      </c>
      <c r="Y26" s="1030" t="s">
        <v>194</v>
      </c>
      <c r="Z26" s="1030" t="s">
        <v>194</v>
      </c>
      <c r="AA26" s="1030" t="s">
        <v>194</v>
      </c>
      <c r="AB26" s="1030" t="s">
        <v>194</v>
      </c>
      <c r="AC26" s="1030" t="s">
        <v>194</v>
      </c>
      <c r="AD26" s="1030" t="s">
        <v>194</v>
      </c>
      <c r="AE26" s="1030" t="s">
        <v>194</v>
      </c>
      <c r="AF26" s="1030" t="s">
        <v>194</v>
      </c>
      <c r="AG26" s="1030" t="s">
        <v>194</v>
      </c>
      <c r="AH26" s="1030" t="s">
        <v>194</v>
      </c>
      <c r="AI26" s="1030" t="s">
        <v>194</v>
      </c>
      <c r="AJ26" s="1030" t="s">
        <v>194</v>
      </c>
      <c r="AK26" s="1030" t="s">
        <v>194</v>
      </c>
      <c r="AL26" s="1030" t="s">
        <v>194</v>
      </c>
      <c r="AM26" s="1030" t="s">
        <v>194</v>
      </c>
      <c r="AN26" s="1030" t="s">
        <v>194</v>
      </c>
      <c r="AO26" s="1031" t="s">
        <v>194</v>
      </c>
      <c r="AP26" s="79"/>
      <c r="AQ26" s="79"/>
      <c r="AR26" s="79"/>
      <c r="AS26" s="236"/>
      <c r="AT26" s="236"/>
      <c r="AU26" s="236"/>
      <c r="AV26" s="236"/>
      <c r="AW26" s="236"/>
      <c r="AX26" s="236"/>
      <c r="AY26" s="236"/>
      <c r="AZ26" s="236"/>
      <c r="BA26" s="236"/>
      <c r="BB26" s="236"/>
      <c r="BC26" s="236"/>
      <c r="BD26" s="236"/>
      <c r="BE26" s="236"/>
      <c r="BF26" s="236"/>
      <c r="BG26" s="236"/>
      <c r="BH26" s="236"/>
      <c r="BI26" s="236"/>
      <c r="BJ26" s="236"/>
      <c r="BK26" s="236"/>
      <c r="BL26" s="236"/>
      <c r="BM26" s="236"/>
      <c r="BN26" s="236"/>
      <c r="BO26" s="236"/>
      <c r="BP26" s="236"/>
      <c r="BQ26" s="236"/>
      <c r="BR26" s="236"/>
      <c r="BS26" s="236"/>
      <c r="BT26" s="236"/>
      <c r="BU26" s="236"/>
      <c r="BV26" s="236"/>
      <c r="BW26" s="236"/>
    </row>
    <row r="27" s="0" customFormat="1" ht="18" customHeight="1">
      <c r="B27" s="33"/>
      <c r="C27" s="1021">
        <v>56862</v>
      </c>
      <c r="D27" s="1021" t="s">
        <v>210</v>
      </c>
      <c r="E27" s="1021" t="s">
        <v>189</v>
      </c>
      <c r="F27" s="1022" t="s">
        <v>190</v>
      </c>
      <c r="G27" s="1021" t="s">
        <v>211</v>
      </c>
      <c r="H27" s="1023" t="s">
        <v>212</v>
      </c>
      <c r="I27" s="1023"/>
      <c r="J27" s="1023"/>
      <c r="K27" s="1023"/>
      <c r="L27" s="1023" t="s">
        <v>213</v>
      </c>
      <c r="M27" s="1023"/>
      <c r="N27" s="1023"/>
      <c r="O27" s="1023"/>
      <c r="P27" s="80"/>
      <c r="Q27" s="90"/>
      <c r="R27" s="1024" t="s">
        <v>194</v>
      </c>
      <c r="S27" s="1025" t="s">
        <v>194</v>
      </c>
      <c r="T27" s="1025" t="s">
        <v>194</v>
      </c>
      <c r="U27" s="1025" t="s">
        <v>194</v>
      </c>
      <c r="V27" s="1025" t="s">
        <v>194</v>
      </c>
      <c r="W27" s="1025" t="s">
        <v>194</v>
      </c>
      <c r="X27" s="1025" t="s">
        <v>194</v>
      </c>
      <c r="Y27" s="1025" t="s">
        <v>194</v>
      </c>
      <c r="Z27" s="1025" t="s">
        <v>194</v>
      </c>
      <c r="AA27" s="1025" t="s">
        <v>194</v>
      </c>
      <c r="AB27" s="1025" t="s">
        <v>194</v>
      </c>
      <c r="AC27" s="1025" t="s">
        <v>194</v>
      </c>
      <c r="AD27" s="1025" t="s">
        <v>194</v>
      </c>
      <c r="AE27" s="1025" t="s">
        <v>194</v>
      </c>
      <c r="AF27" s="1025" t="s">
        <v>194</v>
      </c>
      <c r="AG27" s="1025" t="s">
        <v>194</v>
      </c>
      <c r="AH27" s="1025" t="s">
        <v>194</v>
      </c>
      <c r="AI27" s="1025" t="s">
        <v>194</v>
      </c>
      <c r="AJ27" s="1025" t="s">
        <v>194</v>
      </c>
      <c r="AK27" s="1025" t="s">
        <v>194</v>
      </c>
      <c r="AL27" s="1025" t="s">
        <v>194</v>
      </c>
      <c r="AM27" s="1025" t="s">
        <v>194</v>
      </c>
      <c r="AN27" s="1025" t="s">
        <v>194</v>
      </c>
      <c r="AO27" s="1026" t="s">
        <v>194</v>
      </c>
      <c r="AP27" s="79"/>
      <c r="AQ27" s="79"/>
      <c r="AR27" s="79"/>
      <c r="AS27" s="236"/>
      <c r="AT27" s="236"/>
      <c r="AU27" s="236"/>
      <c r="AV27" s="236"/>
      <c r="AW27" s="236"/>
      <c r="AX27" s="236"/>
      <c r="AY27" s="236"/>
      <c r="AZ27" s="236"/>
      <c r="BA27" s="236"/>
      <c r="BB27" s="236"/>
      <c r="BC27" s="236"/>
      <c r="BD27" s="236"/>
      <c r="BE27" s="236"/>
      <c r="BF27" s="236"/>
      <c r="BG27" s="236"/>
      <c r="BH27" s="236"/>
      <c r="BI27" s="236"/>
      <c r="BJ27" s="236"/>
      <c r="BK27" s="236"/>
      <c r="BL27" s="236"/>
      <c r="BM27" s="236"/>
      <c r="BN27" s="236"/>
      <c r="BO27" s="236"/>
      <c r="BP27" s="236"/>
      <c r="BQ27" s="236"/>
      <c r="BR27" s="236"/>
      <c r="BS27" s="236"/>
      <c r="BT27" s="236"/>
      <c r="BU27" s="236"/>
      <c r="BV27" s="236"/>
      <c r="BW27" s="236"/>
    </row>
    <row r="28" s="0" customFormat="1" ht="18" customHeight="1">
      <c r="B28" s="33"/>
      <c r="C28" s="1027">
        <v>58057</v>
      </c>
      <c r="D28" s="1027" t="s">
        <v>214</v>
      </c>
      <c r="E28" s="1027" t="s">
        <v>189</v>
      </c>
      <c r="F28" s="1032" t="s">
        <v>190</v>
      </c>
      <c r="G28" s="1027" t="s">
        <v>215</v>
      </c>
      <c r="H28" s="1028" t="s">
        <v>216</v>
      </c>
      <c r="I28" s="1028"/>
      <c r="J28" s="1028"/>
      <c r="K28" s="1028"/>
      <c r="L28" s="1028" t="s">
        <v>217</v>
      </c>
      <c r="M28" s="1028"/>
      <c r="N28" s="1028"/>
      <c r="O28" s="1028"/>
      <c r="P28" s="80"/>
      <c r="Q28" s="90"/>
      <c r="R28" s="1029" t="s">
        <v>194</v>
      </c>
      <c r="S28" s="1030" t="s">
        <v>194</v>
      </c>
      <c r="T28" s="1030" t="s">
        <v>194</v>
      </c>
      <c r="U28" s="1030" t="s">
        <v>194</v>
      </c>
      <c r="V28" s="1030" t="s">
        <v>194</v>
      </c>
      <c r="W28" s="1030" t="s">
        <v>194</v>
      </c>
      <c r="X28" s="1030" t="s">
        <v>194</v>
      </c>
      <c r="Y28" s="1030" t="s">
        <v>194</v>
      </c>
      <c r="Z28" s="1030" t="s">
        <v>194</v>
      </c>
      <c r="AA28" s="1030" t="s">
        <v>194</v>
      </c>
      <c r="AB28" s="1030" t="s">
        <v>194</v>
      </c>
      <c r="AC28" s="1030" t="s">
        <v>194</v>
      </c>
      <c r="AD28" s="1030" t="s">
        <v>194</v>
      </c>
      <c r="AE28" s="1030" t="s">
        <v>194</v>
      </c>
      <c r="AF28" s="1030" t="s">
        <v>194</v>
      </c>
      <c r="AG28" s="1030" t="s">
        <v>194</v>
      </c>
      <c r="AH28" s="1030" t="s">
        <v>218</v>
      </c>
      <c r="AI28" s="1030" t="s">
        <v>218</v>
      </c>
      <c r="AJ28" s="1030" t="s">
        <v>218</v>
      </c>
      <c r="AK28" s="1030" t="s">
        <v>218</v>
      </c>
      <c r="AL28" s="1030" t="s">
        <v>218</v>
      </c>
      <c r="AM28" s="1030" t="s">
        <v>218</v>
      </c>
      <c r="AN28" s="1030" t="s">
        <v>218</v>
      </c>
      <c r="AO28" s="1031" t="s">
        <v>218</v>
      </c>
      <c r="AP28" s="79"/>
      <c r="AQ28" s="79"/>
      <c r="AR28" s="79"/>
      <c r="AS28" s="236"/>
      <c r="AT28" s="236"/>
      <c r="AU28" s="236"/>
      <c r="AV28" s="236"/>
      <c r="AW28" s="236"/>
      <c r="AX28" s="236"/>
      <c r="AY28" s="236"/>
      <c r="AZ28" s="236"/>
      <c r="BA28" s="236"/>
      <c r="BB28" s="236"/>
      <c r="BC28" s="236"/>
      <c r="BD28" s="236"/>
      <c r="BE28" s="236"/>
      <c r="BF28" s="236"/>
      <c r="BG28" s="236"/>
      <c r="BH28" s="236"/>
      <c r="BI28" s="236"/>
      <c r="BJ28" s="236"/>
      <c r="BK28" s="236"/>
      <c r="BL28" s="236"/>
      <c r="BM28" s="236"/>
      <c r="BN28" s="236"/>
      <c r="BO28" s="236"/>
      <c r="BP28" s="236"/>
      <c r="BQ28" s="236"/>
      <c r="BR28" s="236"/>
      <c r="BS28" s="236"/>
      <c r="BT28" s="236"/>
      <c r="BU28" s="236"/>
      <c r="BV28" s="236"/>
      <c r="BW28" s="236"/>
    </row>
    <row r="29" s="0" customFormat="1" ht="18" customHeight="1">
      <c r="B29" s="33"/>
      <c r="C29" s="1021">
        <v>67718</v>
      </c>
      <c r="D29" s="1021" t="s">
        <v>219</v>
      </c>
      <c r="E29" s="1021" t="s">
        <v>205</v>
      </c>
      <c r="F29" s="1022" t="s">
        <v>206</v>
      </c>
      <c r="G29" s="1021" t="s">
        <v>220</v>
      </c>
      <c r="H29" s="1023" t="s">
        <v>221</v>
      </c>
      <c r="I29" s="1023"/>
      <c r="J29" s="1023"/>
      <c r="K29" s="1023"/>
      <c r="L29" s="1023" t="s">
        <v>222</v>
      </c>
      <c r="M29" s="1023"/>
      <c r="N29" s="1023"/>
      <c r="O29" s="1023"/>
      <c r="P29" s="80"/>
      <c r="Q29" s="90"/>
      <c r="R29" s="1024" t="s">
        <v>194</v>
      </c>
      <c r="S29" s="1025" t="s">
        <v>194</v>
      </c>
      <c r="T29" s="1025" t="s">
        <v>194</v>
      </c>
      <c r="U29" s="1025" t="s">
        <v>194</v>
      </c>
      <c r="V29" s="1025" t="s">
        <v>194</v>
      </c>
      <c r="W29" s="1025" t="s">
        <v>194</v>
      </c>
      <c r="X29" s="1025" t="s">
        <v>194</v>
      </c>
      <c r="Y29" s="1025" t="s">
        <v>194</v>
      </c>
      <c r="Z29" s="1025" t="s">
        <v>194</v>
      </c>
      <c r="AA29" s="1025" t="s">
        <v>194</v>
      </c>
      <c r="AB29" s="1025" t="s">
        <v>194</v>
      </c>
      <c r="AC29" s="1025" t="s">
        <v>194</v>
      </c>
      <c r="AD29" s="1025" t="s">
        <v>194</v>
      </c>
      <c r="AE29" s="1025" t="s">
        <v>194</v>
      </c>
      <c r="AF29" s="1025" t="s">
        <v>194</v>
      </c>
      <c r="AG29" s="1025" t="s">
        <v>194</v>
      </c>
      <c r="AH29" s="1025" t="s">
        <v>194</v>
      </c>
      <c r="AI29" s="1025" t="s">
        <v>194</v>
      </c>
      <c r="AJ29" s="1025" t="s">
        <v>194</v>
      </c>
      <c r="AK29" s="1025" t="s">
        <v>194</v>
      </c>
      <c r="AL29" s="1025" t="s">
        <v>194</v>
      </c>
      <c r="AM29" s="1025" t="s">
        <v>194</v>
      </c>
      <c r="AN29" s="1025" t="s">
        <v>194</v>
      </c>
      <c r="AO29" s="1026" t="s">
        <v>194</v>
      </c>
      <c r="AP29" s="79"/>
      <c r="AQ29" s="79"/>
      <c r="AR29" s="79"/>
      <c r="AS29" s="236"/>
      <c r="AT29" s="236"/>
      <c r="AU29" s="236"/>
      <c r="AV29" s="236"/>
      <c r="AW29" s="236"/>
      <c r="AX29" s="236"/>
      <c r="AY29" s="236"/>
      <c r="AZ29" s="236"/>
      <c r="BA29" s="236"/>
      <c r="BB29" s="236"/>
      <c r="BC29" s="236"/>
      <c r="BD29" s="236"/>
      <c r="BE29" s="236"/>
      <c r="BF29" s="236"/>
      <c r="BG29" s="236"/>
      <c r="BH29" s="236"/>
      <c r="BI29" s="236"/>
      <c r="BJ29" s="236"/>
      <c r="BK29" s="236"/>
      <c r="BL29" s="236"/>
      <c r="BM29" s="236"/>
      <c r="BN29" s="236"/>
      <c r="BO29" s="236"/>
      <c r="BP29" s="236"/>
      <c r="BQ29" s="236"/>
      <c r="BR29" s="236"/>
      <c r="BS29" s="236"/>
      <c r="BT29" s="236"/>
      <c r="BU29" s="236"/>
      <c r="BV29" s="236"/>
      <c r="BW29" s="236"/>
    </row>
    <row r="30" s="0" customFormat="1" ht="18" customHeight="1">
      <c r="B30" s="33"/>
      <c r="C30" s="181"/>
      <c r="D30" s="183"/>
      <c r="E30" s="183"/>
      <c r="F30" s="201"/>
      <c r="G30" s="181"/>
      <c r="H30" s="1023">
        <v>705</v>
      </c>
      <c r="I30" s="1023"/>
      <c r="J30" s="1023"/>
      <c r="K30" s="1023"/>
      <c r="L30" s="895"/>
      <c r="M30" s="895"/>
      <c r="N30" s="895"/>
      <c r="O30" s="895"/>
      <c r="P30" s="80"/>
      <c r="Q30" s="90"/>
      <c r="R30" s="182"/>
      <c r="S30" s="182"/>
      <c r="T30" s="182"/>
      <c r="U30" s="182"/>
      <c r="V30" s="182"/>
      <c r="W30" s="182"/>
      <c r="X30" s="182"/>
      <c r="Y30" s="182"/>
      <c r="Z30" s="182"/>
      <c r="AA30" s="182"/>
      <c r="AB30" s="182"/>
      <c r="AC30" s="182"/>
      <c r="AD30" s="182"/>
      <c r="AE30" s="182"/>
      <c r="AF30" s="182"/>
      <c r="AG30" s="182"/>
      <c r="AH30" s="182"/>
      <c r="AI30" s="182"/>
      <c r="AJ30" s="182"/>
      <c r="AK30" s="182"/>
      <c r="AL30" s="182"/>
      <c r="AM30" s="182"/>
      <c r="AN30" s="182"/>
      <c r="AO30" s="182"/>
      <c r="AP30" s="79"/>
      <c r="AQ30" s="79"/>
      <c r="AR30" s="79"/>
      <c r="AS30" s="236"/>
      <c r="AT30" s="236"/>
      <c r="AU30" s="236"/>
      <c r="AV30" s="236"/>
      <c r="AW30" s="236"/>
      <c r="AX30" s="236"/>
      <c r="AY30" s="236"/>
      <c r="AZ30" s="236"/>
      <c r="BA30" s="236"/>
      <c r="BB30" s="236"/>
      <c r="BC30" s="236"/>
      <c r="BD30" s="236"/>
      <c r="BE30" s="236"/>
      <c r="BF30" s="236"/>
      <c r="BG30" s="236"/>
      <c r="BH30" s="236"/>
      <c r="BI30" s="236"/>
      <c r="BJ30" s="236"/>
      <c r="BK30" s="236"/>
      <c r="BL30" s="236"/>
      <c r="BM30" s="236"/>
      <c r="BN30" s="236"/>
      <c r="BO30" s="236"/>
      <c r="BP30" s="236"/>
      <c r="BQ30" s="236"/>
      <c r="BR30" s="236"/>
      <c r="BS30" s="236"/>
      <c r="BT30" s="236"/>
      <c r="BU30" s="236"/>
      <c r="BV30" s="236"/>
      <c r="BW30" s="236"/>
    </row>
    <row r="31" s="0" customFormat="1" ht="18" customHeight="1">
      <c r="B31" s="33"/>
      <c r="C31" s="181"/>
      <c r="D31" s="183"/>
      <c r="E31" s="183"/>
      <c r="F31" s="201"/>
      <c r="G31" s="181"/>
      <c r="H31" s="181"/>
      <c r="I31" s="181"/>
      <c r="J31" s="181"/>
      <c r="K31" s="181"/>
      <c r="L31" s="895"/>
      <c r="M31" s="895"/>
      <c r="N31" s="895"/>
      <c r="O31" s="895"/>
      <c r="P31" s="80"/>
      <c r="Q31" s="90"/>
      <c r="R31" s="182"/>
      <c r="S31" s="182"/>
      <c r="T31" s="182"/>
      <c r="U31" s="182"/>
      <c r="V31" s="182"/>
      <c r="W31" s="182"/>
      <c r="X31" s="1033" t="s">
        <v>223</v>
      </c>
      <c r="Y31" s="182"/>
      <c r="Z31" s="182"/>
      <c r="AA31" s="182"/>
      <c r="AB31" s="182"/>
      <c r="AC31" s="182"/>
      <c r="AD31" s="182"/>
      <c r="AE31" s="182"/>
      <c r="AF31" s="182"/>
      <c r="AG31" s="182"/>
      <c r="AH31" s="182"/>
      <c r="AI31" s="182"/>
      <c r="AJ31" s="182"/>
      <c r="AK31" s="182"/>
      <c r="AL31" s="182"/>
      <c r="AM31" s="182"/>
      <c r="AN31" s="182"/>
      <c r="AO31" s="182"/>
      <c r="AP31" s="48"/>
      <c r="AQ31" s="48"/>
      <c r="AR31" s="48"/>
      <c r="AS31" s="236"/>
      <c r="AT31" s="236"/>
      <c r="AU31" s="236"/>
      <c r="AV31" s="236"/>
      <c r="AW31" s="236"/>
      <c r="AX31" s="236"/>
      <c r="AY31" s="236"/>
      <c r="AZ31" s="236"/>
      <c r="BA31" s="236"/>
      <c r="BB31" s="236"/>
      <c r="BC31" s="236"/>
      <c r="BD31" s="236"/>
      <c r="BE31" s="236"/>
      <c r="BF31" s="236"/>
      <c r="BG31" s="236"/>
      <c r="BH31" s="236"/>
      <c r="BI31" s="236"/>
      <c r="BJ31" s="236"/>
      <c r="BK31" s="236"/>
      <c r="BL31" s="236"/>
      <c r="BM31" s="236"/>
      <c r="BN31" s="236"/>
      <c r="BO31" s="236"/>
      <c r="BP31" s="236"/>
      <c r="BQ31" s="236"/>
      <c r="BR31" s="236"/>
      <c r="BS31" s="236"/>
      <c r="BT31" s="236"/>
      <c r="BU31" s="236"/>
      <c r="BV31" s="236"/>
      <c r="BW31" s="236"/>
    </row>
    <row r="32" s="0" customFormat="1" ht="18" customHeight="1">
      <c r="B32" s="33"/>
      <c r="C32" s="181"/>
      <c r="D32" s="183"/>
      <c r="E32" s="183"/>
      <c r="F32" s="201"/>
      <c r="G32" s="181"/>
      <c r="H32" s="181"/>
      <c r="I32" s="181"/>
      <c r="J32" s="181"/>
      <c r="K32" s="181"/>
      <c r="L32" s="895"/>
      <c r="M32" s="895"/>
      <c r="N32" s="895"/>
      <c r="O32" s="895"/>
      <c r="P32" s="80"/>
      <c r="Q32" s="90"/>
      <c r="R32" s="182"/>
      <c r="S32" s="182"/>
      <c r="T32" s="182"/>
      <c r="U32" s="182"/>
      <c r="V32" s="182"/>
      <c r="W32" s="182"/>
      <c r="X32" s="182"/>
      <c r="Y32" s="182"/>
      <c r="Z32" s="182"/>
      <c r="AA32" s="1034" t="s">
        <v>224</v>
      </c>
      <c r="AB32" s="1033" t="s">
        <v>225</v>
      </c>
      <c r="AC32" s="182"/>
      <c r="AD32" s="182"/>
      <c r="AE32" s="182"/>
      <c r="AF32" s="182"/>
      <c r="AG32" s="182"/>
      <c r="AH32" s="182"/>
      <c r="AI32" s="182"/>
      <c r="AJ32" s="182"/>
      <c r="AK32" s="182"/>
      <c r="AL32" s="182"/>
      <c r="AM32" s="182"/>
      <c r="AN32" s="182"/>
      <c r="AO32" s="182"/>
      <c r="AP32" s="79"/>
      <c r="AQ32" s="79"/>
      <c r="AR32" s="79"/>
      <c r="AS32" s="236"/>
      <c r="AT32" s="236"/>
      <c r="AU32" s="236"/>
      <c r="AV32" s="236"/>
      <c r="AW32" s="236"/>
      <c r="AX32" s="236"/>
      <c r="AY32" s="236"/>
      <c r="AZ32" s="236"/>
      <c r="BA32" s="236"/>
      <c r="BB32" s="236"/>
      <c r="BC32" s="236"/>
      <c r="BD32" s="236"/>
      <c r="BE32" s="236"/>
      <c r="BF32" s="236"/>
      <c r="BG32" s="236"/>
      <c r="BH32" s="236"/>
      <c r="BI32" s="236"/>
      <c r="BJ32" s="236"/>
      <c r="BK32" s="236"/>
      <c r="BL32" s="236"/>
      <c r="BM32" s="236"/>
      <c r="BN32" s="236"/>
      <c r="BO32" s="236"/>
      <c r="BP32" s="236"/>
      <c r="BQ32" s="236"/>
      <c r="BR32" s="236"/>
      <c r="BS32" s="236"/>
      <c r="BT32" s="236"/>
      <c r="BU32" s="236"/>
      <c r="BV32" s="236"/>
      <c r="BW32" s="236"/>
    </row>
    <row r="33" s="0" customFormat="1" ht="18" customHeight="1">
      <c r="B33" s="33"/>
      <c r="C33" s="181"/>
      <c r="D33" s="183"/>
      <c r="E33" s="183"/>
      <c r="F33" s="201"/>
      <c r="G33" s="181"/>
      <c r="H33" s="181"/>
      <c r="I33" s="181"/>
      <c r="J33" s="181"/>
      <c r="K33" s="181"/>
      <c r="L33" s="895"/>
      <c r="M33" s="895"/>
      <c r="N33" s="895"/>
      <c r="O33" s="895"/>
      <c r="P33" s="80"/>
      <c r="Q33" s="90"/>
      <c r="R33" s="182"/>
      <c r="S33" s="182"/>
      <c r="T33" s="182"/>
      <c r="U33" s="182"/>
      <c r="V33" s="182"/>
      <c r="W33" s="182"/>
      <c r="X33" s="182"/>
      <c r="Y33" s="182"/>
      <c r="Z33" s="182"/>
      <c r="AA33" s="1034" t="s">
        <v>194</v>
      </c>
      <c r="AB33" s="1033" t="s">
        <v>226</v>
      </c>
      <c r="AC33" s="182"/>
      <c r="AD33" s="182"/>
      <c r="AE33" s="182"/>
      <c r="AF33" s="182"/>
      <c r="AG33" s="182"/>
      <c r="AH33" s="182"/>
      <c r="AI33" s="182"/>
      <c r="AJ33" s="182"/>
      <c r="AK33" s="182"/>
      <c r="AL33" s="182"/>
      <c r="AM33" s="182"/>
      <c r="AN33" s="182"/>
      <c r="AO33" s="182"/>
      <c r="AP33" s="79"/>
      <c r="AQ33" s="79"/>
      <c r="AR33" s="79"/>
      <c r="AS33" s="236"/>
      <c r="AT33" s="236"/>
      <c r="AU33" s="236"/>
      <c r="AV33" s="236"/>
      <c r="AW33" s="236"/>
      <c r="AX33" s="236"/>
      <c r="AY33" s="236"/>
      <c r="AZ33" s="236"/>
      <c r="BA33" s="236"/>
      <c r="BB33" s="236"/>
      <c r="BC33" s="236"/>
      <c r="BD33" s="236"/>
      <c r="BE33" s="236"/>
      <c r="BF33" s="236"/>
      <c r="BG33" s="236"/>
      <c r="BH33" s="236"/>
      <c r="BI33" s="236"/>
      <c r="BJ33" s="236"/>
      <c r="BK33" s="236"/>
      <c r="BL33" s="236"/>
      <c r="BM33" s="236"/>
      <c r="BN33" s="236"/>
      <c r="BO33" s="236"/>
      <c r="BP33" s="236"/>
      <c r="BQ33" s="236"/>
      <c r="BR33" s="236"/>
      <c r="BS33" s="236"/>
      <c r="BT33" s="236"/>
      <c r="BU33" s="236"/>
      <c r="BV33" s="236"/>
      <c r="BW33" s="236"/>
    </row>
    <row r="34" s="0" customFormat="1" ht="18" customHeight="1">
      <c r="B34" s="33"/>
      <c r="C34" s="181"/>
      <c r="D34" s="183"/>
      <c r="E34" s="183"/>
      <c r="F34" s="201"/>
      <c r="G34" s="181"/>
      <c r="H34" s="181"/>
      <c r="I34" s="181"/>
      <c r="J34" s="181"/>
      <c r="K34" s="181"/>
      <c r="L34" s="895"/>
      <c r="M34" s="895"/>
      <c r="N34" s="895"/>
      <c r="O34" s="895"/>
      <c r="P34" s="80"/>
      <c r="Q34" s="90"/>
      <c r="R34" s="182"/>
      <c r="S34" s="182"/>
      <c r="T34" s="182"/>
      <c r="U34" s="182"/>
      <c r="V34" s="182"/>
      <c r="W34" s="182"/>
      <c r="X34" s="182"/>
      <c r="Y34" s="182"/>
      <c r="Z34" s="182"/>
      <c r="AA34" s="182"/>
      <c r="AB34" s="182"/>
      <c r="AC34" s="182"/>
      <c r="AD34" s="182"/>
      <c r="AE34" s="182"/>
      <c r="AF34" s="182"/>
      <c r="AG34" s="182"/>
      <c r="AH34" s="182"/>
      <c r="AI34" s="182"/>
      <c r="AJ34" s="182"/>
      <c r="AK34" s="182"/>
      <c r="AL34" s="182"/>
      <c r="AM34" s="182"/>
      <c r="AN34" s="182"/>
      <c r="AO34" s="182"/>
      <c r="AP34" s="48"/>
      <c r="AQ34" s="48"/>
      <c r="AR34" s="48"/>
      <c r="AS34" s="236"/>
      <c r="AT34" s="236"/>
      <c r="AU34" s="236"/>
      <c r="AV34" s="236"/>
      <c r="AW34" s="236"/>
      <c r="AX34" s="236"/>
      <c r="AY34" s="236"/>
      <c r="AZ34" s="236"/>
      <c r="BA34" s="236"/>
      <c r="BB34" s="236"/>
      <c r="BC34" s="236"/>
      <c r="BD34" s="236"/>
      <c r="BE34" s="236"/>
      <c r="BF34" s="236"/>
      <c r="BG34" s="236"/>
      <c r="BH34" s="236"/>
      <c r="BI34" s="236"/>
      <c r="BJ34" s="236"/>
      <c r="BK34" s="236"/>
      <c r="BL34" s="236"/>
      <c r="BM34" s="236"/>
      <c r="BN34" s="236"/>
      <c r="BO34" s="236"/>
      <c r="BP34" s="236"/>
      <c r="BQ34" s="236"/>
      <c r="BR34" s="236"/>
      <c r="BS34" s="236"/>
      <c r="BT34" s="236"/>
      <c r="BU34" s="236"/>
      <c r="BV34" s="236"/>
      <c r="BW34" s="236"/>
    </row>
    <row r="35" s="0" customFormat="1" ht="18" customHeight="1">
      <c r="B35" s="33"/>
      <c r="C35" s="181"/>
      <c r="D35" s="183"/>
      <c r="E35" s="183"/>
      <c r="F35" s="201"/>
      <c r="G35" s="181"/>
      <c r="H35" s="181"/>
      <c r="I35" s="181"/>
      <c r="J35" s="181"/>
      <c r="K35" s="181"/>
      <c r="L35" s="895"/>
      <c r="M35" s="895"/>
      <c r="N35" s="895"/>
      <c r="O35" s="895"/>
      <c r="P35" s="80"/>
      <c r="Q35" s="90"/>
      <c r="R35" s="182"/>
      <c r="S35" s="182"/>
      <c r="T35" s="182"/>
      <c r="U35" s="182"/>
      <c r="V35" s="182"/>
      <c r="W35" s="182"/>
      <c r="X35" s="182"/>
      <c r="Y35" s="182"/>
      <c r="Z35" s="182"/>
      <c r="AA35" s="182"/>
      <c r="AB35" s="182"/>
      <c r="AC35" s="182"/>
      <c r="AD35" s="182"/>
      <c r="AE35" s="182"/>
      <c r="AF35" s="182"/>
      <c r="AG35" s="182"/>
      <c r="AH35" s="182"/>
      <c r="AI35" s="182"/>
      <c r="AJ35" s="182"/>
      <c r="AK35" s="182"/>
      <c r="AL35" s="182"/>
      <c r="AM35" s="182"/>
      <c r="AN35" s="182"/>
      <c r="AO35" s="182"/>
      <c r="AP35" s="79"/>
      <c r="AQ35" s="79"/>
      <c r="AR35" s="79"/>
      <c r="AS35" s="236"/>
      <c r="AT35" s="236"/>
      <c r="AU35" s="236"/>
      <c r="AV35" s="236"/>
      <c r="AW35" s="236"/>
      <c r="AX35" s="236"/>
      <c r="AY35" s="236"/>
      <c r="AZ35" s="236"/>
      <c r="BA35" s="236"/>
      <c r="BB35" s="236"/>
      <c r="BC35" s="236"/>
      <c r="BD35" s="236"/>
      <c r="BE35" s="236"/>
      <c r="BF35" s="236"/>
      <c r="BG35" s="236"/>
      <c r="BH35" s="236"/>
      <c r="BI35" s="236"/>
      <c r="BJ35" s="236"/>
      <c r="BK35" s="236"/>
      <c r="BL35" s="236"/>
      <c r="BM35" s="236"/>
      <c r="BN35" s="236"/>
      <c r="BO35" s="236"/>
      <c r="BP35" s="236"/>
      <c r="BQ35" s="236"/>
      <c r="BR35" s="236"/>
      <c r="BS35" s="236"/>
      <c r="BT35" s="236"/>
      <c r="BU35" s="236"/>
      <c r="BV35" s="236"/>
      <c r="BW35" s="236"/>
    </row>
    <row r="36" s="0" customFormat="1" ht="18" customHeight="1">
      <c r="B36" s="33"/>
      <c r="C36" s="181"/>
      <c r="D36" s="183"/>
      <c r="E36" s="183"/>
      <c r="F36" s="201"/>
      <c r="G36" s="181"/>
      <c r="H36" s="181"/>
      <c r="I36" s="181"/>
      <c r="J36" s="181"/>
      <c r="K36" s="181"/>
      <c r="L36" s="895"/>
      <c r="M36" s="895"/>
      <c r="N36" s="895"/>
      <c r="O36" s="895"/>
      <c r="P36" s="80"/>
      <c r="Q36" s="90"/>
      <c r="R36" s="182"/>
      <c r="S36" s="182"/>
      <c r="T36" s="182"/>
      <c r="U36" s="182"/>
      <c r="V36" s="182"/>
      <c r="W36" s="182"/>
      <c r="X36" s="182"/>
      <c r="Y36" s="182"/>
      <c r="Z36" s="182"/>
      <c r="AA36" s="182"/>
      <c r="AB36" s="182"/>
      <c r="AC36" s="182"/>
      <c r="AD36" s="182"/>
      <c r="AE36" s="182"/>
      <c r="AF36" s="182"/>
      <c r="AG36" s="182"/>
      <c r="AH36" s="182"/>
      <c r="AI36" s="182"/>
      <c r="AJ36" s="182"/>
      <c r="AK36" s="182"/>
      <c r="AL36" s="182"/>
      <c r="AM36" s="182"/>
      <c r="AN36" s="182"/>
      <c r="AO36" s="182"/>
      <c r="AP36" s="79"/>
      <c r="AQ36" s="79"/>
      <c r="AR36" s="79"/>
      <c r="AS36" s="236"/>
      <c r="AT36" s="236"/>
      <c r="AU36" s="236"/>
      <c r="AV36" s="236"/>
      <c r="AW36" s="236"/>
      <c r="AX36" s="236"/>
      <c r="AY36" s="236"/>
      <c r="AZ36" s="236"/>
      <c r="BA36" s="236"/>
      <c r="BB36" s="236"/>
      <c r="BC36" s="236"/>
      <c r="BD36" s="236"/>
      <c r="BE36" s="236"/>
      <c r="BF36" s="236"/>
      <c r="BG36" s="236"/>
      <c r="BH36" s="236"/>
      <c r="BI36" s="236"/>
      <c r="BJ36" s="236"/>
      <c r="BK36" s="236"/>
      <c r="BL36" s="236"/>
      <c r="BM36" s="236"/>
      <c r="BN36" s="236"/>
      <c r="BO36" s="236"/>
      <c r="BP36" s="236"/>
      <c r="BQ36" s="236"/>
      <c r="BR36" s="236"/>
      <c r="BS36" s="236"/>
      <c r="BT36" s="236"/>
      <c r="BU36" s="236"/>
      <c r="BV36" s="236"/>
      <c r="BW36" s="236"/>
    </row>
    <row r="37" s="0" customFormat="1" ht="18" customHeight="1">
      <c r="B37" s="33"/>
      <c r="C37" s="181"/>
      <c r="D37" s="183"/>
      <c r="E37" s="183"/>
      <c r="F37" s="201"/>
      <c r="G37" s="181"/>
      <c r="H37" s="181"/>
      <c r="I37" s="181"/>
      <c r="J37" s="181"/>
      <c r="K37" s="181"/>
      <c r="L37" s="895"/>
      <c r="M37" s="895"/>
      <c r="N37" s="895"/>
      <c r="O37" s="895"/>
      <c r="P37" s="80"/>
      <c r="Q37" s="90"/>
      <c r="R37" s="182"/>
      <c r="S37" s="182"/>
      <c r="T37" s="182"/>
      <c r="U37" s="182"/>
      <c r="V37" s="182"/>
      <c r="W37" s="182"/>
      <c r="X37" s="182"/>
      <c r="Y37" s="182"/>
      <c r="Z37" s="182"/>
      <c r="AA37" s="182"/>
      <c r="AB37" s="182"/>
      <c r="AC37" s="182"/>
      <c r="AD37" s="182"/>
      <c r="AE37" s="182"/>
      <c r="AF37" s="182"/>
      <c r="AG37" s="182"/>
      <c r="AH37" s="182"/>
      <c r="AI37" s="182"/>
      <c r="AJ37" s="182"/>
      <c r="AK37" s="182"/>
      <c r="AL37" s="182"/>
      <c r="AM37" s="182"/>
      <c r="AN37" s="182"/>
      <c r="AO37" s="182"/>
      <c r="AP37" s="79"/>
      <c r="AQ37" s="79"/>
      <c r="AR37" s="79"/>
      <c r="AS37" s="236"/>
      <c r="AT37" s="236"/>
      <c r="AU37" s="236"/>
      <c r="AV37" s="236"/>
      <c r="AW37" s="236"/>
      <c r="AX37" s="236"/>
      <c r="AY37" s="236"/>
      <c r="AZ37" s="236"/>
      <c r="BA37" s="236"/>
      <c r="BB37" s="236"/>
      <c r="BC37" s="236"/>
      <c r="BD37" s="236"/>
      <c r="BE37" s="236"/>
      <c r="BF37" s="236"/>
      <c r="BG37" s="236"/>
      <c r="BH37" s="236"/>
      <c r="BI37" s="236"/>
      <c r="BJ37" s="236"/>
      <c r="BK37" s="236"/>
      <c r="BL37" s="236"/>
      <c r="BM37" s="236"/>
      <c r="BN37" s="236"/>
      <c r="BO37" s="236"/>
      <c r="BP37" s="236"/>
      <c r="BQ37" s="236"/>
      <c r="BR37" s="236"/>
      <c r="BS37" s="236"/>
      <c r="BT37" s="236"/>
      <c r="BU37" s="236"/>
      <c r="BV37" s="236"/>
      <c r="BW37" s="236"/>
    </row>
    <row r="38" s="0" customFormat="1" ht="18" customHeight="1">
      <c r="B38" s="33"/>
      <c r="C38" s="181"/>
      <c r="D38" s="183"/>
      <c r="E38" s="183"/>
      <c r="F38" s="201"/>
      <c r="G38" s="181"/>
      <c r="H38" s="181"/>
      <c r="I38" s="181"/>
      <c r="J38" s="181"/>
      <c r="K38" s="181"/>
      <c r="L38" s="895"/>
      <c r="M38" s="895"/>
      <c r="N38" s="895"/>
      <c r="O38" s="895"/>
      <c r="P38" s="80"/>
      <c r="Q38" s="90"/>
      <c r="R38" s="182"/>
      <c r="S38" s="182"/>
      <c r="T38" s="182"/>
      <c r="U38" s="182"/>
      <c r="V38" s="182"/>
      <c r="W38" s="182"/>
      <c r="X38" s="182"/>
      <c r="Y38" s="182"/>
      <c r="Z38" s="182"/>
      <c r="AA38" s="182"/>
      <c r="AB38" s="182"/>
      <c r="AC38" s="182"/>
      <c r="AD38" s="182"/>
      <c r="AE38" s="182"/>
      <c r="AF38" s="182"/>
      <c r="AG38" s="182"/>
      <c r="AH38" s="182"/>
      <c r="AI38" s="182"/>
      <c r="AJ38" s="182"/>
      <c r="AK38" s="182"/>
      <c r="AL38" s="182"/>
      <c r="AM38" s="182"/>
      <c r="AN38" s="182"/>
      <c r="AO38" s="182"/>
      <c r="AP38" s="79"/>
      <c r="AQ38" s="79"/>
      <c r="AR38" s="79"/>
      <c r="AS38" s="236"/>
      <c r="AT38" s="236"/>
      <c r="AU38" s="236"/>
      <c r="AV38" s="236"/>
      <c r="AW38" s="236"/>
      <c r="AX38" s="236"/>
      <c r="AY38" s="236"/>
      <c r="AZ38" s="236"/>
      <c r="BA38" s="236"/>
      <c r="BB38" s="236"/>
      <c r="BC38" s="236"/>
      <c r="BD38" s="236"/>
      <c r="BE38" s="236"/>
      <c r="BF38" s="236"/>
      <c r="BG38" s="236"/>
      <c r="BH38" s="236"/>
      <c r="BI38" s="236"/>
      <c r="BJ38" s="236"/>
      <c r="BK38" s="236"/>
      <c r="BL38" s="236"/>
      <c r="BM38" s="236"/>
      <c r="BN38" s="236"/>
      <c r="BO38" s="236"/>
      <c r="BP38" s="236"/>
      <c r="BQ38" s="236"/>
      <c r="BR38" s="236"/>
      <c r="BS38" s="236"/>
      <c r="BT38" s="236"/>
      <c r="BU38" s="236"/>
      <c r="BV38" s="236"/>
      <c r="BW38" s="236"/>
    </row>
    <row r="39" ht="18" customHeight="1">
      <c r="C39" s="181"/>
      <c r="D39" s="183"/>
      <c r="E39" s="183"/>
      <c r="F39" s="201"/>
      <c r="G39" s="181"/>
      <c r="H39" s="181"/>
      <c r="I39" s="181"/>
      <c r="J39" s="181"/>
      <c r="K39" s="181"/>
      <c r="L39" s="895"/>
      <c r="M39" s="895"/>
      <c r="N39" s="895"/>
      <c r="O39" s="895"/>
      <c r="P39" s="80"/>
      <c r="Q39" s="90"/>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86"/>
      <c r="AQ39" s="79"/>
      <c r="AR39" s="79"/>
    </row>
    <row r="40" ht="18" customHeight="1">
      <c r="C40" s="181"/>
      <c r="D40" s="183"/>
      <c r="E40" s="183"/>
      <c r="F40" s="201"/>
      <c r="G40" s="181"/>
      <c r="H40" s="181"/>
      <c r="I40" s="181"/>
      <c r="J40" s="181"/>
      <c r="K40" s="181"/>
      <c r="L40" s="895"/>
      <c r="M40" s="895"/>
      <c r="N40" s="895"/>
      <c r="O40" s="895"/>
      <c r="P40" s="80"/>
      <c r="Q40" s="90"/>
      <c r="R40" s="182"/>
      <c r="S40" s="182"/>
      <c r="T40" s="182"/>
      <c r="U40" s="182"/>
      <c r="V40" s="182"/>
      <c r="W40" s="182"/>
      <c r="X40" s="182"/>
      <c r="Y40" s="182"/>
      <c r="Z40" s="182"/>
      <c r="AA40" s="182"/>
      <c r="AB40" s="182"/>
      <c r="AC40" s="182"/>
      <c r="AD40" s="182"/>
      <c r="AE40" s="182"/>
      <c r="AF40" s="182"/>
      <c r="AG40" s="182"/>
      <c r="AH40" s="182"/>
      <c r="AI40" s="182"/>
      <c r="AJ40" s="182"/>
      <c r="AK40" s="182"/>
      <c r="AL40" s="182"/>
      <c r="AM40" s="182"/>
      <c r="AN40" s="182"/>
      <c r="AO40" s="182"/>
      <c r="AP40" s="86"/>
      <c r="AQ40" s="79"/>
      <c r="AR40" s="79"/>
    </row>
    <row r="41" ht="18" customHeight="1">
      <c r="C41" s="181"/>
      <c r="D41" s="183"/>
      <c r="E41" s="183"/>
      <c r="F41" s="201"/>
      <c r="G41" s="181"/>
      <c r="H41" s="181"/>
      <c r="I41" s="181"/>
      <c r="J41" s="181"/>
      <c r="K41" s="181"/>
      <c r="L41" s="895"/>
      <c r="M41" s="895"/>
      <c r="N41" s="895"/>
      <c r="O41" s="895"/>
      <c r="P41" s="80"/>
      <c r="Q41" s="90"/>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86"/>
      <c r="AQ41" s="79"/>
      <c r="AR41" s="79"/>
    </row>
    <row r="42" ht="18" customHeight="1">
      <c r="C42" s="181"/>
      <c r="D42" s="183"/>
      <c r="E42" s="183"/>
      <c r="F42" s="201"/>
      <c r="G42" s="181"/>
      <c r="H42" s="181"/>
      <c r="I42" s="181"/>
      <c r="J42" s="181"/>
      <c r="K42" s="181"/>
      <c r="L42" s="895"/>
      <c r="M42" s="895"/>
      <c r="N42" s="895"/>
      <c r="O42" s="895"/>
      <c r="P42" s="80"/>
      <c r="Q42" s="90"/>
      <c r="R42" s="182"/>
      <c r="S42" s="182"/>
      <c r="T42" s="182"/>
      <c r="U42" s="182"/>
      <c r="V42" s="182"/>
      <c r="W42" s="182"/>
      <c r="X42" s="182"/>
      <c r="Y42" s="182"/>
      <c r="Z42" s="182"/>
      <c r="AA42" s="182"/>
      <c r="AB42" s="182"/>
      <c r="AC42" s="182"/>
      <c r="AD42" s="182"/>
      <c r="AE42" s="182"/>
      <c r="AF42" s="182"/>
      <c r="AG42" s="182"/>
      <c r="AH42" s="182"/>
      <c r="AI42" s="182"/>
      <c r="AJ42" s="182"/>
      <c r="AK42" s="182"/>
      <c r="AL42" s="182"/>
      <c r="AM42" s="182"/>
      <c r="AN42" s="182"/>
      <c r="AO42" s="182"/>
      <c r="AP42" s="86"/>
      <c r="AQ42" s="79"/>
      <c r="AR42" s="79"/>
    </row>
    <row r="43" ht="18" customHeight="1">
      <c r="C43" s="181"/>
      <c r="D43" s="183"/>
      <c r="E43" s="183"/>
      <c r="F43" s="201"/>
      <c r="G43" s="181"/>
      <c r="H43" s="181"/>
      <c r="I43" s="181"/>
      <c r="J43" s="181"/>
      <c r="K43" s="181"/>
      <c r="L43" s="895"/>
      <c r="M43" s="895"/>
      <c r="N43" s="895"/>
      <c r="O43" s="895"/>
      <c r="P43" s="80"/>
      <c r="Q43" s="90"/>
      <c r="R43" s="182"/>
      <c r="S43" s="182"/>
      <c r="T43" s="182"/>
      <c r="U43" s="182"/>
      <c r="V43" s="182"/>
      <c r="W43" s="182"/>
      <c r="X43" s="182"/>
      <c r="Y43" s="182"/>
      <c r="Z43" s="182"/>
      <c r="AA43" s="182"/>
      <c r="AB43" s="182"/>
      <c r="AC43" s="182"/>
      <c r="AD43" s="182"/>
      <c r="AE43" s="182"/>
      <c r="AF43" s="182"/>
      <c r="AG43" s="182"/>
      <c r="AH43" s="182"/>
      <c r="AI43" s="182"/>
      <c r="AJ43" s="182"/>
      <c r="AK43" s="182"/>
      <c r="AL43" s="182"/>
      <c r="AM43" s="182"/>
      <c r="AN43" s="182"/>
      <c r="AO43" s="182"/>
      <c r="AP43" s="86"/>
      <c r="AQ43" s="79"/>
      <c r="AR43" s="79"/>
    </row>
    <row r="44" ht="18" customHeight="1">
      <c r="C44" s="181"/>
      <c r="D44" s="183"/>
      <c r="E44" s="183"/>
      <c r="F44" s="201"/>
      <c r="G44" s="181"/>
      <c r="H44" s="181"/>
      <c r="I44" s="181"/>
      <c r="J44" s="181"/>
      <c r="K44" s="181"/>
      <c r="L44" s="895"/>
      <c r="M44" s="895"/>
      <c r="N44" s="895"/>
      <c r="O44" s="895"/>
      <c r="P44" s="80"/>
      <c r="Q44" s="90"/>
      <c r="R44" s="182"/>
      <c r="S44" s="182"/>
      <c r="T44" s="182"/>
      <c r="U44" s="182"/>
      <c r="V44" s="182"/>
      <c r="W44" s="182"/>
      <c r="X44" s="182"/>
      <c r="Y44" s="182"/>
      <c r="Z44" s="182"/>
      <c r="AA44" s="182"/>
      <c r="AB44" s="182"/>
      <c r="AC44" s="182"/>
      <c r="AD44" s="182"/>
      <c r="AE44" s="182"/>
      <c r="AF44" s="182"/>
      <c r="AG44" s="182"/>
      <c r="AH44" s="182"/>
      <c r="AI44" s="182"/>
      <c r="AJ44" s="182"/>
      <c r="AK44" s="182"/>
      <c r="AL44" s="182"/>
      <c r="AM44" s="182"/>
      <c r="AN44" s="182"/>
      <c r="AO44" s="182"/>
      <c r="AP44" s="86"/>
      <c r="AQ44" s="79"/>
      <c r="AR44" s="79"/>
    </row>
    <row r="45" ht="18" customHeight="1">
      <c r="C45" s="181"/>
      <c r="D45" s="183"/>
      <c r="E45" s="183"/>
      <c r="F45" s="201"/>
      <c r="G45" s="181"/>
      <c r="H45" s="181"/>
      <c r="I45" s="181"/>
      <c r="J45" s="181"/>
      <c r="K45" s="181"/>
      <c r="L45" s="895"/>
      <c r="M45" s="895"/>
      <c r="N45" s="895"/>
      <c r="O45" s="895"/>
      <c r="P45" s="80"/>
      <c r="Q45" s="90"/>
      <c r="R45" s="182"/>
      <c r="S45" s="182"/>
      <c r="T45" s="182"/>
      <c r="U45" s="182"/>
      <c r="V45" s="182"/>
      <c r="W45" s="182"/>
      <c r="X45" s="182"/>
      <c r="Y45" s="182"/>
      <c r="Z45" s="182"/>
      <c r="AA45" s="182"/>
      <c r="AB45" s="182"/>
      <c r="AC45" s="182"/>
      <c r="AD45" s="182"/>
      <c r="AE45" s="182"/>
      <c r="AF45" s="182"/>
      <c r="AG45" s="182"/>
      <c r="AH45" s="182"/>
      <c r="AI45" s="182"/>
      <c r="AJ45" s="182"/>
      <c r="AK45" s="182"/>
      <c r="AL45" s="182"/>
      <c r="AM45" s="182"/>
      <c r="AN45" s="182"/>
      <c r="AO45" s="182"/>
      <c r="AP45" s="86"/>
      <c r="AQ45" s="79"/>
      <c r="AR45" s="79"/>
    </row>
    <row r="46" ht="18" customHeight="1">
      <c r="C46" s="181"/>
      <c r="D46" s="183"/>
      <c r="E46" s="183"/>
      <c r="F46" s="201"/>
      <c r="G46" s="181"/>
      <c r="H46" s="181"/>
      <c r="I46" s="181"/>
      <c r="J46" s="181"/>
      <c r="K46" s="181"/>
      <c r="L46" s="895"/>
      <c r="M46" s="895"/>
      <c r="N46" s="895"/>
      <c r="O46" s="895"/>
      <c r="P46" s="80"/>
      <c r="Q46" s="90"/>
      <c r="R46" s="182"/>
      <c r="S46" s="182"/>
      <c r="T46" s="182"/>
      <c r="U46" s="182"/>
      <c r="V46" s="182"/>
      <c r="W46" s="182"/>
      <c r="X46" s="182"/>
      <c r="Y46" s="182"/>
      <c r="Z46" s="182"/>
      <c r="AA46" s="182"/>
      <c r="AB46" s="182"/>
      <c r="AC46" s="182"/>
      <c r="AD46" s="182"/>
      <c r="AE46" s="182"/>
      <c r="AF46" s="182"/>
      <c r="AG46" s="182"/>
      <c r="AH46" s="182"/>
      <c r="AI46" s="182"/>
      <c r="AJ46" s="182"/>
      <c r="AK46" s="182"/>
      <c r="AL46" s="182"/>
      <c r="AM46" s="182"/>
      <c r="AN46" s="182"/>
      <c r="AO46" s="182"/>
      <c r="AP46" s="86"/>
      <c r="AQ46" s="79"/>
      <c r="AR46" s="79"/>
    </row>
    <row r="47" ht="0" hidden="1" customHeight="1">
      <c r="C47" s="181"/>
      <c r="D47" s="183"/>
      <c r="E47" s="183"/>
      <c r="F47" s="201"/>
      <c r="G47" s="181"/>
      <c r="H47" s="181"/>
      <c r="I47" s="181"/>
      <c r="J47" s="181"/>
      <c r="K47" s="181"/>
      <c r="L47" s="895"/>
      <c r="M47" s="895"/>
      <c r="N47" s="895"/>
      <c r="O47" s="895"/>
      <c r="P47" s="80"/>
      <c r="Q47" s="90"/>
      <c r="R47" s="182"/>
      <c r="S47" s="182"/>
      <c r="T47" s="182"/>
      <c r="U47" s="182"/>
      <c r="V47" s="182"/>
      <c r="W47" s="182"/>
      <c r="X47" s="182"/>
      <c r="Y47" s="182"/>
      <c r="Z47" s="182"/>
      <c r="AA47" s="182"/>
      <c r="AB47" s="182"/>
      <c r="AC47" s="182"/>
      <c r="AD47" s="182"/>
      <c r="AE47" s="182"/>
      <c r="AF47" s="182"/>
      <c r="AG47" s="182"/>
      <c r="AH47" s="182"/>
      <c r="AI47" s="182"/>
      <c r="AJ47" s="182"/>
      <c r="AK47" s="182"/>
      <c r="AL47" s="182"/>
      <c r="AM47" s="182"/>
      <c r="AN47" s="182"/>
      <c r="AO47" s="182"/>
      <c r="AP47" s="86"/>
      <c r="AQ47" s="79"/>
      <c r="AR47" s="79"/>
    </row>
    <row r="48" ht="0" hidden="1" customHeight="1">
      <c r="C48" s="181"/>
      <c r="D48" s="183"/>
      <c r="E48" s="183"/>
      <c r="F48" s="201"/>
      <c r="G48" s="181"/>
      <c r="H48" s="181"/>
      <c r="I48" s="181"/>
      <c r="J48" s="181"/>
      <c r="K48" s="181"/>
      <c r="L48" s="895"/>
      <c r="M48" s="895"/>
      <c r="N48" s="895"/>
      <c r="O48" s="895"/>
      <c r="P48" s="80"/>
      <c r="Q48" s="90"/>
      <c r="R48" s="182"/>
      <c r="S48" s="182"/>
      <c r="T48" s="182"/>
      <c r="U48" s="182"/>
      <c r="V48" s="182"/>
      <c r="W48" s="182"/>
      <c r="X48" s="182"/>
      <c r="Y48" s="182"/>
      <c r="Z48" s="182"/>
      <c r="AA48" s="182"/>
      <c r="AB48" s="182"/>
      <c r="AC48" s="182"/>
      <c r="AD48" s="182"/>
      <c r="AE48" s="182"/>
      <c r="AF48" s="182"/>
      <c r="AG48" s="182"/>
      <c r="AH48" s="182"/>
      <c r="AI48" s="182"/>
      <c r="AJ48" s="182"/>
      <c r="AK48" s="182"/>
      <c r="AL48" s="182"/>
      <c r="AM48" s="182"/>
      <c r="AN48" s="182"/>
      <c r="AO48" s="182"/>
      <c r="AP48" s="86"/>
      <c r="AQ48" s="79"/>
      <c r="AR48" s="79"/>
    </row>
    <row r="49" ht="0" hidden="1" customHeight="1">
      <c r="C49" s="181"/>
      <c r="D49" s="183"/>
      <c r="E49" s="183"/>
      <c r="F49" s="201"/>
      <c r="G49" s="181"/>
      <c r="H49" s="181"/>
      <c r="I49" s="181"/>
      <c r="J49" s="181"/>
      <c r="K49" s="181"/>
      <c r="L49" s="895"/>
      <c r="M49" s="895"/>
      <c r="N49" s="895"/>
      <c r="O49" s="895"/>
      <c r="P49" s="80"/>
      <c r="Q49" s="90"/>
      <c r="R49" s="182"/>
      <c r="S49" s="182"/>
      <c r="T49" s="182"/>
      <c r="U49" s="182"/>
      <c r="V49" s="182"/>
      <c r="W49" s="182"/>
      <c r="X49" s="182"/>
      <c r="Y49" s="182"/>
      <c r="Z49" s="182"/>
      <c r="AA49" s="182"/>
      <c r="AB49" s="182"/>
      <c r="AC49" s="182"/>
      <c r="AD49" s="182"/>
      <c r="AE49" s="182"/>
      <c r="AF49" s="182"/>
      <c r="AG49" s="182"/>
      <c r="AH49" s="182"/>
      <c r="AI49" s="182"/>
      <c r="AJ49" s="182"/>
      <c r="AK49" s="182"/>
      <c r="AL49" s="182"/>
      <c r="AM49" s="182"/>
      <c r="AN49" s="182"/>
      <c r="AO49" s="182"/>
      <c r="AP49" s="86"/>
      <c r="AQ49" s="79"/>
      <c r="AR49" s="79"/>
    </row>
    <row r="50" ht="0" hidden="1" customHeight="1">
      <c r="C50" s="181"/>
      <c r="D50" s="183"/>
      <c r="E50" s="183"/>
      <c r="F50" s="201"/>
      <c r="G50" s="181"/>
      <c r="H50" s="181"/>
      <c r="I50" s="181"/>
      <c r="J50" s="181"/>
      <c r="K50" s="181"/>
      <c r="L50" s="895"/>
      <c r="M50" s="895"/>
      <c r="N50" s="895"/>
      <c r="O50" s="895"/>
      <c r="P50" s="80"/>
      <c r="Q50" s="90"/>
      <c r="R50" s="182"/>
      <c r="S50" s="182"/>
      <c r="T50" s="182"/>
      <c r="U50" s="182"/>
      <c r="V50" s="182"/>
      <c r="W50" s="182"/>
      <c r="X50" s="182"/>
      <c r="Y50" s="182"/>
      <c r="Z50" s="182"/>
      <c r="AA50" s="182"/>
      <c r="AB50" s="182"/>
      <c r="AC50" s="182"/>
      <c r="AD50" s="182"/>
      <c r="AE50" s="182"/>
      <c r="AF50" s="182"/>
      <c r="AG50" s="182"/>
      <c r="AH50" s="182"/>
      <c r="AI50" s="182"/>
      <c r="AJ50" s="182"/>
      <c r="AK50" s="182"/>
      <c r="AL50" s="182"/>
      <c r="AM50" s="182"/>
      <c r="AN50" s="182"/>
      <c r="AO50" s="182"/>
      <c r="AP50" s="86"/>
      <c r="AQ50" s="79"/>
      <c r="AR50" s="79"/>
    </row>
    <row r="51" ht="0" hidden="1" customHeight="1">
      <c r="C51" s="181"/>
      <c r="D51" s="183"/>
      <c r="E51" s="183"/>
      <c r="F51" s="201"/>
      <c r="G51" s="181"/>
      <c r="H51" s="181"/>
      <c r="I51" s="181"/>
      <c r="J51" s="181"/>
      <c r="K51" s="181"/>
      <c r="L51" s="895"/>
      <c r="M51" s="895"/>
      <c r="N51" s="895"/>
      <c r="O51" s="895"/>
      <c r="P51" s="80"/>
      <c r="Q51" s="90"/>
      <c r="R51" s="182"/>
      <c r="S51" s="182"/>
      <c r="T51" s="182"/>
      <c r="U51" s="182"/>
      <c r="V51" s="182"/>
      <c r="W51" s="182"/>
      <c r="X51" s="182"/>
      <c r="Y51" s="182"/>
      <c r="Z51" s="182"/>
      <c r="AA51" s="182"/>
      <c r="AB51" s="182"/>
      <c r="AC51" s="182"/>
      <c r="AD51" s="182"/>
      <c r="AE51" s="182"/>
      <c r="AF51" s="182"/>
      <c r="AG51" s="182"/>
      <c r="AH51" s="182"/>
      <c r="AI51" s="182"/>
      <c r="AJ51" s="182"/>
      <c r="AK51" s="182"/>
      <c r="AL51" s="182"/>
      <c r="AM51" s="182"/>
      <c r="AN51" s="182"/>
      <c r="AO51" s="182"/>
      <c r="AP51" s="86"/>
      <c r="AQ51" s="79"/>
      <c r="AR51" s="79"/>
    </row>
    <row r="52" s="0" customFormat="1" ht="0" hidden="1" customHeight="1">
      <c r="B52" s="33"/>
      <c r="C52" s="181"/>
      <c r="D52" s="183"/>
      <c r="E52" s="183"/>
      <c r="F52" s="201"/>
      <c r="G52" s="181"/>
      <c r="H52" s="181"/>
      <c r="I52" s="181"/>
      <c r="J52" s="181"/>
      <c r="K52" s="181"/>
      <c r="L52" s="895"/>
      <c r="M52" s="895"/>
      <c r="N52" s="895"/>
      <c r="O52" s="895"/>
      <c r="P52" s="80"/>
      <c r="Q52" s="90"/>
      <c r="R52" s="182"/>
      <c r="S52" s="182"/>
      <c r="T52" s="182"/>
      <c r="U52" s="182"/>
      <c r="V52" s="182"/>
      <c r="W52" s="182"/>
      <c r="X52" s="182"/>
      <c r="Y52" s="182"/>
      <c r="Z52" s="182"/>
      <c r="AA52" s="182"/>
      <c r="AB52" s="182"/>
      <c r="AC52" s="182"/>
      <c r="AD52" s="182"/>
      <c r="AE52" s="182"/>
      <c r="AF52" s="182"/>
      <c r="AG52" s="182"/>
      <c r="AH52" s="182"/>
      <c r="AI52" s="182"/>
      <c r="AJ52" s="182"/>
      <c r="AK52" s="182"/>
      <c r="AL52" s="182"/>
      <c r="AM52" s="182"/>
      <c r="AN52" s="182"/>
      <c r="AO52" s="182"/>
      <c r="AP52" s="79"/>
      <c r="AQ52" s="79"/>
      <c r="AR52" s="79"/>
      <c r="AS52" s="236"/>
      <c r="AT52" s="236"/>
      <c r="AU52" s="236"/>
      <c r="AV52" s="236"/>
      <c r="AW52" s="236"/>
      <c r="AX52" s="236"/>
      <c r="AY52" s="236"/>
      <c r="AZ52" s="236"/>
      <c r="BA52" s="236"/>
      <c r="BB52" s="236"/>
      <c r="BC52" s="236"/>
      <c r="BD52" s="236"/>
      <c r="BE52" s="236"/>
      <c r="BF52" s="236"/>
      <c r="BG52" s="236"/>
      <c r="BH52" s="236"/>
      <c r="BI52" s="236"/>
      <c r="BJ52" s="236"/>
      <c r="BK52" s="236"/>
      <c r="BL52" s="236"/>
      <c r="BM52" s="236"/>
      <c r="BN52" s="236"/>
      <c r="BO52" s="236"/>
      <c r="BP52" s="236"/>
      <c r="BQ52" s="236"/>
      <c r="BR52" s="236"/>
      <c r="BS52" s="236"/>
      <c r="BT52" s="236"/>
      <c r="BU52" s="236"/>
      <c r="BV52" s="236"/>
      <c r="BW52" s="236"/>
    </row>
    <row r="53" s="0" customFormat="1" ht="0" hidden="1" customHeight="1">
      <c r="B53" s="33"/>
      <c r="C53" s="181"/>
      <c r="D53" s="183"/>
      <c r="E53" s="183"/>
      <c r="F53" s="201"/>
      <c r="G53" s="181"/>
      <c r="H53" s="181"/>
      <c r="I53" s="181"/>
      <c r="J53" s="181"/>
      <c r="K53" s="181"/>
      <c r="L53" s="895"/>
      <c r="M53" s="895"/>
      <c r="N53" s="895"/>
      <c r="O53" s="895"/>
      <c r="P53" s="80"/>
      <c r="Q53" s="90"/>
      <c r="R53" s="182"/>
      <c r="S53" s="182"/>
      <c r="T53" s="182"/>
      <c r="U53" s="182"/>
      <c r="V53" s="182"/>
      <c r="W53" s="182"/>
      <c r="X53" s="182"/>
      <c r="Y53" s="182"/>
      <c r="Z53" s="182"/>
      <c r="AA53" s="182"/>
      <c r="AB53" s="182"/>
      <c r="AC53" s="182"/>
      <c r="AD53" s="182"/>
      <c r="AE53" s="182"/>
      <c r="AF53" s="182"/>
      <c r="AG53" s="182"/>
      <c r="AH53" s="182"/>
      <c r="AI53" s="182"/>
      <c r="AJ53" s="182"/>
      <c r="AK53" s="182"/>
      <c r="AL53" s="182"/>
      <c r="AM53" s="182"/>
      <c r="AN53" s="182"/>
      <c r="AO53" s="182"/>
      <c r="AP53" s="79"/>
      <c r="AQ53" s="79"/>
      <c r="AR53" s="79"/>
      <c r="AS53" s="236"/>
      <c r="AT53" s="236"/>
      <c r="AU53" s="236"/>
      <c r="AV53" s="236"/>
      <c r="AW53" s="236"/>
      <c r="AX53" s="236"/>
      <c r="AY53" s="236"/>
      <c r="AZ53" s="236"/>
      <c r="BA53" s="236"/>
      <c r="BB53" s="236"/>
      <c r="BC53" s="236"/>
      <c r="BD53" s="236"/>
      <c r="BE53" s="236"/>
      <c r="BF53" s="236"/>
      <c r="BG53" s="236"/>
      <c r="BH53" s="236"/>
      <c r="BI53" s="236"/>
      <c r="BJ53" s="236"/>
      <c r="BK53" s="236"/>
      <c r="BL53" s="236"/>
      <c r="BM53" s="236"/>
      <c r="BN53" s="236"/>
      <c r="BO53" s="236"/>
      <c r="BP53" s="236"/>
      <c r="BQ53" s="236"/>
      <c r="BR53" s="236"/>
      <c r="BS53" s="236"/>
      <c r="BT53" s="236"/>
      <c r="BU53" s="236"/>
      <c r="BV53" s="236"/>
      <c r="BW53" s="236"/>
    </row>
    <row r="54" s="0" customFormat="1" ht="0" hidden="1" customHeight="1">
      <c r="B54" s="33"/>
      <c r="C54" s="181"/>
      <c r="D54" s="183"/>
      <c r="E54" s="183"/>
      <c r="F54" s="201"/>
      <c r="G54" s="181"/>
      <c r="H54" s="181"/>
      <c r="I54" s="181"/>
      <c r="J54" s="181"/>
      <c r="K54" s="181"/>
      <c r="L54" s="895"/>
      <c r="M54" s="895"/>
      <c r="N54" s="895"/>
      <c r="O54" s="895"/>
      <c r="P54" s="80"/>
      <c r="Q54" s="90"/>
      <c r="R54" s="182"/>
      <c r="S54" s="182"/>
      <c r="T54" s="182"/>
      <c r="U54" s="182"/>
      <c r="V54" s="182"/>
      <c r="W54" s="182"/>
      <c r="X54" s="182"/>
      <c r="Y54" s="182"/>
      <c r="Z54" s="182"/>
      <c r="AA54" s="182"/>
      <c r="AB54" s="182"/>
      <c r="AC54" s="182"/>
      <c r="AD54" s="182"/>
      <c r="AE54" s="182"/>
      <c r="AF54" s="182"/>
      <c r="AG54" s="182"/>
      <c r="AH54" s="182"/>
      <c r="AI54" s="182"/>
      <c r="AJ54" s="182"/>
      <c r="AK54" s="182"/>
      <c r="AL54" s="182"/>
      <c r="AM54" s="182"/>
      <c r="AN54" s="182"/>
      <c r="AO54" s="182"/>
      <c r="AP54" s="48"/>
      <c r="AQ54" s="48"/>
      <c r="AR54" s="48"/>
      <c r="AS54" s="236"/>
      <c r="AT54" s="236"/>
      <c r="AU54" s="236"/>
      <c r="AV54" s="236"/>
      <c r="AW54" s="236"/>
      <c r="AX54" s="236"/>
      <c r="AY54" s="236"/>
      <c r="AZ54" s="236"/>
      <c r="BA54" s="236"/>
      <c r="BB54" s="236"/>
      <c r="BC54" s="236"/>
      <c r="BD54" s="236"/>
      <c r="BE54" s="236"/>
      <c r="BF54" s="236"/>
      <c r="BG54" s="236"/>
      <c r="BH54" s="236"/>
      <c r="BI54" s="236"/>
      <c r="BJ54" s="236"/>
      <c r="BK54" s="236"/>
      <c r="BL54" s="236"/>
      <c r="BM54" s="236"/>
      <c r="BN54" s="236"/>
      <c r="BO54" s="236"/>
      <c r="BP54" s="236"/>
      <c r="BQ54" s="236"/>
      <c r="BR54" s="236"/>
      <c r="BS54" s="236"/>
      <c r="BT54" s="236"/>
      <c r="BU54" s="236"/>
      <c r="BV54" s="236"/>
      <c r="BW54" s="236"/>
    </row>
    <row r="55" s="0" customFormat="1" ht="0" hidden="1" customHeight="1">
      <c r="B55" s="33"/>
      <c r="C55" s="181"/>
      <c r="D55" s="183"/>
      <c r="E55" s="183"/>
      <c r="F55" s="201"/>
      <c r="G55" s="181"/>
      <c r="H55" s="181"/>
      <c r="I55" s="181"/>
      <c r="J55" s="181"/>
      <c r="K55" s="181"/>
      <c r="L55" s="895"/>
      <c r="M55" s="895"/>
      <c r="N55" s="895"/>
      <c r="O55" s="895"/>
      <c r="P55" s="80"/>
      <c r="Q55" s="90"/>
      <c r="R55" s="182"/>
      <c r="S55" s="182"/>
      <c r="T55" s="182"/>
      <c r="U55" s="182"/>
      <c r="V55" s="182"/>
      <c r="W55" s="182"/>
      <c r="X55" s="182"/>
      <c r="Y55" s="182"/>
      <c r="Z55" s="182"/>
      <c r="AA55" s="182"/>
      <c r="AB55" s="182"/>
      <c r="AC55" s="182"/>
      <c r="AD55" s="182"/>
      <c r="AE55" s="182"/>
      <c r="AF55" s="182"/>
      <c r="AG55" s="182"/>
      <c r="AH55" s="182"/>
      <c r="AI55" s="182"/>
      <c r="AJ55" s="182"/>
      <c r="AK55" s="182"/>
      <c r="AL55" s="182"/>
      <c r="AM55" s="182"/>
      <c r="AN55" s="182"/>
      <c r="AO55" s="182"/>
      <c r="AP55" s="79"/>
      <c r="AQ55" s="79"/>
      <c r="AR55" s="79"/>
      <c r="AS55" s="236"/>
      <c r="AT55" s="236"/>
      <c r="AU55" s="236"/>
      <c r="AV55" s="236"/>
      <c r="AW55" s="236"/>
      <c r="AX55" s="236"/>
      <c r="AY55" s="236"/>
      <c r="AZ55" s="236"/>
      <c r="BA55" s="236"/>
      <c r="BB55" s="236"/>
      <c r="BC55" s="236"/>
      <c r="BD55" s="236"/>
      <c r="BE55" s="236"/>
      <c r="BF55" s="236"/>
      <c r="BG55" s="236"/>
      <c r="BH55" s="236"/>
      <c r="BI55" s="236"/>
      <c r="BJ55" s="236"/>
      <c r="BK55" s="236"/>
      <c r="BL55" s="236"/>
      <c r="BM55" s="236"/>
      <c r="BN55" s="236"/>
      <c r="BO55" s="236"/>
      <c r="BP55" s="236"/>
      <c r="BQ55" s="236"/>
      <c r="BR55" s="236"/>
      <c r="BS55" s="236"/>
      <c r="BT55" s="236"/>
      <c r="BU55" s="236"/>
      <c r="BV55" s="236"/>
      <c r="BW55" s="236"/>
    </row>
    <row r="56" s="0" customFormat="1" ht="0" hidden="1" customHeight="1">
      <c r="B56" s="33"/>
      <c r="C56" s="181"/>
      <c r="D56" s="183"/>
      <c r="E56" s="183"/>
      <c r="F56" s="201"/>
      <c r="G56" s="181"/>
      <c r="H56" s="181"/>
      <c r="I56" s="181"/>
      <c r="J56" s="181"/>
      <c r="K56" s="181"/>
      <c r="L56" s="895"/>
      <c r="M56" s="895"/>
      <c r="N56" s="895"/>
      <c r="O56" s="895"/>
      <c r="P56" s="80"/>
      <c r="Q56" s="90"/>
      <c r="R56" s="182"/>
      <c r="S56" s="182"/>
      <c r="T56" s="182"/>
      <c r="U56" s="182"/>
      <c r="V56" s="182"/>
      <c r="W56" s="182"/>
      <c r="X56" s="182"/>
      <c r="Y56" s="182"/>
      <c r="Z56" s="182"/>
      <c r="AA56" s="182"/>
      <c r="AB56" s="182"/>
      <c r="AC56" s="182"/>
      <c r="AD56" s="182"/>
      <c r="AE56" s="182"/>
      <c r="AF56" s="182"/>
      <c r="AG56" s="182"/>
      <c r="AH56" s="182"/>
      <c r="AI56" s="182"/>
      <c r="AJ56" s="182"/>
      <c r="AK56" s="182"/>
      <c r="AL56" s="182"/>
      <c r="AM56" s="182"/>
      <c r="AN56" s="182"/>
      <c r="AO56" s="182"/>
      <c r="AP56" s="79"/>
      <c r="AQ56" s="79"/>
      <c r="AR56" s="79"/>
      <c r="AS56" s="236"/>
      <c r="AT56" s="236"/>
      <c r="AU56" s="236"/>
      <c r="AV56" s="236"/>
      <c r="AW56" s="236"/>
      <c r="AX56" s="236"/>
      <c r="AY56" s="236"/>
      <c r="AZ56" s="236"/>
      <c r="BA56" s="236"/>
      <c r="BB56" s="236"/>
      <c r="BC56" s="236"/>
      <c r="BD56" s="236"/>
      <c r="BE56" s="236"/>
      <c r="BF56" s="236"/>
      <c r="BG56" s="236"/>
      <c r="BH56" s="236"/>
      <c r="BI56" s="236"/>
      <c r="BJ56" s="236"/>
      <c r="BK56" s="236"/>
      <c r="BL56" s="236"/>
      <c r="BM56" s="236"/>
      <c r="BN56" s="236"/>
      <c r="BO56" s="236"/>
      <c r="BP56" s="236"/>
      <c r="BQ56" s="236"/>
      <c r="BR56" s="236"/>
      <c r="BS56" s="236"/>
      <c r="BT56" s="236"/>
      <c r="BU56" s="236"/>
      <c r="BV56" s="236"/>
      <c r="BW56" s="236"/>
    </row>
    <row r="57" s="0" customFormat="1" ht="0" hidden="1" customHeight="1">
      <c r="B57" s="33"/>
      <c r="C57" s="181"/>
      <c r="D57" s="183"/>
      <c r="E57" s="183"/>
      <c r="F57" s="201"/>
      <c r="G57" s="181"/>
      <c r="H57" s="181"/>
      <c r="I57" s="181"/>
      <c r="J57" s="181"/>
      <c r="K57" s="181"/>
      <c r="L57" s="895"/>
      <c r="M57" s="895"/>
      <c r="N57" s="895"/>
      <c r="O57" s="895"/>
      <c r="P57" s="80"/>
      <c r="Q57" s="90"/>
      <c r="R57" s="182"/>
      <c r="S57" s="182"/>
      <c r="T57" s="182"/>
      <c r="U57" s="182"/>
      <c r="V57" s="182"/>
      <c r="W57" s="182"/>
      <c r="X57" s="182"/>
      <c r="Y57" s="182"/>
      <c r="Z57" s="182"/>
      <c r="AA57" s="182"/>
      <c r="AB57" s="182"/>
      <c r="AC57" s="182"/>
      <c r="AD57" s="182"/>
      <c r="AE57" s="182"/>
      <c r="AF57" s="182"/>
      <c r="AG57" s="182"/>
      <c r="AH57" s="182"/>
      <c r="AI57" s="182"/>
      <c r="AJ57" s="182"/>
      <c r="AK57" s="182"/>
      <c r="AL57" s="182"/>
      <c r="AM57" s="182"/>
      <c r="AN57" s="182"/>
      <c r="AO57" s="182"/>
      <c r="AP57" s="79"/>
      <c r="AQ57" s="79"/>
      <c r="AR57" s="79"/>
      <c r="AS57" s="236"/>
      <c r="AT57" s="236"/>
      <c r="AU57" s="236"/>
      <c r="AV57" s="236"/>
      <c r="AW57" s="236"/>
      <c r="AX57" s="236"/>
      <c r="AY57" s="236"/>
      <c r="AZ57" s="236"/>
      <c r="BA57" s="236"/>
      <c r="BB57" s="236"/>
      <c r="BC57" s="236"/>
      <c r="BD57" s="236"/>
      <c r="BE57" s="236"/>
      <c r="BF57" s="236"/>
      <c r="BG57" s="236"/>
      <c r="BH57" s="236"/>
      <c r="BI57" s="236"/>
      <c r="BJ57" s="236"/>
      <c r="BK57" s="236"/>
      <c r="BL57" s="236"/>
      <c r="BM57" s="236"/>
      <c r="BN57" s="236"/>
      <c r="BO57" s="236"/>
      <c r="BP57" s="236"/>
      <c r="BQ57" s="236"/>
      <c r="BR57" s="236"/>
      <c r="BS57" s="236"/>
      <c r="BT57" s="236"/>
      <c r="BU57" s="236"/>
      <c r="BV57" s="236"/>
      <c r="BW57" s="236"/>
    </row>
    <row r="58" s="0" customFormat="1" ht="0" hidden="1" customHeight="1">
      <c r="B58" s="33"/>
      <c r="C58" s="181"/>
      <c r="D58" s="183"/>
      <c r="E58" s="183"/>
      <c r="F58" s="201"/>
      <c r="G58" s="181"/>
      <c r="H58" s="181"/>
      <c r="I58" s="181"/>
      <c r="J58" s="181"/>
      <c r="K58" s="181"/>
      <c r="L58" s="895"/>
      <c r="M58" s="895"/>
      <c r="N58" s="895"/>
      <c r="O58" s="895"/>
      <c r="P58" s="80"/>
      <c r="Q58" s="90"/>
      <c r="R58" s="182"/>
      <c r="S58" s="182"/>
      <c r="T58" s="182"/>
      <c r="U58" s="182"/>
      <c r="V58" s="182"/>
      <c r="W58" s="182"/>
      <c r="X58" s="182"/>
      <c r="Y58" s="182"/>
      <c r="Z58" s="182"/>
      <c r="AA58" s="182"/>
      <c r="AB58" s="182"/>
      <c r="AC58" s="182"/>
      <c r="AD58" s="182"/>
      <c r="AE58" s="182"/>
      <c r="AF58" s="182"/>
      <c r="AG58" s="182"/>
      <c r="AH58" s="182"/>
      <c r="AI58" s="182"/>
      <c r="AJ58" s="182"/>
      <c r="AK58" s="182"/>
      <c r="AL58" s="182"/>
      <c r="AM58" s="182"/>
      <c r="AN58" s="182"/>
      <c r="AO58" s="182"/>
      <c r="AP58" s="79"/>
      <c r="AQ58" s="79"/>
      <c r="AR58" s="79"/>
      <c r="AS58" s="236"/>
      <c r="AT58" s="236"/>
      <c r="AU58" s="236"/>
      <c r="AV58" s="236"/>
      <c r="AW58" s="236"/>
      <c r="AX58" s="236"/>
      <c r="AY58" s="236"/>
      <c r="AZ58" s="236"/>
      <c r="BA58" s="236"/>
      <c r="BB58" s="236"/>
      <c r="BC58" s="236"/>
      <c r="BD58" s="236"/>
      <c r="BE58" s="236"/>
      <c r="BF58" s="236"/>
      <c r="BG58" s="236"/>
      <c r="BH58" s="236"/>
      <c r="BI58" s="236"/>
      <c r="BJ58" s="236"/>
      <c r="BK58" s="236"/>
      <c r="BL58" s="236"/>
      <c r="BM58" s="236"/>
      <c r="BN58" s="236"/>
      <c r="BO58" s="236"/>
      <c r="BP58" s="236"/>
      <c r="BQ58" s="236"/>
      <c r="BR58" s="236"/>
      <c r="BS58" s="236"/>
      <c r="BT58" s="236"/>
      <c r="BU58" s="236"/>
      <c r="BV58" s="236"/>
      <c r="BW58" s="236"/>
    </row>
    <row r="59" ht="0" hidden="1" customHeight="1">
      <c r="C59" s="181"/>
      <c r="D59" s="183"/>
      <c r="E59" s="183"/>
      <c r="F59" s="201"/>
      <c r="G59" s="181"/>
      <c r="H59" s="181"/>
      <c r="I59" s="181"/>
      <c r="J59" s="181"/>
      <c r="K59" s="181"/>
      <c r="L59" s="895"/>
      <c r="M59" s="895"/>
      <c r="N59" s="895"/>
      <c r="O59" s="895"/>
      <c r="P59" s="80"/>
      <c r="Q59" s="90"/>
      <c r="R59" s="182"/>
      <c r="S59" s="182"/>
      <c r="T59" s="182"/>
      <c r="U59" s="182"/>
      <c r="V59" s="182"/>
      <c r="W59" s="182"/>
      <c r="X59" s="182"/>
      <c r="Y59" s="182"/>
      <c r="Z59" s="182"/>
      <c r="AA59" s="182"/>
      <c r="AB59" s="182"/>
      <c r="AC59" s="182"/>
      <c r="AD59" s="182"/>
      <c r="AE59" s="182"/>
      <c r="AF59" s="182"/>
      <c r="AG59" s="182"/>
      <c r="AH59" s="182"/>
      <c r="AI59" s="182"/>
      <c r="AJ59" s="182"/>
      <c r="AK59" s="182"/>
      <c r="AL59" s="182"/>
      <c r="AM59" s="182"/>
      <c r="AN59" s="182"/>
      <c r="AO59" s="182"/>
      <c r="AP59" s="86"/>
      <c r="AQ59" s="79"/>
      <c r="AR59" s="79"/>
    </row>
    <row r="60" ht="0" hidden="1" customHeight="1">
      <c r="C60" s="181"/>
      <c r="D60" s="183"/>
      <c r="E60" s="183"/>
      <c r="F60" s="201"/>
      <c r="G60" s="181"/>
      <c r="H60" s="181"/>
      <c r="I60" s="181"/>
      <c r="J60" s="181"/>
      <c r="K60" s="181"/>
      <c r="L60" s="895"/>
      <c r="M60" s="895"/>
      <c r="N60" s="895"/>
      <c r="O60" s="895"/>
      <c r="P60" s="80"/>
      <c r="Q60" s="90"/>
      <c r="R60" s="182"/>
      <c r="S60" s="182"/>
      <c r="T60" s="182"/>
      <c r="U60" s="182"/>
      <c r="V60" s="182"/>
      <c r="W60" s="182"/>
      <c r="X60" s="182"/>
      <c r="Y60" s="182"/>
      <c r="Z60" s="182"/>
      <c r="AA60" s="182"/>
      <c r="AB60" s="182"/>
      <c r="AC60" s="182"/>
      <c r="AD60" s="182"/>
      <c r="AE60" s="182"/>
      <c r="AF60" s="182"/>
      <c r="AG60" s="182"/>
      <c r="AH60" s="182"/>
      <c r="AI60" s="182"/>
      <c r="AJ60" s="182"/>
      <c r="AK60" s="182"/>
      <c r="AL60" s="182"/>
      <c r="AM60" s="182"/>
      <c r="AN60" s="182"/>
      <c r="AO60" s="182"/>
      <c r="AP60" s="86"/>
      <c r="AQ60" s="79"/>
      <c r="AR60" s="79"/>
    </row>
    <row r="61" ht="0" hidden="1" customHeight="1">
      <c r="C61" s="181"/>
      <c r="D61" s="183"/>
      <c r="E61" s="183"/>
      <c r="F61" s="201"/>
      <c r="G61" s="181"/>
      <c r="H61" s="181"/>
      <c r="I61" s="181"/>
      <c r="J61" s="181"/>
      <c r="K61" s="181"/>
      <c r="L61" s="895"/>
      <c r="M61" s="895"/>
      <c r="N61" s="895"/>
      <c r="O61" s="895"/>
      <c r="P61" s="80"/>
      <c r="Q61" s="90"/>
      <c r="R61" s="182"/>
      <c r="S61" s="182"/>
      <c r="T61" s="182"/>
      <c r="U61" s="182"/>
      <c r="V61" s="182"/>
      <c r="W61" s="182"/>
      <c r="X61" s="182"/>
      <c r="Y61" s="182"/>
      <c r="Z61" s="182"/>
      <c r="AA61" s="182"/>
      <c r="AB61" s="182"/>
      <c r="AC61" s="182"/>
      <c r="AD61" s="182"/>
      <c r="AE61" s="182"/>
      <c r="AF61" s="182"/>
      <c r="AG61" s="182"/>
      <c r="AH61" s="182"/>
      <c r="AI61" s="182"/>
      <c r="AJ61" s="182"/>
      <c r="AK61" s="182"/>
      <c r="AL61" s="182"/>
      <c r="AM61" s="182"/>
      <c r="AN61" s="182"/>
      <c r="AO61" s="182"/>
      <c r="AP61" s="86"/>
      <c r="AQ61" s="79"/>
      <c r="AR61" s="79"/>
    </row>
    <row r="62" ht="0" hidden="1" customHeight="1">
      <c r="C62" s="181"/>
      <c r="D62" s="183"/>
      <c r="E62" s="183"/>
      <c r="F62" s="201"/>
      <c r="G62" s="181"/>
      <c r="H62" s="181"/>
      <c r="I62" s="181"/>
      <c r="J62" s="181"/>
      <c r="K62" s="181"/>
      <c r="L62" s="895"/>
      <c r="M62" s="895"/>
      <c r="N62" s="895"/>
      <c r="O62" s="895"/>
      <c r="P62" s="80"/>
      <c r="Q62" s="90"/>
      <c r="R62" s="182"/>
      <c r="S62" s="182"/>
      <c r="T62" s="182"/>
      <c r="U62" s="182"/>
      <c r="V62" s="182"/>
      <c r="W62" s="182"/>
      <c r="X62" s="182"/>
      <c r="Y62" s="182"/>
      <c r="Z62" s="182"/>
      <c r="AA62" s="182"/>
      <c r="AB62" s="182"/>
      <c r="AC62" s="182"/>
      <c r="AD62" s="182"/>
      <c r="AE62" s="182"/>
      <c r="AF62" s="182"/>
      <c r="AG62" s="182"/>
      <c r="AH62" s="182"/>
      <c r="AI62" s="182"/>
      <c r="AJ62" s="182"/>
      <c r="AK62" s="182"/>
      <c r="AL62" s="182"/>
      <c r="AM62" s="182"/>
      <c r="AN62" s="182"/>
      <c r="AO62" s="182"/>
      <c r="AP62" s="86"/>
      <c r="AQ62" s="79"/>
      <c r="AR62" s="79"/>
    </row>
    <row r="63" ht="0" hidden="1" customHeight="1">
      <c r="C63" s="181"/>
      <c r="D63" s="183"/>
      <c r="E63" s="183"/>
      <c r="F63" s="201"/>
      <c r="G63" s="181"/>
      <c r="H63" s="181"/>
      <c r="I63" s="181"/>
      <c r="J63" s="181"/>
      <c r="K63" s="181"/>
      <c r="L63" s="895"/>
      <c r="M63" s="895"/>
      <c r="N63" s="895"/>
      <c r="O63" s="895"/>
      <c r="P63" s="80"/>
      <c r="Q63" s="90"/>
      <c r="R63" s="182"/>
      <c r="S63" s="182"/>
      <c r="T63" s="182"/>
      <c r="U63" s="182"/>
      <c r="V63" s="182"/>
      <c r="W63" s="182"/>
      <c r="X63" s="182"/>
      <c r="Y63" s="182"/>
      <c r="Z63" s="182"/>
      <c r="AA63" s="182"/>
      <c r="AB63" s="182"/>
      <c r="AC63" s="182"/>
      <c r="AD63" s="182"/>
      <c r="AE63" s="182"/>
      <c r="AF63" s="182"/>
      <c r="AG63" s="182"/>
      <c r="AH63" s="182"/>
      <c r="AI63" s="182"/>
      <c r="AJ63" s="182"/>
      <c r="AK63" s="182"/>
      <c r="AL63" s="182"/>
      <c r="AM63" s="182"/>
      <c r="AN63" s="182"/>
      <c r="AO63" s="182"/>
      <c r="AP63" s="86"/>
      <c r="AQ63" s="79"/>
      <c r="AR63" s="79"/>
    </row>
    <row r="64" ht="0" hidden="1" customHeight="1">
      <c r="C64" s="181"/>
      <c r="D64" s="183"/>
      <c r="E64" s="183"/>
      <c r="F64" s="201"/>
      <c r="G64" s="181"/>
      <c r="H64" s="181"/>
      <c r="I64" s="181"/>
      <c r="J64" s="181"/>
      <c r="K64" s="181"/>
      <c r="L64" s="895"/>
      <c r="M64" s="895"/>
      <c r="N64" s="895"/>
      <c r="O64" s="895"/>
      <c r="P64" s="80"/>
      <c r="Q64" s="90"/>
      <c r="R64" s="182"/>
      <c r="S64" s="182"/>
      <c r="T64" s="182"/>
      <c r="U64" s="182"/>
      <c r="V64" s="182"/>
      <c r="W64" s="182"/>
      <c r="X64" s="182"/>
      <c r="Y64" s="182"/>
      <c r="Z64" s="182"/>
      <c r="AA64" s="182"/>
      <c r="AB64" s="182"/>
      <c r="AC64" s="182"/>
      <c r="AD64" s="182"/>
      <c r="AE64" s="182"/>
      <c r="AF64" s="182"/>
      <c r="AG64" s="182"/>
      <c r="AH64" s="182"/>
      <c r="AI64" s="182"/>
      <c r="AJ64" s="182"/>
      <c r="AK64" s="182"/>
      <c r="AL64" s="182"/>
      <c r="AM64" s="182"/>
      <c r="AN64" s="182"/>
      <c r="AO64" s="182"/>
      <c r="AP64" s="86"/>
      <c r="AQ64" s="79"/>
      <c r="AR64" s="79"/>
    </row>
    <row r="65" ht="0" hidden="1" customHeight="1">
      <c r="C65" s="181"/>
      <c r="D65" s="183"/>
      <c r="E65" s="183"/>
      <c r="F65" s="201"/>
      <c r="G65" s="181"/>
      <c r="H65" s="181"/>
      <c r="I65" s="181"/>
      <c r="J65" s="181"/>
      <c r="K65" s="181"/>
      <c r="L65" s="895"/>
      <c r="M65" s="895"/>
      <c r="N65" s="895"/>
      <c r="O65" s="895"/>
      <c r="P65" s="80"/>
      <c r="Q65" s="90"/>
      <c r="R65" s="182"/>
      <c r="S65" s="182"/>
      <c r="T65" s="182"/>
      <c r="U65" s="182"/>
      <c r="V65" s="182"/>
      <c r="W65" s="182"/>
      <c r="X65" s="182"/>
      <c r="Y65" s="182"/>
      <c r="Z65" s="182"/>
      <c r="AA65" s="182"/>
      <c r="AB65" s="182"/>
      <c r="AC65" s="182"/>
      <c r="AD65" s="182"/>
      <c r="AE65" s="182"/>
      <c r="AF65" s="182"/>
      <c r="AG65" s="182"/>
      <c r="AH65" s="182"/>
      <c r="AI65" s="182"/>
      <c r="AJ65" s="182"/>
      <c r="AK65" s="182"/>
      <c r="AL65" s="182"/>
      <c r="AM65" s="182"/>
      <c r="AN65" s="182"/>
      <c r="AO65" s="182"/>
      <c r="AP65" s="86"/>
      <c r="AQ65" s="79"/>
      <c r="AR65" s="79"/>
    </row>
    <row r="66" ht="0" hidden="1" customHeight="1">
      <c r="C66" s="181"/>
      <c r="D66" s="183"/>
      <c r="E66" s="183"/>
      <c r="F66" s="201"/>
      <c r="G66" s="181"/>
      <c r="H66" s="181"/>
      <c r="I66" s="181"/>
      <c r="J66" s="181"/>
      <c r="K66" s="181"/>
      <c r="L66" s="895"/>
      <c r="M66" s="895"/>
      <c r="N66" s="895"/>
      <c r="O66" s="895"/>
      <c r="P66" s="80"/>
      <c r="Q66" s="90"/>
      <c r="R66" s="182"/>
      <c r="S66" s="182"/>
      <c r="T66" s="182"/>
      <c r="U66" s="182"/>
      <c r="V66" s="182"/>
      <c r="W66" s="182"/>
      <c r="X66" s="182"/>
      <c r="Y66" s="182"/>
      <c r="Z66" s="182"/>
      <c r="AA66" s="182"/>
      <c r="AB66" s="182"/>
      <c r="AC66" s="182"/>
      <c r="AD66" s="182"/>
      <c r="AE66" s="182"/>
      <c r="AF66" s="182"/>
      <c r="AG66" s="182"/>
      <c r="AH66" s="182"/>
      <c r="AI66" s="182"/>
      <c r="AJ66" s="182"/>
      <c r="AK66" s="182"/>
      <c r="AL66" s="182"/>
      <c r="AM66" s="182"/>
      <c r="AN66" s="182"/>
      <c r="AO66" s="182"/>
      <c r="AP66" s="86"/>
      <c r="AQ66" s="79"/>
      <c r="AR66" s="79"/>
    </row>
    <row r="67" ht="0" hidden="1" customHeight="1">
      <c r="C67" s="181"/>
      <c r="D67" s="183"/>
      <c r="E67" s="183"/>
      <c r="F67" s="201"/>
      <c r="G67" s="181"/>
      <c r="H67" s="181"/>
      <c r="I67" s="181"/>
      <c r="J67" s="181"/>
      <c r="K67" s="181"/>
      <c r="L67" s="895"/>
      <c r="M67" s="895"/>
      <c r="N67" s="895"/>
      <c r="O67" s="895"/>
      <c r="P67" s="80"/>
      <c r="Q67" s="90"/>
      <c r="R67" s="182"/>
      <c r="S67" s="182"/>
      <c r="T67" s="182"/>
      <c r="U67" s="182"/>
      <c r="V67" s="182"/>
      <c r="W67" s="182"/>
      <c r="X67" s="182"/>
      <c r="Y67" s="182"/>
      <c r="Z67" s="182"/>
      <c r="AA67" s="182"/>
      <c r="AB67" s="182"/>
      <c r="AC67" s="182"/>
      <c r="AD67" s="182"/>
      <c r="AE67" s="182"/>
      <c r="AF67" s="182"/>
      <c r="AG67" s="182"/>
      <c r="AH67" s="182"/>
      <c r="AI67" s="182"/>
      <c r="AJ67" s="182"/>
      <c r="AK67" s="182"/>
      <c r="AL67" s="182"/>
      <c r="AM67" s="182"/>
      <c r="AN67" s="182"/>
      <c r="AO67" s="182"/>
      <c r="AP67" s="86"/>
      <c r="AQ67" s="79"/>
      <c r="AR67" s="79"/>
    </row>
    <row r="68" ht="0" hidden="1" customHeight="1">
      <c r="C68" s="181"/>
      <c r="D68" s="183"/>
      <c r="E68" s="183"/>
      <c r="F68" s="201"/>
      <c r="G68" s="181"/>
      <c r="H68" s="181"/>
      <c r="I68" s="181"/>
      <c r="J68" s="181"/>
      <c r="K68" s="181"/>
      <c r="L68" s="895"/>
      <c r="M68" s="895"/>
      <c r="N68" s="895"/>
      <c r="O68" s="895"/>
      <c r="P68" s="80"/>
      <c r="Q68" s="90"/>
      <c r="R68" s="182"/>
      <c r="S68" s="182"/>
      <c r="T68" s="182"/>
      <c r="U68" s="182"/>
      <c r="V68" s="182"/>
      <c r="W68" s="182"/>
      <c r="X68" s="182"/>
      <c r="Y68" s="182"/>
      <c r="Z68" s="182"/>
      <c r="AA68" s="182"/>
      <c r="AB68" s="182"/>
      <c r="AC68" s="182"/>
      <c r="AD68" s="182"/>
      <c r="AE68" s="182"/>
      <c r="AF68" s="182"/>
      <c r="AG68" s="182"/>
      <c r="AH68" s="182"/>
      <c r="AI68" s="182"/>
      <c r="AJ68" s="182"/>
      <c r="AK68" s="182"/>
      <c r="AL68" s="182"/>
      <c r="AM68" s="182"/>
      <c r="AN68" s="182"/>
      <c r="AO68" s="182"/>
      <c r="AP68" s="86"/>
      <c r="AQ68" s="79"/>
      <c r="AR68" s="79"/>
    </row>
    <row r="69" ht="0" hidden="1" customHeight="1">
      <c r="C69" s="181"/>
      <c r="D69" s="183"/>
      <c r="E69" s="183"/>
      <c r="F69" s="201"/>
      <c r="G69" s="181"/>
      <c r="H69" s="181"/>
      <c r="I69" s="181"/>
      <c r="J69" s="181"/>
      <c r="K69" s="181"/>
      <c r="L69" s="895"/>
      <c r="M69" s="895"/>
      <c r="N69" s="895"/>
      <c r="O69" s="895"/>
      <c r="P69" s="80"/>
      <c r="Q69" s="90"/>
      <c r="R69" s="182"/>
      <c r="S69" s="182"/>
      <c r="T69" s="182"/>
      <c r="U69" s="182"/>
      <c r="V69" s="182"/>
      <c r="W69" s="182"/>
      <c r="X69" s="182"/>
      <c r="Y69" s="182"/>
      <c r="Z69" s="182"/>
      <c r="AA69" s="182"/>
      <c r="AB69" s="182"/>
      <c r="AC69" s="182"/>
      <c r="AD69" s="182"/>
      <c r="AE69" s="182"/>
      <c r="AF69" s="182"/>
      <c r="AG69" s="182"/>
      <c r="AH69" s="182"/>
      <c r="AI69" s="182"/>
      <c r="AJ69" s="182"/>
      <c r="AK69" s="182"/>
      <c r="AL69" s="182"/>
      <c r="AM69" s="182"/>
      <c r="AN69" s="182"/>
      <c r="AO69" s="182"/>
      <c r="AP69" s="86"/>
      <c r="AQ69" s="79"/>
      <c r="AR69" s="79"/>
    </row>
    <row r="70" ht="0" hidden="1" customHeight="1">
      <c r="C70" s="181"/>
      <c r="D70" s="183"/>
      <c r="E70" s="183"/>
      <c r="F70" s="201"/>
      <c r="G70" s="181"/>
      <c r="H70" s="181"/>
      <c r="I70" s="181"/>
      <c r="J70" s="181"/>
      <c r="K70" s="181"/>
      <c r="L70" s="895"/>
      <c r="M70" s="895"/>
      <c r="N70" s="895"/>
      <c r="O70" s="895"/>
      <c r="P70" s="80"/>
      <c r="Q70" s="90"/>
      <c r="R70" s="182"/>
      <c r="S70" s="182"/>
      <c r="T70" s="182"/>
      <c r="U70" s="182"/>
      <c r="V70" s="182"/>
      <c r="W70" s="182"/>
      <c r="X70" s="182"/>
      <c r="Y70" s="182"/>
      <c r="Z70" s="182"/>
      <c r="AA70" s="182"/>
      <c r="AB70" s="182"/>
      <c r="AC70" s="182"/>
      <c r="AD70" s="182"/>
      <c r="AE70" s="182"/>
      <c r="AF70" s="182"/>
      <c r="AG70" s="182"/>
      <c r="AH70" s="182"/>
      <c r="AI70" s="182"/>
      <c r="AJ70" s="182"/>
      <c r="AK70" s="182"/>
      <c r="AL70" s="182"/>
      <c r="AM70" s="182"/>
      <c r="AN70" s="182"/>
      <c r="AO70" s="182"/>
      <c r="AP70" s="86"/>
      <c r="AQ70" s="79"/>
      <c r="AR70" s="79"/>
    </row>
    <row r="71" ht="0" hidden="1" customHeight="1">
      <c r="C71" s="181"/>
      <c r="D71" s="183"/>
      <c r="E71" s="183"/>
      <c r="F71" s="201"/>
      <c r="G71" s="181"/>
      <c r="H71" s="181"/>
      <c r="I71" s="181"/>
      <c r="J71" s="181"/>
      <c r="K71" s="181"/>
      <c r="L71" s="895"/>
      <c r="M71" s="895"/>
      <c r="N71" s="895"/>
      <c r="O71" s="895"/>
      <c r="P71" s="80"/>
      <c r="Q71" s="90"/>
      <c r="R71" s="182"/>
      <c r="S71" s="182"/>
      <c r="T71" s="182"/>
      <c r="U71" s="182"/>
      <c r="V71" s="182"/>
      <c r="W71" s="182"/>
      <c r="X71" s="182"/>
      <c r="Y71" s="182"/>
      <c r="Z71" s="182"/>
      <c r="AA71" s="182"/>
      <c r="AB71" s="182"/>
      <c r="AC71" s="182"/>
      <c r="AD71" s="182"/>
      <c r="AE71" s="182"/>
      <c r="AF71" s="182"/>
      <c r="AG71" s="182"/>
      <c r="AH71" s="182"/>
      <c r="AI71" s="182"/>
      <c r="AJ71" s="182"/>
      <c r="AK71" s="182"/>
      <c r="AL71" s="182"/>
      <c r="AM71" s="182"/>
      <c r="AN71" s="182"/>
      <c r="AO71" s="182"/>
      <c r="AP71" s="86"/>
      <c r="AQ71" s="79"/>
      <c r="AR71" s="79"/>
    </row>
    <row r="72" ht="0" hidden="1" customHeight="1">
      <c r="C72" s="181"/>
      <c r="D72" s="183"/>
      <c r="E72" s="183"/>
      <c r="F72" s="201"/>
      <c r="G72" s="181"/>
      <c r="H72" s="181"/>
      <c r="I72" s="181"/>
      <c r="J72" s="181"/>
      <c r="K72" s="181"/>
      <c r="L72" s="895"/>
      <c r="M72" s="895"/>
      <c r="N72" s="895"/>
      <c r="O72" s="895"/>
      <c r="P72" s="80"/>
      <c r="Q72" s="90"/>
      <c r="R72" s="182"/>
      <c r="S72" s="182"/>
      <c r="T72" s="182"/>
      <c r="U72" s="182"/>
      <c r="V72" s="182"/>
      <c r="W72" s="182"/>
      <c r="X72" s="182"/>
      <c r="Y72" s="182"/>
      <c r="Z72" s="182"/>
      <c r="AA72" s="182"/>
      <c r="AB72" s="182"/>
      <c r="AC72" s="182"/>
      <c r="AD72" s="182"/>
      <c r="AE72" s="182"/>
      <c r="AF72" s="182"/>
      <c r="AG72" s="182"/>
      <c r="AH72" s="182"/>
      <c r="AI72" s="182"/>
      <c r="AJ72" s="182"/>
      <c r="AK72" s="182"/>
      <c r="AL72" s="182"/>
      <c r="AM72" s="182"/>
      <c r="AN72" s="182"/>
      <c r="AO72" s="182"/>
      <c r="AP72" s="86"/>
      <c r="AQ72" s="79"/>
      <c r="AR72" s="79"/>
    </row>
    <row r="73" ht="0" hidden="1" customHeight="1">
      <c r="C73" s="181"/>
      <c r="D73" s="183"/>
      <c r="E73" s="183"/>
      <c r="F73" s="201"/>
      <c r="G73" s="181"/>
      <c r="H73" s="181"/>
      <c r="I73" s="181"/>
      <c r="J73" s="181"/>
      <c r="K73" s="181"/>
      <c r="L73" s="895"/>
      <c r="M73" s="895"/>
      <c r="N73" s="895"/>
      <c r="O73" s="895"/>
      <c r="P73" s="80"/>
      <c r="Q73" s="90"/>
      <c r="R73" s="182"/>
      <c r="S73" s="182"/>
      <c r="T73" s="182"/>
      <c r="U73" s="182"/>
      <c r="V73" s="182"/>
      <c r="W73" s="182"/>
      <c r="X73" s="182"/>
      <c r="Y73" s="182"/>
      <c r="Z73" s="182"/>
      <c r="AA73" s="182"/>
      <c r="AB73" s="182"/>
      <c r="AC73" s="182"/>
      <c r="AD73" s="182"/>
      <c r="AE73" s="182"/>
      <c r="AF73" s="182"/>
      <c r="AG73" s="182"/>
      <c r="AH73" s="182"/>
      <c r="AI73" s="182"/>
      <c r="AJ73" s="182"/>
      <c r="AK73" s="182"/>
      <c r="AL73" s="182"/>
      <c r="AM73" s="182"/>
      <c r="AN73" s="182"/>
      <c r="AO73" s="182"/>
      <c r="AP73" s="86"/>
      <c r="AQ73" s="79"/>
      <c r="AR73" s="79"/>
    </row>
    <row r="74" ht="0" hidden="1" customHeight="1">
      <c r="C74" s="181"/>
      <c r="D74" s="183"/>
      <c r="E74" s="183"/>
      <c r="F74" s="201"/>
      <c r="G74" s="181"/>
      <c r="H74" s="181"/>
      <c r="I74" s="181"/>
      <c r="J74" s="181"/>
      <c r="K74" s="181"/>
      <c r="L74" s="895"/>
      <c r="M74" s="895"/>
      <c r="N74" s="895"/>
      <c r="O74" s="895"/>
      <c r="P74" s="80"/>
      <c r="Q74" s="90"/>
      <c r="R74" s="182"/>
      <c r="S74" s="182"/>
      <c r="T74" s="182"/>
      <c r="U74" s="182"/>
      <c r="V74" s="182"/>
      <c r="W74" s="182"/>
      <c r="X74" s="182"/>
      <c r="Y74" s="182"/>
      <c r="Z74" s="182"/>
      <c r="AA74" s="182"/>
      <c r="AB74" s="182"/>
      <c r="AC74" s="182"/>
      <c r="AD74" s="182"/>
      <c r="AE74" s="182"/>
      <c r="AF74" s="182"/>
      <c r="AG74" s="182"/>
      <c r="AH74" s="182"/>
      <c r="AI74" s="182"/>
      <c r="AJ74" s="182"/>
      <c r="AK74" s="182"/>
      <c r="AL74" s="182"/>
      <c r="AM74" s="182"/>
      <c r="AN74" s="182"/>
      <c r="AO74" s="182"/>
      <c r="AP74" s="86"/>
      <c r="AQ74" s="79"/>
      <c r="AR74" s="79"/>
    </row>
    <row r="75" ht="0" hidden="1" customHeight="1">
      <c r="C75" s="181"/>
      <c r="D75" s="183"/>
      <c r="E75" s="183"/>
      <c r="F75" s="201"/>
      <c r="G75" s="181"/>
      <c r="H75" s="181"/>
      <c r="I75" s="181"/>
      <c r="J75" s="181"/>
      <c r="K75" s="181"/>
      <c r="L75" s="895"/>
      <c r="M75" s="895"/>
      <c r="N75" s="895"/>
      <c r="O75" s="895"/>
      <c r="P75" s="80"/>
      <c r="Q75" s="90"/>
      <c r="R75" s="182"/>
      <c r="S75" s="182"/>
      <c r="T75" s="182"/>
      <c r="U75" s="182"/>
      <c r="V75" s="182"/>
      <c r="W75" s="182"/>
      <c r="X75" s="182"/>
      <c r="Y75" s="182"/>
      <c r="Z75" s="182"/>
      <c r="AA75" s="182"/>
      <c r="AB75" s="182"/>
      <c r="AC75" s="182"/>
      <c r="AD75" s="182"/>
      <c r="AE75" s="182"/>
      <c r="AF75" s="182"/>
      <c r="AG75" s="182"/>
      <c r="AH75" s="182"/>
      <c r="AI75" s="182"/>
      <c r="AJ75" s="182"/>
      <c r="AK75" s="182"/>
      <c r="AL75" s="182"/>
      <c r="AM75" s="182"/>
      <c r="AN75" s="182"/>
      <c r="AO75" s="182"/>
      <c r="AP75" s="86"/>
      <c r="AQ75" s="79"/>
      <c r="AR75" s="79"/>
    </row>
    <row r="76" ht="0" hidden="1" customHeight="1">
      <c r="C76" s="181"/>
      <c r="D76" s="183"/>
      <c r="E76" s="183"/>
      <c r="F76" s="201"/>
      <c r="G76" s="181"/>
      <c r="H76" s="181"/>
      <c r="I76" s="181"/>
      <c r="J76" s="181"/>
      <c r="K76" s="181"/>
      <c r="L76" s="895"/>
      <c r="M76" s="895"/>
      <c r="N76" s="895"/>
      <c r="O76" s="895"/>
      <c r="P76" s="80"/>
      <c r="Q76" s="90"/>
      <c r="R76" s="182"/>
      <c r="S76" s="182"/>
      <c r="T76" s="182"/>
      <c r="U76" s="182"/>
      <c r="V76" s="182"/>
      <c r="W76" s="182"/>
      <c r="X76" s="182"/>
      <c r="Y76" s="182"/>
      <c r="Z76" s="182"/>
      <c r="AA76" s="182"/>
      <c r="AB76" s="182"/>
      <c r="AC76" s="182"/>
      <c r="AD76" s="182"/>
      <c r="AE76" s="182"/>
      <c r="AF76" s="182"/>
      <c r="AG76" s="182"/>
      <c r="AH76" s="182"/>
      <c r="AI76" s="182"/>
      <c r="AJ76" s="182"/>
      <c r="AK76" s="182"/>
      <c r="AL76" s="182"/>
      <c r="AM76" s="182"/>
      <c r="AN76" s="182"/>
      <c r="AO76" s="182"/>
      <c r="AP76" s="86"/>
      <c r="AQ76" s="79"/>
      <c r="AR76" s="79"/>
    </row>
    <row r="77" ht="0" hidden="1" customHeight="1">
      <c r="C77" s="181"/>
      <c r="D77" s="183"/>
      <c r="E77" s="183"/>
      <c r="F77" s="201"/>
      <c r="G77" s="181"/>
      <c r="H77" s="181"/>
      <c r="I77" s="181"/>
      <c r="J77" s="181"/>
      <c r="K77" s="181"/>
      <c r="L77" s="895"/>
      <c r="M77" s="895"/>
      <c r="N77" s="895"/>
      <c r="O77" s="895"/>
      <c r="P77" s="80"/>
      <c r="Q77" s="90"/>
      <c r="R77" s="182"/>
      <c r="S77" s="182"/>
      <c r="T77" s="182"/>
      <c r="U77" s="182"/>
      <c r="V77" s="182"/>
      <c r="W77" s="182"/>
      <c r="X77" s="182"/>
      <c r="Y77" s="182"/>
      <c r="Z77" s="182"/>
      <c r="AA77" s="182"/>
      <c r="AB77" s="182"/>
      <c r="AC77" s="182"/>
      <c r="AD77" s="182"/>
      <c r="AE77" s="182"/>
      <c r="AF77" s="182"/>
      <c r="AG77" s="182"/>
      <c r="AH77" s="182"/>
      <c r="AI77" s="182"/>
      <c r="AJ77" s="182"/>
      <c r="AK77" s="182"/>
      <c r="AL77" s="182"/>
      <c r="AM77" s="182"/>
      <c r="AN77" s="182"/>
      <c r="AO77" s="182"/>
      <c r="AP77" s="86"/>
      <c r="AQ77" s="79"/>
      <c r="AR77" s="79"/>
    </row>
    <row r="78" ht="0" hidden="1" customHeight="1">
      <c r="C78" s="181"/>
      <c r="D78" s="183"/>
      <c r="E78" s="183"/>
      <c r="F78" s="201"/>
      <c r="G78" s="181"/>
      <c r="H78" s="181"/>
      <c r="I78" s="181"/>
      <c r="J78" s="181"/>
      <c r="K78" s="181"/>
      <c r="L78" s="895"/>
      <c r="M78" s="895"/>
      <c r="N78" s="895"/>
      <c r="O78" s="895"/>
      <c r="P78" s="80"/>
      <c r="Q78" s="90"/>
      <c r="R78" s="182"/>
      <c r="S78" s="182"/>
      <c r="T78" s="182"/>
      <c r="U78" s="182"/>
      <c r="V78" s="182"/>
      <c r="W78" s="182"/>
      <c r="X78" s="182"/>
      <c r="Y78" s="182"/>
      <c r="Z78" s="182"/>
      <c r="AA78" s="182"/>
      <c r="AB78" s="182"/>
      <c r="AC78" s="182"/>
      <c r="AD78" s="182"/>
      <c r="AE78" s="182"/>
      <c r="AF78" s="182"/>
      <c r="AG78" s="182"/>
      <c r="AH78" s="182"/>
      <c r="AI78" s="182"/>
      <c r="AJ78" s="182"/>
      <c r="AK78" s="182"/>
      <c r="AL78" s="182"/>
      <c r="AM78" s="182"/>
      <c r="AN78" s="182"/>
      <c r="AO78" s="182"/>
      <c r="AP78" s="86"/>
      <c r="AQ78" s="79"/>
      <c r="AR78" s="79"/>
    </row>
    <row r="79" ht="0" hidden="1" customHeight="1">
      <c r="C79" s="181"/>
      <c r="D79" s="183"/>
      <c r="E79" s="183"/>
      <c r="F79" s="201"/>
      <c r="G79" s="181"/>
      <c r="H79" s="181"/>
      <c r="I79" s="181"/>
      <c r="J79" s="181"/>
      <c r="K79" s="181"/>
      <c r="L79" s="895"/>
      <c r="M79" s="895"/>
      <c r="N79" s="895"/>
      <c r="O79" s="895"/>
      <c r="P79" s="80"/>
      <c r="Q79" s="90"/>
      <c r="R79" s="182"/>
      <c r="S79" s="182"/>
      <c r="T79" s="182"/>
      <c r="U79" s="182"/>
      <c r="V79" s="182"/>
      <c r="W79" s="182"/>
      <c r="X79" s="182"/>
      <c r="Y79" s="182"/>
      <c r="Z79" s="182"/>
      <c r="AA79" s="182"/>
      <c r="AB79" s="182"/>
      <c r="AC79" s="182"/>
      <c r="AD79" s="182"/>
      <c r="AE79" s="182"/>
      <c r="AF79" s="182"/>
      <c r="AG79" s="182"/>
      <c r="AH79" s="182"/>
      <c r="AI79" s="182"/>
      <c r="AJ79" s="182"/>
      <c r="AK79" s="182"/>
      <c r="AL79" s="182"/>
      <c r="AM79" s="182"/>
      <c r="AN79" s="182"/>
      <c r="AO79" s="182"/>
      <c r="AP79" s="86"/>
      <c r="AQ79" s="79"/>
      <c r="AR79" s="79"/>
    </row>
    <row r="80" ht="0" hidden="1" customHeight="1">
      <c r="C80" s="181"/>
      <c r="D80" s="183"/>
      <c r="E80" s="183"/>
      <c r="F80" s="201"/>
      <c r="G80" s="181"/>
      <c r="H80" s="181"/>
      <c r="I80" s="181"/>
      <c r="J80" s="181"/>
      <c r="K80" s="181"/>
      <c r="L80" s="895"/>
      <c r="M80" s="895"/>
      <c r="N80" s="895"/>
      <c r="O80" s="895"/>
      <c r="P80" s="80"/>
      <c r="Q80" s="90"/>
      <c r="R80" s="182"/>
      <c r="S80" s="182"/>
      <c r="T80" s="182"/>
      <c r="U80" s="182"/>
      <c r="V80" s="182"/>
      <c r="W80" s="182"/>
      <c r="X80" s="182"/>
      <c r="Y80" s="182"/>
      <c r="Z80" s="182"/>
      <c r="AA80" s="182"/>
      <c r="AB80" s="182"/>
      <c r="AC80" s="182"/>
      <c r="AD80" s="182"/>
      <c r="AE80" s="182"/>
      <c r="AF80" s="182"/>
      <c r="AG80" s="182"/>
      <c r="AH80" s="182"/>
      <c r="AI80" s="182"/>
      <c r="AJ80" s="182"/>
      <c r="AK80" s="182"/>
      <c r="AL80" s="182"/>
      <c r="AM80" s="182"/>
      <c r="AN80" s="182"/>
      <c r="AO80" s="182"/>
      <c r="AP80" s="86"/>
      <c r="AQ80" s="79"/>
      <c r="AR80" s="79"/>
    </row>
    <row r="81" ht="0" hidden="1" customHeight="1">
      <c r="C81" s="181"/>
      <c r="D81" s="183"/>
      <c r="E81" s="183"/>
      <c r="F81" s="201"/>
      <c r="G81" s="181"/>
      <c r="H81" s="181"/>
      <c r="I81" s="181"/>
      <c r="J81" s="181"/>
      <c r="K81" s="181"/>
      <c r="L81" s="895"/>
      <c r="M81" s="895"/>
      <c r="N81" s="895"/>
      <c r="O81" s="895"/>
      <c r="P81" s="80"/>
      <c r="Q81" s="90"/>
      <c r="R81" s="182"/>
      <c r="S81" s="182"/>
      <c r="T81" s="182"/>
      <c r="U81" s="182"/>
      <c r="V81" s="182"/>
      <c r="W81" s="182"/>
      <c r="X81" s="182"/>
      <c r="Y81" s="182"/>
      <c r="Z81" s="182"/>
      <c r="AA81" s="182"/>
      <c r="AB81" s="182"/>
      <c r="AC81" s="182"/>
      <c r="AD81" s="182"/>
      <c r="AE81" s="182"/>
      <c r="AF81" s="182"/>
      <c r="AG81" s="182"/>
      <c r="AH81" s="182"/>
      <c r="AI81" s="182"/>
      <c r="AJ81" s="182"/>
      <c r="AK81" s="182"/>
      <c r="AL81" s="182"/>
      <c r="AM81" s="182"/>
      <c r="AN81" s="182"/>
      <c r="AO81" s="182"/>
      <c r="AP81" s="86"/>
      <c r="AQ81" s="79"/>
      <c r="AR81" s="79"/>
    </row>
    <row r="82" ht="0" hidden="1" customHeight="1">
      <c r="C82" s="181"/>
      <c r="D82" s="183"/>
      <c r="E82" s="183"/>
      <c r="F82" s="201"/>
      <c r="G82" s="181"/>
      <c r="H82" s="181"/>
      <c r="I82" s="181"/>
      <c r="J82" s="181"/>
      <c r="K82" s="181"/>
      <c r="L82" s="895"/>
      <c r="M82" s="895"/>
      <c r="N82" s="895"/>
      <c r="O82" s="895"/>
      <c r="P82" s="80"/>
      <c r="Q82" s="90"/>
      <c r="R82" s="182"/>
      <c r="S82" s="182"/>
      <c r="T82" s="182"/>
      <c r="U82" s="182"/>
      <c r="V82" s="182"/>
      <c r="W82" s="182"/>
      <c r="X82" s="182"/>
      <c r="Y82" s="182"/>
      <c r="Z82" s="182"/>
      <c r="AA82" s="182"/>
      <c r="AB82" s="182"/>
      <c r="AC82" s="182"/>
      <c r="AD82" s="182"/>
      <c r="AE82" s="182"/>
      <c r="AF82" s="182"/>
      <c r="AG82" s="182"/>
      <c r="AH82" s="182"/>
      <c r="AI82" s="182"/>
      <c r="AJ82" s="182"/>
      <c r="AK82" s="182"/>
      <c r="AL82" s="182"/>
      <c r="AM82" s="182"/>
      <c r="AN82" s="182"/>
      <c r="AO82" s="182"/>
      <c r="AP82" s="86"/>
      <c r="AQ82" s="79"/>
      <c r="AR82" s="79"/>
    </row>
    <row r="83" ht="0" hidden="1" customHeight="1">
      <c r="C83" s="181"/>
      <c r="D83" s="183"/>
      <c r="E83" s="183"/>
      <c r="F83" s="201"/>
      <c r="G83" s="181"/>
      <c r="H83" s="181"/>
      <c r="I83" s="181"/>
      <c r="J83" s="181"/>
      <c r="K83" s="181"/>
      <c r="L83" s="895"/>
      <c r="M83" s="895"/>
      <c r="N83" s="895"/>
      <c r="O83" s="895"/>
      <c r="P83" s="80"/>
      <c r="Q83" s="90"/>
      <c r="R83" s="182"/>
      <c r="S83" s="182"/>
      <c r="T83" s="182"/>
      <c r="U83" s="182"/>
      <c r="V83" s="182"/>
      <c r="W83" s="182"/>
      <c r="X83" s="182"/>
      <c r="Y83" s="182"/>
      <c r="Z83" s="182"/>
      <c r="AA83" s="182"/>
      <c r="AB83" s="182"/>
      <c r="AC83" s="182"/>
      <c r="AD83" s="182"/>
      <c r="AE83" s="182"/>
      <c r="AF83" s="182"/>
      <c r="AG83" s="182"/>
      <c r="AH83" s="182"/>
      <c r="AI83" s="182"/>
      <c r="AJ83" s="182"/>
      <c r="AK83" s="182"/>
      <c r="AL83" s="182"/>
      <c r="AM83" s="182"/>
      <c r="AN83" s="182"/>
      <c r="AO83" s="182"/>
      <c r="AP83" s="86"/>
      <c r="AQ83" s="79"/>
      <c r="AR83" s="79"/>
    </row>
    <row r="84" ht="0" hidden="1" customHeight="1">
      <c r="C84" s="181"/>
      <c r="D84" s="183"/>
      <c r="E84" s="183"/>
      <c r="F84" s="201"/>
      <c r="G84" s="181"/>
      <c r="H84" s="181"/>
      <c r="I84" s="181"/>
      <c r="J84" s="181"/>
      <c r="K84" s="181"/>
      <c r="L84" s="895"/>
      <c r="M84" s="895"/>
      <c r="N84" s="895"/>
      <c r="O84" s="895"/>
      <c r="P84" s="80"/>
      <c r="Q84" s="90"/>
      <c r="R84" s="182"/>
      <c r="S84" s="182"/>
      <c r="T84" s="182"/>
      <c r="U84" s="182"/>
      <c r="V84" s="182"/>
      <c r="W84" s="182"/>
      <c r="X84" s="182"/>
      <c r="Y84" s="182"/>
      <c r="Z84" s="182"/>
      <c r="AA84" s="182"/>
      <c r="AB84" s="182"/>
      <c r="AC84" s="182"/>
      <c r="AD84" s="182"/>
      <c r="AE84" s="182"/>
      <c r="AF84" s="182"/>
      <c r="AG84" s="182"/>
      <c r="AH84" s="182"/>
      <c r="AI84" s="182"/>
      <c r="AJ84" s="182"/>
      <c r="AK84" s="182"/>
      <c r="AL84" s="182"/>
      <c r="AM84" s="182"/>
      <c r="AN84" s="182"/>
      <c r="AO84" s="182"/>
      <c r="AP84" s="86"/>
      <c r="AQ84" s="79"/>
      <c r="AR84" s="79"/>
    </row>
    <row r="85" ht="0" hidden="1" customHeight="1">
      <c r="C85" s="181"/>
      <c r="D85" s="183"/>
      <c r="E85" s="183"/>
      <c r="F85" s="201"/>
      <c r="G85" s="181"/>
      <c r="H85" s="181"/>
      <c r="I85" s="181"/>
      <c r="J85" s="181"/>
      <c r="K85" s="181"/>
      <c r="L85" s="895"/>
      <c r="M85" s="895"/>
      <c r="N85" s="895"/>
      <c r="O85" s="895"/>
      <c r="P85" s="80"/>
      <c r="Q85" s="90"/>
      <c r="R85" s="182"/>
      <c r="S85" s="182"/>
      <c r="T85" s="182"/>
      <c r="U85" s="182"/>
      <c r="V85" s="182"/>
      <c r="W85" s="182"/>
      <c r="X85" s="182"/>
      <c r="Y85" s="182"/>
      <c r="Z85" s="182"/>
      <c r="AA85" s="182"/>
      <c r="AB85" s="182"/>
      <c r="AC85" s="182"/>
      <c r="AD85" s="182"/>
      <c r="AE85" s="182"/>
      <c r="AF85" s="182"/>
      <c r="AG85" s="182"/>
      <c r="AH85" s="182"/>
      <c r="AI85" s="182"/>
      <c r="AJ85" s="182"/>
      <c r="AK85" s="182"/>
      <c r="AL85" s="182"/>
      <c r="AM85" s="182"/>
      <c r="AN85" s="182"/>
      <c r="AO85" s="182"/>
      <c r="AP85" s="86"/>
      <c r="AQ85" s="79"/>
      <c r="AR85" s="79"/>
    </row>
    <row r="86" ht="0" hidden="1" customHeight="1">
      <c r="C86" s="181"/>
      <c r="D86" s="183"/>
      <c r="E86" s="183"/>
      <c r="F86" s="201"/>
      <c r="G86" s="181"/>
      <c r="H86" s="181"/>
      <c r="I86" s="181"/>
      <c r="J86" s="181"/>
      <c r="K86" s="181"/>
      <c r="L86" s="895"/>
      <c r="M86" s="895"/>
      <c r="N86" s="895"/>
      <c r="O86" s="895"/>
      <c r="P86" s="80"/>
      <c r="Q86" s="90"/>
      <c r="R86" s="182"/>
      <c r="S86" s="182"/>
      <c r="T86" s="182"/>
      <c r="U86" s="182"/>
      <c r="V86" s="182"/>
      <c r="W86" s="182"/>
      <c r="X86" s="182"/>
      <c r="Y86" s="182"/>
      <c r="Z86" s="182"/>
      <c r="AA86" s="182"/>
      <c r="AB86" s="182"/>
      <c r="AC86" s="182"/>
      <c r="AD86" s="182"/>
      <c r="AE86" s="182"/>
      <c r="AF86" s="182"/>
      <c r="AG86" s="182"/>
      <c r="AH86" s="182"/>
      <c r="AI86" s="182"/>
      <c r="AJ86" s="182"/>
      <c r="AK86" s="182"/>
      <c r="AL86" s="182"/>
      <c r="AM86" s="182"/>
      <c r="AN86" s="182"/>
      <c r="AO86" s="182"/>
      <c r="AP86" s="86"/>
      <c r="AQ86" s="79"/>
      <c r="AR86" s="79"/>
    </row>
    <row r="87" ht="0" hidden="1" customHeight="1">
      <c r="C87" s="181"/>
      <c r="D87" s="183"/>
      <c r="E87" s="183"/>
      <c r="F87" s="201"/>
      <c r="G87" s="181"/>
      <c r="H87" s="181"/>
      <c r="I87" s="181"/>
      <c r="J87" s="181"/>
      <c r="K87" s="181"/>
      <c r="L87" s="895"/>
      <c r="M87" s="895"/>
      <c r="N87" s="895"/>
      <c r="O87" s="895"/>
      <c r="P87" s="80"/>
      <c r="Q87" s="90"/>
      <c r="R87" s="182"/>
      <c r="S87" s="182"/>
      <c r="T87" s="182"/>
      <c r="U87" s="182"/>
      <c r="V87" s="182"/>
      <c r="W87" s="182"/>
      <c r="X87" s="182"/>
      <c r="Y87" s="182"/>
      <c r="Z87" s="182"/>
      <c r="AA87" s="182"/>
      <c r="AB87" s="182"/>
      <c r="AC87" s="182"/>
      <c r="AD87" s="182"/>
      <c r="AE87" s="182"/>
      <c r="AF87" s="182"/>
      <c r="AG87" s="182"/>
      <c r="AH87" s="182"/>
      <c r="AI87" s="182"/>
      <c r="AJ87" s="182"/>
      <c r="AK87" s="182"/>
      <c r="AL87" s="182"/>
      <c r="AM87" s="182"/>
      <c r="AN87" s="182"/>
      <c r="AO87" s="182"/>
      <c r="AP87" s="86"/>
      <c r="AQ87" s="79"/>
      <c r="AR87" s="79"/>
    </row>
    <row r="88" ht="0" hidden="1" customHeight="1">
      <c r="C88" s="181"/>
      <c r="D88" s="183"/>
      <c r="E88" s="183"/>
      <c r="F88" s="201"/>
      <c r="G88" s="181"/>
      <c r="H88" s="181"/>
      <c r="I88" s="181"/>
      <c r="J88" s="181"/>
      <c r="K88" s="181"/>
      <c r="L88" s="895"/>
      <c r="M88" s="895"/>
      <c r="N88" s="895"/>
      <c r="O88" s="895"/>
      <c r="P88" s="80"/>
      <c r="Q88" s="90"/>
      <c r="R88" s="182"/>
      <c r="S88" s="182"/>
      <c r="T88" s="182"/>
      <c r="U88" s="182"/>
      <c r="V88" s="182"/>
      <c r="W88" s="182"/>
      <c r="X88" s="182"/>
      <c r="Y88" s="182"/>
      <c r="Z88" s="182"/>
      <c r="AA88" s="182"/>
      <c r="AB88" s="182"/>
      <c r="AC88" s="182"/>
      <c r="AD88" s="182"/>
      <c r="AE88" s="182"/>
      <c r="AF88" s="182"/>
      <c r="AG88" s="182"/>
      <c r="AH88" s="182"/>
      <c r="AI88" s="182"/>
      <c r="AJ88" s="182"/>
      <c r="AK88" s="182"/>
      <c r="AL88" s="182"/>
      <c r="AM88" s="182"/>
      <c r="AN88" s="182"/>
      <c r="AO88" s="182"/>
      <c r="AP88" s="86"/>
      <c r="AQ88" s="79"/>
      <c r="AR88" s="79"/>
    </row>
    <row r="89" ht="0" hidden="1" customHeight="1">
      <c r="C89" s="181"/>
      <c r="D89" s="183"/>
      <c r="E89" s="183"/>
      <c r="F89" s="201"/>
      <c r="G89" s="181"/>
      <c r="H89" s="181"/>
      <c r="I89" s="181"/>
      <c r="J89" s="181"/>
      <c r="K89" s="181"/>
      <c r="L89" s="895"/>
      <c r="M89" s="895"/>
      <c r="N89" s="895"/>
      <c r="O89" s="895"/>
      <c r="P89" s="80"/>
      <c r="Q89" s="90"/>
      <c r="R89" s="182"/>
      <c r="S89" s="182"/>
      <c r="T89" s="182"/>
      <c r="U89" s="182"/>
      <c r="V89" s="182"/>
      <c r="W89" s="182"/>
      <c r="X89" s="182"/>
      <c r="Y89" s="182"/>
      <c r="Z89" s="182"/>
      <c r="AA89" s="182"/>
      <c r="AB89" s="182"/>
      <c r="AC89" s="182"/>
      <c r="AD89" s="182"/>
      <c r="AE89" s="182"/>
      <c r="AF89" s="182"/>
      <c r="AG89" s="182"/>
      <c r="AH89" s="182"/>
      <c r="AI89" s="182"/>
      <c r="AJ89" s="182"/>
      <c r="AK89" s="182"/>
      <c r="AL89" s="182"/>
      <c r="AM89" s="182"/>
      <c r="AN89" s="182"/>
      <c r="AO89" s="182"/>
      <c r="AP89" s="86"/>
      <c r="AQ89" s="79"/>
      <c r="AR89" s="79"/>
    </row>
    <row r="90" ht="0" hidden="1" customHeight="1">
      <c r="C90" s="181"/>
      <c r="D90" s="183"/>
      <c r="E90" s="183"/>
      <c r="F90" s="201"/>
      <c r="G90" s="181"/>
      <c r="H90" s="181"/>
      <c r="I90" s="181"/>
      <c r="J90" s="181"/>
      <c r="K90" s="181"/>
      <c r="L90" s="895"/>
      <c r="M90" s="895"/>
      <c r="N90" s="895"/>
      <c r="O90" s="895"/>
      <c r="P90" s="80"/>
      <c r="Q90" s="90"/>
      <c r="R90" s="182"/>
      <c r="S90" s="182"/>
      <c r="T90" s="182"/>
      <c r="U90" s="182"/>
      <c r="V90" s="182"/>
      <c r="W90" s="182"/>
      <c r="X90" s="182"/>
      <c r="Y90" s="182"/>
      <c r="Z90" s="182"/>
      <c r="AA90" s="182"/>
      <c r="AB90" s="182"/>
      <c r="AC90" s="182"/>
      <c r="AD90" s="182"/>
      <c r="AE90" s="182"/>
      <c r="AF90" s="182"/>
      <c r="AG90" s="182"/>
      <c r="AH90" s="182"/>
      <c r="AI90" s="182"/>
      <c r="AJ90" s="182"/>
      <c r="AK90" s="182"/>
      <c r="AL90" s="182"/>
      <c r="AM90" s="182"/>
      <c r="AN90" s="182"/>
      <c r="AO90" s="182"/>
      <c r="AP90" s="86"/>
      <c r="AQ90" s="79"/>
      <c r="AR90" s="79"/>
    </row>
    <row r="91" ht="0" hidden="1" customHeight="1">
      <c r="C91" s="181"/>
      <c r="D91" s="183"/>
      <c r="E91" s="183"/>
      <c r="F91" s="201"/>
      <c r="G91" s="181"/>
      <c r="H91" s="181"/>
      <c r="I91" s="181"/>
      <c r="J91" s="181"/>
      <c r="K91" s="181"/>
      <c r="L91" s="895"/>
      <c r="M91" s="895"/>
      <c r="N91" s="895"/>
      <c r="O91" s="895"/>
      <c r="P91" s="80"/>
      <c r="Q91" s="90"/>
      <c r="R91" s="182"/>
      <c r="S91" s="182"/>
      <c r="T91" s="182"/>
      <c r="U91" s="182"/>
      <c r="V91" s="182"/>
      <c r="W91" s="182"/>
      <c r="X91" s="182"/>
      <c r="Y91" s="182"/>
      <c r="Z91" s="182"/>
      <c r="AA91" s="182"/>
      <c r="AB91" s="182"/>
      <c r="AC91" s="182"/>
      <c r="AD91" s="182"/>
      <c r="AE91" s="182"/>
      <c r="AF91" s="182"/>
      <c r="AG91" s="182"/>
      <c r="AH91" s="182"/>
      <c r="AI91" s="182"/>
      <c r="AJ91" s="182"/>
      <c r="AK91" s="182"/>
      <c r="AL91" s="182"/>
      <c r="AM91" s="182"/>
      <c r="AN91" s="182"/>
      <c r="AO91" s="182"/>
      <c r="AP91" s="86"/>
      <c r="AQ91" s="79"/>
      <c r="AR91" s="79"/>
    </row>
    <row r="92" ht="0" hidden="1" customHeight="1">
      <c r="C92" s="181"/>
      <c r="D92" s="183"/>
      <c r="E92" s="183"/>
      <c r="F92" s="201"/>
      <c r="G92" s="181"/>
      <c r="H92" s="181"/>
      <c r="I92" s="181"/>
      <c r="J92" s="181"/>
      <c r="K92" s="181"/>
      <c r="L92" s="895"/>
      <c r="M92" s="895"/>
      <c r="N92" s="895"/>
      <c r="O92" s="895"/>
      <c r="P92" s="80"/>
      <c r="Q92" s="90"/>
      <c r="R92" s="182"/>
      <c r="S92" s="182"/>
      <c r="T92" s="182"/>
      <c r="U92" s="182"/>
      <c r="V92" s="182"/>
      <c r="W92" s="182"/>
      <c r="X92" s="182"/>
      <c r="Y92" s="182"/>
      <c r="Z92" s="182"/>
      <c r="AA92" s="182"/>
      <c r="AB92" s="182"/>
      <c r="AC92" s="182"/>
      <c r="AD92" s="182"/>
      <c r="AE92" s="182"/>
      <c r="AF92" s="182"/>
      <c r="AG92" s="182"/>
      <c r="AH92" s="182"/>
      <c r="AI92" s="182"/>
      <c r="AJ92" s="182"/>
      <c r="AK92" s="182"/>
      <c r="AL92" s="182"/>
      <c r="AM92" s="182"/>
      <c r="AN92" s="182"/>
      <c r="AO92" s="182"/>
      <c r="AP92" s="86"/>
      <c r="AQ92" s="79"/>
      <c r="AR92" s="79"/>
    </row>
    <row r="93" ht="0" hidden="1" customHeight="1">
      <c r="C93" s="181"/>
      <c r="D93" s="183"/>
      <c r="E93" s="183"/>
      <c r="F93" s="201"/>
      <c r="G93" s="181"/>
      <c r="H93" s="181"/>
      <c r="I93" s="181"/>
      <c r="J93" s="181"/>
      <c r="K93" s="181"/>
      <c r="L93" s="895"/>
      <c r="M93" s="895"/>
      <c r="N93" s="895"/>
      <c r="O93" s="895"/>
      <c r="P93" s="80"/>
      <c r="Q93" s="90"/>
      <c r="R93" s="182"/>
      <c r="S93" s="182"/>
      <c r="T93" s="182"/>
      <c r="U93" s="182"/>
      <c r="V93" s="182"/>
      <c r="W93" s="182"/>
      <c r="X93" s="182"/>
      <c r="Y93" s="182"/>
      <c r="Z93" s="182"/>
      <c r="AA93" s="182"/>
      <c r="AB93" s="182"/>
      <c r="AC93" s="182"/>
      <c r="AD93" s="182"/>
      <c r="AE93" s="182"/>
      <c r="AF93" s="182"/>
      <c r="AG93" s="182"/>
      <c r="AH93" s="182"/>
      <c r="AI93" s="182"/>
      <c r="AJ93" s="182"/>
      <c r="AK93" s="182"/>
      <c r="AL93" s="182"/>
      <c r="AM93" s="182"/>
      <c r="AN93" s="182"/>
      <c r="AO93" s="182"/>
      <c r="AP93" s="86"/>
      <c r="AQ93" s="79"/>
      <c r="AR93" s="79"/>
    </row>
    <row r="94" ht="0" hidden="1" customHeight="1">
      <c r="C94" s="181"/>
      <c r="D94" s="183"/>
      <c r="E94" s="183"/>
      <c r="F94" s="201"/>
      <c r="G94" s="181"/>
      <c r="H94" s="181"/>
      <c r="I94" s="181"/>
      <c r="J94" s="181"/>
      <c r="K94" s="181"/>
      <c r="L94" s="895"/>
      <c r="M94" s="895"/>
      <c r="N94" s="895"/>
      <c r="O94" s="895"/>
      <c r="P94" s="80"/>
      <c r="Q94" s="90"/>
      <c r="R94" s="182"/>
      <c r="S94" s="182"/>
      <c r="T94" s="182"/>
      <c r="U94" s="182"/>
      <c r="V94" s="182"/>
      <c r="W94" s="182"/>
      <c r="X94" s="182"/>
      <c r="Y94" s="182"/>
      <c r="Z94" s="182"/>
      <c r="AA94" s="182"/>
      <c r="AB94" s="182"/>
      <c r="AC94" s="182"/>
      <c r="AD94" s="182"/>
      <c r="AE94" s="182"/>
      <c r="AF94" s="182"/>
      <c r="AG94" s="182"/>
      <c r="AH94" s="182"/>
      <c r="AI94" s="182"/>
      <c r="AJ94" s="182"/>
      <c r="AK94" s="182"/>
      <c r="AL94" s="182"/>
      <c r="AM94" s="182"/>
      <c r="AN94" s="182"/>
      <c r="AO94" s="182"/>
      <c r="AP94" s="86"/>
      <c r="AQ94" s="79"/>
      <c r="AR94" s="79"/>
    </row>
    <row r="95" ht="0" hidden="1" customHeight="1">
      <c r="C95" s="181"/>
      <c r="D95" s="183"/>
      <c r="E95" s="183"/>
      <c r="F95" s="201"/>
      <c r="G95" s="181"/>
      <c r="H95" s="181"/>
      <c r="I95" s="181"/>
      <c r="J95" s="181"/>
      <c r="K95" s="181"/>
      <c r="L95" s="895"/>
      <c r="M95" s="895"/>
      <c r="N95" s="895"/>
      <c r="O95" s="895"/>
      <c r="P95" s="80"/>
      <c r="Q95" s="90"/>
      <c r="R95" s="182"/>
      <c r="S95" s="182"/>
      <c r="T95" s="182"/>
      <c r="U95" s="182"/>
      <c r="V95" s="182"/>
      <c r="W95" s="182"/>
      <c r="X95" s="182"/>
      <c r="Y95" s="182"/>
      <c r="Z95" s="182"/>
      <c r="AA95" s="182"/>
      <c r="AB95" s="182"/>
      <c r="AC95" s="182"/>
      <c r="AD95" s="182"/>
      <c r="AE95" s="182"/>
      <c r="AF95" s="182"/>
      <c r="AG95" s="182"/>
      <c r="AH95" s="182"/>
      <c r="AI95" s="182"/>
      <c r="AJ95" s="182"/>
      <c r="AK95" s="182"/>
      <c r="AL95" s="182"/>
      <c r="AM95" s="182"/>
      <c r="AN95" s="182"/>
      <c r="AO95" s="182"/>
      <c r="AP95" s="86"/>
      <c r="AQ95" s="79"/>
      <c r="AR95" s="79"/>
    </row>
    <row r="96" ht="0" hidden="1" customHeight="1">
      <c r="C96" s="181"/>
      <c r="D96" s="183"/>
      <c r="E96" s="183"/>
      <c r="F96" s="201"/>
      <c r="G96" s="181"/>
      <c r="H96" s="181"/>
      <c r="I96" s="181"/>
      <c r="J96" s="181"/>
      <c r="K96" s="181"/>
      <c r="L96" s="895"/>
      <c r="M96" s="895"/>
      <c r="N96" s="895"/>
      <c r="O96" s="895"/>
      <c r="P96" s="80"/>
      <c r="Q96" s="90"/>
      <c r="R96" s="182"/>
      <c r="S96" s="182"/>
      <c r="T96" s="182"/>
      <c r="U96" s="182"/>
      <c r="V96" s="182"/>
      <c r="W96" s="182"/>
      <c r="X96" s="182"/>
      <c r="Y96" s="182"/>
      <c r="Z96" s="182"/>
      <c r="AA96" s="182"/>
      <c r="AB96" s="182"/>
      <c r="AC96" s="182"/>
      <c r="AD96" s="182"/>
      <c r="AE96" s="182"/>
      <c r="AF96" s="182"/>
      <c r="AG96" s="182"/>
      <c r="AH96" s="182"/>
      <c r="AI96" s="182"/>
      <c r="AJ96" s="182"/>
      <c r="AK96" s="182"/>
      <c r="AL96" s="182"/>
      <c r="AM96" s="182"/>
      <c r="AN96" s="182"/>
      <c r="AO96" s="182"/>
      <c r="AP96" s="86"/>
      <c r="AQ96" s="79"/>
      <c r="AR96" s="79"/>
    </row>
    <row r="97" ht="0" hidden="1" customHeight="1">
      <c r="C97" s="181"/>
      <c r="D97" s="183"/>
      <c r="E97" s="183"/>
      <c r="F97" s="201"/>
      <c r="G97" s="181"/>
      <c r="H97" s="181"/>
      <c r="I97" s="181"/>
      <c r="J97" s="181"/>
      <c r="K97" s="181"/>
      <c r="L97" s="895"/>
      <c r="M97" s="895"/>
      <c r="N97" s="895"/>
      <c r="O97" s="895"/>
      <c r="P97" s="80"/>
      <c r="Q97" s="90"/>
      <c r="R97" s="182"/>
      <c r="S97" s="182"/>
      <c r="T97" s="182"/>
      <c r="U97" s="182"/>
      <c r="V97" s="182"/>
      <c r="W97" s="182"/>
      <c r="X97" s="182"/>
      <c r="Y97" s="182"/>
      <c r="Z97" s="182"/>
      <c r="AA97" s="182"/>
      <c r="AB97" s="182"/>
      <c r="AC97" s="182"/>
      <c r="AD97" s="182"/>
      <c r="AE97" s="182"/>
      <c r="AF97" s="182"/>
      <c r="AG97" s="182"/>
      <c r="AH97" s="182"/>
      <c r="AI97" s="182"/>
      <c r="AJ97" s="182"/>
      <c r="AK97" s="182"/>
      <c r="AL97" s="182"/>
      <c r="AM97" s="182"/>
      <c r="AN97" s="182"/>
      <c r="AO97" s="182"/>
      <c r="AP97" s="86"/>
      <c r="AQ97" s="79"/>
      <c r="AR97" s="79"/>
    </row>
    <row r="98" ht="0" hidden="1" customHeight="1">
      <c r="C98" s="181"/>
      <c r="D98" s="183"/>
      <c r="E98" s="183"/>
      <c r="F98" s="201"/>
      <c r="G98" s="181"/>
      <c r="H98" s="181"/>
      <c r="I98" s="181"/>
      <c r="J98" s="181"/>
      <c r="K98" s="181"/>
      <c r="L98" s="895"/>
      <c r="M98" s="895"/>
      <c r="N98" s="895"/>
      <c r="O98" s="895"/>
      <c r="P98" s="80"/>
      <c r="Q98" s="90"/>
      <c r="R98" s="182"/>
      <c r="S98" s="182"/>
      <c r="T98" s="182"/>
      <c r="U98" s="182"/>
      <c r="V98" s="182"/>
      <c r="W98" s="182"/>
      <c r="X98" s="182"/>
      <c r="Y98" s="182"/>
      <c r="Z98" s="182"/>
      <c r="AA98" s="182"/>
      <c r="AB98" s="182"/>
      <c r="AC98" s="182"/>
      <c r="AD98" s="182"/>
      <c r="AE98" s="182"/>
      <c r="AF98" s="182"/>
      <c r="AG98" s="182"/>
      <c r="AH98" s="182"/>
      <c r="AI98" s="182"/>
      <c r="AJ98" s="182"/>
      <c r="AK98" s="182"/>
      <c r="AL98" s="182"/>
      <c r="AM98" s="182"/>
      <c r="AN98" s="182"/>
      <c r="AO98" s="182"/>
      <c r="AP98" s="86"/>
      <c r="AQ98" s="79"/>
      <c r="AR98" s="79"/>
    </row>
    <row r="99" ht="0" hidden="1" customHeight="1">
      <c r="C99" s="181"/>
      <c r="D99" s="183"/>
      <c r="E99" s="183"/>
      <c r="F99" s="201"/>
      <c r="G99" s="181"/>
      <c r="H99" s="181"/>
      <c r="I99" s="181"/>
      <c r="J99" s="181"/>
      <c r="K99" s="181"/>
      <c r="L99" s="895"/>
      <c r="M99" s="895"/>
      <c r="N99" s="895"/>
      <c r="O99" s="895"/>
      <c r="P99" s="80"/>
      <c r="Q99" s="90"/>
      <c r="R99" s="182"/>
      <c r="S99" s="182"/>
      <c r="T99" s="182"/>
      <c r="U99" s="182"/>
      <c r="V99" s="182"/>
      <c r="W99" s="182"/>
      <c r="X99" s="182"/>
      <c r="Y99" s="182"/>
      <c r="Z99" s="182"/>
      <c r="AA99" s="182"/>
      <c r="AB99" s="182"/>
      <c r="AC99" s="182"/>
      <c r="AD99" s="182"/>
      <c r="AE99" s="182"/>
      <c r="AF99" s="182"/>
      <c r="AG99" s="182"/>
      <c r="AH99" s="182"/>
      <c r="AI99" s="182"/>
      <c r="AJ99" s="182"/>
      <c r="AK99" s="182"/>
      <c r="AL99" s="182"/>
      <c r="AM99" s="182"/>
      <c r="AN99" s="182"/>
      <c r="AO99" s="182"/>
      <c r="AP99" s="86"/>
      <c r="AQ99" s="79"/>
      <c r="AR99" s="79"/>
    </row>
    <row r="100" ht="0" hidden="1" customHeight="1">
      <c r="C100" s="181"/>
      <c r="D100" s="183"/>
      <c r="E100" s="183"/>
      <c r="F100" s="201"/>
      <c r="G100" s="181"/>
      <c r="H100" s="181"/>
      <c r="I100" s="181"/>
      <c r="J100" s="181"/>
      <c r="K100" s="181"/>
      <c r="L100" s="895"/>
      <c r="M100" s="895"/>
      <c r="N100" s="895"/>
      <c r="O100" s="895"/>
      <c r="P100" s="80"/>
      <c r="Q100" s="90"/>
      <c r="R100" s="182"/>
      <c r="S100" s="182"/>
      <c r="T100" s="182"/>
      <c r="U100" s="182"/>
      <c r="V100" s="182"/>
      <c r="W100" s="182"/>
      <c r="X100" s="182"/>
      <c r="Y100" s="182"/>
      <c r="Z100" s="182"/>
      <c r="AA100" s="182"/>
      <c r="AB100" s="182"/>
      <c r="AC100" s="182"/>
      <c r="AD100" s="182"/>
      <c r="AE100" s="182"/>
      <c r="AF100" s="182"/>
      <c r="AG100" s="182"/>
      <c r="AH100" s="182"/>
      <c r="AI100" s="182"/>
      <c r="AJ100" s="182"/>
      <c r="AK100" s="182"/>
      <c r="AL100" s="182"/>
      <c r="AM100" s="182"/>
      <c r="AN100" s="182"/>
      <c r="AO100" s="182"/>
      <c r="AP100" s="86"/>
      <c r="AQ100" s="48"/>
      <c r="AR100" s="48"/>
    </row>
    <row r="101" ht="0" hidden="1" customHeight="1">
      <c r="C101" s="181"/>
      <c r="D101" s="183"/>
      <c r="E101" s="183"/>
      <c r="F101" s="201"/>
      <c r="G101" s="181"/>
      <c r="H101" s="181"/>
      <c r="I101" s="181"/>
      <c r="J101" s="181"/>
      <c r="K101" s="181"/>
      <c r="L101" s="895"/>
      <c r="M101" s="895"/>
      <c r="N101" s="895"/>
      <c r="O101" s="895"/>
      <c r="P101" s="80"/>
      <c r="Q101" s="54"/>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79"/>
      <c r="AR101" s="79"/>
    </row>
    <row r="102" ht="18" customHeight="1">
      <c r="C102" s="181"/>
      <c r="D102" s="183"/>
      <c r="E102" s="183"/>
      <c r="F102" s="201"/>
      <c r="G102" s="181"/>
      <c r="H102" s="181"/>
      <c r="I102" s="181"/>
      <c r="J102" s="181"/>
      <c r="K102" s="181"/>
      <c r="L102" s="895"/>
      <c r="M102" s="895"/>
      <c r="N102" s="895"/>
      <c r="O102" s="895"/>
      <c r="P102" s="80"/>
      <c r="Q102" s="54"/>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79"/>
      <c r="AR102" s="79"/>
    </row>
    <row r="103" ht="18" customHeight="1">
      <c r="C103" s="181"/>
      <c r="D103" s="183"/>
      <c r="E103" s="183"/>
      <c r="F103" s="201"/>
      <c r="G103" s="181"/>
      <c r="H103" s="181"/>
      <c r="I103" s="181"/>
      <c r="J103" s="181"/>
      <c r="K103" s="181"/>
      <c r="L103" s="895"/>
      <c r="M103" s="895"/>
      <c r="N103" s="895"/>
      <c r="O103" s="895"/>
      <c r="P103" s="80"/>
      <c r="Q103" s="54"/>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ht="9" customHeight="1">
      <c r="E104" s="81"/>
      <c r="F104" s="202"/>
      <c r="R104" s="47"/>
      <c r="S104" s="47"/>
      <c r="T104" s="47"/>
      <c r="U104" s="47"/>
      <c r="V104" s="47"/>
      <c r="W104" s="47"/>
      <c r="X104" s="47"/>
      <c r="Y104" s="47"/>
      <c r="Z104" s="87"/>
      <c r="AA104" s="47"/>
      <c r="AB104" s="47"/>
      <c r="AC104" s="88"/>
      <c r="AD104" s="88"/>
      <c r="AE104" s="88"/>
      <c r="AF104" s="83"/>
      <c r="AG104" s="47"/>
      <c r="AH104" s="47"/>
      <c r="AI104" s="47"/>
      <c r="AJ104" s="88"/>
      <c r="AK104" s="47"/>
      <c r="AL104" s="47"/>
      <c r="AM104" s="47"/>
      <c r="AN104" s="47"/>
      <c r="AO104" s="47"/>
      <c r="AP104" s="47"/>
    </row>
    <row r="105" ht="39.95" customHeight="1">
      <c r="B105" s="34"/>
      <c r="C105" s="988" t="s">
        <v>126</v>
      </c>
      <c r="D105" s="988"/>
      <c r="E105" s="988"/>
      <c r="F105" s="988"/>
      <c r="G105" s="988"/>
      <c r="H105" s="988"/>
      <c r="I105" s="988"/>
      <c r="J105" s="988"/>
      <c r="K105" s="988"/>
      <c r="L105" s="988"/>
      <c r="M105" s="988"/>
      <c r="N105" s="988"/>
      <c r="O105" s="988"/>
      <c r="P105" s="988"/>
      <c r="Q105" s="988"/>
      <c r="R105" s="988"/>
      <c r="S105" s="988"/>
      <c r="T105" s="988"/>
      <c r="U105" s="988"/>
      <c r="V105" s="988"/>
      <c r="W105" s="988"/>
      <c r="X105" s="988"/>
      <c r="Y105" s="988"/>
      <c r="Z105" s="988"/>
      <c r="AA105" s="988"/>
      <c r="AB105" s="988"/>
      <c r="AC105" s="988"/>
      <c r="AD105" s="988"/>
      <c r="AE105" s="988"/>
      <c r="AF105" s="988"/>
      <c r="AG105" s="988"/>
      <c r="AH105" s="988"/>
      <c r="AI105" s="988"/>
      <c r="AJ105" s="988"/>
      <c r="AK105" s="988"/>
      <c r="AL105" s="988"/>
      <c r="AM105" s="988"/>
      <c r="AN105" s="988"/>
      <c r="AO105" s="988"/>
      <c r="AP105" s="233"/>
    </row>
    <row r="106" s="84" customFormat="1" ht="12" customHeight="1">
      <c r="B106" s="85"/>
      <c r="E106" s="46"/>
      <c r="F106" s="202"/>
      <c r="G106"/>
      <c r="H106"/>
      <c r="I106"/>
      <c r="J106"/>
      <c r="K106"/>
      <c r="L106"/>
      <c r="M106"/>
      <c r="N106"/>
      <c r="O106"/>
      <c r="P106"/>
      <c r="Q106"/>
      <c r="R106"/>
      <c r="S106"/>
      <c r="T106"/>
      <c r="U106"/>
      <c r="V106"/>
      <c r="W106"/>
      <c r="X106"/>
      <c r="Y106"/>
      <c r="Z106"/>
      <c r="AA106"/>
      <c r="AS106" s="236"/>
      <c r="AT106" s="236"/>
      <c r="AU106" s="236"/>
      <c r="AV106" s="236"/>
      <c r="AW106" s="236"/>
      <c r="AX106" s="236"/>
      <c r="AY106" s="236"/>
      <c r="AZ106" s="236"/>
      <c r="BA106" s="236"/>
      <c r="BB106" s="236"/>
      <c r="BC106" s="236"/>
      <c r="BD106" s="236"/>
      <c r="BE106" s="236"/>
      <c r="BF106" s="236"/>
      <c r="BG106" s="236"/>
      <c r="BH106" s="236"/>
      <c r="BI106" s="236"/>
      <c r="BJ106" s="236"/>
      <c r="BK106" s="236"/>
      <c r="BL106" s="236"/>
      <c r="BM106" s="236"/>
      <c r="BN106" s="236"/>
      <c r="BO106" s="236"/>
      <c r="BP106" s="236"/>
      <c r="BQ106" s="236"/>
      <c r="BR106" s="236"/>
      <c r="BS106" s="236"/>
      <c r="BT106" s="236"/>
      <c r="BU106" s="236"/>
      <c r="BV106" s="236"/>
      <c r="BW106" s="236"/>
    </row>
    <row r="107" s="236" customFormat="1" ht="12.75" customHeight="1">
      <c r="A107" s="236"/>
    </row>
    <row r="108" s="236" customFormat="1" ht="12.75" customHeight="1"/>
    <row r="109" s="236" customFormat="1" ht="12.75" customHeight="1"/>
    <row r="110" s="236" customFormat="1" ht="12.75" customHeight="1"/>
    <row r="111" s="236" customFormat="1" ht="12.75" customHeight="1"/>
    <row r="112" s="236" customFormat="1" ht="12.75" customHeight="1"/>
    <row r="113" s="236" customFormat="1" ht="12.75" customHeight="1"/>
    <row r="114" s="236" customFormat="1" ht="12.75" customHeight="1"/>
    <row r="115" s="236" customFormat="1" ht="12.75" customHeight="1"/>
    <row r="116" s="236" customFormat="1" ht="12.75" customHeight="1"/>
    <row r="117" s="236" customFormat="1" ht="12.75" customHeight="1"/>
    <row r="118" s="236" customFormat="1" ht="12.75" customHeight="1"/>
    <row r="119" s="236" customFormat="1" ht="12.75" customHeight="1"/>
    <row r="120" s="236" customFormat="1" ht="12.75" customHeight="1"/>
    <row r="121" s="236" customFormat="1" ht="12.75" customHeight="1"/>
    <row r="122" s="236" customFormat="1" ht="12.75" customHeight="1"/>
    <row r="123" s="236" customFormat="1" ht="12.75" customHeight="1"/>
    <row r="124" s="236" customFormat="1" ht="12.75" customHeight="1"/>
    <row r="125" s="236" customFormat="1" ht="12.75" customHeight="1"/>
    <row r="126" s="236" customFormat="1" ht="12.75" customHeight="1"/>
    <row r="127" s="236" customFormat="1" ht="12.75" customHeight="1"/>
    <row r="128" s="236" customFormat="1" ht="12.75" customHeight="1"/>
    <row r="129" s="236" customFormat="1" ht="12.75" customHeight="1"/>
    <row r="130" s="236" customFormat="1" ht="12.75" customHeight="1"/>
    <row r="131" s="236" customFormat="1" ht="12.75" customHeight="1"/>
    <row r="132" s="236" customFormat="1" ht="12.75" customHeight="1"/>
    <row r="133" s="236" customFormat="1" ht="12.75" customHeight="1"/>
    <row r="134" s="236" customFormat="1" ht="12.75" customHeight="1"/>
    <row r="135" s="236" customFormat="1" ht="12.75" customHeight="1"/>
    <row r="136" s="236" customFormat="1" ht="12.75" customHeight="1"/>
    <row r="137" s="236" customFormat="1" ht="12.75" customHeight="1"/>
    <row r="138" s="236" customFormat="1" ht="12.75" customHeight="1"/>
    <row r="139" s="236" customFormat="1" ht="12.75" customHeight="1"/>
    <row r="140" s="236" customFormat="1" ht="12.75" customHeight="1"/>
    <row r="141" s="236" customFormat="1" ht="12.75" customHeight="1"/>
    <row r="142" s="236" customFormat="1" ht="12.75" customHeight="1"/>
    <row r="143" s="236" customFormat="1" ht="12.75" customHeight="1"/>
    <row r="144" s="236" customFormat="1" ht="12.75" customHeight="1"/>
    <row r="145" s="236" customFormat="1" ht="12.75" customHeight="1"/>
    <row r="146" s="236" customFormat="1" ht="12.75" customHeight="1"/>
    <row r="147" s="236" customFormat="1" ht="12.75" customHeight="1"/>
    <row r="148" s="236" customFormat="1" ht="12.75" customHeight="1"/>
    <row r="149" s="236" customFormat="1" ht="12.75" customHeight="1"/>
    <row r="150" s="236" customFormat="1" ht="12.75" customHeight="1"/>
    <row r="151" s="236" customFormat="1" ht="12.75" customHeight="1"/>
    <row r="152" s="236" customFormat="1" ht="12.75" customHeight="1"/>
    <row r="153" s="236" customFormat="1" ht="12.75" customHeight="1"/>
  </sheetData>
  <mergeCells count="274">
    <mergeCell ref="C2:AP2"/>
    <mergeCell ref="H55:K55"/>
    <mergeCell ref="L55:O55"/>
    <mergeCell ref="H31:K31"/>
    <mergeCell ref="H52:K52"/>
    <mergeCell ref="C4:AP4"/>
    <mergeCell ref="C3:AP3"/>
    <mergeCell ref="L25:O25"/>
    <mergeCell ref="H25:K25"/>
    <mergeCell ref="L28:O28"/>
    <mergeCell ref="H53:K53"/>
    <mergeCell ref="H54:K54"/>
    <mergeCell ref="H24:K24"/>
    <mergeCell ref="L52:O52"/>
    <mergeCell ref="L53:O53"/>
    <mergeCell ref="L54:O54"/>
    <mergeCell ref="X15:AD15"/>
    <mergeCell ref="P15:V15"/>
    <mergeCell ref="H22:K22"/>
    <mergeCell ref="L24:O24"/>
    <mergeCell ref="L22:O22"/>
    <mergeCell ref="N12:O12"/>
    <mergeCell ref="AF15:AL15"/>
    <mergeCell ref="R12:S12"/>
    <mergeCell ref="H77:K77"/>
    <mergeCell ref="L77:O77"/>
    <mergeCell ref="L61:O61"/>
    <mergeCell ref="H62:K62"/>
    <mergeCell ref="L62:O62"/>
    <mergeCell ref="H61:K61"/>
    <mergeCell ref="H71:K71"/>
    <mergeCell ref="L71:O71"/>
    <mergeCell ref="H73:K73"/>
    <mergeCell ref="H76:K76"/>
    <mergeCell ref="H65:K65"/>
    <mergeCell ref="H74:K74"/>
    <mergeCell ref="L74:O74"/>
    <mergeCell ref="H75:K75"/>
    <mergeCell ref="L76:O76"/>
    <mergeCell ref="L73:O73"/>
    <mergeCell ref="H70:K70"/>
    <mergeCell ref="L66:O66"/>
    <mergeCell ref="H66:K66"/>
    <mergeCell ref="L63:O63"/>
    <mergeCell ref="L75:O75"/>
    <mergeCell ref="L64:O64"/>
    <mergeCell ref="L70:O70"/>
    <mergeCell ref="H64:K64"/>
    <mergeCell ref="AL13:AM13"/>
    <mergeCell ref="AJ12:AK12"/>
    <mergeCell ref="AH13:AI13"/>
    <mergeCell ref="AJ13:AK13"/>
    <mergeCell ref="Z13:AA13"/>
    <mergeCell ref="AF13:AG13"/>
    <mergeCell ref="H56:K56"/>
    <mergeCell ref="H57:K57"/>
    <mergeCell ref="H58:K58"/>
    <mergeCell ref="H29:K29"/>
    <mergeCell ref="L29:O29"/>
    <mergeCell ref="H27:K27"/>
    <mergeCell ref="L27:O27"/>
    <mergeCell ref="H28:K28"/>
    <mergeCell ref="L31:O31"/>
    <mergeCell ref="H37:K37"/>
    <mergeCell ref="L37:O37"/>
    <mergeCell ref="H34:K34"/>
    <mergeCell ref="L34:O34"/>
    <mergeCell ref="H35:K35"/>
    <mergeCell ref="L35:O35"/>
    <mergeCell ref="H36:K36"/>
    <mergeCell ref="L36:O36"/>
    <mergeCell ref="H38:K38"/>
    <mergeCell ref="AB9:AC9"/>
    <mergeCell ref="Z9:AA9"/>
    <mergeCell ref="AF9:AG9"/>
    <mergeCell ref="AD11:AE11"/>
    <mergeCell ref="J12:K12"/>
    <mergeCell ref="AF10:AG10"/>
    <mergeCell ref="R13:S13"/>
    <mergeCell ref="AB12:AC12"/>
    <mergeCell ref="T13:U13"/>
    <mergeCell ref="T12:U12"/>
    <mergeCell ref="AD13:AE13"/>
    <mergeCell ref="AB13:AC13"/>
    <mergeCell ref="J13:K13"/>
    <mergeCell ref="L12:M12"/>
    <mergeCell ref="P12:Q12"/>
    <mergeCell ref="J11:K11"/>
    <mergeCell ref="R11:S11"/>
    <mergeCell ref="R10:S10"/>
    <mergeCell ref="L10:M10"/>
    <mergeCell ref="J10:K10"/>
    <mergeCell ref="P13:Q13"/>
    <mergeCell ref="T7:U7"/>
    <mergeCell ref="J7:K7"/>
    <mergeCell ref="H7:I7"/>
    <mergeCell ref="R9:S9"/>
    <mergeCell ref="T9:U9"/>
    <mergeCell ref="L9:M9"/>
    <mergeCell ref="L7:M7"/>
    <mergeCell ref="J9:K9"/>
    <mergeCell ref="N9:O9"/>
    <mergeCell ref="L8:M8"/>
    <mergeCell ref="J8:K8"/>
    <mergeCell ref="R7:S7"/>
    <mergeCell ref="H8:I8"/>
    <mergeCell ref="H6:U6"/>
    <mergeCell ref="T8:U8"/>
    <mergeCell ref="R8:S8"/>
    <mergeCell ref="P8:Q8"/>
    <mergeCell ref="N8:O8"/>
    <mergeCell ref="AH12:AI12"/>
    <mergeCell ref="AF12:AG12"/>
    <mergeCell ref="H11:I11"/>
    <mergeCell ref="H9:I9"/>
    <mergeCell ref="P7:Q7"/>
    <mergeCell ref="N7:O7"/>
    <mergeCell ref="P9:Q9"/>
    <mergeCell ref="P11:Q11"/>
    <mergeCell ref="AD9:AE9"/>
    <mergeCell ref="Z8:AA8"/>
    <mergeCell ref="AB8:AC8"/>
    <mergeCell ref="Z6:AM6"/>
    <mergeCell ref="Z7:AA7"/>
    <mergeCell ref="AB7:AC7"/>
    <mergeCell ref="AD7:AE7"/>
    <mergeCell ref="AF7:AG7"/>
    <mergeCell ref="AH7:AI7"/>
    <mergeCell ref="AJ7:AK7"/>
    <mergeCell ref="AL7:AM7"/>
    <mergeCell ref="AJ8:AK8"/>
    <mergeCell ref="AL8:AM8"/>
    <mergeCell ref="AD8:AE8"/>
    <mergeCell ref="AH8:AI8"/>
    <mergeCell ref="AH9:AI9"/>
    <mergeCell ref="AJ9:AK9"/>
    <mergeCell ref="AL9:AM9"/>
    <mergeCell ref="AH10:AI10"/>
    <mergeCell ref="AL12:AM12"/>
    <mergeCell ref="AL11:AM11"/>
    <mergeCell ref="AF8:AG8"/>
    <mergeCell ref="AL10:AM10"/>
    <mergeCell ref="AD10:AE10"/>
    <mergeCell ref="AD12:AE12"/>
    <mergeCell ref="AJ10:AK10"/>
    <mergeCell ref="AH11:AI11"/>
    <mergeCell ref="AJ11:AK11"/>
    <mergeCell ref="H26:K26"/>
    <mergeCell ref="L26:O26"/>
    <mergeCell ref="AF11:AG11"/>
    <mergeCell ref="Z10:AA10"/>
    <mergeCell ref="L11:M11"/>
    <mergeCell ref="N13:O13"/>
    <mergeCell ref="H10:I10"/>
    <mergeCell ref="L13:M13"/>
    <mergeCell ref="H23:K23"/>
    <mergeCell ref="L23:O23"/>
    <mergeCell ref="T11:U11"/>
    <mergeCell ref="T10:U10"/>
    <mergeCell ref="N11:O11"/>
    <mergeCell ref="N10:O10"/>
    <mergeCell ref="P10:Q10"/>
    <mergeCell ref="Z12:AA12"/>
    <mergeCell ref="H12:I12"/>
    <mergeCell ref="H13:I13"/>
    <mergeCell ref="AB10:AC10"/>
    <mergeCell ref="AB11:AC11"/>
    <mergeCell ref="Z11:AA11"/>
    <mergeCell ref="L30:O30"/>
    <mergeCell ref="H33:K33"/>
    <mergeCell ref="L33:O33"/>
    <mergeCell ref="H32:K32"/>
    <mergeCell ref="L32:O32"/>
    <mergeCell ref="H44:K44"/>
    <mergeCell ref="L44:O44"/>
    <mergeCell ref="H40:K40"/>
    <mergeCell ref="L40:O40"/>
    <mergeCell ref="H41:K41"/>
    <mergeCell ref="L41:O41"/>
    <mergeCell ref="H42:K42"/>
    <mergeCell ref="L42:O42"/>
    <mergeCell ref="H43:K43"/>
    <mergeCell ref="L43:O43"/>
    <mergeCell ref="L38:O38"/>
    <mergeCell ref="H39:K39"/>
    <mergeCell ref="L39:O39"/>
    <mergeCell ref="H48:K48"/>
    <mergeCell ref="L48:O48"/>
    <mergeCell ref="H45:K45"/>
    <mergeCell ref="L45:O45"/>
    <mergeCell ref="H46:K46"/>
    <mergeCell ref="L46:O46"/>
    <mergeCell ref="H47:K47"/>
    <mergeCell ref="L47:O47"/>
    <mergeCell ref="H49:K49"/>
    <mergeCell ref="L49:O49"/>
    <mergeCell ref="H50:K50"/>
    <mergeCell ref="L50:O50"/>
    <mergeCell ref="H68:K68"/>
    <mergeCell ref="L68:O68"/>
    <mergeCell ref="H72:K72"/>
    <mergeCell ref="L72:O72"/>
    <mergeCell ref="H51:K51"/>
    <mergeCell ref="L51:O51"/>
    <mergeCell ref="H69:K69"/>
    <mergeCell ref="L69:O69"/>
    <mergeCell ref="H67:K67"/>
    <mergeCell ref="L67:O67"/>
    <mergeCell ref="L56:O56"/>
    <mergeCell ref="L57:O57"/>
    <mergeCell ref="L58:O58"/>
    <mergeCell ref="H59:K59"/>
    <mergeCell ref="H63:K63"/>
    <mergeCell ref="L65:O65"/>
    <mergeCell ref="L59:O59"/>
    <mergeCell ref="L60:O60"/>
    <mergeCell ref="H60:K60"/>
    <mergeCell ref="H81:K81"/>
    <mergeCell ref="L81:O81"/>
    <mergeCell ref="H82:K82"/>
    <mergeCell ref="L82:O82"/>
    <mergeCell ref="L78:O78"/>
    <mergeCell ref="H79:K79"/>
    <mergeCell ref="L79:O79"/>
    <mergeCell ref="H80:K80"/>
    <mergeCell ref="L80:O80"/>
    <mergeCell ref="H78:K78"/>
    <mergeCell ref="H85:K85"/>
    <mergeCell ref="L85:O85"/>
    <mergeCell ref="H86:K86"/>
    <mergeCell ref="L86:O86"/>
    <mergeCell ref="H83:K83"/>
    <mergeCell ref="L83:O83"/>
    <mergeCell ref="H84:K84"/>
    <mergeCell ref="L84:O84"/>
    <mergeCell ref="H89:K89"/>
    <mergeCell ref="L89:O89"/>
    <mergeCell ref="H90:K90"/>
    <mergeCell ref="L90:O90"/>
    <mergeCell ref="H87:K87"/>
    <mergeCell ref="L87:O87"/>
    <mergeCell ref="H88:K88"/>
    <mergeCell ref="L88:O88"/>
    <mergeCell ref="H93:K93"/>
    <mergeCell ref="L93:O93"/>
    <mergeCell ref="H94:K94"/>
    <mergeCell ref="L94:O94"/>
    <mergeCell ref="H91:K91"/>
    <mergeCell ref="L91:O91"/>
    <mergeCell ref="H92:K92"/>
    <mergeCell ref="L92:O92"/>
    <mergeCell ref="H95:K95"/>
    <mergeCell ref="L95:O95"/>
    <mergeCell ref="H101:K101"/>
    <mergeCell ref="L101:O101"/>
    <mergeCell ref="L102:O102"/>
    <mergeCell ref="H102:K102"/>
    <mergeCell ref="H99:K99"/>
    <mergeCell ref="C105:AO105"/>
    <mergeCell ref="H98:K98"/>
    <mergeCell ref="L98:O98"/>
    <mergeCell ref="H96:K96"/>
    <mergeCell ref="L96:O96"/>
    <mergeCell ref="H97:K97"/>
    <mergeCell ref="L97:O97"/>
    <mergeCell ref="H103:K103"/>
    <mergeCell ref="H100:K100"/>
    <mergeCell ref="L100:O100"/>
    <mergeCell ref="L103:O103"/>
    <mergeCell ref="L99:O99"/>
    <mergeCell ref="R21:X21"/>
    <mergeCell ref="Y21:AJ21"/>
    <mergeCell ref="AK21:AO21"/>
    <mergeCell ref="H30:K30"/>
  </mergeCells>
  <phoneticPr fontId="0" type="noConversion"/>
  <printOptions horizontalCentered="1" verticalCentered="1"/>
  <pageMargins left="0.25" right="0.25" top="0.25" bottom="0.25" header="0" footer="0"/>
  <pageSetup scale="31" fitToWidth="1" fitToHeight="1" orientation="landscape" r:id="rId1"/>
  <headerFooter alignWithMargins="0">
    <oddHeader/>
    <oddFooter/>
  </headerFooter>
  <rowBreaks count="1" manualBreakCount="1">
    <brk id="107" max="16383" man="1"/>
  </rowBreaks>
  <colBreaks count="1" manualBreakCount="1">
    <brk id="45" max="1048575" man="1"/>
  </col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M43"/>
  <sheetViews>
    <sheetView showGridLines="0" zoomScaleNormal="100" workbookViewId="0"/>
  </sheetViews>
  <sheetFormatPr defaultColWidth="8.85546875" defaultRowHeight="15"/>
  <cols>
    <col min="1" max="1" width="4.28515625" style="640" customWidth="1"/>
    <col min="2" max="2" width="3.42578125" style="640" customWidth="1"/>
    <col min="3" max="3" width="6.85546875" style="640" customWidth="1"/>
    <col min="4" max="4" width="8.85546875" style="640" customWidth="1"/>
    <col min="5" max="5" width="39" style="640" customWidth="1"/>
    <col min="6" max="6" width="30" style="640" customWidth="1"/>
    <col min="7" max="9" width="8.85546875" style="640" customWidth="1"/>
    <col min="10" max="10" width="12" style="640" customWidth="1"/>
    <col min="11" max="11" width="8.85546875" style="640" customWidth="1"/>
    <col min="12" max="12" width="18.28515625" style="640" customWidth="1"/>
    <col min="13" max="16384" width="8.85546875" style="640" customWidth="1"/>
  </cols>
  <sheetData>
    <row r="1">
      <c r="M1" s="640"/>
    </row>
    <row r="2" ht="84" customHeight="1">
      <c r="B2" s="641"/>
      <c r="C2" s="642"/>
      <c r="K2" s="643"/>
      <c r="M2" s="643"/>
    </row>
    <row r="3" ht="15" customHeight="1">
      <c r="B3" s="641"/>
    </row>
    <row r="4">
      <c r="A4" s="644" t="s">
        <v>114</v>
      </c>
      <c r="B4" s="645"/>
      <c r="C4" s="645"/>
      <c r="D4" s="645"/>
      <c r="E4" s="645"/>
      <c r="F4" s="645"/>
      <c r="G4" s="645"/>
      <c r="H4" s="645"/>
      <c r="I4" s="645"/>
      <c r="J4" s="645"/>
      <c r="K4" s="645"/>
    </row>
    <row r="5">
      <c r="A5" s="691" t="s">
        <v>121</v>
      </c>
      <c r="B5" s="691"/>
      <c r="C5" s="691"/>
      <c r="D5" s="691"/>
      <c r="E5" s="691"/>
      <c r="F5" s="691"/>
      <c r="G5" s="645"/>
      <c r="H5" s="645"/>
      <c r="I5" s="645"/>
      <c r="J5" s="645"/>
      <c r="K5" s="645"/>
    </row>
    <row r="6">
      <c r="A6" s="645"/>
      <c r="B6" s="645"/>
      <c r="C6" s="645"/>
      <c r="D6" s="645"/>
      <c r="E6" s="645"/>
      <c r="F6" s="645"/>
      <c r="G6" s="645"/>
      <c r="H6" s="645"/>
      <c r="I6" s="645"/>
      <c r="J6" s="645"/>
      <c r="K6" s="645"/>
    </row>
    <row r="7">
      <c r="A7" s="645"/>
      <c r="B7" s="645"/>
      <c r="C7" s="645"/>
      <c r="D7" s="645"/>
      <c r="E7" s="645"/>
      <c r="F7" s="645"/>
      <c r="G7" s="645"/>
      <c r="H7" s="645"/>
      <c r="I7" s="645"/>
      <c r="J7" s="645"/>
      <c r="K7" s="645"/>
    </row>
    <row r="8">
      <c r="A8" s="644" t="s">
        <v>115</v>
      </c>
      <c r="B8" s="645"/>
      <c r="C8" s="645"/>
      <c r="D8" s="645"/>
      <c r="E8" s="645"/>
      <c r="F8" s="645"/>
      <c r="G8" s="645"/>
      <c r="H8" s="645"/>
      <c r="I8" s="645"/>
      <c r="J8" s="645"/>
      <c r="K8" s="645"/>
    </row>
    <row r="9">
      <c r="A9" s="691" t="s">
        <v>122</v>
      </c>
      <c r="B9" s="691"/>
      <c r="C9" s="691"/>
      <c r="D9" s="691"/>
      <c r="E9" s="691"/>
      <c r="F9" s="691"/>
      <c r="G9" s="645"/>
      <c r="H9" s="645"/>
      <c r="I9" s="645"/>
      <c r="J9" s="645"/>
      <c r="K9" s="645"/>
    </row>
    <row r="10">
      <c r="A10" s="690"/>
      <c r="B10" s="690"/>
      <c r="C10" s="690"/>
      <c r="D10" s="690"/>
      <c r="E10" s="690"/>
      <c r="F10" s="690"/>
      <c r="G10" s="645"/>
      <c r="H10" s="645"/>
      <c r="I10" s="645"/>
      <c r="J10" s="645"/>
      <c r="K10" s="645"/>
    </row>
    <row r="11">
      <c r="A11" s="645"/>
      <c r="B11" s="645"/>
      <c r="C11" s="645"/>
      <c r="D11" s="645"/>
      <c r="E11" s="645"/>
      <c r="F11" s="645"/>
      <c r="G11" s="645"/>
      <c r="H11" s="645"/>
      <c r="I11" s="645"/>
      <c r="J11" s="645"/>
      <c r="K11" s="645"/>
    </row>
    <row r="12">
      <c r="A12" s="690" t="s">
        <v>123</v>
      </c>
      <c r="B12" s="690"/>
      <c r="C12" s="690"/>
      <c r="D12" s="690"/>
      <c r="E12" s="690"/>
      <c r="F12" s="645"/>
      <c r="G12" s="645"/>
      <c r="H12" s="645"/>
      <c r="I12" s="645"/>
      <c r="J12" s="645"/>
      <c r="K12" s="645"/>
    </row>
    <row r="13">
      <c r="A13" s="645"/>
      <c r="B13" s="645"/>
      <c r="C13" s="645"/>
      <c r="D13" s="645"/>
      <c r="E13" s="645"/>
      <c r="F13" s="645"/>
      <c r="G13" s="645"/>
      <c r="H13" s="645"/>
      <c r="I13" s="645"/>
      <c r="J13" s="645"/>
      <c r="K13" s="645"/>
    </row>
    <row r="14" ht="16.5" customHeight="1">
      <c r="A14" s="990" t="s">
        <v>116</v>
      </c>
      <c r="B14" s="990"/>
      <c r="C14" s="990"/>
      <c r="D14" s="990"/>
      <c r="E14" s="990"/>
      <c r="F14" s="990"/>
      <c r="G14" s="990"/>
      <c r="H14" s="990"/>
      <c r="I14" s="990"/>
      <c r="J14" s="646"/>
      <c r="K14" s="645"/>
    </row>
    <row r="15" ht="15" customHeight="1">
      <c r="A15" s="990" t="s">
        <v>117</v>
      </c>
      <c r="B15" s="990"/>
      <c r="C15" s="990"/>
      <c r="D15" s="990"/>
      <c r="E15" s="990"/>
      <c r="F15" s="990"/>
      <c r="G15" s="990"/>
      <c r="H15" s="990"/>
      <c r="I15" s="990"/>
      <c r="J15" s="646"/>
      <c r="K15" s="646"/>
      <c r="L15" s="646"/>
    </row>
    <row r="16">
      <c r="C16" s="647"/>
      <c r="D16" s="647"/>
      <c r="E16" s="647"/>
      <c r="F16" s="647"/>
      <c r="G16" s="647"/>
      <c r="H16" s="647"/>
      <c r="I16" s="647"/>
      <c r="J16" s="647"/>
      <c r="K16" s="647"/>
      <c r="L16" s="647"/>
    </row>
    <row r="43">
      <c r="A43" s="640"/>
    </row>
  </sheetData>
  <mergeCells count="2">
    <mergeCell ref="A15:I15"/>
    <mergeCell ref="A14:I14"/>
  </mergeCells>
  <hyperlinks>
    <hyperlink ref="A5:F5" r:id="rId42" display="For all STR definitions, please click here or visit www.str.com/data-insights/resources/glossary"/>
    <hyperlink ref="A14:I14" r:id="rId43" display="For the latest in industry news, visit HotelNewsNow.com."/>
    <hyperlink ref="A15:I15" r:id="rId44" display="To learn more about the Hotel Data Conference, visit HotelDataConference.com."/>
    <hyperlink ref="A9:F9" r:id="rId45" display="For all STR FAQs, please click here or visit www.str.com/data-insights/resources/FAQ"/>
    <hyperlink ref="A12:E12" r:id="rId46" display="For additional support, please contact your regional office."/>
  </hyperlinks>
  <printOptions horizontalCentered="1" verticalCentered="1"/>
  <pageMargins left="0.25" right="0.25" top="0.25" bottom="0.25" header="0" footer="0"/>
  <pageSetup scale="93" fitToWidth="1" fitToHeight="1" orientation="landscape" r:id="rId6"/>
  <headerFooter>
    <oddHeader/>
    <oddFooter/>
  </headerFooter>
  <rowBreaks count="1" manualBreakCount="1">
    <brk id="43" max="16383" man="1"/>
  </rowBreaks>
  <colBreaks count="1" manualBreakCount="1">
    <brk id="13" max="1048575" man="1"/>
  </colBreaks>
  <drawing r:id="rId7"/>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pageSetUpPr fitToPage="1"/>
  </sheetPr>
  <dimension ref="A1:AV94"/>
  <sheetViews>
    <sheetView showGridLines="0" zoomScale="70" zoomScaleNormal="75" workbookViewId="0"/>
  </sheetViews>
  <sheetFormatPr defaultRowHeight="12.75"/>
  <cols>
    <col min="1" max="1" width="1.85546875" customWidth="1"/>
    <col min="2" max="2" width="22.5703125" customWidth="1"/>
    <col min="3" max="20" width="10.28515625" customWidth="1"/>
    <col min="21" max="21" width="2.7109375" customWidth="1"/>
    <col min="22" max="24" width="10.28515625" customWidth="1"/>
    <col min="25" max="25" width="2.7109375" customWidth="1"/>
    <col min="26" max="28" width="10.28515625" customWidth="1"/>
    <col min="29" max="29" width="2.7109375" customWidth="1"/>
    <col min="30" max="32" width="10.28515625" customWidth="1"/>
    <col min="33" max="33" width="2.7109375" customWidth="1"/>
    <col min="34" max="37" width="9.28515625" style="236" customWidth="1"/>
    <col min="38" max="48" width="9.140625" style="236" customWidth="1"/>
  </cols>
  <sheetData>
    <row r="1" ht="39.95" customHeight="1">
      <c r="A1" s="7"/>
      <c r="B1" s="656" t="s">
        <v>131</v>
      </c>
      <c r="AA1" s="996"/>
      <c r="AB1" s="996"/>
      <c r="AC1" s="996"/>
      <c r="AD1" s="996"/>
      <c r="AE1" s="996"/>
      <c r="AF1" s="996"/>
      <c r="AH1" s="236"/>
    </row>
    <row r="2" ht="20.1" customHeight="1">
      <c r="A2" s="6"/>
      <c r="B2" s="997" t="s">
        <v>144</v>
      </c>
      <c r="C2" s="997"/>
      <c r="D2" s="997"/>
      <c r="E2" s="997"/>
      <c r="F2" s="997"/>
      <c r="G2" s="997"/>
      <c r="H2" s="997"/>
      <c r="I2" s="997"/>
      <c r="J2" s="997"/>
      <c r="K2" s="997"/>
      <c r="L2" s="997"/>
      <c r="M2" s="997"/>
      <c r="N2" s="997"/>
      <c r="O2" s="997"/>
      <c r="P2" s="997"/>
      <c r="Q2" s="997"/>
      <c r="R2" s="997"/>
      <c r="S2" s="997"/>
      <c r="T2" s="997"/>
      <c r="U2" s="997"/>
      <c r="V2" s="997"/>
      <c r="W2" s="997"/>
      <c r="X2" s="997"/>
      <c r="Y2" s="997"/>
      <c r="Z2" s="997"/>
      <c r="AA2" s="997"/>
      <c r="AB2" s="997"/>
      <c r="AC2" s="997"/>
      <c r="AD2" s="997"/>
      <c r="AE2" s="997"/>
      <c r="AF2" s="26"/>
    </row>
    <row r="3" ht="20.1" customHeight="1">
      <c r="A3" s="6"/>
      <c r="B3" s="997" t="s">
        <v>145</v>
      </c>
      <c r="C3" s="997"/>
      <c r="D3" s="997"/>
      <c r="E3" s="997"/>
      <c r="F3" s="997"/>
      <c r="G3" s="997"/>
      <c r="H3" s="997"/>
      <c r="I3" s="997"/>
      <c r="J3" s="997"/>
      <c r="K3" s="997"/>
      <c r="L3" s="997"/>
      <c r="M3" s="997"/>
      <c r="N3" s="997"/>
      <c r="O3" s="997"/>
      <c r="P3" s="997"/>
      <c r="Q3" s="997"/>
      <c r="R3" s="997"/>
      <c r="S3" s="997"/>
      <c r="T3" s="997"/>
      <c r="U3" s="998"/>
      <c r="V3" s="998"/>
      <c r="W3" s="998"/>
      <c r="X3" s="998"/>
      <c r="Y3" s="998"/>
      <c r="Z3" s="998"/>
      <c r="AA3" s="998"/>
      <c r="AB3" s="998"/>
      <c r="AC3" s="998"/>
      <c r="AD3" s="998"/>
      <c r="AE3" s="998"/>
      <c r="AF3" s="998"/>
    </row>
    <row r="4" ht="20.1" customHeight="1">
      <c r="A4" s="6"/>
      <c r="B4" s="997" t="s">
        <v>146</v>
      </c>
      <c r="C4" s="997"/>
      <c r="D4" s="997"/>
      <c r="E4" s="997"/>
      <c r="F4" s="997"/>
      <c r="G4" s="997"/>
      <c r="H4" s="997"/>
      <c r="I4" s="997"/>
      <c r="J4" s="997"/>
      <c r="K4" s="997"/>
      <c r="L4" s="997"/>
      <c r="M4" s="997"/>
      <c r="N4" s="997"/>
      <c r="O4" s="997"/>
      <c r="P4" s="997"/>
      <c r="Q4" s="997"/>
      <c r="R4" s="997"/>
      <c r="S4" s="997"/>
      <c r="T4" s="997"/>
      <c r="U4" s="997"/>
      <c r="V4" s="997"/>
      <c r="W4" s="997"/>
      <c r="X4" s="997"/>
      <c r="Y4" s="997"/>
      <c r="Z4" s="997"/>
      <c r="AA4" s="997"/>
      <c r="AB4" s="997"/>
      <c r="AC4" s="997"/>
      <c r="AD4" s="997"/>
      <c r="AE4" s="997"/>
      <c r="AF4" s="26"/>
    </row>
    <row r="5" ht="20.1" customHeight="1">
      <c r="A5" s="6"/>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24.95" customHeight="1">
      <c r="A6" s="6"/>
      <c r="B6" s="4"/>
      <c r="C6" s="4"/>
      <c r="D6" s="4"/>
      <c r="E6" s="4"/>
      <c r="F6" s="4"/>
      <c r="G6" s="4"/>
      <c r="H6" s="4"/>
      <c r="I6" s="4"/>
      <c r="J6" s="4"/>
      <c r="K6" s="4"/>
      <c r="L6" s="4"/>
      <c r="M6" s="4"/>
      <c r="N6" s="4"/>
      <c r="O6" s="4"/>
      <c r="P6" s="4"/>
      <c r="Q6" s="4"/>
      <c r="R6" s="4"/>
      <c r="S6" s="4"/>
      <c r="T6" s="4"/>
      <c r="U6" s="4"/>
      <c r="V6" s="4"/>
      <c r="W6" s="4"/>
      <c r="X6" s="4"/>
      <c r="Y6" s="24"/>
      <c r="Z6" s="24"/>
      <c r="AA6" s="24"/>
      <c r="AB6" s="24"/>
      <c r="AC6" s="24"/>
      <c r="AD6" s="24"/>
      <c r="AE6" s="24"/>
      <c r="AF6" s="24"/>
      <c r="AG6" s="24"/>
    </row>
    <row r="7" ht="24.95" customHeight="1">
      <c r="A7" s="6"/>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row>
    <row r="8" ht="24.95" customHeight="1">
      <c r="A8" s="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row>
    <row r="9" ht="24.95" customHeight="1">
      <c r="A9" s="6"/>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row>
    <row r="10" ht="24.95" customHeight="1">
      <c r="A10" s="6"/>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row>
    <row r="11" ht="24.95" customHeight="1">
      <c r="A11" s="6"/>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row>
    <row r="12" ht="24.95" customHeight="1">
      <c r="A12" s="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row>
    <row r="13" ht="24.95" customHeight="1">
      <c r="A13" s="6"/>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row>
    <row r="14" ht="24.95" customHeight="1">
      <c r="A14" s="6"/>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row>
    <row r="15" ht="24.95" customHeight="1">
      <c r="A15" s="6"/>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row>
    <row r="16" ht="24.95" customHeight="1">
      <c r="A16" s="6"/>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row>
    <row r="17" ht="20.25" customHeight="1">
      <c r="A17" s="6"/>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row>
    <row r="18" ht="28.5" customHeight="1">
      <c r="A18" s="8"/>
      <c r="B18" s="25"/>
      <c r="X18" s="999"/>
      <c r="Y18" s="999"/>
      <c r="Z18" s="999"/>
      <c r="AA18" s="999"/>
      <c r="AB18" s="999"/>
      <c r="AC18" s="999"/>
      <c r="AD18" s="999"/>
      <c r="AE18" s="999"/>
      <c r="AF18" s="999"/>
      <c r="AG18" s="999"/>
    </row>
    <row r="19" s="117" customFormat="1" ht="15.95" customHeight="1">
      <c r="B19" s="964" t="s">
        <v>22</v>
      </c>
      <c r="C19" s="1000">
        <v>2023</v>
      </c>
      <c r="D19" s="1001">
        <v>2024</v>
      </c>
      <c r="E19" s="1001"/>
      <c r="F19" s="1001"/>
      <c r="G19" s="1001"/>
      <c r="H19" s="1001"/>
      <c r="I19" s="1001"/>
      <c r="J19" s="1001"/>
      <c r="K19" s="1001"/>
      <c r="L19" s="1001"/>
      <c r="M19" s="1001"/>
      <c r="N19" s="1001"/>
      <c r="O19" s="1001"/>
      <c r="P19" s="1001">
        <v>2025</v>
      </c>
      <c r="Q19" s="1001"/>
      <c r="R19" s="1001"/>
      <c r="S19" s="1001"/>
      <c r="T19" s="1001"/>
      <c r="U19" s="119"/>
      <c r="V19" s="1002" t="s">
        <v>58</v>
      </c>
      <c r="W19" s="1002"/>
      <c r="X19" s="1002"/>
      <c r="Y19" s="119"/>
      <c r="Z19" s="1002" t="s">
        <v>44</v>
      </c>
      <c r="AA19" s="1002"/>
      <c r="AB19" s="1002"/>
      <c r="AC19" s="119"/>
      <c r="AD19" s="1003" t="s">
        <v>45</v>
      </c>
      <c r="AE19" s="1003"/>
      <c r="AF19" s="1003"/>
      <c r="AG19" s="119"/>
      <c r="AH19" s="236"/>
      <c r="AI19" s="236"/>
      <c r="AJ19" s="236"/>
      <c r="AK19" s="236"/>
      <c r="AL19" s="236"/>
      <c r="AM19" s="236"/>
      <c r="AN19" s="236"/>
      <c r="AO19" s="236"/>
      <c r="AP19" s="236"/>
      <c r="AQ19" s="236"/>
      <c r="AR19" s="236"/>
      <c r="AS19" s="236"/>
      <c r="AT19" s="236"/>
      <c r="AU19" s="236"/>
      <c r="AV19" s="236"/>
    </row>
    <row r="20" s="118" customFormat="1" ht="15.95" customHeight="1">
      <c r="B20" s="964"/>
      <c r="C20" s="1004" t="s">
        <v>154</v>
      </c>
      <c r="D20" s="269" t="s">
        <v>157</v>
      </c>
      <c r="E20" s="269" t="s">
        <v>159</v>
      </c>
      <c r="F20" s="269" t="s">
        <v>160</v>
      </c>
      <c r="G20" s="269" t="s">
        <v>161</v>
      </c>
      <c r="H20" s="269" t="s">
        <v>162</v>
      </c>
      <c r="I20" s="269" t="s">
        <v>163</v>
      </c>
      <c r="J20" s="269" t="s">
        <v>164</v>
      </c>
      <c r="K20" s="269" t="s">
        <v>165</v>
      </c>
      <c r="L20" s="269" t="s">
        <v>166</v>
      </c>
      <c r="M20" s="269" t="s">
        <v>167</v>
      </c>
      <c r="N20" s="269" t="s">
        <v>171</v>
      </c>
      <c r="O20" s="1004" t="s">
        <v>154</v>
      </c>
      <c r="P20" s="269" t="s">
        <v>157</v>
      </c>
      <c r="Q20" s="269" t="s">
        <v>159</v>
      </c>
      <c r="R20" s="269" t="s">
        <v>160</v>
      </c>
      <c r="S20" s="269" t="s">
        <v>161</v>
      </c>
      <c r="T20" s="1004" t="s">
        <v>162</v>
      </c>
      <c r="U20" s="144"/>
      <c r="V20" s="268">
        <v>2023</v>
      </c>
      <c r="W20" s="269">
        <v>2024</v>
      </c>
      <c r="X20" s="270">
        <v>2025</v>
      </c>
      <c r="Y20" s="144"/>
      <c r="Z20" s="268">
        <v>2023</v>
      </c>
      <c r="AA20" s="269">
        <v>2024</v>
      </c>
      <c r="AB20" s="270">
        <v>2025</v>
      </c>
      <c r="AC20" s="144"/>
      <c r="AD20" s="268">
        <v>2023</v>
      </c>
      <c r="AE20" s="269">
        <v>2024</v>
      </c>
      <c r="AF20" s="270">
        <v>2025</v>
      </c>
      <c r="AG20" s="144"/>
      <c r="AH20" s="236"/>
      <c r="AI20" s="236"/>
      <c r="AJ20" s="236"/>
      <c r="AK20" s="236"/>
      <c r="AL20" s="236"/>
      <c r="AM20" s="236"/>
      <c r="AN20" s="236"/>
      <c r="AO20" s="236"/>
      <c r="AP20" s="236"/>
      <c r="AQ20" s="236"/>
      <c r="AR20" s="236"/>
      <c r="AS20" s="236"/>
      <c r="AT20" s="236"/>
      <c r="AU20" s="236"/>
      <c r="AV20" s="236"/>
    </row>
    <row r="21" ht="21.95" customHeight="1">
      <c r="B21" s="263" t="s">
        <v>19</v>
      </c>
      <c r="C21" s="1005">
        <v>49.183592194344882516925527680</v>
      </c>
      <c r="D21" s="574">
        <v>48.586220629231381919553962560</v>
      </c>
      <c r="E21" s="574">
        <v>60.408684546615581098339719030</v>
      </c>
      <c r="F21" s="574">
        <v>69.653524492234169653524492230</v>
      </c>
      <c r="G21" s="574">
        <v>68.765432098765432098765432100</v>
      </c>
      <c r="H21" s="574">
        <v>59.577857427319792911190760650</v>
      </c>
      <c r="I21" s="574">
        <v>56.543209876543209876543209880</v>
      </c>
      <c r="J21" s="574">
        <v>59.976105137395459976105137400</v>
      </c>
      <c r="K21" s="574">
        <v>60.454002389486260454002389490</v>
      </c>
      <c r="L21" s="574">
        <v>65.226337448559670781893004120</v>
      </c>
      <c r="M21" s="574">
        <v>75.029868578255675029868578260</v>
      </c>
      <c r="N21" s="574">
        <v>59.588477366255144032921810700</v>
      </c>
      <c r="O21" s="1006">
        <v>56.152927120669056152927120670</v>
      </c>
      <c r="P21" s="574">
        <v>52.887295898048586220629231380</v>
      </c>
      <c r="Q21" s="574">
        <v>52.821869488536155202821869490</v>
      </c>
      <c r="R21" s="574">
        <v>67.383512544802867383512544800</v>
      </c>
      <c r="S21" s="574">
        <v>67.530864197530864197530864200</v>
      </c>
      <c r="T21" s="1006">
        <v>63.002787733970529669454400640</v>
      </c>
      <c r="U21" s="113"/>
      <c r="V21" s="573">
        <v>63.527103262202599950944321810</v>
      </c>
      <c r="W21" s="574">
        <v>61.362897985705003248862897990</v>
      </c>
      <c r="X21" s="575">
        <v>60.837216907857084457525958630</v>
      </c>
      <c r="Y21" s="113"/>
      <c r="Z21" s="573">
        <v>70.692431561996779388083735910</v>
      </c>
      <c r="AA21" s="574">
        <v>65.968867418142780461621041330</v>
      </c>
      <c r="AB21" s="575">
        <v>65.955448201825013419216317770</v>
      </c>
      <c r="AC21" s="113"/>
      <c r="AD21" s="573">
        <v>65.073566717402333840690005070</v>
      </c>
      <c r="AE21" s="574">
        <v>62.021857923497267759562841530</v>
      </c>
      <c r="AF21" s="575">
        <v>61.444275325553864366649754780</v>
      </c>
      <c r="AG21" s="113"/>
    </row>
    <row r="22" ht="21.95" customHeight="1">
      <c r="B22" s="38" t="s">
        <v>35</v>
      </c>
      <c r="C22" s="1007">
        <v>35.881290322580645161290322580</v>
      </c>
      <c r="D22" s="92">
        <v>26.188387096774193548387096770</v>
      </c>
      <c r="E22" s="92">
        <v>37.008178603006175995879120880</v>
      </c>
      <c r="F22" s="92">
        <v>45.140612076095947063688999170</v>
      </c>
      <c r="G22" s="92">
        <v>49.188034188034188034188034190</v>
      </c>
      <c r="H22" s="92">
        <v>44.458229942100909842845326720</v>
      </c>
      <c r="I22" s="92">
        <v>43.189102564102564102564102560</v>
      </c>
      <c r="J22" s="92">
        <v>36.238626964433416046319272130</v>
      </c>
      <c r="K22" s="92">
        <v>35.494210090984284532671629450</v>
      </c>
      <c r="L22" s="92">
        <v>39.930555555555555555555555560</v>
      </c>
      <c r="M22" s="92">
        <v>50.362450163102573396158028270</v>
      </c>
      <c r="N22" s="92">
        <v>41.323345817727840199750312110</v>
      </c>
      <c r="O22" s="1008">
        <v>38.317023075993717530506222060</v>
      </c>
      <c r="P22" s="92">
        <v>27.81200918207079859852603600</v>
      </c>
      <c r="Q22" s="92">
        <v>33.259764579989299090422685930</v>
      </c>
      <c r="R22" s="92">
        <v>43.729612178325480246466110910</v>
      </c>
      <c r="S22" s="92">
        <v>49.450686641697877652933832710</v>
      </c>
      <c r="T22" s="1008">
        <v>48.187749184487133019209858640</v>
      </c>
      <c r="U22" s="113"/>
      <c r="V22" s="271">
        <v>43.344105960264900662251655630</v>
      </c>
      <c r="W22" s="92">
        <v>40.401112901721117256378971940</v>
      </c>
      <c r="X22" s="272">
        <v>40.572215194582930277550412980</v>
      </c>
      <c r="Y22" s="113"/>
      <c r="Z22" s="271">
        <v>48.756521739130434782608695650</v>
      </c>
      <c r="AA22" s="92">
        <v>46.230490523968784838350055740</v>
      </c>
      <c r="AB22" s="272">
        <v>47.097378277153558052434456930</v>
      </c>
      <c r="AC22" s="113"/>
      <c r="AD22" s="271">
        <v>46.122082191780821917808219180</v>
      </c>
      <c r="AE22" s="92">
        <v>45.321843365503931523431503700</v>
      </c>
      <c r="AF22" s="272">
        <v>40.636921182557630148826085410</v>
      </c>
      <c r="AG22" s="113"/>
    </row>
    <row r="23" ht="21.95" customHeight="1">
      <c r="B23" s="40" t="s">
        <v>97</v>
      </c>
      <c r="C23" s="1009">
        <v>137.07308670381445263093970003</v>
      </c>
      <c r="D23" s="113">
        <v>185.52582276122002277839020979</v>
      </c>
      <c r="E23" s="113">
        <v>163.23063394889329160304290220</v>
      </c>
      <c r="F23" s="113">
        <v>154.30345599835739851904203682</v>
      </c>
      <c r="G23" s="113">
        <v>139.80113910618849002814601382</v>
      </c>
      <c r="H23" s="113">
        <v>134.00861326442996041744286206</v>
      </c>
      <c r="I23" s="113">
        <v>130.92008520580726413479130197</v>
      </c>
      <c r="J23" s="113">
        <v>165.50324932651178185184370186</v>
      </c>
      <c r="K23" s="113">
        <v>170.32074311414279743127806994</v>
      </c>
      <c r="L23" s="113">
        <v>163.34943639273283875936448159</v>
      </c>
      <c r="M23" s="113">
        <v>148.97978222916011872756076127</v>
      </c>
      <c r="N23" s="113">
        <v>144.20051471420703046873606809</v>
      </c>
      <c r="O23" s="1010">
        <v>146.54825091524564801743712756</v>
      </c>
      <c r="P23" s="113">
        <v>190.15992534651977915229609462</v>
      </c>
      <c r="Q23" s="113">
        <v>158.81612559668982239928370981</v>
      </c>
      <c r="R23" s="113">
        <v>154.09126490776579964388004182</v>
      </c>
      <c r="S23" s="113">
        <v>136.56203540070664142292453979</v>
      </c>
      <c r="T23" s="1010">
        <v>130.74440869347745550427868136</v>
      </c>
      <c r="U23" s="113"/>
      <c r="V23" s="576">
        <v>146.56457170990845887968707899</v>
      </c>
      <c r="W23" s="113">
        <v>151.88417738641791779278880555</v>
      </c>
      <c r="X23" s="577">
        <v>149.94797946342913844287982606</v>
      </c>
      <c r="Y23" s="113"/>
      <c r="Z23" s="576">
        <v>144.99071927295709478873164130</v>
      </c>
      <c r="AA23" s="113">
        <v>142.69558179119003903221712943</v>
      </c>
      <c r="AB23" s="577">
        <v>140.04059379618221510377757654</v>
      </c>
      <c r="AC23" s="113"/>
      <c r="AD23" s="576">
        <v>141.08982861353059161539656937</v>
      </c>
      <c r="AE23" s="113">
        <v>136.84760662385081195702505705</v>
      </c>
      <c r="AF23" s="577">
        <v>151.20307724459991769063976347</v>
      </c>
      <c r="AG23" s="113"/>
    </row>
    <row r="24" ht="21.95" customHeight="1">
      <c r="A24" s="23"/>
      <c r="B24" s="39" t="s">
        <v>23</v>
      </c>
      <c r="C24" s="1011" t="s">
        <v>155</v>
      </c>
      <c r="D24" s="274" t="s">
        <v>158</v>
      </c>
      <c r="E24" s="274" t="s">
        <v>158</v>
      </c>
      <c r="F24" s="274" t="s">
        <v>158</v>
      </c>
      <c r="G24" s="274" t="s">
        <v>155</v>
      </c>
      <c r="H24" s="274" t="s">
        <v>155</v>
      </c>
      <c r="I24" s="274" t="s">
        <v>155</v>
      </c>
      <c r="J24" s="274" t="s">
        <v>158</v>
      </c>
      <c r="K24" s="274" t="s">
        <v>158</v>
      </c>
      <c r="L24" s="274" t="s">
        <v>155</v>
      </c>
      <c r="M24" s="274" t="s">
        <v>168</v>
      </c>
      <c r="N24" s="274" t="s">
        <v>168</v>
      </c>
      <c r="O24" s="1012" t="s">
        <v>170</v>
      </c>
      <c r="P24" s="274" t="s">
        <v>168</v>
      </c>
      <c r="Q24" s="274" t="s">
        <v>168</v>
      </c>
      <c r="R24" s="274" t="s">
        <v>168</v>
      </c>
      <c r="S24" s="274" t="s">
        <v>170</v>
      </c>
      <c r="T24" s="1012" t="s">
        <v>170</v>
      </c>
      <c r="U24" s="113"/>
      <c r="V24" s="273" t="s">
        <v>156</v>
      </c>
      <c r="W24" s="274" t="s">
        <v>158</v>
      </c>
      <c r="X24" s="275" t="s">
        <v>168</v>
      </c>
      <c r="Y24" s="113"/>
      <c r="Z24" s="273" t="s">
        <v>156</v>
      </c>
      <c r="AA24" s="274" t="s">
        <v>155</v>
      </c>
      <c r="AB24" s="275" t="s">
        <v>170</v>
      </c>
      <c r="AC24" s="113"/>
      <c r="AD24" s="273" t="s">
        <v>156</v>
      </c>
      <c r="AE24" s="274" t="s">
        <v>155</v>
      </c>
      <c r="AF24" s="275" t="s">
        <v>168</v>
      </c>
      <c r="AG24" s="113"/>
    </row>
    <row r="25" ht="21.95" customHeight="1">
      <c r="B25" s="25" t="s">
        <v>68</v>
      </c>
      <c r="F25" s="4"/>
      <c r="G25" s="4"/>
      <c r="H25" s="4"/>
      <c r="I25" s="4"/>
      <c r="J25" s="4"/>
      <c r="K25" s="4"/>
      <c r="L25" s="4"/>
      <c r="M25" s="4"/>
      <c r="N25" s="4"/>
      <c r="O25" s="4"/>
      <c r="P25" s="4"/>
      <c r="Q25" s="4"/>
      <c r="R25" s="98"/>
      <c r="S25" s="98"/>
      <c r="T25" s="98"/>
      <c r="U25" s="9"/>
      <c r="V25" s="98"/>
      <c r="W25" s="98"/>
      <c r="X25" s="98"/>
      <c r="Y25" s="9"/>
      <c r="Z25" s="98"/>
      <c r="AA25" s="98"/>
      <c r="AB25" s="98"/>
      <c r="AC25" s="9"/>
      <c r="AD25" s="98"/>
      <c r="AE25" s="98"/>
      <c r="AF25" s="98"/>
      <c r="AG25" s="9"/>
    </row>
    <row r="26" ht="21.95" customHeight="1">
      <c r="B26" s="37" t="s">
        <v>19</v>
      </c>
      <c r="C26" s="1005">
        <v>-15.526675786648077563669469330</v>
      </c>
      <c r="D26" s="574">
        <v>-1.7713365539495204088776865800</v>
      </c>
      <c r="E26" s="574">
        <v>8.735632183821057471264437410</v>
      </c>
      <c r="F26" s="574">
        <v>-3.5300606728931794915011304800</v>
      </c>
      <c r="G26" s="574">
        <v>7.3907455012846568718155444500</v>
      </c>
      <c r="H26" s="574">
        <v>-21.221695629310676359969938680</v>
      </c>
      <c r="I26" s="574">
        <v>-28.771384136873984457575175180</v>
      </c>
      <c r="J26" s="574">
        <v>2.8688524589769744356355969500</v>
      </c>
      <c r="K26" s="574">
        <v>6.6760365424544898117415827400</v>
      </c>
      <c r="L26" s="574">
        <v>7.970027248036571750477084380</v>
      </c>
      <c r="M26" s="574">
        <v>-0.000000000059076433120984200</v>
      </c>
      <c r="N26" s="574">
        <v>1.3296011197328829342800146200</v>
      </c>
      <c r="O26" s="1006">
        <v>14.170040485934145453949512380</v>
      </c>
      <c r="P26" s="574">
        <v>8.852459016463750604676207730</v>
      </c>
      <c r="Q26" s="574">
        <v>-12.559146280053959179781485780</v>
      </c>
      <c r="R26" s="574">
        <v>-3.2590051457501407812550335200</v>
      </c>
      <c r="S26" s="574">
        <v>-1.7953321364946091687644192200</v>
      </c>
      <c r="T26" s="1006">
        <v>5.748663101639409816551814700</v>
      </c>
      <c r="U26" s="113"/>
      <c r="V26" s="573">
        <v>-7.7525822154100203125070893100</v>
      </c>
      <c r="W26" s="574">
        <v>-3.406743209370835084620138300</v>
      </c>
      <c r="X26" s="575">
        <v>-0.8566757684185974680627059200</v>
      </c>
      <c r="Y26" s="113"/>
      <c r="Z26" s="573">
        <v>-0.2083727978893500935361288500</v>
      </c>
      <c r="AA26" s="574">
        <v>-6.6818526955243728844633777800</v>
      </c>
      <c r="AB26" s="575">
        <v>-0.0203417411882149815848063500</v>
      </c>
      <c r="AC26" s="113"/>
      <c r="AD26" s="573">
        <v>-4.9362585235802324997809189200</v>
      </c>
      <c r="AE26" s="574">
        <v>-4.6896289043992678690404192300</v>
      </c>
      <c r="AF26" s="575">
        <v>-0.9312565235606886750702825700</v>
      </c>
      <c r="AG26" s="113"/>
    </row>
    <row r="27" ht="21.95" customHeight="1">
      <c r="B27" s="38" t="s">
        <v>35</v>
      </c>
      <c r="C27" s="1007">
        <v>-10.894642399441877311971647090</v>
      </c>
      <c r="D27" s="92">
        <v>-17.334636689475399152818507670</v>
      </c>
      <c r="E27" s="92">
        <v>-3.8106155424970137432435975100</v>
      </c>
      <c r="F27" s="92">
        <v>-8.981230203563246202402440620</v>
      </c>
      <c r="G27" s="92">
        <v>4.0004105802481986514462833900</v>
      </c>
      <c r="H27" s="92">
        <v>-9.878823485179354039788417200</v>
      </c>
      <c r="I27" s="92">
        <v>-25.254229917169075319725436930</v>
      </c>
      <c r="J27" s="92">
        <v>-26.216540832747516470830268190</v>
      </c>
      <c r="K27" s="92">
        <v>-33.070528417223390032193771530</v>
      </c>
      <c r="L27" s="92">
        <v>-17.734543823079605805344367180</v>
      </c>
      <c r="M27" s="92">
        <v>-10.496012483061379598883039380</v>
      </c>
      <c r="N27" s="92">
        <v>0.9396474832941806863663058100</v>
      </c>
      <c r="O27" s="1008">
        <v>6.7883087020969247692642676800</v>
      </c>
      <c r="P27" s="92">
        <v>6.1997788533880023555725280800</v>
      </c>
      <c r="Q27" s="92">
        <v>-10.128609849247870345340037780</v>
      </c>
      <c r="R27" s="92">
        <v>-3.1257881381754305421964293400</v>
      </c>
      <c r="S27" s="92">
        <v>0.5339763176832848730836795600</v>
      </c>
      <c r="T27" s="1008">
        <v>8.388816305202113669216886170</v>
      </c>
      <c r="U27" s="113"/>
      <c r="V27" s="271">
        <v>-1.1367951046834091315815463100</v>
      </c>
      <c r="W27" s="92">
        <v>-6.7898344962391127380224564300</v>
      </c>
      <c r="X27" s="272">
        <v>0.4235088605089654025886018800</v>
      </c>
      <c r="Y27" s="113"/>
      <c r="Z27" s="271">
        <v>-2.071398630796710040318222800</v>
      </c>
      <c r="AA27" s="92">
        <v>-5.1809093943333525132610176100</v>
      </c>
      <c r="AB27" s="272">
        <v>1.8751428836852244956172443200</v>
      </c>
      <c r="AC27" s="113"/>
      <c r="AD27" s="271">
        <v>-5.1440114938327693498879215700</v>
      </c>
      <c r="AE27" s="92">
        <v>-1.7350448814696881938452699200</v>
      </c>
      <c r="AF27" s="272">
        <v>-10.337007136185103435483330930</v>
      </c>
      <c r="AG27" s="113"/>
    </row>
    <row r="28" ht="21.95" customHeight="1">
      <c r="B28" s="40" t="s">
        <v>97</v>
      </c>
      <c r="C28" s="1009">
        <v>-5.1983780907657272187113886600</v>
      </c>
      <c r="D28" s="113">
        <v>18.826869576526392356043009960</v>
      </c>
      <c r="E28" s="113">
        <v>13.043276861804855910059864940</v>
      </c>
      <c r="F28" s="113">
        <v>5.989060874863577864580207500</v>
      </c>
      <c r="G28" s="113">
        <v>3.2599245543621139581961544300</v>
      </c>
      <c r="H28" s="113">
        <v>-12.586245078851649475704396510</v>
      </c>
      <c r="I28" s="113">
        <v>-4.7054893083585379730275676900</v>
      </c>
      <c r="J28" s="113">
        <v>39.419937232753795850850930980</v>
      </c>
      <c r="K28" s="113">
        <v>59.385744455656089007799886060</v>
      </c>
      <c r="L28" s="113">
        <v>31.245886506288866082897771870</v>
      </c>
      <c r="M28" s="113">
        <v>11.726865779150194855552068440</v>
      </c>
      <c r="N28" s="113">
        <v>0.3863235568421915390870526900</v>
      </c>
      <c r="O28" s="1010">
        <v>6.9124905838886120124479259300</v>
      </c>
      <c r="P28" s="113">
        <v>2.4978207973154094113816664200</v>
      </c>
      <c r="Q28" s="113">
        <v>-2.7044607041054297568397392800</v>
      </c>
      <c r="R28" s="113">
        <v>-0.137515449191494844617752500</v>
      </c>
      <c r="S28" s="113">
        <v>-2.31693656160610533269673600</v>
      </c>
      <c r="T28" s="1010">
        <v>-2.4358169907200251167867637200</v>
      </c>
      <c r="U28" s="113"/>
      <c r="V28" s="576">
        <v>-6.6918598459078327491981180100</v>
      </c>
      <c r="W28" s="113">
        <v>3.629530393639184143857138100</v>
      </c>
      <c r="X28" s="577">
        <v>-1.2747857981579537630426378100</v>
      </c>
      <c r="Y28" s="113"/>
      <c r="Z28" s="576">
        <v>1.9024327999360048440681028100</v>
      </c>
      <c r="AA28" s="113">
        <v>-1.5829547527717925812312695800</v>
      </c>
      <c r="AB28" s="577">
        <v>-1.86059579539239618294681800</v>
      </c>
      <c r="AC28" s="113"/>
      <c r="AD28" s="576">
        <v>0.2190193507906702508061350900</v>
      </c>
      <c r="AE28" s="113">
        <v>-3.0067525287526477664126494700</v>
      </c>
      <c r="AF28" s="577">
        <v>10.490114496597107695380808170</v>
      </c>
      <c r="AG28" s="113"/>
    </row>
    <row r="29" ht="21.95" customHeight="1">
      <c r="A29" s="23"/>
      <c r="B29" s="39" t="s">
        <v>23</v>
      </c>
      <c r="C29" s="1011" t="s">
        <v>173</v>
      </c>
      <c r="D29" s="274" t="s">
        <v>156</v>
      </c>
      <c r="E29" s="274" t="s">
        <v>156</v>
      </c>
      <c r="F29" s="274" t="s">
        <v>156</v>
      </c>
      <c r="G29" s="274" t="s">
        <v>156</v>
      </c>
      <c r="H29" s="274" t="s">
        <v>174</v>
      </c>
      <c r="I29" s="274" t="s">
        <v>174</v>
      </c>
      <c r="J29" s="274" t="s">
        <v>158</v>
      </c>
      <c r="K29" s="274" t="s">
        <v>158</v>
      </c>
      <c r="L29" s="274" t="s">
        <v>158</v>
      </c>
      <c r="M29" s="274" t="s">
        <v>170</v>
      </c>
      <c r="N29" s="274" t="s">
        <v>169</v>
      </c>
      <c r="O29" s="1012" t="s">
        <v>169</v>
      </c>
      <c r="P29" s="274" t="s">
        <v>169</v>
      </c>
      <c r="Q29" s="274" t="s">
        <v>169</v>
      </c>
      <c r="R29" s="274" t="s">
        <v>169</v>
      </c>
      <c r="S29" s="274" t="s">
        <v>169</v>
      </c>
      <c r="T29" s="1012" t="s">
        <v>169</v>
      </c>
      <c r="U29" s="113"/>
      <c r="V29" s="273" t="s">
        <v>174</v>
      </c>
      <c r="W29" s="274" t="s">
        <v>156</v>
      </c>
      <c r="X29" s="275" t="s">
        <v>170</v>
      </c>
      <c r="Y29" s="113"/>
      <c r="Z29" s="273" t="s">
        <v>173</v>
      </c>
      <c r="AA29" s="274" t="s">
        <v>173</v>
      </c>
      <c r="AB29" s="275" t="s">
        <v>169</v>
      </c>
      <c r="AC29" s="113"/>
      <c r="AD29" s="273" t="s">
        <v>173</v>
      </c>
      <c r="AE29" s="274" t="s">
        <v>173</v>
      </c>
      <c r="AF29" s="275" t="s">
        <v>168</v>
      </c>
      <c r="AG29" s="113"/>
    </row>
    <row r="30" ht="21.95" customHeight="1">
      <c r="A30" s="8"/>
      <c r="B30" s="25"/>
      <c r="F30" s="4"/>
      <c r="G30" s="4"/>
      <c r="H30" s="4"/>
      <c r="I30" s="4"/>
      <c r="J30" s="4"/>
      <c r="K30" s="4"/>
      <c r="L30" s="4"/>
      <c r="M30" s="4"/>
      <c r="N30" s="4"/>
      <c r="O30" s="4"/>
      <c r="P30" s="4"/>
      <c r="Q30" s="4"/>
      <c r="U30" s="9"/>
      <c r="X30" s="102"/>
      <c r="Y30" s="116"/>
      <c r="Z30" s="4"/>
      <c r="AA30" s="4"/>
      <c r="AB30" s="102"/>
      <c r="AC30" s="116"/>
      <c r="AF30" s="102"/>
      <c r="AG30" s="116"/>
    </row>
    <row r="31" s="117" customFormat="1" ht="15.95" customHeight="1">
      <c r="B31" s="964" t="s">
        <v>9</v>
      </c>
      <c r="C31" s="1000">
        <v>2023</v>
      </c>
      <c r="D31" s="1001">
        <v>2024</v>
      </c>
      <c r="E31" s="1001"/>
      <c r="F31" s="1001"/>
      <c r="G31" s="1001"/>
      <c r="H31" s="1001"/>
      <c r="I31" s="1001"/>
      <c r="J31" s="1001"/>
      <c r="K31" s="1001"/>
      <c r="L31" s="1001"/>
      <c r="M31" s="1001"/>
      <c r="N31" s="1001"/>
      <c r="O31" s="1001"/>
      <c r="P31" s="1001">
        <v>2025</v>
      </c>
      <c r="Q31" s="1001"/>
      <c r="R31" s="1001"/>
      <c r="S31" s="1001"/>
      <c r="T31" s="1001"/>
      <c r="U31" s="119"/>
      <c r="V31" s="1002" t="s">
        <v>58</v>
      </c>
      <c r="W31" s="1002"/>
      <c r="X31" s="1002"/>
      <c r="Y31" s="119"/>
      <c r="Z31" s="1002" t="s">
        <v>44</v>
      </c>
      <c r="AA31" s="1002"/>
      <c r="AB31" s="1002"/>
      <c r="AC31" s="119"/>
      <c r="AD31" s="1003" t="s">
        <v>45</v>
      </c>
      <c r="AE31" s="1003"/>
      <c r="AF31" s="1003"/>
      <c r="AG31" s="119"/>
      <c r="AH31" s="236"/>
      <c r="AI31" s="236"/>
      <c r="AJ31" s="236"/>
      <c r="AK31" s="236"/>
      <c r="AL31" s="236"/>
      <c r="AM31" s="236"/>
      <c r="AN31" s="236"/>
      <c r="AO31" s="236"/>
      <c r="AP31" s="236"/>
      <c r="AQ31" s="236"/>
      <c r="AR31" s="236"/>
      <c r="AS31" s="236"/>
      <c r="AT31" s="236"/>
      <c r="AU31" s="236"/>
      <c r="AV31" s="236"/>
    </row>
    <row r="32" s="118" customFormat="1" ht="15.95" customHeight="1">
      <c r="B32" s="964"/>
      <c r="C32" s="1004" t="s">
        <v>154</v>
      </c>
      <c r="D32" s="269" t="s">
        <v>157</v>
      </c>
      <c r="E32" s="269" t="s">
        <v>159</v>
      </c>
      <c r="F32" s="269" t="s">
        <v>160</v>
      </c>
      <c r="G32" s="269" t="s">
        <v>161</v>
      </c>
      <c r="H32" s="269" t="s">
        <v>162</v>
      </c>
      <c r="I32" s="269" t="s">
        <v>163</v>
      </c>
      <c r="J32" s="269" t="s">
        <v>164</v>
      </c>
      <c r="K32" s="269" t="s">
        <v>165</v>
      </c>
      <c r="L32" s="269" t="s">
        <v>166</v>
      </c>
      <c r="M32" s="269" t="s">
        <v>167</v>
      </c>
      <c r="N32" s="269" t="s">
        <v>171</v>
      </c>
      <c r="O32" s="1004" t="s">
        <v>154</v>
      </c>
      <c r="P32" s="269" t="s">
        <v>157</v>
      </c>
      <c r="Q32" s="269" t="s">
        <v>159</v>
      </c>
      <c r="R32" s="269" t="s">
        <v>160</v>
      </c>
      <c r="S32" s="269" t="s">
        <v>161</v>
      </c>
      <c r="T32" s="1004" t="s">
        <v>162</v>
      </c>
      <c r="U32" s="144"/>
      <c r="V32" s="268">
        <v>2023</v>
      </c>
      <c r="W32" s="269">
        <v>2024</v>
      </c>
      <c r="X32" s="270">
        <v>2025</v>
      </c>
      <c r="Y32" s="144"/>
      <c r="Z32" s="268">
        <v>2023</v>
      </c>
      <c r="AA32" s="269">
        <v>2024</v>
      </c>
      <c r="AB32" s="270">
        <v>2025</v>
      </c>
      <c r="AC32" s="144"/>
      <c r="AD32" s="268">
        <v>2023</v>
      </c>
      <c r="AE32" s="269">
        <v>2024</v>
      </c>
      <c r="AF32" s="270">
        <v>2025</v>
      </c>
      <c r="AG32" s="144"/>
      <c r="AH32" s="236"/>
      <c r="AI32" s="236"/>
      <c r="AJ32" s="236"/>
      <c r="AK32" s="236"/>
      <c r="AL32" s="236"/>
      <c r="AM32" s="236"/>
      <c r="AN32" s="236"/>
      <c r="AO32" s="236"/>
      <c r="AP32" s="236"/>
      <c r="AQ32" s="236"/>
      <c r="AR32" s="236"/>
      <c r="AS32" s="236"/>
      <c r="AT32" s="236"/>
      <c r="AU32" s="236"/>
      <c r="AV32" s="236"/>
    </row>
    <row r="33" ht="21.95" customHeight="1">
      <c r="B33" s="263" t="s">
        <v>19</v>
      </c>
      <c r="C33" s="1013">
        <v>118.74760323886639676113360324</v>
      </c>
      <c r="D33" s="579">
        <v>109.61001639344262295081967213</v>
      </c>
      <c r="E33" s="579">
        <v>117.11872445384073291050035236</v>
      </c>
      <c r="F33" s="579">
        <v>130.57909090909090909090909091</v>
      </c>
      <c r="G33" s="579">
        <v>139.89086175942549371633752244</v>
      </c>
      <c r="H33" s="579">
        <v>133.17729278074866310160427807</v>
      </c>
      <c r="I33" s="579">
        <v>133.80014556040756914119359534</v>
      </c>
      <c r="J33" s="579">
        <v>126.95223107569721115537848606</v>
      </c>
      <c r="K33" s="579">
        <v>119.48509881422924901185770751</v>
      </c>
      <c r="L33" s="579">
        <v>128.5386561514195583596214511</v>
      </c>
      <c r="M33" s="579">
        <v>135.47016454352441613588110403</v>
      </c>
      <c r="N33" s="579">
        <v>124.76870165745856353591160221</v>
      </c>
      <c r="O33" s="1014">
        <v>116.65195744680851063829787234</v>
      </c>
      <c r="P33" s="579">
        <v>108.72978162650602409638554217</v>
      </c>
      <c r="Q33" s="579">
        <v>125.46939899833055091819699499</v>
      </c>
      <c r="R33" s="579">
        <v>127.02153073286052009456264775</v>
      </c>
      <c r="S33" s="579">
        <v>127.58628884826325411334552102</v>
      </c>
      <c r="T33" s="1014">
        <v>130.45032237673830594184576485</v>
      </c>
      <c r="U33" s="113"/>
      <c r="V33" s="578">
        <v>112.01064478764478764478764479</v>
      </c>
      <c r="W33" s="579">
        <v>127.23883256121773659827928524</v>
      </c>
      <c r="X33" s="580">
        <v>124.36062760381669130493213278</v>
      </c>
      <c r="Y33" s="113"/>
      <c r="Z33" s="578">
        <v>113.65199696279422930903568717</v>
      </c>
      <c r="AA33" s="579">
        <v>134.53492473555736371033360456</v>
      </c>
      <c r="AB33" s="580">
        <v>128.31372126144455747711088505</v>
      </c>
      <c r="AC33" s="113"/>
      <c r="AD33" s="578">
        <v>113.84687145901554134830292635</v>
      </c>
      <c r="AE33" s="579">
        <v>124.70221950290966443683036928</v>
      </c>
      <c r="AF33" s="580">
        <v>125.83293900693603434988439943</v>
      </c>
      <c r="AG33" s="113"/>
    </row>
    <row r="34" ht="21.95" customHeight="1">
      <c r="B34" s="38" t="s">
        <v>35</v>
      </c>
      <c r="C34" s="1015">
        <v>106.33772295742232451093210587</v>
      </c>
      <c r="D34" s="94">
        <v>101.80323216397319668900275918</v>
      </c>
      <c r="E34" s="94">
        <v>102.76555173958488875615947439</v>
      </c>
      <c r="F34" s="94">
        <v>111.0287104901511681172698122</v>
      </c>
      <c r="G34" s="94">
        <v>117.16376846220677671589921807</v>
      </c>
      <c r="H34" s="94">
        <v>115.72335465116279069767441859</v>
      </c>
      <c r="I34" s="94">
        <v>116.05235868893011750154607299</v>
      </c>
      <c r="J34" s="94">
        <v>114.11814407988587731811697574</v>
      </c>
      <c r="K34" s="94">
        <v>109.40036993882901252548791143</v>
      </c>
      <c r="L34" s="94">
        <v>121.68835317725752508361204012</v>
      </c>
      <c r="M34" s="94">
        <v>132.46358402302986685858222382</v>
      </c>
      <c r="N34" s="94">
        <v>118.19764954682779456193353475</v>
      </c>
      <c r="O34" s="1016">
        <v>117.92839508119186504808450261</v>
      </c>
      <c r="P34" s="94">
        <v>108.46571025195482189400521287</v>
      </c>
      <c r="Q34" s="94">
        <v>118.91548763321938467725718881</v>
      </c>
      <c r="R34" s="94">
        <v>119.85832987981765437215084957</v>
      </c>
      <c r="S34" s="94">
        <v>125.09120550366069174450896239</v>
      </c>
      <c r="T34" s="1016">
        <v>126.64696377084116835903221764</v>
      </c>
      <c r="U34" s="113"/>
      <c r="V34" s="276">
        <v>103.93485112208477973891360681</v>
      </c>
      <c r="W34" s="94">
        <v>110.94008991037034537702664739</v>
      </c>
      <c r="X34" s="277">
        <v>121.03416353354730246064496409</v>
      </c>
      <c r="Y34" s="113"/>
      <c r="Z34" s="276">
        <v>105.4938680221152131264490815</v>
      </c>
      <c r="AA34" s="94">
        <v>114.67850527505651846269781462</v>
      </c>
      <c r="AB34" s="277">
        <v>123.99039718212464344368571183</v>
      </c>
      <c r="AC34" s="113"/>
      <c r="AD34" s="276">
        <v>103.88470802919708029197080292</v>
      </c>
      <c r="AE34" s="94">
        <v>108.84144469034078977894774896</v>
      </c>
      <c r="AF34" s="277">
        <v>119.9822158459915089341687462</v>
      </c>
      <c r="AG34" s="113"/>
    </row>
    <row r="35" ht="21.95" customHeight="1">
      <c r="B35" s="40" t="s">
        <v>98</v>
      </c>
      <c r="C35" s="1009">
        <v>111.67025203881591872121352891</v>
      </c>
      <c r="D35" s="113">
        <v>107.66850331123699247622217384</v>
      </c>
      <c r="E35" s="113">
        <v>113.96691057584215384742284163</v>
      </c>
      <c r="F35" s="113">
        <v>117.60840086548292603625835829</v>
      </c>
      <c r="G35" s="113">
        <v>119.39771449444102661757267606</v>
      </c>
      <c r="H35" s="113">
        <v>115.08246816915765367814143835</v>
      </c>
      <c r="I35" s="113">
        <v>115.29291353662515654131120018</v>
      </c>
      <c r="J35" s="113">
        <v>111.24631591170235360814166898</v>
      </c>
      <c r="K35" s="113">
        <v>109.21818535080894008544283611</v>
      </c>
      <c r="L35" s="113">
        <v>105.62938259517627214362406613</v>
      </c>
      <c r="M35" s="113">
        <v>102.26974118411470405597263781</v>
      </c>
      <c r="N35" s="113">
        <v>105.55937629542859515971256237</v>
      </c>
      <c r="O35" s="1010">
        <v>98.91761637770734193372131512</v>
      </c>
      <c r="P35" s="113">
        <v>100.24346069729548918197364811</v>
      </c>
      <c r="Q35" s="113">
        <v>105.51140267392787046054457081</v>
      </c>
      <c r="R35" s="113">
        <v>105.97638967624873505697403534</v>
      </c>
      <c r="S35" s="113">
        <v>101.99461131941002318866241173</v>
      </c>
      <c r="T35" s="1010">
        <v>103.00311866364317578028631128</v>
      </c>
      <c r="U35" s="113"/>
      <c r="V35" s="576">
        <v>107.77005362335830179875579780</v>
      </c>
      <c r="W35" s="113">
        <v>114.69148137880661888203805834</v>
      </c>
      <c r="X35" s="577">
        <v>102.74836787664169552116346455</v>
      </c>
      <c r="Y35" s="113"/>
      <c r="Z35" s="576">
        <v>107.73327312160473246574013316</v>
      </c>
      <c r="AA35" s="113">
        <v>117.31485722875807586959747848</v>
      </c>
      <c r="AB35" s="577">
        <v>103.48682170361552689828633307</v>
      </c>
      <c r="AC35" s="113"/>
      <c r="AD35" s="576">
        <v>109.58963414231800909402957334</v>
      </c>
      <c r="AE35" s="113">
        <v>114.57236704064364926586903643</v>
      </c>
      <c r="AF35" s="577">
        <v>104.87632531178251894433211552</v>
      </c>
      <c r="AG35" s="113"/>
    </row>
    <row r="36" ht="21.95" customHeight="1">
      <c r="A36" s="23"/>
      <c r="B36" s="39" t="s">
        <v>23</v>
      </c>
      <c r="C36" s="1011" t="s">
        <v>156</v>
      </c>
      <c r="D36" s="274" t="s">
        <v>156</v>
      </c>
      <c r="E36" s="274" t="s">
        <v>156</v>
      </c>
      <c r="F36" s="274" t="s">
        <v>155</v>
      </c>
      <c r="G36" s="274" t="s">
        <v>155</v>
      </c>
      <c r="H36" s="274" t="s">
        <v>156</v>
      </c>
      <c r="I36" s="274" t="s">
        <v>156</v>
      </c>
      <c r="J36" s="274" t="s">
        <v>155</v>
      </c>
      <c r="K36" s="274" t="s">
        <v>156</v>
      </c>
      <c r="L36" s="274" t="s">
        <v>156</v>
      </c>
      <c r="M36" s="274" t="s">
        <v>169</v>
      </c>
      <c r="N36" s="274" t="s">
        <v>172</v>
      </c>
      <c r="O36" s="1012" t="s">
        <v>172</v>
      </c>
      <c r="P36" s="274" t="s">
        <v>172</v>
      </c>
      <c r="Q36" s="274" t="s">
        <v>172</v>
      </c>
      <c r="R36" s="274" t="s">
        <v>169</v>
      </c>
      <c r="S36" s="274" t="s">
        <v>169</v>
      </c>
      <c r="T36" s="1012" t="s">
        <v>172</v>
      </c>
      <c r="U36" s="113"/>
      <c r="V36" s="273" t="s">
        <v>156</v>
      </c>
      <c r="W36" s="274" t="s">
        <v>156</v>
      </c>
      <c r="X36" s="275" t="s">
        <v>169</v>
      </c>
      <c r="Y36" s="113"/>
      <c r="Z36" s="273" t="s">
        <v>156</v>
      </c>
      <c r="AA36" s="274" t="s">
        <v>155</v>
      </c>
      <c r="AB36" s="275" t="s">
        <v>169</v>
      </c>
      <c r="AC36" s="113"/>
      <c r="AD36" s="273" t="s">
        <v>156</v>
      </c>
      <c r="AE36" s="274" t="s">
        <v>156</v>
      </c>
      <c r="AF36" s="275" t="s">
        <v>169</v>
      </c>
      <c r="AG36" s="113"/>
    </row>
    <row r="37" ht="21.95" customHeight="1">
      <c r="B37" s="25" t="s">
        <v>68</v>
      </c>
      <c r="F37" s="4"/>
      <c r="G37" s="4"/>
      <c r="H37" s="4"/>
      <c r="I37" s="4"/>
      <c r="J37" s="4"/>
      <c r="K37" s="4"/>
      <c r="L37" s="4"/>
      <c r="M37" s="4"/>
      <c r="N37" s="4"/>
      <c r="O37" s="4"/>
      <c r="P37" s="4"/>
      <c r="Q37" s="4"/>
      <c r="S37" s="98"/>
      <c r="T37" s="98"/>
      <c r="U37" s="9"/>
      <c r="V37" s="98"/>
      <c r="W37" s="98"/>
      <c r="X37" s="98"/>
      <c r="Y37" s="9"/>
      <c r="Z37" s="98"/>
      <c r="AA37" s="98"/>
      <c r="AB37" s="98"/>
      <c r="AC37" s="9"/>
      <c r="AD37" s="98"/>
      <c r="AE37" s="98"/>
      <c r="AF37" s="98"/>
      <c r="AG37" s="9"/>
    </row>
    <row r="38" ht="21.95" customHeight="1">
      <c r="B38" s="37" t="s">
        <v>19</v>
      </c>
      <c r="C38" s="1005">
        <v>12.189570345359490933139662580</v>
      </c>
      <c r="D38" s="574">
        <v>0.6064740947341127723108496300</v>
      </c>
      <c r="E38" s="574">
        <v>8.276964987491660588260752380</v>
      </c>
      <c r="F38" s="574">
        <v>12.499940869405243930209544650</v>
      </c>
      <c r="G38" s="574">
        <v>24.570578040066047384513931540</v>
      </c>
      <c r="H38" s="574">
        <v>18.430139779522521040684226090</v>
      </c>
      <c r="I38" s="574">
        <v>10.86951382109178036409308800</v>
      </c>
      <c r="J38" s="574">
        <v>2.0651613123892890329931925400</v>
      </c>
      <c r="K38" s="574">
        <v>-5.3375401929780377379653370100</v>
      </c>
      <c r="L38" s="574">
        <v>9.300413412822973836477896480</v>
      </c>
      <c r="M38" s="574">
        <v>4.5728803627210248232796611200</v>
      </c>
      <c r="N38" s="574">
        <v>2.6184485074209692435381295600</v>
      </c>
      <c r="O38" s="1006">
        <v>-1.7647899704345241582131552100</v>
      </c>
      <c r="P38" s="574">
        <v>-0.8030605193367874524747227400</v>
      </c>
      <c r="Q38" s="574">
        <v>7.1300934871645174971718566400</v>
      </c>
      <c r="R38" s="574">
        <v>-2.724448570955363486513914900</v>
      </c>
      <c r="S38" s="574">
        <v>-8.795837523897401510866111480</v>
      </c>
      <c r="T38" s="1006">
        <v>-2.0476241459962200991155044900</v>
      </c>
      <c r="U38" s="113"/>
      <c r="V38" s="573">
        <v>9.476400635134053934946167100</v>
      </c>
      <c r="W38" s="574">
        <v>13.595304091405028949189219230</v>
      </c>
      <c r="X38" s="575">
        <v>-2.2620491711906697998813980800</v>
      </c>
      <c r="Y38" s="113"/>
      <c r="Z38" s="573">
        <v>2.2359239038574637393886344300</v>
      </c>
      <c r="AA38" s="574">
        <v>18.374448606998659770260883310</v>
      </c>
      <c r="AB38" s="575">
        <v>-4.6242293489084004925880219200</v>
      </c>
      <c r="AC38" s="113"/>
      <c r="AD38" s="573">
        <v>14.765364678715231638009551660</v>
      </c>
      <c r="AE38" s="574">
        <v>9.535042908771570441816412290</v>
      </c>
      <c r="AF38" s="575">
        <v>0.9067356688144103285096553800</v>
      </c>
      <c r="AG38" s="113"/>
    </row>
    <row r="39" ht="21.95" customHeight="1">
      <c r="B39" s="38" t="s">
        <v>35</v>
      </c>
      <c r="C39" s="1007">
        <v>2.2758359059301211934238663300</v>
      </c>
      <c r="D39" s="92">
        <v>0.9326689835480321610054257900</v>
      </c>
      <c r="E39" s="92">
        <v>2.5151957153127917606837160300</v>
      </c>
      <c r="F39" s="92">
        <v>4.0483412719634237953578222700</v>
      </c>
      <c r="G39" s="92">
        <v>12.385524518579604362562685690</v>
      </c>
      <c r="H39" s="92">
        <v>9.768401635702293759035848170</v>
      </c>
      <c r="I39" s="92">
        <v>6.6219313130382259810678452900</v>
      </c>
      <c r="J39" s="92">
        <v>7.8277672057490795840196051900</v>
      </c>
      <c r="K39" s="92">
        <v>6.5445851705200728817300062600</v>
      </c>
      <c r="L39" s="92">
        <v>17.562584627988138674625479810</v>
      </c>
      <c r="M39" s="92">
        <v>13.517929876565286174488328800</v>
      </c>
      <c r="N39" s="92">
        <v>9.600175440659956222774954930</v>
      </c>
      <c r="O39" s="1008">
        <v>10.899868646270720966439943180</v>
      </c>
      <c r="P39" s="92">
        <v>6.5444661690327251857696851600</v>
      </c>
      <c r="Q39" s="92">
        <v>15.715320572152504418155911150</v>
      </c>
      <c r="R39" s="92">
        <v>7.952555109965908117907492550</v>
      </c>
      <c r="S39" s="92">
        <v>6.7661164756904211153979240400</v>
      </c>
      <c r="T39" s="1008">
        <v>9.439416228959013645638995890</v>
      </c>
      <c r="U39" s="113"/>
      <c r="V39" s="271">
        <v>3.951945361691599673695503300</v>
      </c>
      <c r="W39" s="92">
        <v>6.7400286935907286210978141900</v>
      </c>
      <c r="X39" s="272">
        <v>9.098670851357441249111327970</v>
      </c>
      <c r="Y39" s="113"/>
      <c r="Z39" s="271">
        <v>3.9440376582504949963545137100</v>
      </c>
      <c r="AA39" s="92">
        <v>8.706323339127560480340548090</v>
      </c>
      <c r="AB39" s="272">
        <v>8.119997627006499580536763610</v>
      </c>
      <c r="AC39" s="113"/>
      <c r="AD39" s="271">
        <v>2.360547468149818883060826400</v>
      </c>
      <c r="AE39" s="92">
        <v>4.7713823864697642718489210100</v>
      </c>
      <c r="AF39" s="272">
        <v>10.235780301696399316016518230</v>
      </c>
      <c r="AG39" s="113"/>
    </row>
    <row r="40" ht="21.95" customHeight="1">
      <c r="B40" s="40" t="s">
        <v>98</v>
      </c>
      <c r="C40" s="1009">
        <v>9.693134601842227844819920730</v>
      </c>
      <c r="D40" s="113">
        <v>-0.3231806828787099579804097200</v>
      </c>
      <c r="E40" s="113">
        <v>5.6204050842808815400133983200</v>
      </c>
      <c r="F40" s="113">
        <v>8.122762452629054481783422520</v>
      </c>
      <c r="G40" s="113">
        <v>10.842191264219951015017670400</v>
      </c>
      <c r="H40" s="113">
        <v>7.8909212621604034832612053900</v>
      </c>
      <c r="I40" s="113">
        <v>3.9837793742521884564836540300</v>
      </c>
      <c r="J40" s="113">
        <v>-5.3442689602733725222193323200</v>
      </c>
      <c r="K40" s="113">
        <v>-11.152256442219622573169806040</v>
      </c>
      <c r="L40" s="113">
        <v>-7.0278917747159842517621409200</v>
      </c>
      <c r="M40" s="113">
        <v>-7.8798560928447847244733057700</v>
      </c>
      <c r="N40" s="113">
        <v>-6.3701786106873697154724266100</v>
      </c>
      <c r="O40" s="1010">
        <v>-11.419904073165103349001688270</v>
      </c>
      <c r="P40" s="113">
        <v>-6.8962067694426060252002964500</v>
      </c>
      <c r="Q40" s="113">
        <v>-7.4192656966412423204201604700</v>
      </c>
      <c r="R40" s="113">
        <v>-9.890459443074932116424020050</v>
      </c>
      <c r="S40" s="113">
        <v>-14.575742298489489411502093430</v>
      </c>
      <c r="T40" s="1010">
        <v>-10.496255161817663213408147070</v>
      </c>
      <c r="U40" s="113"/>
      <c r="V40" s="576">
        <v>5.3144318311942932540989443500</v>
      </c>
      <c r="W40" s="113">
        <v>6.4224035552523622852768123400</v>
      </c>
      <c r="X40" s="577">
        <v>-10.413252456573391160008239610</v>
      </c>
      <c r="Y40" s="113"/>
      <c r="Z40" s="576">
        <v>-1.6433013310122208576798697400</v>
      </c>
      <c r="AA40" s="113">
        <v>8.893802099879776711270686080</v>
      </c>
      <c r="AB40" s="577">
        <v>-11.787113628937515662406366050</v>
      </c>
      <c r="AC40" s="113"/>
      <c r="AD40" s="576">
        <v>12.118748402008311906923253570</v>
      </c>
      <c r="AE40" s="113">
        <v>4.546719164947359796957569400</v>
      </c>
      <c r="AF40" s="577">
        <v>-8.462809994474130221915889730</v>
      </c>
      <c r="AG40" s="113"/>
    </row>
    <row r="41" ht="21.95" customHeight="1">
      <c r="A41" s="23"/>
      <c r="B41" s="39" t="s">
        <v>23</v>
      </c>
      <c r="C41" s="1011" t="s">
        <v>158</v>
      </c>
      <c r="D41" s="274" t="s">
        <v>174</v>
      </c>
      <c r="E41" s="274" t="s">
        <v>156</v>
      </c>
      <c r="F41" s="274" t="s">
        <v>156</v>
      </c>
      <c r="G41" s="274" t="s">
        <v>158</v>
      </c>
      <c r="H41" s="274" t="s">
        <v>158</v>
      </c>
      <c r="I41" s="274" t="s">
        <v>173</v>
      </c>
      <c r="J41" s="274" t="s">
        <v>174</v>
      </c>
      <c r="K41" s="274" t="s">
        <v>174</v>
      </c>
      <c r="L41" s="274" t="s">
        <v>173</v>
      </c>
      <c r="M41" s="274" t="s">
        <v>175</v>
      </c>
      <c r="N41" s="274" t="s">
        <v>172</v>
      </c>
      <c r="O41" s="1012" t="s">
        <v>175</v>
      </c>
      <c r="P41" s="274" t="s">
        <v>175</v>
      </c>
      <c r="Q41" s="274" t="s">
        <v>175</v>
      </c>
      <c r="R41" s="274" t="s">
        <v>176</v>
      </c>
      <c r="S41" s="274" t="s">
        <v>176</v>
      </c>
      <c r="T41" s="1012" t="s">
        <v>176</v>
      </c>
      <c r="U41" s="113"/>
      <c r="V41" s="273" t="s">
        <v>156</v>
      </c>
      <c r="W41" s="274" t="s">
        <v>156</v>
      </c>
      <c r="X41" s="275" t="s">
        <v>176</v>
      </c>
      <c r="Y41" s="113"/>
      <c r="Z41" s="273" t="s">
        <v>173</v>
      </c>
      <c r="AA41" s="274" t="s">
        <v>155</v>
      </c>
      <c r="AB41" s="275" t="s">
        <v>176</v>
      </c>
      <c r="AC41" s="113"/>
      <c r="AD41" s="273" t="s">
        <v>158</v>
      </c>
      <c r="AE41" s="274" t="s">
        <v>158</v>
      </c>
      <c r="AF41" s="275" t="s">
        <v>176</v>
      </c>
      <c r="AG41" s="113"/>
    </row>
    <row r="42" ht="21.95" customHeight="1">
      <c r="A42" s="8"/>
      <c r="B42" s="25"/>
      <c r="F42" s="4"/>
      <c r="G42" s="4"/>
      <c r="H42" s="4"/>
      <c r="I42" s="4"/>
      <c r="J42" s="4"/>
      <c r="K42" s="4"/>
      <c r="L42" s="4"/>
      <c r="M42" s="4"/>
      <c r="N42" s="4"/>
      <c r="O42" s="4"/>
      <c r="P42" s="4"/>
      <c r="Q42" s="4"/>
      <c r="U42" s="9"/>
      <c r="X42" s="102"/>
      <c r="Y42" s="116"/>
      <c r="Z42" s="4"/>
      <c r="AA42" s="4"/>
      <c r="AB42" s="102"/>
      <c r="AC42" s="116"/>
      <c r="AF42" s="102"/>
      <c r="AG42" s="116"/>
    </row>
    <row r="43" s="117" customFormat="1" ht="15.95" customHeight="1">
      <c r="B43" s="964" t="s">
        <v>10</v>
      </c>
      <c r="C43" s="1000">
        <v>2023</v>
      </c>
      <c r="D43" s="1001">
        <v>2024</v>
      </c>
      <c r="E43" s="1001"/>
      <c r="F43" s="1001"/>
      <c r="G43" s="1001"/>
      <c r="H43" s="1001"/>
      <c r="I43" s="1001"/>
      <c r="J43" s="1001"/>
      <c r="K43" s="1001"/>
      <c r="L43" s="1001"/>
      <c r="M43" s="1001"/>
      <c r="N43" s="1001"/>
      <c r="O43" s="1001"/>
      <c r="P43" s="1001">
        <v>2025</v>
      </c>
      <c r="Q43" s="1001"/>
      <c r="R43" s="1001"/>
      <c r="S43" s="1001"/>
      <c r="T43" s="1001"/>
      <c r="U43" s="119"/>
      <c r="V43" s="1002" t="s">
        <v>58</v>
      </c>
      <c r="W43" s="1002"/>
      <c r="X43" s="1002"/>
      <c r="Y43" s="119"/>
      <c r="Z43" s="1002" t="s">
        <v>44</v>
      </c>
      <c r="AA43" s="1002"/>
      <c r="AB43" s="1002"/>
      <c r="AC43" s="119"/>
      <c r="AD43" s="1003" t="s">
        <v>45</v>
      </c>
      <c r="AE43" s="1003"/>
      <c r="AF43" s="1003"/>
      <c r="AG43" s="119"/>
      <c r="AH43" s="236"/>
      <c r="AI43" s="236"/>
      <c r="AJ43" s="236"/>
      <c r="AK43" s="236"/>
      <c r="AL43" s="236"/>
      <c r="AM43" s="236"/>
      <c r="AN43" s="236"/>
      <c r="AO43" s="236"/>
      <c r="AP43" s="236"/>
      <c r="AQ43" s="236"/>
      <c r="AR43" s="236"/>
      <c r="AS43" s="236"/>
      <c r="AT43" s="236"/>
      <c r="AU43" s="236"/>
      <c r="AV43" s="236"/>
    </row>
    <row r="44" s="118" customFormat="1" ht="15.95" customHeight="1">
      <c r="B44" s="964"/>
      <c r="C44" s="1004" t="s">
        <v>154</v>
      </c>
      <c r="D44" s="269" t="s">
        <v>157</v>
      </c>
      <c r="E44" s="269" t="s">
        <v>159</v>
      </c>
      <c r="F44" s="269" t="s">
        <v>160</v>
      </c>
      <c r="G44" s="269" t="s">
        <v>161</v>
      </c>
      <c r="H44" s="269" t="s">
        <v>162</v>
      </c>
      <c r="I44" s="269" t="s">
        <v>163</v>
      </c>
      <c r="J44" s="269" t="s">
        <v>164</v>
      </c>
      <c r="K44" s="269" t="s">
        <v>165</v>
      </c>
      <c r="L44" s="269" t="s">
        <v>166</v>
      </c>
      <c r="M44" s="269" t="s">
        <v>167</v>
      </c>
      <c r="N44" s="269" t="s">
        <v>171</v>
      </c>
      <c r="O44" s="1004" t="s">
        <v>154</v>
      </c>
      <c r="P44" s="269" t="s">
        <v>157</v>
      </c>
      <c r="Q44" s="269" t="s">
        <v>159</v>
      </c>
      <c r="R44" s="269" t="s">
        <v>160</v>
      </c>
      <c r="S44" s="269" t="s">
        <v>161</v>
      </c>
      <c r="T44" s="1004" t="s">
        <v>162</v>
      </c>
      <c r="U44" s="144"/>
      <c r="V44" s="268">
        <v>2023</v>
      </c>
      <c r="W44" s="269">
        <v>2024</v>
      </c>
      <c r="X44" s="270">
        <v>2025</v>
      </c>
      <c r="Y44" s="144"/>
      <c r="Z44" s="268">
        <v>2023</v>
      </c>
      <c r="AA44" s="269">
        <v>2024</v>
      </c>
      <c r="AB44" s="270">
        <v>2025</v>
      </c>
      <c r="AC44" s="144"/>
      <c r="AD44" s="268">
        <v>2023</v>
      </c>
      <c r="AE44" s="269">
        <v>2024</v>
      </c>
      <c r="AF44" s="270">
        <v>2025</v>
      </c>
      <c r="AG44" s="144"/>
      <c r="AH44" s="236"/>
      <c r="AI44" s="236"/>
      <c r="AJ44" s="236"/>
      <c r="AK44" s="236"/>
      <c r="AL44" s="236"/>
      <c r="AM44" s="236"/>
      <c r="AN44" s="236"/>
      <c r="AO44" s="236"/>
      <c r="AP44" s="236"/>
      <c r="AQ44" s="236"/>
      <c r="AR44" s="236"/>
      <c r="AS44" s="236"/>
      <c r="AT44" s="236"/>
      <c r="AU44" s="236"/>
      <c r="AV44" s="236"/>
    </row>
    <row r="45" ht="21.95" customHeight="1">
      <c r="B45" s="263" t="s">
        <v>19</v>
      </c>
      <c r="C45" s="1013">
        <v>58.404336917562724014336917563</v>
      </c>
      <c r="D45" s="579">
        <v>53.255364396654719235364396655</v>
      </c>
      <c r="E45" s="579">
        <v>70.749880800340570455512984249</v>
      </c>
      <c r="F45" s="579">
        <v>90.9529390681003584229390681</v>
      </c>
      <c r="G45" s="579">
        <v>96.19655555555555555555555556</v>
      </c>
      <c r="H45" s="579">
        <v>79.34417761847869374751095181</v>
      </c>
      <c r="I45" s="579">
        <v>75.654897119341563786008230453</v>
      </c>
      <c r="J45" s="579">
        <v>76.141003584229390681003584229</v>
      </c>
      <c r="K45" s="579">
        <v>72.233524492234169653524492234</v>
      </c>
      <c r="L45" s="579">
        <v>83.84105761316872427983539095</v>
      </c>
      <c r="M45" s="579">
        <v>101.64308641975308641975308642</v>
      </c>
      <c r="N45" s="579">
        <v>74.347769547325102880658436214</v>
      </c>
      <c r="O45" s="1014">
        <v>65.50348864994026284348864994</v>
      </c>
      <c r="P45" s="579">
        <v>57.504241338112305854241338112</v>
      </c>
      <c r="Q45" s="579">
        <v>66.275282186948853615520282187</v>
      </c>
      <c r="R45" s="579">
        <v>85.59156909597769812823576264</v>
      </c>
      <c r="S45" s="579">
        <v>86.16012345679012345679012346</v>
      </c>
      <c r="T45" s="1014">
        <v>82.18733970529669454400637196</v>
      </c>
      <c r="U45" s="113"/>
      <c r="V45" s="578">
        <v>71.157117978906058376257051754</v>
      </c>
      <c r="W45" s="579">
        <v>78.077435022742040285899935023</v>
      </c>
      <c r="X45" s="580">
        <v>75.65754476330635271032622026</v>
      </c>
      <c r="Y45" s="113"/>
      <c r="Z45" s="578">
        <v>80.34336017176596886741814278</v>
      </c>
      <c r="AA45" s="579">
        <v>88.75116612989801395598497048</v>
      </c>
      <c r="AB45" s="580">
        <v>84.62988996242619431025228127</v>
      </c>
      <c r="AC45" s="113"/>
      <c r="AD45" s="578">
        <v>74.084219854557754101133096567</v>
      </c>
      <c r="AE45" s="579">
        <v>77.342633407542332861094245429</v>
      </c>
      <c r="AF45" s="580">
        <v>77.317137493658041603247082699</v>
      </c>
      <c r="AG45" s="113"/>
    </row>
    <row r="46" ht="21.95" customHeight="1">
      <c r="B46" s="38" t="s">
        <v>35</v>
      </c>
      <c r="C46" s="1015">
        <v>38.155347096774193548387096774</v>
      </c>
      <c r="D46" s="94">
        <v>26.660624516129032258064516129</v>
      </c>
      <c r="E46" s="94">
        <v>38.031658930150295877918956044</v>
      </c>
      <c r="F46" s="94">
        <v>50.119039495450785773366418528</v>
      </c>
      <c r="G46" s="94">
        <v>57.630554487179487179487179487</v>
      </c>
      <c r="H46" s="94">
        <v>51.448555107526881720430107527</v>
      </c>
      <c r="I46" s="94">
        <v>50.121972222222222222222222222</v>
      </c>
      <c r="J46" s="94">
        <v>41.354848531844499586435070306</v>
      </c>
      <c r="K46" s="94">
        <v>38.830797146401985111662531017</v>
      </c>
      <c r="L46" s="94">
        <v>48.59083547008547008547008547</v>
      </c>
      <c r="M46" s="94">
        <v>66.711906487857919536063791227</v>
      </c>
      <c r="N46" s="94">
        <v>48.843223470661672908863920101</v>
      </c>
      <c r="O46" s="1016">
        <v>45.186650356409327050863839557</v>
      </c>
      <c r="P46" s="94">
        <v>30.166493294671982602392171076</v>
      </c>
      <c r="Q46" s="94">
        <v>39.551011235955056179775280899</v>
      </c>
      <c r="R46" s="94">
        <v>52.41358281986226893802102211</v>
      </c>
      <c r="S46" s="94">
        <v>61.858460049937578027465667917</v>
      </c>
      <c r="T46" s="1016">
        <v>61.028321251661229914220128066</v>
      </c>
      <c r="U46" s="113"/>
      <c r="V46" s="276">
        <v>45.0496320000000000000000</v>
      </c>
      <c r="W46" s="94">
        <v>44.821030977959641075582197231</v>
      </c>
      <c r="X46" s="277">
        <v>49.10624128779423072153186001</v>
      </c>
      <c r="Y46" s="113"/>
      <c r="Z46" s="276">
        <v>51.435140695652173913043478261</v>
      </c>
      <c r="AA46" s="94">
        <v>53.016435514214046822742474916</v>
      </c>
      <c r="AB46" s="277">
        <v>58.396226388210389187428757532</v>
      </c>
      <c r="AC46" s="113"/>
      <c r="AD46" s="276">
        <v>47.913790421917808219178082192</v>
      </c>
      <c r="AE46" s="94">
        <v>49.328949079307848378671520361</v>
      </c>
      <c r="AF46" s="277">
        <v>48.757078486421741000777479149</v>
      </c>
      <c r="AG46" s="113"/>
    </row>
    <row r="47" ht="21.95" customHeight="1">
      <c r="B47" s="40" t="s">
        <v>99</v>
      </c>
      <c r="C47" s="1009">
        <v>153.06986139948117410553006117</v>
      </c>
      <c r="D47" s="113">
        <v>199.75287662333080794490817939</v>
      </c>
      <c r="E47" s="113">
        <v>186.02891062466864795861705776</v>
      </c>
      <c r="F47" s="113">
        <v>181.47382707976013914139011854</v>
      </c>
      <c r="G47" s="113">
        <v>166.91936492979819284329413184</v>
      </c>
      <c r="H47" s="113">
        <v>154.22041970409420160704160706</v>
      </c>
      <c r="I47" s="113">
        <v>150.94158063842614094957266498</v>
      </c>
      <c r="J47" s="113">
        <v>184.11626758995482134917735472</v>
      </c>
      <c r="K47" s="113">
        <v>186.02122490532217608650377803</v>
      </c>
      <c r="L47" s="113">
        <v>172.54500113454455752065472027</v>
      </c>
      <c r="M47" s="113">
        <v>152.36123770228152028862966220</v>
      </c>
      <c r="N47" s="113">
        <v>152.21716394685688981417761039</v>
      </c>
      <c r="O47" s="1010">
        <v>144.96203664864636840242193868</v>
      </c>
      <c r="P47" s="113">
        <v>190.62289002684749912799528332</v>
      </c>
      <c r="Q47" s="113">
        <v>167.56912178929061053027049381</v>
      </c>
      <c r="R47" s="113">
        <v>163.30035935547784498428844572</v>
      </c>
      <c r="S47" s="113">
        <v>139.28591721696021977515601551</v>
      </c>
      <c r="T47" s="1010">
        <v>134.67081843252781696113490763</v>
      </c>
      <c r="U47" s="113"/>
      <c r="V47" s="576">
        <v>157.95271752476481578419342416</v>
      </c>
      <c r="W47" s="113">
        <v>174.19821302429577568451070586</v>
      </c>
      <c r="X47" s="577">
        <v>154.06910156266181810370194647</v>
      </c>
      <c r="Y47" s="113"/>
      <c r="Z47" s="576">
        <v>156.20324759504878444709929706</v>
      </c>
      <c r="AA47" s="113">
        <v>167.40311805030115838859480847</v>
      </c>
      <c r="AB47" s="577">
        <v>144.92355961467944158937032852</v>
      </c>
      <c r="AC47" s="113"/>
      <c r="AD47" s="576">
        <v>154.61982698971779112341924072</v>
      </c>
      <c r="AE47" s="113">
        <v>156.78954214736710879088895277</v>
      </c>
      <c r="AF47" s="577">
        <v>158.57623117271968836840164719</v>
      </c>
      <c r="AG47" s="113"/>
    </row>
    <row r="48" ht="21.95" customHeight="1">
      <c r="A48" s="23"/>
      <c r="B48" s="39" t="s">
        <v>23</v>
      </c>
      <c r="C48" s="1011" t="s">
        <v>156</v>
      </c>
      <c r="D48" s="274" t="s">
        <v>155</v>
      </c>
      <c r="E48" s="274" t="s">
        <v>158</v>
      </c>
      <c r="F48" s="274" t="s">
        <v>158</v>
      </c>
      <c r="G48" s="274" t="s">
        <v>158</v>
      </c>
      <c r="H48" s="274" t="s">
        <v>155</v>
      </c>
      <c r="I48" s="274" t="s">
        <v>155</v>
      </c>
      <c r="J48" s="274" t="s">
        <v>158</v>
      </c>
      <c r="K48" s="274" t="s">
        <v>155</v>
      </c>
      <c r="L48" s="274" t="s">
        <v>155</v>
      </c>
      <c r="M48" s="274" t="s">
        <v>170</v>
      </c>
      <c r="N48" s="274" t="s">
        <v>170</v>
      </c>
      <c r="O48" s="1012" t="s">
        <v>170</v>
      </c>
      <c r="P48" s="274" t="s">
        <v>168</v>
      </c>
      <c r="Q48" s="274" t="s">
        <v>168</v>
      </c>
      <c r="R48" s="274" t="s">
        <v>170</v>
      </c>
      <c r="S48" s="274" t="s">
        <v>170</v>
      </c>
      <c r="T48" s="1012" t="s">
        <v>169</v>
      </c>
      <c r="U48" s="113"/>
      <c r="V48" s="273" t="s">
        <v>156</v>
      </c>
      <c r="W48" s="274" t="s">
        <v>158</v>
      </c>
      <c r="X48" s="275" t="s">
        <v>170</v>
      </c>
      <c r="Y48" s="113"/>
      <c r="Z48" s="273" t="s">
        <v>156</v>
      </c>
      <c r="AA48" s="274" t="s">
        <v>155</v>
      </c>
      <c r="AB48" s="275" t="s">
        <v>170</v>
      </c>
      <c r="AC48" s="113"/>
      <c r="AD48" s="273" t="s">
        <v>156</v>
      </c>
      <c r="AE48" s="274" t="s">
        <v>156</v>
      </c>
      <c r="AF48" s="275" t="s">
        <v>170</v>
      </c>
      <c r="AG48" s="113"/>
    </row>
    <row r="49" ht="21.95" customHeight="1">
      <c r="B49" s="25" t="s">
        <v>68</v>
      </c>
      <c r="F49" s="4"/>
      <c r="G49" s="4"/>
      <c r="H49" s="4"/>
      <c r="I49" s="4"/>
      <c r="J49" s="4"/>
      <c r="K49" s="4"/>
      <c r="L49" s="4"/>
      <c r="M49" s="4"/>
      <c r="N49" s="4"/>
      <c r="O49" s="4"/>
      <c r="P49" s="4"/>
      <c r="Q49" s="4"/>
      <c r="S49" s="98"/>
      <c r="T49" s="98"/>
      <c r="U49" s="9"/>
      <c r="V49" s="98"/>
      <c r="W49" s="98"/>
      <c r="X49" s="98"/>
      <c r="Y49" s="9"/>
      <c r="Z49" s="98"/>
      <c r="AA49" s="98"/>
      <c r="AB49" s="98"/>
      <c r="AC49" s="9"/>
      <c r="AD49" s="98"/>
      <c r="AE49" s="98"/>
      <c r="AF49" s="98"/>
      <c r="AG49" s="9"/>
    </row>
    <row r="50" ht="21.95" customHeight="1">
      <c r="B50" s="37" t="s">
        <v>19</v>
      </c>
      <c r="C50" s="1005">
        <v>-5.2297405084747330368308954800</v>
      </c>
      <c r="D50" s="574">
        <v>-1.1756051565098205151745027700</v>
      </c>
      <c r="E50" s="574">
        <v>17.735642388697828639649047990</v>
      </c>
      <c r="F50" s="574">
        <v>8.528624699670351269033684280</v>
      </c>
      <c r="G50" s="574">
        <v>33.777272432494118453514933190</v>
      </c>
      <c r="H50" s="574">
        <v>-6.7027440178294906655828822500</v>
      </c>
      <c r="I50" s="574">
        <v>-21.029179891013542332272225490</v>
      </c>
      <c r="J50" s="574">
        <v>4.9932602025244178484513222600</v>
      </c>
      <c r="K50" s="574">
        <v>0.9821602157544743215874147600</v>
      </c>
      <c r="L50" s="574">
        <v>18.011686144009329852740456490</v>
      </c>
      <c r="M50" s="574">
        <v>4.5728803627699981734740663300</v>
      </c>
      <c r="N50" s="574">
        <v>3.9828645478418330799650627200</v>
      </c>
      <c r="O50" s="1006">
        <v>12.155179062055152497702517530</v>
      </c>
      <c r="P50" s="574">
        <v>7.978307893571731930031081090</v>
      </c>
      <c r="Q50" s="574">
        <v>-6.3245316638500580901164820600</v>
      </c>
      <c r="R50" s="574">
        <v>-5.8946637976239952241480581600</v>
      </c>
      <c r="S50" s="574">
        <v>-10.433255162664308362650803120</v>
      </c>
      <c r="T50" s="1006">
        <v>3.5833279418019689383900145300</v>
      </c>
      <c r="U50" s="113"/>
      <c r="V50" s="573">
        <v>0.9891526694437495818800111700</v>
      </c>
      <c r="W50" s="574">
        <v>9.725403783067915263413654760</v>
      </c>
      <c r="X50" s="575">
        <v>-3.0993465124591959653202519500</v>
      </c>
      <c r="Y50" s="113"/>
      <c r="Z50" s="573">
        <v>2.0228920487339351268458485100</v>
      </c>
      <c r="AA50" s="574">
        <v>10.464842321903658058306854400</v>
      </c>
      <c r="AB50" s="575">
        <v>-4.6436304413642630299815340500</v>
      </c>
      <c r="AC50" s="113"/>
      <c r="AD50" s="573">
        <v>9.100249582721341941353600090</v>
      </c>
      <c r="AE50" s="574">
        <v>4.3982558759981503548199009800</v>
      </c>
      <c r="AF50" s="575">
        <v>-0.0329648897621916633895645500</v>
      </c>
      <c r="AG50" s="113"/>
    </row>
    <row r="51" ht="21.95" customHeight="1">
      <c r="B51" s="38" t="s">
        <v>35</v>
      </c>
      <c r="C51" s="1007">
        <v>-8.866750676936219798221051740</v>
      </c>
      <c r="D51" s="92">
        <v>-16.563642485819804176668804050</v>
      </c>
      <c r="E51" s="92">
        <v>-1.3912642661380819525745204300</v>
      </c>
      <c r="F51" s="92">
        <v>-5.2964797805455300417843916500</v>
      </c>
      <c r="G51" s="92">
        <v>16.881406932069332360290642800</v>
      </c>
      <c r="H51" s="92">
        <v>-1.0754250044790847973187848200</v>
      </c>
      <c r="I51" s="92">
        <v>-20.304616362946839740279113190</v>
      </c>
      <c r="J51" s="92">
        <v>-20.440943412758207480400427540</v>
      </c>
      <c r="K51" s="92">
        <v>-28.690272145409468485411681210</v>
      </c>
      <c r="L51" s="92">
        <v>-3.2866034624185296296245425700</v>
      </c>
      <c r="M51" s="92">
        <v>1.6030737862647041775866172900</v>
      </c>
      <c r="N51" s="92">
        <v>10.630030730857155445275439380</v>
      </c>
      <c r="O51" s="1008">
        <v>18.428094080158495167847421840</v>
      </c>
      <c r="P51" s="92">
        <v>13.149987452300056296775276260</v>
      </c>
      <c r="Q51" s="92">
        <v>3.9949672154547433656856561700</v>
      </c>
      <c r="R51" s="92">
        <v>4.5781869474339933243444376300</v>
      </c>
      <c r="S51" s="92">
        <v>7.3362222528617427684683668800</v>
      </c>
      <c r="T51" s="1008">
        <v>18.620087821989627319137104430</v>
      </c>
      <c r="U51" s="113"/>
      <c r="V51" s="271">
        <v>2.7702247356430881698191167900</v>
      </c>
      <c r="W51" s="92">
        <v>-0.5074425958470846652372271700</v>
      </c>
      <c r="X51" s="272">
        <v>9.560713388983818036466630980</v>
      </c>
      <c r="Y51" s="113"/>
      <c r="Z51" s="271">
        <v>1.7909422854256485560741554900</v>
      </c>
      <c r="AA51" s="92">
        <v>3.0743472208412637884329715800</v>
      </c>
      <c r="AB51" s="272">
        <v>10.147402068495265196964118560</v>
      </c>
      <c r="AC51" s="113"/>
      <c r="AD51" s="271">
        <v>-2.9048908587183529259394009100</v>
      </c>
      <c r="AE51" s="92">
        <v>2.9535518792122539258009459200</v>
      </c>
      <c r="AF51" s="272">
        <v>-1.1593001747491801632473884300</v>
      </c>
      <c r="AG51" s="113"/>
    </row>
    <row r="52" ht="21.95" customHeight="1">
      <c r="B52" s="40" t="s">
        <v>99</v>
      </c>
      <c r="C52" s="1009">
        <v>3.9908707254109381308568362200</v>
      </c>
      <c r="D52" s="113">
        <v>18.442844088412885344271165820</v>
      </c>
      <c r="E52" s="113">
        <v>19.396766941932113166972372940</v>
      </c>
      <c r="F52" s="113">
        <v>14.598300515250855546655256510</v>
      </c>
      <c r="G52" s="113">
        <v>14.455563073661355525123709490</v>
      </c>
      <c r="H52" s="113">
        <v>-5.6884945055524460710422494400</v>
      </c>
      <c r="I52" s="113">
        <v>-0.9091662464637106516398893900</v>
      </c>
      <c r="J52" s="113">
        <v>31.968960802775070162466123570</v>
      </c>
      <c r="K52" s="113">
        <v>41.610637501963031020716642960</v>
      </c>
      <c r="L52" s="113">
        <v>22.022067644036396612290531530</v>
      </c>
      <c r="M52" s="113">
        <v>2.9229495385591287638835429500</v>
      </c>
      <c r="N52" s="113">
        <v>-6.0084645545397304746525995800</v>
      </c>
      <c r="O52" s="1010">
        <v>-5.2968132829838151692433559600</v>
      </c>
      <c r="P52" s="113">
        <v>-4.5706408592403427504891896100</v>
      </c>
      <c r="Q52" s="113">
        <v>-9.923075275461184083658550290</v>
      </c>
      <c r="R52" s="113">
        <v>-10.014373982607797529717898030</v>
      </c>
      <c r="S52" s="113">
        <v>-16.554968157506091561882745460</v>
      </c>
      <c r="T52" s="1010">
        <v>-12.676402586039940943590529470</v>
      </c>
      <c r="U52" s="113"/>
      <c r="V52" s="576">
        <v>-1.7330623443787539437469076300</v>
      </c>
      <c r="W52" s="113">
        <v>10.285037037710406279751739700</v>
      </c>
      <c r="X52" s="577">
        <v>-11.555291591211814577933461690</v>
      </c>
      <c r="Y52" s="113"/>
      <c r="Z52" s="576">
        <v>0.2278687652230520578890292300</v>
      </c>
      <c r="AA52" s="113">
        <v>7.1700624844496904767409541300</v>
      </c>
      <c r="AB52" s="577">
        <v>-13.428398883744849825381395830</v>
      </c>
      <c r="AC52" s="113"/>
      <c r="AD52" s="576">
        <v>12.364310156976001507879098570</v>
      </c>
      <c r="AE52" s="113">
        <v>1.403258042587024993421714500</v>
      </c>
      <c r="AF52" s="577">
        <v>1.1395460442380764778270239900</v>
      </c>
      <c r="AG52" s="113"/>
    </row>
    <row r="53" ht="21.95" customHeight="1">
      <c r="A53" s="23"/>
      <c r="B53" s="39" t="s">
        <v>23</v>
      </c>
      <c r="C53" s="1011" t="s">
        <v>173</v>
      </c>
      <c r="D53" s="274" t="s">
        <v>156</v>
      </c>
      <c r="E53" s="274" t="s">
        <v>156</v>
      </c>
      <c r="F53" s="274" t="s">
        <v>156</v>
      </c>
      <c r="G53" s="274" t="s">
        <v>156</v>
      </c>
      <c r="H53" s="274" t="s">
        <v>174</v>
      </c>
      <c r="I53" s="274" t="s">
        <v>173</v>
      </c>
      <c r="J53" s="274" t="s">
        <v>158</v>
      </c>
      <c r="K53" s="274" t="s">
        <v>158</v>
      </c>
      <c r="L53" s="274" t="s">
        <v>155</v>
      </c>
      <c r="M53" s="274" t="s">
        <v>170</v>
      </c>
      <c r="N53" s="274" t="s">
        <v>169</v>
      </c>
      <c r="O53" s="1012" t="s">
        <v>172</v>
      </c>
      <c r="P53" s="274" t="s">
        <v>172</v>
      </c>
      <c r="Q53" s="274" t="s">
        <v>169</v>
      </c>
      <c r="R53" s="274" t="s">
        <v>172</v>
      </c>
      <c r="S53" s="274" t="s">
        <v>175</v>
      </c>
      <c r="T53" s="1012" t="s">
        <v>169</v>
      </c>
      <c r="U53" s="113"/>
      <c r="V53" s="273" t="s">
        <v>174</v>
      </c>
      <c r="W53" s="274" t="s">
        <v>173</v>
      </c>
      <c r="X53" s="275" t="s">
        <v>172</v>
      </c>
      <c r="Y53" s="113"/>
      <c r="Z53" s="273" t="s">
        <v>156</v>
      </c>
      <c r="AA53" s="274" t="s">
        <v>156</v>
      </c>
      <c r="AB53" s="275" t="s">
        <v>172</v>
      </c>
      <c r="AC53" s="113"/>
      <c r="AD53" s="273" t="s">
        <v>155</v>
      </c>
      <c r="AE53" s="274" t="s">
        <v>173</v>
      </c>
      <c r="AF53" s="275" t="s">
        <v>169</v>
      </c>
      <c r="AG53" s="113"/>
    </row>
    <row r="54" ht="10" customHeight="1">
      <c r="A54" s="23"/>
      <c r="B54" s="146"/>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row>
    <row r="55" ht="10" customHeight="1">
      <c r="B55" s="1017" t="s">
        <v>100</v>
      </c>
      <c r="C55" s="1017"/>
      <c r="D55" s="1017"/>
      <c r="E55" s="1017"/>
      <c r="F55" s="1017"/>
      <c r="G55" s="1017"/>
      <c r="H55" s="1017"/>
      <c r="I55" s="1017"/>
      <c r="J55" s="1017"/>
      <c r="K55" s="1017"/>
      <c r="L55" s="1017"/>
      <c r="M55" s="1017"/>
      <c r="N55" s="1017"/>
      <c r="O55" s="1017"/>
      <c r="P55" s="1017"/>
      <c r="Q55" s="1017"/>
      <c r="R55" s="1017"/>
      <c r="S55" s="1017"/>
      <c r="T55" s="1017"/>
      <c r="AD55" s="232"/>
      <c r="AE55" s="233"/>
      <c r="AF55" s="5"/>
    </row>
    <row r="56" ht="10" customHeight="1">
      <c r="B56" s="146"/>
      <c r="C56" s="93"/>
      <c r="D56" s="93"/>
      <c r="E56" s="93"/>
      <c r="F56" s="4"/>
      <c r="G56" s="4"/>
      <c r="H56" s="4"/>
      <c r="I56" s="4"/>
      <c r="J56" s="4"/>
      <c r="K56" s="4"/>
      <c r="L56" s="4"/>
      <c r="M56" s="4"/>
      <c r="N56" s="4"/>
      <c r="O56" s="4"/>
      <c r="P56" s="4"/>
      <c r="Q56" s="4"/>
      <c r="R56" s="4"/>
      <c r="S56" s="4"/>
      <c r="T56" s="4"/>
      <c r="AD56" s="145"/>
    </row>
    <row r="57" ht="24.95" customHeight="1">
      <c r="B57" s="1018" t="s">
        <v>126</v>
      </c>
      <c r="C57" s="1018"/>
      <c r="D57" s="1018"/>
      <c r="E57" s="1018"/>
      <c r="F57" s="1018"/>
      <c r="G57" s="1018"/>
      <c r="H57" s="1018"/>
      <c r="I57" s="1018"/>
      <c r="J57" s="1018"/>
      <c r="K57" s="1018"/>
      <c r="L57" s="1018"/>
      <c r="M57" s="1018"/>
      <c r="N57" s="1018"/>
      <c r="O57" s="1018"/>
      <c r="P57" s="1018"/>
      <c r="Q57" s="1018"/>
      <c r="R57" s="1018"/>
      <c r="S57" s="1018"/>
      <c r="T57" s="1018"/>
      <c r="U57" s="1018"/>
      <c r="V57" s="1018"/>
      <c r="W57" s="1018"/>
      <c r="X57" s="1018"/>
      <c r="Y57" s="1018"/>
      <c r="Z57" s="1018"/>
      <c r="AA57" s="1018"/>
      <c r="AB57" s="1018"/>
      <c r="AC57" s="1018"/>
      <c r="AD57" s="1018"/>
      <c r="AE57" s="1018"/>
      <c r="AF57" s="1018"/>
    </row>
    <row r="58">
      <c r="A58"/>
    </row>
    <row r="59" s="281" customFormat="1">
      <c r="A59" s="1019"/>
      <c r="B59" s="1019" t="s">
        <v>109</v>
      </c>
      <c r="C59" s="1019"/>
      <c r="D59" s="1019"/>
      <c r="E59" s="1019"/>
      <c r="F59" s="1019"/>
      <c r="G59" s="1019"/>
      <c r="H59" s="1019"/>
      <c r="I59" s="1019"/>
      <c r="J59" s="1019"/>
      <c r="K59" s="1019"/>
      <c r="L59" s="1019"/>
      <c r="M59" s="1019"/>
      <c r="N59" s="1019"/>
      <c r="O59" s="1019"/>
      <c r="P59" s="1019"/>
      <c r="Q59" s="1019"/>
      <c r="R59" s="1019"/>
      <c r="S59" s="1019"/>
      <c r="T59" s="1019"/>
      <c r="U59" s="1019"/>
      <c r="V59" s="1019"/>
      <c r="W59" s="1019"/>
      <c r="X59" s="1019"/>
      <c r="Y59" s="1019"/>
      <c r="Z59" s="1019"/>
      <c r="AA59" s="1019"/>
      <c r="AB59" s="1019"/>
      <c r="AC59" s="1019"/>
      <c r="AD59" s="1019"/>
      <c r="AE59" s="1019"/>
      <c r="AF59" s="1019"/>
      <c r="AG59" s="1019"/>
    </row>
    <row r="60" s="281" customFormat="1">
      <c r="A60" s="1019"/>
      <c r="B60" s="1019" t="s">
        <v>110</v>
      </c>
      <c r="C60" s="1019">
        <v>100</v>
      </c>
      <c r="D60" s="1019">
        <v>100</v>
      </c>
      <c r="E60" s="1019">
        <v>100</v>
      </c>
      <c r="F60" s="1019">
        <v>100</v>
      </c>
      <c r="G60" s="1019">
        <v>100</v>
      </c>
      <c r="H60" s="1019">
        <v>100</v>
      </c>
      <c r="I60" s="1019">
        <v>100</v>
      </c>
      <c r="J60" s="1019">
        <v>100</v>
      </c>
      <c r="K60" s="1019">
        <v>100</v>
      </c>
      <c r="L60" s="1019">
        <v>100</v>
      </c>
      <c r="M60" s="1019">
        <v>100</v>
      </c>
      <c r="N60" s="1019">
        <v>100</v>
      </c>
      <c r="O60" s="1019">
        <v>100</v>
      </c>
      <c r="P60" s="1019">
        <v>100</v>
      </c>
      <c r="Q60" s="1019">
        <v>100</v>
      </c>
      <c r="R60" s="1019">
        <v>100</v>
      </c>
      <c r="S60" s="1019">
        <v>100</v>
      </c>
      <c r="T60" s="1019">
        <v>100</v>
      </c>
      <c r="U60" s="1019"/>
      <c r="V60" s="1019"/>
      <c r="W60" s="1019"/>
      <c r="X60" s="1019"/>
      <c r="Y60" s="1019"/>
      <c r="Z60" s="1019"/>
      <c r="AA60" s="1019"/>
      <c r="AB60" s="1019"/>
      <c r="AC60" s="1019"/>
      <c r="AD60" s="1019"/>
      <c r="AE60" s="1019"/>
      <c r="AF60" s="1019"/>
      <c r="AG60" s="1019"/>
    </row>
    <row r="61" s="281" customFormat="1">
      <c r="A61" s="1019"/>
      <c r="B61" s="1019" t="s">
        <v>111</v>
      </c>
      <c r="C61" s="1019"/>
      <c r="D61" s="1019"/>
      <c r="E61" s="1019"/>
      <c r="F61" s="1019"/>
      <c r="G61" s="1019"/>
      <c r="H61" s="1019"/>
      <c r="I61" s="1019"/>
      <c r="J61" s="1019"/>
      <c r="K61" s="1019"/>
      <c r="L61" s="1019"/>
      <c r="M61" s="1019"/>
      <c r="N61" s="1019"/>
      <c r="O61" s="1019"/>
      <c r="P61" s="1019"/>
      <c r="Q61" s="1019"/>
      <c r="R61" s="1019"/>
      <c r="S61" s="1019"/>
      <c r="T61" s="1019"/>
      <c r="U61" s="1019"/>
      <c r="V61" s="1019"/>
      <c r="W61" s="1019"/>
      <c r="X61" s="1019"/>
      <c r="Y61" s="1019"/>
      <c r="Z61" s="1019"/>
      <c r="AA61" s="1019"/>
      <c r="AB61" s="1019"/>
      <c r="AC61" s="1019"/>
      <c r="AD61" s="1019"/>
      <c r="AE61" s="1019"/>
      <c r="AF61" s="1019"/>
      <c r="AG61" s="1019"/>
    </row>
    <row r="62" s="281" customFormat="1">
      <c r="A62" s="1019"/>
      <c r="B62" s="1019"/>
      <c r="C62" s="1019"/>
      <c r="D62" s="1019"/>
      <c r="E62" s="1019"/>
      <c r="F62" s="1019"/>
      <c r="G62" s="1019"/>
      <c r="H62" s="1019"/>
      <c r="I62" s="1019"/>
      <c r="J62" s="1019"/>
      <c r="K62" s="1019"/>
      <c r="L62" s="1019"/>
      <c r="M62" s="1019"/>
      <c r="N62" s="1019"/>
      <c r="O62" s="1019"/>
      <c r="P62" s="1019"/>
      <c r="Q62" s="1019"/>
      <c r="R62" s="1019"/>
      <c r="S62" s="1019"/>
      <c r="T62" s="1019"/>
      <c r="U62" s="1019"/>
      <c r="V62" s="1019"/>
      <c r="W62" s="1019"/>
      <c r="X62" s="1019"/>
      <c r="Y62" s="1019"/>
      <c r="Z62" s="1019"/>
      <c r="AA62" s="1019"/>
      <c r="AB62" s="1019"/>
      <c r="AC62" s="1019"/>
      <c r="AD62" s="1019"/>
      <c r="AE62" s="1019"/>
      <c r="AF62" s="1019"/>
      <c r="AG62" s="1019"/>
    </row>
    <row r="63" s="281" customFormat="1">
      <c r="A63" s="1019"/>
      <c r="B63" s="1019"/>
      <c r="C63" s="1019"/>
      <c r="D63" s="1019"/>
      <c r="E63" s="1019"/>
      <c r="F63" s="1019"/>
      <c r="G63" s="1019"/>
      <c r="H63" s="1019"/>
      <c r="I63" s="1019"/>
      <c r="J63" s="1019"/>
      <c r="K63" s="1019"/>
      <c r="L63" s="1019"/>
      <c r="M63" s="1019"/>
      <c r="N63" s="1019"/>
      <c r="O63" s="1019"/>
      <c r="P63" s="1019"/>
      <c r="Q63" s="1019"/>
      <c r="R63" s="1019"/>
      <c r="S63" s="1019"/>
      <c r="T63" s="1019"/>
      <c r="U63" s="1019"/>
      <c r="V63" s="1019"/>
      <c r="W63" s="1019"/>
      <c r="X63" s="1019"/>
      <c r="Y63" s="1019"/>
      <c r="Z63" s="1019"/>
      <c r="AA63" s="1019"/>
      <c r="AB63" s="1019"/>
      <c r="AC63" s="1019"/>
      <c r="AD63" s="1019"/>
      <c r="AE63" s="1019"/>
      <c r="AF63" s="1019"/>
      <c r="AG63" s="1019"/>
    </row>
    <row r="64" s="281" customFormat="1">
      <c r="A64" s="1019"/>
      <c r="B64" s="1019"/>
      <c r="C64" s="1019"/>
      <c r="D64" s="1019"/>
      <c r="E64" s="1019"/>
      <c r="F64" s="1019"/>
      <c r="G64" s="1019"/>
      <c r="H64" s="1019"/>
      <c r="I64" s="1019"/>
      <c r="J64" s="1019"/>
      <c r="K64" s="1019"/>
      <c r="L64" s="1019"/>
      <c r="M64" s="1019"/>
      <c r="N64" s="1019"/>
      <c r="O64" s="1019"/>
      <c r="P64" s="1019"/>
      <c r="Q64" s="1019"/>
      <c r="R64" s="1019"/>
      <c r="S64" s="1019"/>
      <c r="T64" s="1019"/>
      <c r="U64" s="1019"/>
      <c r="V64" s="1019"/>
      <c r="W64" s="1019"/>
      <c r="X64" s="1019"/>
      <c r="Y64" s="1019"/>
      <c r="Z64" s="1019"/>
      <c r="AA64" s="1019"/>
      <c r="AB64" s="1019"/>
      <c r="AC64" s="1019"/>
      <c r="AD64" s="1019"/>
      <c r="AE64" s="1019"/>
      <c r="AF64" s="1019"/>
      <c r="AG64" s="1019"/>
    </row>
    <row r="65" s="281" customFormat="1">
      <c r="A65" s="1019"/>
      <c r="B65" s="1019"/>
      <c r="C65" s="1019"/>
      <c r="D65" s="1019"/>
      <c r="E65" s="1019"/>
      <c r="F65" s="1019"/>
      <c r="G65" s="1019"/>
      <c r="H65" s="1019"/>
      <c r="I65" s="1019"/>
      <c r="J65" s="1019"/>
      <c r="K65" s="1019"/>
      <c r="L65" s="1019"/>
      <c r="M65" s="1019"/>
      <c r="N65" s="1019"/>
      <c r="O65" s="1019"/>
      <c r="P65" s="1019"/>
      <c r="Q65" s="1019"/>
      <c r="R65" s="1019"/>
      <c r="S65" s="1019"/>
      <c r="T65" s="1019"/>
      <c r="U65" s="1019"/>
      <c r="V65" s="1019"/>
      <c r="W65" s="1019"/>
      <c r="X65" s="1019"/>
      <c r="Y65" s="1019"/>
      <c r="Z65" s="1019"/>
      <c r="AA65" s="1019"/>
      <c r="AB65" s="1019"/>
      <c r="AC65" s="1019"/>
      <c r="AD65" s="1019"/>
      <c r="AE65" s="1019"/>
      <c r="AF65" s="1019"/>
      <c r="AG65" s="1019"/>
    </row>
    <row r="66" s="281" customFormat="1" ht="10.5" customHeight="1">
      <c r="A66" s="1019"/>
      <c r="B66" s="1019"/>
      <c r="C66" s="1019"/>
      <c r="D66" s="1019"/>
      <c r="E66" s="1019"/>
      <c r="F66" s="1019"/>
      <c r="G66" s="1019"/>
      <c r="H66" s="1019"/>
      <c r="I66" s="1019"/>
      <c r="J66" s="1019"/>
      <c r="K66" s="1019"/>
      <c r="L66" s="1019"/>
      <c r="M66" s="1019"/>
      <c r="N66" s="1019"/>
      <c r="O66" s="1019"/>
      <c r="P66" s="1019"/>
      <c r="Q66" s="1019"/>
      <c r="R66" s="1019"/>
      <c r="S66" s="1019"/>
      <c r="T66" s="1019"/>
      <c r="U66" s="1019"/>
      <c r="V66" s="1019"/>
      <c r="W66" s="1019"/>
      <c r="X66" s="1019"/>
      <c r="Y66" s="1019"/>
      <c r="Z66" s="1019"/>
      <c r="AA66" s="1019"/>
      <c r="AB66" s="1019"/>
      <c r="AC66" s="1019"/>
      <c r="AD66" s="1019"/>
      <c r="AE66" s="1019"/>
      <c r="AF66" s="1019"/>
      <c r="AG66" s="1019"/>
    </row>
    <row r="67" s="281" customFormat="1">
      <c r="A67" s="1019"/>
      <c r="B67" s="1019" t="s">
        <v>37</v>
      </c>
      <c r="C67" s="1019"/>
      <c r="D67" s="1019"/>
      <c r="E67" s="1019"/>
      <c r="F67" s="1019"/>
      <c r="G67" s="1019"/>
      <c r="H67" s="1019"/>
      <c r="I67" s="1019"/>
      <c r="J67" s="1019"/>
      <c r="K67" s="1019"/>
      <c r="L67" s="1019"/>
      <c r="M67" s="1019"/>
      <c r="N67" s="1019"/>
      <c r="O67" s="1019"/>
      <c r="P67" s="1019"/>
      <c r="Q67" s="1019"/>
      <c r="R67" s="1019"/>
      <c r="S67" s="1019"/>
      <c r="T67" s="1019"/>
      <c r="U67" s="1019"/>
      <c r="V67" s="1019"/>
      <c r="W67" s="1019"/>
      <c r="X67" s="1019"/>
      <c r="Y67" s="1019"/>
      <c r="Z67" s="1019"/>
      <c r="AA67" s="1019"/>
      <c r="AB67" s="1019"/>
      <c r="AC67" s="1019"/>
      <c r="AD67" s="1019"/>
      <c r="AE67" s="1019"/>
      <c r="AF67" s="1019"/>
      <c r="AG67" s="1019"/>
    </row>
    <row r="68" s="281" customFormat="1">
      <c r="A68" s="1019"/>
      <c r="B68" s="1019" t="s">
        <v>44</v>
      </c>
      <c r="C68" s="1019"/>
      <c r="D68" s="1019"/>
      <c r="E68" s="1019"/>
      <c r="F68" s="1019"/>
      <c r="G68" s="1019"/>
      <c r="H68" s="1019"/>
      <c r="I68" s="1019"/>
      <c r="J68" s="1019"/>
      <c r="K68" s="1019"/>
      <c r="L68" s="1019"/>
      <c r="M68" s="1019"/>
      <c r="N68" s="1019"/>
      <c r="O68" s="1019"/>
      <c r="P68" s="1019"/>
      <c r="Q68" s="1019"/>
      <c r="R68" s="1019"/>
      <c r="S68" s="1019"/>
      <c r="T68" s="1019"/>
      <c r="U68" s="1019"/>
      <c r="V68" s="1019"/>
      <c r="W68" s="1019"/>
      <c r="X68" s="1019"/>
      <c r="Y68" s="1019"/>
      <c r="Z68" s="1019"/>
      <c r="AA68" s="1019"/>
      <c r="AB68" s="1019"/>
      <c r="AC68" s="1019"/>
      <c r="AD68" s="1019"/>
      <c r="AE68" s="1019"/>
      <c r="AF68" s="1019"/>
      <c r="AG68" s="1019"/>
    </row>
    <row r="69" s="281" customFormat="1">
      <c r="A69" s="1019"/>
      <c r="B69" s="1019" t="s">
        <v>45</v>
      </c>
      <c r="C69" s="1019"/>
      <c r="D69" s="1019"/>
      <c r="E69" s="1019"/>
      <c r="F69" s="1019"/>
      <c r="G69" s="1019"/>
      <c r="H69" s="1019"/>
      <c r="I69" s="1019"/>
      <c r="J69" s="1019"/>
      <c r="K69" s="1019"/>
      <c r="L69" s="1019"/>
      <c r="M69" s="1019"/>
      <c r="N69" s="1019"/>
      <c r="O69" s="1019"/>
      <c r="P69" s="1019"/>
      <c r="Q69" s="1019"/>
      <c r="R69" s="1019"/>
      <c r="S69" s="1019"/>
      <c r="T69" s="1019"/>
      <c r="U69" s="1019"/>
      <c r="V69" s="1019"/>
      <c r="W69" s="1019"/>
      <c r="X69" s="1019"/>
      <c r="Y69" s="1019"/>
      <c r="Z69" s="1019"/>
      <c r="AA69" s="1019"/>
      <c r="AB69" s="1019"/>
      <c r="AC69" s="1019"/>
      <c r="AD69" s="1019"/>
      <c r="AE69" s="1019"/>
      <c r="AF69" s="1019"/>
      <c r="AG69" s="1019"/>
    </row>
    <row r="70" s="281" customFormat="1">
      <c r="A70" s="1019"/>
      <c r="B70" s="1019"/>
      <c r="C70" s="1019"/>
      <c r="D70" s="1019"/>
      <c r="E70" s="1019"/>
      <c r="F70" s="1019"/>
      <c r="G70" s="1019"/>
      <c r="H70" s="1019"/>
      <c r="I70" s="1019"/>
      <c r="J70" s="1019"/>
      <c r="K70" s="1019"/>
      <c r="L70" s="1019"/>
      <c r="M70" s="1019"/>
      <c r="N70" s="1019"/>
      <c r="O70" s="1019"/>
      <c r="P70" s="1019"/>
      <c r="Q70" s="1019"/>
      <c r="R70" s="1019"/>
      <c r="S70" s="1019"/>
      <c r="T70" s="1019"/>
      <c r="U70" s="1019"/>
      <c r="V70" s="1019"/>
      <c r="W70" s="1019"/>
      <c r="X70" s="1019"/>
      <c r="Y70" s="1019"/>
      <c r="Z70" s="1019"/>
      <c r="AA70" s="1019"/>
      <c r="AB70" s="1019"/>
      <c r="AC70" s="1019"/>
      <c r="AD70" s="1019"/>
      <c r="AE70" s="1019"/>
      <c r="AF70" s="1019"/>
      <c r="AG70" s="1019"/>
    </row>
    <row r="71" s="281" customFormat="1">
      <c r="A71" s="1019"/>
      <c r="B71" s="1019"/>
      <c r="C71" s="1019"/>
      <c r="D71" s="1019"/>
      <c r="E71" s="1019"/>
      <c r="F71" s="1019"/>
      <c r="G71" s="1019"/>
      <c r="H71" s="1019"/>
      <c r="I71" s="1019"/>
      <c r="J71" s="1019"/>
      <c r="K71" s="1019"/>
      <c r="L71" s="1019"/>
      <c r="M71" s="1019"/>
      <c r="N71" s="1019"/>
      <c r="O71" s="1019"/>
      <c r="P71" s="1019"/>
      <c r="Q71" s="1019"/>
      <c r="R71" s="1019"/>
      <c r="S71" s="1019"/>
      <c r="T71" s="1019"/>
      <c r="U71" s="1019"/>
      <c r="V71" s="1019"/>
      <c r="W71" s="1019"/>
      <c r="X71" s="1019"/>
      <c r="Y71" s="1019"/>
      <c r="Z71" s="1019"/>
      <c r="AA71" s="1019"/>
      <c r="AB71" s="1019"/>
      <c r="AC71" s="1019"/>
      <c r="AD71" s="1019"/>
      <c r="AE71" s="1019"/>
      <c r="AF71" s="1019"/>
      <c r="AG71" s="1019"/>
    </row>
    <row r="72" s="281" customFormat="1">
      <c r="A72" s="1019"/>
      <c r="B72" s="1019"/>
      <c r="C72" s="1019"/>
      <c r="D72" s="1019"/>
      <c r="E72" s="1019"/>
      <c r="F72" s="1019"/>
      <c r="G72" s="1019"/>
      <c r="H72" s="1019"/>
      <c r="I72" s="1019"/>
      <c r="J72" s="1019"/>
      <c r="K72" s="1019"/>
      <c r="L72" s="1019"/>
      <c r="M72" s="1019"/>
      <c r="N72" s="1019"/>
      <c r="O72" s="1019"/>
      <c r="P72" s="1019"/>
      <c r="Q72" s="1019"/>
      <c r="R72" s="1019"/>
      <c r="S72" s="1019"/>
      <c r="T72" s="1019"/>
      <c r="U72" s="1019"/>
      <c r="V72" s="1019"/>
      <c r="W72" s="1019"/>
      <c r="X72" s="1019"/>
      <c r="Y72" s="1019"/>
      <c r="Z72" s="1019"/>
      <c r="AA72" s="1019"/>
      <c r="AB72" s="1019"/>
      <c r="AC72" s="1019"/>
      <c r="AD72" s="1019"/>
      <c r="AE72" s="1019"/>
      <c r="AF72" s="1019"/>
      <c r="AG72" s="1019"/>
    </row>
    <row r="73" s="281" customFormat="1">
      <c r="A73" s="1019"/>
      <c r="B73" s="1019"/>
      <c r="C73" s="1019"/>
      <c r="D73" s="1019"/>
      <c r="E73" s="1019"/>
      <c r="F73" s="1019"/>
      <c r="G73" s="1019"/>
      <c r="H73" s="1019"/>
      <c r="I73" s="1019"/>
      <c r="J73" s="1019"/>
      <c r="K73" s="1019"/>
      <c r="L73" s="1019"/>
      <c r="M73" s="1019"/>
      <c r="N73" s="1019"/>
      <c r="O73" s="1019"/>
      <c r="P73" s="1019"/>
      <c r="Q73" s="1019"/>
      <c r="R73" s="1019"/>
      <c r="S73" s="1019"/>
      <c r="T73" s="1019"/>
      <c r="U73" s="1019"/>
      <c r="V73" s="1019"/>
      <c r="W73" s="1019"/>
      <c r="X73" s="1019"/>
      <c r="Y73" s="1019"/>
      <c r="Z73" s="1019"/>
      <c r="AA73" s="1019"/>
      <c r="AB73" s="1019"/>
      <c r="AC73" s="1019"/>
      <c r="AD73" s="1019"/>
      <c r="AE73" s="1019"/>
      <c r="AF73" s="1019"/>
      <c r="AG73" s="1019"/>
    </row>
    <row r="74" s="281" customFormat="1"/>
    <row r="75" s="281" customFormat="1"/>
    <row r="76" s="281" customFormat="1"/>
    <row r="77" s="281" customFormat="1"/>
    <row r="78" s="281" customFormat="1"/>
    <row r="79" s="281" customFormat="1"/>
    <row r="80" s="281" customFormat="1"/>
    <row r="81" s="281" customFormat="1"/>
    <row r="82" s="281" customFormat="1"/>
    <row r="83" s="281" customFormat="1"/>
    <row r="84" s="281" customFormat="1"/>
    <row r="85" s="281" customFormat="1"/>
    <row r="86" s="281" customFormat="1"/>
    <row r="87" s="281" customFormat="1"/>
    <row r="88" s="281" customFormat="1"/>
    <row r="89" s="281" customFormat="1"/>
    <row r="90" s="281" customFormat="1"/>
    <row r="91" s="281" customFormat="1"/>
    <row r="92" s="281" customFormat="1"/>
    <row r="93" s="281" customFormat="1"/>
    <row r="94" s="281" customFormat="1"/>
  </sheetData>
  <mergeCells count="25">
    <mergeCell ref="Z19:AB19"/>
    <mergeCell ref="X18:AG18"/>
    <mergeCell ref="V19:X19"/>
    <mergeCell ref="AD19:AF19"/>
    <mergeCell ref="B2:AE2"/>
    <mergeCell ref="B57:AF57"/>
    <mergeCell ref="AA1:AF1"/>
    <mergeCell ref="AD43:AF43"/>
    <mergeCell ref="AD31:AF31"/>
    <mergeCell ref="B43:B44"/>
    <mergeCell ref="Z31:AB31"/>
    <mergeCell ref="Z43:AB43"/>
    <mergeCell ref="V31:X31"/>
    <mergeCell ref="B31:B32"/>
    <mergeCell ref="V43:X43"/>
    <mergeCell ref="B3:T3"/>
    <mergeCell ref="U3:AF3"/>
    <mergeCell ref="B4:AE4"/>
    <mergeCell ref="B19:B20"/>
    <mergeCell ref="D19:O19"/>
    <mergeCell ref="D31:O31"/>
    <mergeCell ref="D43:O43"/>
    <mergeCell ref="P19:T19"/>
    <mergeCell ref="P31:T31"/>
    <mergeCell ref="P43:T43"/>
  </mergeCells>
  <phoneticPr fontId="0" type="noConversion"/>
  <printOptions horizontalCentered="1" verticalCentered="1"/>
  <pageMargins left="0.25" right="0.25" top="0.25" bottom="0.25" header="0" footer="0"/>
  <pageSetup scale="45" fitToWidth="1" fitToHeight="1" orientation="landscape" r:id="rId1"/>
  <headerFooter alignWithMargins="0">
    <oddHeader/>
    <oddFooter/>
  </headerFooter>
  <rowBreaks count="1" manualBreakCount="1">
    <brk id="58" max="16383" man="1"/>
  </rowBreaks>
  <colBreaks count="1" manualBreakCount="1">
    <brk id="34" max="1048575" man="1"/>
  </colBreaks>
  <drawing r:id="rId3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28986736</Manager>
  <Company>1068</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26</vt:i4>
      </vt:variant>
      <vt:variant>
        <vt:lpstr>Named Ranges</vt:lpstr>
      </vt:variant>
      <vt:variant>
        <vt:i4>26</vt:i4>
      </vt:variant>
    </vt:vector>
  </HeadingPairs>
  <TitlesOfParts>
    <vt:vector baseType="lpstr" size="52">
      <vt:lpstr>Table of Contents</vt:lpstr>
      <vt:lpstr>Glance</vt:lpstr>
      <vt:lpstr>Summary</vt:lpstr>
      <vt:lpstr>Trend</vt:lpstr>
      <vt:lpstr>Trend Ind</vt:lpstr>
      <vt:lpstr>Raw Data</vt:lpstr>
      <vt:lpstr>Day of Week</vt:lpstr>
      <vt:lpstr>Day of Week Rank</vt:lpstr>
      <vt:lpstr>Daily by Month</vt:lpstr>
      <vt:lpstr>Daily by Month Rk</vt:lpstr>
      <vt:lpstr>Daily by DOW</vt:lpstr>
      <vt:lpstr>Plus Summary</vt:lpstr>
      <vt:lpstr>Occ Plus</vt:lpstr>
      <vt:lpstr>ADR Plus</vt:lpstr>
      <vt:lpstr>RevPAR Plus</vt:lpstr>
      <vt:lpstr>Plus Indexes</vt:lpstr>
      <vt:lpstr>Plus Ranking</vt:lpstr>
      <vt:lpstr>Plus DOW Month</vt:lpstr>
      <vt:lpstr>Segmentation DOW YTD_copy</vt:lpstr>
      <vt:lpstr>Add Rev ADR</vt:lpstr>
      <vt:lpstr>Add Rev RevPAR</vt:lpstr>
      <vt:lpstr>Additional Revenue obsolete</vt:lpstr>
      <vt:lpstr>Response</vt:lpstr>
      <vt:lpstr>Plus Response</vt:lpstr>
      <vt:lpstr>Hyatt Glance</vt:lpstr>
      <vt:lpstr>Help</vt:lpstr>
      <vt:lpstr>'Add Rev ADR'!Print_Area</vt:lpstr>
      <vt:lpstr>'Add Rev RevPAR'!Print_Area</vt:lpstr>
      <vt:lpstr>'Additional Revenue obsolete'!Print_Area</vt:lpstr>
      <vt:lpstr>'ADR Plus'!Print_Area</vt:lpstr>
      <vt:lpstr>'Daily by DOW'!Print_Area</vt:lpstr>
      <vt:lpstr>'Daily by Month'!Print_Area</vt:lpstr>
      <vt:lpstr>'Daily by Month Rk'!Print_Area</vt:lpstr>
      <vt:lpstr>'Day of Week'!Print_Area</vt:lpstr>
      <vt:lpstr>'Day of Week Rank'!Print_Area</vt:lpstr>
      <vt:lpstr>Glance!Print_Area</vt:lpstr>
      <vt:lpstr>Help!Print_Area</vt:lpstr>
      <vt:lpstr>'Hyatt Glance'!Print_Area</vt:lpstr>
      <vt:lpstr>'Occ Plus'!Print_Area</vt:lpstr>
      <vt:lpstr>'Plus DOW Month'!Print_Area</vt:lpstr>
      <vt:lpstr>'Plus Indexes'!Print_Area</vt:lpstr>
      <vt:lpstr>'Plus Ranking'!Print_Area</vt:lpstr>
      <vt:lpstr>'Plus Response'!Print_Area</vt:lpstr>
      <vt:lpstr>'Plus Summary'!Print_Area</vt:lpstr>
      <vt:lpstr>'Raw Data'!Print_Area</vt:lpstr>
      <vt:lpstr>Response!Print_Area</vt:lpstr>
      <vt:lpstr>'RevPAR Plus'!Print_Area</vt:lpstr>
      <vt:lpstr>'Segmentation DOW YTD_copy'!Print_Area</vt:lpstr>
      <vt:lpstr>Summary!Print_Area</vt:lpstr>
      <vt:lpstr>'Table of Contents'!Print_Area</vt:lpstr>
      <vt:lpstr>Trend!Print_Area</vt:lpstr>
      <vt:lpstr>'Trend Ind'!Print_Area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804,836,812|804,836,748,808</cp:category>
  <dcterms:created xsi:type="dcterms:W3CDTF">2003-06-11T18:24:11Z</dcterms:created>
  <dc:creator>STR, Inc.</dc:creator>
  <cp:keywords>62536</cp:keywords>
  <cp:lastModifiedBy>Jim Hawkins</cp:lastModifiedBy>
  <cp:lastPrinted>2016-02-11T20:47:50Z</cp:lastPrinted>
  <dcterms:modified xsi:type="dcterms:W3CDTF">2021-08-10T14:36:44Z</dcterms:modified>
  <dc:subject>62536</dc:subject>
  <dc:title>eSTAR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