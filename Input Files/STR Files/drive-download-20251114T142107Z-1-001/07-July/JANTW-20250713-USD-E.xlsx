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6.xml" ContentType="application/vnd.openxmlformats-officedocument.spreadsheetml.worksheet+xml"/>
  <Override PartName="/xl/worksheets/sheet8.xml" ContentType="application/vnd.openxmlformats-officedocument.spreadsheetml.worksheet+xml"/>
  <Override PartName="/xl/worksheets/sheet10.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8.xml" ContentType="application/vnd.openxmlformats-officedocument.spreadsheetml.worksheet+xml"/>
  <Override PartName="/xl/printerSettings/printerSettings19.bin" ContentType="application/vnd.openxmlformats-officedocument.spreadsheetml.printerSettings"/>
  <Override PartName="/xl/drawings/drawing20.xml" ContentType="application/vnd.openxmlformats-officedocument.drawing+xml"/>
  <Override PartName="/xl/worksheets/sheet22.xml" ContentType="application/vnd.openxmlformats-officedocument.spreadsheetml.worksheet+xml"/>
  <Override PartName="/xl/printerSettings/printerSettings23.bin" ContentType="application/vnd.openxmlformats-officedocument.spreadsheetml.printerSettings"/>
  <Override PartName="/xl/drawings/drawing24.xml" ContentType="application/vnd.openxmlformats-officedocument.drawing+xml"/>
  <Override PartName="/xl/worksheets/sheet26.xml" ContentType="application/vnd.openxmlformats-officedocument.spreadsheetml.worksheet+xml"/>
  <Override PartName="/xl/printerSettings/printerSettings27.bin" ContentType="application/vnd.openxmlformats-officedocument.spreadsheetml.printerSettings"/>
  <Override PartName="/xl/drawings/drawing28.xml" ContentType="application/vnd.openxmlformats-officedocument.drawing+xml"/>
  <Override PartName="/xl/worksheets/sheet30.xml" ContentType="application/vnd.openxmlformats-officedocument.spreadsheetml.worksheet+xml"/>
  <Override PartName="/xl/printerSettings/printerSettings31.bin" ContentType="application/vnd.openxmlformats-officedocument.spreadsheetml.printerSettings"/>
  <Override PartName="/xl/drawings/drawing32.xml" ContentType="application/vnd.openxmlformats-officedocument.drawing+xml"/>
  <Override PartName="/xl/worksheets/sheet34.xml" ContentType="application/vnd.openxmlformats-officedocument.spreadsheetml.worksheet+xml"/>
  <Override PartName="/xl/printerSettings/printerSettings35.bin" ContentType="application/vnd.openxmlformats-officedocument.spreadsheetml.printerSettings"/>
  <Override PartName="/xl/drawings/drawing36.xml" ContentType="application/vnd.openxmlformats-officedocument.drawing+xml"/>
  <Override PartName="/xl/worksheets/sheet38.xml" ContentType="application/vnd.openxmlformats-officedocument.spreadsheetml.worksheet+xml"/>
  <Override PartName="/xl/printerSettings/printerSettings39.bin" ContentType="application/vnd.openxmlformats-officedocument.spreadsheetml.printerSettings"/>
  <Override PartName="/xl/drawings/drawing40.xml" ContentType="application/vnd.openxmlformats-officedocument.drawing+xml"/>
  <Override PartName="/xl/worksheets/sheet42.xml" ContentType="application/vnd.openxmlformats-officedocument.spreadsheetml.worksheet+xml"/>
  <Override PartName="/xl/printerSettings/printerSettings43.bin" ContentType="application/vnd.openxmlformats-officedocument.spreadsheetml.printerSettings"/>
  <Override PartName="/xl/drawings/drawing44.xml" ContentType="application/vnd.openxmlformats-officedocument.drawing+xml"/>
  <Override PartName="/xl/worksheets/sheet46.xml" ContentType="application/vnd.openxmlformats-officedocument.spreadsheetml.worksheet+xml"/>
  <Override PartName="/xl/printerSettings/printerSettings47.bin" ContentType="application/vnd.openxmlformats-officedocument.spreadsheetml.printerSettings"/>
  <Override PartName="/xl/drawings/drawing48.xml" ContentType="application/vnd.openxmlformats-officedocument.drawing+xml"/>
  <Override PartName="/xl/charts/chart49.xml" ContentType="application/vnd.openxmlformats-officedocument.drawingml.chart+xml"/>
  <Override PartName="/xl/drawings/drawing50.xml" ContentType="application/vnd.openxmlformats-officedocument.drawing+xml"/>
  <Override PartName="/xl/charts/chart51.xml" ContentType="application/vnd.openxmlformats-officedocument.drawingml.chart+xml"/>
  <Override PartName="/xl/drawings/drawing52.xml" ContentType="application/vnd.openxmlformats-officedocument.drawing+xml"/>
  <Override PartName="/xl/charts/chart53.xml" ContentType="application/vnd.openxmlformats-officedocument.drawingml.chart+xml"/>
  <Override PartName="/xl/drawings/drawing54.xml" ContentType="application/vnd.openxmlformats-officedocument.drawing+xml"/>
  <Override PartName="/xl/charts/chart55.xml" ContentType="application/vnd.openxmlformats-officedocument.drawingml.chart+xml"/>
</Types>
</file>

<file path=_rels/.rels><?xml version="1.0" encoding="utf-8" standalone="yes" ?>
<Relationships xmlns="http://schemas.openxmlformats.org/package/2006/relationships">
<Relationship Id="rId3" Type="http://schemas.openxmlformats.org/officeDocument/2006/relationships/extended-properties" Target="/docProps/app.xml" />
<Relationship Id="rId2" Type="http://schemas.openxmlformats.org/package/2006/relationships/metadata/core-properties" Target="/docProps/core.xml" />
<Relationship Id="rId1" Type="http://schemas.openxmlformats.org/officeDocument/2006/relationships/officeDocument" Target="xl/workbook.xml" />
<Relationship Id="rId21" Type="http://schemas.openxmlformats.org/officeDocument/2006/relationships/custom-properties" Target="/docProps/custom.xml" />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7" lowestEdited="6" rupBuild="26026"/>
  <workbookPr codeName="ThisWorkbook"/>
  <bookViews>
    <workbookView xWindow="4080" yWindow="1170" windowWidth="21420" windowHeight="11400" tabRatio="898"/>
  </bookViews>
  <sheets>
    <sheet name="Table of Contents" sheetId="1" r:id="rId9"/>
    <sheet name="Glance" sheetId="19" r:id="rId8"/>
    <sheet name="Segmentation Glance" sheetId="20" r:id="rId7"/>
    <sheet name="Daily by Month" sheetId="21" r:id="rId6"/>
    <sheet name="Occ" sheetId="4" r:id="rId10"/>
    <sheet name="Segmentation Occ" sheetId="22" r:id="rId5"/>
    <sheet name="ADR" sheetId="6" r:id="rId11"/>
    <sheet name="Segmentation ADR" sheetId="23" r:id="rId4"/>
    <sheet name="RevPAR" sheetId="8" r:id="rId12"/>
    <sheet name="Segmentation RevPAR" sheetId="24" r:id="rId3"/>
    <sheet name="Additional Revenue" sheetId="25" r:id="rId2"/>
    <sheet name="Response" sheetId="26" r:id="rId1"/>
    <sheet name="Help" sheetId="18" r:id="rId13"/>
  </sheets>
  <definedNames>
    <definedName name="_xlnm.Print_Area" localSheetId="6">ADR!$A$1:$AI$61</definedName>
    <definedName name="_xlnm.Print_Area" localSheetId="12">Help!$A$1:$J$16</definedName>
    <definedName name="_xlnm.Print_Area" localSheetId="4">Occ!$A$1:$AI$58</definedName>
    <definedName name="_xlnm.Print_Area" localSheetId="8">RevPAR!$A$1:$AI$61</definedName>
    <definedName name="_xlnm.Print_Area" localSheetId="0">'Table of Contents'!$A$1:$H$48</definedName>
    <definedName name="_xlnm.Print_Area" localSheetId="1">Glance!$A$1:$AC$42</definedName>
    <definedName name="_xlnm.Print_Area" localSheetId="2">'Segmentation Glance'!$A$1:$T$42</definedName>
    <definedName name="_xlnm.Print_Area" localSheetId="3">'Daily by Month'!$A$1:$AL$63</definedName>
    <definedName name="_xlnm.Print_Area" localSheetId="5">'Segmentation Occ'!$A$1:$AB$54</definedName>
    <definedName name="_xlnm.Print_Area" localSheetId="7">'Segmentation ADR'!$A$1:$AC$54</definedName>
    <definedName name="_xlnm.Print_Area" localSheetId="9">'Segmentation RevPAR'!$A$1:$AC$54</definedName>
    <definedName name="_xlnm.Print_Area" localSheetId="10">'Additional Revenue'!$A$1:$AC$54</definedName>
    <definedName name="_xlnm.Print_Area" localSheetId="11">Response!$A$1:$AR$104</definedName>
  </definedNames>
  <calcPr calcId="191029"/>
  <extLst>
    <ext uri="{B58B0392-4F1F-4190-BB64-5DF3571DCE5F}">
      <xcalcf:calcFeatures xmlns:xcalcf="http://schemas.microsoft.com/office/spreadsheetml/2018/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<sst xmlns="http://schemas.openxmlformats.org/spreadsheetml/2006/main" xmlns:r="http://schemas.openxmlformats.org/officeDocument/2006/relationships" xmlns:xdr="http://schemas.openxmlformats.org/drawingml/2006/spreadsheetDrawing" xmlns:s="http://schemas.openxmlformats.org/officeDocument/2006/sharedTypes" xmlns:vt="http://schemas.openxmlformats.org/officeDocument/2006/docPropsVTypes" xmlns:a="http://schemas.openxmlformats.org/drawingml/2006/main" xmlns:cdr="http://schemas.openxmlformats.org/drawingml/2006/chartDrawing" count="969" uniqueCount="114">
  <si>
    <t>Sun</t>
  </si>
  <si>
    <t>Mon</t>
  </si>
  <si>
    <t>Tue</t>
  </si>
  <si>
    <t>Wed</t>
  </si>
  <si>
    <t>Thu</t>
  </si>
  <si>
    <t>Fri</t>
  </si>
  <si>
    <t>Sat</t>
  </si>
  <si>
    <t>This Year</t>
  </si>
  <si>
    <t>Last Year</t>
  </si>
  <si>
    <t>Last Week</t>
  </si>
  <si>
    <t>ADR ($)</t>
  </si>
  <si>
    <t>RevPAR ($)</t>
  </si>
  <si>
    <t>ADR</t>
  </si>
  <si>
    <t>RevPAR</t>
  </si>
  <si>
    <t>Last 4 Sundays</t>
  </si>
  <si>
    <t>Last 4 Mondays</t>
  </si>
  <si>
    <t>Last 4 Tuesdays</t>
  </si>
  <si>
    <t>Last 4 Wednesdays</t>
  </si>
  <si>
    <t>Last 4 Thursdays</t>
  </si>
  <si>
    <t>Last 4 Fridays</t>
  </si>
  <si>
    <t>Last 4 Saturdays</t>
  </si>
  <si>
    <t>Transient</t>
  </si>
  <si>
    <t>Index</t>
  </si>
  <si>
    <t>Total</t>
  </si>
  <si>
    <t>Group</t>
  </si>
  <si>
    <t>Contract</t>
  </si>
  <si>
    <t>Comp Set</t>
  </si>
  <si>
    <t>Comp set</t>
  </si>
  <si>
    <t>Occupancy</t>
  </si>
  <si>
    <t>Other</t>
  </si>
  <si>
    <t>F&amp;B</t>
  </si>
  <si>
    <t>MTD</t>
  </si>
  <si>
    <t>My Property</t>
  </si>
  <si>
    <t>Room</t>
  </si>
  <si>
    <t>STR ID</t>
  </si>
  <si>
    <t>Name</t>
  </si>
  <si>
    <t>City, State</t>
  </si>
  <si>
    <t>PLUS Default</t>
  </si>
  <si>
    <t>Plus Default</t>
  </si>
  <si>
    <t>Monday</t>
  </si>
  <si>
    <t>Sunday</t>
  </si>
  <si>
    <t>Tuesday</t>
  </si>
  <si>
    <t>Wednesday</t>
  </si>
  <si>
    <t>Thursday</t>
  </si>
  <si>
    <t>Friday</t>
  </si>
  <si>
    <t>Saturday</t>
  </si>
  <si>
    <t xml:space="preserve"> </t>
  </si>
  <si>
    <t>Mo</t>
  </si>
  <si>
    <t>Tu</t>
  </si>
  <si>
    <t>Su</t>
  </si>
  <si>
    <t>We</t>
  </si>
  <si>
    <t>Th</t>
  </si>
  <si>
    <t>Fr</t>
  </si>
  <si>
    <t>Sa</t>
  </si>
  <si>
    <t>Occupancy (%)</t>
  </si>
  <si>
    <t>Rank</t>
  </si>
  <si>
    <t>Your rank</t>
  </si>
  <si>
    <t>% Chg</t>
  </si>
  <si>
    <t>Current</t>
  </si>
  <si>
    <t>Run</t>
  </si>
  <si>
    <t>Week</t>
  </si>
  <si>
    <t>Running 28 Days</t>
  </si>
  <si>
    <t>% of Total Revenue</t>
  </si>
  <si>
    <t>My Prop</t>
  </si>
  <si>
    <t>This Week</t>
  </si>
  <si>
    <t>TY</t>
  </si>
  <si>
    <t>LY</t>
  </si>
  <si>
    <t>Property</t>
  </si>
  <si>
    <t>Compset</t>
  </si>
  <si>
    <t>Running 28 Days (by Day of Week)</t>
  </si>
  <si>
    <t>Rooms</t>
  </si>
  <si>
    <t>Open Date</t>
  </si>
  <si>
    <t>Current Week</t>
  </si>
  <si>
    <t>Phone</t>
  </si>
  <si>
    <t>Zip</t>
  </si>
  <si>
    <t>Occ (%)</t>
  </si>
  <si>
    <t>Occ % Chg</t>
  </si>
  <si>
    <t>Index % Chg</t>
  </si>
  <si>
    <t>ADR % Chg</t>
  </si>
  <si>
    <t>RevPAR % Chg</t>
  </si>
  <si>
    <t>Start Date - EndDate</t>
  </si>
  <si>
    <t>Combined Summary - My Hotel vs. Comp Set 2</t>
  </si>
  <si>
    <t>Exchange Rate*</t>
  </si>
  <si>
    <t>Revenue Per Room Sold</t>
  </si>
  <si>
    <t xml:space="preserve">Segmentation </t>
  </si>
  <si>
    <t>Additional Revenue</t>
  </si>
  <si>
    <t>Percent Change (%)</t>
  </si>
  <si>
    <t xml:space="preserve">     % Chg</t>
  </si>
  <si>
    <t>WD</t>
  </si>
  <si>
    <t>WE</t>
  </si>
  <si>
    <t>Weekly STAR</t>
  </si>
  <si>
    <t>Index (MPI)</t>
  </si>
  <si>
    <t>Index (ARI)</t>
  </si>
  <si>
    <t>Index (RGI)</t>
  </si>
  <si>
    <t>Total (TrevPOR**)</t>
  </si>
  <si>
    <t xml:space="preserve">** TrevPOR = Total revenue per occupied room (sum of Room, F&amp;B, and Other revenue divided by total occupied rooms).  </t>
  </si>
  <si>
    <t>Job #</t>
  </si>
  <si>
    <t>Title</t>
  </si>
  <si>
    <t>Options</t>
  </si>
  <si>
    <t>Table Of Contents</t>
  </si>
  <si>
    <t>support@str.com     www.str.com</t>
  </si>
  <si>
    <t>Period</t>
  </si>
  <si>
    <t>Glossary:</t>
  </si>
  <si>
    <t>Frequently Asked Questions (FAQ):</t>
  </si>
  <si>
    <r>
      <t xml:space="preserve">For the latest in industry news, visit </t>
    </r>
    <r>
      <rPr>
        <u/>
        <sz val="11"/>
        <rFont val="Arial"/>
        <family val="2"/>
      </rPr>
      <t xml:space="preserve">HotelNewsNow.com</t>
    </r>
    <r>
      <rPr>
        <sz val="11"/>
        <rFont val="Arial"/>
        <family val="2"/>
      </rPr>
      <t xml:space="preserve">.</t>
    </r>
  </si>
  <si>
    <r>
      <t xml:space="preserve">To learn more about the Hotel Data Conference, visit </t>
    </r>
    <r>
      <rPr>
        <u/>
        <sz val="11"/>
        <rFont val="Arial"/>
        <family val="2"/>
      </rPr>
      <t xml:space="preserve">HotelDataConference.com</t>
    </r>
    <r>
      <rPr>
        <sz val="11"/>
        <rFont val="Arial"/>
        <family val="2"/>
      </rPr>
      <t xml:space="preserve">.</t>
    </r>
  </si>
  <si>
    <t>Corporate North American Headquarters</t>
  </si>
  <si>
    <t>International Headquarters</t>
  </si>
  <si>
    <t>T: +44 (0) 207 922 1930</t>
  </si>
  <si>
    <r>
      <t xml:space="preserve">For all STR definitions, please click here or visit </t>
    </r>
    <r>
      <rPr>
        <u/>
        <sz val="11"/>
        <rFont val="Arial"/>
        <family val="2"/>
      </rPr>
      <t xml:space="preserve">www.str.com/data-insights/resources/glossary</t>
    </r>
  </si>
  <si>
    <r>
      <t xml:space="preserve">For all STR FAQs, please click here or visit </t>
    </r>
    <r>
      <rPr>
        <u/>
        <sz val="11"/>
        <rFont val="Arial"/>
        <family val="2"/>
      </rPr>
      <t xml:space="preserve">www.str.com/data-insights/resources/FAQ</t>
    </r>
  </si>
  <si>
    <r>
      <t xml:space="preserve">For additional support, please </t>
    </r>
    <r>
      <rPr>
        <u/>
        <sz val="11"/>
        <rFont val="Arial"/>
        <family val="2"/>
      </rPr>
      <t xml:space="preserve">contact</t>
    </r>
    <r>
      <rPr>
        <sz val="11"/>
        <rFont val="Arial"/>
        <family val="2"/>
      </rPr>
      <t xml:space="preserve"> your regional office.</t>
    </r>
  </si>
  <si>
    <t>T: +1 (615) 824 8664</t>
  </si>
  <si>
    <t>hotelinfo@str.com     www.str.com</t>
  </si>
  <si>
    <t>2025 © CoStar Group. This STR Report is a publication of STR, LLC and STR Global, Ltd., CoStar Group companies, and is intended solely for use by paid subscribers. The information in the STR Report is provided on an “as is” and “as available” basis and should not be construed as investment, tax, accounting or legal advice. Reproduction or distribution of this STR Report, in whole or part, without written permission is prohibited and subject to legal action. If you have received this report and are NOT a subscriber to this STR Report, please contact us immediately. Source: 2025 STR, LLC / STR Global, Ltd. trading as “STR”.</t>
  </si>
  <si>
    <t>Tab 2 - Weekly Performance at a Glance - My Property vs. Competitive Set</t>
  </si>
  <si>
    <t>Weekly Performance at a Glance</t>
  </si>
  <si>
    <t>Tab 3 - Segmentation at a Glance - My Property vs. Competitive Set</t>
  </si>
  <si>
    <t>Segmentation at a Glance</t>
  </si>
  <si>
    <t>Tab 4 - Daily Data for the Month</t>
  </si>
  <si>
    <t>Daily Data for the Month</t>
  </si>
  <si>
    <t>Tab 5 - Occupancy Perspectives</t>
  </si>
  <si>
    <t>Occupancy Perspectives</t>
  </si>
  <si>
    <t>Tab 6 - Segmentation Occupancy Analysis</t>
  </si>
  <si>
    <t>Segmentation Occupancy Analysis</t>
  </si>
  <si>
    <t>Tab 7 - ADR Perspectives</t>
  </si>
  <si>
    <t>ADR Perspectives</t>
  </si>
  <si>
    <t>Tab 8 - Segmentation ADR Analysis</t>
  </si>
  <si>
    <t>Segmentation ADR Analysis</t>
  </si>
  <si>
    <t>Tab 9 - RevPAR Perspectives</t>
  </si>
  <si>
    <t>RevPAR Perspectives</t>
  </si>
  <si>
    <t>Tab 10 - Segmentation RevPAR Analysis</t>
  </si>
  <si>
    <t>Segmentation RevPAR Analysis</t>
  </si>
  <si>
    <t>Tab 11 - Additional Revenue</t>
  </si>
  <si>
    <t>Tab 12 - Response Report</t>
  </si>
  <si>
    <t>Response Report</t>
  </si>
  <si>
    <t>Help</t>
  </si>
  <si>
    <t>Weekly STAR Report : Hilton Garden Inn Jackson Downtown</t>
  </si>
  <si>
    <t>STR # 60180 / Created July 22, 2025</t>
  </si>
  <si>
    <t>For the Week of: July 13, 2025 - July 19, 2025</t>
  </si>
  <si>
    <t>Currency: US Dollar  /  Competitive Set Data Excludes Subject Property</t>
  </si>
  <si>
    <t>Hilton Garden Inn Jackson Downtown        235 W Capitol St        Jackson, MS 39201        Phone: (601) 353-5464</t>
  </si>
  <si>
    <t>STR # 60180        Chain ID: 000043085        Mgt Co: Dellisart Hospitality        Owner: Desai Hotel Group</t>
  </si>
  <si>
    <t>For the Week of: July 13, 2025 - July 19, 2025        Date Created: July 22, 2025        Competitive Set Data Excludes Subject Property</t>
  </si>
  <si>
    <t>July 13, 2025 - July 19, 2025</t>
  </si>
  <si>
    <t>Jul</t>
  </si>
  <si>
    <t>Market Scale: Jackson, MS Upscale Chains</t>
  </si>
  <si>
    <t>Market Scale</t>
  </si>
  <si>
    <t>Jun</t>
  </si>
  <si>
    <t>7 of 8</t>
  </si>
  <si>
    <t>3 of 8</t>
  </si>
  <si>
    <t>5 of 8</t>
  </si>
  <si>
    <t>2 of 8</t>
  </si>
  <si>
    <t>6 of 8</t>
  </si>
  <si>
    <t>1 of 8</t>
  </si>
  <si>
    <t>6 of 7</t>
  </si>
  <si>
    <t>2 of 7</t>
  </si>
  <si>
    <t>4 of 8</t>
  </si>
  <si>
    <t>8 of 8</t>
  </si>
  <si>
    <t>7 of 7</t>
  </si>
  <si>
    <t>5 of 7</t>
  </si>
  <si>
    <t>Market Scale*: Jackson, MS Upscale Chains</t>
  </si>
  <si>
    <t>For the Week of: July 13, 2025 - July 19, 2025        Date Created: July 22, 2025</t>
  </si>
  <si>
    <t>Hilton Garden Inn Jackson Downtown</t>
  </si>
  <si>
    <t>Jackson, MS</t>
  </si>
  <si>
    <t>39201</t>
  </si>
  <si>
    <t>(601) 353-5464</t>
  </si>
  <si>
    <t>192312</t>
  </si>
  <si>
    <t>X</t>
  </si>
  <si>
    <t/>
  </si>
  <si>
    <t>Hilton Jackson</t>
  </si>
  <si>
    <t>39211</t>
  </si>
  <si>
    <t>(601) 957-2800</t>
  </si>
  <si>
    <t>198406</t>
  </si>
  <si>
    <t>Holiday Inn Express &amp; Suites Jackson Downtown Coliseum</t>
  </si>
  <si>
    <t>39202</t>
  </si>
  <si>
    <t>(601) 948-4466</t>
  </si>
  <si>
    <t>198905</t>
  </si>
  <si>
    <t>Courtyard Jackson Ridgeland</t>
  </si>
  <si>
    <t>(601) 956-9991</t>
  </si>
  <si>
    <t>199505</t>
  </si>
  <si>
    <t>Hampton Inn &amp; Suites Jackson Downtown-Coliseum</t>
  </si>
  <si>
    <t>(601) 352-1700</t>
  </si>
  <si>
    <t>199611</t>
  </si>
  <si>
    <t>Embassy Suites by Hilton Jackson North Ridgeland</t>
  </si>
  <si>
    <t>Ridgeland, MS</t>
  </si>
  <si>
    <t>39157</t>
  </si>
  <si>
    <t>(601) 607-7112</t>
  </si>
  <si>
    <t>200812</t>
  </si>
  <si>
    <t>Hyatt Place Jackson/Ridgeland</t>
  </si>
  <si>
    <t>39157-8719</t>
  </si>
  <si>
    <t>(601) 898-8815</t>
  </si>
  <si>
    <t>200810</t>
  </si>
  <si>
    <t>L</t>
  </si>
  <si>
    <t>The Westin Jackson</t>
  </si>
  <si>
    <t>39201-4904</t>
  </si>
  <si>
    <t>(601) 968-8200</t>
  </si>
  <si>
    <t>201708</t>
  </si>
  <si>
    <t>Data received: X = Both years, T = This year only, L = Last year only, blank = No data</t>
  </si>
  <si>
    <t>2025 (This Year)</t>
  </si>
  <si>
    <t>Jun/Jul</t>
  </si>
  <si>
    <t>2024 (Last Year)</t>
  </si>
  <si>
    <t>Jun 15th</t>
  </si>
  <si>
    <t>- Father's Day</t>
  </si>
  <si>
    <t>Jun 19th</t>
  </si>
  <si>
    <t>- Juneteenth</t>
  </si>
  <si>
    <t>July 4th</t>
  </si>
  <si>
    <t>- Independence Day</t>
  </si>
  <si>
    <t>June 16th</t>
  </si>
  <si>
    <t>June 19th</t>
  </si>
  <si>
    <t>Sep 2nd</t>
  </si>
  <si>
    <t>- Labor Day</t>
  </si>
  <si>
    <t>Oct 3rd</t>
  </si>
  <si>
    <t>- Rosh Hashanah</t>
  </si>
  <si>
    <t>Oct 12th</t>
  </si>
  <si>
    <t>- Yom Kippur</t>
  </si>
</sst>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11">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mmmm\ d\,\ yyyy"/>
    <numFmt numFmtId="165" formatCode="0.0%"/>
    <numFmt numFmtId="166" formatCode="0.0"/>
    <numFmt numFmtId="167" formatCode="&quot;$&quot;#,##0.00"/>
    <numFmt numFmtId="168" formatCode="#,##0.0_);\(#,##0.0\);_(* &quot;&quot;??_);"/>
    <numFmt numFmtId="169" formatCode="mmm\ dd"/>
    <numFmt numFmtId="170" formatCode="[$-409]d\-mmm;@"/>
  </numFmts>
  <fonts count="84">
    <font>
      <sz val="10"/>
      <name val="Arial"/>
    </font>
    <font>
      <sz val="10"/>
      <name val="Arial"/>
    </font>
    <font>
      <u/>
      <sz val="10"/>
      <color indexed="36"/>
      <name val="Arial"/>
      <family val="2"/>
    </font>
    <font>
      <b/>
      <sz val="11"/>
      <color indexed="9"/>
      <name val="Arial"/>
      <family val="2"/>
    </font>
    <font>
      <sz val="10"/>
      <name val="Arial"/>
      <family val="2"/>
    </font>
    <font>
      <sz val="11"/>
      <name val="Arial"/>
      <family val="2"/>
    </font>
    <font>
      <b/>
      <sz val="12"/>
      <name val="Arial"/>
      <family val="2"/>
    </font>
    <font>
      <sz val="16"/>
      <name val="Arial"/>
      <family val="2"/>
    </font>
    <font>
      <sz val="14"/>
      <name val="Arial"/>
      <family val="2"/>
    </font>
    <font>
      <sz val="9"/>
      <name val="Arial"/>
      <family val="2"/>
    </font>
    <font>
      <b/>
      <sz val="9"/>
      <name val="Arial"/>
      <family val="2"/>
    </font>
    <font>
      <b/>
      <sz val="10"/>
      <name val="Arial"/>
      <family val="2"/>
    </font>
    <font>
      <sz val="8"/>
      <name val="Arial"/>
      <family val="2"/>
    </font>
    <font>
      <sz val="18"/>
      <name val="Arial"/>
      <family val="2"/>
    </font>
    <font>
      <sz val="12"/>
      <name val="Arial"/>
      <family val="2"/>
    </font>
    <font>
      <sz val="25"/>
      <name val="Arial"/>
      <family val="2"/>
    </font>
    <font>
      <b/>
      <sz val="13"/>
      <name val="Arial"/>
      <family val="2"/>
    </font>
    <font>
      <sz val="7.5"/>
      <name val="Arial"/>
      <family val="2"/>
    </font>
    <font>
      <sz val="10"/>
      <color indexed="8"/>
      <name val="Arial"/>
      <family val="2"/>
    </font>
    <font>
      <b/>
      <sz val="12"/>
      <color indexed="9"/>
      <name val="Arial"/>
      <family val="2"/>
    </font>
    <font>
      <b/>
      <sz val="14"/>
      <name val="Arial"/>
      <family val="2"/>
    </font>
    <font>
      <b/>
      <sz val="12"/>
      <color indexed="8"/>
      <name val="Arial"/>
      <family val="2"/>
    </font>
    <font>
      <b/>
      <i/>
      <sz val="14"/>
      <color indexed="10"/>
      <name val="Arial"/>
      <family val="2"/>
    </font>
    <font>
      <b/>
      <sz val="14"/>
      <color indexed="8"/>
      <name val="Arial"/>
      <family val="2"/>
    </font>
    <font>
      <b/>
      <sz val="9"/>
      <color indexed="8"/>
      <name val="Arial"/>
      <family val="2"/>
    </font>
    <font>
      <sz val="13"/>
      <name val="Arial"/>
      <family val="2"/>
    </font>
    <font>
      <sz val="8"/>
      <name val="Wingdings"/>
      <charset val="2"/>
    </font>
    <font>
      <b/>
      <sz val="18"/>
      <name val="Arial"/>
      <family val="2"/>
    </font>
    <font>
      <b/>
      <sz val="14"/>
      <color indexed="9"/>
      <name val="Arial"/>
      <family val="2"/>
    </font>
    <font>
      <sz val="10"/>
      <color indexed="9"/>
      <name val="Arial"/>
      <family val="2"/>
    </font>
    <font>
      <sz val="10"/>
      <color indexed="55"/>
      <name val="Arial"/>
      <family val="2"/>
    </font>
    <font>
      <b/>
      <sz val="8"/>
      <name val="Arial"/>
      <family val="2"/>
    </font>
    <font>
      <sz val="14"/>
      <name val="Arial"/>
      <family val="2"/>
    </font>
    <font>
      <b/>
      <sz val="9"/>
      <name val="Arial"/>
      <family val="2"/>
    </font>
    <font>
      <sz val="9"/>
      <name val="Arial"/>
      <family val="2"/>
    </font>
    <font>
      <sz val="18"/>
      <name val="Arial"/>
      <family val="2"/>
    </font>
    <font>
      <b/>
      <sz val="10"/>
      <name val="Arial"/>
      <family val="2"/>
    </font>
    <font>
      <sz val="12"/>
      <name val="Arial"/>
      <family val="2"/>
    </font>
    <font>
      <sz val="7"/>
      <name val="Webdings"/>
      <family val="1"/>
      <charset val="2"/>
    </font>
    <font>
      <sz val="8"/>
      <name val="Arial"/>
      <family val="2"/>
    </font>
    <font>
      <b/>
      <sz val="12"/>
      <name val="Arial"/>
      <family val="2"/>
    </font>
    <font>
      <sz val="10"/>
      <name val="Webdings"/>
      <family val="1"/>
      <charset val="2"/>
    </font>
    <font>
      <sz val="11"/>
      <name val="Arial"/>
      <family val="2"/>
    </font>
    <font>
      <b/>
      <sz val="11"/>
      <name val="Arial"/>
      <family val="2"/>
    </font>
    <font>
      <b/>
      <sz val="11"/>
      <name val="Arial"/>
      <family val="2"/>
    </font>
    <font>
      <sz val="13"/>
      <name val="Arial"/>
      <family val="2"/>
    </font>
    <font>
      <b/>
      <sz val="13"/>
      <name val="Arial"/>
      <family val="2"/>
    </font>
    <font>
      <sz val="10"/>
      <name val="Webdings"/>
      <family val="1"/>
      <charset val="2"/>
    </font>
    <font>
      <u/>
      <sz val="10"/>
      <color indexed="39"/>
      <name val="Arial"/>
      <family val="2"/>
    </font>
    <font>
      <sz val="24"/>
      <color indexed="9"/>
      <name val="Arial"/>
      <family val="2"/>
    </font>
    <font>
      <b/>
      <sz val="14"/>
      <name val="Arial"/>
      <family val="2"/>
    </font>
    <font>
      <b/>
      <sz val="14"/>
      <color indexed="8"/>
      <name val="Arial"/>
      <family val="2"/>
    </font>
    <font>
      <sz val="10"/>
      <color indexed="8"/>
      <name val="Arial"/>
      <family val="2"/>
    </font>
    <font>
      <b/>
      <sz val="9"/>
      <color indexed="8"/>
      <name val="Arial"/>
      <family val="2"/>
    </font>
    <font>
      <sz val="10"/>
      <color indexed="9"/>
      <name val="Arial"/>
      <family val="2"/>
    </font>
    <font>
      <b/>
      <sz val="14"/>
      <color indexed="9"/>
      <name val="Arial"/>
      <family val="2"/>
    </font>
    <font>
      <b/>
      <sz val="13"/>
      <color indexed="9"/>
      <name val="Arial"/>
      <family val="2"/>
    </font>
    <font>
      <b/>
      <sz val="16"/>
      <color indexed="9"/>
      <name val="Arial"/>
      <family val="2"/>
    </font>
    <font>
      <sz val="11"/>
      <color indexed="55"/>
      <name val="Arial"/>
      <family val="2"/>
    </font>
    <font>
      <sz val="10"/>
      <name val="Arial"/>
      <family val="2"/>
    </font>
    <font>
      <b/>
      <sz val="16"/>
      <name val="Arial"/>
      <family val="2"/>
    </font>
    <font>
      <sz val="13"/>
      <color indexed="9"/>
      <name val="Arial"/>
      <family val="2"/>
    </font>
    <font>
      <b/>
      <sz val="12"/>
      <color indexed="38"/>
      <name val="Arial"/>
      <family val="2"/>
    </font>
    <font>
      <sz val="9"/>
      <color indexed="9"/>
      <name val="Arial"/>
      <family val="2"/>
    </font>
    <font>
      <sz val="12"/>
      <color indexed="38"/>
      <name val="Arial"/>
      <family val="2"/>
    </font>
    <font>
      <sz val="24"/>
      <color indexed="9"/>
      <name val="Arial"/>
      <family val="2"/>
    </font>
    <font>
      <b/>
      <sz val="10"/>
      <color indexed="9"/>
      <name val="Arial"/>
      <family val="2"/>
    </font>
    <font>
      <sz val="8"/>
      <color indexed="9"/>
      <name val="Arial"/>
      <family val="2"/>
    </font>
    <font>
      <sz val="19"/>
      <color indexed="9"/>
      <name val="Arial"/>
      <family val="2"/>
    </font>
    <font>
      <sz val="10"/>
      <name val="Arial"/>
      <family val="2"/>
    </font>
    <font>
      <u/>
      <sz val="11"/>
      <name val="Arial"/>
      <family val="2"/>
    </font>
    <font>
      <b/>
      <i/>
      <sz val="10"/>
      <color indexed="10"/>
      <name val="Arial"/>
      <family val="2"/>
    </font>
    <font>
      <b/>
      <i/>
      <sz val="9"/>
      <color indexed="10"/>
      <name val="Arial"/>
      <family val="2"/>
    </font>
    <font>
      <sz val="11"/>
      <color theme="1"/>
      <name val="Calibri"/>
      <family val="2"/>
      <scheme val="minor"/>
    </font>
    <font>
      <u/>
      <sz val="11"/>
      <color theme="10"/>
      <name val="Calibri"/>
      <family val="2"/>
      <scheme val="minor"/>
    </font>
    <font>
      <sz val="11"/>
      <color rgb="FFFF0000"/>
      <name val="Calibri"/>
      <family val="2"/>
      <scheme val="minor"/>
    </font>
    <font>
      <b/>
      <sz val="18"/>
      <color theme="1"/>
      <name val="Arial"/>
      <family val="2"/>
    </font>
    <font>
      <sz val="18"/>
      <color theme="1"/>
      <name val="Arial"/>
      <family val="2"/>
    </font>
    <font>
      <b/>
      <sz val="11"/>
      <color theme="1"/>
      <name val="Arial"/>
      <family val="2"/>
    </font>
    <font>
      <sz val="11"/>
      <color theme="1"/>
      <name val="Arial"/>
      <family val="2"/>
    </font>
    <font>
      <u/>
      <color rgb="FF0000FF"/>
    </font>
    <font>
      <color rgb="FFFFFFFF"/>
    </font>
    <font>
      <color rgb="FFA0A0A0"/>
    </font>
    <font/>
  </fonts>
  <fills count="18">
    <fill>
      <patternFill patternType="none"/>
    </fill>
    <fill>
      <patternFill patternType="gray125"/>
    </fill>
    <fill>
      <patternFill patternType="solid">
        <fgColor indexed="59"/>
      </patternFill>
    </fill>
    <fill>
      <patternFill patternType="solid">
        <fgColor indexed="9"/>
      </patternFill>
    </fill>
    <fill>
      <patternFill patternType="solid">
        <fgColor indexed="63"/>
      </patternFill>
    </fill>
    <fill>
      <patternFill patternType="solid">
        <fgColor indexed="55"/>
      </patternFill>
    </fill>
    <fill>
      <patternFill patternType="solid">
        <fgColor indexed="22"/>
      </patternFill>
    </fill>
    <fill>
      <patternFill patternType="solid">
        <fgColor indexed="61"/>
      </patternFill>
    </fill>
    <fill>
      <patternFill patternType="solid">
        <fgColor indexed="60"/>
      </patternFill>
    </fill>
    <fill>
      <patternFill patternType="solid">
        <fgColor indexed="57"/>
      </patternFill>
    </fill>
    <fill>
      <patternFill patternType="solid">
        <fgColor indexed="31"/>
      </patternFill>
    </fill>
    <fill>
      <patternFill patternType="solid">
        <fgColor indexed="39"/>
      </patternFill>
    </fill>
    <fill>
      <patternFill patternType="solid">
        <fgColor indexed="45"/>
      </patternFill>
    </fill>
    <fill>
      <patternFill patternType="solid">
        <fgColor theme="0"/>
      </patternFill>
    </fill>
    <fill>
      <patternFill patternType="solid">
        <fgColor rgb="FFFFFFFF"/>
      </patternFill>
    </fill>
    <fill>
      <patternFill patternType="solid">
        <fgColor rgb="FFFFFFFF"/>
      </patternFill>
    </fill>
    <fill>
      <patternFill patternType="solid">
        <fgColor rgb="FFA0A0A0"/>
      </patternFill>
    </fill>
    <fill>
      <patternFill patternType="solid">
        <fgColor rgb="FFEAEAEA"/>
      </patternFill>
    </fill>
  </fills>
  <borders count="71">
    <border>
      <left>
        <color/>
      </left>
      <right>
        <color/>
      </right>
      <top>
        <color/>
      </top>
      <bottom>
        <color/>
      </bottom>
      <diagonal>
        <color/>
      </diagonal>
    </border>
    <border>
      <left style="thin">
        <color indexed="39"/>
      </left>
      <right style="thin">
        <color indexed="39"/>
      </right>
      <top style="thin">
        <color indexed="39"/>
      </top>
      <bottom style="thin">
        <color indexed="39"/>
      </bottom>
      <diagonal>
        <color/>
      </diagonal>
    </border>
    <border>
      <left style="thin">
        <color indexed="55"/>
      </left>
      <right style="thin">
        <color indexed="55"/>
      </right>
      <top style="thin">
        <color indexed="55"/>
      </top>
      <bottom style="thin">
        <color indexed="55"/>
      </bottom>
      <diagonal>
        <color/>
      </diagonal>
    </border>
    <border>
      <left>
        <color/>
      </left>
      <right>
        <color/>
      </right>
      <top style="thin">
        <color indexed="55"/>
      </top>
      <bottom style="thin">
        <color indexed="55"/>
      </bottom>
      <diagonal>
        <color/>
      </diagonal>
    </border>
    <border>
      <left style="thin">
        <color indexed="55"/>
      </left>
      <right>
        <color/>
      </right>
      <top style="thin">
        <color indexed="55"/>
      </top>
      <bottom style="thin">
        <color indexed="55"/>
      </bottom>
      <diagonal>
        <color/>
      </diagonal>
    </border>
    <border>
      <left>
        <color/>
      </left>
      <right style="thin">
        <color indexed="55"/>
      </right>
      <top style="thin">
        <color indexed="55"/>
      </top>
      <bottom style="thin">
        <color indexed="55"/>
      </bottom>
      <diagonal>
        <color/>
      </diagonal>
    </border>
    <border>
      <left style="medium">
        <color indexed="64"/>
      </left>
      <right>
        <color/>
      </right>
      <top>
        <color/>
      </top>
      <bottom>
        <color/>
      </bottom>
      <diagonal>
        <color/>
      </diagonal>
    </border>
    <border>
      <left>
        <color/>
      </left>
      <right style="medium">
        <color indexed="64"/>
      </right>
      <top>
        <color/>
      </top>
      <bottom>
        <color/>
      </bottom>
      <diagonal>
        <color/>
      </diagonal>
    </border>
    <border>
      <left>
        <color/>
      </left>
      <right style="thin">
        <color indexed="55"/>
      </right>
      <top>
        <color/>
      </top>
      <bottom>
        <color/>
      </bottom>
      <diagonal>
        <color/>
      </diagonal>
    </border>
    <border>
      <left>
        <color/>
      </left>
      <right style="thin">
        <color indexed="55"/>
      </right>
      <top>
        <color/>
      </top>
      <bottom style="thin">
        <color indexed="55"/>
      </bottom>
      <diagonal>
        <color/>
      </diagonal>
    </border>
    <border>
      <left>
        <color/>
      </left>
      <right style="thin">
        <color indexed="55"/>
      </right>
      <top style="thin">
        <color indexed="55"/>
      </top>
      <bottom>
        <color/>
      </bottom>
      <diagonal>
        <color/>
      </diagonal>
    </border>
    <border>
      <left>
        <color/>
      </left>
      <right>
        <color/>
      </right>
      <top>
        <color/>
      </top>
      <bottom style="thin">
        <color indexed="55"/>
      </bottom>
      <diagonal>
        <color/>
      </diagonal>
    </border>
    <border>
      <left>
        <color/>
      </left>
      <right>
        <color/>
      </right>
      <top style="thin">
        <color indexed="55"/>
      </top>
      <bottom>
        <color/>
      </bottom>
      <diagonal>
        <color/>
      </diagonal>
    </border>
    <border>
      <left style="thin">
        <color indexed="22"/>
      </left>
      <right>
        <color/>
      </right>
      <top style="thin">
        <color indexed="22"/>
      </top>
      <bottom>
        <color/>
      </bottom>
      <diagonal>
        <color/>
      </diagonal>
    </border>
    <border>
      <left style="thin">
        <color indexed="22"/>
      </left>
      <right>
        <color/>
      </right>
      <top>
        <color/>
      </top>
      <bottom>
        <color/>
      </bottom>
      <diagonal>
        <color/>
      </diagonal>
    </border>
    <border>
      <left style="thin">
        <color indexed="22"/>
      </left>
      <right>
        <color/>
      </right>
      <top>
        <color/>
      </top>
      <bottom style="thin">
        <color indexed="22"/>
      </bottom>
      <diagonal>
        <color/>
      </diagonal>
    </border>
    <border>
      <left style="medium">
        <color indexed="64"/>
      </left>
      <right>
        <color/>
      </right>
      <top>
        <color/>
      </top>
      <bottom style="medium">
        <color indexed="64"/>
      </bottom>
      <diagonal>
        <color/>
      </diagonal>
    </border>
    <border>
      <left>
        <color/>
      </left>
      <right>
        <color/>
      </right>
      <top>
        <color/>
      </top>
      <bottom style="medium">
        <color indexed="64"/>
      </bottom>
      <diagonal>
        <color/>
      </diagonal>
    </border>
    <border>
      <left>
        <color/>
      </left>
      <right style="medium">
        <color indexed="64"/>
      </right>
      <top>
        <color/>
      </top>
      <bottom style="medium">
        <color indexed="64"/>
      </bottom>
      <diagonal>
        <color/>
      </diagonal>
    </border>
    <border>
      <left>
        <color/>
      </left>
      <right>
        <color/>
      </right>
      <top>
        <color/>
      </top>
      <bottom style="thin">
        <color indexed="64"/>
      </bottom>
      <diagonal>
        <color/>
      </diagonal>
    </border>
    <border>
      <left style="thin">
        <color indexed="64"/>
      </left>
      <right>
        <color/>
      </right>
      <top>
        <color/>
      </top>
      <bottom>
        <color/>
      </bottom>
      <diagonal>
        <color/>
      </diagonal>
    </border>
    <border>
      <left style="thin">
        <color indexed="64"/>
      </left>
      <right>
        <color/>
      </right>
      <top>
        <color/>
      </top>
      <bottom style="thin">
        <color indexed="64"/>
      </bottom>
      <diagonal>
        <color/>
      </diagonal>
    </border>
    <border>
      <left style="thin">
        <color indexed="39"/>
      </left>
      <right>
        <color/>
      </right>
      <top>
        <color/>
      </top>
      <bottom>
        <color/>
      </bottom>
      <diagonal>
        <color/>
      </diagonal>
    </border>
    <border>
      <left>
        <color/>
      </left>
      <right style="thin">
        <color indexed="39"/>
      </right>
      <top>
        <color/>
      </top>
      <bottom>
        <color/>
      </bottom>
      <diagonal>
        <color/>
      </diagonal>
    </border>
    <border>
      <left style="thin">
        <color indexed="39"/>
      </left>
      <right>
        <color/>
      </right>
      <top style="thin">
        <color indexed="39"/>
      </top>
      <bottom>
        <color/>
      </bottom>
      <diagonal>
        <color/>
      </diagonal>
    </border>
    <border>
      <left>
        <color/>
      </left>
      <right>
        <color/>
      </right>
      <top style="thin">
        <color indexed="39"/>
      </top>
      <bottom>
        <color/>
      </bottom>
      <diagonal>
        <color/>
      </diagonal>
    </border>
    <border>
      <left>
        <color/>
      </left>
      <right style="thin">
        <color indexed="39"/>
      </right>
      <top style="thin">
        <color indexed="39"/>
      </top>
      <bottom>
        <color/>
      </bottom>
      <diagonal>
        <color/>
      </diagonal>
    </border>
    <border>
      <left style="thin">
        <color indexed="39"/>
      </left>
      <right>
        <color/>
      </right>
      <top>
        <color/>
      </top>
      <bottom style="thin">
        <color indexed="39"/>
      </bottom>
      <diagonal>
        <color/>
      </diagonal>
    </border>
    <border>
      <left>
        <color/>
      </left>
      <right>
        <color/>
      </right>
      <top>
        <color/>
      </top>
      <bottom style="thin">
        <color indexed="39"/>
      </bottom>
      <diagonal>
        <color/>
      </diagonal>
    </border>
    <border>
      <left>
        <color/>
      </left>
      <right style="thin">
        <color indexed="39"/>
      </right>
      <top>
        <color/>
      </top>
      <bottom style="thin">
        <color indexed="39"/>
      </bottom>
      <diagonal>
        <color/>
      </diagonal>
    </border>
    <border>
      <left style="thin">
        <color indexed="39"/>
      </left>
      <right>
        <color/>
      </right>
      <top style="thin">
        <color indexed="39"/>
      </top>
      <bottom style="thin">
        <color indexed="39"/>
      </bottom>
      <diagonal>
        <color/>
      </diagonal>
    </border>
    <border>
      <left>
        <color/>
      </left>
      <right>
        <color/>
      </right>
      <top style="thin">
        <color indexed="39"/>
      </top>
      <bottom style="thin">
        <color indexed="39"/>
      </bottom>
      <diagonal>
        <color/>
      </diagonal>
    </border>
    <border>
      <left>
        <color/>
      </left>
      <right style="thin">
        <color indexed="39"/>
      </right>
      <top style="thin">
        <color indexed="39"/>
      </top>
      <bottom style="thin">
        <color indexed="39"/>
      </bottom>
      <diagonal>
        <color/>
      </diagonal>
    </border>
    <border>
      <left style="thin">
        <color indexed="39"/>
      </left>
      <right style="thin">
        <color indexed="39"/>
      </right>
      <top style="thin">
        <color indexed="39"/>
      </top>
      <bottom>
        <color/>
      </bottom>
      <diagonal>
        <color/>
      </diagonal>
    </border>
    <border>
      <left style="thin">
        <color indexed="39"/>
      </left>
      <right style="thin">
        <color indexed="39"/>
      </right>
      <top>
        <color/>
      </top>
      <bottom>
        <color/>
      </bottom>
      <diagonal>
        <color/>
      </diagonal>
    </border>
    <border>
      <left style="thin">
        <color indexed="39"/>
      </left>
      <right style="thin">
        <color indexed="39"/>
      </right>
      <top>
        <color/>
      </top>
      <bottom style="thin">
        <color indexed="39"/>
      </bottom>
      <diagonal>
        <color/>
      </diagonal>
    </border>
    <border>
      <left style="medium">
        <color indexed="64"/>
      </left>
      <right>
        <color/>
      </right>
      <top style="thin">
        <color indexed="39"/>
      </top>
      <bottom>
        <color/>
      </bottom>
      <diagonal>
        <color/>
      </diagonal>
    </border>
    <border>
      <left style="medium">
        <color indexed="64"/>
      </left>
      <right>
        <color/>
      </right>
      <top>
        <color/>
      </top>
      <bottom style="thin">
        <color indexed="39"/>
      </bottom>
      <diagonal>
        <color/>
      </diagonal>
    </border>
    <border>
      <left>
        <color/>
      </left>
      <right style="medium">
        <color indexed="64"/>
      </right>
      <top style="thin">
        <color indexed="39"/>
      </top>
      <bottom>
        <color/>
      </bottom>
      <diagonal>
        <color/>
      </diagonal>
    </border>
    <border>
      <left>
        <color/>
      </left>
      <right style="medium">
        <color indexed="64"/>
      </right>
      <top>
        <color/>
      </top>
      <bottom style="thin">
        <color indexed="39"/>
      </bottom>
      <diagonal>
        <color/>
      </diagonal>
    </border>
    <border>
      <left style="medium">
        <color indexed="64"/>
      </left>
      <right>
        <color/>
      </right>
      <top style="thin">
        <color indexed="39"/>
      </top>
      <bottom style="thin">
        <color indexed="39"/>
      </bottom>
      <diagonal>
        <color/>
      </diagonal>
    </border>
    <border>
      <left>
        <color/>
      </left>
      <right style="medium">
        <color indexed="64"/>
      </right>
      <top style="thin">
        <color indexed="39"/>
      </top>
      <bottom style="thin">
        <color indexed="39"/>
      </bottom>
      <diagonal>
        <color/>
      </diagonal>
    </border>
    <border>
      <left style="medium">
        <color indexed="64"/>
      </left>
      <right>
        <color/>
      </right>
      <top style="medium">
        <color indexed="64"/>
      </top>
      <bottom>
        <color/>
      </bottom>
      <diagonal>
        <color/>
      </diagonal>
    </border>
    <border>
      <left>
        <color/>
      </left>
      <right>
        <color/>
      </right>
      <top style="medium">
        <color indexed="64"/>
      </top>
      <bottom>
        <color/>
      </bottom>
      <diagonal>
        <color/>
      </diagonal>
    </border>
    <border>
      <left>
        <color/>
      </left>
      <right style="medium">
        <color indexed="64"/>
      </right>
      <top style="medium">
        <color indexed="64"/>
      </top>
      <bottom>
        <color/>
      </bottom>
      <diagonal>
        <color/>
      </diagonal>
    </border>
    <border>
      <left style="medium">
        <color indexed="64"/>
      </left>
      <right style="medium">
        <color indexed="64"/>
      </right>
      <top style="medium">
        <color indexed="64"/>
      </top>
      <bottom>
        <color/>
      </bottom>
      <diagonal>
        <color/>
      </diagonal>
    </border>
    <border>
      <left style="medium">
        <color indexed="64"/>
      </left>
      <right style="medium">
        <color indexed="64"/>
      </right>
      <top>
        <color/>
      </top>
      <bottom>
        <color/>
      </bottom>
      <diagonal>
        <color/>
      </diagonal>
    </border>
    <border diagonalUp="0" diagonalDown="0">
      <left>
        <color auto="1" indexed="64"/>
      </left>
      <right>
        <color auto="1" indexed="64"/>
      </right>
      <top>
        <color auto="1" indexed="64"/>
      </top>
      <bottom>
        <color auto="1" indexed="64"/>
      </bottom>
      <diagonal>
        <color/>
      </diagonal>
    </border>
    <border diagonalUp="1" diagonalDown="1">
      <left>
        <color rgb="FFFFFFFF"/>
      </left>
      <right>
        <color rgb="FFFFFFFF"/>
      </right>
      <top>
        <color rgb="FFFFFFFF"/>
      </top>
      <bottom>
        <color rgb="FFFFFFFF"/>
      </bottom>
      <diagonal>
        <color rgb="FFFFFFFF"/>
      </diagonal>
    </border>
    <border>
      <left style="thin">
        <color rgb="FFA0A0A0"/>
      </left>
      <right>
        <color/>
      </right>
      <top style="thin">
        <color indexed="39"/>
      </top>
      <bottom>
        <color/>
      </bottom>
      <diagonal>
        <color/>
      </diagonal>
    </border>
    <border>
      <left style="thin">
        <color rgb="FFA0A0A0"/>
      </left>
      <right>
        <color/>
      </right>
      <top>
        <color/>
      </top>
      <bottom>
        <color/>
      </bottom>
      <diagonal>
        <color/>
      </diagonal>
    </border>
    <border>
      <left style="thin">
        <color rgb="FFA0A0A0"/>
      </left>
      <right>
        <color/>
      </right>
      <top>
        <color/>
      </top>
      <bottom style="thin">
        <color indexed="39"/>
      </bottom>
      <diagonal>
        <color/>
      </diagonal>
    </border>
    <border>
      <left style="thin">
        <color indexed="39"/>
      </left>
      <right>
        <color/>
      </right>
      <top style="thin">
        <color rgb="FFA0A0A0"/>
      </top>
      <bottom>
        <color/>
      </bottom>
      <diagonal>
        <color/>
      </diagonal>
    </border>
    <border>
      <left>
        <color/>
      </left>
      <right>
        <color/>
      </right>
      <top style="thin">
        <color rgb="FFA0A0A0"/>
      </top>
      <bottom>
        <color/>
      </bottom>
      <diagonal>
        <color/>
      </diagonal>
    </border>
    <border>
      <left>
        <color/>
      </left>
      <right style="thin">
        <color indexed="39"/>
      </right>
      <top style="thin">
        <color rgb="FFA0A0A0"/>
      </top>
      <bottom>
        <color/>
      </bottom>
      <diagonal>
        <color/>
      </diagonal>
    </border>
    <border diagonalUp="0" diagonalDown="0">
      <left style="thin">
        <color indexed="39"/>
      </left>
      <right style="thin">
        <color indexed="39"/>
      </right>
      <top style="thin">
        <color indexed="39"/>
      </top>
      <bottom>
        <color auto="1" indexed="64"/>
      </bottom>
      <diagonal>
        <color/>
      </diagonal>
    </border>
    <border diagonalUp="0" diagonalDown="0">
      <left style="thin">
        <color indexed="39"/>
      </left>
      <right style="thin">
        <color indexed="39"/>
      </right>
      <top>
        <color auto="1" indexed="64"/>
      </top>
      <bottom style="thin">
        <color indexed="39"/>
      </bottom>
      <diagonal>
        <color/>
      </diagonal>
    </border>
    <border diagonalUp="0" diagonalDown="0">
      <left>
        <color auto="1" indexed="64"/>
      </left>
      <right style="thin">
        <color indexed="55"/>
      </right>
      <top>
        <color auto="1" indexed="64"/>
      </top>
      <bottom style="thin">
        <color indexed="55"/>
      </bottom>
      <diagonal>
        <color/>
      </diagonal>
    </border>
    <border>
      <left>
        <color/>
      </left>
      <right style="thin">
        <color indexed="55"/>
      </right>
      <top style="thin">
        <color rgb="FFA0A0A0"/>
      </top>
      <bottom>
        <color/>
      </bottom>
      <diagonal>
        <color/>
      </diagonal>
    </border>
    <border diagonalUp="0" diagonalDown="0">
      <left style="thin">
        <color indexed="39"/>
      </left>
      <right>
        <color auto="1" indexed="64"/>
      </right>
      <top style="thin">
        <color indexed="39"/>
      </top>
      <bottom>
        <color auto="1" indexed="64"/>
      </bottom>
      <diagonal>
        <color/>
      </diagonal>
    </border>
    <border diagonalUp="0" diagonalDown="0">
      <left>
        <color auto="1" indexed="64"/>
      </left>
      <right>
        <color auto="1" indexed="64"/>
      </right>
      <top style="thin">
        <color indexed="39"/>
      </top>
      <bottom>
        <color auto="1" indexed="64"/>
      </bottom>
      <diagonal>
        <color/>
      </diagonal>
    </border>
    <border diagonalUp="0" diagonalDown="0">
      <left>
        <color auto="1" indexed="64"/>
      </left>
      <right style="thin">
        <color indexed="39"/>
      </right>
      <top style="thin">
        <color indexed="39"/>
      </top>
      <bottom>
        <color auto="1" indexed="64"/>
      </bottom>
      <diagonal>
        <color/>
      </diagonal>
    </border>
    <border diagonalUp="0" diagonalDown="0">
      <left style="thin">
        <color indexed="39"/>
      </left>
      <right>
        <color auto="1" indexed="64"/>
      </right>
      <top>
        <color auto="1" indexed="64"/>
      </top>
      <bottom>
        <color auto="1" indexed="64"/>
      </bottom>
      <diagonal>
        <color/>
      </diagonal>
    </border>
    <border diagonalUp="0" diagonalDown="0">
      <left>
        <color auto="1" indexed="64"/>
      </left>
      <right style="thin">
        <color indexed="39"/>
      </right>
      <top>
        <color auto="1" indexed="64"/>
      </top>
      <bottom>
        <color auto="1" indexed="64"/>
      </bottom>
      <diagonal>
        <color/>
      </diagonal>
    </border>
    <border diagonalUp="0" diagonalDown="0">
      <left style="thin">
        <color indexed="39"/>
      </left>
      <right>
        <color auto="1" indexed="64"/>
      </right>
      <top>
        <color auto="1" indexed="64"/>
      </top>
      <bottom style="thin">
        <color indexed="39"/>
      </bottom>
      <diagonal>
        <color/>
      </diagonal>
    </border>
    <border diagonalUp="0" diagonalDown="0">
      <left>
        <color auto="1" indexed="64"/>
      </left>
      <right>
        <color auto="1" indexed="64"/>
      </right>
      <top>
        <color auto="1" indexed="64"/>
      </top>
      <bottom style="thin">
        <color indexed="39"/>
      </bottom>
      <diagonal>
        <color/>
      </diagonal>
    </border>
    <border diagonalUp="0" diagonalDown="0">
      <left>
        <color auto="1" indexed="64"/>
      </left>
      <right style="thin">
        <color indexed="39"/>
      </right>
      <top>
        <color auto="1" indexed="64"/>
      </top>
      <bottom style="thin">
        <color indexed="39"/>
      </bottom>
      <diagonal>
        <color/>
      </diagonal>
    </border>
    <border diagonalUp="1" diagonalDown="1">
      <left style="thin">
        <color rgb="FFA0A0A0"/>
      </left>
      <right style="thin">
        <color rgb="FFA0A0A0"/>
      </right>
      <top style="thin">
        <color rgb="FFA0A0A0"/>
      </top>
      <bottom style="thin">
        <color rgb="FFA0A0A0"/>
      </bottom>
      <diagonal>
        <color rgb="FFA0A0A0"/>
      </diagonal>
    </border>
    <border diagonalUp="1" diagonalDown="1">
      <left style="thin">
        <color rgb="FFA0A0A0"/>
      </left>
      <right>
        <color rgb="FFA0A0A0"/>
      </right>
      <top style="thin">
        <color rgb="FFA0A0A0"/>
      </top>
      <bottom style="thin">
        <color rgb="FFA0A0A0"/>
      </bottom>
      <diagonal>
        <color rgb="FFA0A0A0"/>
      </diagonal>
    </border>
    <border diagonalUp="1" diagonalDown="1">
      <left>
        <color rgb="FFA0A0A0"/>
      </left>
      <right>
        <color rgb="FFA0A0A0"/>
      </right>
      <top style="thin">
        <color rgb="FFA0A0A0"/>
      </top>
      <bottom style="thin">
        <color rgb="FFA0A0A0"/>
      </bottom>
      <diagonal>
        <color rgb="FFA0A0A0"/>
      </diagonal>
    </border>
    <border diagonalUp="1" diagonalDown="1">
      <left>
        <color rgb="FFA0A0A0"/>
      </left>
      <right style="thin">
        <color rgb="FFA0A0A0"/>
      </right>
      <top style="thin">
        <color rgb="FFA0A0A0"/>
      </top>
      <bottom style="thin">
        <color rgb="FFA0A0A0"/>
      </bottom>
      <diagonal>
        <color rgb="FFA0A0A0"/>
      </diagonal>
    </border>
  </borders>
  <cellStyleXfs count="176">
    <xf numFmtId="0" fontId="1" fillId="0" borderId="0" applyFont="1" applyFill="1"/>
    <xf numFmtId="43" fontId="1" fillId="0" borderId="0" applyNumberFormat="1" applyFont="1" applyFill="1" applyBorder="0"/>
    <xf numFmtId="43" fontId="1" fillId="0" borderId="0" applyNumberFormat="1" applyFont="1" applyFill="1" applyBorder="0"/>
    <xf numFmtId="44" fontId="1" fillId="0" borderId="0" applyNumberFormat="1" applyFont="1" applyFill="1" applyBorder="0"/>
    <xf numFmtId="0" fontId="1" fillId="0" borderId="0" applyFont="1" applyFill="1"/>
    <xf numFmtId="43" fontId="1" fillId="0" borderId="0" applyNumberFormat="1" applyFont="1" applyFill="1" applyBorder="0"/>
    <xf numFmtId="41" fontId="1" fillId="0" borderId="0" applyNumberFormat="1" applyFont="1" applyFill="1" applyBorder="0"/>
    <xf numFmtId="44" fontId="1" fillId="0" borderId="0" applyNumberFormat="1" applyFont="1" applyFill="1" applyBorder="0"/>
    <xf numFmtId="42" fontId="1" fillId="0" borderId="0" applyNumberFormat="1" applyFont="1" applyFill="1" applyBorder="0"/>
    <xf numFmtId="0" fontId="2" fillId="0" borderId="0" applyNumberFormat="0" applyFont="1" applyFill="1" applyBorder="0"/>
    <xf numFmtId="0" fontId="48" fillId="0" borderId="0" applyNumberFormat="0" applyFont="1" applyFill="1" applyBorder="0"/>
    <xf numFmtId="9" fontId="1" fillId="0" borderId="0" applyNumberFormat="1" applyFont="1" applyFill="1" applyBorder="0"/>
    <xf numFmtId="0" fontId="2" fillId="0" borderId="0" applyNumberFormat="0" applyFont="1" applyFill="1" applyBorder="0"/>
    <xf numFmtId="0" fontId="48" fillId="0" borderId="0" applyNumberFormat="0" applyFont="1" applyFill="1" applyBorder="0"/>
    <xf numFmtId="9" fontId="1" fillId="0" borderId="0" applyNumberFormat="1" applyFont="1" applyFill="1" applyBorder="0"/>
    <xf numFmtId="0" fontId="2" fillId="0" borderId="0" applyNumberFormat="0" applyFont="1" applyFill="1" applyBorder="0"/>
    <xf numFmtId="0" fontId="48" fillId="0" borderId="0" applyNumberFormat="0" applyFont="1" applyFill="1" applyBorder="0"/>
    <xf numFmtId="9" fontId="1" fillId="0" borderId="0" applyNumberFormat="1" applyFont="1" applyFill="1" applyBorder="0"/>
    <xf numFmtId="0" fontId="2" fillId="0" borderId="0" applyNumberFormat="0" applyFont="1" applyFill="1" applyBorder="0"/>
    <xf numFmtId="0" fontId="48" fillId="0" borderId="0" applyNumberFormat="0" applyFont="1" applyFill="1" applyBorder="0"/>
    <xf numFmtId="9" fontId="1" fillId="0" borderId="0" applyNumberFormat="1" applyFont="1" applyFill="1" applyBorder="0"/>
    <xf numFmtId="0" fontId="2" fillId="0" borderId="0" applyNumberFormat="0" applyFont="1" applyFill="1" applyBorder="0"/>
    <xf numFmtId="0" fontId="48" fillId="0" borderId="0" applyNumberFormat="0" applyFont="1" applyFill="1" applyBorder="0"/>
    <xf numFmtId="9" fontId="1" fillId="0" borderId="0" applyNumberFormat="1" applyFont="1" applyFill="1" applyBorder="0"/>
    <xf numFmtId="0" fontId="74" fillId="0" borderId="0" applyNumberFormat="0" applyFont="1" applyFill="1" applyBorder="0"/>
    <xf numFmtId="0" fontId="73" fillId="0" borderId="0" applyFont="1" applyFill="1"/>
    <xf numFmtId="9" fontId="1" fillId="0" borderId="0" applyNumberFormat="1" applyFont="1" applyFill="1" applyBorder="0"/>
    <xf numFmtId="0" fontId="65" fillId="2" borderId="0" applyNumberFormat="0" applyFont="1" applyFill="1" applyBorder="0" applyAlignment="1">
      <alignment horizontal="center" wrapText="1"/>
    </xf>
    <xf numFmtId="0" fontId="54" fillId="3" borderId="0" applyNumberFormat="0" applyFont="1" applyFill="1"/>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60" fillId="3" borderId="5" applyNumberFormat="0" applyFont="1" applyFill="1" applyBorder="1" applyAlignment="1">
      <alignment horizontal="center" vertical="center"/>
    </xf>
    <xf numFmtId="0" fontId="60" fillId="4" borderId="5" applyNumberFormat="0" applyFont="1" applyFill="1" applyBorder="1" applyAlignment="1">
      <alignment horizontal="center" vertical="center"/>
    </xf>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65" fillId="2" borderId="0" applyNumberFormat="0" applyFont="1" applyFill="1" applyBorder="0" applyAlignment="1">
      <alignment horizontal="center" wrapText="1"/>
    </xf>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60" fillId="3" borderId="5" applyNumberFormat="0" applyFont="1" applyFill="1" applyBorder="1" applyAlignment="1">
      <alignment horizontal="center" vertical="center"/>
    </xf>
    <xf numFmtId="0" fontId="60" fillId="4" borderId="5" applyNumberFormat="0" applyFont="1" applyFill="1" applyBorder="1" applyAlignment="1">
      <alignment horizontal="center" vertical="center"/>
    </xf>
    <xf numFmtId="0" fontId="65" fillId="2" borderId="0" applyNumberFormat="0" applyFont="1" applyFill="1" applyBorder="0" applyAlignment="1">
      <alignment horizontal="center" wrapText="1"/>
    </xf>
    <xf numFmtId="0" fontId="54" fillId="3" borderId="0" applyNumberFormat="0" applyFont="1" applyFill="1"/>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69" fillId="3" borderId="3" applyNumberFormat="0" applyFont="1" applyFill="1" applyBorder="1"/>
    <xf numFmtId="0" fontId="69" fillId="6" borderId="3" applyNumberFormat="0" applyFont="1" applyFill="1" applyBorder="1"/>
    <xf numFmtId="0" fontId="65" fillId="2" borderId="0" applyNumberFormat="0" applyFont="1" applyFill="1" applyBorder="0" applyAlignment="1">
      <alignment horizontal="center" wrapText="1"/>
    </xf>
    <xf numFmtId="0" fontId="65" fillId="2" borderId="0" applyNumberFormat="0" applyFont="1" applyFill="1" applyBorder="0" applyAlignment="1">
      <alignment horizontal="center" wrapText="1"/>
    </xf>
    <xf numFmtId="0" fontId="1" fillId="3" borderId="2" applyNumberFormat="0" applyFont="1" applyFill="1" applyBorder="1"/>
    <xf numFmtId="0" fontId="1" fillId="3" borderId="3" applyNumberFormat="0" applyFont="1" applyFill="1" applyBorder="1"/>
    <xf numFmtId="0" fontId="1" fillId="3" borderId="4" applyNumberFormat="0" applyFont="1" applyFill="1" applyBorder="1"/>
    <xf numFmtId="0" fontId="1" fillId="3" borderId="5" applyNumberFormat="0" applyFont="1" applyFill="1" applyBorder="1"/>
    <xf numFmtId="0" fontId="1" fillId="6" borderId="2" applyNumberFormat="0" applyFont="1" applyFill="1" applyBorder="1"/>
    <xf numFmtId="0" fontId="1" fillId="6" borderId="3" applyNumberFormat="0" applyFont="1" applyFill="1" applyBorder="1"/>
    <xf numFmtId="0" fontId="1" fillId="6" borderId="4" applyNumberFormat="0" applyFont="1" applyFill="1" applyBorder="1"/>
    <xf numFmtId="0" fontId="1" fillId="6" borderId="5" applyNumberFormat="0" applyFont="1" applyFill="1" applyBorder="1"/>
    <xf numFmtId="0" fontId="1" fillId="3" borderId="2" applyNumberFormat="0" applyFont="1" applyFill="1" applyBorder="1"/>
    <xf numFmtId="0" fontId="1" fillId="3" borderId="3" applyNumberFormat="0" applyFont="1" applyFill="1" applyBorder="1"/>
    <xf numFmtId="0" fontId="1" fillId="3" borderId="4" applyNumberFormat="0" applyFont="1" applyFill="1" applyBorder="1"/>
    <xf numFmtId="0" fontId="1" fillId="3" borderId="5" applyNumberFormat="0" applyFont="1" applyFill="1" applyBorder="1"/>
    <xf numFmtId="0" fontId="1" fillId="4" borderId="2" applyNumberFormat="0" applyFont="1" applyFill="1" applyBorder="1"/>
    <xf numFmtId="0" fontId="1" fillId="4" borderId="3" applyNumberFormat="0" applyFont="1" applyFill="1" applyBorder="1"/>
    <xf numFmtId="0" fontId="1" fillId="4" borderId="4" applyNumberFormat="0" applyFont="1" applyFill="1" applyBorder="1"/>
    <xf numFmtId="0" fontId="1" fillId="4" borderId="5" applyNumberFormat="0" applyFont="1" applyFill="1" applyBorder="1"/>
    <xf numFmtId="0" fontId="65" fillId="2" borderId="0" applyNumberFormat="0" applyFont="1" applyFill="1" applyBorder="0" applyAlignment="1">
      <alignment horizontal="center" wrapText="1"/>
    </xf>
    <xf numFmtId="0" fontId="1" fillId="3" borderId="2" applyNumberFormat="0" applyFont="1" applyFill="1" applyBorder="1" applyAlignment="1">
      <alignment horizontal="left"/>
    </xf>
    <xf numFmtId="0" fontId="1" fillId="3" borderId="3" applyNumberFormat="0" applyFont="1" applyFill="1" applyBorder="1"/>
    <xf numFmtId="0" fontId="1" fillId="3" borderId="4" applyNumberFormat="0" applyFont="1" applyFill="1" applyBorder="1"/>
    <xf numFmtId="0" fontId="1" fillId="3" borderId="5" applyNumberFormat="0" applyFont="1" applyFill="1" applyBorder="1"/>
    <xf numFmtId="0" fontId="1" fillId="4" borderId="2" applyNumberFormat="0" applyFont="1" applyFill="1" applyBorder="1" applyAlignment="1">
      <alignment horizontal="left"/>
    </xf>
    <xf numFmtId="0" fontId="1" fillId="4" borderId="3" applyNumberFormat="0" applyFont="1" applyFill="1" applyBorder="1"/>
    <xf numFmtId="0" fontId="1" fillId="4" borderId="4" applyNumberFormat="0" applyFont="1" applyFill="1" applyBorder="1"/>
    <xf numFmtId="0" fontId="1" fillId="4" borderId="5" applyNumberFormat="0" applyFont="1" applyFill="1" applyBorder="1"/>
    <xf numFmtId="0" fontId="56" fillId="7" borderId="0" applyNumberFormat="0" applyFont="1" applyFill="1" applyBorder="0" applyAlignment="1">
      <alignment horizontal="left"/>
    </xf>
    <xf numFmtId="0" fontId="61" fillId="8" borderId="0" applyNumberFormat="0" applyFont="1" applyFill="1" applyBorder="0" applyAlignment="1">
      <alignment horizontal="center"/>
    </xf>
    <xf numFmtId="0" fontId="65" fillId="2" borderId="0" applyNumberFormat="0" applyFont="1" applyFill="1" applyBorder="0" applyAlignment="1">
      <alignment horizontal="center" wrapText="1"/>
    </xf>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54" fillId="3" borderId="0" applyNumberFormat="0" applyFont="1" applyFill="1"/>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65" fillId="2" borderId="0" applyNumberFormat="0" applyFont="1" applyFill="1" applyBorder="0" applyAlignment="1">
      <alignment horizontal="center" wrapText="1"/>
    </xf>
    <xf numFmtId="0" fontId="80" borderId="0" applyFont="1" applyAlignment="1">
      <alignment vertical="top"/>
    </xf>
  </cellStyleXfs>
  <cellXfs count="714">
    <xf numFmtId="0" fontId="1" fillId="0" borderId="0" applyFont="1" applyFill="1"/>
    <xf numFmtId="0" fontId="1" fillId="3" borderId="0" applyFont="1" applyFill="1"/>
    <xf numFmtId="0" fontId="1" fillId="3" borderId="0" applyFont="1" applyFill="1" applyAlignment="1">
      <alignment horizontal="centerContinuous"/>
    </xf>
    <xf numFmtId="0" fontId="1" fillId="3" borderId="0" applyFont="1" applyFill="1" applyAlignment="1">
      <alignment horizontal="center"/>
    </xf>
    <xf numFmtId="0" fontId="69" fillId="0" borderId="0" applyFont="1" applyFill="1"/>
    <xf numFmtId="0" fontId="35" fillId="0" borderId="0" applyFont="1" applyFill="1"/>
    <xf numFmtId="0" fontId="37" fillId="0" borderId="0" applyFont="1" applyFill="1"/>
    <xf numFmtId="164" fontId="37" fillId="3" borderId="0" applyNumberFormat="1" applyFont="1" applyFill="1" applyAlignment="1">
      <alignment horizontal="left"/>
    </xf>
    <xf numFmtId="0" fontId="40" fillId="0" borderId="0" applyFont="1" applyFill="1"/>
    <xf numFmtId="0" fontId="36" fillId="0" borderId="0" applyFont="1" applyFill="1"/>
    <xf numFmtId="164" fontId="69" fillId="3" borderId="0" applyNumberFormat="1" applyFont="1" applyFill="1" applyAlignment="1">
      <alignment horizontal="left"/>
    </xf>
    <xf numFmtId="0" fontId="46" fillId="3" borderId="0" applyFont="1" applyFill="1" applyAlignment="1">
      <alignment horizontal="left"/>
    </xf>
    <xf numFmtId="0" fontId="1" fillId="3" borderId="0" applyFont="1" applyFill="1" applyAlignment="1">
      <alignment horizontal="right"/>
    </xf>
    <xf numFmtId="0" fontId="17" fillId="3" borderId="0" applyFont="1" applyFill="1"/>
    <xf numFmtId="0" fontId="32" fillId="3" borderId="0" applyFont="1" applyFill="1" applyAlignment="1">
      <alignment horizontal="centerContinuous"/>
    </xf>
    <xf numFmtId="0" fontId="32" fillId="3" borderId="0" applyFont="1" applyFill="1" applyAlignment="1">
      <alignment horizontal="right"/>
    </xf>
    <xf numFmtId="0" fontId="7" fillId="3" borderId="0" applyFont="1" applyFill="1" applyAlignment="1">
      <alignment horizontal="right"/>
    </xf>
    <xf numFmtId="0" fontId="42" fillId="3" borderId="0" applyFont="1" applyFill="1" applyAlignment="1">
      <alignment horizontal="left"/>
    </xf>
    <xf numFmtId="44" fontId="69" fillId="3" borderId="0" applyNumberFormat="1" applyFont="1" applyFill="1" applyAlignment="1">
      <alignment horizontal="right"/>
    </xf>
    <xf numFmtId="165" fontId="69" fillId="3" borderId="0" applyNumberFormat="1" applyFont="1" applyFill="1" applyAlignment="1">
      <alignment horizontal="right"/>
    </xf>
    <xf numFmtId="0" fontId="35" fillId="3" borderId="0" applyFont="1" applyFill="1" applyAlignment="1">
      <alignment horizontal="left"/>
    </xf>
    <xf numFmtId="0" fontId="1" fillId="0" borderId="0" applyFont="1" applyFill="1" applyAlignment="1">
      <alignment horizontal="center"/>
    </xf>
    <xf numFmtId="0" fontId="42" fillId="0" borderId="0" applyFont="1" applyFill="1"/>
    <xf numFmtId="0" fontId="69" fillId="0" borderId="0" applyFont="1" applyFill="1" applyAlignment="1">
      <alignment horizontal="center"/>
    </xf>
    <xf numFmtId="0" fontId="33" fillId="3" borderId="0" applyFont="1" applyFill="1" applyAlignment="1">
      <alignment horizontal="right"/>
    </xf>
    <xf numFmtId="0" fontId="52" fillId="0" borderId="0" applyFont="1" applyFill="1"/>
    <xf numFmtId="0" fontId="1" fillId="0" borderId="0" applyFont="1" applyFill="1" applyAlignment="1">
      <alignment horizontal="centerContinuous"/>
    </xf>
    <xf numFmtId="0" fontId="1" fillId="0" borderId="6" applyFont="1" applyFill="1" applyBorder="1"/>
    <xf numFmtId="0" fontId="1" fillId="0" borderId="7" applyFont="1" applyFill="1" applyBorder="1"/>
    <xf numFmtId="0" fontId="50" fillId="0" borderId="0" applyFont="1" applyFill="1"/>
    <xf numFmtId="0" fontId="1" fillId="0" borderId="0" applyFont="1" applyFill="1" applyAlignment="1">
      <alignment horizontal="left"/>
    </xf>
    <xf numFmtId="166" fontId="42" fillId="0" borderId="8" applyNumberFormat="1" applyFont="1" applyFill="1" applyBorder="1" applyAlignment="1">
      <alignment horizontal="center"/>
    </xf>
    <xf numFmtId="166" fontId="42" fillId="10" borderId="8" applyNumberFormat="1" applyFont="1" applyFill="1" applyBorder="1" applyAlignment="1">
      <alignment horizontal="center"/>
    </xf>
    <xf numFmtId="166" fontId="42" fillId="10" borderId="9" applyNumberFormat="1" applyFont="1" applyFill="1" applyBorder="1" applyAlignment="1">
      <alignment horizontal="center"/>
    </xf>
    <xf numFmtId="166" fontId="42" fillId="0" borderId="10" applyNumberFormat="1" applyFont="1" applyFill="1" applyBorder="1" applyAlignment="1">
      <alignment horizontal="center"/>
    </xf>
    <xf numFmtId="166" fontId="42" fillId="0" borderId="0" applyNumberFormat="1" applyFont="1" applyFill="1" applyAlignment="1">
      <alignment horizontal="center"/>
    </xf>
    <xf numFmtId="166" fontId="42" fillId="10" borderId="0" applyNumberFormat="1" applyFont="1" applyFill="1" applyAlignment="1">
      <alignment horizontal="center"/>
    </xf>
    <xf numFmtId="166" fontId="42" fillId="10" borderId="11" applyNumberFormat="1" applyFont="1" applyFill="1" applyBorder="1" applyAlignment="1">
      <alignment horizontal="center"/>
    </xf>
    <xf numFmtId="166" fontId="42" fillId="0" borderId="12" applyNumberFormat="1" applyFont="1" applyFill="1" applyBorder="1" applyAlignment="1">
      <alignment horizontal="center"/>
    </xf>
    <xf numFmtId="0" fontId="35" fillId="0" borderId="0" applyFont="1" applyFill="1" applyAlignment="1">
      <alignment vertical="center"/>
    </xf>
    <xf numFmtId="0" fontId="69" fillId="0" borderId="0" applyFont="1" applyFill="1" applyAlignment="1">
      <alignment horizontal="right"/>
    </xf>
    <xf numFmtId="0" fontId="51" fillId="0" borderId="0" applyFont="1" applyFill="1"/>
    <xf numFmtId="0" fontId="53" fillId="0" borderId="0" applyFont="1" applyFill="1" applyAlignment="1">
      <alignment horizontal="center"/>
    </xf>
    <xf numFmtId="166" fontId="42" fillId="0" borderId="0" applyNumberFormat="1" applyFont="1" applyFill="1"/>
    <xf numFmtId="0" fontId="69" fillId="0" borderId="6" applyFont="1" applyFill="1" applyBorder="1" applyAlignment="1">
      <alignment horizontal="center"/>
    </xf>
    <xf numFmtId="0" fontId="69" fillId="0" borderId="7" applyFont="1" applyFill="1" applyBorder="1" applyAlignment="1">
      <alignment horizontal="center"/>
    </xf>
    <xf numFmtId="0" fontId="42" fillId="0" borderId="13" applyFont="1" applyFill="1" applyBorder="1" applyAlignment="1">
      <alignment horizontal="right"/>
    </xf>
    <xf numFmtId="0" fontId="42" fillId="10" borderId="14" applyFont="1" applyFill="1" applyBorder="1" applyAlignment="1">
      <alignment horizontal="right"/>
    </xf>
    <xf numFmtId="0" fontId="42" fillId="10" borderId="15" applyFont="1" applyFill="1" applyBorder="1" applyAlignment="1">
      <alignment horizontal="right"/>
    </xf>
    <xf numFmtId="0" fontId="42" fillId="0" borderId="15" applyFont="1" applyFill="1" applyBorder="1" applyAlignment="1">
      <alignment horizontal="right"/>
    </xf>
    <xf numFmtId="0" fontId="45" fillId="0" borderId="0" applyFont="1" applyFill="1" applyAlignment="1">
      <alignment horizontal="center"/>
    </xf>
    <xf numFmtId="0" fontId="45" fillId="0" borderId="6" applyFont="1" applyFill="1" applyBorder="1" applyAlignment="1">
      <alignment horizontal="center"/>
    </xf>
    <xf numFmtId="0" fontId="45" fillId="0" borderId="7" applyFont="1" applyFill="1" applyBorder="1" applyAlignment="1">
      <alignment horizontal="center"/>
    </xf>
    <xf numFmtId="0" fontId="42" fillId="0" borderId="0" applyFont="1" applyFill="1" applyAlignment="1">
      <alignment horizontal="right"/>
    </xf>
    <xf numFmtId="1" fontId="42" fillId="0" borderId="0" applyNumberFormat="1" applyFont="1" applyFill="1" applyAlignment="1">
      <alignment horizontal="left"/>
    </xf>
    <xf numFmtId="166" fontId="42" fillId="0" borderId="9" applyNumberFormat="1" applyFont="1" applyFill="1" applyBorder="1" applyAlignment="1">
      <alignment horizontal="center"/>
    </xf>
    <xf numFmtId="166" fontId="42" fillId="0" borderId="11" applyNumberFormat="1" applyFont="1" applyFill="1" applyBorder="1" applyAlignment="1">
      <alignment horizontal="center"/>
    </xf>
    <xf numFmtId="0" fontId="32" fillId="3" borderId="0" applyFont="1" applyFill="1" applyAlignment="1">
      <alignment horizontal="right" vertical="center"/>
    </xf>
    <xf numFmtId="0" fontId="1" fillId="3" borderId="0" applyFont="1" applyFill="1" applyAlignment="1">
      <alignment horizontal="center" vertical="center"/>
    </xf>
    <xf numFmtId="1" fontId="69" fillId="0" borderId="0" applyNumberFormat="1" applyFont="1" applyFill="1"/>
    <xf numFmtId="1" fontId="69" fillId="10" borderId="16" applyNumberFormat="1" applyFont="1" applyFill="1" applyBorder="1" applyAlignment="1">
      <alignment horizontal="center"/>
    </xf>
    <xf numFmtId="1" fontId="69" fillId="10" borderId="17" applyNumberFormat="1" applyFont="1" applyFill="1" applyBorder="1" applyAlignment="1">
      <alignment horizontal="center"/>
    </xf>
    <xf numFmtId="1" fontId="69" fillId="10" borderId="18" applyNumberFormat="1" applyFont="1" applyFill="1" applyBorder="1" applyAlignment="1">
      <alignment horizontal="center"/>
    </xf>
    <xf numFmtId="166" fontId="26" fillId="0" borderId="0" applyNumberFormat="1" applyFont="1" applyFill="1" applyAlignment="1">
      <alignment horizontal="right"/>
    </xf>
    <xf numFmtId="0" fontId="32" fillId="3" borderId="0" applyFont="1" applyFill="1"/>
    <xf numFmtId="0" fontId="32" fillId="3" borderId="0" applyFont="1" applyFill="1" applyAlignment="1">
      <alignment horizontal="center"/>
    </xf>
    <xf numFmtId="0" fontId="69" fillId="3" borderId="0" applyFont="1" applyFill="1" applyAlignment="1">
      <alignment horizontal="center"/>
    </xf>
    <xf numFmtId="165" fontId="69" fillId="3" borderId="0" applyNumberFormat="1" applyFont="1" applyFill="1" applyAlignment="1">
      <alignment horizontal="center"/>
    </xf>
    <xf numFmtId="166" fontId="69" fillId="3" borderId="0" applyNumberFormat="1" applyFont="1" applyFill="1" applyAlignment="1">
      <alignment horizontal="center"/>
    </xf>
    <xf numFmtId="166" fontId="69" fillId="3" borderId="0" applyNumberFormat="1" applyFont="1" applyFill="1" applyAlignment="1">
      <alignment horizontal="center"/>
    </xf>
    <xf numFmtId="167" fontId="69" fillId="3" borderId="0" applyNumberFormat="1" applyFont="1" applyFill="1" applyAlignment="1">
      <alignment horizontal="center"/>
    </xf>
    <xf numFmtId="167" fontId="69" fillId="3" borderId="0" applyNumberFormat="1" applyFont="1" applyFill="1" applyAlignment="1">
      <alignment horizontal="center"/>
    </xf>
    <xf numFmtId="0" fontId="27" fillId="3" borderId="0" applyFont="1" applyFill="1" applyAlignment="1">
      <alignment horizontal="left"/>
    </xf>
    <xf numFmtId="166" fontId="69" fillId="3" borderId="0" applyNumberFormat="1" applyFont="1" applyFill="1" applyBorder="1" applyAlignment="1">
      <alignment horizontal="center"/>
    </xf>
    <xf numFmtId="166" fontId="69" fillId="3" borderId="0" applyNumberFormat="1" applyFont="1" applyFill="1" applyAlignment="1">
      <alignment horizontal="right"/>
    </xf>
    <xf numFmtId="166" fontId="1" fillId="3" borderId="0" applyNumberFormat="1" applyFont="1" applyFill="1"/>
    <xf numFmtId="167" fontId="42" fillId="3" borderId="0" applyNumberFormat="1" applyFont="1" applyFill="1" applyAlignment="1">
      <alignment horizontal="left"/>
    </xf>
    <xf numFmtId="167" fontId="1" fillId="3" borderId="0" applyNumberFormat="1" applyFont="1" applyFill="1"/>
    <xf numFmtId="0" fontId="37" fillId="3" borderId="0" applyFont="1" applyFill="1"/>
    <xf numFmtId="0" fontId="69" fillId="3" borderId="0" applyFont="1" applyFill="1" applyAlignment="1">
      <alignment horizontal="right"/>
    </xf>
    <xf numFmtId="0" fontId="40" fillId="3" borderId="0" applyFont="1" applyFill="1" applyAlignment="1">
      <alignment horizontal="centerContinuous"/>
    </xf>
    <xf numFmtId="166" fontId="69" fillId="10" borderId="0" applyNumberFormat="1" applyFont="1" applyFill="1" applyBorder="1" applyAlignment="1">
      <alignment horizontal="center"/>
    </xf>
    <xf numFmtId="166" fontId="69" fillId="10" borderId="6" applyNumberFormat="1" applyFont="1" applyFill="1" applyBorder="1" applyAlignment="1">
      <alignment horizontal="center"/>
    </xf>
    <xf numFmtId="166" fontId="69" fillId="10" borderId="7" applyNumberFormat="1" applyFont="1" applyFill="1" applyBorder="1" applyAlignment="1">
      <alignment horizontal="center"/>
    </xf>
    <xf numFmtId="0" fontId="54" fillId="0" borderId="0" applyFont="1" applyFill="1"/>
    <xf numFmtId="2" fontId="69" fillId="10" borderId="0" applyNumberFormat="1" applyFont="1" applyFill="1" applyBorder="1" applyAlignment="1">
      <alignment horizontal="center"/>
    </xf>
    <xf numFmtId="2" fontId="69" fillId="10" borderId="6" applyNumberFormat="1" applyFont="1" applyFill="1" applyBorder="1" applyAlignment="1">
      <alignment horizontal="center"/>
    </xf>
    <xf numFmtId="2" fontId="69" fillId="10" borderId="7" applyNumberFormat="1" applyFont="1" applyFill="1" applyBorder="1" applyAlignment="1">
      <alignment horizontal="center"/>
    </xf>
    <xf numFmtId="166" fontId="69" fillId="0" borderId="0" applyNumberFormat="1" applyFont="1" applyFill="1"/>
    <xf numFmtId="166" fontId="69" fillId="10" borderId="16" applyNumberFormat="1" applyFont="1" applyFill="1" applyBorder="1" applyAlignment="1">
      <alignment horizontal="center"/>
    </xf>
    <xf numFmtId="166" fontId="69" fillId="10" borderId="17" applyNumberFormat="1" applyFont="1" applyFill="1" applyBorder="1" applyAlignment="1">
      <alignment horizontal="center"/>
    </xf>
    <xf numFmtId="166" fontId="69" fillId="10" borderId="18" applyNumberFormat="1" applyFont="1" applyFill="1" applyBorder="1" applyAlignment="1">
      <alignment horizontal="center"/>
    </xf>
    <xf numFmtId="0" fontId="50" fillId="0" borderId="0" applyFont="1" applyFill="1" applyAlignment="1">
      <alignment horizontal="right"/>
    </xf>
    <xf numFmtId="0" fontId="50" fillId="0" borderId="0" applyFont="1" applyFill="1" applyAlignment="1">
      <alignment horizontal="right" vertical="top"/>
    </xf>
    <xf numFmtId="0" fontId="31" fillId="0" borderId="3" applyFont="1" applyFill="1" applyBorder="1" applyAlignment="1">
      <alignment horizontal="center" wrapText="1"/>
    </xf>
    <xf numFmtId="0" fontId="31" fillId="0" borderId="5" applyFont="1" applyFill="1" applyBorder="1" applyAlignment="1">
      <alignment horizontal="center" wrapText="1"/>
    </xf>
    <xf numFmtId="0" fontId="39" fillId="0" borderId="0" applyFont="1" applyFill="1"/>
    <xf numFmtId="0" fontId="34" fillId="0" borderId="0" applyFont="1" applyFill="1" applyAlignment="1">
      <alignment horizontal="right"/>
    </xf>
    <xf numFmtId="0" fontId="35" fillId="0" borderId="0" applyFont="1" applyFill="1"/>
    <xf numFmtId="164" fontId="1" fillId="3" borderId="0" applyNumberFormat="1" applyFont="1" applyFill="1" applyAlignment="1">
      <alignment horizontal="left"/>
    </xf>
    <xf numFmtId="0" fontId="34" fillId="0" borderId="0" applyFont="1" applyFill="1"/>
    <xf numFmtId="0" fontId="36" fillId="0" borderId="0" applyFont="1" applyFill="1" applyAlignment="1">
      <alignment horizontal="left"/>
    </xf>
    <xf numFmtId="0" fontId="36" fillId="0" borderId="0" applyFont="1" applyFill="1" applyAlignment="1">
      <alignment horizontal="center"/>
    </xf>
    <xf numFmtId="0" fontId="1" fillId="0" borderId="0" applyFont="1" applyFill="1" applyAlignment="1">
      <alignment horizontal="left"/>
    </xf>
    <xf numFmtId="49" fontId="1" fillId="0" borderId="0" applyNumberFormat="1" applyFont="1" applyFill="1" applyAlignment="1">
      <alignment horizontal="left"/>
    </xf>
    <xf numFmtId="16" fontId="1" fillId="0" borderId="0" applyNumberFormat="1" applyFont="1" applyFill="1" applyAlignment="1">
      <alignment horizontal="left"/>
    </xf>
    <xf numFmtId="49" fontId="1" fillId="0" borderId="0" applyNumberFormat="1" applyFont="1" applyFill="1"/>
    <xf numFmtId="0" fontId="37" fillId="0" borderId="0" applyFont="1" applyFill="1" applyAlignment="1">
      <alignment horizontal="center"/>
    </xf>
    <xf numFmtId="0" fontId="37" fillId="0" borderId="0" applyFont="1" applyFill="1"/>
    <xf numFmtId="0" fontId="1" fillId="0" borderId="0" applyFont="1" applyFill="1"/>
    <xf numFmtId="0" fontId="1" fillId="0" borderId="0" applyFont="1" applyFill="1" applyAlignment="1">
      <alignment horizontal="left" textRotation="90"/>
    </xf>
    <xf numFmtId="16" fontId="33" fillId="0" borderId="0" applyNumberFormat="1" applyFont="1" applyFill="1" applyAlignment="1">
      <alignment horizontal="left"/>
    </xf>
    <xf numFmtId="16" fontId="34" fillId="3" borderId="0" applyNumberFormat="1" applyFont="1" applyFill="1" applyAlignment="1">
      <alignment horizontal="left" textRotation="90" wrapText="1"/>
    </xf>
    <xf numFmtId="166" fontId="1" fillId="0" borderId="0" applyNumberFormat="1" applyFont="1" applyFill="1" applyAlignment="1">
      <alignment horizontal="left"/>
    </xf>
    <xf numFmtId="1" fontId="1" fillId="0" borderId="0" applyNumberFormat="1" applyFont="1" applyFill="1" applyAlignment="1">
      <alignment horizontal="center"/>
    </xf>
    <xf numFmtId="166" fontId="38" fillId="0" borderId="0" applyNumberFormat="1" applyFont="1" applyFill="1" applyAlignment="1">
      <alignment horizontal="right"/>
    </xf>
    <xf numFmtId="0" fontId="1" fillId="0" borderId="0" applyFont="1" applyFill="1" applyAlignment="1">
      <alignment horizontal="center"/>
    </xf>
    <xf numFmtId="0" fontId="47" fillId="0" borderId="0" applyFont="1" applyFill="1"/>
    <xf numFmtId="0" fontId="1" fillId="3" borderId="0" applyFont="1" applyFill="1" applyBorder="1"/>
    <xf numFmtId="169" fontId="34" fillId="3" borderId="0" applyNumberFormat="1" applyFont="1" applyFill="1" applyAlignment="1">
      <alignment textRotation="90" wrapText="1"/>
    </xf>
    <xf numFmtId="16" fontId="34" fillId="3" borderId="0" applyNumberFormat="1" applyFont="1" applyFill="1" applyAlignment="1">
      <alignment textRotation="90" wrapText="1"/>
    </xf>
    <xf numFmtId="166" fontId="38" fillId="0" borderId="0" applyNumberFormat="1" applyFont="1" applyFill="1"/>
    <xf numFmtId="0" fontId="15" fillId="3" borderId="0" applyFont="1" applyFill="1" applyAlignment="1">
      <alignment vertical="center"/>
    </xf>
    <xf numFmtId="0" fontId="37" fillId="3" borderId="0" applyFont="1" applyFill="1"/>
    <xf numFmtId="0" fontId="40" fillId="3" borderId="0" applyFont="1" applyFill="1" applyAlignment="1">
      <alignment horizontal="center"/>
    </xf>
    <xf numFmtId="170" fontId="42" fillId="3" borderId="0" applyNumberFormat="1" applyFont="1" applyFill="1" applyAlignment="1">
      <alignment wrapText="1"/>
    </xf>
    <xf numFmtId="0" fontId="50" fillId="3" borderId="0" applyFont="1" applyFill="1" applyAlignment="1">
      <alignment horizontal="center"/>
    </xf>
    <xf numFmtId="0" fontId="44" fillId="3" borderId="0" applyFont="1" applyFill="1" applyAlignment="1">
      <alignment horizontal="center" vertical="top"/>
    </xf>
    <xf numFmtId="0" fontId="44" fillId="3" borderId="6" applyFont="1" applyFill="1" applyBorder="1" applyAlignment="1">
      <alignment horizontal="center" vertical="top"/>
    </xf>
    <xf numFmtId="0" fontId="44" fillId="3" borderId="7" applyFont="1" applyFill="1" applyBorder="1" applyAlignment="1">
      <alignment horizontal="center" vertical="top"/>
    </xf>
    <xf numFmtId="170" fontId="44" fillId="3" borderId="0" applyNumberFormat="1" applyFont="1" applyFill="1" applyAlignment="1">
      <alignment horizontal="center" vertical="top" wrapText="1"/>
    </xf>
    <xf numFmtId="170" fontId="44" fillId="3" borderId="6" applyNumberFormat="1" applyFont="1" applyFill="1" applyBorder="1" applyAlignment="1">
      <alignment horizontal="center" vertical="top" wrapText="1"/>
    </xf>
    <xf numFmtId="170" fontId="44" fillId="3" borderId="7" applyNumberFormat="1" applyFont="1" applyFill="1" applyBorder="1" applyAlignment="1">
      <alignment horizontal="center" vertical="top" wrapText="1"/>
    </xf>
    <xf numFmtId="0" fontId="1" fillId="3" borderId="0" applyFont="1" applyFill="1" applyAlignment="1">
      <alignment wrapText="1"/>
    </xf>
    <xf numFmtId="0" fontId="44" fillId="3" borderId="0" applyFont="1" applyFill="1" applyAlignment="1">
      <alignment horizontal="center" vertical="top" wrapText="1"/>
    </xf>
    <xf numFmtId="0" fontId="44" fillId="3" borderId="6" applyFont="1" applyFill="1" applyBorder="1" applyAlignment="1">
      <alignment horizontal="center" vertical="top" wrapText="1"/>
    </xf>
    <xf numFmtId="0" fontId="44" fillId="3" borderId="7" applyFont="1" applyFill="1" applyBorder="1" applyAlignment="1">
      <alignment horizontal="center" vertical="top" wrapText="1"/>
    </xf>
    <xf numFmtId="1" fontId="45" fillId="6" borderId="0" applyNumberFormat="1" applyFont="1" applyFill="1" applyAlignment="1">
      <alignment horizontal="center"/>
    </xf>
    <xf numFmtId="1" fontId="45" fillId="6" borderId="6" applyNumberFormat="1" applyFont="1" applyFill="1" applyBorder="1" applyAlignment="1">
      <alignment horizontal="center"/>
    </xf>
    <xf numFmtId="1" fontId="45" fillId="6" borderId="7" applyNumberFormat="1" applyFont="1" applyFill="1" applyBorder="1" applyAlignment="1">
      <alignment horizontal="center"/>
    </xf>
    <xf numFmtId="1" fontId="45" fillId="3" borderId="0" applyNumberFormat="1" applyFont="1" applyFill="1" applyAlignment="1">
      <alignment horizontal="center"/>
    </xf>
    <xf numFmtId="1" fontId="45" fillId="3" borderId="6" applyNumberFormat="1" applyFont="1" applyFill="1" applyBorder="1" applyAlignment="1">
      <alignment horizontal="center"/>
    </xf>
    <xf numFmtId="1" fontId="45" fillId="3" borderId="7" applyNumberFormat="1" applyFont="1" applyFill="1" applyBorder="1" applyAlignment="1">
      <alignment horizontal="center"/>
    </xf>
    <xf numFmtId="0" fontId="46" fillId="3" borderId="0" applyFont="1" applyFill="1" applyAlignment="1">
      <alignment horizontal="center"/>
    </xf>
    <xf numFmtId="0" fontId="46" fillId="3" borderId="0" applyFont="1" applyFill="1" applyAlignment="1">
      <alignment horizontal="center" vertical="top"/>
    </xf>
    <xf numFmtId="0" fontId="46" fillId="3" borderId="6" applyFont="1" applyFill="1" applyBorder="1" applyAlignment="1">
      <alignment horizontal="center" vertical="top"/>
    </xf>
    <xf numFmtId="0" fontId="46" fillId="3" borderId="7" applyFont="1" applyFill="1" applyBorder="1" applyAlignment="1">
      <alignment horizontal="center" vertical="top"/>
    </xf>
    <xf numFmtId="0" fontId="45" fillId="3" borderId="0" applyFont="1" applyFill="1" applyAlignment="1">
      <alignment horizontal="center"/>
    </xf>
    <xf numFmtId="0" fontId="46" fillId="0" borderId="0" applyFont="1" applyFill="1" applyAlignment="1">
      <alignment horizontal="center"/>
    </xf>
    <xf numFmtId="1" fontId="45" fillId="6" borderId="16" applyNumberFormat="1" applyFont="1" applyFill="1" applyBorder="1" applyAlignment="1">
      <alignment horizontal="center"/>
    </xf>
    <xf numFmtId="1" fontId="45" fillId="6" borderId="17" applyNumberFormat="1" applyFont="1" applyFill="1" applyBorder="1" applyAlignment="1">
      <alignment horizontal="center"/>
    </xf>
    <xf numFmtId="1" fontId="45" fillId="6" borderId="18" applyNumberFormat="1" applyFont="1" applyFill="1" applyBorder="1" applyAlignment="1">
      <alignment horizontal="center"/>
    </xf>
    <xf numFmtId="1" fontId="1" fillId="3" borderId="0" applyNumberFormat="1" applyFont="1" applyFill="1" applyAlignment="1">
      <alignment horizontal="center"/>
    </xf>
    <xf numFmtId="170" fontId="42" fillId="0" borderId="0" applyNumberFormat="1" applyFont="1" applyFill="1" applyAlignment="1">
      <alignment wrapText="1"/>
    </xf>
    <xf numFmtId="0" fontId="1" fillId="0" borderId="0" applyFont="1" applyFill="1" applyAlignment="1">
      <alignment wrapText="1"/>
    </xf>
    <xf numFmtId="0" fontId="34" fillId="0" borderId="0" applyFont="1" applyFill="1"/>
    <xf numFmtId="0" fontId="36" fillId="0" borderId="0" applyFont="1" applyFill="1" applyAlignment="1">
      <alignment horizontal="left"/>
    </xf>
    <xf numFmtId="0" fontId="36" fillId="0" borderId="0" applyFont="1" applyFill="1" applyAlignment="1">
      <alignment horizontal="center"/>
    </xf>
    <xf numFmtId="0" fontId="69" fillId="0" borderId="0" applyFont="1" applyFill="1" applyAlignment="1">
      <alignment horizontal="left"/>
    </xf>
    <xf numFmtId="49" fontId="69" fillId="0" borderId="0" applyNumberFormat="1" applyFont="1" applyFill="1" applyAlignment="1">
      <alignment horizontal="left"/>
    </xf>
    <xf numFmtId="16" fontId="69" fillId="0" borderId="0" applyNumberFormat="1" applyFont="1" applyFill="1" applyAlignment="1">
      <alignment horizontal="left"/>
    </xf>
    <xf numFmtId="0" fontId="34" fillId="0" borderId="0" applyFont="1" applyFill="1" applyAlignment="1">
      <alignment horizontal="right"/>
    </xf>
    <xf numFmtId="49" fontId="69" fillId="0" borderId="0" applyNumberFormat="1" applyFont="1" applyFill="1"/>
    <xf numFmtId="0" fontId="34" fillId="3" borderId="0" applyFont="1" applyFill="1" applyAlignment="1">
      <alignment horizontal="center"/>
    </xf>
    <xf numFmtId="0" fontId="34" fillId="3" borderId="0" applyFont="1" applyFill="1" applyAlignment="1">
      <alignment horizontal="right"/>
    </xf>
    <xf numFmtId="16" fontId="33" fillId="0" borderId="0" applyNumberFormat="1" applyFont="1" applyFill="1" applyAlignment="1">
      <alignment horizontal="left"/>
    </xf>
    <xf numFmtId="169" fontId="34" fillId="3" borderId="0" applyNumberFormat="1" applyFont="1" applyFill="1" applyAlignment="1">
      <alignment textRotation="90" wrapText="1"/>
    </xf>
    <xf numFmtId="0" fontId="47" fillId="0" borderId="0" applyFont="1" applyFill="1"/>
    <xf numFmtId="166" fontId="39" fillId="0" borderId="0" applyNumberFormat="1" applyFont="1" applyFill="1" applyAlignment="1">
      <alignment horizontal="right"/>
    </xf>
    <xf numFmtId="2" fontId="69" fillId="0" borderId="0" applyNumberFormat="1" applyFont="1" applyFill="1"/>
    <xf numFmtId="166" fontId="69" fillId="0" borderId="0" applyNumberFormat="1" applyFont="1" applyFill="1" applyAlignment="1">
      <alignment horizontal="center"/>
    </xf>
    <xf numFmtId="166" fontId="69" fillId="10" borderId="0" applyNumberFormat="1" applyFont="1" applyFill="1" applyAlignment="1">
      <alignment horizontal="center"/>
    </xf>
    <xf numFmtId="2" fontId="69" fillId="10" borderId="0" applyNumberFormat="1" applyFont="1" applyFill="1" applyAlignment="1">
      <alignment horizontal="center"/>
    </xf>
    <xf numFmtId="2" fontId="69" fillId="0" borderId="0" applyNumberFormat="1" applyFont="1" applyFill="1" applyAlignment="1">
      <alignment horizontal="center"/>
    </xf>
    <xf numFmtId="166" fontId="69" fillId="3" borderId="0" applyNumberFormat="1" applyFont="1" applyFill="1" applyAlignment="1">
      <alignment horizontal="center" vertical="center"/>
    </xf>
    <xf numFmtId="0" fontId="69" fillId="3" borderId="0" applyFont="1" applyFill="1"/>
    <xf numFmtId="0" fontId="1" fillId="0" borderId="0" applyFont="1" applyFill="1" applyAlignment="1">
      <alignment horizontal="right"/>
    </xf>
    <xf numFmtId="0" fontId="69" fillId="3" borderId="0" applyFont="1" applyFill="1" applyAlignment="1">
      <alignment horizontal="center" vertical="center"/>
    </xf>
    <xf numFmtId="167" fontId="69" fillId="3" borderId="0" applyNumberFormat="1" applyFont="1" applyFill="1" applyAlignment="1">
      <alignment horizontal="center" vertical="center"/>
    </xf>
    <xf numFmtId="0" fontId="36" fillId="0" borderId="0" applyFont="1" applyFill="1"/>
    <xf numFmtId="165" fontId="69" fillId="10" borderId="0" applyNumberFormat="1" applyFont="1" applyFill="1" applyAlignment="1">
      <alignment horizontal="center"/>
    </xf>
    <xf numFmtId="0" fontId="69" fillId="10" borderId="0" applyFont="1" applyFill="1" applyAlignment="1">
      <alignment horizontal="center"/>
    </xf>
    <xf numFmtId="17" fontId="69" fillId="10" borderId="0" applyNumberFormat="1" applyFont="1" applyFill="1" applyAlignment="1">
      <alignment horizontal="center"/>
    </xf>
    <xf numFmtId="0" fontId="69" fillId="10" borderId="0" applyFont="1" applyFill="1" applyAlignment="1">
      <alignment horizontal="center" vertical="center"/>
    </xf>
    <xf numFmtId="167" fontId="69" fillId="10" borderId="0" applyNumberFormat="1" applyFont="1" applyFill="1" applyAlignment="1">
      <alignment horizontal="center"/>
    </xf>
    <xf numFmtId="167" fontId="69" fillId="10" borderId="0" applyNumberFormat="1" applyFont="1" applyFill="1" applyAlignment="1">
      <alignment horizontal="center"/>
    </xf>
    <xf numFmtId="167" fontId="69" fillId="10" borderId="0" applyNumberFormat="1" applyFont="1" applyFill="1" applyAlignment="1">
      <alignment horizontal="center" vertical="center"/>
    </xf>
    <xf numFmtId="17" fontId="42" fillId="10" borderId="0" applyNumberFormat="1" applyFont="1" applyFill="1" applyAlignment="1">
      <alignment horizontal="left"/>
    </xf>
    <xf numFmtId="167" fontId="1" fillId="10" borderId="0" applyNumberFormat="1" applyFont="1" applyFill="1"/>
    <xf numFmtId="167" fontId="42" fillId="10" borderId="0" applyNumberFormat="1" applyFont="1" applyFill="1" applyAlignment="1">
      <alignment horizontal="left"/>
    </xf>
    <xf numFmtId="165" fontId="69" fillId="10" borderId="0" applyNumberFormat="1" applyFont="1" applyFill="1" applyAlignment="1">
      <alignment horizontal="right"/>
    </xf>
    <xf numFmtId="0" fontId="1" fillId="10" borderId="0" applyFont="1" applyFill="1"/>
    <xf numFmtId="0" fontId="1" fillId="3" borderId="0" applyFont="1" applyFill="1" applyBorder="1"/>
    <xf numFmtId="0" fontId="1" fillId="0" borderId="0" applyFont="1" applyFill="1" applyAlignment="1">
      <alignment horizontal="right"/>
    </xf>
    <xf numFmtId="0" fontId="40" fillId="0" borderId="0" applyFont="1" applyFill="1"/>
    <xf numFmtId="0" fontId="50" fillId="0" borderId="0" applyFont="1" applyFill="1"/>
    <xf numFmtId="0" fontId="45" fillId="0" borderId="0" applyFont="1" applyFill="1" applyAlignment="1">
      <alignment horizontal="center"/>
    </xf>
    <xf numFmtId="0" fontId="51" fillId="0" borderId="0" applyFont="1" applyFill="1"/>
    <xf numFmtId="0" fontId="52" fillId="0" borderId="0" applyFont="1" applyFill="1"/>
    <xf numFmtId="0" fontId="53" fillId="0" borderId="0" applyFont="1" applyFill="1" applyAlignment="1">
      <alignment horizontal="center"/>
    </xf>
    <xf numFmtId="0" fontId="42" fillId="0" borderId="13" applyFont="1" applyFill="1" applyBorder="1" applyAlignment="1">
      <alignment horizontal="right"/>
    </xf>
    <xf numFmtId="0" fontId="42" fillId="6" borderId="14" applyFont="1" applyFill="1" applyBorder="1" applyAlignment="1">
      <alignment horizontal="right"/>
    </xf>
    <xf numFmtId="166" fontId="1" fillId="6" borderId="0" applyNumberFormat="1" applyFont="1" applyFill="1" applyBorder="1" applyAlignment="1">
      <alignment horizontal="center"/>
    </xf>
    <xf numFmtId="0" fontId="33" fillId="3" borderId="0" applyFont="1" applyFill="1" applyAlignment="1">
      <alignment horizontal="right"/>
    </xf>
    <xf numFmtId="0" fontId="42" fillId="0" borderId="15" applyFont="1" applyFill="1" applyBorder="1" applyAlignment="1">
      <alignment horizontal="right"/>
    </xf>
    <xf numFmtId="0" fontId="42" fillId="0" borderId="0" applyFont="1" applyFill="1"/>
    <xf numFmtId="166" fontId="42" fillId="0" borderId="0" applyNumberFormat="1" applyFont="1" applyFill="1"/>
    <xf numFmtId="2" fontId="1" fillId="6" borderId="0" applyNumberFormat="1" applyFont="1" applyFill="1" applyBorder="1" applyAlignment="1">
      <alignment horizontal="center"/>
    </xf>
    <xf numFmtId="0" fontId="54" fillId="0" borderId="0" applyFont="1" applyFill="1"/>
    <xf numFmtId="1" fontId="69" fillId="0" borderId="0" applyNumberFormat="1" applyFont="1" applyFill="1" applyAlignment="1">
      <alignment horizontal="left"/>
    </xf>
    <xf numFmtId="0" fontId="50" fillId="3" borderId="0" applyFont="1" applyFill="1"/>
    <xf numFmtId="0" fontId="22" fillId="0" borderId="0" applyFont="1" applyFill="1" applyAlignment="1">
      <alignment vertical="top"/>
    </xf>
    <xf numFmtId="0" fontId="34" fillId="0" borderId="0" applyFont="1" applyFill="1" applyAlignment="1">
      <alignment vertical="top" wrapText="1"/>
    </xf>
    <xf numFmtId="166" fontId="38" fillId="3" borderId="0" applyNumberFormat="1" applyFont="1" applyFill="1" applyAlignment="1">
      <alignment horizontal="center"/>
    </xf>
    <xf numFmtId="0" fontId="1" fillId="0" borderId="19" applyFont="1" applyFill="1" applyBorder="1"/>
    <xf numFmtId="0" fontId="1" fillId="0" borderId="20" applyFont="1" applyFill="1" applyBorder="1"/>
    <xf numFmtId="0" fontId="36" fillId="0" borderId="0" applyFont="1" applyFill="1" applyAlignment="1">
      <alignment horizontal="right"/>
    </xf>
    <xf numFmtId="0" fontId="1" fillId="6" borderId="0" applyFont="1" applyFill="1"/>
    <xf numFmtId="166" fontId="1" fillId="0" borderId="0" applyNumberFormat="1" applyFont="1" applyFill="1"/>
    <xf numFmtId="166" fontId="1" fillId="6" borderId="0" applyNumberFormat="1" applyFont="1" applyFill="1"/>
    <xf numFmtId="0" fontId="50" fillId="3" borderId="0" applyFont="1" applyFill="1" applyAlignment="1">
      <alignment horizontal="right" vertical="center"/>
    </xf>
    <xf numFmtId="165" fontId="1" fillId="6" borderId="0" applyNumberFormat="1" applyFont="1" applyFill="1"/>
    <xf numFmtId="165" fontId="1" fillId="6" borderId="20" applyNumberFormat="1" applyFont="1" applyFill="1" applyBorder="1"/>
    <xf numFmtId="166" fontId="36" fillId="0" borderId="0" applyNumberFormat="1" applyFont="1" applyFill="1"/>
    <xf numFmtId="166" fontId="36" fillId="0" borderId="20" applyNumberFormat="1" applyFont="1" applyFill="1" applyBorder="1"/>
    <xf numFmtId="167" fontId="1" fillId="6" borderId="0" applyNumberFormat="1" applyFont="1" applyFill="1"/>
    <xf numFmtId="0" fontId="1" fillId="0" borderId="20" applyFont="1" applyFill="1" applyBorder="1" applyAlignment="1">
      <alignment horizontal="right"/>
    </xf>
    <xf numFmtId="0" fontId="36" fillId="0" borderId="19" applyFont="1" applyFill="1" applyBorder="1" applyAlignment="1">
      <alignment horizontal="right"/>
    </xf>
    <xf numFmtId="166" fontId="1" fillId="0" borderId="19" applyNumberFormat="1" applyFont="1" applyFill="1" applyBorder="1" applyAlignment="1">
      <alignment horizontal="right"/>
    </xf>
    <xf numFmtId="0" fontId="1" fillId="0" borderId="19" applyFont="1" applyFill="1" applyBorder="1" applyAlignment="1">
      <alignment horizontal="right"/>
    </xf>
    <xf numFmtId="0" fontId="36" fillId="0" borderId="21" applyFont="1" applyFill="1" applyBorder="1" applyAlignment="1">
      <alignment horizontal="right"/>
    </xf>
    <xf numFmtId="166" fontId="36" fillId="0" borderId="0" applyNumberFormat="1" applyFont="1" applyFill="1" applyAlignment="1">
      <alignment horizontal="right"/>
    </xf>
    <xf numFmtId="166" fontId="1" fillId="0" borderId="0" applyNumberFormat="1" applyFont="1" applyFill="1" applyAlignment="1">
      <alignment horizontal="right"/>
    </xf>
    <xf numFmtId="166" fontId="36" fillId="0" borderId="20" applyNumberFormat="1" applyFont="1" applyFill="1" applyBorder="1" applyAlignment="1">
      <alignment horizontal="right"/>
    </xf>
    <xf numFmtId="0" fontId="36" fillId="3" borderId="0" applyFont="1" applyFill="1" applyAlignment="1">
      <alignment horizontal="right"/>
    </xf>
    <xf numFmtId="0" fontId="42" fillId="0" borderId="0" applyFont="1" applyFill="1" applyAlignment="1">
      <alignment horizontal="right"/>
    </xf>
    <xf numFmtId="0" fontId="44" fillId="10" borderId="14" applyFont="1" applyFill="1" applyBorder="1" applyAlignment="1">
      <alignment horizontal="right"/>
    </xf>
    <xf numFmtId="4" fontId="69" fillId="3" borderId="0" applyNumberFormat="1" applyFont="1" applyFill="1" applyAlignment="1">
      <alignment horizontal="center"/>
    </xf>
    <xf numFmtId="4" fontId="69" fillId="10" borderId="0" applyNumberFormat="1" applyFont="1" applyFill="1" applyAlignment="1">
      <alignment horizontal="center"/>
    </xf>
    <xf numFmtId="4" fontId="69" fillId="3" borderId="0" applyNumberFormat="1" applyFont="1" applyFill="1" applyAlignment="1">
      <alignment horizontal="right"/>
    </xf>
    <xf numFmtId="4" fontId="69" fillId="10" borderId="0" applyNumberFormat="1" applyFont="1" applyFill="1" applyAlignment="1">
      <alignment horizontal="right"/>
    </xf>
    <xf numFmtId="0" fontId="40" fillId="3" borderId="0" applyFont="1" applyFill="1" applyAlignment="1">
      <alignment horizontal="right"/>
    </xf>
    <xf numFmtId="0" fontId="40" fillId="0" borderId="0" applyFont="1" applyFill="1" applyAlignment="1">
      <alignment horizontal="right"/>
    </xf>
    <xf numFmtId="0" fontId="69" fillId="0" borderId="0" applyFont="1" applyFill="1"/>
    <xf numFmtId="0" fontId="1" fillId="11" borderId="0" applyFont="1" applyFill="1"/>
    <xf numFmtId="0" fontId="37" fillId="11" borderId="0" applyFont="1" applyFill="1"/>
    <xf numFmtId="0" fontId="1" fillId="11" borderId="0" applyFont="1" applyFill="1" applyAlignment="1">
      <alignment horizontal="center"/>
    </xf>
    <xf numFmtId="0" fontId="47" fillId="11" borderId="0" applyFont="1" applyFill="1"/>
    <xf numFmtId="0" fontId="52" fillId="11" borderId="0" applyFont="1" applyFill="1"/>
    <xf numFmtId="0" fontId="54" fillId="11" borderId="0" applyFont="1" applyFill="1"/>
    <xf numFmtId="168" fontId="54" fillId="11" borderId="0" applyNumberFormat="1" applyFont="1" applyFill="1"/>
    <xf numFmtId="0" fontId="1" fillId="11" borderId="0" applyFont="1" applyFill="1"/>
    <xf numFmtId="0" fontId="1" fillId="11" borderId="0" applyFont="1" applyFill="1" applyAlignment="1">
      <alignment horizontal="center"/>
    </xf>
    <xf numFmtId="0" fontId="51" fillId="11" borderId="0" applyFont="1" applyFill="1"/>
    <xf numFmtId="0" fontId="53" fillId="11" borderId="0" applyFont="1" applyFill="1" applyAlignment="1">
      <alignment horizontal="center"/>
    </xf>
    <xf numFmtId="0" fontId="52" fillId="11" borderId="0" applyFont="1" applyFill="1"/>
    <xf numFmtId="0" fontId="30" fillId="11" borderId="0" applyFont="1" applyFill="1"/>
    <xf numFmtId="0" fontId="54" fillId="11" borderId="0" applyFont="1" applyFill="1"/>
    <xf numFmtId="16" fontId="30" fillId="11" borderId="0" applyNumberFormat="1" applyFont="1" applyFill="1"/>
    <xf numFmtId="168" fontId="30" fillId="11" borderId="0" applyNumberFormat="1" applyFont="1" applyFill="1"/>
    <xf numFmtId="0" fontId="58" fillId="11" borderId="0" applyFont="1" applyFill="1" applyAlignment="1">
      <alignment horizontal="right"/>
    </xf>
    <xf numFmtId="0" fontId="69" fillId="11" borderId="0" applyFont="1" applyFill="1"/>
    <xf numFmtId="0" fontId="69" fillId="11" borderId="0" applyFont="1" applyFill="1" applyAlignment="1">
      <alignment horizontal="center"/>
    </xf>
    <xf numFmtId="0" fontId="51" fillId="11" borderId="0" applyFont="1" applyFill="1"/>
    <xf numFmtId="0" fontId="53" fillId="11" borderId="0" applyFont="1" applyFill="1" applyAlignment="1">
      <alignment horizontal="center"/>
    </xf>
    <xf numFmtId="0" fontId="1" fillId="11" borderId="0" applyFont="1" applyFill="1" applyAlignment="1">
      <alignment horizontal="left"/>
    </xf>
    <xf numFmtId="0" fontId="19" fillId="11" borderId="0" applyFont="1" applyFill="1" applyAlignment="1">
      <alignment horizontal="center"/>
    </xf>
    <xf numFmtId="0" fontId="37" fillId="11" borderId="0" applyFont="1" applyFill="1"/>
    <xf numFmtId="170" fontId="42" fillId="11" borderId="0" applyNumberFormat="1" applyFont="1" applyFill="1" applyAlignment="1">
      <alignment wrapText="1"/>
    </xf>
    <xf numFmtId="0" fontId="1" fillId="11" borderId="0" applyFont="1" applyFill="1" applyAlignment="1">
      <alignment wrapText="1"/>
    </xf>
    <xf numFmtId="16" fontId="34" fillId="11" borderId="0" applyNumberFormat="1" applyFont="1" applyFill="1" applyAlignment="1">
      <alignment horizontal="left" textRotation="90" wrapText="1"/>
    </xf>
    <xf numFmtId="166" fontId="38" fillId="11" borderId="0" applyNumberFormat="1" applyFont="1" applyFill="1" applyAlignment="1">
      <alignment horizontal="center"/>
    </xf>
    <xf numFmtId="0" fontId="47" fillId="11" borderId="0" applyFont="1" applyFill="1"/>
    <xf numFmtId="1" fontId="45" fillId="3" borderId="22" applyNumberFormat="1" applyFont="1" applyFill="1" applyBorder="1" applyAlignment="1">
      <alignment horizontal="center"/>
    </xf>
    <xf numFmtId="1" fontId="45" fillId="3" borderId="23" applyNumberFormat="1" applyFont="1" applyFill="1" applyBorder="1" applyAlignment="1">
      <alignment horizontal="center"/>
    </xf>
    <xf numFmtId="0" fontId="51" fillId="0" borderId="24" applyFont="1" applyFill="1" applyBorder="1" applyAlignment="1">
      <alignment horizontal="left"/>
    </xf>
    <xf numFmtId="0" fontId="51" fillId="0" borderId="25" applyFont="1" applyFill="1" applyBorder="1" applyAlignment="1">
      <alignment horizontal="left"/>
    </xf>
    <xf numFmtId="0" fontId="51" fillId="0" borderId="25" applyFont="1" applyFill="1" applyBorder="1"/>
    <xf numFmtId="0" fontId="51" fillId="0" borderId="26" applyFont="1" applyFill="1" applyBorder="1"/>
    <xf numFmtId="0" fontId="53" fillId="0" borderId="27" applyFont="1" applyFill="1" applyBorder="1" applyAlignment="1">
      <alignment horizontal="center"/>
    </xf>
    <xf numFmtId="0" fontId="53" fillId="0" borderId="28" applyFont="1" applyFill="1" applyBorder="1" applyAlignment="1">
      <alignment horizontal="center"/>
    </xf>
    <xf numFmtId="0" fontId="53" fillId="0" borderId="29" applyFont="1" applyFill="1" applyBorder="1" applyAlignment="1">
      <alignment horizontal="center"/>
    </xf>
    <xf numFmtId="0" fontId="44" fillId="6" borderId="0" applyFont="1" applyFill="1" applyAlignment="1">
      <alignment horizontal="right"/>
    </xf>
    <xf numFmtId="166" fontId="1" fillId="0" borderId="0" applyNumberFormat="1" applyFont="1" applyFill="1"/>
    <xf numFmtId="0" fontId="53" fillId="0" borderId="22" applyFont="1" applyFill="1" applyBorder="1" applyAlignment="1">
      <alignment horizontal="center"/>
    </xf>
    <xf numFmtId="0" fontId="53" fillId="0" borderId="23" applyFont="1" applyFill="1" applyBorder="1" applyAlignment="1">
      <alignment horizontal="center"/>
    </xf>
    <xf numFmtId="166" fontId="1" fillId="0" borderId="24" applyNumberFormat="1" applyFont="1" applyFill="1" applyBorder="1" applyAlignment="1">
      <alignment horizontal="center"/>
    </xf>
    <xf numFmtId="166" fontId="1" fillId="0" borderId="25" applyNumberFormat="1" applyFont="1" applyFill="1" applyBorder="1" applyAlignment="1">
      <alignment horizontal="center"/>
    </xf>
    <xf numFmtId="166" fontId="1" fillId="0" borderId="26" applyNumberFormat="1" applyFont="1" applyFill="1" applyBorder="1" applyAlignment="1">
      <alignment horizontal="center"/>
    </xf>
    <xf numFmtId="166" fontId="1" fillId="6" borderId="22" applyNumberFormat="1" applyFont="1" applyFill="1" applyBorder="1" applyAlignment="1">
      <alignment horizontal="center"/>
    </xf>
    <xf numFmtId="166" fontId="1" fillId="6" borderId="23" applyNumberFormat="1" applyFont="1" applyFill="1" applyBorder="1" applyAlignment="1">
      <alignment horizontal="center"/>
    </xf>
    <xf numFmtId="166" fontId="1" fillId="0" borderId="27" applyNumberFormat="1" applyFont="1" applyFill="1" applyBorder="1" applyAlignment="1">
      <alignment horizontal="center"/>
    </xf>
    <xf numFmtId="166" fontId="1" fillId="0" borderId="28" applyNumberFormat="1" applyFont="1" applyFill="1" applyBorder="1" applyAlignment="1">
      <alignment horizontal="center"/>
    </xf>
    <xf numFmtId="166" fontId="1" fillId="0" borderId="29" applyNumberFormat="1" applyFont="1" applyFill="1" applyBorder="1" applyAlignment="1">
      <alignment horizontal="center"/>
    </xf>
    <xf numFmtId="2" fontId="1" fillId="0" borderId="24" applyNumberFormat="1" applyFont="1" applyFill="1" applyBorder="1" applyAlignment="1">
      <alignment horizontal="center"/>
    </xf>
    <xf numFmtId="2" fontId="1" fillId="0" borderId="25" applyNumberFormat="1" applyFont="1" applyFill="1" applyBorder="1" applyAlignment="1">
      <alignment horizontal="center"/>
    </xf>
    <xf numFmtId="2" fontId="1" fillId="0" borderId="26" applyNumberFormat="1" applyFont="1" applyFill="1" applyBorder="1" applyAlignment="1">
      <alignment horizontal="center"/>
    </xf>
    <xf numFmtId="2" fontId="1" fillId="6" borderId="22" applyNumberFormat="1" applyFont="1" applyFill="1" applyBorder="1" applyAlignment="1">
      <alignment horizontal="center"/>
    </xf>
    <xf numFmtId="2" fontId="1" fillId="6" borderId="23" applyNumberFormat="1" applyFont="1" applyFill="1" applyBorder="1" applyAlignment="1">
      <alignment horizontal="center"/>
    </xf>
    <xf numFmtId="0" fontId="36" fillId="6" borderId="30" applyFont="1" applyFill="1" applyBorder="1"/>
    <xf numFmtId="0" fontId="36" fillId="6" borderId="31" applyFont="1" applyFill="1" applyBorder="1"/>
    <xf numFmtId="0" fontId="36" fillId="6" borderId="32" applyFont="1" applyFill="1" applyBorder="1"/>
    <xf numFmtId="166" fontId="1" fillId="0" borderId="33" applyNumberFormat="1" applyFont="1" applyFill="1" applyBorder="1" applyAlignment="1">
      <alignment horizontal="center"/>
    </xf>
    <xf numFmtId="166" fontId="1" fillId="6" borderId="34" applyNumberFormat="1" applyFont="1" applyFill="1" applyBorder="1" applyAlignment="1">
      <alignment horizontal="center"/>
    </xf>
    <xf numFmtId="166" fontId="1" fillId="0" borderId="35" applyNumberFormat="1" applyFont="1" applyFill="1" applyBorder="1" applyAlignment="1">
      <alignment horizontal="center"/>
    </xf>
    <xf numFmtId="2" fontId="1" fillId="0" borderId="33" applyNumberFormat="1" applyFont="1" applyFill="1" applyBorder="1" applyAlignment="1">
      <alignment horizontal="center"/>
    </xf>
    <xf numFmtId="2" fontId="1" fillId="6" borderId="34" applyNumberFormat="1" applyFont="1" applyFill="1" applyBorder="1" applyAlignment="1">
      <alignment horizontal="center"/>
    </xf>
    <xf numFmtId="0" fontId="52" fillId="0" borderId="33" applyFont="1" applyFill="1" applyBorder="1" applyAlignment="1">
      <alignment horizontal="center"/>
    </xf>
    <xf numFmtId="0" fontId="52" fillId="0" borderId="35" applyFont="1" applyFill="1" applyBorder="1" applyAlignment="1">
      <alignment horizontal="center"/>
    </xf>
    <xf numFmtId="0" fontId="51" fillId="0" borderId="24" applyFont="1" applyFill="1" applyBorder="1" applyAlignment="1">
      <alignment horizontal="left"/>
    </xf>
    <xf numFmtId="0" fontId="51" fillId="0" borderId="25" applyFont="1" applyFill="1" applyBorder="1" applyAlignment="1">
      <alignment horizontal="left"/>
    </xf>
    <xf numFmtId="0" fontId="51" fillId="0" borderId="25" applyFont="1" applyFill="1" applyBorder="1"/>
    <xf numFmtId="0" fontId="51" fillId="0" borderId="36" applyFont="1" applyFill="1" applyBorder="1"/>
    <xf numFmtId="0" fontId="53" fillId="0" borderId="27" applyFont="1" applyFill="1" applyBorder="1" applyAlignment="1">
      <alignment horizontal="center"/>
    </xf>
    <xf numFmtId="0" fontId="53" fillId="0" borderId="28" applyFont="1" applyFill="1" applyBorder="1" applyAlignment="1">
      <alignment horizontal="center"/>
    </xf>
    <xf numFmtId="0" fontId="53" fillId="0" borderId="37" applyFont="1" applyFill="1" applyBorder="1" applyAlignment="1">
      <alignment horizontal="center"/>
    </xf>
    <xf numFmtId="0" fontId="52" fillId="0" borderId="24" applyFont="1" applyFill="1" applyBorder="1" applyAlignment="1">
      <alignment horizontal="center"/>
    </xf>
    <xf numFmtId="0" fontId="52" fillId="0" borderId="25" applyFont="1" applyFill="1" applyBorder="1" applyAlignment="1">
      <alignment horizontal="center"/>
    </xf>
    <xf numFmtId="0" fontId="52" fillId="0" borderId="26" applyFont="1" applyFill="1" applyBorder="1" applyAlignment="1">
      <alignment horizontal="center"/>
    </xf>
    <xf numFmtId="0" fontId="52" fillId="0" borderId="27" applyFont="1" applyFill="1" applyBorder="1" applyAlignment="1">
      <alignment horizontal="center"/>
    </xf>
    <xf numFmtId="0" fontId="52" fillId="0" borderId="28" applyFont="1" applyFill="1" applyBorder="1" applyAlignment="1">
      <alignment horizontal="center"/>
    </xf>
    <xf numFmtId="0" fontId="52" fillId="0" borderId="29" applyFont="1" applyFill="1" applyBorder="1" applyAlignment="1">
      <alignment horizontal="center"/>
    </xf>
    <xf numFmtId="0" fontId="53" fillId="0" borderId="22" applyFont="1" applyFill="1" applyBorder="1" applyAlignment="1">
      <alignment horizontal="center"/>
    </xf>
    <xf numFmtId="0" fontId="53" fillId="0" borderId="6" applyFont="1" applyFill="1" applyBorder="1" applyAlignment="1">
      <alignment horizontal="center"/>
    </xf>
    <xf numFmtId="0" fontId="52" fillId="0" borderId="22" applyFont="1" applyFill="1" applyBorder="1" applyAlignment="1">
      <alignment horizontal="center"/>
    </xf>
    <xf numFmtId="0" fontId="52" fillId="0" borderId="0" applyFont="1" applyFill="1" applyAlignment="1">
      <alignment horizontal="center"/>
    </xf>
    <xf numFmtId="0" fontId="52" fillId="0" borderId="23" applyFont="1" applyFill="1" applyBorder="1" applyAlignment="1">
      <alignment horizontal="center"/>
    </xf>
    <xf numFmtId="166" fontId="69" fillId="10" borderId="22" applyNumberFormat="1" applyFont="1" applyFill="1" applyBorder="1" applyAlignment="1">
      <alignment horizontal="center"/>
    </xf>
    <xf numFmtId="166" fontId="69" fillId="10" borderId="23" applyNumberFormat="1" applyFont="1" applyFill="1" applyBorder="1" applyAlignment="1">
      <alignment horizontal="center"/>
    </xf>
    <xf numFmtId="166" fontId="69" fillId="10" borderId="27" applyNumberFormat="1" applyFont="1" applyFill="1" applyBorder="1" applyAlignment="1">
      <alignment horizontal="center"/>
    </xf>
    <xf numFmtId="166" fontId="69" fillId="10" borderId="28" applyNumberFormat="1" applyFont="1" applyFill="1" applyBorder="1" applyAlignment="1">
      <alignment horizontal="center"/>
    </xf>
    <xf numFmtId="166" fontId="69" fillId="10" borderId="37" applyNumberFormat="1" applyFont="1" applyFill="1" applyBorder="1" applyAlignment="1">
      <alignment horizontal="center"/>
    </xf>
    <xf numFmtId="166" fontId="69" fillId="10" borderId="29" applyNumberFormat="1" applyFont="1" applyFill="1" applyBorder="1" applyAlignment="1">
      <alignment horizontal="center"/>
    </xf>
    <xf numFmtId="1" fontId="69" fillId="10" borderId="27" applyNumberFormat="1" applyFont="1" applyFill="1" applyBorder="1" applyAlignment="1">
      <alignment horizontal="center"/>
    </xf>
    <xf numFmtId="1" fontId="69" fillId="10" borderId="28" applyNumberFormat="1" applyFont="1" applyFill="1" applyBorder="1" applyAlignment="1">
      <alignment horizontal="center"/>
    </xf>
    <xf numFmtId="1" fontId="69" fillId="10" borderId="29" applyNumberFormat="1" applyFont="1" applyFill="1" applyBorder="1" applyAlignment="1">
      <alignment horizontal="center"/>
    </xf>
    <xf numFmtId="0" fontId="51" fillId="0" borderId="38" applyFont="1" applyFill="1" applyBorder="1"/>
    <xf numFmtId="0" fontId="53" fillId="0" borderId="7" applyFont="1" applyFill="1" applyBorder="1" applyAlignment="1">
      <alignment horizontal="center"/>
    </xf>
    <xf numFmtId="166" fontId="69" fillId="10" borderId="39" applyNumberFormat="1" applyFont="1" applyFill="1" applyBorder="1" applyAlignment="1">
      <alignment horizontal="center"/>
    </xf>
    <xf numFmtId="0" fontId="31" fillId="0" borderId="30" applyFont="1" applyFill="1" applyBorder="1" applyAlignment="1">
      <alignment horizontal="center" wrapText="1"/>
    </xf>
    <xf numFmtId="0" fontId="31" fillId="0" borderId="31" applyFont="1" applyFill="1" applyBorder="1" applyAlignment="1">
      <alignment horizontal="center" wrapText="1"/>
    </xf>
    <xf numFmtId="0" fontId="31" fillId="0" borderId="32" applyFont="1" applyFill="1" applyBorder="1" applyAlignment="1">
      <alignment horizontal="center" wrapText="1"/>
    </xf>
    <xf numFmtId="0" fontId="42" fillId="0" borderId="24" applyFont="1" applyFill="1" applyBorder="1" applyAlignment="1">
      <alignment horizontal="center"/>
    </xf>
    <xf numFmtId="0" fontId="42" fillId="0" borderId="26" applyFont="1" applyFill="1" applyBorder="1" applyAlignment="1">
      <alignment horizontal="center"/>
    </xf>
    <xf numFmtId="0" fontId="42" fillId="10" borderId="22" applyFont="1" applyFill="1" applyBorder="1" applyAlignment="1">
      <alignment horizontal="center"/>
    </xf>
    <xf numFmtId="0" fontId="42" fillId="10" borderId="23" applyFont="1" applyFill="1" applyBorder="1" applyAlignment="1">
      <alignment horizontal="center"/>
    </xf>
    <xf numFmtId="0" fontId="42" fillId="0" borderId="22" applyFont="1" applyFill="1" applyBorder="1" applyAlignment="1">
      <alignment horizontal="center"/>
    </xf>
    <xf numFmtId="0" fontId="42" fillId="0" borderId="23" applyFont="1" applyFill="1" applyBorder="1" applyAlignment="1">
      <alignment horizontal="center"/>
    </xf>
    <xf numFmtId="0" fontId="42" fillId="10" borderId="27" applyFont="1" applyFill="1" applyBorder="1" applyAlignment="1">
      <alignment horizontal="center"/>
    </xf>
    <xf numFmtId="0" fontId="42" fillId="10" borderId="29" applyFont="1" applyFill="1" applyBorder="1" applyAlignment="1">
      <alignment horizontal="center"/>
    </xf>
    <xf numFmtId="0" fontId="42" fillId="0" borderId="25" applyFont="1" applyFill="1" applyBorder="1" applyAlignment="1">
      <alignment horizontal="center"/>
    </xf>
    <xf numFmtId="0" fontId="42" fillId="10" borderId="0" applyFont="1" applyFill="1" applyAlignment="1">
      <alignment horizontal="center"/>
    </xf>
    <xf numFmtId="0" fontId="42" fillId="0" borderId="0" applyFont="1" applyFill="1" applyAlignment="1">
      <alignment horizontal="center"/>
    </xf>
    <xf numFmtId="0" fontId="42" fillId="10" borderId="28" applyFont="1" applyFill="1" applyBorder="1" applyAlignment="1">
      <alignment horizontal="center"/>
    </xf>
    <xf numFmtId="166" fontId="69" fillId="0" borderId="24" applyNumberFormat="1" applyFont="1" applyFill="1" applyBorder="1" applyAlignment="1">
      <alignment horizontal="center"/>
    </xf>
    <xf numFmtId="166" fontId="69" fillId="0" borderId="25" applyNumberFormat="1" applyFont="1" applyFill="1" applyBorder="1" applyAlignment="1">
      <alignment horizontal="center"/>
    </xf>
    <xf numFmtId="166" fontId="69" fillId="0" borderId="26" applyNumberFormat="1" applyFont="1" applyFill="1" applyBorder="1" applyAlignment="1">
      <alignment horizontal="center"/>
    </xf>
    <xf numFmtId="166" fontId="69" fillId="10" borderId="22" applyNumberFormat="1" applyFont="1" applyFill="1" applyBorder="1" applyAlignment="1">
      <alignment horizontal="center"/>
    </xf>
    <xf numFmtId="166" fontId="69" fillId="10" borderId="23" applyNumberFormat="1" applyFont="1" applyFill="1" applyBorder="1" applyAlignment="1">
      <alignment horizontal="center"/>
    </xf>
    <xf numFmtId="166" fontId="69" fillId="0" borderId="22" applyNumberFormat="1" applyFont="1" applyFill="1" applyBorder="1" applyAlignment="1">
      <alignment horizontal="center"/>
    </xf>
    <xf numFmtId="166" fontId="69" fillId="0" borderId="23" applyNumberFormat="1" applyFont="1" applyFill="1" applyBorder="1" applyAlignment="1">
      <alignment horizontal="center"/>
    </xf>
    <xf numFmtId="166" fontId="69" fillId="10" borderId="27" applyNumberFormat="1" applyFont="1" applyFill="1" applyBorder="1" applyAlignment="1">
      <alignment horizontal="center"/>
    </xf>
    <xf numFmtId="166" fontId="69" fillId="10" borderId="28" applyNumberFormat="1" applyFont="1" applyFill="1" applyBorder="1" applyAlignment="1">
      <alignment horizontal="center"/>
    </xf>
    <xf numFmtId="166" fontId="69" fillId="10" borderId="29" applyNumberFormat="1" applyFont="1" applyFill="1" applyBorder="1" applyAlignment="1">
      <alignment horizontal="center"/>
    </xf>
    <xf numFmtId="166" fontId="69" fillId="0" borderId="27" applyNumberFormat="1" applyFont="1" applyFill="1" applyBorder="1" applyAlignment="1">
      <alignment horizontal="center"/>
    </xf>
    <xf numFmtId="166" fontId="69" fillId="0" borderId="28" applyNumberFormat="1" applyFont="1" applyFill="1" applyBorder="1" applyAlignment="1">
      <alignment horizontal="center"/>
    </xf>
    <xf numFmtId="166" fontId="69" fillId="0" borderId="29" applyNumberFormat="1" applyFont="1" applyFill="1" applyBorder="1" applyAlignment="1">
      <alignment horizontal="center"/>
    </xf>
    <xf numFmtId="2" fontId="69" fillId="10" borderId="30" applyNumberFormat="1" applyFont="1" applyFill="1" applyBorder="1" applyAlignment="1">
      <alignment horizontal="center"/>
    </xf>
    <xf numFmtId="2" fontId="69" fillId="10" borderId="31" applyNumberFormat="1" applyFont="1" applyFill="1" applyBorder="1" applyAlignment="1">
      <alignment horizontal="center"/>
    </xf>
    <xf numFmtId="2" fontId="69" fillId="10" borderId="40" applyNumberFormat="1" applyFont="1" applyFill="1" applyBorder="1" applyAlignment="1">
      <alignment horizontal="center"/>
    </xf>
    <xf numFmtId="2" fontId="69" fillId="10" borderId="22" applyNumberFormat="1" applyFont="1" applyFill="1" applyBorder="1" applyAlignment="1">
      <alignment horizontal="center"/>
    </xf>
    <xf numFmtId="2" fontId="69" fillId="10" borderId="23" applyNumberFormat="1" applyFont="1" applyFill="1" applyBorder="1" applyAlignment="1">
      <alignment horizontal="center"/>
    </xf>
    <xf numFmtId="2" fontId="69" fillId="10" borderId="41" applyNumberFormat="1" applyFont="1" applyFill="1" applyBorder="1" applyAlignment="1">
      <alignment horizontal="center"/>
    </xf>
    <xf numFmtId="0" fontId="53" fillId="0" borderId="39" applyFont="1" applyFill="1" applyBorder="1" applyAlignment="1">
      <alignment horizontal="center"/>
    </xf>
    <xf numFmtId="2" fontId="69" fillId="0" borderId="24" applyNumberFormat="1" applyFont="1" applyFill="1" applyBorder="1" applyAlignment="1">
      <alignment horizontal="center"/>
    </xf>
    <xf numFmtId="2" fontId="69" fillId="0" borderId="26" applyNumberFormat="1" applyFont="1" applyFill="1" applyBorder="1" applyAlignment="1">
      <alignment horizontal="center"/>
    </xf>
    <xf numFmtId="2" fontId="69" fillId="10" borderId="22" applyNumberFormat="1" applyFont="1" applyFill="1" applyBorder="1" applyAlignment="1">
      <alignment horizontal="center"/>
    </xf>
    <xf numFmtId="2" fontId="69" fillId="10" borderId="23" applyNumberFormat="1" applyFont="1" applyFill="1" applyBorder="1" applyAlignment="1">
      <alignment horizontal="center"/>
    </xf>
    <xf numFmtId="2" fontId="69" fillId="0" borderId="22" applyNumberFormat="1" applyFont="1" applyFill="1" applyBorder="1" applyAlignment="1">
      <alignment horizontal="center"/>
    </xf>
    <xf numFmtId="2" fontId="69" fillId="0" borderId="23" applyNumberFormat="1" applyFont="1" applyFill="1" applyBorder="1" applyAlignment="1">
      <alignment horizontal="center"/>
    </xf>
    <xf numFmtId="2" fontId="69" fillId="10" borderId="27" applyNumberFormat="1" applyFont="1" applyFill="1" applyBorder="1" applyAlignment="1">
      <alignment horizontal="center"/>
    </xf>
    <xf numFmtId="2" fontId="69" fillId="10" borderId="29" applyNumberFormat="1" applyFont="1" applyFill="1" applyBorder="1" applyAlignment="1">
      <alignment horizontal="center"/>
    </xf>
    <xf numFmtId="2" fontId="69" fillId="0" borderId="25" applyNumberFormat="1" applyFont="1" applyFill="1" applyBorder="1" applyAlignment="1">
      <alignment horizontal="center"/>
    </xf>
    <xf numFmtId="2" fontId="69" fillId="10" borderId="28" applyNumberFormat="1" applyFont="1" applyFill="1" applyBorder="1" applyAlignment="1">
      <alignment horizontal="center"/>
    </xf>
    <xf numFmtId="2" fontId="69" fillId="0" borderId="27" applyNumberFormat="1" applyFont="1" applyFill="1" applyBorder="1" applyAlignment="1">
      <alignment horizontal="center"/>
    </xf>
    <xf numFmtId="2" fontId="69" fillId="0" borderId="28" applyNumberFormat="1" applyFont="1" applyFill="1" applyBorder="1" applyAlignment="1">
      <alignment horizontal="center"/>
    </xf>
    <xf numFmtId="2" fontId="69" fillId="0" borderId="29" applyNumberFormat="1" applyFont="1" applyFill="1" applyBorder="1" applyAlignment="1">
      <alignment horizontal="center"/>
    </xf>
    <xf numFmtId="0" fontId="46" fillId="3" borderId="0" applyFont="1" applyFill="1"/>
    <xf numFmtId="0" fontId="45" fillId="3" borderId="33" applyFont="1" applyFill="1" applyBorder="1" applyAlignment="1">
      <alignment horizontal="center"/>
    </xf>
    <xf numFmtId="0" fontId="45" fillId="6" borderId="34" applyFont="1" applyFill="1" applyBorder="1" applyAlignment="1">
      <alignment horizontal="center"/>
    </xf>
    <xf numFmtId="0" fontId="45" fillId="3" borderId="34" applyFont="1" applyFill="1" applyBorder="1" applyAlignment="1">
      <alignment horizontal="center"/>
    </xf>
    <xf numFmtId="0" fontId="45" fillId="6" borderId="35" applyFont="1" applyFill="1" applyBorder="1" applyAlignment="1">
      <alignment horizontal="center"/>
    </xf>
    <xf numFmtId="1" fontId="45" fillId="3" borderId="24" applyNumberFormat="1" applyFont="1" applyFill="1" applyBorder="1" applyAlignment="1">
      <alignment horizontal="center"/>
    </xf>
    <xf numFmtId="1" fontId="45" fillId="3" borderId="25" applyNumberFormat="1" applyFont="1" applyFill="1" applyBorder="1" applyAlignment="1">
      <alignment horizontal="center"/>
    </xf>
    <xf numFmtId="1" fontId="45" fillId="3" borderId="26" applyNumberFormat="1" applyFont="1" applyFill="1" applyBorder="1" applyAlignment="1">
      <alignment horizontal="center"/>
    </xf>
    <xf numFmtId="1" fontId="45" fillId="6" borderId="22" applyNumberFormat="1" applyFont="1" applyFill="1" applyBorder="1" applyAlignment="1">
      <alignment horizontal="center"/>
    </xf>
    <xf numFmtId="1" fontId="45" fillId="6" borderId="23" applyNumberFormat="1" applyFont="1" applyFill="1" applyBorder="1" applyAlignment="1">
      <alignment horizontal="center"/>
    </xf>
    <xf numFmtId="1" fontId="45" fillId="6" borderId="27" applyNumberFormat="1" applyFont="1" applyFill="1" applyBorder="1" applyAlignment="1">
      <alignment horizontal="center"/>
    </xf>
    <xf numFmtId="1" fontId="45" fillId="6" borderId="28" applyNumberFormat="1" applyFont="1" applyFill="1" applyBorder="1" applyAlignment="1">
      <alignment horizontal="center"/>
    </xf>
    <xf numFmtId="1" fontId="45" fillId="6" borderId="29" applyNumberFormat="1" applyFont="1" applyFill="1" applyBorder="1" applyAlignment="1">
      <alignment horizontal="center"/>
    </xf>
    <xf numFmtId="1" fontId="45" fillId="3" borderId="36" applyNumberFormat="1" applyFont="1" applyFill="1" applyBorder="1" applyAlignment="1">
      <alignment horizontal="center"/>
    </xf>
    <xf numFmtId="1" fontId="45" fillId="3" borderId="38" applyNumberFormat="1" applyFont="1" applyFill="1" applyBorder="1" applyAlignment="1">
      <alignment horizontal="center"/>
    </xf>
    <xf numFmtId="1" fontId="45" fillId="6" borderId="37" applyNumberFormat="1" applyFont="1" applyFill="1" applyBorder="1" applyAlignment="1">
      <alignment horizontal="center"/>
    </xf>
    <xf numFmtId="1" fontId="45" fillId="6" borderId="39" applyNumberFormat="1" applyFont="1" applyFill="1" applyBorder="1" applyAlignment="1">
      <alignment horizontal="center"/>
    </xf>
    <xf numFmtId="0" fontId="42" fillId="0" borderId="14" applyFont="1" applyFill="1" applyBorder="1" applyAlignment="1">
      <alignment horizontal="right"/>
    </xf>
    <xf numFmtId="0" fontId="32" fillId="0" borderId="0" applyFont="1" applyFill="1"/>
    <xf numFmtId="17" fontId="42" fillId="0" borderId="0" applyNumberFormat="1" applyFont="1" applyFill="1" applyAlignment="1">
      <alignment horizontal="left"/>
    </xf>
    <xf numFmtId="0" fontId="1" fillId="12" borderId="0" applyFont="1" applyFill="1"/>
    <xf numFmtId="0" fontId="62" fillId="12" borderId="0" applyFont="1" applyFill="1" applyAlignment="1">
      <alignment horizontal="right"/>
    </xf>
    <xf numFmtId="0" fontId="63" fillId="12" borderId="0" applyFont="1" applyFill="1" applyAlignment="1">
      <alignment horizontal="left" vertical="top"/>
    </xf>
    <xf numFmtId="0" fontId="64" fillId="12" borderId="0" applyFont="1" applyFill="1" applyAlignment="1">
      <alignment horizontal="right"/>
    </xf>
    <xf numFmtId="0" fontId="65" fillId="12" borderId="0" applyFont="1" applyFill="1"/>
    <xf numFmtId="0" fontId="63" fillId="12" borderId="0" applyFont="1" applyFill="1"/>
    <xf numFmtId="0" fontId="65" fillId="12" borderId="0" applyFont="1" applyFill="1" applyAlignment="1">
      <alignment wrapText="1"/>
    </xf>
    <xf numFmtId="0" fontId="66" fillId="12" borderId="0" applyFont="1" applyFill="1"/>
    <xf numFmtId="0" fontId="69" fillId="12" borderId="0" applyFont="1" applyFill="1"/>
    <xf numFmtId="0" fontId="36" fillId="12" borderId="0" applyFont="1" applyFill="1"/>
    <xf numFmtId="0" fontId="55" fillId="12" borderId="1" applyFont="1" applyFill="1" applyBorder="1"/>
    <xf numFmtId="0" fontId="55" fillId="12" borderId="30" applyFont="1" applyFill="1" applyBorder="1"/>
    <xf numFmtId="0" fontId="56" fillId="12" borderId="1" applyFont="1" applyFill="1" applyBorder="1" applyAlignment="1">
      <alignment horizontal="center"/>
    </xf>
    <xf numFmtId="0" fontId="1" fillId="12" borderId="0" applyFont="1" applyFill="1" applyAlignment="1">
      <alignment horizontal="right"/>
    </xf>
    <xf numFmtId="0" fontId="63" fillId="12" borderId="0" applyFont="1" applyFill="1" applyAlignment="1">
      <alignment horizontal="right" vertical="top"/>
    </xf>
    <xf numFmtId="0" fontId="65" fillId="12" borderId="0" applyFont="1" applyFill="1" applyAlignment="1">
      <alignment horizontal="right"/>
    </xf>
    <xf numFmtId="0" fontId="54" fillId="12" borderId="0" applyFont="1" applyFill="1" applyAlignment="1">
      <alignment horizontal="right"/>
    </xf>
    <xf numFmtId="0" fontId="63" fillId="12" borderId="0" applyFont="1" applyFill="1" applyAlignment="1">
      <alignment horizontal="right"/>
    </xf>
    <xf numFmtId="0" fontId="1" fillId="11" borderId="0" applyFont="1" applyFill="1" applyAlignment="1">
      <alignment horizontal="right"/>
    </xf>
    <xf numFmtId="0" fontId="33" fillId="3" borderId="0" applyFont="1" applyFill="1" applyAlignment="1">
      <alignment horizontal="centerContinuous"/>
    </xf>
    <xf numFmtId="0" fontId="34" fillId="11" borderId="0" applyFont="1" applyFill="1"/>
    <xf numFmtId="0" fontId="54" fillId="12" borderId="0" applyFont="1" applyFill="1" applyAlignment="1">
      <alignment horizontal="left" vertical="top"/>
    </xf>
    <xf numFmtId="0" fontId="68" fillId="12" borderId="0" applyFont="1" applyFill="1"/>
    <xf numFmtId="0" fontId="63" fillId="12" borderId="0" applyFont="1" applyFill="1" applyAlignment="1">
      <alignment vertical="top"/>
    </xf>
    <xf numFmtId="0" fontId="34" fillId="12" borderId="0" applyFont="1" applyFill="1" applyAlignment="1">
      <alignment horizontal="right" vertical="top"/>
    </xf>
    <xf numFmtId="0" fontId="69" fillId="3" borderId="0" applyFont="1" applyFill="1" applyAlignment="1">
      <alignment horizontal="left"/>
    </xf>
    <xf numFmtId="0" fontId="73" fillId="0" borderId="0" applyFont="1" applyFill="1"/>
    <xf numFmtId="0" fontId="76" fillId="0" borderId="0" applyFont="1" applyFill="1"/>
    <xf numFmtId="0" fontId="77" fillId="0" borderId="0" applyFont="1" applyFill="1"/>
    <xf numFmtId="0" fontId="75" fillId="0" borderId="0" applyFont="1" applyFill="1" applyAlignment="1">
      <alignment vertical="top"/>
    </xf>
    <xf numFmtId="0" fontId="78" fillId="0" borderId="0" applyFont="1" applyFill="1"/>
    <xf numFmtId="0" fontId="79" fillId="0" borderId="0" applyFont="1" applyFill="1"/>
    <xf numFmtId="0" fontId="79" fillId="0" borderId="0" applyFont="1" applyFill="1" applyAlignment="1">
      <alignment vertical="top" wrapText="1"/>
    </xf>
    <xf numFmtId="0" fontId="73" fillId="0" borderId="0" applyFont="1" applyFill="1" applyAlignment="1">
      <alignment vertical="top" wrapText="1"/>
    </xf>
    <xf numFmtId="0" fontId="35" fillId="3" borderId="0" applyFont="1" applyFill="1" applyAlignment="1">
      <alignment vertical="center"/>
    </xf>
    <xf numFmtId="0" fontId="71" fillId="0" borderId="0" applyFont="1" applyFill="1" applyAlignment="1">
      <alignment vertical="top"/>
    </xf>
    <xf numFmtId="0" fontId="72" fillId="0" borderId="0" applyFont="1" applyFill="1" applyAlignment="1">
      <alignment vertical="top"/>
    </xf>
    <xf numFmtId="166" fontId="69" fillId="13" borderId="24" applyNumberFormat="1" applyFont="1" applyFill="1" applyBorder="1" applyAlignment="1">
      <alignment horizontal="center"/>
    </xf>
    <xf numFmtId="166" fontId="69" fillId="13" borderId="25" applyNumberFormat="1" applyFont="1" applyFill="1" applyBorder="1" applyAlignment="1">
      <alignment horizontal="center"/>
    </xf>
    <xf numFmtId="166" fontId="69" fillId="13" borderId="36" applyNumberFormat="1" applyFont="1" applyFill="1" applyBorder="1" applyAlignment="1">
      <alignment horizontal="center"/>
    </xf>
    <xf numFmtId="166" fontId="69" fillId="13" borderId="38" applyNumberFormat="1" applyFont="1" applyFill="1" applyBorder="1" applyAlignment="1">
      <alignment horizontal="center"/>
    </xf>
    <xf numFmtId="166" fontId="69" fillId="13" borderId="0" applyNumberFormat="1" applyFont="1" applyFill="1"/>
    <xf numFmtId="166" fontId="69" fillId="13" borderId="26" applyNumberFormat="1" applyFont="1" applyFill="1" applyBorder="1" applyAlignment="1">
      <alignment horizontal="center"/>
    </xf>
    <xf numFmtId="166" fontId="69" fillId="13" borderId="27" applyNumberFormat="1" applyFont="1" applyFill="1" applyBorder="1" applyAlignment="1">
      <alignment horizontal="center"/>
    </xf>
    <xf numFmtId="166" fontId="69" fillId="13" borderId="28" applyNumberFormat="1" applyFont="1" applyFill="1" applyBorder="1" applyAlignment="1">
      <alignment horizontal="center"/>
    </xf>
    <xf numFmtId="166" fontId="69" fillId="13" borderId="37" applyNumberFormat="1" applyFont="1" applyFill="1" applyBorder="1" applyAlignment="1">
      <alignment horizontal="center"/>
    </xf>
    <xf numFmtId="166" fontId="69" fillId="13" borderId="39" applyNumberFormat="1" applyFont="1" applyFill="1" applyBorder="1" applyAlignment="1">
      <alignment horizontal="center"/>
    </xf>
    <xf numFmtId="166" fontId="69" fillId="13" borderId="29" applyNumberFormat="1" applyFont="1" applyFill="1" applyBorder="1" applyAlignment="1">
      <alignment horizontal="center"/>
    </xf>
    <xf numFmtId="1" fontId="69" fillId="13" borderId="24" applyNumberFormat="1" applyFont="1" applyFill="1" applyBorder="1" applyAlignment="1">
      <alignment horizontal="center"/>
    </xf>
    <xf numFmtId="1" fontId="69" fillId="13" borderId="25" applyNumberFormat="1" applyFont="1" applyFill="1" applyBorder="1" applyAlignment="1">
      <alignment horizontal="center"/>
    </xf>
    <xf numFmtId="1" fontId="69" fillId="13" borderId="36" applyNumberFormat="1" applyFont="1" applyFill="1" applyBorder="1" applyAlignment="1">
      <alignment horizontal="center"/>
    </xf>
    <xf numFmtId="1" fontId="69" fillId="13" borderId="38" applyNumberFormat="1" applyFont="1" applyFill="1" applyBorder="1" applyAlignment="1">
      <alignment horizontal="center"/>
    </xf>
    <xf numFmtId="1" fontId="69" fillId="13" borderId="0" applyNumberFormat="1" applyFont="1" applyFill="1"/>
    <xf numFmtId="1" fontId="69" fillId="13" borderId="26" applyNumberFormat="1" applyFont="1" applyFill="1" applyBorder="1" applyAlignment="1">
      <alignment horizontal="center"/>
    </xf>
    <xf numFmtId="2" fontId="69" fillId="13" borderId="24" applyNumberFormat="1" applyFont="1" applyFill="1" applyBorder="1" applyAlignment="1">
      <alignment horizontal="center"/>
    </xf>
    <xf numFmtId="2" fontId="69" fillId="13" borderId="25" applyNumberFormat="1" applyFont="1" applyFill="1" applyBorder="1" applyAlignment="1">
      <alignment horizontal="center"/>
    </xf>
    <xf numFmtId="2" fontId="69" fillId="13" borderId="36" applyNumberFormat="1" applyFont="1" applyFill="1" applyBorder="1" applyAlignment="1">
      <alignment horizontal="center"/>
    </xf>
    <xf numFmtId="2" fontId="69" fillId="13" borderId="38" applyNumberFormat="1" applyFont="1" applyFill="1" applyBorder="1" applyAlignment="1">
      <alignment horizontal="center"/>
    </xf>
    <xf numFmtId="2" fontId="69" fillId="13" borderId="0" applyNumberFormat="1" applyFont="1" applyFill="1"/>
    <xf numFmtId="2" fontId="69" fillId="13" borderId="26" applyNumberFormat="1" applyFont="1" applyFill="1" applyBorder="1" applyAlignment="1">
      <alignment horizontal="center"/>
    </xf>
    <xf numFmtId="2" fontId="69" fillId="13" borderId="27" applyNumberFormat="1" applyFont="1" applyFill="1" applyBorder="1" applyAlignment="1">
      <alignment horizontal="center"/>
    </xf>
    <xf numFmtId="2" fontId="69" fillId="13" borderId="28" applyNumberFormat="1" applyFont="1" applyFill="1" applyBorder="1" applyAlignment="1">
      <alignment horizontal="center"/>
    </xf>
    <xf numFmtId="2" fontId="69" fillId="13" borderId="37" applyNumberFormat="1" applyFont="1" applyFill="1" applyBorder="1" applyAlignment="1">
      <alignment horizontal="center"/>
    </xf>
    <xf numFmtId="2" fontId="69" fillId="13" borderId="39" applyNumberFormat="1" applyFont="1" applyFill="1" applyBorder="1" applyAlignment="1">
      <alignment horizontal="center"/>
    </xf>
    <xf numFmtId="2" fontId="69" fillId="13" borderId="29" applyNumberFormat="1" applyFont="1" applyFill="1" applyBorder="1" applyAlignment="1">
      <alignment horizontal="center"/>
    </xf>
    <xf numFmtId="166" fontId="42" fillId="13" borderId="0" applyNumberFormat="1" applyFont="1" applyFill="1" applyBorder="1" applyAlignment="1">
      <alignment horizontal="center"/>
    </xf>
    <xf numFmtId="166" fontId="42" fillId="13" borderId="6" applyNumberFormat="1" applyFont="1" applyFill="1" applyBorder="1" applyAlignment="1">
      <alignment horizontal="center"/>
    </xf>
    <xf numFmtId="166" fontId="42" fillId="13" borderId="7" applyNumberFormat="1" applyFont="1" applyFill="1" applyBorder="1" applyAlignment="1">
      <alignment horizontal="center"/>
    </xf>
    <xf numFmtId="0" fontId="42" fillId="13" borderId="0" applyFont="1" applyFill="1"/>
    <xf numFmtId="0" fontId="1" fillId="12" borderId="0" applyFont="1" applyFill="1" applyAlignment="1">
      <alignment vertical="top"/>
    </xf>
    <xf numFmtId="0" fontId="69" fillId="12" borderId="0" applyFont="1" applyFill="1" applyAlignment="1">
      <alignment vertical="top"/>
    </xf>
    <xf numFmtId="0" fontId="1" fillId="11" borderId="0" applyFont="1" applyFill="1" applyAlignment="1">
      <alignment vertical="top"/>
    </xf>
    <xf numFmtId="0" fontId="1" fillId="0" borderId="0" applyFont="1" applyFill="1" applyAlignment="1">
      <alignment vertical="top"/>
    </xf>
    <xf numFmtId="0" fontId="34" fillId="12" borderId="0" applyFont="1" applyFill="1"/>
    <xf numFmtId="0" fontId="63" fillId="12" borderId="0" applyFont="1" applyFill="1" applyAlignment="1">
      <alignment horizontal="center"/>
    </xf>
    <xf numFmtId="0" fontId="34" fillId="12" borderId="0" applyFont="1" applyFill="1" applyAlignment="1">
      <alignment horizontal="right"/>
    </xf>
    <xf numFmtId="0" fontId="34" fillId="11" borderId="0" applyFont="1" applyFill="1"/>
    <xf numFmtId="0" fontId="39" fillId="12" borderId="0" applyFont="1" applyFill="1"/>
    <xf numFmtId="0" fontId="39" fillId="12" borderId="0" applyFont="1" applyFill="1" applyAlignment="1">
      <alignment horizontal="right"/>
    </xf>
    <xf numFmtId="0" fontId="39" fillId="11" borderId="0" applyFont="1" applyFill="1"/>
    <xf numFmtId="0" fontId="67" fillId="12" borderId="0" applyFont="1" applyFill="1" applyAlignment="1">
      <alignment horizontal="left"/>
    </xf>
    <xf numFmtId="0" fontId="67" fillId="12" borderId="0" applyFont="1" applyFill="1"/>
    <xf numFmtId="2" fontId="69" fillId="14" borderId="0" applyNumberFormat="1" applyFont="1" applyFill="1" applyBorder="1" applyAlignment="1">
      <alignment horizontal="center"/>
    </xf>
    <xf numFmtId="2" fontId="69" fillId="14" borderId="6" applyNumberFormat="1" applyFont="1" applyFill="1" applyBorder="1" applyAlignment="1">
      <alignment horizontal="center"/>
    </xf>
    <xf numFmtId="2" fontId="69" fillId="14" borderId="7" applyNumberFormat="1" applyFont="1" applyFill="1" applyBorder="1" applyAlignment="1">
      <alignment horizontal="center"/>
    </xf>
    <xf numFmtId="2" fontId="69" fillId="13" borderId="0" applyNumberFormat="1" applyFont="1" applyFill="1" applyBorder="1" applyAlignment="1">
      <alignment horizontal="center"/>
    </xf>
    <xf numFmtId="2" fontId="69" fillId="13" borderId="6" applyNumberFormat="1" applyFont="1" applyFill="1" applyBorder="1" applyAlignment="1">
      <alignment horizontal="center"/>
    </xf>
    <xf numFmtId="2" fontId="69" fillId="13" borderId="7" applyNumberFormat="1" applyFont="1" applyFill="1" applyBorder="1" applyAlignment="1">
      <alignment horizontal="center"/>
    </xf>
    <xf numFmtId="0" fontId="54" fillId="12" borderId="0" applyFont="1" applyFill="1" applyAlignment="1">
      <alignment horizontal="left" wrapText="1"/>
    </xf>
    <xf numFmtId="0" fontId="67" fillId="12" borderId="0" applyFont="1" applyFill="1" applyAlignment="1">
      <alignment horizontal="left" wrapText="1"/>
    </xf>
    <xf numFmtId="0" fontId="39" fillId="3" borderId="0" applyFont="1" applyFill="1" applyAlignment="1">
      <alignment horizontal="left" wrapText="1"/>
    </xf>
    <xf numFmtId="0" fontId="32" fillId="3" borderId="0" applyFont="1" applyFill="1" applyAlignment="1">
      <alignment horizontal="right" vertical="center"/>
    </xf>
    <xf numFmtId="0" fontId="55" fillId="12" borderId="30" applyFont="1" applyFill="1" applyBorder="1" applyAlignment="1">
      <alignment horizontal="center"/>
    </xf>
    <xf numFmtId="0" fontId="55" fillId="12" borderId="31" applyFont="1" applyFill="1" applyBorder="1" applyAlignment="1">
      <alignment horizontal="center"/>
    </xf>
    <xf numFmtId="0" fontId="55" fillId="12" borderId="32" applyFont="1" applyFill="1" applyBorder="1" applyAlignment="1">
      <alignment horizontal="center"/>
    </xf>
    <xf numFmtId="0" fontId="32" fillId="3" borderId="0" applyFont="1" applyFill="1" applyAlignment="1">
      <alignment horizontal="center"/>
    </xf>
    <xf numFmtId="0" fontId="69" fillId="3" borderId="0" applyFont="1" applyFill="1" applyAlignment="1">
      <alignment horizontal="right"/>
    </xf>
    <xf numFmtId="0" fontId="1" fillId="0" borderId="0" applyFont="1" applyFill="1" applyAlignment="1">
      <alignment horizontal="center"/>
    </xf>
    <xf numFmtId="0" fontId="3" fillId="12" borderId="30" applyFont="1" applyFill="1" applyBorder="1" applyAlignment="1">
      <alignment horizontal="center"/>
    </xf>
    <xf numFmtId="0" fontId="1" fillId="12" borderId="31" applyFont="1" applyFill="1" applyBorder="1" applyAlignment="1">
      <alignment horizontal="center"/>
    </xf>
    <xf numFmtId="0" fontId="1" fillId="12" borderId="32" applyFont="1" applyFill="1" applyBorder="1" applyAlignment="1">
      <alignment horizontal="center"/>
    </xf>
    <xf numFmtId="0" fontId="1" fillId="0" borderId="0" applyFont="1" applyFill="1"/>
    <xf numFmtId="0" fontId="1" fillId="0" borderId="20" applyFont="1" applyFill="1" applyBorder="1" applyAlignment="1">
      <alignment horizontal="center"/>
    </xf>
    <xf numFmtId="0" fontId="39" fillId="0" borderId="0" applyFont="1" applyFill="1" applyAlignment="1">
      <alignment horizontal="left" wrapText="1"/>
    </xf>
    <xf numFmtId="0" fontId="3" fillId="12" borderId="31" applyFont="1" applyFill="1" applyBorder="1" applyAlignment="1">
      <alignment horizontal="center"/>
    </xf>
    <xf numFmtId="0" fontId="3" fillId="12" borderId="32" applyFont="1" applyFill="1" applyBorder="1" applyAlignment="1">
      <alignment horizontal="center"/>
    </xf>
    <xf numFmtId="0" fontId="36" fillId="0" borderId="0" applyFont="1" applyFill="1" applyAlignment="1">
      <alignment horizontal="right"/>
    </xf>
    <xf numFmtId="0" fontId="55" fillId="12" borderId="33" applyFont="1" applyFill="1" applyBorder="1" applyAlignment="1">
      <alignment horizontal="center" vertical="center"/>
    </xf>
    <xf numFmtId="0" fontId="55" fillId="12" borderId="35" applyFont="1" applyFill="1" applyBorder="1" applyAlignment="1">
      <alignment horizontal="center" vertical="center"/>
    </xf>
    <xf numFmtId="0" fontId="37" fillId="0" borderId="0" applyFont="1" applyFill="1" applyAlignment="1">
      <alignment horizontal="center"/>
    </xf>
    <xf numFmtId="0" fontId="37" fillId="0" borderId="42" applyFont="1" applyFill="1" applyBorder="1" applyAlignment="1">
      <alignment horizontal="center"/>
    </xf>
    <xf numFmtId="0" fontId="37" fillId="0" borderId="43" applyFont="1" applyFill="1" applyBorder="1" applyAlignment="1">
      <alignment horizontal="center"/>
    </xf>
    <xf numFmtId="0" fontId="37" fillId="0" borderId="44" applyFont="1" applyFill="1" applyBorder="1" applyAlignment="1">
      <alignment horizontal="center"/>
    </xf>
    <xf numFmtId="0" fontId="69" fillId="0" borderId="0" applyFont="1" applyFill="1" applyAlignment="1">
      <alignment horizontal="right"/>
    </xf>
    <xf numFmtId="0" fontId="21" fillId="0" borderId="30" applyFont="1" applyFill="1" applyBorder="1" applyAlignment="1">
      <alignment horizontal="center"/>
    </xf>
    <xf numFmtId="0" fontId="21" fillId="0" borderId="31" applyFont="1" applyFill="1" applyBorder="1" applyAlignment="1">
      <alignment horizontal="center"/>
    </xf>
    <xf numFmtId="0" fontId="21" fillId="0" borderId="32" applyFont="1" applyFill="1" applyBorder="1" applyAlignment="1">
      <alignment horizontal="center"/>
    </xf>
    <xf numFmtId="0" fontId="69" fillId="0" borderId="0" applyFont="1" applyFill="1" applyAlignment="1">
      <alignment horizontal="right" shrinkToFit="1"/>
    </xf>
    <xf numFmtId="0" fontId="19" fillId="12" borderId="30" applyFont="1" applyFill="1" applyBorder="1" applyAlignment="1">
      <alignment horizontal="center"/>
    </xf>
    <xf numFmtId="0" fontId="19" fillId="12" borderId="31" applyFont="1" applyFill="1" applyBorder="1" applyAlignment="1">
      <alignment horizontal="center"/>
    </xf>
    <xf numFmtId="0" fontId="19" fillId="12" borderId="32" applyFont="1" applyFill="1" applyBorder="1" applyAlignment="1">
      <alignment horizontal="center"/>
    </xf>
    <xf numFmtId="0" fontId="21" fillId="0" borderId="24" applyFont="1" applyFill="1" applyBorder="1" applyAlignment="1">
      <alignment horizontal="center"/>
    </xf>
    <xf numFmtId="0" fontId="21" fillId="0" borderId="25" applyFont="1" applyFill="1" applyBorder="1" applyAlignment="1">
      <alignment horizontal="center"/>
    </xf>
    <xf numFmtId="0" fontId="21" fillId="0" borderId="26" applyFont="1" applyFill="1" applyBorder="1" applyAlignment="1">
      <alignment horizontal="center"/>
    </xf>
    <xf numFmtId="0" fontId="69" fillId="0" borderId="0" applyFont="1" applyFill="1" applyAlignment="1">
      <alignment horizontal="right" wrapText="1"/>
    </xf>
    <xf numFmtId="0" fontId="21" fillId="0" borderId="11" applyFont="1" applyFill="1" applyBorder="1" applyAlignment="1">
      <alignment horizontal="center"/>
    </xf>
    <xf numFmtId="0" fontId="21" fillId="0" borderId="9" applyFont="1" applyFill="1" applyBorder="1" applyAlignment="1">
      <alignment horizontal="center"/>
    </xf>
    <xf numFmtId="0" fontId="21" fillId="0" borderId="27" applyFont="1" applyFill="1" applyBorder="1" applyAlignment="1">
      <alignment horizontal="center"/>
    </xf>
    <xf numFmtId="0" fontId="21" fillId="0" borderId="28" applyFont="1" applyFill="1" applyBorder="1" applyAlignment="1">
      <alignment horizontal="center"/>
    </xf>
    <xf numFmtId="0" fontId="21" fillId="0" borderId="29" applyFont="1" applyFill="1" applyBorder="1" applyAlignment="1">
      <alignment horizontal="center"/>
    </xf>
    <xf numFmtId="1" fontId="45" fillId="3" borderId="22" applyNumberFormat="1" applyFont="1" applyFill="1" applyBorder="1" applyAlignment="1">
      <alignment horizontal="center"/>
    </xf>
    <xf numFmtId="1" fontId="45" fillId="3" borderId="0" applyNumberFormat="1" applyFont="1" applyFill="1" applyAlignment="1">
      <alignment horizontal="center"/>
    </xf>
    <xf numFmtId="1" fontId="45" fillId="3" borderId="23" applyNumberFormat="1" applyFont="1" applyFill="1" applyBorder="1" applyAlignment="1">
      <alignment horizontal="center"/>
    </xf>
    <xf numFmtId="1" fontId="45" fillId="3" borderId="6" applyNumberFormat="1" applyFont="1" applyFill="1" applyBorder="1" applyAlignment="1">
      <alignment horizontal="center"/>
    </xf>
    <xf numFmtId="1" fontId="45" fillId="3" borderId="7" applyNumberFormat="1" applyFont="1" applyFill="1" applyBorder="1" applyAlignment="1">
      <alignment horizontal="center"/>
    </xf>
    <xf numFmtId="0" fontId="55" fillId="12" borderId="33" applyFont="1" applyFill="1" applyBorder="1" applyAlignment="1">
      <alignment horizontal="center"/>
    </xf>
    <xf numFmtId="0" fontId="55" fillId="12" borderId="35" applyFont="1" applyFill="1" applyBorder="1" applyAlignment="1">
      <alignment horizontal="center"/>
    </xf>
    <xf numFmtId="0" fontId="40" fillId="3" borderId="42" applyFont="1" applyFill="1" applyBorder="1" applyAlignment="1">
      <alignment horizontal="center"/>
    </xf>
    <xf numFmtId="0" fontId="40" fillId="3" borderId="43" applyFont="1" applyFill="1" applyBorder="1" applyAlignment="1">
      <alignment horizontal="center"/>
    </xf>
    <xf numFmtId="0" fontId="40" fillId="3" borderId="44" applyFont="1" applyFill="1" applyBorder="1" applyAlignment="1">
      <alignment horizontal="center"/>
    </xf>
    <xf numFmtId="0" fontId="40" fillId="3" borderId="0" applyFont="1" applyFill="1" applyAlignment="1">
      <alignment horizontal="center"/>
    </xf>
    <xf numFmtId="0" fontId="34" fillId="0" borderId="0" applyFont="1" applyFill="1" applyAlignment="1">
      <alignment horizontal="center"/>
    </xf>
    <xf numFmtId="0" fontId="34" fillId="0" borderId="23" applyFont="1" applyFill="1" applyBorder="1" applyAlignment="1">
      <alignment horizontal="center"/>
    </xf>
    <xf numFmtId="0" fontId="34" fillId="10" borderId="28" applyFont="1" applyFill="1" applyBorder="1" applyAlignment="1">
      <alignment horizontal="center"/>
    </xf>
    <xf numFmtId="0" fontId="34" fillId="10" borderId="29" applyFont="1" applyFill="1" applyBorder="1" applyAlignment="1">
      <alignment horizontal="center"/>
    </xf>
    <xf numFmtId="0" fontId="34" fillId="10" borderId="0" applyFont="1" applyFill="1" applyAlignment="1">
      <alignment horizontal="center"/>
    </xf>
    <xf numFmtId="0" fontId="34" fillId="10" borderId="23" applyFont="1" applyFill="1" applyBorder="1" applyAlignment="1">
      <alignment horizontal="center"/>
    </xf>
    <xf numFmtId="1" fontId="69" fillId="0" borderId="0" applyNumberFormat="1" applyFont="1" applyFill="1" applyAlignment="1">
      <alignment horizontal="left"/>
    </xf>
    <xf numFmtId="0" fontId="1" fillId="0" borderId="0" applyFont="1" applyFill="1" applyAlignment="1">
      <alignment horizontal="right"/>
    </xf>
    <xf numFmtId="0" fontId="1" fillId="0" borderId="23" applyFont="1" applyFill="1" applyBorder="1" applyAlignment="1">
      <alignment horizontal="right"/>
    </xf>
    <xf numFmtId="0" fontId="34" fillId="0" borderId="22" applyFont="1" applyFill="1" applyBorder="1" applyAlignment="1">
      <alignment horizontal="center"/>
    </xf>
    <xf numFmtId="0" fontId="33" fillId="0" borderId="0" applyFont="1" applyFill="1" applyAlignment="1">
      <alignment horizontal="center"/>
    </xf>
    <xf numFmtId="166" fontId="69" fillId="0" borderId="0" applyNumberFormat="1" applyFont="1" applyFill="1"/>
    <xf numFmtId="0" fontId="34" fillId="10" borderId="27" applyFont="1" applyFill="1" applyBorder="1" applyAlignment="1">
      <alignment horizontal="center"/>
    </xf>
    <xf numFmtId="0" fontId="33" fillId="0" borderId="28" applyFont="1" applyFill="1" applyBorder="1" applyAlignment="1">
      <alignment horizontal="center"/>
    </xf>
    <xf numFmtId="0" fontId="34" fillId="0" borderId="25" applyFont="1" applyFill="1" applyBorder="1" applyAlignment="1">
      <alignment horizontal="center"/>
    </xf>
    <xf numFmtId="0" fontId="34" fillId="0" borderId="26" applyFont="1" applyFill="1" applyBorder="1" applyAlignment="1">
      <alignment horizontal="center"/>
    </xf>
    <xf numFmtId="0" fontId="34" fillId="10" borderId="22" applyFont="1" applyFill="1" applyBorder="1" applyAlignment="1">
      <alignment horizontal="center"/>
    </xf>
    <xf numFmtId="0" fontId="32" fillId="0" borderId="0" applyFont="1" applyFill="1" applyAlignment="1">
      <alignment horizontal="center"/>
    </xf>
    <xf numFmtId="0" fontId="34" fillId="0" borderId="24" applyFont="1" applyFill="1" applyBorder="1" applyAlignment="1">
      <alignment horizontal="center"/>
    </xf>
    <xf numFmtId="0" fontId="57" fillId="12" borderId="24" applyFont="1" applyFill="1" applyBorder="1" applyAlignment="1">
      <alignment horizontal="center" vertical="center"/>
    </xf>
    <xf numFmtId="0" fontId="57" fillId="12" borderId="25" applyFont="1" applyFill="1" applyBorder="1" applyAlignment="1">
      <alignment horizontal="center" vertical="center"/>
    </xf>
    <xf numFmtId="0" fontId="57" fillId="12" borderId="26" applyFont="1" applyFill="1" applyBorder="1" applyAlignment="1">
      <alignment horizontal="center" vertical="center"/>
    </xf>
    <xf numFmtId="0" fontId="57" fillId="12" borderId="27" applyFont="1" applyFill="1" applyBorder="1" applyAlignment="1">
      <alignment horizontal="center" vertical="center"/>
    </xf>
    <xf numFmtId="0" fontId="57" fillId="12" borderId="28" applyFont="1" applyFill="1" applyBorder="1" applyAlignment="1">
      <alignment horizontal="center" vertical="center"/>
    </xf>
    <xf numFmtId="0" fontId="57" fillId="12" borderId="29" applyFont="1" applyFill="1" applyBorder="1" applyAlignment="1">
      <alignment horizontal="center" vertical="center"/>
    </xf>
    <xf numFmtId="1" fontId="34" fillId="0" borderId="0" applyNumberFormat="1" applyFont="1" applyFill="1" applyAlignment="1">
      <alignment horizontal="left" wrapText="1"/>
    </xf>
    <xf numFmtId="0" fontId="34" fillId="6" borderId="28" applyFont="1" applyFill="1" applyBorder="1" applyAlignment="1">
      <alignment horizontal="center"/>
    </xf>
    <xf numFmtId="0" fontId="34" fillId="6" borderId="29" applyFont="1" applyFill="1" applyBorder="1" applyAlignment="1">
      <alignment horizontal="center"/>
    </xf>
    <xf numFmtId="0" fontId="34" fillId="6" borderId="27" applyFont="1" applyFill="1" applyBorder="1" applyAlignment="1">
      <alignment horizontal="center"/>
    </xf>
    <xf numFmtId="0" fontId="34" fillId="6" borderId="0" applyFont="1" applyFill="1" applyAlignment="1">
      <alignment horizontal="center"/>
    </xf>
    <xf numFmtId="0" fontId="34" fillId="6" borderId="23" applyFont="1" applyFill="1" applyBorder="1" applyAlignment="1">
      <alignment horizontal="center"/>
    </xf>
    <xf numFmtId="0" fontId="34" fillId="0" borderId="22" applyFont="1" applyFill="1" applyBorder="1" applyAlignment="1">
      <alignment horizontal="center"/>
    </xf>
    <xf numFmtId="0" fontId="34" fillId="0" borderId="0" applyFont="1" applyFill="1" applyAlignment="1">
      <alignment horizontal="center"/>
    </xf>
    <xf numFmtId="0" fontId="34" fillId="0" borderId="23" applyFont="1" applyFill="1" applyBorder="1" applyAlignment="1">
      <alignment horizontal="center"/>
    </xf>
    <xf numFmtId="0" fontId="34" fillId="6" borderId="22" applyFont="1" applyFill="1" applyBorder="1" applyAlignment="1">
      <alignment horizontal="center"/>
    </xf>
    <xf numFmtId="0" fontId="32" fillId="0" borderId="0" applyFont="1" applyFill="1" applyAlignment="1">
      <alignment horizontal="center"/>
    </xf>
    <xf numFmtId="0" fontId="33" fillId="0" borderId="0" applyFont="1" applyFill="1" applyAlignment="1">
      <alignment horizontal="center"/>
    </xf>
    <xf numFmtId="0" fontId="34" fillId="0" borderId="24" applyFont="1" applyFill="1" applyBorder="1" applyAlignment="1">
      <alignment horizontal="center"/>
    </xf>
    <xf numFmtId="0" fontId="34" fillId="0" borderId="25" applyFont="1" applyFill="1" applyBorder="1" applyAlignment="1">
      <alignment horizontal="center"/>
    </xf>
    <xf numFmtId="0" fontId="34" fillId="0" borderId="26" applyFont="1" applyFill="1" applyBorder="1" applyAlignment="1">
      <alignment horizontal="center"/>
    </xf>
    <xf numFmtId="0" fontId="1" fillId="3" borderId="0" applyFont="1" applyFill="1" applyBorder="1"/>
    <xf numFmtId="0" fontId="37" fillId="11" borderId="0" applyFont="1" applyFill="1" applyAlignment="1">
      <alignment horizontal="center"/>
    </xf>
    <xf numFmtId="0" fontId="19" fillId="12" borderId="24" applyFont="1" applyFill="1" applyBorder="1" applyAlignment="1">
      <alignment horizontal="center" vertical="center" wrapText="1"/>
    </xf>
    <xf numFmtId="0" fontId="19" fillId="12" borderId="25" applyFont="1" applyFill="1" applyBorder="1" applyAlignment="1">
      <alignment horizontal="center" vertical="center" wrapText="1"/>
    </xf>
    <xf numFmtId="0" fontId="19" fillId="12" borderId="26" applyFont="1" applyFill="1" applyBorder="1" applyAlignment="1">
      <alignment horizontal="center" vertical="center" wrapText="1"/>
    </xf>
    <xf numFmtId="0" fontId="19" fillId="12" borderId="27" applyFont="1" applyFill="1" applyBorder="1" applyAlignment="1">
      <alignment horizontal="center" vertical="center" wrapText="1"/>
    </xf>
    <xf numFmtId="0" fontId="19" fillId="12" borderId="28" applyFont="1" applyFill="1" applyBorder="1" applyAlignment="1">
      <alignment horizontal="center" vertical="center" wrapText="1"/>
    </xf>
    <xf numFmtId="0" fontId="19" fillId="12" borderId="29" applyFont="1" applyFill="1" applyBorder="1" applyAlignment="1">
      <alignment horizontal="center" vertical="center" wrapText="1"/>
    </xf>
    <xf numFmtId="0" fontId="1" fillId="0" borderId="0" applyFont="1" applyFill="1" applyAlignment="1">
      <alignment horizontal="left" wrapText="1"/>
    </xf>
    <xf numFmtId="0" fontId="42" fillId="0" borderId="0" applyFont="1" applyFill="1" applyAlignment="1">
      <alignment horizontal="left" vertical="top" wrapText="1"/>
    </xf>
    <xf numFmtId="2" fontId="1" fillId="6" borderId="0" applyNumberFormat="1" applyFont="1" applyFill="1"/>
    <xf numFmtId="2" fontId="1" fillId="6" borderId="20" applyNumberFormat="1" applyFont="1" applyFill="1" applyBorder="1"/>
    <xf numFmtId="0" fontId="54" fillId="12" borderId="0" applyFont="1" applyFill="1" applyBorder="1" applyAlignment="1">
      <alignment horizontal="left" wrapText="1"/>
    </xf>
    <xf numFmtId="0" fontId="67" fillId="12" borderId="0" applyFont="1" applyFill="1" applyBorder="1" applyAlignment="1">
      <alignment horizontal="left" wrapText="1"/>
    </xf>
    <xf numFmtId="0" borderId="0"/>
    <xf numFmtId="0" fontId="69" fillId="3" borderId="0" applyFont="1" applyFill="1" applyBorder="1" applyAlignment="1">
      <alignment horizontal="right"/>
    </xf>
    <xf numFmtId="0" fontId="32" fillId="3" borderId="0" applyFont="1" applyFill="1" applyBorder="1" applyAlignment="1">
      <alignment horizontal="center"/>
    </xf>
    <xf numFmtId="0" fontId="69" fillId="3" borderId="0" applyFont="1" applyFill="1" applyBorder="1" applyAlignment="1">
      <alignment horizontal="center"/>
    </xf>
    <xf numFmtId="0" fontId="32" fillId="3" borderId="0" applyFont="1" applyFill="1" applyBorder="1" applyAlignment="1">
      <alignment horizontal="right" vertical="center"/>
    </xf>
    <xf numFmtId="0" fontId="55" fillId="12" borderId="1" applyFont="1" applyFill="1" applyBorder="1" applyAlignment="1">
      <alignment horizontal="center"/>
    </xf>
    <xf numFmtId="0" fontId="39" fillId="3" borderId="0" applyFont="1" applyFill="1" applyBorder="1" applyAlignment="1">
      <alignment horizontal="left" wrapText="1"/>
    </xf>
    <xf numFmtId="0" fontId="66" fillId="12" borderId="30" applyFont="1" applyFill="1" applyBorder="1" applyAlignment="1">
      <alignment horizontal="center"/>
    </xf>
    <xf numFmtId="0" fontId="66" fillId="12" borderId="1" applyFont="1" applyFill="1" applyBorder="1" applyAlignment="1">
      <alignment horizontal="center"/>
    </xf>
    <xf numFmtId="0" fontId="39" fillId="0" borderId="0" applyFont="1" applyFill="1" applyBorder="1" applyAlignment="1">
      <alignment horizontal="left" wrapText="1"/>
    </xf>
    <xf numFmtId="0" fontId="3" fillId="12" borderId="1" applyFont="1" applyFill="1" applyBorder="1" applyAlignment="1">
      <alignment horizontal="center"/>
    </xf>
    <xf numFmtId="0" fontId="1" fillId="0" borderId="0" applyFont="1" applyFill="1" applyBorder="1" applyAlignment="1">
      <alignment horizontal="center"/>
    </xf>
    <xf numFmtId="0" fontId="36" fillId="0" borderId="0" applyFont="1" applyFill="1" applyBorder="1" applyAlignment="1">
      <alignment horizontal="right"/>
    </xf>
    <xf numFmtId="0" fontId="55" fillId="12" borderId="1" applyFont="1" applyFill="1" applyBorder="1" applyAlignment="1">
      <alignment horizontal="center" vertical="center"/>
    </xf>
    <xf numFmtId="0" fontId="37" fillId="0" borderId="0" applyFont="1" applyFill="1" applyBorder="1" applyAlignment="1">
      <alignment horizontal="center"/>
    </xf>
    <xf numFmtId="0" fontId="37" fillId="0" borderId="45" applyFont="1" applyFill="1" applyBorder="1" applyAlignment="1">
      <alignment horizontal="center"/>
    </xf>
    <xf numFmtId="0" fontId="69" fillId="0" borderId="0" applyFont="1" applyFill="1" applyBorder="1" applyAlignment="1">
      <alignment horizontal="right"/>
    </xf>
    <xf numFmtId="0" fontId="21" fillId="0" borderId="1" applyFont="1" applyFill="1" applyBorder="1" applyAlignment="1">
      <alignment horizontal="center"/>
    </xf>
    <xf numFmtId="0" fontId="69" fillId="0" borderId="0" applyFont="1" applyFill="1" applyBorder="1" applyAlignment="1">
      <alignment horizontal="right" shrinkToFit="1"/>
    </xf>
    <xf numFmtId="0" fontId="19" fillId="12" borderId="1" applyFont="1" applyFill="1" applyBorder="1" applyAlignment="1">
      <alignment horizontal="center"/>
    </xf>
    <xf numFmtId="0" fontId="21" fillId="0" borderId="33" applyFont="1" applyFill="1" applyBorder="1" applyAlignment="1">
      <alignment horizontal="center"/>
    </xf>
    <xf numFmtId="0" fontId="69" fillId="0" borderId="0" applyFont="1" applyFill="1" applyBorder="1" applyAlignment="1">
      <alignment horizontal="right" wrapText="1"/>
    </xf>
    <xf numFmtId="0" fontId="21" fillId="0" borderId="35" applyFont="1" applyFill="1" applyBorder="1" applyAlignment="1">
      <alignment horizontal="center"/>
    </xf>
    <xf numFmtId="0" fontId="40" fillId="3" borderId="45" applyFont="1" applyFill="1" applyBorder="1" applyAlignment="1">
      <alignment horizontal="center"/>
    </xf>
    <xf numFmtId="0" fontId="40" fillId="3" borderId="0" applyFont="1" applyFill="1" applyBorder="1" applyAlignment="1">
      <alignment horizontal="center"/>
    </xf>
    <xf numFmtId="1" fontId="45" fillId="3" borderId="34" applyNumberFormat="1" applyFont="1" applyFill="1" applyBorder="1" applyAlignment="1">
      <alignment horizontal="center"/>
    </xf>
    <xf numFmtId="1" fontId="45" fillId="3" borderId="46" applyNumberFormat="1" applyFont="1" applyFill="1" applyBorder="1" applyAlignment="1">
      <alignment horizontal="center"/>
    </xf>
    <xf numFmtId="1" fontId="45" fillId="3" borderId="0" applyNumberFormat="1" applyFont="1" applyFill="1" applyBorder="1" applyAlignment="1">
      <alignment horizontal="center"/>
    </xf>
    <xf numFmtId="0" fontId="34" fillId="10" borderId="0" applyFont="1" applyFill="1" applyBorder="1" applyAlignment="1">
      <alignment horizontal="center"/>
    </xf>
    <xf numFmtId="0" fontId="34" fillId="0" borderId="0" applyFont="1" applyFill="1" applyBorder="1" applyAlignment="1">
      <alignment horizontal="center"/>
    </xf>
    <xf numFmtId="1" fontId="69" fillId="0" borderId="0" applyNumberFormat="1" applyFont="1" applyFill="1" applyBorder="1" applyAlignment="1">
      <alignment horizontal="left"/>
    </xf>
    <xf numFmtId="166" fontId="69" fillId="0" borderId="0" applyNumberFormat="1" applyFont="1" applyFill="1" applyBorder="1"/>
    <xf numFmtId="1" fontId="34" fillId="0" borderId="0" applyNumberFormat="1" applyFont="1" applyFill="1" applyBorder="1" applyAlignment="1">
      <alignment horizontal="left" wrapText="1"/>
    </xf>
    <xf numFmtId="0" fontId="57" fillId="12" borderId="30" applyFont="1" applyFill="1" applyBorder="1" applyAlignment="1">
      <alignment horizontal="center" vertical="center"/>
    </xf>
    <xf numFmtId="0" fontId="57" fillId="12" borderId="33" applyFont="1" applyFill="1" applyBorder="1" applyAlignment="1">
      <alignment horizontal="center" vertical="center"/>
    </xf>
    <xf numFmtId="0" fontId="57" fillId="12" borderId="1" applyFont="1" applyFill="1" applyBorder="1" applyAlignment="1">
      <alignment horizontal="center" vertical="center"/>
    </xf>
    <xf numFmtId="0" fontId="33" fillId="0" borderId="0" applyFont="1" applyFill="1" applyBorder="1" applyAlignment="1">
      <alignment horizontal="center"/>
    </xf>
    <xf numFmtId="0" fontId="32" fillId="0" borderId="0" applyFont="1" applyFill="1" applyBorder="1" applyAlignment="1">
      <alignment horizontal="center"/>
    </xf>
    <xf numFmtId="0" fontId="1" fillId="0" borderId="0" applyFont="1" applyFill="1" applyBorder="1" applyAlignment="1">
      <alignment horizontal="right"/>
    </xf>
    <xf numFmtId="0" fontId="1" fillId="0" borderId="0" applyFont="1" applyFill="1" applyBorder="1" applyAlignment="1">
      <alignment horizontal="left" wrapText="1"/>
    </xf>
    <xf numFmtId="0" fontId="37" fillId="11" borderId="0" applyFont="1" applyFill="1" applyBorder="1" applyAlignment="1">
      <alignment horizontal="center"/>
    </xf>
    <xf numFmtId="0" fontId="19" fillId="12" borderId="30" applyFont="1" applyFill="1" applyBorder="1" applyAlignment="1">
      <alignment horizontal="center" vertical="center" wrapText="1"/>
    </xf>
    <xf numFmtId="0" fontId="19" fillId="12" borderId="33" applyFont="1" applyFill="1" applyBorder="1" applyAlignment="1">
      <alignment horizontal="center" vertical="center" wrapText="1"/>
    </xf>
    <xf numFmtId="0" fontId="19" fillId="12" borderId="1" applyFont="1" applyFill="1" applyBorder="1" applyAlignment="1">
      <alignment horizontal="center" vertical="center" wrapText="1"/>
    </xf>
    <xf numFmtId="0" fontId="34" fillId="6" borderId="0" applyFont="1" applyFill="1" applyBorder="1" applyAlignment="1">
      <alignment horizontal="center"/>
    </xf>
    <xf numFmtId="0" fontId="42" fillId="0" borderId="0" applyFont="1" applyFill="1" applyBorder="1" applyAlignment="1">
      <alignment horizontal="left" vertical="top" wrapText="1"/>
    </xf>
    <xf numFmtId="0" fontId="32" fillId="3" borderId="47" applyFont="1" applyFill="1" applyBorder="1" applyAlignment="1">
      <alignment horizontal="center"/>
    </xf>
    <xf numFmtId="0" fontId="69" fillId="3" borderId="47" applyFont="1" applyFill="1" applyBorder="1" applyAlignment="1">
      <alignment horizontal="right"/>
    </xf>
    <xf numFmtId="0" fontId="32" fillId="3" borderId="47" applyFont="1" applyFill="1" applyBorder="1" applyAlignment="1">
      <alignment horizontal="right" vertical="center"/>
    </xf>
    <xf numFmtId="0" fontId="39" fillId="3" borderId="47" applyFont="1" applyFill="1" applyBorder="1" applyAlignment="1">
      <alignment horizontal="left" wrapText="1"/>
    </xf>
    <xf numFmtId="0" fontId="36" fillId="0" borderId="47" applyFont="1" applyFill="1" applyBorder="1" applyAlignment="1">
      <alignment horizontal="right"/>
    </xf>
    <xf numFmtId="0" fontId="37" fillId="0" borderId="47" applyFont="1" applyFill="1" applyBorder="1" applyAlignment="1">
      <alignment horizontal="center"/>
    </xf>
    <xf numFmtId="0" fontId="81" fillId="15" borderId="48" applyFont="1" applyFill="1" applyBorder="1"/>
    <xf numFmtId="0" fontId="39" fillId="0" borderId="47" applyFont="1" applyFill="1" applyBorder="1" applyAlignment="1">
      <alignment horizontal="left" wrapText="1"/>
    </xf>
    <xf numFmtId="0" fontId="51" fillId="0" borderId="49" applyFont="1" applyFill="1" applyBorder="1" applyAlignment="1">
      <alignment horizontal="left"/>
    </xf>
    <xf numFmtId="0" fontId="53" fillId="0" borderId="50" applyFont="1" applyFill="1" applyBorder="1" applyAlignment="1">
      <alignment horizontal="center"/>
    </xf>
    <xf numFmtId="166" fontId="69" fillId="13" borderId="49" applyNumberFormat="1" applyFont="1" applyFill="1" applyBorder="1" applyAlignment="1">
      <alignment horizontal="center"/>
    </xf>
    <xf numFmtId="166" fontId="69" fillId="10" borderId="50" applyNumberFormat="1" applyFont="1" applyFill="1" applyBorder="1" applyAlignment="1">
      <alignment horizontal="center"/>
    </xf>
    <xf numFmtId="166" fontId="69" fillId="13" borderId="51" applyNumberFormat="1" applyFont="1" applyFill="1" applyBorder="1" applyAlignment="1">
      <alignment horizontal="center"/>
    </xf>
    <xf numFmtId="166" fontId="69" fillId="10" borderId="51" applyNumberFormat="1" applyFont="1" applyFill="1" applyBorder="1" applyAlignment="1">
      <alignment horizontal="center"/>
    </xf>
    <xf numFmtId="1" fontId="69" fillId="13" borderId="49" applyNumberFormat="1" applyFont="1" applyFill="1" applyBorder="1" applyAlignment="1">
      <alignment horizontal="center"/>
    </xf>
    <xf numFmtId="1" fontId="69" fillId="10" borderId="51" applyNumberFormat="1" applyFont="1" applyFill="1" applyBorder="1" applyAlignment="1">
      <alignment horizontal="center"/>
    </xf>
    <xf numFmtId="0" fontId="82" fillId="16" borderId="0" applyFont="1" applyFill="1"/>
    <xf numFmtId="0" fontId="69" fillId="0" borderId="47" applyFont="1" applyFill="1" applyBorder="1" applyAlignment="1">
      <alignment horizontal="right" shrinkToFit="1"/>
    </xf>
    <xf numFmtId="0" fontId="42" fillId="10" borderId="52" applyFont="1" applyFill="1" applyBorder="1" applyAlignment="1">
      <alignment horizontal="center"/>
    </xf>
    <xf numFmtId="0" fontId="42" fillId="10" borderId="53" applyFont="1" applyFill="1" applyBorder="1" applyAlignment="1">
      <alignment horizontal="center"/>
    </xf>
    <xf numFmtId="166" fontId="69" fillId="10" borderId="52" applyNumberFormat="1" applyFont="1" applyFill="1" applyBorder="1" applyAlignment="1">
      <alignment horizontal="center"/>
    </xf>
    <xf numFmtId="166" fontId="69" fillId="10" borderId="53" applyNumberFormat="1" applyFont="1" applyFill="1" applyBorder="1" applyAlignment="1">
      <alignment horizontal="center"/>
    </xf>
    <xf numFmtId="166" fontId="69" fillId="10" borderId="54" applyNumberFormat="1" applyFont="1" applyFill="1" applyBorder="1" applyAlignment="1">
      <alignment horizontal="center"/>
    </xf>
    <xf numFmtId="2" fontId="69" fillId="13" borderId="49" applyNumberFormat="1" applyFont="1" applyFill="1" applyBorder="1" applyAlignment="1">
      <alignment horizontal="center"/>
    </xf>
    <xf numFmtId="2" fontId="69" fillId="10" borderId="50" applyNumberFormat="1" applyFont="1" applyFill="1" applyBorder="1" applyAlignment="1">
      <alignment horizontal="center"/>
    </xf>
    <xf numFmtId="2" fontId="69" fillId="13" borderId="51" applyNumberFormat="1" applyFont="1" applyFill="1" applyBorder="1" applyAlignment="1">
      <alignment horizontal="center"/>
    </xf>
    <xf numFmtId="0" fontId="53" fillId="0" borderId="51" applyFont="1" applyFill="1" applyBorder="1" applyAlignment="1">
      <alignment horizontal="center"/>
    </xf>
    <xf numFmtId="0" fontId="69" fillId="0" borderId="47" applyFont="1" applyFill="1" applyBorder="1" applyAlignment="1">
      <alignment horizontal="right" wrapText="1"/>
    </xf>
    <xf numFmtId="0" fontId="21" fillId="0" borderId="55" applyFont="1" applyFill="1" applyBorder="1" applyAlignment="1">
      <alignment horizontal="center"/>
    </xf>
    <xf numFmtId="0" fontId="42" fillId="10" borderId="54" applyFont="1" applyFill="1" applyBorder="1" applyAlignment="1">
      <alignment horizontal="center"/>
    </xf>
    <xf numFmtId="2" fontId="69" fillId="10" borderId="52" applyNumberFormat="1" applyFont="1" applyFill="1" applyBorder="1" applyAlignment="1">
      <alignment horizontal="center"/>
    </xf>
    <xf numFmtId="2" fontId="69" fillId="10" borderId="53" applyNumberFormat="1" applyFont="1" applyFill="1" applyBorder="1" applyAlignment="1">
      <alignment horizontal="center"/>
    </xf>
    <xf numFmtId="2" fontId="69" fillId="10" borderId="54" applyNumberFormat="1" applyFont="1" applyFill="1" applyBorder="1" applyAlignment="1">
      <alignment horizontal="center"/>
    </xf>
    <xf numFmtId="0" fontId="21" fillId="0" borderId="56" applyFont="1" applyFill="1" applyBorder="1" applyAlignment="1">
      <alignment horizontal="center"/>
    </xf>
    <xf numFmtId="0" fontId="21" fillId="0" borderId="57" applyFont="1" applyFill="1" applyBorder="1" applyAlignment="1">
      <alignment horizontal="center"/>
    </xf>
    <xf numFmtId="166" fontId="42" fillId="10" borderId="53" applyNumberFormat="1" applyFont="1" applyFill="1" applyBorder="1" applyAlignment="1">
      <alignment horizontal="center"/>
    </xf>
    <xf numFmtId="166" fontId="42" fillId="10" borderId="58" applyNumberFormat="1" applyFont="1" applyFill="1" applyBorder="1" applyAlignment="1">
      <alignment horizontal="center"/>
    </xf>
    <xf numFmtId="0" fontId="32" fillId="0" borderId="47" applyFont="1" applyFill="1" applyBorder="1" applyAlignment="1">
      <alignment horizontal="center"/>
    </xf>
    <xf numFmtId="0" fontId="33" fillId="0" borderId="47" applyFont="1" applyFill="1" applyBorder="1" applyAlignment="1">
      <alignment horizontal="center"/>
    </xf>
    <xf numFmtId="0" fontId="34" fillId="0" borderId="59" applyFont="1" applyFill="1" applyBorder="1" applyAlignment="1">
      <alignment horizontal="center"/>
    </xf>
    <xf numFmtId="0" fontId="34" fillId="0" borderId="60" applyFont="1" applyFill="1" applyBorder="1" applyAlignment="1">
      <alignment horizontal="center"/>
    </xf>
    <xf numFmtId="0" fontId="34" fillId="0" borderId="61" applyFont="1" applyFill="1" applyBorder="1" applyAlignment="1">
      <alignment horizontal="center"/>
    </xf>
    <xf numFmtId="0" fontId="34" fillId="6" borderId="62" applyFont="1" applyFill="1" applyBorder="1" applyAlignment="1">
      <alignment horizontal="center"/>
    </xf>
    <xf numFmtId="0" fontId="34" fillId="6" borderId="47" applyFont="1" applyFill="1" applyBorder="1" applyAlignment="1">
      <alignment horizontal="center"/>
    </xf>
    <xf numFmtId="0" fontId="34" fillId="6" borderId="63" applyFont="1" applyFill="1" applyBorder="1" applyAlignment="1">
      <alignment horizontal="center"/>
    </xf>
    <xf numFmtId="0" fontId="34" fillId="0" borderId="62" applyFont="1" applyFill="1" applyBorder="1" applyAlignment="1">
      <alignment horizontal="center"/>
    </xf>
    <xf numFmtId="0" fontId="34" fillId="0" borderId="47" applyFont="1" applyFill="1" applyBorder="1" applyAlignment="1">
      <alignment horizontal="center"/>
    </xf>
    <xf numFmtId="0" fontId="34" fillId="0" borderId="63" applyFont="1" applyFill="1" applyBorder="1" applyAlignment="1">
      <alignment horizontal="center"/>
    </xf>
    <xf numFmtId="0" fontId="34" fillId="6" borderId="64" applyFont="1" applyFill="1" applyBorder="1" applyAlignment="1">
      <alignment horizontal="center"/>
    </xf>
    <xf numFmtId="0" fontId="34" fillId="6" borderId="65" applyFont="1" applyFill="1" applyBorder="1" applyAlignment="1">
      <alignment horizontal="center"/>
    </xf>
    <xf numFmtId="0" fontId="34" fillId="6" borderId="66" applyFont="1" applyFill="1" applyBorder="1" applyAlignment="1">
      <alignment horizontal="center"/>
    </xf>
    <xf numFmtId="0" fontId="1" fillId="0" borderId="47" applyFont="1" applyFill="1" applyBorder="1" applyAlignment="1">
      <alignment horizontal="center"/>
    </xf>
    <xf numFmtId="0" fontId="37" fillId="11" borderId="47" applyFont="1" applyFill="1" applyBorder="1" applyAlignment="1">
      <alignment horizontal="center"/>
    </xf>
    <xf numFmtId="0" fontId="83" fillId="15" borderId="67" applyFont="1" applyFill="1" applyBorder="1" applyAlignment="1">
      <alignment horizontal="left"/>
    </xf>
    <xf numFmtId="0" fontId="83" fillId="15" borderId="67" applyFont="1" applyFill="1" applyBorder="1" applyAlignment="1">
      <alignment horizontal="right"/>
    </xf>
    <xf numFmtId="0" fontId="83" fillId="15" borderId="68" applyFont="1" applyFill="1" applyBorder="1"/>
    <xf numFmtId="0" fontId="83" fillId="15" borderId="69" applyFont="1" applyFill="1" applyBorder="1"/>
    <xf numFmtId="0" fontId="83" fillId="15" borderId="70" applyFont="1" applyFill="1" applyBorder="1"/>
    <xf numFmtId="0" fontId="83" fillId="17" borderId="67" applyFont="1" applyFill="1" applyBorder="1" applyAlignment="1">
      <alignment horizontal="left"/>
    </xf>
    <xf numFmtId="0" fontId="83" fillId="17" borderId="67" applyFont="1" applyFill="1" applyBorder="1" applyAlignment="1">
      <alignment horizontal="right"/>
    </xf>
    <xf numFmtId="0" fontId="83" fillId="17" borderId="68" applyFont="1" applyFill="1" applyBorder="1"/>
    <xf numFmtId="0" fontId="83" fillId="17" borderId="69" applyFont="1" applyFill="1" applyBorder="1"/>
    <xf numFmtId="0" fontId="83" fillId="17" borderId="70" applyFont="1" applyFill="1" applyBorder="1"/>
    <xf numFmtId="0" fontId="1" fillId="3" borderId="47" applyFont="1" applyFill="1" applyBorder="1"/>
    <xf numFmtId="0" fontId="1" fillId="0" borderId="47" applyFont="1" applyFill="1" applyBorder="1" applyAlignment="1">
      <alignment horizontal="left" wrapText="1"/>
    </xf>
    <xf numFmtId="0" fontId="83" fillId="16" borderId="70" applyFont="1" applyFill="1" applyBorder="1" applyAlignment="1">
      <alignment horizontal="center" vertical="center"/>
    </xf>
  </cellXfs>
  <cellStyles count="176">
    <cellStyle name="Comma" xfId="1" builtinId="3"/>
    <cellStyle name="Comma_MTD Classic Sample" xfId="2"/>
    <cellStyle name="Currency" xfId="3" builtinId="4"/>
    <cellStyle name="ExtStyle 0" xfId="4"/>
    <cellStyle name="ExtStyle 16" xfId="5"/>
    <cellStyle name="ExtStyle 17" xfId="6"/>
    <cellStyle name="ExtStyle 18" xfId="7"/>
    <cellStyle name="ExtStyle 19" xfId="8"/>
    <cellStyle name="ExtStyle 20" xfId="9"/>
    <cellStyle name="ExtStyle 21" xfId="10"/>
    <cellStyle name="ExtStyle 22" xfId="11"/>
    <cellStyle name="ExtStyle 28" xfId="12"/>
    <cellStyle name="ExtStyle 29" xfId="13"/>
    <cellStyle name="ExtStyle 30" xfId="14"/>
    <cellStyle name="ExtStyle 31" xfId="15"/>
    <cellStyle name="ExtStyle 32" xfId="16"/>
    <cellStyle name="ExtStyle 33" xfId="17"/>
    <cellStyle name="ExtStyle 34" xfId="18"/>
    <cellStyle name="ExtStyle 35" xfId="19"/>
    <cellStyle name="ExtStyle 36" xfId="20"/>
    <cellStyle name="ExtStyle 37" xfId="21"/>
    <cellStyle name="ExtStyle 38" xfId="22"/>
    <cellStyle name="ExtStyle 39" xfId="23"/>
    <cellStyle name="Hyperlink 2" xfId="24"/>
    <cellStyle name="Normal" xfId="0" builtinId="0"/>
    <cellStyle name="Normal 2" xfId="25"/>
    <cellStyle name="Percent" xfId="26" builtinId="5"/>
    <cellStyle name="Style 1025" xfId="27"/>
    <cellStyle name="Style 1101" xfId="28"/>
    <cellStyle name="Style 1103" xfId="29"/>
    <cellStyle name="Style 1104" xfId="30"/>
    <cellStyle name="Style 1105" xfId="31"/>
    <cellStyle name="Style 1106" xfId="32"/>
    <cellStyle name="Style 1107" xfId="33"/>
    <cellStyle name="Style 1108" xfId="34"/>
    <cellStyle name="Style 1109" xfId="35"/>
    <cellStyle name="Style 1110" xfId="36"/>
    <cellStyle name="Style 1111" xfId="37"/>
    <cellStyle name="Style 1112" xfId="38"/>
    <cellStyle name="Style 1113" xfId="39"/>
    <cellStyle name="Style 1114" xfId="40"/>
    <cellStyle name="Style 1115" xfId="41"/>
    <cellStyle name="Style 1177" xfId="42"/>
    <cellStyle name="Style 1178" xfId="43"/>
    <cellStyle name="Style 1179" xfId="44"/>
    <cellStyle name="Style 1180" xfId="45"/>
    <cellStyle name="Style 1181" xfId="46"/>
    <cellStyle name="Style 1182" xfId="47"/>
    <cellStyle name="Style 1183" xfId="48"/>
    <cellStyle name="Style 1184" xfId="49"/>
    <cellStyle name="Style 1185" xfId="50"/>
    <cellStyle name="Style 1299" xfId="51"/>
    <cellStyle name="Style 1331" xfId="52"/>
    <cellStyle name="Style 1332" xfId="53"/>
    <cellStyle name="Style 1333" xfId="54"/>
    <cellStyle name="Style 1334" xfId="55"/>
    <cellStyle name="Style 1335" xfId="56"/>
    <cellStyle name="Style 1336" xfId="57"/>
    <cellStyle name="Style 1337" xfId="58"/>
    <cellStyle name="Style 1338" xfId="59"/>
    <cellStyle name="Style 1339" xfId="60"/>
    <cellStyle name="Style 1376" xfId="61"/>
    <cellStyle name="Style 1377" xfId="62"/>
    <cellStyle name="Style 1378" xfId="63"/>
    <cellStyle name="Style 1379" xfId="64"/>
    <cellStyle name="Style 1380" xfId="65"/>
    <cellStyle name="Style 1381" xfId="66"/>
    <cellStyle name="Style 1382" xfId="67"/>
    <cellStyle name="Style 1383" xfId="68"/>
    <cellStyle name="Style 1384" xfId="69"/>
    <cellStyle name="Style 1385" xfId="70"/>
    <cellStyle name="Style 1386" xfId="71"/>
    <cellStyle name="Style 1556" xfId="72"/>
    <cellStyle name="Style 1663" xfId="73"/>
    <cellStyle name="Style 1665" xfId="74"/>
    <cellStyle name="Style 1666" xfId="75"/>
    <cellStyle name="Style 1667" xfId="76"/>
    <cellStyle name="Style 1668" xfId="77"/>
    <cellStyle name="Style 1669" xfId="78"/>
    <cellStyle name="Style 1670" xfId="79"/>
    <cellStyle name="Style 1671" xfId="80"/>
    <cellStyle name="Style 1672" xfId="81"/>
    <cellStyle name="Style 1673" xfId="82"/>
    <cellStyle name="Style 1887" xfId="83"/>
    <cellStyle name="Style 1888" xfId="84"/>
    <cellStyle name="Style 1889" xfId="85"/>
    <cellStyle name="Style 1890" xfId="86"/>
    <cellStyle name="Style 1891" xfId="87"/>
    <cellStyle name="Style 1892" xfId="88"/>
    <cellStyle name="Style 1893" xfId="89"/>
    <cellStyle name="Style 1894" xfId="90"/>
    <cellStyle name="Style 1895" xfId="91"/>
    <cellStyle name="Style 297" xfId="92"/>
    <cellStyle name="Style 300" xfId="93"/>
    <cellStyle name="Style 528" xfId="94"/>
    <cellStyle name="Style 561" xfId="95"/>
    <cellStyle name="Style 669" xfId="96"/>
    <cellStyle name="Style 670" xfId="97"/>
    <cellStyle name="Style 671" xfId="98"/>
    <cellStyle name="Style 672" xfId="99"/>
    <cellStyle name="Style 673" xfId="100"/>
    <cellStyle name="Style 674" xfId="101"/>
    <cellStyle name="Style 675" xfId="102"/>
    <cellStyle name="Style 676" xfId="103"/>
    <cellStyle name="Style 707" xfId="104"/>
    <cellStyle name="Style 708" xfId="105"/>
    <cellStyle name="Style 709" xfId="106"/>
    <cellStyle name="Style 710" xfId="107"/>
    <cellStyle name="Style 711" xfId="108"/>
    <cellStyle name="Style 712" xfId="109"/>
    <cellStyle name="Style 713" xfId="110"/>
    <cellStyle name="Style 714" xfId="111"/>
    <cellStyle name="Style 723" xfId="112"/>
    <cellStyle name="Style 740" xfId="113"/>
    <cellStyle name="Style 741" xfId="114"/>
    <cellStyle name="Style 742" xfId="115"/>
    <cellStyle name="Style 743" xfId="116"/>
    <cellStyle name="Style 744" xfId="117"/>
    <cellStyle name="Style 745" xfId="118"/>
    <cellStyle name="Style 746" xfId="119"/>
    <cellStyle name="Style 747" xfId="120"/>
    <cellStyle name="Style 835" xfId="121"/>
    <cellStyle name="Style 843" xfId="122"/>
    <cellStyle name="Style 868" xfId="123"/>
    <cellStyle name="Style 902" xfId="124"/>
    <cellStyle name="Style 903" xfId="125"/>
    <cellStyle name="Style 904" xfId="126"/>
    <cellStyle name="Style 905" xfId="127"/>
    <cellStyle name="Style 910" xfId="128"/>
    <cellStyle name="Style 911" xfId="129"/>
    <cellStyle name="Style 912" xfId="130"/>
    <cellStyle name="Style 913" xfId="131"/>
    <cellStyle name="Style 918" xfId="132"/>
    <cellStyle name="Style 919" xfId="133"/>
    <cellStyle name="Style 920" xfId="134"/>
    <cellStyle name="Style 921" xfId="135"/>
    <cellStyle name="Style 926" xfId="136"/>
    <cellStyle name="Style 927" xfId="137"/>
    <cellStyle name="Style 928" xfId="138"/>
    <cellStyle name="Style 929" xfId="139"/>
    <cellStyle name="Style 934" xfId="140"/>
    <cellStyle name="Style 935" xfId="141"/>
    <cellStyle name="Style 936" xfId="142"/>
    <cellStyle name="Style 937" xfId="143"/>
    <cellStyle name="Style 942" xfId="144"/>
    <cellStyle name="Style 943" xfId="145"/>
    <cellStyle name="Style 944" xfId="146"/>
    <cellStyle name="Style 945" xfId="147"/>
    <cellStyle name="Style 950" xfId="148"/>
    <cellStyle name="Style 951" xfId="149"/>
    <cellStyle name="Style 952" xfId="150"/>
    <cellStyle name="Style 953" xfId="151"/>
    <cellStyle name="Style 958" xfId="152"/>
    <cellStyle name="Style 959" xfId="153"/>
    <cellStyle name="Style 960" xfId="154"/>
    <cellStyle name="Style 961" xfId="155"/>
    <cellStyle name="Style 966" xfId="156"/>
    <cellStyle name="Style 967" xfId="157"/>
    <cellStyle name="Style 968" xfId="158"/>
    <cellStyle name="Style 969" xfId="159"/>
    <cellStyle name="Style 974" xfId="160"/>
    <cellStyle name="Style 975" xfId="161"/>
    <cellStyle name="Style 976" xfId="162"/>
    <cellStyle name="Style 977" xfId="163"/>
    <cellStyle name="Style 979" xfId="164"/>
    <cellStyle name="Style 981" xfId="165"/>
    <cellStyle name="Style 982" xfId="166"/>
    <cellStyle name="Style 983" xfId="167"/>
    <cellStyle name="Style 984" xfId="168"/>
    <cellStyle name="Style 985" xfId="169"/>
    <cellStyle name="Style 986" xfId="170"/>
    <cellStyle name="Style 987" xfId="171"/>
    <cellStyle name="Style 988" xfId="172"/>
    <cellStyle name="Style 989" xfId="173"/>
    <cellStyle name="Style 991" xfId="174"/>
    <cellStyle name="Hyperlink" xfId="175" builtinId="8"/>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AA6520"/>
      <rgbColor rgb="00008000"/>
      <rgbColor rgb="00000080"/>
      <rgbColor rgb="00808000"/>
      <rgbColor rgb="00800080"/>
      <rgbColor rgb="00008080"/>
      <rgbColor rgb="00EAEAEA"/>
      <rgbColor rgb="00808080"/>
      <rgbColor rgb="009999FF"/>
      <rgbColor rgb="00BB793C"/>
      <rgbColor rgb="00620C0B"/>
      <rgbColor rgb="00590001"/>
      <rgbColor rgb="00404549"/>
      <rgbColor rgb="00CD9B7A"/>
      <rgbColor rgb="00990033"/>
      <rgbColor rgb="00EAEAEA"/>
      <rgbColor rgb="00000080"/>
      <rgbColor rgb="00FF00FF"/>
      <rgbColor rgb="00FFFF00"/>
      <rgbColor rgb="0000FFFF"/>
      <rgbColor rgb="00800080"/>
      <rgbColor rgb="00CC6633"/>
      <rgbColor rgb="00666666"/>
      <rgbColor rgb="00A0A0A0"/>
      <rgbColor rgb="00FFFFFF"/>
      <rgbColor rgb="00CCFFFF"/>
      <rgbColor rgb="00CCFFCC"/>
      <rgbColor rgb="00FFFF99"/>
      <rgbColor rgb="0099CCFF"/>
      <rgbColor rgb="00FE5000"/>
      <rgbColor rgb="00CC99FF"/>
      <rgbColor rgb="00FFCC99"/>
      <rgbColor rgb="003366FF"/>
      <rgbColor rgb="0033CCCC"/>
      <rgbColor rgb="0099CC00"/>
      <rgbColor rgb="00FFCC00"/>
      <rgbColor rgb="00FF9900"/>
      <rgbColor rgb="00FF6600"/>
      <rgbColor rgb="00666699"/>
      <rgbColor rgb="00B57792"/>
      <rgbColor rgb="00003366"/>
      <rgbColor rgb="00339966"/>
      <rgbColor rgb="00003300"/>
      <rgbColor rgb="00333300"/>
      <rgbColor rgb="00993300"/>
      <rgbColor rgb="00993366"/>
      <rgbColor rgb="00333399"/>
      <rgbColor rgb="00800000"/>
    </indexedColors>
  </colors>
  <extLst>
    <ext uri="{EB79DEF2-80B8-43e5-95BD-54CBDDF9020C}">
      <x14:slicerStyles xmlns:x14="http://schemas.microsoft.com/office/spreadsheetml/2009/9/main" defaultSlicerStyle="SlicerStyleLight1"/>
    </ext>
    <ext uri="{9260A510-F301-46a8-8635-F512D64BE5F5}">
      <x15:timelineStyles xmlns:x15="http://schemas.microsoft.com/office/spreadsheetml/2010/11/main" defaultTimelineStyle="TimeSlicerStyleLight1"/>
    </ext>
  </extLst>
</styleSheet>
</file>

<file path=xl/_rels/workbook.xml.rels><?xml version="1.0" encoding="utf-8" standalone="yes" ?>
<Relationships xmlns="http://schemas.openxmlformats.org/package/2006/relationships">
<Relationship Id="rId11" Type="http://schemas.openxmlformats.org/officeDocument/2006/relationships/worksheet" Target="worksheets/sheet8.xml" />
<Relationship Id="rId14" Type="http://schemas.openxmlformats.org/officeDocument/2006/relationships/styles" Target="/xl/styles.xml" />
<Relationship Id="rId15" Type="http://schemas.openxmlformats.org/officeDocument/2006/relationships/theme" Target="/xl/theme/theme1.xml" />
<Relationship Id="rId13" Type="http://schemas.openxmlformats.org/officeDocument/2006/relationships/worksheet" Target="worksheets/sheet16.xml" />
<Relationship Id="rId9" Type="http://schemas.openxmlformats.org/officeDocument/2006/relationships/worksheet" Target="worksheets/sheet1.xml" />
<Relationship Id="rId10" Type="http://schemas.openxmlformats.org/officeDocument/2006/relationships/worksheet" Target="worksheets/sheet6.xml" />
<Relationship Id="rId12" Type="http://schemas.openxmlformats.org/officeDocument/2006/relationships/worksheet" Target="worksheets/sheet10.xml" />
<Relationship Id="rId16" Type="http://schemas.openxmlformats.org/officeDocument/2006/relationships/sharedStrings" Target="/xl/sharedStrings.xml" />
<Relationship Id="rId8" Type="http://schemas.openxmlformats.org/officeDocument/2006/relationships/worksheet" Target="worksheets/sheet18.xml" />
<Relationship Id="rId7" Type="http://schemas.openxmlformats.org/officeDocument/2006/relationships/worksheet" Target="worksheets/sheet22.xml" />
<Relationship Id="rId6" Type="http://schemas.openxmlformats.org/officeDocument/2006/relationships/worksheet" Target="worksheets/sheet26.xml" />
<Relationship Id="rId5" Type="http://schemas.openxmlformats.org/officeDocument/2006/relationships/worksheet" Target="worksheets/sheet30.xml" />
<Relationship Id="rId4" Type="http://schemas.openxmlformats.org/officeDocument/2006/relationships/worksheet" Target="worksheets/sheet34.xml" />
<Relationship Id="rId3" Type="http://schemas.openxmlformats.org/officeDocument/2006/relationships/worksheet" Target="worksheets/sheet38.xml" />
<Relationship Id="rId2" Type="http://schemas.openxmlformats.org/officeDocument/2006/relationships/worksheet" Target="worksheets/sheet42.xml" />
<Relationship Id="rId1" Type="http://schemas.openxmlformats.org/officeDocument/2006/relationships/worksheet" Target="worksheets/sheet46.xml" />
</Relationships>
</file>

<file path=xl/charts/chart49.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1" i="0" u="none" strike="noStrike" baseline="0">
                <a:solidFill>
                  <a:sysClr val="windowText"/>
                </a:solidFill>
                <a:latin typeface="Arial"/>
              </a:defRPr>
            </a:pPr>
            <a:r>
              <a:rPr sz="1800" b="1" i="0" u="none" strike="noStrike" baseline="0">
                <a:latin typeface="Arial" charset="0"/>
              </a:rPr>
              <a:t>Daily Indexes for the Month of July</a:t>
            </a:r>
          </a:p>
        </rich>
      </tx>
      <overlay val="0"/>
    </title>
    <plotArea>
      <lineChart>
        <grouping/>
        <ser>
          <idx val="0"/>
          <order val="0"/>
          <tx>
            <v>Occupancy Index</v>
          </tx>
          <spPr>
            <a:ln w="38100">
              <a:solidFill>
                <a:srgbClr val="009CDE"/>
              </a:solidFill>
              <a:prstDash val="solid"/>
            </a:ln>
          </spPr>
          <marker>
            <symbol val="circle"/>
            <size val="8"/>
            <spPr>
              <a:solidFill>
                <a:srgbClr val="009CDE"/>
              </a:solidFill>
              <a:ln w="9525">
                <a:solidFill>
                  <a:srgbClr val="009CDE"/>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Month'!$C$25:$AG$25</f>
            </multiLvlStrRef>
          </cat>
          <val>
            <numRef>
              <f>'Daily by Month'!$C$28:$AG$28</f>
              <numCache>
                <formatCode>General</formatCode>
                <ptCount val="31"/>
                <pt idx="0">
                  <v>54.5565317770771</v>
                </pt>
                <pt idx="0">
                  <v>68.6907020873024</v>
                </pt>
                <pt idx="0">
                  <v>60.3552011597817</v>
                </pt>
                <pt idx="0">
                  <v>69.9479362353547</v>
                </pt>
                <pt idx="0">
                  <v>63.741372024216</v>
                </pt>
                <pt idx="0">
                  <v>48.6559139785072</v>
                </pt>
                <pt idx="0">
                  <v>50.6712476936108</v>
                </pt>
                <pt idx="0">
                  <v>62.0539192768816</v>
                </pt>
                <pt idx="0">
                  <v>62.3823723037518</v>
                </pt>
                <pt idx="0">
                  <v>56.8814123301337</v>
                </pt>
                <pt idx="0">
                  <v>63.6124011547827</v>
                </pt>
                <pt idx="0">
                  <v>80.377042312542</v>
                </pt>
                <pt idx="0">
                  <v>74.2642897567259</v>
                </pt>
                <pt idx="0">
                  <v>61.0511468170868</v>
                </pt>
                <pt idx="0">
                  <v>57.7454803261228</v>
                </pt>
                <pt idx="0">
                  <v>75.7045014899853</v>
                </pt>
                <pt idx="0">
                  <v>64.7655191108614</v>
                </pt>
                <pt idx="0">
                  <v>73.2585906828203</v>
                </pt>
                <pt idx="0">
                  <v>73.5467285844335</v>
                </pt>
                <pt idx="0">
                  <v>0</v>
                </pt>
                <pt idx="0">
                  <v>0</v>
                </pt>
                <pt idx="0">
                  <v>0</v>
                </pt>
                <pt idx="0">
                  <v>0</v>
                </pt>
                <pt idx="0">
                  <v>0</v>
                </pt>
                <pt idx="0">
                  <v>0</v>
                </pt>
                <pt idx="0">
                  <v>0</v>
                </pt>
                <pt idx="0">
                  <v>0</v>
                </pt>
                <pt idx="0">
                  <v>0</v>
                </pt>
                <pt idx="0">
                  <v>0</v>
                </pt>
                <pt idx="0">
                  <v>0</v>
                </pt>
                <pt idx="0">
                  <v>0</v>
                </pt>
              </numCache>
            </numRef>
          </val>
          <smooth val="0"/>
        </ser>
        <ser>
          <idx val="1"/>
          <order val="1"/>
          <tx>
            <v>ADR Index</v>
          </tx>
          <spPr>
            <a:ln w="38100">
              <a:solidFill>
                <a:srgbClr val="D22630"/>
              </a:solidFill>
              <a:prstDash val="solid"/>
            </a:ln>
          </spPr>
          <marker>
            <symbol val="diamond"/>
            <size val="8"/>
            <spPr>
              <a:solidFill>
                <a:srgbClr val="D22630"/>
              </a:solidFill>
              <a:ln w="9525">
                <a:solidFill>
                  <a:srgbClr val="D2263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Month'!$C$25:$AG$25</f>
            </multiLvlStrRef>
          </cat>
          <val>
            <numRef>
              <f>'Daily by Month'!$C$40:$AG$40</f>
              <numCache>
                <formatCode>General</formatCode>
                <ptCount val="31"/>
                <pt idx="0">
                  <v>67.3617299489902</v>
                </pt>
                <pt idx="0">
                  <v>73.0698092926972</v>
                </pt>
                <pt idx="0">
                  <v>78.361906269576</v>
                </pt>
                <pt idx="0">
                  <v>75.9299083907903</v>
                </pt>
                <pt idx="0">
                  <v>77.2063850933752</v>
                </pt>
                <pt idx="0">
                  <v>79.3005563755959</v>
                </pt>
                <pt idx="0">
                  <v>72.9795338381912</v>
                </pt>
                <pt idx="0">
                  <v>68.4685172077189</v>
                </pt>
                <pt idx="0">
                  <v>68.1044213288268</v>
                </pt>
                <pt idx="0">
                  <v>60.9872106282296</v>
                </pt>
                <pt idx="0">
                  <v>80.1010808194961</v>
                </pt>
                <pt idx="0">
                  <v>75.3674373328037</v>
                </pt>
                <pt idx="0">
                  <v>73.5065357949204</v>
                </pt>
                <pt idx="0">
                  <v>67.7559347904661</v>
                </pt>
                <pt idx="0">
                  <v>71.9383061341463</v>
                </pt>
                <pt idx="0">
                  <v>71.7350914522493</v>
                </pt>
                <pt idx="0">
                  <v>68.6747262783847</v>
                </pt>
                <pt idx="0">
                  <v>81.4913766266727</v>
                </pt>
                <pt idx="0">
                  <v>78.3411791549003</v>
                </pt>
                <pt idx="0">
                  <v>0</v>
                </pt>
                <pt idx="0">
                  <v>0</v>
                </pt>
                <pt idx="0">
                  <v>0</v>
                </pt>
                <pt idx="0">
                  <v>0</v>
                </pt>
                <pt idx="0">
                  <v>0</v>
                </pt>
                <pt idx="0">
                  <v>0</v>
                </pt>
                <pt idx="0">
                  <v>0</v>
                </pt>
                <pt idx="0">
                  <v>0</v>
                </pt>
                <pt idx="0">
                  <v>0</v>
                </pt>
                <pt idx="0">
                  <v>0</v>
                </pt>
                <pt idx="0">
                  <v>0</v>
                </pt>
                <pt idx="0">
                  <v>0</v>
                </pt>
              </numCache>
            </numRef>
          </val>
          <smooth val="0"/>
        </ser>
        <ser>
          <idx val="2"/>
          <order val="2"/>
          <tx>
            <v>RevPAR Index</v>
          </tx>
          <spPr>
            <a:ln w="38100">
              <a:solidFill>
                <a:srgbClr val="84BD00"/>
              </a:solidFill>
              <a:prstDash val="lgDash"/>
            </a:ln>
          </spPr>
          <marker>
            <symbol val="square"/>
            <size val="8"/>
            <spPr>
              <a:solidFill>
                <a:srgbClr val="84BD00"/>
              </a:solidFill>
              <a:ln w="9525">
                <a:solidFill>
                  <a:srgbClr val="84BD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Month'!$C$25:$AG$25</f>
            </multiLvlStrRef>
          </cat>
          <val>
            <numRef>
              <f>'Daily by Month'!$C$52:$AG$52</f>
              <numCache>
                <formatCode>General</formatCode>
                <ptCount val="31"/>
                <pt idx="0">
                  <v>36.7502236052267</v>
                </pt>
                <pt idx="0">
                  <v>50.1921650169467</v>
                </pt>
                <pt idx="0">
                  <v>47.2954861616365</v>
                </pt>
                <pt idx="0">
                  <v>53.1114039047015</v>
                </pt>
                <pt idx="0">
                  <v>49.2124091488188</v>
                </pt>
                <pt idx="0">
                  <v>38.5844104945655</v>
                </pt>
                <pt idx="0">
                  <v>36.9796403567458</v>
                </pt>
                <pt idx="0">
                  <v>42.4873983981988</v>
                </pt>
                <pt idx="0">
                  <v>42.4851536686948</v>
                </pt>
                <pt idx="0">
                  <v>34.6903867461136</v>
                </pt>
                <pt idx="0">
                  <v>50.9542208601806</v>
                </pt>
                <pt idx="0">
                  <v>60.5781169948781</v>
                </pt>
                <pt idx="0">
                  <v>54.5891067327887</v>
                </pt>
                <pt idx="0">
                  <v>41.3657752262294</v>
                </pt>
                <pt idx="0">
                  <v>41.5411204156594</v>
                </pt>
                <pt idx="0">
                  <v>54.3066933773281</v>
                </pt>
                <pt idx="0">
                  <v>44.477542972146</v>
                </pt>
                <pt idx="0">
                  <v>59.699434044749</v>
                </pt>
                <pt idx="0">
                  <v>57.6173744029624</v>
                </pt>
                <pt idx="0">
                  <v>0</v>
                </pt>
                <pt idx="0">
                  <v>0</v>
                </pt>
                <pt idx="0">
                  <v>0</v>
                </pt>
                <pt idx="0">
                  <v>0</v>
                </pt>
                <pt idx="0">
                  <v>0</v>
                </pt>
                <pt idx="0">
                  <v>0</v>
                </pt>
                <pt idx="0">
                  <v>0</v>
                </pt>
                <pt idx="0">
                  <v>0</v>
                </pt>
                <pt idx="0">
                  <v>0</v>
                </pt>
                <pt idx="0">
                  <v>0</v>
                </pt>
                <pt idx="0">
                  <v>0</v>
                </pt>
                <pt idx="0">
                  <v>0</v>
                </pt>
              </numCache>
            </numRef>
          </val>
          <smooth val="0"/>
        </ser>
        <ser>
          <idx val="3"/>
          <order val="3"/>
          <tx>
            <v>100 %</v>
          </tx>
          <spPr>
            <a:ln w="25400">
              <a:solidFill>
                <a:srgbClr val="000000"/>
              </a:solidFill>
              <a:prstDash val="lgDash"/>
            </a:ln>
          </spPr>
          <marker>
            <symbol val="none"/>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Month'!$C$25:$AG$25</f>
            </multiLvlStrRef>
          </cat>
          <val>
            <numRef>
              <f>'Daily by Month'!$C$61:$AG$61</f>
              <numCache>
                <formatCode>General</formatCode>
                <ptCount val="31"/>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numCache>
            </numRef>
          </val>
          <smooth val="0"/>
        </ser>
        <smooth val="0"/>
        <axId val="1"/>
        <axId val="4"/>
      </lineChart>
      <catAx>
        <axId val="1"/>
        <scaling>
          <orientation/>
        </scaling>
        <delete val="0"/>
        <axPos val="b"/>
        <majorTickMark val="none"/>
        <minorTickMark val="none"/>
        <spPr>
          <a:ln w="9525">
            <a:solidFill>
              <a:srgbClr val="A0A0A0"/>
            </a:solidFill>
            <a:prstDash val="solid"/>
          </a:ln>
        </spPr>
        <txPr>
          <a:bodyPr rot="60000"/>
          <a:lstStyle/>
          <a:p>
            <a:pPr>
              <a:defRPr sz="1200" b="0" i="0" u="none" strike="noStrike" baseline="0">
                <a:solidFill>
                  <a:sysClr val="windowText"/>
                </a:solidFill>
                <a:latin typeface="Arial"/>
              </a:defRPr>
            </a:pPr>
          </a:p>
        </txPr>
        <crossAx val="4"/>
      </catAx>
      <valAx>
        <axId val="4"/>
        <scaling>
          <orientation/>
          <max val="86"/>
          <min val="30"/>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3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470" b="0" i="0" u="none" strike="noStrike" baseline="0">
                <a:solidFill>
                  <a:sysClr val="windowText"/>
                </a:solidFill>
                <a:latin typeface="Arial"/>
              </a:defRPr>
            </a:pPr>
          </a:p>
        </txPr>
      </legendEntry>
      <legendEntry>
        <idx val="1"/>
        <txPr>
          <a:bodyPr/>
          <a:p>
            <a:pPr>
              <a:defRPr sz="1470" b="0" i="0" u="none" strike="noStrike" baseline="0">
                <a:solidFill>
                  <a:sysClr val="windowText"/>
                </a:solidFill>
                <a:latin typeface="Arial"/>
              </a:defRPr>
            </a:pPr>
          </a:p>
        </txPr>
      </legendEntry>
      <legendEntry>
        <idx val="2"/>
        <txPr>
          <a:bodyPr/>
          <a:p>
            <a:pPr>
              <a:defRPr sz="1470" b="0" i="0" u="none" strike="noStrike" baseline="0">
                <a:solidFill>
                  <a:sysClr val="windowText"/>
                </a:solidFill>
                <a:latin typeface="Arial"/>
              </a:defRPr>
            </a:pPr>
          </a:p>
        </txPr>
      </legendEntry>
      <legendEntry>
        <idx val="3"/>
        <txPr>
          <a:bodyPr/>
          <a:p>
            <a:pPr>
              <a:defRPr sz="1470" b="0" i="0" u="none" strike="noStrike" baseline="0">
                <a:solidFill>
                  <a:sysClr val="windowText"/>
                </a:solidFill>
                <a:latin typeface="Arial"/>
              </a:defRPr>
            </a:pPr>
          </a:p>
        </txPr>
      </legendEntry>
      <overlay val="0"/>
      <spPr>
        <a:ln w="9525">
          <a:noFill/>
        </a:ln>
      </spPr>
      <txPr>
        <a:bodyPr/>
        <a:p>
          <a:pPr>
            <a:defRPr sz="1470" b="0" i="0" u="none" strike="noStrike" baseline="0">
              <a:solidFill>
                <a:sysClr val="windowText"/>
              </a:solidFill>
              <a:latin typeface="Arial"/>
            </a:defRPr>
          </a:pPr>
        </a:p>
      </txPr>
    </legend>
    <dispBlanksAs val="gap"/>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51.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1" i="0" u="none" strike="noStrike" baseline="0">
                <a:solidFill>
                  <a:sysClr val="windowText"/>
                </a:solidFill>
                <a:latin typeface="Arial"/>
              </a:defRPr>
            </a:pPr>
            <a:r>
              <a:rPr sz="1800" b="1" i="0" u="none" strike="noStrike" baseline="0">
                <a:latin typeface="Arial" charset="0"/>
              </a:rPr>
              <a:t>Weekly Occupancy (%) - Apr 27, 2025 to Jul 19, 2025</a:t>
            </a:r>
          </a:p>
        </rich>
      </tx>
      <overlay val="0"/>
    </title>
    <plotArea>
      <lineChart>
        <grouping/>
        <ser>
          <idx val="0"/>
          <order val="0"/>
          <tx>
            <v>My Property</v>
          </tx>
          <spPr>
            <a:ln w="38100">
              <a:solidFill>
                <a:srgbClr val="00558C"/>
              </a:solidFill>
              <a:prstDash val="solid"/>
            </a:ln>
          </spPr>
          <marker>
            <symbol val="circle"/>
            <size val="8"/>
            <spPr>
              <a:solidFill>
                <a:srgbClr val="00558C"/>
              </a:solidFill>
              <a:ln w="9525">
                <a:solidFill>
                  <a:srgbClr val="00558C"/>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Occ!$B$72:$M$72</f>
            </multiLvlStrRef>
          </cat>
          <val>
            <numRef>
              <f>Occ!$B$73:$M$73</f>
              <numCache>
                <formatCode>General</formatCode>
                <ptCount val="12"/>
                <pt idx="0">
                  <v>49.0015360983103</v>
                </pt>
                <pt idx="0">
                  <v>29.6466973886329</v>
                </pt>
                <pt idx="0">
                  <v>37.4807987711214</v>
                </pt>
                <pt idx="0">
                  <v>37.6344086021505</v>
                </pt>
                <pt idx="0">
                  <v>39.0168970814132</v>
                </pt>
                <pt idx="0">
                  <v>42.2427035330261</v>
                </pt>
                <pt idx="0">
                  <v>28.673835125448</v>
                </pt>
                <pt idx="0">
                  <v>45.3149001536098</v>
                </pt>
                <pt idx="0">
                  <v>50.7680491551459</v>
                </pt>
                <pt idx="0">
                  <v>29.8771121351767</v>
                </pt>
                <pt idx="0">
                  <v>39.1705069124424</v>
                </pt>
                <pt idx="0">
                  <v>40.6298003072197</v>
                </pt>
              </numCache>
            </numRef>
          </val>
          <smooth val="0"/>
        </ser>
        <ser>
          <idx val="1"/>
          <order val="1"/>
          <tx>
            <v>Comp Set</v>
          </tx>
          <spPr>
            <a:ln w="38100">
              <a:solidFill>
                <a:srgbClr val="84BD00"/>
              </a:solidFill>
              <a:prstDash val="solid"/>
            </a:ln>
          </spPr>
          <marker>
            <symbol val="diamond"/>
            <size val="8"/>
            <spPr>
              <a:solidFill>
                <a:srgbClr val="84BD00"/>
              </a:solidFill>
              <a:ln w="9525">
                <a:solidFill>
                  <a:srgbClr val="84BD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Occ!$B$72:$M$72</f>
            </multiLvlStrRef>
          </cat>
          <val>
            <numRef>
              <f>Occ!$B$74:$M$74</f>
              <numCache>
                <formatCode>General</formatCode>
                <ptCount val="12"/>
                <pt idx="0">
                  <v>61.8521441725862</v>
                </pt>
                <pt idx="0">
                  <v>48.4477769008156</v>
                </pt>
                <pt idx="0">
                  <v>54.7355958958169</v>
                </pt>
                <pt idx="0">
                  <v>57.0902394106814</v>
                </pt>
                <pt idx="0">
                  <v>49.0397263877927</v>
                </pt>
                <pt idx="0">
                  <v>61.4443567482242</v>
                </pt>
                <pt idx="0">
                  <v>58.9450144698763</v>
                </pt>
                <pt idx="0">
                  <v>63.7858458300447</v>
                </pt>
                <pt idx="0">
                  <v>61.7092373442544</v>
                </pt>
                <pt idx="0">
                  <v>45.8037358589845</v>
                </pt>
                <pt idx="0">
                  <v>62.8650355169692</v>
                </pt>
                <pt idx="0">
                  <v>59.1554853985793</v>
                </pt>
              </numCache>
            </numRef>
          </val>
          <smooth val="0"/>
        </ser>
        <ser>
          <idx val="2"/>
          <order val="2"/>
          <tx>
            <v>Market Scale</v>
          </tx>
          <spPr>
            <a:ln w="38100">
              <a:solidFill>
                <a:srgbClr val="FE5000"/>
              </a:solidFill>
              <a:prstDash val="lgDash"/>
            </a:ln>
          </spPr>
          <marker>
            <symbol val="square"/>
            <size val="8"/>
            <spPr>
              <a:solidFill>
                <a:srgbClr val="FE5000"/>
              </a:solidFill>
              <a:ln w="9525">
                <a:solidFill>
                  <a:srgbClr val="FE50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Occ!$B$72:$M$72</f>
            </multiLvlStrRef>
          </cat>
          <val>
            <numRef>
              <f>Occ!$B$75:$M$75</f>
              <numCache>
                <formatCode>General</formatCode>
                <ptCount val="12"/>
                <pt idx="0">
                  <v>77.4732750242954</v>
                </pt>
                <pt idx="0">
                  <v>69.322967282151</v>
                </pt>
                <pt idx="0">
                  <v>69.4201490119857</v>
                </pt>
                <pt idx="0">
                  <v>72.4327826368643</v>
                </pt>
                <pt idx="0">
                  <v>63.4467120181406</v>
                </pt>
                <pt idx="0">
                  <v>78.7366375121477</v>
                </pt>
                <pt idx="0">
                  <v>74.408811143505</v>
                </pt>
                <pt idx="0">
                  <v>77.680596047943</v>
                </pt>
                <pt idx="0">
                  <v>75.7304826692582</v>
                </pt>
                <pt idx="0">
                  <v>63.1227729186913</v>
                </pt>
                <pt idx="0">
                  <v>77.0327178490444</v>
                </pt>
                <pt idx="0">
                  <v>74.6031746031746</v>
                </pt>
              </numCache>
            </numRef>
          </val>
          <smooth val="0"/>
        </ser>
        <smooth val="0"/>
        <axId val="1"/>
        <axId val="4"/>
      </lineChart>
      <catAx>
        <axId val="1"/>
        <scaling>
          <orientation/>
        </scaling>
        <delete val="0"/>
        <axPos val="b"/>
        <numFmt formatCode="d-mmm;@" sourceLinked="0"/>
        <majorTickMark val="none"/>
        <minorTickMark val="none"/>
        <spPr>
          <a:ln w="9525">
            <a:solidFill>
              <a:srgbClr val="A0A0A0"/>
            </a:solidFill>
            <a:prstDash val="solid"/>
          </a:ln>
        </spPr>
        <txPr>
          <a:bodyPr rot="60000"/>
          <a:lstStyle/>
          <a:p>
            <a:pPr>
              <a:defRPr sz="1200" b="0" i="0" u="none" strike="noStrike" baseline="0">
                <a:solidFill>
                  <a:sysClr val="windowText"/>
                </a:solidFill>
                <a:latin typeface="Arial"/>
              </a:defRPr>
            </a:pPr>
          </a:p>
        </txPr>
        <crossAx val="4"/>
      </catAx>
      <valAx>
        <axId val="4"/>
        <scaling>
          <orientation/>
          <max val="84"/>
          <min val="24"/>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3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470" b="0" i="0" u="none" strike="noStrike" baseline="0">
                <a:solidFill>
                  <a:sysClr val="windowText"/>
                </a:solidFill>
                <a:latin typeface="Arial"/>
              </a:defRPr>
            </a:pPr>
          </a:p>
        </txPr>
      </legendEntry>
      <legendEntry>
        <idx val="1"/>
        <txPr>
          <a:bodyPr/>
          <a:p>
            <a:pPr>
              <a:defRPr sz="1470" b="0" i="0" u="none" strike="noStrike" baseline="0">
                <a:solidFill>
                  <a:sysClr val="windowText"/>
                </a:solidFill>
                <a:latin typeface="Arial"/>
              </a:defRPr>
            </a:pPr>
          </a:p>
        </txPr>
      </legendEntry>
      <legendEntry>
        <idx val="2"/>
        <txPr>
          <a:bodyPr/>
          <a:p>
            <a:pPr>
              <a:defRPr sz="1470" b="0" i="0" u="none" strike="noStrike" baseline="0">
                <a:solidFill>
                  <a:sysClr val="windowText"/>
                </a:solidFill>
                <a:latin typeface="Arial"/>
              </a:defRPr>
            </a:pPr>
          </a:p>
        </txPr>
      </legendEntry>
      <overlay val="0"/>
      <spPr>
        <a:ln w="9525">
          <a:noFill/>
        </a:ln>
      </spPr>
      <txPr>
        <a:bodyPr/>
        <a:p>
          <a:pPr>
            <a:defRPr sz="1470" b="0" i="0" u="none" strike="noStrike" baseline="0">
              <a:solidFill>
                <a:sysClr val="windowText"/>
              </a:solidFill>
              <a:latin typeface="Arial"/>
            </a:defRPr>
          </a:pPr>
        </a:p>
      </txPr>
    </legend>
    <dispBlanksAs val="gap"/>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53.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1" i="0" u="none" strike="noStrike" baseline="0">
                <a:solidFill>
                  <a:sysClr val="windowText"/>
                </a:solidFill>
                <a:latin typeface="Arial"/>
              </a:defRPr>
            </a:pPr>
            <a:r>
              <a:rPr sz="1800" b="1" i="0" u="none" strike="noStrike" baseline="0">
                <a:latin typeface="Arial" charset="0"/>
              </a:rPr>
              <a:t>Weekly ADR - Apr 27, 2025 to Jul 19, 2025</a:t>
            </a:r>
          </a:p>
        </rich>
      </tx>
      <overlay val="0"/>
    </title>
    <plotArea>
      <lineChart>
        <grouping/>
        <ser>
          <idx val="0"/>
          <order val="0"/>
          <tx>
            <v>My Property</v>
          </tx>
          <spPr>
            <a:ln w="38100">
              <a:solidFill>
                <a:srgbClr val="00558C"/>
              </a:solidFill>
              <a:prstDash val="solid"/>
            </a:ln>
          </spPr>
          <marker>
            <symbol val="circle"/>
            <size val="8"/>
            <spPr>
              <a:solidFill>
                <a:srgbClr val="00558C"/>
              </a:solidFill>
              <a:ln w="9525">
                <a:solidFill>
                  <a:srgbClr val="00558C"/>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ADR!$B$72:$M$72</f>
            </multiLvlStrRef>
          </cat>
          <val>
            <numRef>
              <f>ADR!$B$73:$M$73</f>
              <numCache>
                <formatCode>General</formatCode>
                <ptCount val="12"/>
                <pt idx="0">
                  <v>117.459247648903</v>
                </pt>
                <pt idx="0">
                  <v>109.282383419689</v>
                </pt>
                <pt idx="0">
                  <v>107.247950819672</v>
                </pt>
                <pt idx="0">
                  <v>102.773469387755</v>
                </pt>
                <pt idx="0">
                  <v>104.76968503937</v>
                </pt>
                <pt idx="0">
                  <v>115.150909090909</v>
                </pt>
                <pt idx="0">
                  <v>106.484375</v>
                </pt>
                <pt idx="0">
                  <v>102.181355932203</v>
                </pt>
                <pt idx="0">
                  <v>100.78517397882</v>
                </pt>
                <pt idx="0">
                  <v>95.5167095115681</v>
                </pt>
                <pt idx="0">
                  <v>97.9980392156863</v>
                </pt>
                <pt idx="0">
                  <v>98.875236294896</v>
                </pt>
              </numCache>
            </numRef>
          </val>
          <smooth val="0"/>
        </ser>
        <ser>
          <idx val="1"/>
          <order val="1"/>
          <tx>
            <v>Comp Set</v>
          </tx>
          <spPr>
            <a:ln w="38100">
              <a:solidFill>
                <a:srgbClr val="84BD00"/>
              </a:solidFill>
              <a:prstDash val="solid"/>
            </a:ln>
          </spPr>
          <marker>
            <symbol val="diamond"/>
            <size val="8"/>
            <spPr>
              <a:solidFill>
                <a:srgbClr val="84BD00"/>
              </a:solidFill>
              <a:ln w="9525">
                <a:solidFill>
                  <a:srgbClr val="84BD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ADR!$B$72:$M$72</f>
            </multiLvlStrRef>
          </cat>
          <val>
            <numRef>
              <f>ADR!$B$74:$M$74</f>
              <numCache>
                <formatCode>General</formatCode>
                <ptCount val="12"/>
                <pt idx="0">
                  <v>148.032890259464</v>
                </pt>
                <pt idx="0">
                  <v>136.701365734456</v>
                </pt>
                <pt idx="0">
                  <v>133.522907954819</v>
                </pt>
                <pt idx="0">
                  <v>134.470783410138</v>
                </pt>
                <pt idx="0">
                  <v>127.382910407725</v>
                </pt>
                <pt idx="0">
                  <v>137.218826803682</v>
                </pt>
                <pt idx="0">
                  <v>135.446094621736</v>
                </pt>
                <pt idx="0">
                  <v>136.926535368117</v>
                </pt>
                <pt idx="0">
                  <v>142.354403964528</v>
                </pt>
                <pt idx="0">
                  <v>128.126122917863</v>
                </pt>
                <pt idx="0">
                  <v>136.849960242729</v>
                </pt>
                <pt idx="0">
                  <v>133.915743829219</v>
                </pt>
              </numCache>
            </numRef>
          </val>
          <smooth val="0"/>
        </ser>
        <ser>
          <idx val="2"/>
          <order val="2"/>
          <tx>
            <v>Market Scale</v>
          </tx>
          <spPr>
            <a:ln w="38100">
              <a:solidFill>
                <a:srgbClr val="FE5000"/>
              </a:solidFill>
              <a:prstDash val="lgDash"/>
            </a:ln>
          </spPr>
          <marker>
            <symbol val="square"/>
            <size val="8"/>
            <spPr>
              <a:solidFill>
                <a:srgbClr val="FE5000"/>
              </a:solidFill>
              <a:ln w="9525">
                <a:solidFill>
                  <a:srgbClr val="FE50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ADR!$B$72:$M$72</f>
            </multiLvlStrRef>
          </cat>
          <val>
            <numRef>
              <f>ADR!$B$75:$M$75</f>
              <numCache>
                <formatCode>General</formatCode>
                <ptCount val="12"/>
                <pt idx="0">
                  <v>142.951580531862</v>
                </pt>
                <pt idx="0">
                  <v>132.489065420561</v>
                </pt>
                <pt idx="0">
                  <v>128.335697620159</v>
                </pt>
                <pt idx="0">
                  <v>127.839982110912</v>
                </pt>
                <pt idx="0">
                  <v>119.817931175329</v>
                </pt>
                <pt idx="0">
                  <v>132.015551715626</v>
                </pt>
                <pt idx="0">
                  <v>127.872616456247</v>
                </pt>
                <pt idx="0">
                  <v>132.605921601334</v>
                </pt>
                <pt idx="0">
                  <v>129.748139276243</v>
                </pt>
                <pt idx="0">
                  <v>120.963871497485</v>
                </pt>
                <pt idx="0">
                  <v>133.708746846089</v>
                </pt>
                <pt idx="0">
                  <v>130.917672600955</v>
                </pt>
              </numCache>
            </numRef>
          </val>
          <smooth val="0"/>
        </ser>
        <smooth val="0"/>
        <axId val="1"/>
        <axId val="4"/>
      </lineChart>
      <catAx>
        <axId val="1"/>
        <scaling>
          <orientation/>
        </scaling>
        <delete val="0"/>
        <axPos val="b"/>
        <numFmt formatCode="d-mmm;@" sourceLinked="0"/>
        <majorTickMark val="none"/>
        <minorTickMark val="none"/>
        <spPr>
          <a:ln w="9525">
            <a:solidFill>
              <a:srgbClr val="A0A0A0"/>
            </a:solidFill>
            <a:prstDash val="solid"/>
          </a:ln>
        </spPr>
        <txPr>
          <a:bodyPr rot="60000"/>
          <a:lstStyle/>
          <a:p>
            <a:pPr>
              <a:defRPr sz="1200" b="0" i="0" u="none" strike="noStrike" baseline="0">
                <a:solidFill>
                  <a:sysClr val="windowText"/>
                </a:solidFill>
                <a:latin typeface="Arial"/>
              </a:defRPr>
            </a:pPr>
          </a:p>
        </txPr>
        <crossAx val="4"/>
      </catAx>
      <valAx>
        <axId val="4"/>
        <scaling>
          <orientation/>
          <max val="153"/>
          <min val="91"/>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3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470" b="0" i="0" u="none" strike="noStrike" baseline="0">
                <a:solidFill>
                  <a:sysClr val="windowText"/>
                </a:solidFill>
                <a:latin typeface="Arial"/>
              </a:defRPr>
            </a:pPr>
          </a:p>
        </txPr>
      </legendEntry>
      <legendEntry>
        <idx val="1"/>
        <txPr>
          <a:bodyPr/>
          <a:p>
            <a:pPr>
              <a:defRPr sz="1470" b="0" i="0" u="none" strike="noStrike" baseline="0">
                <a:solidFill>
                  <a:sysClr val="windowText"/>
                </a:solidFill>
                <a:latin typeface="Arial"/>
              </a:defRPr>
            </a:pPr>
          </a:p>
        </txPr>
      </legendEntry>
      <legendEntry>
        <idx val="2"/>
        <txPr>
          <a:bodyPr/>
          <a:p>
            <a:pPr>
              <a:defRPr sz="1470" b="0" i="0" u="none" strike="noStrike" baseline="0">
                <a:solidFill>
                  <a:sysClr val="windowText"/>
                </a:solidFill>
                <a:latin typeface="Arial"/>
              </a:defRPr>
            </a:pPr>
          </a:p>
        </txPr>
      </legendEntry>
      <overlay val="0"/>
      <spPr>
        <a:ln w="9525">
          <a:noFill/>
        </a:ln>
      </spPr>
      <txPr>
        <a:bodyPr/>
        <a:p>
          <a:pPr>
            <a:defRPr sz="1470" b="0" i="0" u="none" strike="noStrike" baseline="0">
              <a:solidFill>
                <a:sysClr val="windowText"/>
              </a:solidFill>
              <a:latin typeface="Arial"/>
            </a:defRPr>
          </a:pPr>
        </a:p>
      </txPr>
    </legend>
    <dispBlanksAs val="gap"/>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55.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1" i="0" u="none" strike="noStrike" baseline="0">
                <a:solidFill>
                  <a:sysClr val="windowText"/>
                </a:solidFill>
                <a:latin typeface="Arial"/>
              </a:defRPr>
            </a:pPr>
            <a:r>
              <a:rPr sz="1800" b="1" i="0" u="none" strike="noStrike" baseline="0">
                <a:latin typeface="Arial" charset="0"/>
              </a:rPr>
              <a:t>Weekly RevPAR - Apr 27, 2025 to Jul 19, 2025</a:t>
            </a:r>
          </a:p>
        </rich>
      </tx>
      <overlay val="0"/>
    </title>
    <plotArea>
      <lineChart>
        <grouping/>
        <ser>
          <idx val="0"/>
          <order val="0"/>
          <tx>
            <v>My Property</v>
          </tx>
          <spPr>
            <a:ln w="38100">
              <a:solidFill>
                <a:srgbClr val="00558C"/>
              </a:solidFill>
              <a:prstDash val="solid"/>
            </a:ln>
          </spPr>
          <marker>
            <symbol val="circle"/>
            <size val="8"/>
            <spPr>
              <a:solidFill>
                <a:srgbClr val="00558C"/>
              </a:solidFill>
              <a:ln w="9525">
                <a:solidFill>
                  <a:srgbClr val="00558C"/>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RevPAR!$B$72:$M$72</f>
            </multiLvlStrRef>
          </cat>
          <val>
            <numRef>
              <f>RevPAR!$B$73:$M$73</f>
              <numCache>
                <formatCode>General</formatCode>
                <ptCount val="12"/>
                <pt idx="0">
                  <v>57.5568356374808</v>
                </pt>
                <pt idx="0">
                  <v>32.3986175115207</v>
                </pt>
                <pt idx="0">
                  <v>40.1973886328725</v>
                </pt>
                <pt idx="0">
                  <v>38.6781874039939</v>
                </pt>
                <pt idx="0">
                  <v>40.8778801843318</v>
                </pt>
                <pt idx="0">
                  <v>48.6428571428571</v>
                </pt>
                <pt idx="0">
                  <v>30.5331541218638</v>
                </pt>
                <pt idx="0">
                  <v>46.3033794162826</v>
                </pt>
                <pt idx="0">
                  <v>51.1666666666667</v>
                </pt>
                <pt idx="0">
                  <v>28.5376344086022</v>
                </pt>
                <pt idx="0">
                  <v>38.3863287250384</v>
                </pt>
                <pt idx="0">
                  <v>40.1728110599078</v>
                </pt>
              </numCache>
            </numRef>
          </val>
          <smooth val="0"/>
        </ser>
        <ser>
          <idx val="1"/>
          <order val="1"/>
          <tx>
            <v>Comp Set</v>
          </tx>
          <spPr>
            <a:ln w="38100">
              <a:solidFill>
                <a:srgbClr val="84BD00"/>
              </a:solidFill>
              <a:prstDash val="solid"/>
            </a:ln>
          </spPr>
          <marker>
            <symbol val="diamond"/>
            <size val="8"/>
            <spPr>
              <a:solidFill>
                <a:srgbClr val="84BD00"/>
              </a:solidFill>
              <a:ln w="9525">
                <a:solidFill>
                  <a:srgbClr val="84BD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RevPAR!$B$72:$M$72</f>
            </multiLvlStrRef>
          </cat>
          <val>
            <numRef>
              <f>RevPAR!$B$74:$M$74</f>
              <numCache>
                <formatCode>General</formatCode>
                <ptCount val="12"/>
                <pt idx="0">
                  <v>91.56151670613</v>
                </pt>
                <pt idx="0">
                  <v>66.228772691397</v>
                </pt>
                <pt idx="0">
                  <v>73.084559326493</v>
                </pt>
                <pt idx="0">
                  <v>76.7696921862668</v>
                </pt>
                <pt idx="0">
                  <v>62.4682307287556</v>
                </pt>
                <pt idx="0">
                  <v>84.3132254669824</v>
                </pt>
                <pt idx="0">
                  <v>79.8387200736648</v>
                </pt>
                <pt idx="0">
                  <v>87.3397487503289</v>
                </pt>
                <pt idx="0">
                  <v>87.8458170124694</v>
                </pt>
                <pt idx="0">
                  <v>58.6865509076559</v>
                </pt>
                <pt idx="0">
                  <v>86.0307761115496</v>
                </pt>
                <pt idx="0">
                  <v>79.2185082872928</v>
                </pt>
              </numCache>
            </numRef>
          </val>
          <smooth val="0"/>
        </ser>
        <ser>
          <idx val="2"/>
          <order val="2"/>
          <tx>
            <v>Market Scale</v>
          </tx>
          <spPr>
            <a:ln w="38100">
              <a:solidFill>
                <a:srgbClr val="FE5000"/>
              </a:solidFill>
              <a:prstDash val="lgDash"/>
            </a:ln>
          </spPr>
          <marker>
            <symbol val="square"/>
            <size val="8"/>
            <spPr>
              <a:solidFill>
                <a:srgbClr val="FE5000"/>
              </a:solidFill>
              <a:ln w="9525">
                <a:solidFill>
                  <a:srgbClr val="FE50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RevPAR!$B$72:$M$72</f>
            </multiLvlStrRef>
          </cat>
          <val>
            <numRef>
              <f>RevPAR!$B$75:$M$75</f>
              <numCache>
                <formatCode>General</formatCode>
                <ptCount val="12"/>
                <pt idx="0">
                  <v>110.749271137026</v>
                </pt>
                <pt idx="0">
                  <v>91.8453514739229</v>
                </pt>
                <pt idx="0">
                  <v>89.0908325234856</v>
                </pt>
                <pt idx="0">
                  <v>92.5980563654033</v>
                </pt>
                <pt idx="0">
                  <v>76.0205377389051</v>
                </pt>
                <pt idx="0">
                  <v>103.944606413994</v>
                </pt>
                <pt idx="0">
                  <v>95.1484936831876</v>
                </pt>
                <pt idx="0">
                  <v>103.009070294785</v>
                </pt>
                <pt idx="0">
                  <v>98.2588921282799</v>
                </pt>
                <pt idx="0">
                  <v>76.3557499190152</v>
                </pt>
                <pt idx="0">
                  <v>102.999481697441</v>
                </pt>
                <pt idx="0">
                  <v>97.6687398769031</v>
                </pt>
              </numCache>
            </numRef>
          </val>
          <smooth val="0"/>
        </ser>
        <smooth val="0"/>
        <axId val="1"/>
        <axId val="4"/>
      </lineChart>
      <catAx>
        <axId val="1"/>
        <scaling>
          <orientation/>
        </scaling>
        <delete val="0"/>
        <axPos val="b"/>
        <numFmt formatCode="d-mmm;@" sourceLinked="0"/>
        <majorTickMark val="none"/>
        <minorTickMark val="none"/>
        <spPr>
          <a:ln w="9525">
            <a:solidFill>
              <a:srgbClr val="A0A0A0"/>
            </a:solidFill>
            <a:prstDash val="solid"/>
          </a:ln>
        </spPr>
        <txPr>
          <a:bodyPr rot="60000"/>
          <a:lstStyle/>
          <a:p>
            <a:pPr>
              <a:defRPr sz="1200" b="0" i="0" u="none" strike="noStrike" baseline="0">
                <a:solidFill>
                  <a:sysClr val="windowText"/>
                </a:solidFill>
                <a:latin typeface="Arial"/>
              </a:defRPr>
            </a:pPr>
          </a:p>
        </txPr>
        <crossAx val="4"/>
      </catAx>
      <valAx>
        <axId val="4"/>
        <scaling>
          <orientation/>
          <max val="116"/>
          <min val="24"/>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3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470" b="0" i="0" u="none" strike="noStrike" baseline="0">
                <a:solidFill>
                  <a:sysClr val="windowText"/>
                </a:solidFill>
                <a:latin typeface="Arial"/>
              </a:defRPr>
            </a:pPr>
          </a:p>
        </txPr>
      </legendEntry>
      <legendEntry>
        <idx val="1"/>
        <txPr>
          <a:bodyPr/>
          <a:p>
            <a:pPr>
              <a:defRPr sz="1470" b="0" i="0" u="none" strike="noStrike" baseline="0">
                <a:solidFill>
                  <a:sysClr val="windowText"/>
                </a:solidFill>
                <a:latin typeface="Arial"/>
              </a:defRPr>
            </a:pPr>
          </a:p>
        </txPr>
      </legendEntry>
      <legendEntry>
        <idx val="2"/>
        <txPr>
          <a:bodyPr/>
          <a:p>
            <a:pPr>
              <a:defRPr sz="1470" b="0" i="0" u="none" strike="noStrike" baseline="0">
                <a:solidFill>
                  <a:sysClr val="windowText"/>
                </a:solidFill>
                <a:latin typeface="Arial"/>
              </a:defRPr>
            </a:pPr>
          </a:p>
        </txPr>
      </legendEntry>
      <overlay val="0"/>
      <spPr>
        <a:ln w="9525">
          <a:noFill/>
        </a:ln>
      </spPr>
      <txPr>
        <a:bodyPr/>
        <a:p>
          <a:pPr>
            <a:defRPr sz="1470" b="0" i="0" u="none" strike="noStrike" baseline="0">
              <a:solidFill>
                <a:sysClr val="windowText"/>
              </a:solidFill>
              <a:latin typeface="Arial"/>
            </a:defRPr>
          </a:pPr>
        </a:p>
      </txPr>
    </legend>
    <dispBlanksAs val="gap"/>
  </chart>
  <spPr>
    <a:ln w="9525">
      <a:solidFill>
        <a:srgbClr val="FFFFFF"/>
      </a:solidFill>
      <a:prstDash val="solid"/>
    </a:ln>
  </spPr>
  <txPr>
    <a:bodyPr/>
    <a:p>
      <a:pPr>
        <a:defRPr sz="1000" b="0" i="0" u="none" strike="noStrike" baseline="0">
          <a:solidFill>
            <a:sysClr val="windowText"/>
          </a:solidFill>
          <a:latin typeface="+mn-lt"/>
        </a:defRPr>
      </a:pPr>
    </a:p>
  </txPr>
</chartSpace>
</file>

<file path=xl/drawings/_rels/drawing1.xml.rels><?xml version="1.0" encoding="utf-8" standalone="yes" ?>
<Relationships xmlns="http://schemas.openxmlformats.org/package/2006/relationships">
<Relationship Id="rId1" Type="http://schemas.openxmlformats.org/officeDocument/2006/relationships/image" Target="/xl/media/image1.png" />
</Relationships>
</file>

<file path=xl/drawings/_rels/drawing2.xml.rels><?xml version="1.0" encoding="utf-8" standalone="yes" ?>
<Relationships xmlns="http://schemas.openxmlformats.org/package/2006/relationships">
<Relationship Id="rId1" Type="http://schemas.openxmlformats.org/officeDocument/2006/relationships/image" Target="/xl/media/image2.jpeg" />
</Relationships>
</file>

<file path=xl/drawings/_rels/drawing28.xml.rels><?xml version="1.0" encoding="utf-8" standalone="yes" ?>
<Relationships xmlns="http://schemas.openxmlformats.org/package/2006/relationships">
<Relationship Id="rId54" Type="http://schemas.openxmlformats.org/officeDocument/2006/relationships/chart" Target="/xl/charts/chart49.xml" />
</Relationships>
</file>

<file path=xl/drawings/_rels/drawing50.xml.rels><?xml version="1.0" encoding="utf-8" standalone="yes" ?>
<Relationships xmlns="http://schemas.openxmlformats.org/package/2006/relationships">
<Relationship Id="rId56" Type="http://schemas.openxmlformats.org/officeDocument/2006/relationships/chart" Target="/xl/charts/chart51.xml" />
</Relationships>
</file>

<file path=xl/drawings/_rels/drawing52.xml.rels><?xml version="1.0" encoding="utf-8" standalone="yes" ?>
<Relationships xmlns="http://schemas.openxmlformats.org/package/2006/relationships">
<Relationship Id="rId58" Type="http://schemas.openxmlformats.org/officeDocument/2006/relationships/chart" Target="/xl/charts/chart53.xml" />
</Relationships>
</file>

<file path=xl/drawings/_rels/drawing54.xml.rels><?xml version="1.0" encoding="utf-8" standalone="yes" ?>
<Relationships xmlns="http://schemas.openxmlformats.org/package/2006/relationships">
<Relationship Id="rId60" Type="http://schemas.openxmlformats.org/officeDocument/2006/relationships/chart" Target="/xl/charts/chart55.xml" />
</Relationships>
</file>

<file path=xl/drawings/drawing1.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editAs="oneCell">
    <xdr:from>
      <xdr:col>6</xdr:col>
      <xdr:colOff>0</xdr:colOff>
      <xdr:row>1</xdr:row>
      <xdr:rowOff>0</xdr:rowOff>
    </xdr:from>
    <xdr:to>
      <xdr:col>7</xdr:col>
      <xdr:colOff>0</xdr:colOff>
      <xdr:row>5</xdr:row>
      <xdr:rowOff>38100</xdr:rowOff>
    </xdr:to>
    <xdr:pic>
      <xdr:nvPicPr>
        <xdr:cNvPr id="2" name="Picture 1">
          <a:extLst>
            <a:ext uri="{FF2B5EF4-FFF2-40B4-BE49-F238E27FC236}">
              <a16:creationId xmlns:a16="http://schemas.microsoft.com/office/drawing/2014/main" id="{00000000-0008-0000-0000-000002000000}"/>
            </a:ext>
          </a:extLst>
        </xdr:cNvPr>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bwMode="auto">
        <a:xfrm>
          <a:off x="9410700" y="581025"/>
          <a:ext cx="1038225" cy="1038225"/>
        </a:xfrm>
        <a:prstGeom prst="rect">
          <a:avLst/>
        </a:prstGeom>
        <a:noFill/>
        <a:ln>
          <a:noFill/>
        </a:ln>
        <a:extLst>
          <a:ext uri="{909E8E84-426E-40DD-AFC4-6F175D3DCCD1}">
            <a14:hiddenFill xmlns:a14="http://schemas.microsoft.com/office/drawing/2010/main">
              <a:solidFill xmlns:a="http://schemas.openxmlformats.org/drawingml/2006/main">
                <a:srgbClr val="FFFFFF"/>
              </a:solidFill>
            </a14:hiddenFill>
          </a:ext>
          <a:ext uri="{91240B29-F687-4F45-9708-019B960494DF}">
            <a14:hiddenLine xmlns:a14="http://schemas.microsoft.com/office/drawing/2010/main" w="9525">
              <a:solidFill xmlns:a="http://schemas.openxmlformats.org/drawingml/2006/main">
                <a:srgbClr val="000000"/>
              </a:solidFill>
              <a:miter xmlns:a="http://schemas.openxmlformats.org/drawingml/2006/main" lim="800000"/>
              <a:headEnd xmlns:a="http://schemas.openxmlformats.org/drawingml/2006/main"/>
              <a:tailEnd xmlns:a="http://schemas.openxmlformats.org/drawingml/2006/main"/>
            </a14:hiddenLine>
          </a:ext>
        </a:extLst>
      </xdr:spPr>
    </xdr:pic>
    <xdr:clientData/>
  </xdr:twoCellAnchor>
</xdr:wsDr>
</file>

<file path=xl/drawings/drawing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editAs="oneCell">
    <xdr:from>
      <xdr:col>0</xdr:col>
      <xdr:colOff>0</xdr:colOff>
      <xdr:row>0</xdr:row>
      <xdr:rowOff>19050</xdr:rowOff>
    </xdr:from>
    <xdr:to>
      <xdr:col>5</xdr:col>
      <xdr:colOff>1905000</xdr:colOff>
      <xdr:row>1</xdr:row>
      <xdr:rowOff>838200</xdr:rowOff>
    </xdr:to>
    <xdr:pic>
      <xdr:nvPicPr>
        <xdr:cNvPr id="1054" name="Picture 1">
          <a:extLst>
            <a:ext uri="{FF2B5EF4-FFF2-40B4-BE49-F238E27FC236}">
              <a16:creationId xmlns:a16="http://schemas.microsoft.com/office/drawing/2014/main" id="{00000000-0008-0000-0F00-00001E040000}"/>
            </a:ext>
          </a:extLst>
        </xdr:cNvPr>
        <xdr:cNvPicPr>
          <a:picLocks noChangeAspect="1"/>
        </xdr:cNvPicPr>
      </xdr:nvPicPr>
      <xdr:blipFill>
        <a:blip r:embed="rId1">
          <a:extLst>
            <a:ext uri="{28A0092B-C50C-407E-A947-70E740481C1C}">
              <a14:useLocalDpi xmlns:a14="http://schemas.microsoft.com/office/drawing/2010/main" val="0"/>
            </a:ext>
          </a:extLst>
        </a:blip>
        <a:srcRect/>
        <a:stretch>
          <a:fillRect/>
        </a:stretch>
      </xdr:blipFill>
      <xdr:spPr bwMode="auto">
        <a:xfrm>
          <a:off x="0" y="19050"/>
          <a:ext cx="6086475" cy="1009650"/>
        </a:xfrm>
        <a:prstGeom prst="rect">
          <a:avLst/>
        </a:prstGeom>
        <a:noFill/>
        <a:ln>
          <a:noFill/>
        </a:ln>
        <a:extLst>
          <a:ext uri="{909E8E84-426E-40DD-AFC4-6F175D3DCCD1}">
            <a14:hiddenFill xmlns:a14="http://schemas.microsoft.com/office/drawing/2010/main">
              <a:solidFill xmlns:a="http://schemas.openxmlformats.org/drawingml/2006/main">
                <a:srgbClr val="FFFFFF"/>
              </a:solidFill>
            </a14:hiddenFill>
          </a:ext>
          <a:ext uri="{91240B29-F687-4F45-9708-019B960494DF}">
            <a14:hiddenLine xmlns:a14="http://schemas.microsoft.com/office/drawing/2010/main" w="9525">
              <a:solidFill xmlns:a="http://schemas.openxmlformats.org/drawingml/2006/main">
                <a:srgbClr val="000000"/>
              </a:solidFill>
              <a:miter xmlns:a="http://schemas.openxmlformats.org/drawingml/2006/main" lim="800000"/>
              <a:headEnd xmlns:a="http://schemas.openxmlformats.org/drawingml/2006/main"/>
              <a:tailEnd xmlns:a="http://schemas.openxmlformats.org/drawingml/2006/main"/>
            </a14:hiddenLine>
          </a:ext>
        </a:extLst>
      </xdr:spPr>
    </xdr:pic>
    <xdr:clientData/>
  </xdr:twoCellAnchor>
</xdr:wsDr>
</file>

<file path=xl/drawings/drawing20.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24.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28.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oneCellAnchor>
    <xdr:from>
      <xdr:col>0</xdr:col>
      <xdr:colOff>13335</xdr:colOff>
      <xdr:row>4</xdr:row>
      <xdr:rowOff>103632</xdr:rowOff>
    </xdr:from>
    <xdr:ext cx="18923000" cy="4670425"/>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54"/>
        </a:graphicData>
      </a:graphic>
    </xdr:graphicFrame>
    <xdr:clientData/>
  </xdr:oneCellAnchor>
</xdr:wsDr>
</file>

<file path=xl/drawings/drawing3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36.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40.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44.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48.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50.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oneCellAnchor>
    <xdr:from>
      <xdr:col>0</xdr:col>
      <xdr:colOff>13335</xdr:colOff>
      <xdr:row>4</xdr:row>
      <xdr:rowOff>35433</xdr:rowOff>
    </xdr:from>
    <xdr:ext cx="18923000" cy="4445000"/>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56"/>
        </a:graphicData>
      </a:graphic>
    </xdr:graphicFrame>
    <xdr:clientData/>
  </xdr:oneCellAnchor>
</xdr:wsDr>
</file>

<file path=xl/drawings/drawing5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oneCellAnchor>
    <xdr:from>
      <xdr:col>0</xdr:col>
      <xdr:colOff>13335</xdr:colOff>
      <xdr:row>4</xdr:row>
      <xdr:rowOff>35433</xdr:rowOff>
    </xdr:from>
    <xdr:ext cx="18542000" cy="4445000"/>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58"/>
        </a:graphicData>
      </a:graphic>
    </xdr:graphicFrame>
    <xdr:clientData/>
  </xdr:oneCellAnchor>
</xdr:wsDr>
</file>

<file path=xl/drawings/drawing54.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oneCellAnchor>
    <xdr:from>
      <xdr:col>0</xdr:col>
      <xdr:colOff>13335</xdr:colOff>
      <xdr:row>4</xdr:row>
      <xdr:rowOff>118110</xdr:rowOff>
    </xdr:from>
    <xdr:ext cx="18415000" cy="4445000"/>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60"/>
        </a:graphicData>
      </a:graphic>
    </xdr:graphicFrame>
    <xdr:clientData/>
  </xdr:oneCellAnchor>
</xdr:wsDr>
</file>

<file path=xl/theme/theme1.xml><?xml version="1.0" encoding="utf-8"?>
<a:theme xmlns:a="http://schemas.openxmlformats.org/drawing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cdr="http://schemas.openxmlformats.org/drawingml/2006/chartDrawing"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67000"/>
                <a:satMod val="105000"/>
                <a:lumMod val="110000"/>
              </a:schemeClr>
            </a:gs>
            <a:gs pos="50000">
              <a:schemeClr val="phClr">
                <a:tint val="73000"/>
                <a:satMod val="103000"/>
                <a:lumMod val="105000"/>
              </a:schemeClr>
            </a:gs>
            <a:gs pos="100000">
              <a:schemeClr val="phClr">
                <a:tint val="81000"/>
                <a:satMod val="109000"/>
                <a:lumMod val="105000"/>
              </a:schemeClr>
            </a:gs>
          </a:gsLst>
          <a:lin ang="5400000" scaled="0"/>
        </a:gradFill>
        <a:gradFill rotWithShape="1">
          <a:gsLst>
            <a:gs pos="0">
              <a:schemeClr val="phClr">
                <a:tint val="94000"/>
                <a:satMod val="103000"/>
                <a:lumMod val="102000"/>
              </a:schemeClr>
            </a:gs>
            <a:gs pos="50000">
              <a:schemeClr val="phClr">
                <a:shade val="100000"/>
                <a:satMod val="110000"/>
                <a:lumMod val="100000"/>
              </a:schemeClr>
            </a:gs>
            <a:gs pos="100000">
              <a:schemeClr val="phClr">
                <a:shade val="78000"/>
                <a:satMod val="120000"/>
                <a:lumMod val="99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satMod val="150000"/>
                <a:lumMod val="102000"/>
              </a:schemeClr>
            </a:gs>
            <a:gs pos="50000">
              <a:schemeClr val="phClr">
                <a:tint val="98000"/>
                <a:shade val="90000"/>
                <a:satMod val="13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
<Relationships xmlns="http://schemas.openxmlformats.org/package/2006/relationships">
<Relationship Id="rId3" Type="http://schemas.openxmlformats.org/officeDocument/2006/relationships/printerSettings" Target="../printerSettings/printerSettings1.bin" />
<Relationship Id="rId4" Type="http://schemas.openxmlformats.org/officeDocument/2006/relationships/drawing" Target="../drawings/drawing1.xml" />
<Relationship Id="rId61" Type="http://schemas.openxmlformats.org/officeDocument/2006/relationships/hyperlink" Target="http://www.strglobal.com/" TargetMode="External" />
<Relationship Id="rId62" Type="http://schemas.openxmlformats.org/officeDocument/2006/relationships/hyperlink" Target="http://www.str.com/" TargetMode="External" />
</Relationships>
</file>

<file path=xl/worksheets/_rels/sheet6.xml.rels><?xml version="1.0" encoding="utf-8" standalone="yes" ?>
<Relationships xmlns="http://schemas.openxmlformats.org/package/2006/relationships">
<Relationship Id="rId1" Type="http://schemas.openxmlformats.org/officeDocument/2006/relationships/printerSettings" Target="../printerSettings/printerSettings6.bin" />
<Relationship Id="rId55" Type="http://schemas.openxmlformats.org/officeDocument/2006/relationships/drawing" Target="../drawings/drawing50.xml" />
</Relationships>
</file>

<file path=xl/worksheets/_rels/sheet8.xml.rels><?xml version="1.0" encoding="utf-8" standalone="yes" ?>
<Relationships xmlns="http://schemas.openxmlformats.org/package/2006/relationships">
<Relationship Id="rId1" Type="http://schemas.openxmlformats.org/officeDocument/2006/relationships/printerSettings" Target="../printerSettings/printerSettings8.bin" />
<Relationship Id="rId57" Type="http://schemas.openxmlformats.org/officeDocument/2006/relationships/drawing" Target="../drawings/drawing52.xml" />
</Relationships>
</file>

<file path=xl/worksheets/_rels/sheet10.xml.rels><?xml version="1.0" encoding="utf-8" standalone="yes" ?>
<Relationships xmlns="http://schemas.openxmlformats.org/package/2006/relationships">
<Relationship Id="rId1" Type="http://schemas.openxmlformats.org/officeDocument/2006/relationships/printerSettings" Target="../printerSettings/printerSettings10.bin" />
<Relationship Id="rId59" Type="http://schemas.openxmlformats.org/officeDocument/2006/relationships/drawing" Target="../drawings/drawing54.xml" />
</Relationships>
</file>

<file path=xl/worksheets/_rels/sheet16.xml.rels><?xml version="1.0" encoding="utf-8" standalone="yes" ?>
<Relationships xmlns="http://schemas.openxmlformats.org/package/2006/relationships">
<Relationship Id="rId7" Type="http://schemas.openxmlformats.org/officeDocument/2006/relationships/drawing" Target="../drawings/drawing2.xml" />
<Relationship Id="rId6" Type="http://schemas.openxmlformats.org/officeDocument/2006/relationships/printerSettings" Target="../printerSettings/printerSettings16.bin" />
<Relationship Id="rId63" Type="http://schemas.openxmlformats.org/officeDocument/2006/relationships/hyperlink" Target="http://www.str.com/data-insights/resources/glossary" TargetMode="External" />
<Relationship Id="rId64" Type="http://schemas.openxmlformats.org/officeDocument/2006/relationships/hyperlink" Target="http://www.hotelnewsnow.com/" TargetMode="External" />
<Relationship Id="rId65" Type="http://schemas.openxmlformats.org/officeDocument/2006/relationships/hyperlink" Target="http://www.hoteldataconference.com/" TargetMode="External" />
<Relationship Id="rId66" Type="http://schemas.openxmlformats.org/officeDocument/2006/relationships/hyperlink" Target="http://www.str.com/data-insights/resources/FAQ" TargetMode="External" />
<Relationship Id="rId67" Type="http://schemas.openxmlformats.org/officeDocument/2006/relationships/hyperlink" Target="https://str.com/contact" TargetMode="External" />
</Relationships>
</file>

<file path=xl/worksheets/_rels/sheet18.xml.rels><?xml version="1.0" encoding="utf-8" standalone="yes" ?>
<Relationships xmlns="http://schemas.openxmlformats.org/package/2006/relationships">
<Relationship Id="rId1" Type="http://schemas.openxmlformats.org/officeDocument/2006/relationships/printerSettings" Target="../printerSettings/printerSettings19.bin" />
<Relationship Id="rId22" Type="http://schemas.openxmlformats.org/officeDocument/2006/relationships/drawing" Target="../drawings/drawing20.xml" />
</Relationships>
</file>

<file path=xl/worksheets/_rels/sheet22.xml.rels><?xml version="1.0" encoding="utf-8" standalone="yes" ?>
<Relationships xmlns="http://schemas.openxmlformats.org/package/2006/relationships">
<Relationship Id="rId1" Type="http://schemas.openxmlformats.org/officeDocument/2006/relationships/printerSettings" Target="../printerSettings/printerSettings23.bin" />
<Relationship Id="rId26" Type="http://schemas.openxmlformats.org/officeDocument/2006/relationships/drawing" Target="../drawings/drawing24.xml" />
</Relationships>
</file>

<file path=xl/worksheets/_rels/sheet26.xml.rels><?xml version="1.0" encoding="utf-8" standalone="yes" ?>
<Relationships xmlns="http://schemas.openxmlformats.org/package/2006/relationships">
<Relationship Id="rId1" Type="http://schemas.openxmlformats.org/officeDocument/2006/relationships/printerSettings" Target="../printerSettings/printerSettings27.bin" />
<Relationship Id="rId30" Type="http://schemas.openxmlformats.org/officeDocument/2006/relationships/drawing" Target="../drawings/drawing28.xml" />
</Relationships>
</file>

<file path=xl/worksheets/_rels/sheet30.xml.rels><?xml version="1.0" encoding="utf-8" standalone="yes" ?>
<Relationships xmlns="http://schemas.openxmlformats.org/package/2006/relationships">
<Relationship Id="rId1" Type="http://schemas.openxmlformats.org/officeDocument/2006/relationships/printerSettings" Target="../printerSettings/printerSettings31.bin" />
<Relationship Id="rId34" Type="http://schemas.openxmlformats.org/officeDocument/2006/relationships/drawing" Target="../drawings/drawing32.xml" />
</Relationships>
</file>

<file path=xl/worksheets/_rels/sheet34.xml.rels><?xml version="1.0" encoding="utf-8" standalone="yes" ?>
<Relationships xmlns="http://schemas.openxmlformats.org/package/2006/relationships">
<Relationship Id="rId1" Type="http://schemas.openxmlformats.org/officeDocument/2006/relationships/printerSettings" Target="../printerSettings/printerSettings35.bin" />
<Relationship Id="rId38" Type="http://schemas.openxmlformats.org/officeDocument/2006/relationships/drawing" Target="../drawings/drawing36.xml" />
</Relationships>
</file>

<file path=xl/worksheets/_rels/sheet38.xml.rels><?xml version="1.0" encoding="utf-8" standalone="yes" ?>
<Relationships xmlns="http://schemas.openxmlformats.org/package/2006/relationships">
<Relationship Id="rId1" Type="http://schemas.openxmlformats.org/officeDocument/2006/relationships/printerSettings" Target="../printerSettings/printerSettings39.bin" />
<Relationship Id="rId42" Type="http://schemas.openxmlformats.org/officeDocument/2006/relationships/drawing" Target="../drawings/drawing40.xml" />
</Relationships>
</file>

<file path=xl/worksheets/_rels/sheet42.xml.rels><?xml version="1.0" encoding="utf-8" standalone="yes" ?>
<Relationships xmlns="http://schemas.openxmlformats.org/package/2006/relationships">
<Relationship Id="rId1" Type="http://schemas.openxmlformats.org/officeDocument/2006/relationships/printerSettings" Target="../printerSettings/printerSettings43.bin" />
<Relationship Id="rId46" Type="http://schemas.openxmlformats.org/officeDocument/2006/relationships/drawing" Target="../drawings/drawing44.xml" />
</Relationships>
</file>

<file path=xl/worksheets/_rels/sheet46.xml.rels><?xml version="1.0" encoding="utf-8" standalone="yes" ?>
<Relationships xmlns="http://schemas.openxmlformats.org/package/2006/relationships">
<Relationship Id="rId1" Type="http://schemas.openxmlformats.org/officeDocument/2006/relationships/printerSettings" Target="../printerSettings/printerSettings47.bin" />
<Relationship Id="rId50" Type="http://schemas.openxmlformats.org/officeDocument/2006/relationships/drawing" Target="../drawings/drawing48.xml" />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1">
    <pageSetUpPr fitToPage="1"/>
  </sheetPr>
  <dimension ref="A1:Z117"/>
  <sheetViews>
    <sheetView showGridLines="0" tabSelected="1" zoomScaleNormal="100" workbookViewId="0"/>
  </sheetViews>
  <sheetFormatPr defaultRowHeight="12.75"/>
  <cols>
    <col min="1" max="1" width="13.28515625" customWidth="1"/>
    <col min="2" max="2" width="57.5703125" customWidth="1"/>
    <col min="3" max="3" width="5.42578125" style="176" customWidth="1"/>
    <col min="4" max="4" width="1.85546875" customWidth="1"/>
    <col min="5" max="5" width="57.5703125" customWidth="1"/>
    <col min="6" max="6" width="5.42578125" style="176" customWidth="1"/>
    <col min="7" max="7" width="15.5703125" customWidth="1"/>
    <col min="8" max="8" width="4.140625" customWidth="1"/>
    <col min="9" max="13" width="7.140625" customWidth="1"/>
    <col min="14" max="14" width="1.42578125" customWidth="1"/>
    <col min="15" max="15" width="13.140625" customWidth="1"/>
  </cols>
  <sheetData>
    <row r="1" ht="45.75" customHeight="1">
      <c r="A1" s="407"/>
      <c r="B1" s="407"/>
      <c r="C1" s="420"/>
      <c r="D1" s="407"/>
      <c r="E1" s="407"/>
      <c r="F1" s="420"/>
      <c r="G1" s="407"/>
      <c r="H1" s="408"/>
      <c r="I1" s="244"/>
      <c r="J1" s="244"/>
      <c r="K1" s="244"/>
      <c r="L1" s="244"/>
      <c r="M1" s="244"/>
      <c r="N1" s="244"/>
      <c r="O1" s="244"/>
      <c r="P1" s="244"/>
      <c r="Q1" s="244"/>
      <c r="R1" s="244"/>
      <c r="S1" s="244"/>
      <c r="T1" s="244"/>
      <c r="U1" s="244"/>
      <c r="V1" s="244"/>
      <c r="W1" s="244"/>
      <c r="X1" s="244"/>
      <c r="Y1" s="244"/>
      <c r="Z1" s="244"/>
    </row>
    <row r="2" ht="24.75" customHeight="1">
      <c r="A2" s="407"/>
      <c r="B2" s="428" t="s">
        <v>138</v>
      </c>
      <c r="C2" s="421"/>
      <c r="D2" s="409"/>
      <c r="E2" s="409"/>
      <c r="F2" s="421"/>
      <c r="G2" s="407"/>
      <c r="H2" s="410"/>
      <c r="I2" s="244"/>
      <c r="J2" s="244"/>
      <c r="K2" s="244"/>
      <c r="L2" s="244"/>
      <c r="M2" s="244"/>
      <c r="N2" s="244"/>
      <c r="O2" s="244"/>
      <c r="P2" s="244"/>
      <c r="Q2" s="244"/>
      <c r="R2" s="244"/>
      <c r="S2" s="244"/>
      <c r="T2" s="244"/>
      <c r="U2" s="244"/>
      <c r="V2" s="244"/>
      <c r="W2" s="244"/>
      <c r="X2" s="244"/>
      <c r="Y2" s="244"/>
      <c r="Z2" s="244"/>
    </row>
    <row r="3" ht="25.5" customHeight="1">
      <c r="A3" s="407"/>
      <c r="B3" s="429" t="s">
        <v>137</v>
      </c>
      <c r="C3" s="422"/>
      <c r="D3" s="411"/>
      <c r="E3" s="411"/>
      <c r="F3" s="422"/>
      <c r="G3" s="407"/>
      <c r="H3" s="410"/>
      <c r="I3" s="244"/>
      <c r="J3" s="244"/>
      <c r="K3" s="244"/>
      <c r="L3" s="244"/>
      <c r="M3" s="244"/>
      <c r="N3" s="244"/>
      <c r="O3" s="244"/>
      <c r="P3" s="244"/>
      <c r="Q3" s="244"/>
      <c r="R3" s="244"/>
      <c r="S3" s="244"/>
      <c r="T3" s="244"/>
      <c r="U3" s="244"/>
      <c r="V3" s="244"/>
      <c r="W3" s="244"/>
      <c r="X3" s="244"/>
      <c r="Y3" s="244"/>
      <c r="Z3" s="244"/>
    </row>
    <row r="4" ht="14.25" customHeight="1">
      <c r="A4" s="407"/>
      <c r="B4" s="600" t="s">
        <v>139</v>
      </c>
      <c r="C4" s="600"/>
      <c r="D4" s="600"/>
      <c r="E4" s="600"/>
      <c r="F4" s="423"/>
      <c r="G4" s="407"/>
      <c r="H4" s="410"/>
      <c r="I4" s="244"/>
      <c r="J4" s="244"/>
      <c r="K4" s="244"/>
      <c r="L4" s="244"/>
      <c r="M4" s="244"/>
      <c r="N4" s="244"/>
      <c r="O4" s="244"/>
      <c r="P4" s="244"/>
      <c r="Q4" s="244"/>
      <c r="R4" s="244"/>
      <c r="S4" s="244"/>
      <c r="T4" s="244"/>
      <c r="U4" s="244"/>
      <c r="V4" s="244"/>
      <c r="W4" s="244"/>
      <c r="X4" s="244"/>
      <c r="Y4" s="244"/>
      <c r="Z4" s="244"/>
    </row>
    <row r="5" ht="14.25" customHeight="1">
      <c r="A5" s="407"/>
      <c r="B5" s="600" t="s">
        <v>140</v>
      </c>
      <c r="C5" s="600"/>
      <c r="D5" s="600"/>
      <c r="E5" s="600"/>
      <c r="F5" s="423"/>
      <c r="G5" s="407"/>
      <c r="H5" s="410"/>
      <c r="I5" s="244"/>
      <c r="J5" s="244"/>
      <c r="K5" s="244"/>
      <c r="L5" s="244"/>
      <c r="M5" s="244"/>
      <c r="N5" s="244"/>
      <c r="O5" s="244"/>
      <c r="P5" s="244"/>
      <c r="Q5" s="244"/>
      <c r="R5" s="244"/>
      <c r="S5" s="244"/>
      <c r="T5" s="244"/>
      <c r="U5" s="244"/>
      <c r="V5" s="244"/>
      <c r="W5" s="244"/>
      <c r="X5" s="244"/>
      <c r="Y5" s="244"/>
      <c r="Z5" s="244"/>
    </row>
    <row r="6" ht="14.25" customHeight="1">
      <c r="A6" s="407"/>
      <c r="B6" s="412"/>
      <c r="C6" s="424"/>
      <c r="D6" s="412"/>
      <c r="E6" s="412"/>
      <c r="F6" s="424"/>
      <c r="G6" s="407"/>
      <c r="H6" s="410"/>
      <c r="I6" s="244"/>
      <c r="J6" s="244"/>
      <c r="K6" s="244"/>
      <c r="L6" s="244"/>
      <c r="M6" s="244"/>
      <c r="N6" s="244"/>
      <c r="O6" s="244"/>
      <c r="P6" s="244"/>
      <c r="Q6" s="244"/>
      <c r="R6" s="244"/>
      <c r="S6" s="244"/>
      <c r="T6" s="244"/>
      <c r="U6" s="244"/>
      <c r="V6" s="244"/>
      <c r="W6" s="244"/>
      <c r="X6" s="244"/>
      <c r="Y6" s="244"/>
      <c r="Z6" s="244"/>
    </row>
    <row r="7" ht="15.75" customHeight="1">
      <c r="A7" s="407"/>
      <c r="B7" s="430" t="s">
        <v>99</v>
      </c>
      <c r="C7" s="421">
        <v>1</v>
      </c>
      <c r="D7" s="430"/>
      <c r="E7" s="430"/>
      <c r="F7" s="421"/>
      <c r="G7" s="407"/>
      <c r="H7" s="410"/>
      <c r="I7" s="244"/>
      <c r="J7" s="244"/>
      <c r="K7" s="244"/>
      <c r="L7" s="244"/>
      <c r="M7" s="244"/>
      <c r="N7" s="244"/>
      <c r="O7" s="244"/>
      <c r="P7" s="244"/>
      <c r="Q7" s="244"/>
      <c r="R7" s="244"/>
      <c r="S7" s="244"/>
      <c r="T7" s="244"/>
      <c r="U7" s="244"/>
      <c r="V7" s="244"/>
      <c r="W7" s="244"/>
      <c r="X7" s="244"/>
      <c r="Y7" s="244"/>
      <c r="Z7" s="244"/>
    </row>
    <row r="8" ht="15.75" customHeight="1">
      <c r="A8" s="407"/>
      <c r="B8" s="430" t="str">
        <f>HYPERLINK("#'Glance'!A1", "Weekly Performance at a Glance")</f>
      </c>
      <c r="C8" s="421" t="str">
        <f>HYPERLINK("#'Glance'!A1", "2")</f>
      </c>
      <c r="D8" s="430"/>
      <c r="E8" s="430"/>
      <c r="F8" s="421"/>
      <c r="G8" s="407"/>
      <c r="H8" s="410"/>
      <c r="I8" s="244"/>
      <c r="J8" s="244"/>
      <c r="K8" s="244"/>
      <c r="L8" s="244"/>
      <c r="M8" s="244"/>
      <c r="N8" s="244"/>
      <c r="O8" s="244"/>
      <c r="P8" s="244"/>
      <c r="Q8" s="244"/>
      <c r="R8" s="244"/>
      <c r="S8" s="244"/>
      <c r="T8" s="244"/>
      <c r="U8" s="244"/>
      <c r="V8" s="244"/>
      <c r="W8" s="244"/>
      <c r="X8" s="244"/>
      <c r="Y8" s="244"/>
      <c r="Z8" s="244"/>
    </row>
    <row r="9" ht="15.75" customHeight="1">
      <c r="A9" s="407"/>
      <c r="B9" s="430" t="str">
        <f>HYPERLINK("#'Segmentation Glance'!A1", "Segmentation at a Glance")</f>
      </c>
      <c r="C9" s="421" t="str">
        <f>HYPERLINK("#'Segmentation Glance'!A1", "3")</f>
      </c>
      <c r="D9" s="430"/>
      <c r="E9" s="430"/>
      <c r="F9" s="421"/>
      <c r="G9" s="407"/>
      <c r="H9" s="407"/>
      <c r="I9" s="244"/>
      <c r="J9" s="244"/>
      <c r="K9" s="244"/>
      <c r="L9" s="244"/>
      <c r="M9" s="244"/>
      <c r="N9" s="244"/>
      <c r="O9" s="244"/>
      <c r="P9" s="244"/>
      <c r="Q9" s="244"/>
      <c r="R9" s="244"/>
      <c r="S9" s="244"/>
      <c r="T9" s="244"/>
      <c r="U9" s="244"/>
      <c r="V9" s="244"/>
      <c r="W9" s="244"/>
      <c r="X9" s="244"/>
      <c r="Y9" s="244"/>
      <c r="Z9" s="244"/>
    </row>
    <row r="10" ht="15.75" customHeight="1">
      <c r="A10" s="407"/>
      <c r="B10" s="430" t="str">
        <f>HYPERLINK("#'Daily by Month'!A1", "Daily Data for the Month")</f>
      </c>
      <c r="C10" s="421" t="str">
        <f>HYPERLINK("#'Daily by Month'!A1", "4")</f>
      </c>
      <c r="D10" s="430"/>
      <c r="E10" s="430"/>
      <c r="F10" s="421"/>
      <c r="G10" s="407"/>
      <c r="H10" s="407"/>
      <c r="I10" s="244"/>
      <c r="J10" s="244"/>
      <c r="K10" s="244"/>
      <c r="L10" s="244"/>
      <c r="M10" s="244"/>
      <c r="N10" s="244"/>
      <c r="O10" s="244"/>
      <c r="P10" s="244"/>
      <c r="Q10" s="244"/>
      <c r="R10" s="244"/>
      <c r="S10" s="244"/>
      <c r="T10" s="244"/>
      <c r="U10" s="244"/>
      <c r="V10" s="244"/>
      <c r="W10" s="244"/>
      <c r="X10" s="244"/>
      <c r="Y10" s="244"/>
      <c r="Z10" s="244"/>
    </row>
    <row r="11" ht="15.75" customHeight="1">
      <c r="A11" s="407"/>
      <c r="B11" s="430" t="str">
        <f>HYPERLINK("#'Occ'!A1", "Occupancy Perspectives")</f>
      </c>
      <c r="C11" s="421" t="str">
        <f>HYPERLINK("#'Occ'!A1", "5")</f>
      </c>
      <c r="D11" s="430"/>
      <c r="E11" s="430"/>
      <c r="F11" s="421"/>
      <c r="G11" s="413"/>
      <c r="H11" s="413"/>
      <c r="I11" s="244"/>
      <c r="J11" s="244"/>
      <c r="K11" s="244"/>
      <c r="L11" s="244"/>
      <c r="M11" s="244"/>
      <c r="N11" s="244"/>
      <c r="O11" s="244"/>
      <c r="P11" s="244"/>
      <c r="Q11" s="244"/>
      <c r="R11" s="244"/>
      <c r="S11" s="244"/>
      <c r="T11" s="244"/>
      <c r="U11" s="244"/>
      <c r="V11" s="244"/>
      <c r="W11" s="244"/>
      <c r="X11" s="244"/>
      <c r="Y11" s="244"/>
      <c r="Z11" s="244"/>
    </row>
    <row r="12" ht="15.75" customHeight="1">
      <c r="A12" s="407"/>
      <c r="B12" s="430" t="str">
        <f>HYPERLINK("#'Segmentation Occ'!A1", "Segmentation Occupancy Analysis")</f>
      </c>
      <c r="C12" s="421" t="str">
        <f>HYPERLINK("#'Segmentation Occ'!A1", "6")</f>
      </c>
      <c r="D12" s="430"/>
      <c r="E12" s="430"/>
      <c r="F12" s="421"/>
      <c r="G12" s="413"/>
      <c r="H12" s="413"/>
      <c r="I12" s="244"/>
      <c r="J12" s="244"/>
      <c r="K12" s="244"/>
      <c r="L12" s="244"/>
      <c r="M12" s="244"/>
      <c r="N12" s="244"/>
      <c r="O12" s="244"/>
      <c r="P12" s="244"/>
      <c r="Q12" s="244"/>
      <c r="R12" s="244"/>
      <c r="S12" s="244"/>
      <c r="T12" s="244"/>
      <c r="U12" s="244"/>
      <c r="V12" s="244"/>
      <c r="W12" s="244"/>
      <c r="X12" s="244"/>
      <c r="Y12" s="244"/>
      <c r="Z12" s="244"/>
    </row>
    <row r="13" ht="15.75" customHeight="1">
      <c r="A13" s="407"/>
      <c r="B13" s="430" t="str">
        <f>HYPERLINK("#'ADR'!A1", "ADR Perspectives")</f>
      </c>
      <c r="C13" s="421" t="str">
        <f>HYPERLINK("#'ADR'!A1", "7")</f>
      </c>
      <c r="D13" s="430"/>
      <c r="E13" s="430"/>
      <c r="F13" s="421"/>
      <c r="G13" s="407"/>
      <c r="H13" s="407"/>
      <c r="I13" s="244"/>
      <c r="J13" s="244"/>
      <c r="K13" s="244"/>
      <c r="L13" s="244"/>
      <c r="M13" s="244"/>
      <c r="N13" s="244"/>
      <c r="O13" s="244"/>
      <c r="P13" s="244"/>
      <c r="Q13" s="244"/>
      <c r="R13" s="244"/>
      <c r="S13" s="244"/>
      <c r="T13" s="244"/>
      <c r="U13" s="244"/>
      <c r="V13" s="244"/>
      <c r="W13" s="244"/>
      <c r="X13" s="244"/>
      <c r="Y13" s="244"/>
      <c r="Z13" s="244"/>
    </row>
    <row r="14" ht="15.75" customHeight="1">
      <c r="A14" s="407"/>
      <c r="B14" s="430" t="str">
        <f>HYPERLINK("#'Segmentation ADR'!A1", "Segmentation ADR Analysis")</f>
      </c>
      <c r="C14" s="421" t="str">
        <f>HYPERLINK("#'Segmentation ADR'!A1", "8")</f>
      </c>
      <c r="D14" s="430"/>
      <c r="E14" s="430"/>
      <c r="F14" s="421"/>
      <c r="G14" s="407"/>
      <c r="H14" s="414"/>
      <c r="I14" s="244"/>
      <c r="J14" s="244"/>
      <c r="K14" s="244"/>
      <c r="L14" s="244"/>
      <c r="M14" s="244"/>
      <c r="N14" s="244"/>
      <c r="O14" s="244"/>
      <c r="P14" s="244"/>
      <c r="Q14" s="244"/>
      <c r="R14" s="244"/>
      <c r="S14" s="244"/>
      <c r="T14" s="244"/>
      <c r="U14" s="244"/>
      <c r="V14" s="244"/>
      <c r="W14" s="244"/>
      <c r="X14" s="244"/>
      <c r="Y14" s="244"/>
      <c r="Z14" s="244"/>
    </row>
    <row r="15" ht="15.75" customHeight="1">
      <c r="A15" s="407"/>
      <c r="B15" s="430" t="str">
        <f>HYPERLINK("#'RevPAR'!A1", "RevPAR Perspectives")</f>
      </c>
      <c r="C15" s="421" t="str">
        <f>HYPERLINK("#'RevPAR'!A1", "9")</f>
      </c>
      <c r="D15" s="430"/>
      <c r="E15" s="430"/>
      <c r="F15" s="421"/>
      <c r="G15" s="407"/>
      <c r="H15" s="415"/>
      <c r="I15" s="244"/>
      <c r="J15" s="244"/>
      <c r="K15" s="244"/>
      <c r="L15" s="244"/>
      <c r="M15" s="244"/>
      <c r="N15" s="244"/>
      <c r="O15" s="244"/>
      <c r="P15" s="244"/>
      <c r="Q15" s="244"/>
      <c r="R15" s="244"/>
      <c r="S15" s="244"/>
      <c r="T15" s="244"/>
      <c r="U15" s="244"/>
      <c r="V15" s="244"/>
      <c r="W15" s="244"/>
      <c r="X15" s="244"/>
      <c r="Y15" s="244"/>
      <c r="Z15" s="244"/>
    </row>
    <row r="16" ht="15.75" customHeight="1">
      <c r="A16" s="407"/>
      <c r="B16" s="430" t="str">
        <f>HYPERLINK("#'Segmentation RevPAR'!A1", "Segmentation RevPAR Analysis")</f>
      </c>
      <c r="C16" s="421" t="str">
        <f>HYPERLINK("#'Segmentation RevPAR'!A1", "10")</f>
      </c>
      <c r="D16" s="430"/>
      <c r="E16" s="430"/>
      <c r="F16" s="421"/>
      <c r="G16" s="407"/>
      <c r="H16" s="415"/>
      <c r="I16" s="244"/>
      <c r="J16" s="244"/>
      <c r="K16" s="244"/>
      <c r="L16" s="244"/>
      <c r="M16" s="244"/>
      <c r="N16" s="244"/>
      <c r="O16" s="244"/>
      <c r="P16" s="244"/>
      <c r="Q16" s="244"/>
      <c r="R16" s="244"/>
      <c r="S16" s="244"/>
      <c r="T16" s="244"/>
      <c r="U16" s="244"/>
      <c r="V16" s="244"/>
      <c r="W16" s="244"/>
      <c r="X16" s="244"/>
      <c r="Y16" s="244"/>
      <c r="Z16" s="244"/>
    </row>
    <row r="17" ht="15.75" customHeight="1">
      <c r="A17" s="407"/>
      <c r="B17" s="430" t="str">
        <f>HYPERLINK("#'Additional Revenue'!A1", "Additional Revenue")</f>
      </c>
      <c r="C17" s="421" t="str">
        <f>HYPERLINK("#'Additional Revenue'!A1", "11")</f>
      </c>
      <c r="D17" s="430"/>
      <c r="E17" s="430"/>
      <c r="F17" s="421"/>
      <c r="G17" s="407"/>
      <c r="H17" s="415"/>
      <c r="I17" s="244"/>
      <c r="J17" s="244"/>
      <c r="K17" s="244"/>
      <c r="L17" s="244"/>
      <c r="M17" s="244"/>
      <c r="N17" s="244"/>
      <c r="O17" s="244"/>
      <c r="P17" s="244"/>
      <c r="Q17" s="244"/>
      <c r="R17" s="244"/>
      <c r="S17" s="244"/>
      <c r="T17" s="244"/>
      <c r="U17" s="244"/>
      <c r="V17" s="244"/>
      <c r="W17" s="244"/>
      <c r="X17" s="244"/>
      <c r="Y17" s="244"/>
      <c r="Z17" s="244"/>
    </row>
    <row r="18" ht="15.75" customHeight="1">
      <c r="A18" s="407"/>
      <c r="B18" s="430" t="str">
        <f>HYPERLINK("#'Response'!A1", "Response Report")</f>
      </c>
      <c r="C18" s="421" t="str">
        <f>HYPERLINK("#'Response'!A1", "12")</f>
      </c>
      <c r="D18" s="430"/>
      <c r="E18" s="430"/>
      <c r="F18" s="421"/>
      <c r="G18" s="407"/>
      <c r="H18" s="415"/>
      <c r="I18" s="244"/>
      <c r="J18" s="244"/>
      <c r="K18" s="244"/>
      <c r="L18" s="244"/>
      <c r="M18" s="244"/>
      <c r="N18" s="244"/>
      <c r="O18" s="244"/>
      <c r="P18" s="244"/>
      <c r="Q18" s="244"/>
      <c r="R18" s="244"/>
      <c r="S18" s="244"/>
      <c r="T18" s="244"/>
      <c r="U18" s="244"/>
      <c r="V18" s="244"/>
      <c r="W18" s="244"/>
      <c r="X18" s="244"/>
      <c r="Y18" s="244"/>
      <c r="Z18" s="244"/>
    </row>
    <row r="19" ht="15.75" customHeight="1">
      <c r="A19" s="407"/>
      <c r="B19" s="430" t="str">
        <f>HYPERLINK("#'Help'!A1", "Help")</f>
      </c>
      <c r="C19" s="421" t="str">
        <f>HYPERLINK("#'Help'!A1", "13")</f>
      </c>
      <c r="D19" s="430"/>
      <c r="E19" s="430"/>
      <c r="F19" s="421"/>
      <c r="G19" s="407"/>
      <c r="H19" s="415"/>
      <c r="I19" s="244"/>
      <c r="J19" s="244"/>
      <c r="K19" s="244"/>
      <c r="L19" s="244"/>
      <c r="M19" s="244"/>
      <c r="N19" s="244"/>
      <c r="O19" s="244"/>
      <c r="P19" s="244"/>
      <c r="Q19" s="244"/>
      <c r="R19" s="244"/>
      <c r="S19" s="244"/>
      <c r="T19" s="244"/>
      <c r="U19" s="244"/>
      <c r="V19" s="244"/>
      <c r="W19" s="244"/>
      <c r="X19" s="244"/>
      <c r="Y19" s="244"/>
      <c r="Z19" s="244"/>
    </row>
    <row r="20" ht="15.75" customHeight="1">
      <c r="A20" s="407"/>
      <c r="B20" s="430"/>
      <c r="C20" s="421"/>
      <c r="D20" s="430"/>
      <c r="E20" s="430"/>
      <c r="F20" s="421"/>
      <c r="G20" s="407"/>
      <c r="H20" s="415"/>
      <c r="I20" s="244"/>
      <c r="J20" s="244"/>
      <c r="K20" s="244"/>
      <c r="L20" s="244"/>
      <c r="M20" s="244"/>
      <c r="N20" s="244"/>
      <c r="O20" s="244"/>
      <c r="P20" s="244"/>
      <c r="Q20" s="244"/>
      <c r="R20" s="244"/>
      <c r="S20" s="244"/>
      <c r="T20" s="244"/>
      <c r="U20" s="244"/>
      <c r="V20" s="244"/>
      <c r="W20" s="244"/>
      <c r="X20" s="244"/>
      <c r="Y20" s="244"/>
      <c r="Z20" s="244"/>
    </row>
    <row r="21" ht="15.75" customHeight="1">
      <c r="A21" s="407"/>
      <c r="B21" s="430"/>
      <c r="C21" s="421"/>
      <c r="D21" s="430"/>
      <c r="E21" s="430"/>
      <c r="F21" s="421"/>
      <c r="G21" s="407"/>
      <c r="H21" s="415"/>
      <c r="I21" s="244"/>
      <c r="J21" s="244"/>
      <c r="K21" s="244"/>
      <c r="L21" s="244"/>
      <c r="M21" s="244"/>
      <c r="N21" s="244"/>
      <c r="O21" s="244"/>
      <c r="P21" s="244"/>
      <c r="Q21" s="244"/>
      <c r="R21" s="244"/>
      <c r="S21" s="244"/>
      <c r="T21" s="244"/>
      <c r="U21" s="244"/>
      <c r="V21" s="244"/>
      <c r="W21" s="244"/>
      <c r="X21" s="244"/>
      <c r="Y21" s="244"/>
      <c r="Z21" s="244"/>
    </row>
    <row r="22" ht="15.75" customHeight="1">
      <c r="A22" s="416"/>
      <c r="B22" s="430"/>
      <c r="C22" s="421"/>
      <c r="D22" s="430"/>
      <c r="E22" s="430"/>
      <c r="F22" s="421"/>
      <c r="G22" s="407"/>
      <c r="H22" s="415"/>
      <c r="I22" s="244"/>
      <c r="J22" s="244"/>
      <c r="K22" s="244"/>
      <c r="L22" s="244"/>
      <c r="M22" s="244"/>
      <c r="N22" s="244"/>
      <c r="O22" s="244"/>
      <c r="P22" s="244"/>
      <c r="Q22" s="244"/>
      <c r="R22" s="244"/>
      <c r="S22" s="244"/>
      <c r="T22" s="244"/>
      <c r="U22" s="244"/>
      <c r="V22" s="244"/>
      <c r="W22" s="244"/>
      <c r="X22" s="244"/>
      <c r="Y22" s="244"/>
      <c r="Z22" s="244"/>
    </row>
    <row r="23" ht="15.75" customHeight="1">
      <c r="A23" s="416"/>
      <c r="B23" s="430"/>
      <c r="C23" s="421"/>
      <c r="D23" s="430"/>
      <c r="E23" s="430"/>
      <c r="F23" s="421"/>
      <c r="G23" s="407"/>
      <c r="H23" s="415"/>
      <c r="I23" s="244"/>
      <c r="J23" s="244"/>
      <c r="K23" s="244"/>
      <c r="L23" s="244"/>
      <c r="M23" s="244"/>
      <c r="N23" s="244"/>
      <c r="O23" s="244"/>
      <c r="P23" s="244"/>
      <c r="Q23" s="244"/>
      <c r="R23" s="244"/>
      <c r="S23" s="244"/>
      <c r="T23" s="244"/>
      <c r="U23" s="244"/>
      <c r="V23" s="244"/>
      <c r="W23" s="244"/>
      <c r="X23" s="244"/>
      <c r="Y23" s="244"/>
      <c r="Z23" s="244"/>
    </row>
    <row r="24" ht="15.75" customHeight="1">
      <c r="A24" s="407"/>
      <c r="B24" s="430"/>
      <c r="C24" s="421"/>
      <c r="D24" s="430"/>
      <c r="E24" s="430"/>
      <c r="F24" s="421"/>
      <c r="G24" s="407"/>
      <c r="H24" s="415"/>
      <c r="I24" s="244"/>
      <c r="J24" s="244"/>
      <c r="K24" s="244"/>
      <c r="L24" s="244"/>
      <c r="M24" s="244"/>
      <c r="N24" s="244"/>
      <c r="O24" s="244"/>
      <c r="P24" s="244"/>
      <c r="Q24" s="244"/>
      <c r="R24" s="244"/>
      <c r="S24" s="244"/>
      <c r="T24" s="244"/>
      <c r="U24" s="244"/>
      <c r="V24" s="244"/>
      <c r="W24" s="244"/>
      <c r="X24" s="244"/>
      <c r="Y24" s="244"/>
      <c r="Z24" s="244"/>
    </row>
    <row r="25" ht="15.75" customHeight="1">
      <c r="A25" s="407"/>
      <c r="B25" s="430"/>
      <c r="C25" s="421"/>
      <c r="D25" s="430"/>
      <c r="E25" s="430"/>
      <c r="F25" s="421"/>
      <c r="G25" s="407"/>
      <c r="H25" s="415"/>
      <c r="I25" s="244"/>
      <c r="J25" s="244"/>
      <c r="K25" s="244"/>
      <c r="L25" s="244"/>
      <c r="M25" s="244"/>
      <c r="N25" s="244"/>
      <c r="O25" s="244"/>
      <c r="P25" s="244"/>
      <c r="Q25" s="244"/>
      <c r="R25" s="244"/>
      <c r="S25" s="244"/>
      <c r="T25" s="244"/>
      <c r="U25" s="244"/>
      <c r="V25" s="244"/>
      <c r="W25" s="244"/>
      <c r="X25" s="244"/>
      <c r="Y25" s="244"/>
      <c r="Z25" s="244"/>
    </row>
    <row r="26" ht="15.75" customHeight="1">
      <c r="A26" s="407"/>
      <c r="B26" s="430"/>
      <c r="C26" s="421"/>
      <c r="D26" s="430"/>
      <c r="E26" s="430"/>
      <c r="F26" s="421"/>
      <c r="G26" s="407"/>
      <c r="H26" s="415"/>
      <c r="I26" s="244"/>
      <c r="J26" s="244"/>
      <c r="K26" s="244"/>
      <c r="L26" s="244"/>
      <c r="M26" s="244"/>
      <c r="N26" s="244"/>
      <c r="O26" s="244"/>
      <c r="P26" s="244"/>
      <c r="Q26" s="244"/>
      <c r="R26" s="244"/>
      <c r="S26" s="244"/>
      <c r="T26" s="244"/>
      <c r="U26" s="244"/>
      <c r="V26" s="244"/>
      <c r="W26" s="244"/>
      <c r="X26" s="244"/>
      <c r="Y26" s="244"/>
      <c r="Z26" s="244"/>
    </row>
    <row r="27" ht="15.75" customHeight="1">
      <c r="A27" s="407"/>
      <c r="B27" s="430"/>
      <c r="C27" s="421"/>
      <c r="D27" s="430"/>
      <c r="E27" s="430"/>
      <c r="F27" s="421"/>
      <c r="G27" s="407"/>
      <c r="H27" s="415"/>
      <c r="I27" s="244"/>
      <c r="J27" s="244"/>
      <c r="K27" s="244"/>
      <c r="L27" s="244"/>
      <c r="M27" s="244"/>
      <c r="N27" s="244"/>
      <c r="O27" s="244"/>
      <c r="P27" s="244"/>
      <c r="Q27" s="244"/>
      <c r="R27" s="244"/>
      <c r="S27" s="244"/>
      <c r="T27" s="244"/>
      <c r="U27" s="244"/>
      <c r="V27" s="244"/>
      <c r="W27" s="244"/>
      <c r="X27" s="244"/>
      <c r="Y27" s="244"/>
      <c r="Z27" s="244"/>
    </row>
    <row r="28" ht="15.75" customHeight="1">
      <c r="A28" s="407"/>
      <c r="B28" s="430"/>
      <c r="C28" s="421"/>
      <c r="D28" s="430"/>
      <c r="E28" s="430"/>
      <c r="F28" s="421"/>
      <c r="G28" s="407"/>
      <c r="H28" s="415"/>
      <c r="I28" s="244"/>
      <c r="J28" s="244"/>
      <c r="K28" s="244"/>
      <c r="L28" s="244"/>
      <c r="M28" s="244"/>
      <c r="N28" s="244"/>
      <c r="O28" s="244"/>
      <c r="P28" s="244"/>
      <c r="Q28" s="244"/>
      <c r="R28" s="244"/>
      <c r="S28" s="244"/>
      <c r="T28" s="244"/>
      <c r="U28" s="244"/>
      <c r="V28" s="244"/>
      <c r="W28" s="244"/>
      <c r="X28" s="244"/>
      <c r="Y28" s="244"/>
      <c r="Z28" s="244"/>
    </row>
    <row r="29" ht="15.75" customHeight="1">
      <c r="A29" s="407"/>
      <c r="B29" s="430"/>
      <c r="C29" s="421"/>
      <c r="D29" s="430"/>
      <c r="E29" s="430"/>
      <c r="F29" s="421"/>
      <c r="G29" s="407"/>
      <c r="H29" s="415"/>
      <c r="I29" s="244"/>
      <c r="J29" s="244"/>
      <c r="K29" s="244"/>
      <c r="L29" s="244"/>
      <c r="M29" s="244"/>
      <c r="N29" s="244"/>
      <c r="O29" s="244"/>
      <c r="P29" s="244"/>
      <c r="Q29" s="244"/>
      <c r="R29" s="244"/>
      <c r="S29" s="244"/>
      <c r="T29" s="244"/>
      <c r="U29" s="244"/>
      <c r="V29" s="244"/>
      <c r="W29" s="244"/>
      <c r="X29" s="244"/>
      <c r="Y29" s="244"/>
      <c r="Z29" s="244"/>
    </row>
    <row r="30" ht="15.75" customHeight="1">
      <c r="A30" s="407"/>
      <c r="B30" s="430"/>
      <c r="C30" s="421"/>
      <c r="D30" s="430"/>
      <c r="E30" s="430"/>
      <c r="F30" s="421"/>
      <c r="G30" s="407"/>
      <c r="H30" s="415"/>
      <c r="I30" s="244"/>
      <c r="J30" s="244"/>
      <c r="K30" s="244"/>
      <c r="L30" s="244"/>
      <c r="M30" s="244"/>
      <c r="N30" s="244"/>
      <c r="O30" s="244"/>
      <c r="P30" s="244"/>
      <c r="Q30" s="244"/>
      <c r="R30" s="244"/>
      <c r="S30" s="244"/>
      <c r="T30" s="244"/>
      <c r="U30" s="244"/>
      <c r="V30" s="244"/>
      <c r="W30" s="244"/>
      <c r="X30" s="244"/>
      <c r="Y30" s="244"/>
      <c r="Z30" s="244"/>
    </row>
    <row r="31" ht="15.75" customHeight="1">
      <c r="A31" s="407"/>
      <c r="B31" s="430"/>
      <c r="C31" s="421"/>
      <c r="D31" s="430"/>
      <c r="E31" s="430"/>
      <c r="F31" s="421"/>
      <c r="G31" s="407"/>
      <c r="H31" s="415"/>
      <c r="I31" s="244"/>
      <c r="J31" s="244"/>
      <c r="K31" s="244"/>
      <c r="L31" s="244"/>
      <c r="M31" s="244"/>
      <c r="N31" s="244"/>
      <c r="O31" s="244"/>
      <c r="P31" s="244"/>
      <c r="Q31" s="244"/>
      <c r="R31" s="244"/>
      <c r="S31" s="244"/>
      <c r="T31" s="244"/>
      <c r="U31" s="244"/>
      <c r="V31" s="244"/>
      <c r="W31" s="244"/>
      <c r="X31" s="244"/>
      <c r="Y31" s="244"/>
      <c r="Z31" s="244"/>
    </row>
    <row r="32" ht="15.75" customHeight="1">
      <c r="A32" s="407"/>
      <c r="B32" s="430"/>
      <c r="C32" s="421"/>
      <c r="D32" s="430"/>
      <c r="E32" s="430"/>
      <c r="F32" s="421"/>
      <c r="G32" s="407"/>
      <c r="H32" s="415"/>
      <c r="I32" s="244"/>
      <c r="J32" s="244"/>
      <c r="K32" s="244"/>
      <c r="L32" s="244"/>
      <c r="M32" s="244"/>
      <c r="N32" s="244"/>
      <c r="O32" s="244"/>
      <c r="P32" s="244"/>
      <c r="Q32" s="244"/>
      <c r="R32" s="244"/>
      <c r="S32" s="244"/>
      <c r="T32" s="244"/>
      <c r="U32" s="244"/>
      <c r="V32" s="244"/>
      <c r="W32" s="244"/>
      <c r="X32" s="244"/>
      <c r="Y32" s="244"/>
      <c r="Z32" s="244"/>
    </row>
    <row r="33" ht="15.75" customHeight="1">
      <c r="A33" s="407"/>
      <c r="B33" s="430"/>
      <c r="C33" s="421"/>
      <c r="D33" s="430"/>
      <c r="E33" s="430"/>
      <c r="F33" s="421"/>
      <c r="G33" s="407"/>
      <c r="H33" s="415"/>
      <c r="I33" s="244"/>
      <c r="J33" s="244"/>
      <c r="K33" s="244"/>
      <c r="L33" s="244"/>
      <c r="M33" s="244"/>
      <c r="N33" s="244"/>
      <c r="O33" s="244"/>
      <c r="P33" s="244"/>
      <c r="Q33" s="244"/>
      <c r="R33" s="244"/>
      <c r="S33" s="244"/>
      <c r="T33" s="244"/>
      <c r="U33" s="244"/>
      <c r="V33" s="244"/>
      <c r="W33" s="244"/>
      <c r="X33" s="244"/>
      <c r="Y33" s="244"/>
      <c r="Z33" s="244"/>
    </row>
    <row r="34" ht="15.75" customHeight="1">
      <c r="A34" s="407"/>
      <c r="B34" s="430"/>
      <c r="C34" s="421"/>
      <c r="D34" s="430"/>
      <c r="E34" s="430"/>
      <c r="F34" s="421"/>
      <c r="G34" s="407"/>
      <c r="H34" s="415"/>
      <c r="I34" s="244"/>
      <c r="J34" s="244"/>
      <c r="K34" s="244"/>
      <c r="L34" s="244"/>
      <c r="M34" s="244"/>
      <c r="N34" s="244"/>
      <c r="O34" s="244"/>
      <c r="P34" s="244"/>
      <c r="Q34" s="244"/>
      <c r="R34" s="244"/>
      <c r="S34" s="244"/>
      <c r="T34" s="244"/>
      <c r="U34" s="244"/>
      <c r="V34" s="244"/>
      <c r="W34" s="244"/>
      <c r="X34" s="244"/>
      <c r="Y34" s="244"/>
      <c r="Z34" s="244"/>
    </row>
    <row r="35" ht="15.75" customHeight="1">
      <c r="A35" s="407"/>
      <c r="B35" s="430"/>
      <c r="C35" s="421"/>
      <c r="D35" s="430"/>
      <c r="E35" s="430"/>
      <c r="F35" s="421"/>
      <c r="G35" s="407"/>
      <c r="H35" s="415"/>
      <c r="I35" s="244"/>
      <c r="J35" s="244"/>
      <c r="K35" s="244"/>
      <c r="L35" s="244"/>
      <c r="M35" s="244"/>
      <c r="N35" s="244"/>
      <c r="O35" s="244"/>
      <c r="P35" s="244"/>
      <c r="Q35" s="244"/>
      <c r="R35" s="244"/>
      <c r="S35" s="244"/>
      <c r="T35" s="244"/>
      <c r="U35" s="244"/>
      <c r="V35" s="244"/>
      <c r="W35" s="244"/>
      <c r="X35" s="244"/>
      <c r="Y35" s="244"/>
      <c r="Z35" s="244"/>
    </row>
    <row r="36" ht="15.75" customHeight="1">
      <c r="A36" s="407"/>
      <c r="B36" s="430"/>
      <c r="C36" s="421"/>
      <c r="D36" s="430"/>
      <c r="E36" s="430"/>
      <c r="F36" s="421"/>
      <c r="G36" s="407"/>
      <c r="H36" s="415"/>
      <c r="I36" s="244"/>
      <c r="J36" s="244"/>
      <c r="K36" s="244"/>
      <c r="L36" s="244"/>
      <c r="M36" s="244"/>
      <c r="N36" s="244"/>
      <c r="O36" s="244"/>
      <c r="P36" s="244"/>
      <c r="Q36" s="244"/>
      <c r="R36" s="244"/>
      <c r="S36" s="244"/>
      <c r="T36" s="244"/>
      <c r="U36" s="244"/>
      <c r="V36" s="244"/>
      <c r="W36" s="244"/>
      <c r="X36" s="244"/>
      <c r="Y36" s="244"/>
      <c r="Z36" s="244"/>
    </row>
    <row r="37" ht="15.75" customHeight="1">
      <c r="A37" s="407"/>
      <c r="B37" s="430"/>
      <c r="C37" s="421"/>
      <c r="D37" s="430"/>
      <c r="E37" s="430"/>
      <c r="F37" s="421"/>
      <c r="G37" s="407"/>
      <c r="H37" s="415"/>
      <c r="I37" s="244"/>
      <c r="J37" s="244"/>
      <c r="K37" s="244"/>
      <c r="L37" s="244"/>
      <c r="M37" s="244"/>
      <c r="N37" s="244"/>
      <c r="O37" s="244"/>
      <c r="P37" s="244"/>
      <c r="Q37" s="244"/>
      <c r="R37" s="244"/>
      <c r="S37" s="244"/>
      <c r="T37" s="244"/>
      <c r="U37" s="244"/>
      <c r="V37" s="244"/>
      <c r="W37" s="244"/>
      <c r="X37" s="244"/>
      <c r="Y37" s="244"/>
      <c r="Z37" s="244"/>
    </row>
    <row r="38" ht="15.75" customHeight="1">
      <c r="A38" s="407"/>
      <c r="B38" s="430"/>
      <c r="C38" s="421"/>
      <c r="D38" s="430"/>
      <c r="E38" s="430"/>
      <c r="F38" s="421"/>
      <c r="G38" s="407"/>
      <c r="H38" s="415"/>
      <c r="I38" s="244"/>
      <c r="J38" s="244"/>
      <c r="K38" s="244"/>
      <c r="L38" s="244"/>
      <c r="M38" s="244"/>
      <c r="N38" s="244"/>
      <c r="O38" s="244"/>
      <c r="P38" s="244"/>
      <c r="Q38" s="244"/>
      <c r="R38" s="244"/>
      <c r="S38" s="244"/>
      <c r="T38" s="244"/>
      <c r="U38" s="244"/>
      <c r="V38" s="244"/>
      <c r="W38" s="244"/>
      <c r="X38" s="244"/>
      <c r="Y38" s="244"/>
      <c r="Z38" s="244"/>
    </row>
    <row r="39" ht="15.75" customHeight="1">
      <c r="A39" s="407"/>
      <c r="B39" s="430"/>
      <c r="C39" s="421"/>
      <c r="D39" s="430"/>
      <c r="E39" s="430"/>
      <c r="F39" s="421"/>
      <c r="G39" s="407"/>
      <c r="H39" s="415"/>
      <c r="I39" s="244"/>
      <c r="J39" s="244"/>
      <c r="K39" s="244"/>
      <c r="L39" s="244"/>
      <c r="M39" s="244"/>
      <c r="N39" s="244"/>
      <c r="O39" s="244"/>
      <c r="P39" s="244"/>
      <c r="Q39" s="244"/>
      <c r="R39" s="244"/>
      <c r="S39" s="244"/>
      <c r="T39" s="244"/>
      <c r="U39" s="244"/>
      <c r="V39" s="244"/>
      <c r="W39" s="244"/>
      <c r="X39" s="244"/>
      <c r="Y39" s="244"/>
      <c r="Z39" s="244"/>
    </row>
    <row r="40" ht="15.75" customHeight="1">
      <c r="A40" s="407"/>
      <c r="B40" s="430"/>
      <c r="C40" s="421"/>
      <c r="D40" s="430"/>
      <c r="E40" s="430"/>
      <c r="F40" s="421"/>
      <c r="G40" s="407"/>
      <c r="H40" s="415"/>
      <c r="I40" s="244"/>
      <c r="J40" s="244"/>
      <c r="K40" s="244"/>
      <c r="L40" s="244"/>
      <c r="M40" s="244"/>
      <c r="N40" s="244"/>
      <c r="O40" s="244"/>
      <c r="P40" s="244"/>
      <c r="Q40" s="244"/>
      <c r="R40" s="244"/>
      <c r="S40" s="244"/>
      <c r="T40" s="244"/>
      <c r="U40" s="244"/>
      <c r="V40" s="244"/>
      <c r="W40" s="244"/>
      <c r="X40" s="244"/>
      <c r="Y40" s="244"/>
      <c r="Z40" s="244"/>
    </row>
    <row r="41" s="479" customFormat="1" ht="15.75" customHeight="1">
      <c r="A41" s="476"/>
      <c r="B41" s="430"/>
      <c r="C41" s="430"/>
      <c r="D41" s="430"/>
      <c r="E41" s="430"/>
      <c r="F41" s="431"/>
      <c r="G41" s="476"/>
      <c r="H41" s="477"/>
      <c r="I41" s="478"/>
      <c r="J41" s="478"/>
      <c r="K41" s="478"/>
      <c r="L41" s="478"/>
      <c r="M41" s="478"/>
      <c r="N41" s="478"/>
      <c r="O41" s="478"/>
      <c r="P41" s="478"/>
      <c r="Q41" s="478"/>
      <c r="R41" s="478"/>
      <c r="S41" s="478"/>
      <c r="T41" s="478"/>
      <c r="U41" s="478"/>
      <c r="V41" s="478"/>
      <c r="W41" s="478"/>
      <c r="X41" s="478"/>
      <c r="Y41" s="478"/>
      <c r="Z41" s="478"/>
    </row>
    <row r="42" s="100" customFormat="1" ht="10.5" customHeight="1">
      <c r="A42" s="480"/>
      <c r="B42" s="412" t="s">
        <v>106</v>
      </c>
      <c r="C42" s="424"/>
      <c r="D42" s="481"/>
      <c r="E42" s="412" t="s">
        <v>107</v>
      </c>
      <c r="F42" s="482"/>
      <c r="G42" s="480"/>
      <c r="H42" s="480"/>
      <c r="I42" s="483"/>
      <c r="J42" s="483"/>
      <c r="K42" s="483"/>
      <c r="L42" s="483"/>
      <c r="M42" s="483"/>
      <c r="N42" s="483"/>
      <c r="O42" s="483"/>
      <c r="P42" s="483"/>
      <c r="Q42" s="483"/>
      <c r="R42" s="483"/>
      <c r="S42" s="483"/>
      <c r="T42" s="483"/>
      <c r="U42" s="483"/>
      <c r="V42" s="483"/>
      <c r="W42" s="483"/>
      <c r="X42" s="483"/>
      <c r="Y42" s="483"/>
      <c r="Z42" s="483"/>
    </row>
    <row r="43" s="100" customFormat="1" ht="10.5" customHeight="1">
      <c r="A43" s="480"/>
      <c r="B43" s="412" t="s">
        <v>112</v>
      </c>
      <c r="C43" s="424"/>
      <c r="D43" s="481"/>
      <c r="E43" s="412" t="s">
        <v>108</v>
      </c>
      <c r="F43" s="482"/>
      <c r="G43" s="480"/>
      <c r="H43" s="480"/>
      <c r="I43" s="483"/>
      <c r="J43" s="483"/>
      <c r="K43" s="483"/>
      <c r="L43" s="483"/>
      <c r="M43" s="483"/>
      <c r="N43" s="483"/>
      <c r="O43" s="483"/>
      <c r="P43" s="483"/>
      <c r="Q43" s="483"/>
      <c r="R43" s="483"/>
      <c r="S43" s="483"/>
      <c r="T43" s="483"/>
      <c r="U43" s="483"/>
      <c r="V43" s="483"/>
      <c r="W43" s="483"/>
      <c r="X43" s="483"/>
      <c r="Y43" s="483"/>
      <c r="Z43" s="483"/>
    </row>
    <row r="44" s="100" customFormat="1" ht="10.5" customHeight="1">
      <c r="A44" s="480"/>
      <c r="B44" s="412" t="s">
        <v>100</v>
      </c>
      <c r="C44" s="424"/>
      <c r="D44" s="481"/>
      <c r="E44" s="412" t="s">
        <v>113</v>
      </c>
      <c r="F44" s="482"/>
      <c r="G44" s="480"/>
      <c r="H44" s="480"/>
      <c r="I44" s="483"/>
      <c r="J44" s="483"/>
      <c r="K44" s="483"/>
      <c r="L44" s="483"/>
      <c r="M44" s="483"/>
      <c r="N44" s="483"/>
      <c r="O44" s="483"/>
      <c r="P44" s="483"/>
      <c r="Q44" s="483"/>
      <c r="R44" s="483"/>
      <c r="S44" s="483"/>
      <c r="T44" s="483"/>
      <c r="U44" s="483"/>
      <c r="V44" s="483"/>
      <c r="W44" s="483"/>
      <c r="X44" s="483"/>
      <c r="Y44" s="483"/>
      <c r="Z44" s="483"/>
    </row>
    <row r="45" s="100" customFormat="1" ht="15.75" customHeight="1">
      <c r="A45" s="480"/>
      <c r="B45" s="412"/>
      <c r="C45" s="424"/>
      <c r="D45" s="481"/>
      <c r="E45" s="412"/>
      <c r="F45" s="482"/>
      <c r="G45" s="480"/>
      <c r="H45" s="480"/>
      <c r="I45" s="483"/>
      <c r="J45" s="483"/>
      <c r="K45" s="483"/>
      <c r="L45" s="483"/>
      <c r="M45" s="483"/>
      <c r="N45" s="483"/>
      <c r="O45" s="483"/>
      <c r="P45" s="483"/>
      <c r="Q45" s="483"/>
      <c r="R45" s="483"/>
      <c r="S45" s="483"/>
      <c r="T45" s="483"/>
      <c r="U45" s="483"/>
      <c r="V45" s="483"/>
      <c r="W45" s="483"/>
      <c r="X45" s="483"/>
      <c r="Y45" s="483"/>
      <c r="Z45" s="483"/>
    </row>
    <row r="46" s="96" customFormat="1" ht="23.1" customHeight="1">
      <c r="A46" s="484"/>
      <c r="B46" s="601" t="s">
        <v>114</v>
      </c>
      <c r="C46" s="601"/>
      <c r="D46" s="601"/>
      <c r="E46" s="601"/>
      <c r="F46" s="601"/>
      <c r="G46" s="487"/>
      <c r="H46" s="487"/>
      <c r="I46" s="486"/>
      <c r="J46" s="486"/>
      <c r="K46" s="486"/>
      <c r="L46" s="486"/>
      <c r="M46" s="486"/>
      <c r="N46" s="486"/>
      <c r="O46" s="486"/>
      <c r="P46" s="486"/>
      <c r="Q46" s="486"/>
      <c r="R46" s="486"/>
      <c r="S46" s="486"/>
      <c r="T46" s="486"/>
      <c r="U46" s="486"/>
      <c r="V46" s="486"/>
      <c r="W46" s="486"/>
      <c r="X46" s="486"/>
      <c r="Y46" s="486"/>
      <c r="Z46" s="486"/>
    </row>
    <row r="47" s="96" customFormat="1" ht="23.1" customHeight="1">
      <c r="A47" s="484"/>
      <c r="B47" s="601"/>
      <c r="C47" s="601"/>
      <c r="D47" s="601"/>
      <c r="E47" s="601"/>
      <c r="F47" s="601"/>
      <c r="G47" s="487"/>
      <c r="H47" s="487"/>
      <c r="I47" s="486"/>
      <c r="J47" s="486"/>
      <c r="K47" s="486"/>
      <c r="L47" s="486"/>
      <c r="M47" s="486"/>
      <c r="N47" s="486"/>
      <c r="O47" s="486"/>
      <c r="P47" s="486"/>
      <c r="Q47" s="486"/>
      <c r="R47" s="486"/>
      <c r="S47" s="486"/>
      <c r="T47" s="486"/>
      <c r="U47" s="486"/>
      <c r="V47" s="486"/>
      <c r="W47" s="486"/>
      <c r="X47" s="486"/>
      <c r="Y47" s="486"/>
      <c r="Z47" s="486"/>
    </row>
    <row r="48" s="96" customFormat="1" ht="15.75" customHeight="1">
      <c r="A48" s="484"/>
      <c r="B48" s="488"/>
      <c r="C48" s="488"/>
      <c r="D48" s="488"/>
      <c r="E48" s="488"/>
      <c r="F48" s="485"/>
      <c r="G48" s="484"/>
      <c r="H48" s="484"/>
      <c r="I48" s="486"/>
      <c r="J48" s="486"/>
      <c r="K48" s="486"/>
      <c r="L48" s="486"/>
      <c r="M48" s="486"/>
      <c r="N48" s="486"/>
      <c r="O48" s="486"/>
      <c r="P48" s="486"/>
      <c r="Q48" s="486"/>
      <c r="R48" s="486"/>
      <c r="S48" s="486"/>
      <c r="T48" s="486"/>
      <c r="U48" s="486"/>
      <c r="V48" s="486"/>
      <c r="W48" s="486"/>
      <c r="X48" s="486"/>
      <c r="Y48" s="486"/>
      <c r="Z48" s="486"/>
    </row>
    <row r="49" ht="15.75" customHeight="1">
      <c r="A49" s="244"/>
      <c r="B49" s="244"/>
      <c r="C49" s="425"/>
      <c r="D49" s="244"/>
      <c r="E49" s="244"/>
      <c r="F49" s="425"/>
      <c r="G49" s="244"/>
      <c r="H49" s="244"/>
      <c r="I49" s="244"/>
      <c r="J49" s="244"/>
      <c r="K49" s="244"/>
      <c r="L49" s="244"/>
      <c r="M49" s="244"/>
      <c r="N49" s="244"/>
      <c r="O49" s="244"/>
      <c r="P49" s="244"/>
      <c r="Q49" s="244"/>
      <c r="R49" s="244"/>
      <c r="S49" s="244"/>
      <c r="T49" s="244"/>
      <c r="U49" s="244"/>
      <c r="V49" s="244"/>
      <c r="W49" s="244"/>
      <c r="X49" s="244"/>
      <c r="Y49" s="244"/>
      <c r="Z49" s="244"/>
    </row>
    <row r="50" ht="15.75" customHeight="1">
      <c r="A50" s="244"/>
      <c r="B50" s="244"/>
      <c r="C50" s="425"/>
      <c r="D50" s="244"/>
      <c r="E50" s="244"/>
      <c r="F50" s="425"/>
      <c r="G50" s="244"/>
      <c r="H50" s="244"/>
      <c r="I50" s="244"/>
      <c r="J50" s="244"/>
      <c r="K50" s="244"/>
      <c r="L50" s="244"/>
      <c r="M50" s="244"/>
      <c r="N50" s="244"/>
      <c r="O50" s="244"/>
      <c r="P50" s="244"/>
      <c r="Q50" s="244"/>
      <c r="R50" s="244"/>
      <c r="S50" s="244"/>
      <c r="T50" s="244"/>
      <c r="U50" s="244"/>
      <c r="V50" s="244"/>
      <c r="W50" s="244"/>
      <c r="X50" s="244"/>
      <c r="Y50" s="244"/>
      <c r="Z50" s="244"/>
    </row>
    <row r="51" ht="15.75" customHeight="1">
      <c r="A51" s="244"/>
      <c r="B51" s="244"/>
      <c r="C51" s="425"/>
      <c r="D51" s="244"/>
      <c r="E51" s="244"/>
      <c r="F51" s="425"/>
      <c r="G51" s="244"/>
      <c r="H51" s="244"/>
      <c r="I51" s="244"/>
      <c r="J51" s="244"/>
      <c r="K51" s="244"/>
      <c r="L51" s="244"/>
      <c r="M51" s="244"/>
      <c r="N51" s="244"/>
      <c r="O51" s="244"/>
      <c r="P51" s="244"/>
      <c r="Q51" s="244"/>
      <c r="R51" s="244"/>
      <c r="S51" s="244"/>
      <c r="T51" s="244"/>
      <c r="U51" s="244"/>
      <c r="V51" s="244"/>
      <c r="W51" s="244"/>
      <c r="X51" s="244"/>
      <c r="Y51" s="244"/>
      <c r="Z51" s="244"/>
    </row>
    <row r="52" ht="15.75" customHeight="1">
      <c r="A52" s="244"/>
      <c r="B52" s="244"/>
      <c r="C52" s="425"/>
      <c r="D52" s="244"/>
      <c r="E52" s="244"/>
      <c r="F52" s="425"/>
      <c r="G52" s="244"/>
      <c r="H52" s="244"/>
      <c r="I52" s="244"/>
      <c r="J52" s="244"/>
      <c r="K52" s="244"/>
      <c r="L52" s="244"/>
      <c r="M52" s="244"/>
      <c r="N52" s="244"/>
      <c r="O52" s="244"/>
      <c r="P52" s="244"/>
      <c r="Q52" s="244"/>
      <c r="R52" s="244"/>
      <c r="S52" s="244"/>
      <c r="T52" s="244"/>
      <c r="U52" s="244"/>
      <c r="V52" s="244"/>
      <c r="W52" s="244"/>
      <c r="X52" s="244"/>
      <c r="Y52" s="244"/>
      <c r="Z52" s="244"/>
    </row>
    <row r="53" ht="15.75" customHeight="1">
      <c r="A53" s="244"/>
      <c r="B53" s="244"/>
      <c r="C53" s="425"/>
      <c r="D53" s="244"/>
      <c r="E53" s="244"/>
      <c r="F53" s="425"/>
      <c r="G53" s="244"/>
      <c r="H53" s="244"/>
      <c r="I53" s="244"/>
      <c r="J53" s="244"/>
      <c r="K53" s="244"/>
      <c r="L53" s="244"/>
      <c r="M53" s="244"/>
      <c r="N53" s="244"/>
      <c r="O53" s="244"/>
      <c r="P53" s="244"/>
      <c r="Q53" s="244"/>
      <c r="R53" s="244"/>
      <c r="S53" s="244"/>
      <c r="T53" s="244"/>
      <c r="U53" s="244"/>
      <c r="V53" s="244"/>
      <c r="W53" s="244"/>
      <c r="X53" s="244"/>
      <c r="Y53" s="244"/>
      <c r="Z53" s="244"/>
    </row>
    <row r="54" ht="15.75" customHeight="1">
      <c r="A54" s="244"/>
      <c r="B54" s="244"/>
      <c r="C54" s="425"/>
      <c r="D54" s="244"/>
      <c r="E54" s="244"/>
      <c r="F54" s="425"/>
      <c r="G54" s="244"/>
      <c r="H54" s="244"/>
      <c r="I54" s="244"/>
      <c r="J54" s="244"/>
      <c r="K54" s="244"/>
      <c r="L54" s="244"/>
      <c r="M54" s="244"/>
      <c r="N54" s="244"/>
      <c r="O54" s="244"/>
      <c r="P54" s="244"/>
      <c r="Q54" s="244"/>
      <c r="R54" s="244"/>
      <c r="S54" s="244"/>
      <c r="T54" s="244"/>
      <c r="U54" s="244"/>
      <c r="V54" s="244"/>
      <c r="W54" s="244"/>
      <c r="X54" s="244"/>
      <c r="Y54" s="244"/>
      <c r="Z54" s="244"/>
    </row>
    <row r="55" ht="15.75" customHeight="1">
      <c r="A55" s="244"/>
      <c r="B55" s="244"/>
      <c r="C55" s="425"/>
      <c r="D55" s="244"/>
      <c r="E55" s="244"/>
      <c r="F55" s="425"/>
      <c r="G55" s="244"/>
      <c r="H55" s="244"/>
      <c r="I55" s="244"/>
      <c r="J55" s="244"/>
      <c r="K55" s="244"/>
      <c r="L55" s="244"/>
      <c r="M55" s="244"/>
      <c r="N55" s="244"/>
      <c r="O55" s="244"/>
      <c r="P55" s="244"/>
      <c r="Q55" s="244"/>
      <c r="R55" s="244"/>
      <c r="S55" s="244"/>
      <c r="T55" s="244"/>
      <c r="U55" s="244"/>
      <c r="V55" s="244"/>
      <c r="W55" s="244"/>
      <c r="X55" s="244"/>
      <c r="Y55" s="244"/>
      <c r="Z55" s="244"/>
    </row>
    <row r="56" ht="15.75" customHeight="1">
      <c r="A56" s="244"/>
      <c r="B56" s="244"/>
      <c r="C56" s="425"/>
      <c r="D56" s="244"/>
      <c r="E56" s="244"/>
      <c r="F56" s="425"/>
      <c r="G56" s="244"/>
      <c r="H56" s="244"/>
      <c r="I56" s="244"/>
      <c r="J56" s="244"/>
      <c r="K56" s="244"/>
      <c r="L56" s="244"/>
      <c r="M56" s="244"/>
      <c r="N56" s="244"/>
      <c r="O56" s="244"/>
      <c r="P56" s="244"/>
      <c r="Q56" s="244"/>
      <c r="R56" s="244"/>
      <c r="S56" s="244"/>
      <c r="T56" s="244"/>
      <c r="U56" s="244"/>
      <c r="V56" s="244"/>
      <c r="W56" s="244"/>
      <c r="X56" s="244"/>
      <c r="Y56" s="244"/>
      <c r="Z56" s="244"/>
    </row>
    <row r="57" ht="15.75" customHeight="1">
      <c r="A57" s="244"/>
      <c r="B57" s="244"/>
      <c r="C57" s="425"/>
      <c r="D57" s="244"/>
      <c r="E57" s="244"/>
      <c r="F57" s="425"/>
      <c r="G57" s="244"/>
      <c r="H57" s="244"/>
      <c r="I57" s="244"/>
      <c r="J57" s="244"/>
      <c r="K57" s="244"/>
      <c r="L57" s="244"/>
      <c r="M57" s="244"/>
      <c r="N57" s="244"/>
      <c r="O57" s="244"/>
      <c r="P57" s="244"/>
      <c r="Q57" s="244"/>
      <c r="R57" s="244"/>
      <c r="S57" s="244"/>
      <c r="T57" s="244"/>
      <c r="U57" s="244"/>
      <c r="V57" s="244"/>
      <c r="W57" s="244"/>
      <c r="X57" s="244"/>
      <c r="Y57" s="244"/>
      <c r="Z57" s="244"/>
    </row>
    <row r="58" ht="15.75" customHeight="1">
      <c r="A58" s="244"/>
      <c r="B58" s="244"/>
      <c r="C58" s="425"/>
      <c r="D58" s="244"/>
      <c r="E58" s="244"/>
      <c r="F58" s="425"/>
      <c r="G58" s="244"/>
      <c r="H58" s="244"/>
      <c r="I58" s="244"/>
      <c r="J58" s="244"/>
      <c r="K58" s="244"/>
      <c r="L58" s="244"/>
      <c r="M58" s="244"/>
      <c r="N58" s="244"/>
      <c r="O58" s="244"/>
      <c r="P58" s="244"/>
      <c r="Q58" s="244"/>
      <c r="R58" s="244"/>
      <c r="S58" s="244"/>
      <c r="T58" s="244"/>
      <c r="U58" s="244"/>
      <c r="V58" s="244"/>
      <c r="W58" s="244"/>
      <c r="X58" s="244"/>
      <c r="Y58" s="244"/>
      <c r="Z58" s="244"/>
    </row>
    <row r="59" ht="15.75" customHeight="1">
      <c r="A59" s="244"/>
      <c r="B59" s="244"/>
      <c r="C59" s="425"/>
      <c r="D59" s="244"/>
      <c r="E59" s="244"/>
      <c r="F59" s="425"/>
      <c r="G59" s="244"/>
      <c r="H59" s="244"/>
      <c r="I59" s="244"/>
      <c r="J59" s="244"/>
      <c r="K59" s="244"/>
      <c r="L59" s="244"/>
      <c r="M59" s="244"/>
      <c r="N59" s="244"/>
      <c r="O59" s="244"/>
      <c r="P59" s="244"/>
      <c r="Q59" s="244"/>
      <c r="R59" s="244"/>
      <c r="S59" s="244"/>
      <c r="T59" s="244"/>
      <c r="U59" s="244"/>
      <c r="V59" s="244"/>
      <c r="W59" s="244"/>
      <c r="X59" s="244"/>
      <c r="Y59" s="244"/>
      <c r="Z59" s="244"/>
    </row>
    <row r="60" ht="15.75" customHeight="1">
      <c r="A60" s="244"/>
      <c r="B60" s="244"/>
      <c r="C60" s="425"/>
      <c r="D60" s="244"/>
      <c r="E60" s="244"/>
      <c r="F60" s="425"/>
      <c r="G60" s="244"/>
      <c r="H60" s="244"/>
      <c r="I60" s="244"/>
      <c r="J60" s="244"/>
      <c r="K60" s="244"/>
      <c r="L60" s="244"/>
      <c r="M60" s="244"/>
      <c r="N60" s="244"/>
      <c r="O60" s="244"/>
      <c r="P60" s="244"/>
      <c r="Q60" s="244"/>
      <c r="R60" s="244"/>
      <c r="S60" s="244"/>
      <c r="T60" s="244"/>
      <c r="U60" s="244"/>
      <c r="V60" s="244"/>
      <c r="W60" s="244"/>
      <c r="X60" s="244"/>
      <c r="Y60" s="244"/>
      <c r="Z60" s="244"/>
    </row>
    <row r="61" ht="15.75" customHeight="1">
      <c r="A61" s="244"/>
      <c r="B61" s="244"/>
      <c r="C61" s="425"/>
      <c r="D61" s="244"/>
      <c r="E61" s="244"/>
      <c r="F61" s="425"/>
      <c r="G61" s="244"/>
      <c r="H61" s="244"/>
      <c r="I61" s="244"/>
      <c r="J61" s="244"/>
      <c r="K61" s="244"/>
      <c r="L61" s="244"/>
      <c r="M61" s="244"/>
      <c r="N61" s="244"/>
      <c r="O61" s="244"/>
      <c r="P61" s="244"/>
      <c r="Q61" s="244"/>
      <c r="R61" s="244"/>
      <c r="S61" s="244"/>
      <c r="T61" s="244"/>
      <c r="U61" s="244"/>
      <c r="V61" s="244"/>
      <c r="W61" s="244"/>
      <c r="X61" s="244"/>
      <c r="Y61" s="244"/>
      <c r="Z61" s="244"/>
    </row>
    <row r="62" ht="15.75" customHeight="1">
      <c r="A62" s="244"/>
      <c r="B62" s="244"/>
      <c r="C62" s="425"/>
      <c r="D62" s="244"/>
      <c r="E62" s="244"/>
      <c r="F62" s="425"/>
      <c r="G62" s="244"/>
      <c r="H62" s="244"/>
      <c r="I62" s="244"/>
      <c r="J62" s="244"/>
      <c r="K62" s="244"/>
      <c r="L62" s="244"/>
      <c r="M62" s="244"/>
      <c r="N62" s="244"/>
      <c r="O62" s="244"/>
      <c r="P62" s="244"/>
      <c r="Q62" s="244"/>
      <c r="R62" s="244"/>
      <c r="S62" s="244"/>
      <c r="T62" s="244"/>
      <c r="U62" s="244"/>
      <c r="V62" s="244"/>
      <c r="W62" s="244"/>
      <c r="X62" s="244"/>
      <c r="Y62" s="244"/>
      <c r="Z62" s="244"/>
    </row>
    <row r="63" ht="15.75" customHeight="1">
      <c r="A63" s="244"/>
      <c r="B63" s="244"/>
      <c r="C63" s="425"/>
      <c r="D63" s="244"/>
      <c r="E63" s="244"/>
      <c r="F63" s="425"/>
      <c r="G63" s="244"/>
      <c r="H63" s="244"/>
      <c r="I63" s="244"/>
      <c r="J63" s="244"/>
      <c r="K63" s="244"/>
      <c r="L63" s="244"/>
      <c r="M63" s="244"/>
      <c r="N63" s="244"/>
      <c r="O63" s="244"/>
      <c r="P63" s="244"/>
      <c r="Q63" s="244"/>
      <c r="R63" s="244"/>
      <c r="S63" s="244"/>
      <c r="T63" s="244"/>
      <c r="U63" s="244"/>
      <c r="V63" s="244"/>
      <c r="W63" s="244"/>
      <c r="X63" s="244"/>
      <c r="Y63" s="244"/>
      <c r="Z63" s="244"/>
    </row>
    <row r="64" ht="15.75" customHeight="1">
      <c r="A64" s="244"/>
      <c r="B64" s="244"/>
      <c r="C64" s="425"/>
      <c r="D64" s="244"/>
      <c r="E64" s="244"/>
      <c r="F64" s="425"/>
      <c r="G64" s="244"/>
      <c r="H64" s="244"/>
      <c r="I64" s="244"/>
      <c r="J64" s="244"/>
      <c r="K64" s="244"/>
      <c r="L64" s="244"/>
      <c r="M64" s="244"/>
      <c r="N64" s="244"/>
      <c r="O64" s="244"/>
      <c r="P64" s="244"/>
      <c r="Q64" s="244"/>
      <c r="R64" s="244"/>
      <c r="S64" s="244"/>
      <c r="T64" s="244"/>
      <c r="U64" s="244"/>
      <c r="V64" s="244"/>
      <c r="W64" s="244"/>
      <c r="X64" s="244"/>
      <c r="Y64" s="244"/>
      <c r="Z64" s="244"/>
    </row>
    <row r="65" ht="15.75" customHeight="1">
      <c r="A65" s="244"/>
      <c r="B65" s="244"/>
      <c r="C65" s="425"/>
      <c r="D65" s="244"/>
      <c r="E65" s="244"/>
      <c r="F65" s="425"/>
      <c r="G65" s="244"/>
      <c r="H65" s="244"/>
      <c r="I65" s="244"/>
      <c r="J65" s="244"/>
      <c r="K65" s="244"/>
      <c r="L65" s="244"/>
      <c r="M65" s="244"/>
      <c r="N65" s="244"/>
      <c r="O65" s="244"/>
      <c r="P65" s="244"/>
      <c r="Q65" s="244"/>
      <c r="R65" s="244"/>
      <c r="S65" s="244"/>
      <c r="T65" s="244"/>
      <c r="U65" s="244"/>
      <c r="V65" s="244"/>
      <c r="W65" s="244"/>
      <c r="X65" s="244"/>
      <c r="Y65" s="244"/>
      <c r="Z65" s="244"/>
    </row>
    <row r="66" ht="15.75" customHeight="1">
      <c r="A66" s="244"/>
      <c r="B66" s="244"/>
      <c r="C66" s="425"/>
      <c r="D66" s="244"/>
      <c r="E66" s="244"/>
      <c r="F66" s="425"/>
      <c r="G66" s="244"/>
      <c r="H66" s="244"/>
      <c r="I66" s="244"/>
      <c r="J66" s="244"/>
      <c r="K66" s="244"/>
      <c r="L66" s="244"/>
      <c r="M66" s="244"/>
      <c r="N66" s="244"/>
      <c r="O66" s="244"/>
      <c r="P66" s="244"/>
      <c r="Q66" s="244"/>
      <c r="R66" s="244"/>
      <c r="S66" s="244"/>
      <c r="T66" s="244"/>
      <c r="U66" s="244"/>
      <c r="V66" s="244"/>
      <c r="W66" s="244"/>
      <c r="X66" s="244"/>
      <c r="Y66" s="244"/>
      <c r="Z66" s="244"/>
    </row>
    <row r="67" ht="15.75" customHeight="1">
      <c r="A67" s="244"/>
      <c r="B67" s="244"/>
      <c r="C67" s="425"/>
      <c r="D67" s="244"/>
      <c r="E67" s="244"/>
      <c r="F67" s="425"/>
      <c r="G67" s="244"/>
      <c r="H67" s="244"/>
      <c r="I67" s="244"/>
      <c r="J67" s="244"/>
      <c r="K67" s="244"/>
      <c r="L67" s="244"/>
      <c r="M67" s="244"/>
      <c r="N67" s="244"/>
      <c r="O67" s="244"/>
      <c r="P67" s="244"/>
      <c r="Q67" s="244"/>
      <c r="R67" s="244"/>
      <c r="S67" s="244"/>
      <c r="T67" s="244"/>
      <c r="U67" s="244"/>
      <c r="V67" s="244"/>
      <c r="W67" s="244"/>
      <c r="X67" s="244"/>
      <c r="Y67" s="244"/>
      <c r="Z67" s="244"/>
    </row>
    <row r="68" ht="15.75" customHeight="1">
      <c r="A68" s="244"/>
      <c r="B68" s="244"/>
      <c r="C68" s="425"/>
      <c r="D68" s="244"/>
      <c r="E68" s="244"/>
      <c r="F68" s="425"/>
      <c r="G68" s="244"/>
      <c r="H68" s="244"/>
      <c r="I68" s="244"/>
      <c r="J68" s="244"/>
      <c r="K68" s="244"/>
      <c r="L68" s="244"/>
      <c r="M68" s="244"/>
      <c r="N68" s="244"/>
      <c r="O68" s="244"/>
      <c r="P68" s="244"/>
      <c r="Q68" s="244"/>
      <c r="R68" s="244"/>
      <c r="S68" s="244"/>
      <c r="T68" s="244"/>
      <c r="U68" s="244"/>
      <c r="V68" s="244"/>
      <c r="W68" s="244"/>
      <c r="X68" s="244"/>
      <c r="Y68" s="244"/>
      <c r="Z68" s="244"/>
    </row>
    <row r="69" ht="15.75" customHeight="1">
      <c r="A69" s="244"/>
      <c r="B69" s="244"/>
      <c r="C69" s="425"/>
      <c r="D69" s="244"/>
      <c r="E69" s="244"/>
      <c r="F69" s="425"/>
      <c r="G69" s="244"/>
      <c r="H69" s="244"/>
      <c r="I69" s="244"/>
      <c r="J69" s="244"/>
      <c r="K69" s="244"/>
      <c r="L69" s="244"/>
      <c r="M69" s="244"/>
      <c r="N69" s="244"/>
      <c r="O69" s="244"/>
      <c r="P69" s="244"/>
      <c r="Q69" s="244"/>
      <c r="R69" s="244"/>
      <c r="S69" s="244"/>
      <c r="T69" s="244"/>
      <c r="U69" s="244"/>
      <c r="V69" s="244"/>
      <c r="W69" s="244"/>
      <c r="X69" s="244"/>
      <c r="Y69" s="244"/>
      <c r="Z69" s="244"/>
    </row>
    <row r="70" ht="15.75" customHeight="1">
      <c r="A70" s="244"/>
      <c r="B70" s="244"/>
      <c r="C70" s="425"/>
      <c r="D70" s="244"/>
      <c r="E70" s="244"/>
      <c r="F70" s="425"/>
      <c r="G70" s="244"/>
      <c r="H70" s="244"/>
      <c r="I70" s="244"/>
      <c r="J70" s="244"/>
      <c r="K70" s="244"/>
      <c r="L70" s="244"/>
      <c r="M70" s="244"/>
      <c r="N70" s="244"/>
      <c r="O70" s="244"/>
      <c r="P70" s="244"/>
      <c r="Q70" s="244"/>
      <c r="R70" s="244"/>
      <c r="S70" s="244"/>
      <c r="T70" s="244"/>
      <c r="U70" s="244"/>
      <c r="V70" s="244"/>
      <c r="W70" s="244"/>
      <c r="X70" s="244"/>
      <c r="Y70" s="244"/>
      <c r="Z70" s="244"/>
    </row>
    <row r="71" ht="15.75" customHeight="1">
      <c r="A71" s="244"/>
      <c r="B71" s="244"/>
      <c r="C71" s="425"/>
      <c r="D71" s="244"/>
      <c r="E71" s="244"/>
      <c r="F71" s="425"/>
      <c r="G71" s="244"/>
      <c r="H71" s="244"/>
      <c r="I71" s="244"/>
      <c r="J71" s="244"/>
      <c r="K71" s="244"/>
      <c r="L71" s="244"/>
      <c r="M71" s="244"/>
      <c r="N71" s="244"/>
      <c r="O71" s="244"/>
      <c r="P71" s="244"/>
      <c r="Q71" s="244"/>
      <c r="R71" s="244"/>
      <c r="S71" s="244"/>
      <c r="T71" s="244"/>
      <c r="U71" s="244"/>
      <c r="V71" s="244"/>
      <c r="W71" s="244"/>
      <c r="X71" s="244"/>
      <c r="Y71" s="244"/>
      <c r="Z71" s="244"/>
    </row>
    <row r="72" ht="15.75" customHeight="1">
      <c r="A72" s="244"/>
      <c r="B72" s="244"/>
      <c r="C72" s="425"/>
      <c r="D72" s="244"/>
      <c r="E72" s="244"/>
      <c r="F72" s="425"/>
      <c r="G72" s="244"/>
      <c r="H72" s="244"/>
      <c r="I72" s="244"/>
      <c r="J72" s="244"/>
      <c r="K72" s="244"/>
      <c r="L72" s="244"/>
      <c r="M72" s="244"/>
      <c r="N72" s="244"/>
      <c r="O72" s="244"/>
      <c r="P72" s="244"/>
      <c r="Q72" s="244"/>
      <c r="R72" s="244"/>
      <c r="S72" s="244"/>
      <c r="T72" s="244"/>
      <c r="U72" s="244"/>
      <c r="V72" s="244"/>
      <c r="W72" s="244"/>
      <c r="X72" s="244"/>
      <c r="Y72" s="244"/>
      <c r="Z72" s="244"/>
    </row>
    <row r="73">
      <c r="A73" s="244"/>
      <c r="B73" s="244"/>
      <c r="C73" s="425"/>
      <c r="D73" s="244"/>
      <c r="E73" s="244"/>
      <c r="F73" s="425"/>
      <c r="G73" s="244"/>
      <c r="H73" s="244"/>
      <c r="I73" s="244"/>
      <c r="J73" s="244"/>
      <c r="K73" s="244"/>
      <c r="L73" s="244"/>
      <c r="M73" s="244"/>
      <c r="N73" s="244"/>
      <c r="O73" s="244"/>
      <c r="P73" s="244"/>
      <c r="Q73" s="244"/>
      <c r="R73" s="244"/>
      <c r="S73" s="244"/>
      <c r="T73" s="244"/>
      <c r="U73" s="244"/>
      <c r="V73" s="244"/>
      <c r="W73" s="244"/>
      <c r="X73" s="244"/>
      <c r="Y73" s="244"/>
      <c r="Z73" s="244"/>
    </row>
    <row r="74">
      <c r="A74" s="244"/>
      <c r="B74" s="244"/>
      <c r="C74" s="425"/>
      <c r="D74" s="244"/>
      <c r="E74" s="244"/>
      <c r="F74" s="425"/>
      <c r="G74" s="244"/>
      <c r="H74" s="244"/>
      <c r="I74" s="244"/>
      <c r="J74" s="244"/>
      <c r="K74" s="244"/>
      <c r="L74" s="244"/>
      <c r="M74" s="244"/>
      <c r="N74" s="244"/>
      <c r="O74" s="244"/>
      <c r="P74" s="244"/>
      <c r="Q74" s="244"/>
      <c r="R74" s="244"/>
      <c r="S74" s="244"/>
      <c r="T74" s="244"/>
      <c r="U74" s="244"/>
      <c r="V74" s="244"/>
      <c r="W74" s="244"/>
      <c r="X74" s="244"/>
      <c r="Y74" s="244"/>
      <c r="Z74" s="244"/>
    </row>
    <row r="75">
      <c r="A75" s="244"/>
      <c r="B75" s="244"/>
      <c r="C75" s="425"/>
      <c r="D75" s="244"/>
      <c r="E75" s="244"/>
      <c r="F75" s="425"/>
      <c r="G75" s="244"/>
      <c r="H75" s="244"/>
      <c r="I75" s="244"/>
      <c r="J75" s="244"/>
      <c r="K75" s="244"/>
      <c r="L75" s="244"/>
      <c r="M75" s="244"/>
      <c r="N75" s="244"/>
      <c r="O75" s="244"/>
      <c r="P75" s="244"/>
      <c r="Q75" s="244"/>
      <c r="R75" s="244"/>
      <c r="S75" s="244"/>
      <c r="T75" s="244"/>
      <c r="U75" s="244"/>
      <c r="V75" s="244"/>
      <c r="W75" s="244"/>
      <c r="X75" s="244"/>
      <c r="Y75" s="244"/>
      <c r="Z75" s="244"/>
    </row>
    <row r="76">
      <c r="A76" s="244"/>
      <c r="B76" s="244"/>
      <c r="C76" s="425"/>
      <c r="D76" s="244"/>
      <c r="E76" s="244"/>
      <c r="F76" s="425"/>
      <c r="G76" s="244"/>
      <c r="H76" s="244"/>
      <c r="I76" s="244"/>
      <c r="J76" s="244"/>
      <c r="K76" s="244"/>
      <c r="L76" s="244"/>
      <c r="M76" s="244"/>
      <c r="N76" s="244"/>
      <c r="O76" s="244"/>
      <c r="P76" s="244"/>
      <c r="Q76" s="244"/>
      <c r="R76" s="244"/>
      <c r="S76" s="244"/>
      <c r="T76" s="244"/>
      <c r="U76" s="244"/>
      <c r="V76" s="244"/>
      <c r="W76" s="244"/>
      <c r="X76" s="244"/>
      <c r="Y76" s="244"/>
      <c r="Z76" s="244"/>
    </row>
    <row r="77">
      <c r="A77" s="244"/>
      <c r="B77" s="244"/>
      <c r="C77" s="425"/>
      <c r="D77" s="244"/>
      <c r="E77" s="244"/>
      <c r="F77" s="425"/>
      <c r="G77" s="244"/>
      <c r="H77" s="244"/>
      <c r="I77" s="244"/>
      <c r="J77" s="244"/>
      <c r="K77" s="244"/>
      <c r="L77" s="244"/>
      <c r="M77" s="244"/>
      <c r="N77" s="244"/>
      <c r="O77" s="244"/>
      <c r="P77" s="244"/>
      <c r="Q77" s="244"/>
      <c r="R77" s="244"/>
      <c r="S77" s="244"/>
      <c r="T77" s="244"/>
      <c r="U77" s="244"/>
      <c r="V77" s="244"/>
      <c r="W77" s="244"/>
      <c r="X77" s="244"/>
      <c r="Y77" s="244"/>
      <c r="Z77" s="244"/>
    </row>
    <row r="78">
      <c r="A78" s="244"/>
      <c r="B78" s="244"/>
      <c r="C78" s="425"/>
      <c r="D78" s="244"/>
      <c r="E78" s="244"/>
      <c r="F78" s="425"/>
      <c r="G78" s="244"/>
      <c r="H78" s="244"/>
      <c r="I78" s="244"/>
      <c r="J78" s="244"/>
      <c r="K78" s="244"/>
      <c r="L78" s="244"/>
      <c r="M78" s="244"/>
      <c r="N78" s="244"/>
      <c r="O78" s="244"/>
      <c r="P78" s="244"/>
      <c r="Q78" s="244"/>
      <c r="R78" s="244"/>
      <c r="S78" s="244"/>
      <c r="T78" s="244"/>
      <c r="U78" s="244"/>
      <c r="V78" s="244"/>
      <c r="W78" s="244"/>
      <c r="X78" s="244"/>
      <c r="Y78" s="244"/>
      <c r="Z78" s="244"/>
    </row>
    <row r="79">
      <c r="A79" s="244"/>
      <c r="B79" s="244"/>
      <c r="C79" s="425"/>
      <c r="D79" s="244"/>
      <c r="E79" s="244"/>
      <c r="F79" s="425"/>
      <c r="G79" s="244"/>
      <c r="H79" s="244"/>
      <c r="I79" s="244"/>
      <c r="J79" s="244"/>
      <c r="K79" s="244"/>
      <c r="L79" s="244"/>
      <c r="M79" s="244"/>
      <c r="N79" s="244"/>
      <c r="O79" s="244"/>
      <c r="P79" s="244"/>
      <c r="Q79" s="244"/>
      <c r="R79" s="244"/>
      <c r="S79" s="244"/>
      <c r="T79" s="244"/>
      <c r="U79" s="244"/>
      <c r="V79" s="244"/>
      <c r="W79" s="244"/>
      <c r="X79" s="244"/>
      <c r="Y79" s="244"/>
      <c r="Z79" s="244"/>
    </row>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sheetData>
  <sheetProtection sheet="1" objects="1" scenarios="1"/>
  <mergeCells count="3">
    <mergeCell ref="B5:E5"/>
    <mergeCell ref="B4:E4"/>
    <mergeCell ref="B46:F47"/>
  </mergeCells>
  <phoneticPr fontId="0" type="noConversion"/>
  <hyperlinks>
    <hyperlink ref="H8" r:id="rId61" display="www.strglobal.com"/>
    <hyperlink ref="M8" r:id="rId62" display="www.str.com"/>
  </hyperlinks>
  <printOptions horizontalCentered="1" verticalCentered="1"/>
  <pageMargins left="0.25" right="0.25" top="0.3" bottom="0.3" header="0" footer="0"/>
  <pageSetup scale="72" orientation="landscape" r:id="rId3"/>
  <headerFooter alignWithMargins="0">
    <oddHeader/>
    <oddFooter/>
  </headerFooter>
  <drawing r:id="rId4"/>
</worksheet>
</file>

<file path=xl/worksheets/sheet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4">
    <pageSetUpPr fitToPage="1"/>
  </sheetPr>
  <dimension ref="A1:BK113"/>
  <sheetViews>
    <sheetView showGridLines="0" zoomScale="65" zoomScaleNormal="75" workbookViewId="0"/>
  </sheetViews>
  <sheetFormatPr defaultRowHeight="12.75"/>
  <cols>
    <col min="1" max="1" width="1" customWidth="1"/>
    <col min="2" max="2" width="21.7109375" customWidth="1"/>
    <col min="3" max="30" width="8.28515625" customWidth="1"/>
    <col min="31" max="31" width="1.7109375" customWidth="1"/>
    <col min="32" max="34" width="8.28515625" customWidth="1"/>
    <col min="35" max="35" width="2" customWidth="1"/>
    <col min="36" max="39" width="9.28515625" bestFit="1" customWidth="1"/>
  </cols>
  <sheetData>
    <row r="1" ht="36" customHeight="1">
      <c r="A1" s="6"/>
      <c r="B1" s="39" t="s">
        <v>121</v>
      </c>
      <c r="AJ1" s="244"/>
      <c r="AK1" s="244"/>
      <c r="AL1" s="244"/>
      <c r="AM1" s="244"/>
      <c r="AN1" s="244"/>
      <c r="AO1" s="244"/>
      <c r="AP1" s="244"/>
      <c r="AQ1" s="244"/>
      <c r="AR1" s="244"/>
      <c r="AS1" s="244"/>
      <c r="AT1" s="244"/>
      <c r="AU1" s="244"/>
      <c r="AV1" s="244"/>
      <c r="AW1" s="244"/>
      <c r="AX1" s="244"/>
      <c r="AY1" s="244"/>
      <c r="AZ1" s="244"/>
      <c r="BA1" s="244"/>
      <c r="BB1" s="244"/>
      <c r="BC1" s="244"/>
      <c r="BD1" s="244"/>
      <c r="BE1" s="244"/>
      <c r="BF1" s="244"/>
      <c r="BG1" s="244"/>
      <c r="BH1" s="244"/>
      <c r="BI1" s="244"/>
      <c r="BJ1" s="244"/>
      <c r="BK1" s="244"/>
    </row>
    <row r="2" ht="17.1" customHeight="1">
      <c r="A2" s="5"/>
      <c r="B2" s="10" t="s">
        <v>141</v>
      </c>
      <c r="AG2" s="216"/>
      <c r="AJ2" s="244"/>
      <c r="AK2" s="244"/>
      <c r="AL2" s="244"/>
      <c r="AM2" s="244"/>
      <c r="AN2" s="244"/>
      <c r="AO2" s="244"/>
      <c r="AP2" s="244"/>
      <c r="AQ2" s="244"/>
      <c r="AR2" s="244"/>
      <c r="AS2" s="244"/>
      <c r="AT2" s="244"/>
      <c r="AU2" s="244"/>
      <c r="AV2" s="244"/>
      <c r="AW2" s="244"/>
      <c r="AX2" s="244"/>
      <c r="AY2" s="244"/>
      <c r="AZ2" s="244"/>
      <c r="BA2" s="244"/>
      <c r="BB2" s="244"/>
      <c r="BC2" s="244"/>
      <c r="BD2" s="244"/>
      <c r="BE2" s="244"/>
      <c r="BF2" s="244"/>
      <c r="BG2" s="244"/>
      <c r="BH2" s="244"/>
      <c r="BI2" s="244"/>
      <c r="BJ2" s="244"/>
      <c r="BK2" s="244"/>
    </row>
    <row r="3" ht="17.1" customHeight="1">
      <c r="A3" s="5"/>
      <c r="B3" s="10" t="s">
        <v>142</v>
      </c>
      <c r="AG3" s="40"/>
      <c r="AJ3" s="244"/>
      <c r="AK3" s="244"/>
      <c r="AL3" s="244"/>
      <c r="AM3" s="244"/>
      <c r="AN3" s="244"/>
      <c r="AO3" s="244"/>
      <c r="AP3" s="244"/>
      <c r="AQ3" s="244"/>
      <c r="AR3" s="244"/>
      <c r="AS3" s="244"/>
      <c r="AT3" s="244"/>
      <c r="AU3" s="244"/>
      <c r="AV3" s="244"/>
      <c r="AW3" s="244"/>
      <c r="AX3" s="244"/>
      <c r="AY3" s="244"/>
      <c r="AZ3" s="244"/>
      <c r="BA3" s="244"/>
      <c r="BB3" s="244"/>
      <c r="BC3" s="244"/>
      <c r="BD3" s="244"/>
      <c r="BE3" s="244"/>
      <c r="BF3" s="244"/>
      <c r="BG3" s="244"/>
      <c r="BH3" s="244"/>
      <c r="BI3" s="244"/>
      <c r="BJ3" s="244"/>
      <c r="BK3" s="244"/>
    </row>
    <row r="4" ht="17.1" customHeight="1">
      <c r="A4" s="5"/>
      <c r="B4" s="4" t="s">
        <v>143</v>
      </c>
      <c r="R4" s="618" t="s">
        <v>146</v>
      </c>
      <c r="S4" s="618"/>
      <c r="T4" s="618"/>
      <c r="U4" s="618"/>
      <c r="V4" s="618"/>
      <c r="W4" s="618"/>
      <c r="X4" s="618"/>
      <c r="Y4" s="618"/>
      <c r="Z4" s="618"/>
      <c r="AA4" s="618"/>
      <c r="AB4" s="618"/>
      <c r="AC4" s="618"/>
      <c r="AD4" s="618"/>
      <c r="AE4" s="618"/>
      <c r="AF4" s="618"/>
      <c r="AG4" s="618"/>
      <c r="AJ4" s="244"/>
      <c r="AK4" s="244"/>
      <c r="AL4" s="244"/>
      <c r="AM4" s="244"/>
      <c r="AN4" s="244"/>
      <c r="AO4" s="244"/>
      <c r="AP4" s="244"/>
      <c r="AQ4" s="244"/>
      <c r="AR4" s="244"/>
      <c r="AS4" s="244"/>
      <c r="AT4" s="244"/>
      <c r="AU4" s="244"/>
      <c r="AV4" s="244"/>
      <c r="AW4" s="244"/>
      <c r="AX4" s="244"/>
      <c r="AY4" s="244"/>
      <c r="AZ4" s="244"/>
      <c r="BA4" s="244"/>
      <c r="BB4" s="244"/>
      <c r="BC4" s="244"/>
      <c r="BD4" s="244"/>
      <c r="BE4" s="244"/>
      <c r="BF4" s="244"/>
      <c r="BG4" s="244"/>
      <c r="BH4" s="244"/>
      <c r="BI4" s="244"/>
      <c r="BJ4" s="244"/>
      <c r="BK4" s="244"/>
    </row>
    <row r="5" ht="23.25">
      <c r="A5" s="5"/>
      <c r="AJ5" s="244"/>
      <c r="AK5" s="244"/>
      <c r="AL5" s="244"/>
      <c r="AM5" s="244"/>
      <c r="AN5" s="244"/>
      <c r="AO5" s="244"/>
      <c r="AP5" s="244"/>
      <c r="AQ5" s="244"/>
      <c r="AR5" s="244"/>
      <c r="AS5" s="244"/>
      <c r="AT5" s="244"/>
      <c r="AU5" s="244"/>
      <c r="AV5" s="244"/>
      <c r="AW5" s="244"/>
      <c r="AX5" s="244"/>
      <c r="AY5" s="244"/>
      <c r="AZ5" s="244"/>
      <c r="BA5" s="244"/>
      <c r="BB5" s="244"/>
      <c r="BC5" s="244"/>
      <c r="BD5" s="244"/>
      <c r="BE5" s="244"/>
      <c r="BF5" s="244"/>
      <c r="BG5" s="244"/>
      <c r="BH5" s="244"/>
      <c r="BI5" s="244"/>
      <c r="BJ5" s="244"/>
      <c r="BK5" s="244"/>
    </row>
    <row r="6" ht="23.25">
      <c r="A6" s="5"/>
      <c r="AJ6" s="244"/>
      <c r="AK6" s="244"/>
      <c r="AL6" s="244"/>
      <c r="AM6" s="244"/>
      <c r="AN6" s="244"/>
      <c r="AO6" s="244"/>
      <c r="AP6" s="244"/>
      <c r="AQ6" s="244"/>
      <c r="AR6" s="244"/>
      <c r="AS6" s="244"/>
      <c r="AT6" s="244"/>
      <c r="AU6" s="244"/>
      <c r="AV6" s="244"/>
      <c r="AW6" s="244"/>
      <c r="AX6" s="244"/>
      <c r="AY6" s="244"/>
      <c r="AZ6" s="244"/>
      <c r="BA6" s="244"/>
      <c r="BB6" s="244"/>
      <c r="BC6" s="244"/>
      <c r="BD6" s="244"/>
      <c r="BE6" s="244"/>
      <c r="BF6" s="244"/>
      <c r="BG6" s="244"/>
      <c r="BH6" s="244"/>
      <c r="BI6" s="244"/>
      <c r="BJ6" s="244"/>
      <c r="BK6" s="244"/>
    </row>
    <row r="7" ht="23.25">
      <c r="A7" s="5"/>
      <c r="Y7" s="26"/>
      <c r="Z7" s="26"/>
      <c r="AA7" s="26"/>
      <c r="AB7" s="26"/>
      <c r="AC7" s="26"/>
      <c r="AJ7" s="244"/>
      <c r="AK7" s="244"/>
      <c r="AL7" s="244"/>
      <c r="AM7" s="244"/>
      <c r="AN7" s="244"/>
      <c r="AO7" s="244"/>
      <c r="AP7" s="244"/>
      <c r="AQ7" s="244"/>
      <c r="AR7" s="244"/>
      <c r="AS7" s="244"/>
      <c r="AT7" s="244"/>
      <c r="AU7" s="244"/>
      <c r="AV7" s="244"/>
      <c r="AW7" s="244"/>
      <c r="AX7" s="244"/>
      <c r="AY7" s="244"/>
      <c r="AZ7" s="244"/>
      <c r="BA7" s="244"/>
      <c r="BB7" s="244"/>
      <c r="BC7" s="244"/>
      <c r="BD7" s="244"/>
      <c r="BE7" s="244"/>
      <c r="BF7" s="244"/>
      <c r="BG7" s="244"/>
      <c r="BH7" s="244"/>
      <c r="BI7" s="244"/>
      <c r="BJ7" s="244"/>
      <c r="BK7" s="244"/>
    </row>
    <row r="8" ht="23.25">
      <c r="A8" s="5"/>
      <c r="AJ8" s="244"/>
      <c r="AK8" s="244"/>
      <c r="AL8" s="244"/>
      <c r="AM8" s="244"/>
      <c r="AN8" s="244"/>
      <c r="AO8" s="244"/>
      <c r="AP8" s="244"/>
      <c r="AQ8" s="244"/>
      <c r="AR8" s="244"/>
      <c r="AS8" s="244"/>
      <c r="AT8" s="244"/>
      <c r="AU8" s="244"/>
      <c r="AV8" s="244"/>
      <c r="AW8" s="244"/>
      <c r="AX8" s="244"/>
      <c r="AY8" s="244"/>
      <c r="AZ8" s="244"/>
      <c r="BA8" s="244"/>
      <c r="BB8" s="244"/>
      <c r="BC8" s="244"/>
      <c r="BD8" s="244"/>
      <c r="BE8" s="244"/>
      <c r="BF8" s="244"/>
      <c r="BG8" s="244"/>
      <c r="BH8" s="244"/>
      <c r="BI8" s="244"/>
      <c r="BJ8" s="244"/>
      <c r="BK8" s="244"/>
    </row>
    <row r="9" ht="23.25">
      <c r="A9" s="5"/>
      <c r="AJ9" s="244"/>
      <c r="AK9" s="244"/>
      <c r="AL9" s="244"/>
      <c r="AM9" s="244"/>
      <c r="AN9" s="244"/>
      <c r="AO9" s="244"/>
      <c r="AP9" s="244"/>
      <c r="AQ9" s="244"/>
      <c r="AR9" s="244"/>
      <c r="AS9" s="244"/>
      <c r="AT9" s="244"/>
      <c r="AU9" s="244"/>
      <c r="AV9" s="244"/>
      <c r="AW9" s="244"/>
      <c r="AX9" s="244"/>
      <c r="AY9" s="244"/>
      <c r="AZ9" s="244"/>
      <c r="BA9" s="244"/>
      <c r="BB9" s="244"/>
      <c r="BC9" s="244"/>
      <c r="BD9" s="244"/>
      <c r="BE9" s="244"/>
      <c r="BF9" s="244"/>
      <c r="BG9" s="244"/>
      <c r="BH9" s="244"/>
      <c r="BI9" s="244"/>
      <c r="BJ9" s="244"/>
      <c r="BK9" s="244"/>
    </row>
    <row r="10" ht="23.25">
      <c r="A10" s="5"/>
      <c r="AJ10" s="244"/>
      <c r="AK10" s="244"/>
      <c r="AL10" s="244"/>
      <c r="AM10" s="244"/>
      <c r="AN10" s="244"/>
      <c r="AO10" s="244"/>
      <c r="AP10" s="244"/>
      <c r="AQ10" s="244"/>
      <c r="AR10" s="244"/>
      <c r="AS10" s="244"/>
      <c r="AT10" s="244"/>
      <c r="AU10" s="244"/>
      <c r="AV10" s="244"/>
      <c r="AW10" s="244"/>
      <c r="AX10" s="244"/>
      <c r="AY10" s="244"/>
      <c r="AZ10" s="244"/>
      <c r="BA10" s="244"/>
      <c r="BB10" s="244"/>
      <c r="BC10" s="244"/>
      <c r="BD10" s="244"/>
      <c r="BE10" s="244"/>
      <c r="BF10" s="244"/>
      <c r="BG10" s="244"/>
      <c r="BH10" s="244"/>
      <c r="BI10" s="244"/>
      <c r="BJ10" s="244"/>
      <c r="BK10" s="244"/>
    </row>
    <row r="11" ht="23.25">
      <c r="A11" s="5"/>
      <c r="AJ11" s="244"/>
      <c r="AK11" s="244"/>
      <c r="AL11" s="244"/>
      <c r="AM11" s="244"/>
      <c r="AN11" s="244"/>
      <c r="AO11" s="244"/>
      <c r="AP11" s="244"/>
      <c r="AQ11" s="244"/>
      <c r="AR11" s="244"/>
      <c r="AS11" s="244"/>
      <c r="AT11" s="244"/>
      <c r="AU11" s="244"/>
      <c r="AV11" s="244"/>
      <c r="AW11" s="244"/>
      <c r="AX11" s="244"/>
      <c r="AY11" s="244"/>
      <c r="AZ11" s="244"/>
      <c r="BA11" s="244"/>
      <c r="BB11" s="244"/>
      <c r="BC11" s="244"/>
      <c r="BD11" s="244"/>
      <c r="BE11" s="244"/>
      <c r="BF11" s="244"/>
      <c r="BG11" s="244"/>
      <c r="BH11" s="244"/>
      <c r="BI11" s="244"/>
      <c r="BJ11" s="244"/>
      <c r="BK11" s="244"/>
    </row>
    <row r="12" ht="23.25">
      <c r="A12" s="5"/>
      <c r="AJ12" s="244"/>
      <c r="AK12" s="244"/>
      <c r="AL12" s="244"/>
      <c r="AM12" s="244"/>
      <c r="AN12" s="244"/>
      <c r="AO12" s="244"/>
      <c r="AP12" s="244"/>
      <c r="AQ12" s="244"/>
      <c r="AR12" s="244"/>
      <c r="AS12" s="244"/>
      <c r="AT12" s="244"/>
      <c r="AU12" s="244"/>
      <c r="AV12" s="244"/>
      <c r="AW12" s="244"/>
      <c r="AX12" s="244"/>
      <c r="AY12" s="244"/>
      <c r="AZ12" s="244"/>
      <c r="BA12" s="244"/>
      <c r="BB12" s="244"/>
      <c r="BC12" s="244"/>
      <c r="BD12" s="244"/>
      <c r="BE12" s="244"/>
      <c r="BF12" s="244"/>
      <c r="BG12" s="244"/>
      <c r="BH12" s="244"/>
      <c r="BI12" s="244"/>
      <c r="BJ12" s="244"/>
      <c r="BK12" s="244"/>
    </row>
    <row r="13" ht="23.25">
      <c r="A13" s="5"/>
      <c r="AJ13" s="244"/>
      <c r="AK13" s="244"/>
      <c r="AL13" s="244"/>
      <c r="AM13" s="244"/>
      <c r="AN13" s="244"/>
      <c r="AO13" s="244"/>
      <c r="AP13" s="244"/>
      <c r="AQ13" s="244"/>
      <c r="AR13" s="244"/>
      <c r="AS13" s="244"/>
      <c r="AT13" s="244"/>
      <c r="AU13" s="244"/>
      <c r="AV13" s="244"/>
      <c r="AW13" s="244"/>
      <c r="AX13" s="244"/>
      <c r="AY13" s="244"/>
      <c r="AZ13" s="244"/>
      <c r="BA13" s="244"/>
      <c r="BB13" s="244"/>
      <c r="BC13" s="244"/>
      <c r="BD13" s="244"/>
      <c r="BE13" s="244"/>
      <c r="BF13" s="244"/>
      <c r="BG13" s="244"/>
      <c r="BH13" s="244"/>
      <c r="BI13" s="244"/>
      <c r="BJ13" s="244"/>
      <c r="BK13" s="244"/>
    </row>
    <row r="14" ht="23.25">
      <c r="A14" s="5"/>
      <c r="AJ14" s="244"/>
      <c r="AK14" s="244"/>
      <c r="AL14" s="244"/>
      <c r="AM14" s="244"/>
      <c r="AN14" s="244"/>
      <c r="AO14" s="244"/>
      <c r="AP14" s="244"/>
      <c r="AQ14" s="244"/>
      <c r="AR14" s="244"/>
      <c r="AS14" s="244"/>
      <c r="AT14" s="244"/>
      <c r="AU14" s="244"/>
      <c r="AV14" s="244"/>
      <c r="AW14" s="244"/>
      <c r="AX14" s="244"/>
      <c r="AY14" s="244"/>
      <c r="AZ14" s="244"/>
      <c r="BA14" s="244"/>
      <c r="BB14" s="244"/>
      <c r="BC14" s="244"/>
      <c r="BD14" s="244"/>
      <c r="BE14" s="244"/>
      <c r="BF14" s="244"/>
      <c r="BG14" s="244"/>
      <c r="BH14" s="244"/>
      <c r="BI14" s="244"/>
      <c r="BJ14" s="244"/>
      <c r="BK14" s="244"/>
    </row>
    <row r="15" ht="23.25">
      <c r="A15" s="5"/>
      <c r="AJ15" s="244"/>
      <c r="AK15" s="244"/>
      <c r="AL15" s="244"/>
      <c r="AM15" s="244"/>
      <c r="AN15" s="244"/>
      <c r="AO15" s="244"/>
      <c r="AP15" s="244"/>
      <c r="AQ15" s="244"/>
      <c r="AR15" s="244"/>
      <c r="AS15" s="244"/>
      <c r="AT15" s="244"/>
      <c r="AU15" s="244"/>
      <c r="AV15" s="244"/>
      <c r="AW15" s="244"/>
      <c r="AX15" s="244"/>
      <c r="AY15" s="244"/>
      <c r="AZ15" s="244"/>
      <c r="BA15" s="244"/>
      <c r="BB15" s="244"/>
      <c r="BC15" s="244"/>
      <c r="BD15" s="244"/>
      <c r="BE15" s="244"/>
      <c r="BF15" s="244"/>
      <c r="BG15" s="244"/>
      <c r="BH15" s="244"/>
      <c r="BI15" s="244"/>
      <c r="BJ15" s="244"/>
      <c r="BK15" s="244"/>
    </row>
    <row r="16" ht="23.25">
      <c r="A16" s="5"/>
      <c r="AJ16" s="244"/>
      <c r="AK16" s="244"/>
      <c r="AL16" s="244"/>
      <c r="AM16" s="244"/>
      <c r="AN16" s="244"/>
      <c r="AO16" s="244"/>
      <c r="AP16" s="244"/>
      <c r="AQ16" s="244"/>
      <c r="AR16" s="244"/>
      <c r="AS16" s="244"/>
      <c r="AT16" s="244"/>
      <c r="AU16" s="244"/>
      <c r="AV16" s="244"/>
      <c r="AW16" s="244"/>
      <c r="AX16" s="244"/>
      <c r="AY16" s="244"/>
      <c r="AZ16" s="244"/>
      <c r="BA16" s="244"/>
      <c r="BB16" s="244"/>
      <c r="BC16" s="244"/>
      <c r="BD16" s="244"/>
      <c r="BE16" s="244"/>
      <c r="BF16" s="244"/>
      <c r="BG16" s="244"/>
      <c r="BH16" s="244"/>
      <c r="BI16" s="244"/>
      <c r="BJ16" s="244"/>
      <c r="BK16" s="244"/>
    </row>
    <row r="17" ht="23.25">
      <c r="A17" s="5"/>
      <c r="AJ17" s="244"/>
      <c r="AK17" s="244"/>
      <c r="AL17" s="244"/>
      <c r="AM17" s="244"/>
      <c r="AN17" s="244"/>
      <c r="AO17" s="244"/>
      <c r="AP17" s="244"/>
      <c r="AQ17" s="244"/>
      <c r="AR17" s="244"/>
      <c r="AS17" s="244"/>
      <c r="AT17" s="244"/>
      <c r="AU17" s="244"/>
      <c r="AV17" s="244"/>
      <c r="AW17" s="244"/>
      <c r="AX17" s="244"/>
      <c r="AY17" s="244"/>
      <c r="AZ17" s="244"/>
      <c r="BA17" s="244"/>
      <c r="BB17" s="244"/>
      <c r="BC17" s="244"/>
      <c r="BD17" s="244"/>
      <c r="BE17" s="244"/>
      <c r="BF17" s="244"/>
      <c r="BG17" s="244"/>
      <c r="BH17" s="244"/>
      <c r="BI17" s="244"/>
      <c r="BJ17" s="244"/>
      <c r="BK17" s="244"/>
    </row>
    <row r="18" ht="23.25">
      <c r="A18" s="5"/>
      <c r="AJ18" s="244"/>
      <c r="AK18" s="244"/>
      <c r="AL18" s="244"/>
      <c r="AM18" s="244"/>
      <c r="AN18" s="244"/>
      <c r="AO18" s="244"/>
      <c r="AP18" s="244"/>
      <c r="AQ18" s="244"/>
      <c r="AR18" s="244"/>
      <c r="AS18" s="244"/>
      <c r="AT18" s="244"/>
      <c r="AU18" s="244"/>
      <c r="AV18" s="244"/>
      <c r="AW18" s="244"/>
      <c r="AX18" s="244"/>
      <c r="AY18" s="244"/>
      <c r="AZ18" s="244"/>
      <c r="BA18" s="244"/>
      <c r="BB18" s="244"/>
      <c r="BC18" s="244"/>
      <c r="BD18" s="244"/>
      <c r="BE18" s="244"/>
      <c r="BF18" s="244"/>
      <c r="BG18" s="244"/>
      <c r="BH18" s="244"/>
      <c r="BI18" s="244"/>
      <c r="BJ18" s="244"/>
      <c r="BK18" s="244"/>
    </row>
    <row r="19" ht="23.25">
      <c r="A19" s="5"/>
      <c r="AJ19" s="244"/>
      <c r="AK19" s="244"/>
      <c r="AL19" s="244"/>
      <c r="AM19" s="244"/>
      <c r="AN19" s="244"/>
      <c r="AO19" s="244"/>
      <c r="AP19" s="244"/>
      <c r="AQ19" s="244"/>
      <c r="AR19" s="244"/>
      <c r="AS19" s="244"/>
      <c r="AT19" s="244"/>
      <c r="AU19" s="244"/>
      <c r="AV19" s="244"/>
      <c r="AW19" s="244"/>
      <c r="AX19" s="244"/>
      <c r="AY19" s="244"/>
      <c r="AZ19" s="244"/>
      <c r="BA19" s="244"/>
      <c r="BB19" s="244"/>
      <c r="BC19" s="244"/>
      <c r="BD19" s="244"/>
      <c r="BE19" s="244"/>
      <c r="BF19" s="244"/>
      <c r="BG19" s="244"/>
      <c r="BH19" s="244"/>
      <c r="BI19" s="244"/>
      <c r="BJ19" s="244"/>
      <c r="BK19" s="244"/>
    </row>
    <row r="20" ht="11.25" customHeight="1">
      <c r="A20" s="5"/>
      <c r="AJ20" s="244"/>
      <c r="AK20" s="244"/>
      <c r="AL20" s="244"/>
      <c r="AM20" s="244"/>
      <c r="AN20" s="244"/>
      <c r="AO20" s="244"/>
      <c r="AP20" s="244"/>
      <c r="AQ20" s="244"/>
      <c r="AR20" s="244"/>
      <c r="AS20" s="244"/>
      <c r="AT20" s="244"/>
      <c r="AU20" s="244"/>
      <c r="AV20" s="244"/>
      <c r="AW20" s="244"/>
      <c r="AX20" s="244"/>
      <c r="AY20" s="244"/>
      <c r="AZ20" s="244"/>
      <c r="BA20" s="244"/>
      <c r="BB20" s="244"/>
      <c r="BC20" s="244"/>
      <c r="BD20" s="244"/>
      <c r="BE20" s="244"/>
      <c r="BF20" s="244"/>
      <c r="BG20" s="244"/>
      <c r="BH20" s="244"/>
      <c r="BI20" s="244"/>
      <c r="BJ20" s="244"/>
      <c r="BK20" s="244"/>
    </row>
    <row r="21" ht="20.1" customHeight="1" thickBot="1">
      <c r="AJ21" s="244"/>
      <c r="AK21" s="244"/>
      <c r="AL21" s="244"/>
      <c r="AM21" s="244"/>
      <c r="AN21" s="244"/>
      <c r="AO21" s="244"/>
      <c r="AP21" s="244"/>
      <c r="AQ21" s="244"/>
      <c r="AR21" s="244"/>
      <c r="AS21" s="244"/>
      <c r="AT21" s="244"/>
      <c r="AU21" s="244"/>
      <c r="AV21" s="244"/>
      <c r="AW21" s="244"/>
      <c r="AX21" s="244"/>
      <c r="AY21" s="244"/>
      <c r="AZ21" s="244"/>
      <c r="BA21" s="244"/>
      <c r="BB21" s="244"/>
      <c r="BC21" s="244"/>
      <c r="BD21" s="244"/>
      <c r="BE21" s="244"/>
      <c r="BF21" s="244"/>
      <c r="BG21" s="244"/>
      <c r="BH21" s="244"/>
      <c r="BI21" s="244"/>
      <c r="BJ21" s="244"/>
      <c r="BK21" s="244"/>
    </row>
    <row r="22" ht="18" customHeight="1">
      <c r="A22" s="8"/>
      <c r="B22" s="29"/>
      <c r="X22" s="517" t="s">
        <v>72</v>
      </c>
      <c r="Y22" s="517"/>
      <c r="Z22" s="517"/>
      <c r="AA22" s="517"/>
      <c r="AB22" s="517"/>
      <c r="AC22" s="517"/>
      <c r="AD22" s="617"/>
      <c r="AJ22" s="244"/>
      <c r="AK22" s="244"/>
      <c r="AL22" s="244"/>
      <c r="AM22" s="244"/>
      <c r="AN22" s="244"/>
      <c r="AO22" s="244"/>
      <c r="AP22" s="244"/>
      <c r="AQ22" s="244"/>
      <c r="AR22" s="244"/>
      <c r="AS22" s="244"/>
      <c r="AT22" s="244"/>
      <c r="AU22" s="244"/>
      <c r="AV22" s="244"/>
      <c r="AW22" s="244"/>
      <c r="AX22" s="244"/>
      <c r="AY22" s="244"/>
      <c r="AZ22" s="244"/>
      <c r="BA22" s="244"/>
      <c r="BB22" s="244"/>
      <c r="BC22" s="244"/>
      <c r="BD22" s="244"/>
      <c r="BE22" s="244"/>
      <c r="BF22" s="244"/>
      <c r="BG22" s="244"/>
      <c r="BH22" s="244"/>
      <c r="BI22" s="244"/>
      <c r="BJ22" s="244"/>
      <c r="BK22" s="244"/>
    </row>
    <row r="23" s="23" customFormat="1" ht="16.5">
      <c r="C23" s="50" t="s">
        <v>49</v>
      </c>
      <c r="D23" s="50" t="s">
        <v>47</v>
      </c>
      <c r="E23" s="50" t="s">
        <v>48</v>
      </c>
      <c r="F23" s="50" t="s">
        <v>50</v>
      </c>
      <c r="G23" s="50" t="s">
        <v>51</v>
      </c>
      <c r="H23" s="50" t="s">
        <v>52</v>
      </c>
      <c r="I23" s="50" t="s">
        <v>53</v>
      </c>
      <c r="J23" s="50" t="s">
        <v>49</v>
      </c>
      <c r="K23" s="50" t="s">
        <v>47</v>
      </c>
      <c r="L23" s="50" t="s">
        <v>48</v>
      </c>
      <c r="M23" s="50" t="s">
        <v>50</v>
      </c>
      <c r="N23" s="50" t="s">
        <v>51</v>
      </c>
      <c r="O23" s="50" t="s">
        <v>52</v>
      </c>
      <c r="P23" s="50" t="s">
        <v>53</v>
      </c>
      <c r="Q23" s="50" t="s">
        <v>49</v>
      </c>
      <c r="R23" s="50" t="s">
        <v>47</v>
      </c>
      <c r="S23" s="50" t="s">
        <v>48</v>
      </c>
      <c r="T23" s="50" t="s">
        <v>50</v>
      </c>
      <c r="U23" s="50" t="s">
        <v>51</v>
      </c>
      <c r="V23" s="50" t="s">
        <v>52</v>
      </c>
      <c r="W23" s="50" t="s">
        <v>53</v>
      </c>
      <c r="X23" s="51" t="s">
        <v>49</v>
      </c>
      <c r="Y23" s="50" t="s">
        <v>47</v>
      </c>
      <c r="Z23" s="50" t="s">
        <v>48</v>
      </c>
      <c r="AA23" s="50" t="s">
        <v>50</v>
      </c>
      <c r="AB23" s="50" t="s">
        <v>51</v>
      </c>
      <c r="AC23" s="50" t="s">
        <v>52</v>
      </c>
      <c r="AD23" s="52" t="s">
        <v>53</v>
      </c>
      <c r="AE23" s="4"/>
      <c r="AI23" s="4"/>
      <c r="AJ23" s="261"/>
      <c r="AK23" s="261"/>
      <c r="AL23" s="261"/>
      <c r="AM23" s="261"/>
      <c r="AN23" s="262"/>
      <c r="AO23" s="262"/>
      <c r="AP23" s="262"/>
      <c r="AQ23" s="262"/>
      <c r="AR23" s="262"/>
      <c r="AS23" s="262"/>
      <c r="AT23" s="262"/>
      <c r="AU23" s="262"/>
      <c r="AV23" s="262"/>
      <c r="AW23" s="262"/>
      <c r="AX23" s="262"/>
      <c r="AY23" s="262"/>
      <c r="AZ23" s="262"/>
      <c r="BA23" s="262"/>
      <c r="BB23" s="262"/>
      <c r="BC23" s="262"/>
      <c r="BD23" s="262"/>
      <c r="BE23" s="262"/>
      <c r="BF23" s="262"/>
      <c r="BG23" s="262"/>
      <c r="BH23" s="262"/>
      <c r="BI23" s="262"/>
      <c r="BJ23" s="262"/>
      <c r="BK23" s="262"/>
    </row>
    <row r="24" s="41" customFormat="1" ht="18">
      <c r="B24" s="417" t="s">
        <v>75</v>
      </c>
      <c r="C24" s="309" t="s">
        <v>148</v>
      </c>
      <c r="D24" s="310"/>
      <c r="E24" s="310"/>
      <c r="F24" s="310"/>
      <c r="G24" s="310"/>
      <c r="H24" s="310"/>
      <c r="I24" s="310"/>
      <c r="J24" s="310"/>
      <c r="K24" s="310"/>
      <c r="L24" s="656" t="s">
        <v>145</v>
      </c>
      <c r="M24" s="310"/>
      <c r="N24" s="310"/>
      <c r="O24" s="310"/>
      <c r="P24" s="310"/>
      <c r="Q24" s="310"/>
      <c r="R24" s="310"/>
      <c r="S24" s="311"/>
      <c r="T24" s="311"/>
      <c r="U24" s="311"/>
      <c r="V24" s="311"/>
      <c r="W24" s="311"/>
      <c r="X24" s="312"/>
      <c r="Y24" s="311"/>
      <c r="Z24" s="311"/>
      <c r="AA24" s="311"/>
      <c r="AB24" s="311"/>
      <c r="AC24" s="311"/>
      <c r="AD24" s="336"/>
      <c r="AE24" s="25"/>
      <c r="AF24" s="316" t="s">
        <v>58</v>
      </c>
      <c r="AG24" s="317" t="s">
        <v>59</v>
      </c>
      <c r="AH24" s="318" t="s">
        <v>59</v>
      </c>
      <c r="AI24" s="25"/>
      <c r="AJ24" s="255"/>
      <c r="AK24" s="255"/>
      <c r="AL24" s="255"/>
      <c r="AM24" s="255"/>
      <c r="AN24" s="263"/>
      <c r="AO24" s="263"/>
      <c r="AP24" s="263"/>
      <c r="AQ24" s="263"/>
      <c r="AR24" s="263"/>
      <c r="AS24" s="263"/>
      <c r="AT24" s="263"/>
      <c r="AU24" s="263"/>
      <c r="AV24" s="263"/>
      <c r="AW24" s="263"/>
      <c r="AX24" s="263"/>
      <c r="AY24" s="263"/>
      <c r="AZ24" s="263"/>
      <c r="BA24" s="263"/>
      <c r="BB24" s="263"/>
      <c r="BC24" s="263"/>
      <c r="BD24" s="263"/>
      <c r="BE24" s="263"/>
      <c r="BF24" s="263"/>
      <c r="BG24" s="263"/>
      <c r="BH24" s="263"/>
      <c r="BI24" s="263"/>
      <c r="BJ24" s="263"/>
      <c r="BK24" s="263"/>
    </row>
    <row r="25" s="42" customFormat="1">
      <c r="C25" s="322">
        <v>22</v>
      </c>
      <c r="D25" s="42">
        <v>23</v>
      </c>
      <c r="E25" s="42">
        <v>24</v>
      </c>
      <c r="F25" s="42">
        <v>25</v>
      </c>
      <c r="G25" s="42">
        <v>26</v>
      </c>
      <c r="H25" s="42">
        <v>27</v>
      </c>
      <c r="I25" s="42">
        <v>28</v>
      </c>
      <c r="J25" s="42">
        <v>29</v>
      </c>
      <c r="K25" s="42">
        <v>30</v>
      </c>
      <c r="L25" s="657">
        <v>1</v>
      </c>
      <c r="M25" s="42">
        <v>2</v>
      </c>
      <c r="N25" s="42">
        <v>3</v>
      </c>
      <c r="O25" s="42">
        <v>4</v>
      </c>
      <c r="P25" s="42">
        <v>5</v>
      </c>
      <c r="Q25" s="42">
        <v>6</v>
      </c>
      <c r="R25" s="42">
        <v>7</v>
      </c>
      <c r="S25" s="42">
        <v>8</v>
      </c>
      <c r="T25" s="42">
        <v>9</v>
      </c>
      <c r="U25" s="42">
        <v>10</v>
      </c>
      <c r="V25" s="42">
        <v>11</v>
      </c>
      <c r="W25" s="42">
        <v>12</v>
      </c>
      <c r="X25" s="323">
        <v>13</v>
      </c>
      <c r="Y25" s="42">
        <v>14</v>
      </c>
      <c r="Z25" s="42">
        <v>15</v>
      </c>
      <c r="AA25" s="42">
        <v>16</v>
      </c>
      <c r="AB25" s="42">
        <v>17</v>
      </c>
      <c r="AC25" s="42">
        <v>18</v>
      </c>
      <c r="AD25" s="337">
        <v>19</v>
      </c>
      <c r="AE25" s="25"/>
      <c r="AF25" s="324" t="s">
        <v>60</v>
      </c>
      <c r="AG25" s="325">
        <v>28</v>
      </c>
      <c r="AH25" s="326" t="s">
        <v>31</v>
      </c>
      <c r="AI25" s="25"/>
      <c r="AJ25" s="255"/>
      <c r="AK25" s="255"/>
      <c r="AL25" s="255"/>
      <c r="AM25" s="255"/>
      <c r="AN25" s="264"/>
      <c r="AO25" s="264"/>
      <c r="AP25" s="264"/>
      <c r="AQ25" s="264"/>
      <c r="AR25" s="264"/>
      <c r="AS25" s="264"/>
      <c r="AT25" s="264"/>
      <c r="AU25" s="264"/>
      <c r="AV25" s="264"/>
      <c r="AW25" s="264"/>
      <c r="AX25" s="264"/>
      <c r="AY25" s="264"/>
      <c r="AZ25" s="264"/>
      <c r="BA25" s="264"/>
      <c r="BB25" s="264"/>
      <c r="BC25" s="264"/>
      <c r="BD25" s="264"/>
      <c r="BE25" s="264"/>
      <c r="BF25" s="264"/>
      <c r="BG25" s="264"/>
      <c r="BH25" s="264"/>
      <c r="BI25" s="264"/>
      <c r="BJ25" s="264"/>
      <c r="BK25" s="264"/>
    </row>
    <row r="26" ht="14.25" customHeight="1">
      <c r="B26" s="46" t="s">
        <v>32</v>
      </c>
      <c r="C26" s="444">
        <v>23.655913978494623655913978490</v>
      </c>
      <c r="D26" s="445">
        <v>54.838709677419354838709677420</v>
      </c>
      <c r="E26" s="445">
        <v>56.989247311827956989247311830</v>
      </c>
      <c r="F26" s="445">
        <v>57.526881720430107526881720430</v>
      </c>
      <c r="G26" s="445">
        <v>39.247311827956989247311827960</v>
      </c>
      <c r="H26" s="445">
        <v>65.591397849462365591397849460</v>
      </c>
      <c r="I26" s="445">
        <v>57.526881720430107526881720430</v>
      </c>
      <c r="J26" s="445">
        <v>26.881720430107526881720430110</v>
      </c>
      <c r="K26" s="445">
        <v>26.344086021505376344086021510</v>
      </c>
      <c r="L26" s="658">
        <v>25.268817204301075268817204300</v>
      </c>
      <c r="M26" s="445">
        <v>26.881720430107526881720430110</v>
      </c>
      <c r="N26" s="445">
        <v>24.731182795698924731182795700</v>
      </c>
      <c r="O26" s="445">
        <v>38.709677419354838709677419350</v>
      </c>
      <c r="P26" s="445">
        <v>40.322580645161290322580645160</v>
      </c>
      <c r="Q26" s="445">
        <v>16.666666666666666666666666670</v>
      </c>
      <c r="R26" s="445">
        <v>23.655913978494623655913978490</v>
      </c>
      <c r="S26" s="445">
        <v>47.311827956989247311827956990</v>
      </c>
      <c r="T26" s="445">
        <v>47.849462365591397849462365590</v>
      </c>
      <c r="U26" s="445">
        <v>36.559139784946236559139784950</v>
      </c>
      <c r="V26" s="445">
        <v>45.161290322580645161290322580</v>
      </c>
      <c r="W26" s="445">
        <v>56.989247311827956989247311830</v>
      </c>
      <c r="X26" s="446">
        <v>31.182795698924731182795698920</v>
      </c>
      <c r="Y26" s="445">
        <v>29.569892473118279569892473120</v>
      </c>
      <c r="Z26" s="445">
        <v>38.709677419354838709677419350</v>
      </c>
      <c r="AA26" s="445">
        <v>43.010752688172043010752688170</v>
      </c>
      <c r="AB26" s="445">
        <v>35.483870967741935483870967740</v>
      </c>
      <c r="AC26" s="445">
        <v>53.763440860215053763440860220</v>
      </c>
      <c r="AD26" s="447">
        <v>52.688172043010752688172043010</v>
      </c>
      <c r="AE26" s="448"/>
      <c r="AF26" s="444">
        <v>40.629800307219662058371735790</v>
      </c>
      <c r="AG26" s="445">
        <v>40.111367127496159754224270350</v>
      </c>
      <c r="AH26" s="449">
        <v>37.606112054329371816638370120</v>
      </c>
      <c r="AJ26" s="244"/>
      <c r="AK26" s="244"/>
      <c r="AL26" s="244"/>
      <c r="AM26" s="244"/>
      <c r="AN26" s="244"/>
      <c r="AO26" s="244"/>
      <c r="AP26" s="244"/>
      <c r="AQ26" s="244"/>
      <c r="AR26" s="244"/>
      <c r="AS26" s="244"/>
      <c r="AT26" s="244"/>
      <c r="AU26" s="244"/>
      <c r="AV26" s="244"/>
      <c r="AW26" s="244"/>
      <c r="AX26" s="244"/>
      <c r="AY26" s="244"/>
      <c r="AZ26" s="244"/>
      <c r="BA26" s="244"/>
      <c r="BB26" s="244"/>
      <c r="BC26" s="244"/>
      <c r="BD26" s="244"/>
      <c r="BE26" s="244"/>
      <c r="BF26" s="244"/>
      <c r="BG26" s="244"/>
      <c r="BH26" s="244"/>
      <c r="BI26" s="244"/>
      <c r="BJ26" s="244"/>
      <c r="BK26" s="244"/>
    </row>
    <row r="27" ht="14.25" customHeight="1">
      <c r="B27" s="47" t="s">
        <v>26</v>
      </c>
      <c r="C27" s="327">
        <v>41.804788213627992633517495400</v>
      </c>
      <c r="D27" s="81">
        <v>51.565377532228360957642725600</v>
      </c>
      <c r="E27" s="81">
        <v>61.510128913443830570902394110</v>
      </c>
      <c r="F27" s="81">
        <v>71.546961325966850828729281770</v>
      </c>
      <c r="G27" s="81">
        <v>63.364293085655314757481940140</v>
      </c>
      <c r="H27" s="81">
        <v>70.441988950276243093922651930</v>
      </c>
      <c r="I27" s="81">
        <v>71.731123388581952117863720070</v>
      </c>
      <c r="J27" s="81">
        <v>34.346224677716390423572744010</v>
      </c>
      <c r="K27" s="81">
        <v>41.252302025782688766114180480</v>
      </c>
      <c r="L27" s="659">
        <v>46.316758747697974217311233890</v>
      </c>
      <c r="M27" s="81">
        <v>39.134438305709023941068139960</v>
      </c>
      <c r="N27" s="81">
        <v>40.976058931860036832412523020</v>
      </c>
      <c r="O27" s="81">
        <v>55.340699815837937384898710870</v>
      </c>
      <c r="P27" s="81">
        <v>63.259668508287292817679558010</v>
      </c>
      <c r="Q27" s="81">
        <v>34.254143646408839779005524860</v>
      </c>
      <c r="R27" s="81">
        <v>46.685082872928176795580110500</v>
      </c>
      <c r="S27" s="81">
        <v>76.243093922651933701657458560</v>
      </c>
      <c r="T27" s="81">
        <v>76.703499079189686924493554330</v>
      </c>
      <c r="U27" s="81">
        <v>64.272559852670349907918968690</v>
      </c>
      <c r="V27" s="81">
        <v>70.994475138121546961325966850</v>
      </c>
      <c r="W27" s="81">
        <v>70.902394106813996316758747700</v>
      </c>
      <c r="X27" s="82">
        <v>41.988950276243093922651933700</v>
      </c>
      <c r="Y27" s="81">
        <v>48.434622467771639042357274400</v>
      </c>
      <c r="Z27" s="81">
        <v>67.034990791896869244935543280</v>
      </c>
      <c r="AA27" s="81">
        <v>56.813996316758747697974217310</v>
      </c>
      <c r="AB27" s="81">
        <v>54.788213627992633517495395950</v>
      </c>
      <c r="AC27" s="81">
        <v>73.388581952117863720073664830</v>
      </c>
      <c r="AD27" s="83">
        <v>71.639042357274401473296500920</v>
      </c>
      <c r="AE27" s="88"/>
      <c r="AF27" s="327">
        <v>59.155485398579321231254932910</v>
      </c>
      <c r="AG27" s="81">
        <v>57.383373529696845298165791470</v>
      </c>
      <c r="AH27" s="328">
        <v>57.851119511485897063099738300</v>
      </c>
      <c r="AJ27" s="244"/>
      <c r="AK27" s="244"/>
      <c r="AL27" s="244"/>
      <c r="AM27" s="244"/>
      <c r="AN27" s="244"/>
      <c r="AO27" s="244"/>
      <c r="AP27" s="244"/>
      <c r="AQ27" s="244"/>
      <c r="AR27" s="244"/>
      <c r="AS27" s="244"/>
      <c r="AT27" s="244"/>
      <c r="AU27" s="244"/>
      <c r="AV27" s="244"/>
      <c r="AW27" s="244"/>
      <c r="AX27" s="244"/>
      <c r="AY27" s="244"/>
      <c r="AZ27" s="244"/>
      <c r="BA27" s="244"/>
      <c r="BB27" s="244"/>
      <c r="BC27" s="244"/>
      <c r="BD27" s="244"/>
      <c r="BE27" s="244"/>
      <c r="BF27" s="244"/>
      <c r="BG27" s="244"/>
      <c r="BH27" s="244"/>
      <c r="BI27" s="244"/>
      <c r="BJ27" s="244"/>
      <c r="BK27" s="244"/>
    </row>
    <row r="28" ht="14.25" customHeight="1">
      <c r="A28" s="24"/>
      <c r="B28" s="49" t="s">
        <v>147</v>
      </c>
      <c r="C28" s="450">
        <v>58.503401360544217687074829930</v>
      </c>
      <c r="D28" s="451">
        <v>78.730158730158730158730158730</v>
      </c>
      <c r="E28" s="451">
        <v>85.07936507936507936507936508</v>
      </c>
      <c r="F28" s="451">
        <v>83.62811791383219954648526077</v>
      </c>
      <c r="G28" s="451">
        <v>74.920634920634920634920634920</v>
      </c>
      <c r="H28" s="451">
        <v>76.598639455782312925170068030</v>
      </c>
      <c r="I28" s="451">
        <v>72.653061224489795918367346940</v>
      </c>
      <c r="J28" s="451">
        <v>55.510204081632653061224489800</v>
      </c>
      <c r="K28" s="451">
        <v>64.353741496598639455782312930</v>
      </c>
      <c r="L28" s="660">
        <v>65.668934240362811791383219950</v>
      </c>
      <c r="M28" s="451">
        <v>57.142857142857142857142857140</v>
      </c>
      <c r="N28" s="451">
        <v>54.512471655328798185941043080</v>
      </c>
      <c r="O28" s="451">
        <v>71.020408163265306122448979590</v>
      </c>
      <c r="P28" s="451">
        <v>73.650793650793650793650793650</v>
      </c>
      <c r="Q28" s="451">
        <v>53.469387755102040816326530610</v>
      </c>
      <c r="R28" s="451">
        <v>72.154195011337868480725623580</v>
      </c>
      <c r="S28" s="451">
        <v>88.66213151927437641723356009</v>
      </c>
      <c r="T28" s="451">
        <v>89.34240362811791383219954649</v>
      </c>
      <c r="U28" s="451">
        <v>81.49659863945578231292517007</v>
      </c>
      <c r="V28" s="451">
        <v>77.959183673469387755102040820</v>
      </c>
      <c r="W28" s="451">
        <v>76.145124716553287981859410430</v>
      </c>
      <c r="X28" s="452">
        <v>53.922902494331065759637188210</v>
      </c>
      <c r="Y28" s="451">
        <v>77.596371882086167800453514740</v>
      </c>
      <c r="Z28" s="451">
        <v>86.75736961451247165532879819</v>
      </c>
      <c r="AA28" s="451">
        <v>79.047619047619047619047619050</v>
      </c>
      <c r="AB28" s="451">
        <v>72.154195011337868480725623580</v>
      </c>
      <c r="AC28" s="451">
        <v>77.052154195011337868480725620</v>
      </c>
      <c r="AD28" s="453">
        <v>75.691609977324263038548752830</v>
      </c>
      <c r="AE28" s="448"/>
      <c r="AF28" s="450">
        <v>74.603174603174603174603174600</v>
      </c>
      <c r="AG28" s="451">
        <v>72.622287010042112082928409460</v>
      </c>
      <c r="AH28" s="454">
        <v>72.812984843060031029955841990</v>
      </c>
      <c r="AJ28" s="244"/>
      <c r="AK28" s="244"/>
      <c r="AL28" s="244"/>
      <c r="AM28" s="244"/>
      <c r="AN28" s="244"/>
      <c r="AO28" s="244"/>
      <c r="AP28" s="244"/>
      <c r="AQ28" s="244"/>
      <c r="AR28" s="244"/>
      <c r="AS28" s="244"/>
      <c r="AT28" s="244"/>
      <c r="AU28" s="244"/>
      <c r="AV28" s="244"/>
      <c r="AW28" s="244"/>
      <c r="AX28" s="244"/>
      <c r="AY28" s="244"/>
      <c r="AZ28" s="244"/>
      <c r="BA28" s="244"/>
      <c r="BB28" s="244"/>
      <c r="BC28" s="244"/>
      <c r="BD28" s="244"/>
      <c r="BE28" s="244"/>
      <c r="BF28" s="244"/>
      <c r="BG28" s="244"/>
      <c r="BH28" s="244"/>
      <c r="BI28" s="244"/>
      <c r="BJ28" s="244"/>
      <c r="BK28" s="244"/>
    </row>
    <row r="29" ht="12" customHeight="1">
      <c r="B29" s="4"/>
      <c r="X29" s="27"/>
      <c r="AD29" s="28"/>
      <c r="AF29" s="22"/>
      <c r="AG29" s="22"/>
      <c r="AH29" s="22"/>
      <c r="AJ29" s="244"/>
      <c r="AK29" s="244"/>
      <c r="AL29" s="244"/>
      <c r="AM29" s="244"/>
      <c r="AN29" s="244"/>
      <c r="AO29" s="244"/>
      <c r="AP29" s="244"/>
      <c r="AQ29" s="244"/>
      <c r="AR29" s="244"/>
      <c r="AS29" s="244"/>
      <c r="AT29" s="244"/>
      <c r="AU29" s="244"/>
      <c r="AV29" s="244"/>
      <c r="AW29" s="244"/>
      <c r="AX29" s="244"/>
      <c r="AY29" s="244"/>
      <c r="AZ29" s="244"/>
      <c r="BA29" s="244"/>
      <c r="BB29" s="244"/>
      <c r="BC29" s="244"/>
      <c r="BD29" s="244"/>
      <c r="BE29" s="244"/>
      <c r="BF29" s="244"/>
      <c r="BG29" s="244"/>
      <c r="BH29" s="244"/>
      <c r="BI29" s="244"/>
      <c r="BJ29" s="244"/>
      <c r="BK29" s="244"/>
    </row>
    <row r="30" ht="18">
      <c r="B30" s="29"/>
      <c r="X30" s="27"/>
      <c r="AD30" s="28"/>
      <c r="AF30" s="22"/>
      <c r="AG30" s="22"/>
      <c r="AH30" s="22"/>
      <c r="AJ30" s="244"/>
      <c r="AK30" s="244"/>
      <c r="AL30" s="244"/>
      <c r="AM30" s="244"/>
      <c r="AN30" s="244"/>
      <c r="AO30" s="244"/>
      <c r="AP30" s="244"/>
      <c r="AQ30" s="244"/>
      <c r="AR30" s="244"/>
      <c r="AS30" s="244"/>
      <c r="AT30" s="244"/>
      <c r="AU30" s="244"/>
      <c r="AV30" s="244"/>
      <c r="AW30" s="244"/>
      <c r="AX30" s="244"/>
      <c r="AY30" s="244"/>
      <c r="AZ30" s="244"/>
      <c r="BA30" s="244"/>
      <c r="BB30" s="244"/>
      <c r="BC30" s="244"/>
      <c r="BD30" s="244"/>
      <c r="BE30" s="244"/>
      <c r="BF30" s="244"/>
      <c r="BG30" s="244"/>
      <c r="BH30" s="244"/>
      <c r="BI30" s="244"/>
      <c r="BJ30" s="244"/>
      <c r="BK30" s="244"/>
    </row>
    <row r="31" s="41" customFormat="1" ht="18">
      <c r="B31" s="417" t="s">
        <v>76</v>
      </c>
      <c r="C31" s="309" t="s">
        <v>148</v>
      </c>
      <c r="D31" s="310"/>
      <c r="E31" s="310"/>
      <c r="F31" s="310"/>
      <c r="G31" s="310"/>
      <c r="H31" s="310"/>
      <c r="I31" s="310"/>
      <c r="J31" s="310"/>
      <c r="K31" s="310"/>
      <c r="L31" s="656" t="s">
        <v>145</v>
      </c>
      <c r="M31" s="310"/>
      <c r="N31" s="310"/>
      <c r="O31" s="310"/>
      <c r="P31" s="310"/>
      <c r="Q31" s="310"/>
      <c r="R31" s="310"/>
      <c r="S31" s="311"/>
      <c r="T31" s="311"/>
      <c r="U31" s="311"/>
      <c r="V31" s="311"/>
      <c r="W31" s="311"/>
      <c r="X31" s="312"/>
      <c r="Y31" s="311"/>
      <c r="Z31" s="311"/>
      <c r="AA31" s="311"/>
      <c r="AB31" s="311"/>
      <c r="AC31" s="311"/>
      <c r="AD31" s="336"/>
      <c r="AE31" s="25"/>
      <c r="AF31" s="316" t="s">
        <v>58</v>
      </c>
      <c r="AG31" s="317" t="s">
        <v>59</v>
      </c>
      <c r="AH31" s="318" t="s">
        <v>59</v>
      </c>
      <c r="AI31" s="25"/>
      <c r="AJ31" s="255"/>
      <c r="AK31" s="255"/>
      <c r="AL31" s="255"/>
      <c r="AM31" s="255"/>
      <c r="AN31" s="263"/>
      <c r="AO31" s="263"/>
      <c r="AP31" s="263"/>
      <c r="AQ31" s="263"/>
      <c r="AR31" s="263"/>
      <c r="AS31" s="263"/>
      <c r="AT31" s="263"/>
      <c r="AU31" s="263"/>
      <c r="AV31" s="263"/>
      <c r="AW31" s="263"/>
      <c r="AX31" s="263"/>
      <c r="AY31" s="263"/>
      <c r="AZ31" s="263"/>
      <c r="BA31" s="263"/>
      <c r="BB31" s="263"/>
      <c r="BC31" s="263"/>
      <c r="BD31" s="263"/>
      <c r="BE31" s="263"/>
      <c r="BF31" s="263"/>
      <c r="BG31" s="263"/>
      <c r="BH31" s="263"/>
      <c r="BI31" s="263"/>
      <c r="BJ31" s="263"/>
      <c r="BK31" s="263"/>
    </row>
    <row r="32" s="42" customFormat="1">
      <c r="C32" s="322">
        <v>22</v>
      </c>
      <c r="D32" s="42">
        <v>23</v>
      </c>
      <c r="E32" s="42">
        <v>24</v>
      </c>
      <c r="F32" s="42">
        <v>25</v>
      </c>
      <c r="G32" s="42">
        <v>26</v>
      </c>
      <c r="H32" s="42">
        <v>27</v>
      </c>
      <c r="I32" s="42">
        <v>28</v>
      </c>
      <c r="J32" s="42">
        <v>29</v>
      </c>
      <c r="K32" s="42">
        <v>30</v>
      </c>
      <c r="L32" s="657">
        <v>1</v>
      </c>
      <c r="M32" s="42">
        <v>2</v>
      </c>
      <c r="N32" s="42">
        <v>3</v>
      </c>
      <c r="O32" s="42">
        <v>4</v>
      </c>
      <c r="P32" s="42">
        <v>5</v>
      </c>
      <c r="Q32" s="42">
        <v>6</v>
      </c>
      <c r="R32" s="42">
        <v>7</v>
      </c>
      <c r="S32" s="42">
        <v>8</v>
      </c>
      <c r="T32" s="42">
        <v>9</v>
      </c>
      <c r="U32" s="42">
        <v>10</v>
      </c>
      <c r="V32" s="42">
        <v>11</v>
      </c>
      <c r="W32" s="42">
        <v>12</v>
      </c>
      <c r="X32" s="323">
        <v>13</v>
      </c>
      <c r="Y32" s="42">
        <v>14</v>
      </c>
      <c r="Z32" s="42">
        <v>15</v>
      </c>
      <c r="AA32" s="42">
        <v>16</v>
      </c>
      <c r="AB32" s="42">
        <v>17</v>
      </c>
      <c r="AC32" s="42">
        <v>18</v>
      </c>
      <c r="AD32" s="337">
        <v>19</v>
      </c>
      <c r="AE32" s="25"/>
      <c r="AF32" s="324" t="s">
        <v>60</v>
      </c>
      <c r="AG32" s="325">
        <v>28</v>
      </c>
      <c r="AH32" s="326" t="s">
        <v>31</v>
      </c>
      <c r="AI32" s="25"/>
      <c r="AJ32" s="255"/>
      <c r="AK32" s="255"/>
      <c r="AL32" s="255"/>
      <c r="AM32" s="255"/>
      <c r="AN32" s="264"/>
      <c r="AO32" s="264"/>
      <c r="AP32" s="264"/>
      <c r="AQ32" s="264"/>
      <c r="AR32" s="264"/>
      <c r="AS32" s="264"/>
      <c r="AT32" s="264"/>
      <c r="AU32" s="264"/>
      <c r="AV32" s="264"/>
      <c r="AW32" s="264"/>
      <c r="AX32" s="264"/>
      <c r="AY32" s="264"/>
      <c r="AZ32" s="264"/>
      <c r="BA32" s="264"/>
      <c r="BB32" s="264"/>
      <c r="BC32" s="264"/>
      <c r="BD32" s="264"/>
      <c r="BE32" s="264"/>
      <c r="BF32" s="264"/>
      <c r="BG32" s="264"/>
      <c r="BH32" s="264"/>
      <c r="BI32" s="264"/>
      <c r="BJ32" s="264"/>
      <c r="BK32" s="264"/>
    </row>
    <row r="33" ht="14.25" customHeight="1">
      <c r="B33" s="46" t="s">
        <v>32</v>
      </c>
      <c r="C33" s="444">
        <v>-0.0000000000227272727272675800</v>
      </c>
      <c r="D33" s="445">
        <v>92.45283018877365610537562481</v>
      </c>
      <c r="E33" s="445">
        <v>171.79487179466272189349128510</v>
      </c>
      <c r="F33" s="445">
        <v>137.77777777774607407407407830</v>
      </c>
      <c r="G33" s="445">
        <v>128.12499999958652343750074944</v>
      </c>
      <c r="H33" s="445">
        <v>28.421052631589761772853186500</v>
      </c>
      <c r="I33" s="445">
        <v>52.857142856941959183673733420</v>
      </c>
      <c r="J33" s="445">
        <v>66.666666666300000000000806680</v>
      </c>
      <c r="K33" s="445">
        <v>122.72727272816363636363992731</v>
      </c>
      <c r="L33" s="658">
        <v>87.99999999935328000000222471</v>
      </c>
      <c r="M33" s="445">
        <v>21.951219512129684711481296280</v>
      </c>
      <c r="N33" s="445">
        <v>21.052631578839058171745249270</v>
      </c>
      <c r="O33" s="445">
        <v>-30.097087378613629936846063550</v>
      </c>
      <c r="P33" s="445">
        <v>-36.440677966148017810973824330</v>
      </c>
      <c r="Q33" s="445">
        <v>-24.390243902479595478881596300</v>
      </c>
      <c r="R33" s="445">
        <v>-2.2222222222352592592592575400</v>
      </c>
      <c r="S33" s="445">
        <v>18.918918918796785975164478980</v>
      </c>
      <c r="T33" s="445">
        <v>-7.2916666666550781249999985500</v>
      </c>
      <c r="U33" s="445">
        <v>-25.274725274731843980195627960</v>
      </c>
      <c r="V33" s="445">
        <v>-6.6666666666791111111111094500</v>
      </c>
      <c r="W33" s="445">
        <v>24.705882352894228373702439820</v>
      </c>
      <c r="X33" s="446">
        <v>41.463414634070434265318303650</v>
      </c>
      <c r="Y33" s="445">
        <v>-3.5087719297534626038780639500</v>
      </c>
      <c r="Z33" s="445">
        <v>24.137931034581212841855012670</v>
      </c>
      <c r="AA33" s="445">
        <v>40.350877193085872576177361510</v>
      </c>
      <c r="AB33" s="445">
        <v>32.000000000036960000000010340</v>
      </c>
      <c r="AC33" s="445">
        <v>809.0909090945454545454690910</v>
      </c>
      <c r="AD33" s="447">
        <v>553.33333333594666666667711999</v>
      </c>
      <c r="AE33" s="448"/>
      <c r="AF33" s="444">
        <v>83.04498269910508015948096106</v>
      </c>
      <c r="AG33" s="445">
        <v>33.397190293578465769244143890</v>
      </c>
      <c r="AH33" s="449">
        <v>16.272965879238236165361225820</v>
      </c>
      <c r="AJ33" s="244"/>
      <c r="AK33" s="244"/>
      <c r="AL33" s="244"/>
      <c r="AM33" s="244"/>
      <c r="AN33" s="244"/>
      <c r="AO33" s="244"/>
      <c r="AP33" s="244"/>
      <c r="AQ33" s="244"/>
      <c r="AR33" s="244"/>
      <c r="AS33" s="244"/>
      <c r="AT33" s="244"/>
      <c r="AU33" s="244"/>
      <c r="AV33" s="244"/>
      <c r="AW33" s="244"/>
      <c r="AX33" s="244"/>
      <c r="AY33" s="244"/>
      <c r="AZ33" s="244"/>
      <c r="BA33" s="244"/>
      <c r="BB33" s="244"/>
      <c r="BC33" s="244"/>
      <c r="BD33" s="244"/>
      <c r="BE33" s="244"/>
      <c r="BF33" s="244"/>
      <c r="BG33" s="244"/>
      <c r="BH33" s="244"/>
      <c r="BI33" s="244"/>
      <c r="BJ33" s="244"/>
      <c r="BK33" s="244"/>
    </row>
    <row r="34" ht="14.25" customHeight="1">
      <c r="B34" s="47" t="s">
        <v>26</v>
      </c>
      <c r="C34" s="327">
        <v>7.328605200928880170346900</v>
      </c>
      <c r="D34" s="81">
        <v>1.4492753622548834278513320700</v>
      </c>
      <c r="E34" s="81">
        <v>0.4511278195836146757872244100</v>
      </c>
      <c r="F34" s="81">
        <v>28.217821782122360552886996200</v>
      </c>
      <c r="G34" s="81">
        <v>27.906361135630539439702190470</v>
      </c>
      <c r="H34" s="81">
        <v>6.9930069930048980390239131900</v>
      </c>
      <c r="I34" s="81">
        <v>26.666666666764292682926904510</v>
      </c>
      <c r="J34" s="81">
        <v>17.665615141929853018738375100</v>
      </c>
      <c r="K34" s="81">
        <v>38.271604938486694101509250910</v>
      </c>
      <c r="L34" s="659">
        <v>58.176100628936786519520588820</v>
      </c>
      <c r="M34" s="81">
        <v>43.581081081265408144631354230</v>
      </c>
      <c r="N34" s="81">
        <v>23.611111111179097222222259610</v>
      </c>
      <c r="O34" s="81">
        <v>-16.411682892870310526325954480</v>
      </c>
      <c r="P34" s="81">
        <v>-12.484076433088019473406616630</v>
      </c>
      <c r="Q34" s="81">
        <v>-19.654427645795972365407310970</v>
      </c>
      <c r="R34" s="81">
        <v>-18.093699515384913391498595610</v>
      </c>
      <c r="S34" s="81">
        <v>2.8571428571127027506654924200</v>
      </c>
      <c r="T34" s="81">
        <v>-1.1862396204476294204311634600</v>
      </c>
      <c r="U34" s="81">
        <v>-20.045819014899422538704076810</v>
      </c>
      <c r="V34" s="81">
        <v>-2.2813688213499949399297038100</v>
      </c>
      <c r="W34" s="81">
        <v>16.314199395767581529923969370</v>
      </c>
      <c r="X34" s="82">
        <v>12.871287128562562493873349850</v>
      </c>
      <c r="Y34" s="81">
        <v>-0.9416195856683541340823694400</v>
      </c>
      <c r="Z34" s="81">
        <v>26.388888889006061921296404930</v>
      </c>
      <c r="AA34" s="81">
        <v>5.1107325383931665355850725800</v>
      </c>
      <c r="AB34" s="81">
        <v>1.8835616438537600863201383400</v>
      </c>
      <c r="AC34" s="81">
        <v>9.931034482716164565992882040</v>
      </c>
      <c r="AD34" s="83">
        <v>9.732016925168512834183166050</v>
      </c>
      <c r="AE34" s="88"/>
      <c r="AF34" s="327">
        <v>9.256559766844118522044445240</v>
      </c>
      <c r="AG34" s="81">
        <v>6.3777127532561597954549137400</v>
      </c>
      <c r="AH34" s="328">
        <v>5.984196040135788745037263900</v>
      </c>
      <c r="AJ34" s="244"/>
      <c r="AK34" s="244"/>
      <c r="AL34" s="244"/>
      <c r="AM34" s="244"/>
      <c r="AN34" s="244"/>
      <c r="AO34" s="244"/>
      <c r="AP34" s="244"/>
      <c r="AQ34" s="244"/>
      <c r="AR34" s="244"/>
      <c r="AS34" s="244"/>
      <c r="AT34" s="244"/>
      <c r="AU34" s="244"/>
      <c r="AV34" s="244"/>
      <c r="AW34" s="244"/>
      <c r="AX34" s="244"/>
      <c r="AY34" s="244"/>
      <c r="AZ34" s="244"/>
      <c r="BA34" s="244"/>
      <c r="BB34" s="244"/>
      <c r="BC34" s="244"/>
      <c r="BD34" s="244"/>
      <c r="BE34" s="244"/>
      <c r="BF34" s="244"/>
      <c r="BG34" s="244"/>
      <c r="BH34" s="244"/>
      <c r="BI34" s="244"/>
      <c r="BJ34" s="244"/>
      <c r="BK34" s="244"/>
    </row>
    <row r="35" ht="14.25" customHeight="1">
      <c r="A35" s="24"/>
      <c r="B35" s="49" t="s">
        <v>147</v>
      </c>
      <c r="C35" s="450">
        <v>9.974424552356538745821962400</v>
      </c>
      <c r="D35" s="451">
        <v>5.4678007290365730686269155500</v>
      </c>
      <c r="E35" s="451">
        <v>4.2222222222534888888888982700</v>
      </c>
      <c r="F35" s="451">
        <v>7.0226349390063613081558064600</v>
      </c>
      <c r="G35" s="451">
        <v>15.929824561468185410895696280</v>
      </c>
      <c r="H35" s="451">
        <v>6.3602015112894679237860977100</v>
      </c>
      <c r="I35" s="451">
        <v>2.8901734103451501887801473100</v>
      </c>
      <c r="J35" s="451">
        <v>14.072693382978144387920426240</v>
      </c>
      <c r="K35" s="451">
        <v>14.343271555242108369624732020</v>
      </c>
      <c r="L35" s="660">
        <v>21.070234113693141016319731010</v>
      </c>
      <c r="M35" s="451">
        <v>26.126126126069312555799067870</v>
      </c>
      <c r="N35" s="451">
        <v>9.872029250358113392311149220</v>
      </c>
      <c r="O35" s="451">
        <v>-3.4525277434637129573177276300</v>
      </c>
      <c r="P35" s="451">
        <v>-3.1026252983490125939132227600</v>
      </c>
      <c r="Q35" s="451">
        <v>0.6831767720254342599149364200</v>
      </c>
      <c r="R35" s="451">
        <v>1.8565941100774156052600224700</v>
      </c>
      <c r="S35" s="451">
        <v>5.6185845488830755988921849200</v>
      </c>
      <c r="T35" s="451">
        <v>4.84300159663550188195289700</v>
      </c>
      <c r="U35" s="451">
        <v>-2.1774632553405824566040766700</v>
      </c>
      <c r="V35" s="451">
        <v>1.117647058868437543252615100</v>
      </c>
      <c r="W35" s="451">
        <v>7.010834926756059991201444900</v>
      </c>
      <c r="X35" s="452">
        <v>7.6992753622851845561594308100</v>
      </c>
      <c r="Y35" s="451">
        <v>17.675378266850473436651536630</v>
      </c>
      <c r="Z35" s="451">
        <v>12.99468399287361373697820300</v>
      </c>
      <c r="AA35" s="451">
        <v>4.62184873943425605536335800</v>
      </c>
      <c r="AB35" s="451">
        <v>5.7142857142365448504983617400</v>
      </c>
      <c r="AC35" s="451">
        <v>17.011019283665567441886994560</v>
      </c>
      <c r="AD35" s="453">
        <v>22.630418809639733339955684030</v>
      </c>
      <c r="AE35" s="448"/>
      <c r="AF35" s="450">
        <v>12.506106497266368980640364590</v>
      </c>
      <c r="AG35" s="451">
        <v>7.7372227695545995464602328500</v>
      </c>
      <c r="AH35" s="454">
        <v>7.9020904814100629943387098800</v>
      </c>
      <c r="AJ35" s="244"/>
      <c r="AK35" s="244"/>
      <c r="AL35" s="244"/>
      <c r="AM35" s="244"/>
      <c r="AN35" s="244"/>
      <c r="AO35" s="244"/>
      <c r="AP35" s="244"/>
      <c r="AQ35" s="244"/>
      <c r="AR35" s="244"/>
      <c r="AS35" s="244"/>
      <c r="AT35" s="244"/>
      <c r="AU35" s="244"/>
      <c r="AV35" s="244"/>
      <c r="AW35" s="244"/>
      <c r="AX35" s="244"/>
      <c r="AY35" s="244"/>
      <c r="AZ35" s="244"/>
      <c r="BA35" s="244"/>
      <c r="BB35" s="244"/>
      <c r="BC35" s="244"/>
      <c r="BD35" s="244"/>
      <c r="BE35" s="244"/>
      <c r="BF35" s="244"/>
      <c r="BG35" s="244"/>
      <c r="BH35" s="244"/>
      <c r="BI35" s="244"/>
      <c r="BJ35" s="244"/>
      <c r="BK35" s="244"/>
    </row>
    <row r="36" ht="13.5" customHeight="1">
      <c r="B36" s="40"/>
      <c r="C36" s="23"/>
      <c r="D36" s="23"/>
      <c r="E36" s="23"/>
      <c r="F36" s="23"/>
      <c r="G36" s="23"/>
      <c r="H36" s="23"/>
      <c r="I36" s="23"/>
      <c r="J36" s="23"/>
      <c r="K36" s="23"/>
      <c r="L36" s="23"/>
      <c r="M36" s="23"/>
      <c r="N36" s="23"/>
      <c r="O36" s="23"/>
      <c r="P36" s="23"/>
      <c r="Q36" s="23"/>
      <c r="R36" s="23"/>
      <c r="S36" s="23"/>
      <c r="T36" s="23"/>
      <c r="U36" s="23"/>
      <c r="V36" s="23"/>
      <c r="W36" s="23"/>
      <c r="X36" s="44"/>
      <c r="Y36" s="23"/>
      <c r="Z36" s="23"/>
      <c r="AA36" s="23"/>
      <c r="AB36" s="23"/>
      <c r="AC36" s="23"/>
      <c r="AD36" s="45"/>
      <c r="AF36" s="43"/>
      <c r="AG36" s="43"/>
      <c r="AH36" s="43"/>
      <c r="AJ36" s="244"/>
      <c r="AK36" s="244"/>
      <c r="AL36" s="244"/>
      <c r="AM36" s="244"/>
      <c r="AN36" s="244"/>
      <c r="AO36" s="244"/>
      <c r="AP36" s="244"/>
      <c r="AQ36" s="244"/>
      <c r="AR36" s="244"/>
      <c r="AS36" s="244"/>
      <c r="AT36" s="244"/>
      <c r="AU36" s="244"/>
      <c r="AV36" s="244"/>
      <c r="AW36" s="244"/>
      <c r="AX36" s="244"/>
      <c r="AY36" s="244"/>
      <c r="AZ36" s="244"/>
      <c r="BA36" s="244"/>
      <c r="BB36" s="244"/>
      <c r="BC36" s="244"/>
      <c r="BD36" s="244"/>
      <c r="BE36" s="244"/>
      <c r="BF36" s="244"/>
      <c r="BG36" s="244"/>
      <c r="BH36" s="244"/>
      <c r="BI36" s="244"/>
      <c r="BJ36" s="244"/>
      <c r="BK36" s="244"/>
    </row>
    <row r="37" ht="18">
      <c r="B37" s="29"/>
      <c r="X37" s="27"/>
      <c r="AD37" s="28"/>
      <c r="AF37" s="43"/>
      <c r="AG37" s="43"/>
      <c r="AH37" s="43"/>
      <c r="AJ37" s="244"/>
      <c r="AK37" s="244"/>
      <c r="AL37" s="244"/>
      <c r="AM37" s="244"/>
      <c r="AN37" s="244"/>
      <c r="AO37" s="244"/>
      <c r="AP37" s="244"/>
      <c r="AQ37" s="244"/>
      <c r="AR37" s="244"/>
      <c r="AS37" s="244"/>
      <c r="AT37" s="244"/>
      <c r="AU37" s="244"/>
      <c r="AV37" s="244"/>
      <c r="AW37" s="244"/>
      <c r="AX37" s="244"/>
      <c r="AY37" s="244"/>
      <c r="AZ37" s="244"/>
      <c r="BA37" s="244"/>
      <c r="BB37" s="244"/>
      <c r="BC37" s="244"/>
      <c r="BD37" s="244"/>
      <c r="BE37" s="244"/>
      <c r="BF37" s="244"/>
      <c r="BG37" s="244"/>
      <c r="BH37" s="244"/>
      <c r="BI37" s="244"/>
      <c r="BJ37" s="244"/>
      <c r="BK37" s="244"/>
    </row>
    <row r="38" s="41" customFormat="1" ht="18">
      <c r="B38" s="417" t="s">
        <v>91</v>
      </c>
      <c r="C38" s="309" t="s">
        <v>148</v>
      </c>
      <c r="D38" s="310"/>
      <c r="E38" s="310"/>
      <c r="F38" s="310"/>
      <c r="G38" s="310"/>
      <c r="H38" s="310"/>
      <c r="I38" s="310"/>
      <c r="J38" s="310"/>
      <c r="K38" s="310"/>
      <c r="L38" s="656" t="s">
        <v>145</v>
      </c>
      <c r="M38" s="310"/>
      <c r="N38" s="310"/>
      <c r="O38" s="310"/>
      <c r="P38" s="310"/>
      <c r="Q38" s="310"/>
      <c r="R38" s="310"/>
      <c r="S38" s="311"/>
      <c r="T38" s="311"/>
      <c r="U38" s="311"/>
      <c r="V38" s="311"/>
      <c r="W38" s="311"/>
      <c r="X38" s="312"/>
      <c r="Y38" s="311"/>
      <c r="Z38" s="311"/>
      <c r="AA38" s="311"/>
      <c r="AB38" s="311"/>
      <c r="AC38" s="311"/>
      <c r="AD38" s="336"/>
      <c r="AE38" s="25"/>
      <c r="AF38" s="316" t="s">
        <v>58</v>
      </c>
      <c r="AG38" s="317" t="s">
        <v>59</v>
      </c>
      <c r="AH38" s="318" t="s">
        <v>59</v>
      </c>
      <c r="AI38" s="25"/>
      <c r="AJ38" s="255"/>
      <c r="AK38" s="255"/>
      <c r="AL38" s="255"/>
      <c r="AM38" s="255"/>
      <c r="AN38" s="263"/>
      <c r="AO38" s="263"/>
      <c r="AP38" s="263"/>
      <c r="AQ38" s="263"/>
      <c r="AR38" s="263"/>
      <c r="AS38" s="263"/>
      <c r="AT38" s="263"/>
      <c r="AU38" s="263"/>
      <c r="AV38" s="263"/>
      <c r="AW38" s="263"/>
      <c r="AX38" s="263"/>
      <c r="AY38" s="263"/>
      <c r="AZ38" s="263"/>
      <c r="BA38" s="263"/>
      <c r="BB38" s="263"/>
      <c r="BC38" s="263"/>
      <c r="BD38" s="263"/>
      <c r="BE38" s="263"/>
      <c r="BF38" s="263"/>
      <c r="BG38" s="263"/>
      <c r="BH38" s="263"/>
      <c r="BI38" s="263"/>
      <c r="BJ38" s="263"/>
      <c r="BK38" s="263"/>
    </row>
    <row r="39" s="42" customFormat="1">
      <c r="C39" s="313">
        <v>22</v>
      </c>
      <c r="D39" s="42">
        <v>23</v>
      </c>
      <c r="E39" s="42">
        <v>24</v>
      </c>
      <c r="F39" s="42">
        <v>25</v>
      </c>
      <c r="G39" s="42">
        <v>26</v>
      </c>
      <c r="H39" s="42">
        <v>27</v>
      </c>
      <c r="I39" s="42">
        <v>28</v>
      </c>
      <c r="J39" s="42">
        <v>29</v>
      </c>
      <c r="K39" s="42">
        <v>30</v>
      </c>
      <c r="L39" s="657">
        <v>1</v>
      </c>
      <c r="M39" s="42">
        <v>2</v>
      </c>
      <c r="N39" s="42">
        <v>3</v>
      </c>
      <c r="O39" s="42">
        <v>4</v>
      </c>
      <c r="P39" s="42">
        <v>5</v>
      </c>
      <c r="Q39" s="42">
        <v>6</v>
      </c>
      <c r="R39" s="42">
        <v>7</v>
      </c>
      <c r="S39" s="42">
        <v>8</v>
      </c>
      <c r="T39" s="42">
        <v>9</v>
      </c>
      <c r="U39" s="42">
        <v>10</v>
      </c>
      <c r="V39" s="42">
        <v>11</v>
      </c>
      <c r="W39" s="42">
        <v>12</v>
      </c>
      <c r="X39" s="323">
        <v>13</v>
      </c>
      <c r="Y39" s="42">
        <v>14</v>
      </c>
      <c r="Z39" s="42">
        <v>15</v>
      </c>
      <c r="AA39" s="42">
        <v>16</v>
      </c>
      <c r="AB39" s="42">
        <v>17</v>
      </c>
      <c r="AC39" s="42">
        <v>18</v>
      </c>
      <c r="AD39" s="337">
        <v>19</v>
      </c>
      <c r="AE39" s="25"/>
      <c r="AF39" s="324" t="s">
        <v>60</v>
      </c>
      <c r="AG39" s="325">
        <v>28</v>
      </c>
      <c r="AH39" s="326" t="s">
        <v>31</v>
      </c>
      <c r="AI39" s="25"/>
      <c r="AJ39" s="255"/>
      <c r="AK39" s="255"/>
      <c r="AL39" s="255"/>
      <c r="AM39" s="255"/>
      <c r="AN39" s="264"/>
      <c r="AO39" s="264"/>
      <c r="AP39" s="264"/>
      <c r="AQ39" s="264"/>
      <c r="AR39" s="264"/>
      <c r="AS39" s="264"/>
      <c r="AT39" s="264"/>
      <c r="AU39" s="264"/>
      <c r="AV39" s="264"/>
      <c r="AW39" s="264"/>
      <c r="AX39" s="264"/>
      <c r="AY39" s="264"/>
      <c r="AZ39" s="264"/>
      <c r="BA39" s="264"/>
      <c r="BB39" s="264"/>
      <c r="BC39" s="264"/>
      <c r="BD39" s="264"/>
      <c r="BE39" s="264"/>
      <c r="BF39" s="264"/>
      <c r="BG39" s="264"/>
      <c r="BH39" s="264"/>
      <c r="BI39" s="264"/>
      <c r="BJ39" s="264"/>
      <c r="BK39" s="264"/>
    </row>
    <row r="40" ht="14.25" customHeight="1">
      <c r="A40" s="1"/>
      <c r="B40" s="46" t="s">
        <v>26</v>
      </c>
      <c r="C40" s="444">
        <v>56.586613613793752468857211320</v>
      </c>
      <c r="D40" s="445">
        <v>106.34792626733959735023044692</v>
      </c>
      <c r="E40" s="445">
        <v>92.65018350402584248154266010</v>
      </c>
      <c r="F40" s="445">
        <v>80.40436750110444170127818634</v>
      </c>
      <c r="G40" s="445">
        <v>61.939161500429157856214129430</v>
      </c>
      <c r="H40" s="445">
        <v>93.11406282940144523404977639</v>
      </c>
      <c r="I40" s="445">
        <v>80.19793780278739149985135052</v>
      </c>
      <c r="J40" s="445">
        <v>78.266885756328969702983950820</v>
      </c>
      <c r="K40" s="445">
        <v>63.860887096747394783266140290</v>
      </c>
      <c r="L40" s="658">
        <v>54.556531777077072561106139510</v>
      </c>
      <c r="M40" s="445">
        <v>68.690702087302366782006924070</v>
      </c>
      <c r="N40" s="445">
        <v>60.355201159781658653395889640</v>
      </c>
      <c r="O40" s="445">
        <v>69.947936235354697817701569970</v>
      </c>
      <c r="P40" s="445">
        <v>63.741372024215960671009081280</v>
      </c>
      <c r="Q40" s="445">
        <v>48.655913978507180020811657780</v>
      </c>
      <c r="R40" s="445">
        <v>50.671247693610782430210701260</v>
      </c>
      <c r="S40" s="445">
        <v>62.053919276881558496114286370</v>
      </c>
      <c r="T40" s="445">
        <v>62.382372303751826217068558010</v>
      </c>
      <c r="U40" s="445">
        <v>56.881412330133663450509317210</v>
      </c>
      <c r="V40" s="445">
        <v>63.612401154782705508471477920</v>
      </c>
      <c r="W40" s="445">
        <v>80.37704231254205013084946369</v>
      </c>
      <c r="X40" s="446">
        <v>74.264289756725907351145343750</v>
      </c>
      <c r="Y40" s="445">
        <v>61.051146817086783003200690260</v>
      </c>
      <c r="Z40" s="445">
        <v>57.745480326122790511509051150</v>
      </c>
      <c r="AA40" s="445">
        <v>75.704501489985288643452035560</v>
      </c>
      <c r="AB40" s="445">
        <v>64.765519110861446544462188320</v>
      </c>
      <c r="AC40" s="445">
        <v>73.258590682820276729848483480</v>
      </c>
      <c r="AD40" s="447">
        <v>73.546728584433459420062167360</v>
      </c>
      <c r="AE40" s="448"/>
      <c r="AF40" s="444">
        <v>68.683064695436046517687505010</v>
      </c>
      <c r="AG40" s="445">
        <v>69.900677949398806961484801310</v>
      </c>
      <c r="AH40" s="449">
        <v>65.004985853132536948620550670</v>
      </c>
      <c r="AJ40" s="244"/>
      <c r="AK40" s="244"/>
      <c r="AL40" s="244"/>
      <c r="AM40" s="244"/>
      <c r="AN40" s="244"/>
      <c r="AO40" s="244"/>
      <c r="AP40" s="244"/>
      <c r="AQ40" s="244"/>
      <c r="AR40" s="244"/>
      <c r="AS40" s="244"/>
      <c r="AT40" s="244"/>
      <c r="AU40" s="244"/>
      <c r="AV40" s="244"/>
      <c r="AW40" s="244"/>
      <c r="AX40" s="244"/>
      <c r="AY40" s="244"/>
      <c r="AZ40" s="244"/>
      <c r="BA40" s="244"/>
      <c r="BB40" s="244"/>
      <c r="BC40" s="244"/>
      <c r="BD40" s="244"/>
      <c r="BE40" s="244"/>
      <c r="BF40" s="244"/>
      <c r="BG40" s="244"/>
      <c r="BH40" s="244"/>
      <c r="BI40" s="244"/>
      <c r="BJ40" s="244"/>
      <c r="BK40" s="244"/>
    </row>
    <row r="41" ht="14.25" customHeight="1">
      <c r="A41" s="24"/>
      <c r="B41" s="48" t="s">
        <v>147</v>
      </c>
      <c r="C41" s="329">
        <v>40.435108777224859994068307600</v>
      </c>
      <c r="D41" s="330">
        <v>69.654006243459845779765720190</v>
      </c>
      <c r="E41" s="330">
        <v>66.983630235889694971219982690</v>
      </c>
      <c r="F41" s="330">
        <v>68.788923098480058151938239910</v>
      </c>
      <c r="G41" s="330">
        <v>52.385183160221245690893432820</v>
      </c>
      <c r="H41" s="330">
        <v>85.62997765425169948948910592</v>
      </c>
      <c r="I41" s="330">
        <v>79.180258547771892346192849480</v>
      </c>
      <c r="J41" s="330">
        <v>48.426628716031016296461675430</v>
      </c>
      <c r="K41" s="330">
        <v>40.936370456249560780546856900</v>
      </c>
      <c r="L41" s="661">
        <v>38.479103546583092612454238500</v>
      </c>
      <c r="M41" s="330">
        <v>47.043010752652889784946263030</v>
      </c>
      <c r="N41" s="330">
        <v>45.367935161851029676444126390</v>
      </c>
      <c r="O41" s="330">
        <v>54.505005561708635393093232800</v>
      </c>
      <c r="P41" s="330">
        <v>54.748331479416859849066012450</v>
      </c>
      <c r="Q41" s="330">
        <v>31.170483460560986150768214800</v>
      </c>
      <c r="R41" s="330">
        <v>32.785223332877448662962460870</v>
      </c>
      <c r="S41" s="330">
        <v>53.361933833826670501260630740</v>
      </c>
      <c r="T41" s="330">
        <v>53.557393155406186511858325670</v>
      </c>
      <c r="U41" s="330">
        <v>44.859712423908020808731171670</v>
      </c>
      <c r="V41" s="330">
        <v>57.929403816900069943611840450</v>
      </c>
      <c r="W41" s="330">
        <v>74.842936463670968991502526200</v>
      </c>
      <c r="X41" s="331">
        <v>57.8284815106548736483593900</v>
      </c>
      <c r="Y41" s="330">
        <v>38.107313210528453372930270050</v>
      </c>
      <c r="Z41" s="330">
        <v>44.618316105431097434274805660</v>
      </c>
      <c r="AA41" s="330">
        <v>54.411193159748828192677436560</v>
      </c>
      <c r="AB41" s="330">
        <v>49.177834999316172994443691310</v>
      </c>
      <c r="AC41" s="330">
        <v>69.775389697935042610836716040</v>
      </c>
      <c r="AD41" s="338">
        <v>69.608999014305542535585385440</v>
      </c>
      <c r="AE41" s="88"/>
      <c r="AF41" s="329">
        <v>54.461221688382283619795856130</v>
      </c>
      <c r="AG41" s="330">
        <v>55.232861396905434298060217960</v>
      </c>
      <c r="AH41" s="332">
        <v>51.647535306187975554150545760</v>
      </c>
      <c r="AJ41" s="244"/>
      <c r="AK41" s="244"/>
      <c r="AL41" s="244"/>
      <c r="AM41" s="244"/>
      <c r="AN41" s="244"/>
      <c r="AO41" s="244"/>
      <c r="AP41" s="244"/>
      <c r="AQ41" s="244"/>
      <c r="AR41" s="244"/>
      <c r="AS41" s="244"/>
      <c r="AT41" s="244"/>
      <c r="AU41" s="244"/>
      <c r="AV41" s="244"/>
      <c r="AW41" s="244"/>
      <c r="AX41" s="244"/>
      <c r="AY41" s="244"/>
      <c r="AZ41" s="244"/>
      <c r="BA41" s="244"/>
      <c r="BB41" s="244"/>
      <c r="BC41" s="244"/>
      <c r="BD41" s="244"/>
      <c r="BE41" s="244"/>
      <c r="BF41" s="244"/>
      <c r="BG41" s="244"/>
      <c r="BH41" s="244"/>
      <c r="BI41" s="244"/>
      <c r="BJ41" s="244"/>
      <c r="BK41" s="244"/>
    </row>
    <row r="42" ht="12" customHeight="1">
      <c r="B42" s="4"/>
      <c r="X42" s="27"/>
      <c r="AD42" s="28"/>
      <c r="AF42" s="43"/>
      <c r="AG42" s="43"/>
      <c r="AH42" s="43"/>
      <c r="AJ42" s="244"/>
      <c r="AK42" s="244"/>
      <c r="AL42" s="244"/>
      <c r="AM42" s="244"/>
      <c r="AN42" s="244"/>
      <c r="AO42" s="244"/>
      <c r="AP42" s="244"/>
      <c r="AQ42" s="244"/>
      <c r="AR42" s="244"/>
      <c r="AS42" s="244"/>
      <c r="AT42" s="244"/>
      <c r="AU42" s="244"/>
      <c r="AV42" s="244"/>
      <c r="AW42" s="244"/>
      <c r="AX42" s="244"/>
      <c r="AY42" s="244"/>
      <c r="AZ42" s="244"/>
      <c r="BA42" s="244"/>
      <c r="BB42" s="244"/>
      <c r="BC42" s="244"/>
      <c r="BD42" s="244"/>
      <c r="BE42" s="244"/>
      <c r="BF42" s="244"/>
      <c r="BG42" s="244"/>
      <c r="BH42" s="244"/>
      <c r="BI42" s="244"/>
      <c r="BJ42" s="244"/>
      <c r="BK42" s="244"/>
    </row>
    <row r="43" ht="18">
      <c r="B43" s="29"/>
      <c r="X43" s="27"/>
      <c r="AD43" s="28"/>
      <c r="AF43" s="43"/>
      <c r="AG43" s="43"/>
      <c r="AH43" s="43"/>
      <c r="AJ43" s="244"/>
      <c r="AK43" s="244"/>
      <c r="AL43" s="244"/>
      <c r="AM43" s="244"/>
      <c r="AN43" s="244"/>
      <c r="AO43" s="244"/>
      <c r="AP43" s="244"/>
      <c r="AQ43" s="244"/>
      <c r="AR43" s="244"/>
      <c r="AS43" s="244"/>
      <c r="AT43" s="244"/>
      <c r="AU43" s="244"/>
      <c r="AV43" s="244"/>
      <c r="AW43" s="244"/>
      <c r="AX43" s="244"/>
      <c r="AY43" s="244"/>
      <c r="AZ43" s="244"/>
      <c r="BA43" s="244"/>
      <c r="BB43" s="244"/>
      <c r="BC43" s="244"/>
      <c r="BD43" s="244"/>
      <c r="BE43" s="244"/>
      <c r="BF43" s="244"/>
      <c r="BG43" s="244"/>
      <c r="BH43" s="244"/>
      <c r="BI43" s="244"/>
      <c r="BJ43" s="244"/>
      <c r="BK43" s="244"/>
    </row>
    <row r="44" s="41" customFormat="1" ht="18">
      <c r="B44" s="417" t="s">
        <v>77</v>
      </c>
      <c r="C44" s="309" t="s">
        <v>148</v>
      </c>
      <c r="D44" s="310"/>
      <c r="E44" s="310"/>
      <c r="F44" s="310"/>
      <c r="G44" s="310"/>
      <c r="H44" s="310"/>
      <c r="I44" s="310"/>
      <c r="J44" s="310"/>
      <c r="K44" s="310"/>
      <c r="L44" s="656" t="s">
        <v>145</v>
      </c>
      <c r="M44" s="310"/>
      <c r="N44" s="310"/>
      <c r="O44" s="310"/>
      <c r="P44" s="310"/>
      <c r="Q44" s="310"/>
      <c r="R44" s="310"/>
      <c r="S44" s="311"/>
      <c r="T44" s="311"/>
      <c r="U44" s="311"/>
      <c r="V44" s="311"/>
      <c r="W44" s="311"/>
      <c r="X44" s="312"/>
      <c r="Y44" s="311"/>
      <c r="Z44" s="311"/>
      <c r="AA44" s="311"/>
      <c r="AB44" s="311"/>
      <c r="AC44" s="311"/>
      <c r="AD44" s="336"/>
      <c r="AE44" s="25"/>
      <c r="AF44" s="316" t="s">
        <v>58</v>
      </c>
      <c r="AG44" s="317" t="s">
        <v>59</v>
      </c>
      <c r="AH44" s="318" t="s">
        <v>59</v>
      </c>
      <c r="AI44" s="25"/>
      <c r="AJ44" s="255"/>
      <c r="AK44" s="255"/>
      <c r="AL44" s="255"/>
      <c r="AM44" s="255"/>
      <c r="AN44" s="263"/>
      <c r="AO44" s="263"/>
      <c r="AP44" s="263"/>
      <c r="AQ44" s="263"/>
      <c r="AR44" s="263"/>
      <c r="AS44" s="263"/>
      <c r="AT44" s="263"/>
      <c r="AU44" s="263"/>
      <c r="AV44" s="263"/>
      <c r="AW44" s="263"/>
      <c r="AX44" s="263"/>
      <c r="AY44" s="263"/>
      <c r="AZ44" s="263"/>
      <c r="BA44" s="263"/>
      <c r="BB44" s="263"/>
      <c r="BC44" s="263"/>
      <c r="BD44" s="263"/>
      <c r="BE44" s="263"/>
      <c r="BF44" s="263"/>
      <c r="BG44" s="263"/>
      <c r="BH44" s="263"/>
      <c r="BI44" s="263"/>
      <c r="BJ44" s="263"/>
      <c r="BK44" s="263"/>
    </row>
    <row r="45" s="42" customFormat="1">
      <c r="C45" s="322">
        <v>22</v>
      </c>
      <c r="D45" s="42">
        <v>23</v>
      </c>
      <c r="E45" s="42">
        <v>24</v>
      </c>
      <c r="F45" s="42">
        <v>25</v>
      </c>
      <c r="G45" s="42">
        <v>26</v>
      </c>
      <c r="H45" s="42">
        <v>27</v>
      </c>
      <c r="I45" s="42">
        <v>28</v>
      </c>
      <c r="J45" s="42">
        <v>29</v>
      </c>
      <c r="K45" s="42">
        <v>30</v>
      </c>
      <c r="L45" s="657">
        <v>1</v>
      </c>
      <c r="M45" s="42">
        <v>2</v>
      </c>
      <c r="N45" s="42">
        <v>3</v>
      </c>
      <c r="O45" s="42">
        <v>4</v>
      </c>
      <c r="P45" s="42">
        <v>5</v>
      </c>
      <c r="Q45" s="42">
        <v>6</v>
      </c>
      <c r="R45" s="42">
        <v>7</v>
      </c>
      <c r="S45" s="42">
        <v>8</v>
      </c>
      <c r="T45" s="42">
        <v>9</v>
      </c>
      <c r="U45" s="42">
        <v>10</v>
      </c>
      <c r="V45" s="42">
        <v>11</v>
      </c>
      <c r="W45" s="42">
        <v>12</v>
      </c>
      <c r="X45" s="323">
        <v>13</v>
      </c>
      <c r="Y45" s="42">
        <v>14</v>
      </c>
      <c r="Z45" s="42">
        <v>15</v>
      </c>
      <c r="AA45" s="42">
        <v>16</v>
      </c>
      <c r="AB45" s="42">
        <v>17</v>
      </c>
      <c r="AC45" s="42">
        <v>18</v>
      </c>
      <c r="AD45" s="337">
        <v>19</v>
      </c>
      <c r="AE45" s="25"/>
      <c r="AF45" s="324" t="s">
        <v>60</v>
      </c>
      <c r="AG45" s="325">
        <v>28</v>
      </c>
      <c r="AH45" s="326" t="s">
        <v>31</v>
      </c>
      <c r="AI45" s="25"/>
      <c r="AJ45" s="255"/>
      <c r="AK45" s="255"/>
      <c r="AL45" s="255"/>
      <c r="AM45" s="255"/>
      <c r="AN45" s="264"/>
      <c r="AO45" s="264"/>
      <c r="AP45" s="264"/>
      <c r="AQ45" s="264"/>
      <c r="AR45" s="264"/>
      <c r="AS45" s="264"/>
      <c r="AT45" s="264"/>
      <c r="AU45" s="264"/>
      <c r="AV45" s="264"/>
      <c r="AW45" s="264"/>
      <c r="AX45" s="264"/>
      <c r="AY45" s="264"/>
      <c r="AZ45" s="264"/>
      <c r="BA45" s="264"/>
      <c r="BB45" s="264"/>
      <c r="BC45" s="264"/>
      <c r="BD45" s="264"/>
      <c r="BE45" s="264"/>
      <c r="BF45" s="264"/>
      <c r="BG45" s="264"/>
      <c r="BH45" s="264"/>
      <c r="BI45" s="264"/>
      <c r="BJ45" s="264"/>
      <c r="BK45" s="264"/>
    </row>
    <row r="46" ht="14.25" customHeight="1">
      <c r="A46" s="1"/>
      <c r="B46" s="46" t="s">
        <v>26</v>
      </c>
      <c r="C46" s="444">
        <v>-6.8281938325481140184927572400</v>
      </c>
      <c r="D46" s="445">
        <v>89.70350404326155447382322564</v>
      </c>
      <c r="E46" s="445">
        <v>170.57423614321379555177683044</v>
      </c>
      <c r="F46" s="445">
        <v>85.44830544839807580252158948</v>
      </c>
      <c r="G46" s="445">
        <v>78.353131129887558387627312720</v>
      </c>
      <c r="H46" s="445">
        <v>20.027519779846444412078447230</v>
      </c>
      <c r="I46" s="445">
        <v>20.676691729235321622707507810</v>
      </c>
      <c r="J46" s="445">
        <v>41.644325290647520924941226600</v>
      </c>
      <c r="K46" s="445">
        <v>61.079545454204241877868627720</v>
      </c>
      <c r="L46" s="658">
        <v>18.854870775314924387647301680</v>
      </c>
      <c r="M46" s="445">
        <v>-15.064562410446095803310364620</v>
      </c>
      <c r="N46" s="445">
        <v>-2.0697811947187288177303768100</v>
      </c>
      <c r="O46" s="445">
        <v>-16.372389060293064364937695520</v>
      </c>
      <c r="P46" s="445">
        <v>-27.373991562477470638218283350</v>
      </c>
      <c r="Q46" s="445">
        <v>-5.8943089430727921968734136900</v>
      </c>
      <c r="R46" s="445">
        <v>19.377602454545770930464865220</v>
      </c>
      <c r="S46" s="445">
        <v>15.615615615669098468205570550</v>
      </c>
      <c r="T46" s="445">
        <v>-6.1787214885847756640011891400</v>
      </c>
      <c r="U46" s="445">
        <v>-6.539878459689482646924199600</v>
      </c>
      <c r="V46" s="445">
        <v>-4.48767833975417961267493700</v>
      </c>
      <c r="W46" s="445">
        <v>7.2146676852963467095726261300</v>
      </c>
      <c r="X46" s="446">
        <v>25.331621737610959818653756920</v>
      </c>
      <c r="Y46" s="445">
        <v>-2.5915549330697239420828259100</v>
      </c>
      <c r="Z46" s="445">
        <v>-1.7809776431943047049403774600</v>
      </c>
      <c r="AA46" s="445">
        <v>33.526685433048195619597454120</v>
      </c>
      <c r="AB46" s="445">
        <v>29.559663865610342550974803740</v>
      </c>
      <c r="AC46" s="445">
        <v>726.96475418836048879511213353</v>
      </c>
      <c r="AD46" s="447">
        <v>495.38988860479958998950040940</v>
      </c>
      <c r="AE46" s="448"/>
      <c r="AF46" s="444">
        <v>67.536835398676156708845369050</v>
      </c>
      <c r="AG46" s="445">
        <v>25.399566169607766510223012140</v>
      </c>
      <c r="AH46" s="449">
        <v>9.707834020071705544100724780</v>
      </c>
      <c r="AJ46" s="244"/>
      <c r="AK46" s="244"/>
      <c r="AL46" s="244"/>
      <c r="AM46" s="244"/>
      <c r="AN46" s="244"/>
      <c r="AO46" s="244"/>
      <c r="AP46" s="244"/>
      <c r="AQ46" s="244"/>
      <c r="AR46" s="244"/>
      <c r="AS46" s="244"/>
      <c r="AT46" s="244"/>
      <c r="AU46" s="244"/>
      <c r="AV46" s="244"/>
      <c r="AW46" s="244"/>
      <c r="AX46" s="244"/>
      <c r="AY46" s="244"/>
      <c r="AZ46" s="244"/>
      <c r="BA46" s="244"/>
      <c r="BB46" s="244"/>
      <c r="BC46" s="244"/>
      <c r="BD46" s="244"/>
      <c r="BE46" s="244"/>
      <c r="BF46" s="244"/>
      <c r="BG46" s="244"/>
      <c r="BH46" s="244"/>
      <c r="BI46" s="244"/>
      <c r="BJ46" s="244"/>
      <c r="BK46" s="244"/>
    </row>
    <row r="47" ht="14.25" customHeight="1">
      <c r="A47" s="24"/>
      <c r="B47" s="48" t="s">
        <v>147</v>
      </c>
      <c r="C47" s="329">
        <v>-9.069767441651851303065718130</v>
      </c>
      <c r="D47" s="330">
        <v>82.47543691836034022393645515</v>
      </c>
      <c r="E47" s="330">
        <v>160.78399212684115594179605047</v>
      </c>
      <c r="F47" s="330">
        <v>122.17522294520484035945628908</v>
      </c>
      <c r="G47" s="330">
        <v>96.77852602879852858227184911</v>
      </c>
      <c r="H47" s="330">
        <v>20.741640958622700894973479820</v>
      </c>
      <c r="I47" s="330">
        <v>48.563402889327545160821564350</v>
      </c>
      <c r="J47" s="330">
        <v>46.105664487965577176404430270</v>
      </c>
      <c r="K47" s="330">
        <v>94.78826318143788912731769434</v>
      </c>
      <c r="L47" s="661">
        <v>55.281767955874273470640407100</v>
      </c>
      <c r="M47" s="330">
        <v>-3.310104529730382291014373900</v>
      </c>
      <c r="N47" s="330">
        <v>10.176022419018810265398738930</v>
      </c>
      <c r="O47" s="330">
        <v>-27.597366365397908124202991880</v>
      </c>
      <c r="P47" s="330">
        <v>-34.405527260585461541786581100</v>
      </c>
      <c r="Q47" s="330">
        <v>-24.903287200898582913250022650</v>
      </c>
      <c r="R47" s="330">
        <v>-4.0044695858732393441885739300</v>
      </c>
      <c r="S47" s="330">
        <v>12.592797400968517370361721530</v>
      </c>
      <c r="T47" s="330">
        <v>-11.574132825779923173665936100</v>
      </c>
      <c r="U47" s="330">
        <v>-23.611391391041117766108099180</v>
      </c>
      <c r="V47" s="330">
        <v>-7.6982741905463331579004845200</v>
      </c>
      <c r="W47" s="330">
        <v>16.535753074106837745100180600</v>
      </c>
      <c r="X47" s="331">
        <v>31.350386674779572591250698330</v>
      </c>
      <c r="Y47" s="330">
        <v>-18.002194264091762687849922230</v>
      </c>
      <c r="Z47" s="330">
        <v>9.861744506914535674566859920</v>
      </c>
      <c r="AA47" s="330">
        <v>34.150637638354921677436619700</v>
      </c>
      <c r="AB47" s="330">
        <v>24.864864865098073012044446970</v>
      </c>
      <c r="AC47" s="330">
        <v>676.92760447526191112605518612</v>
      </c>
      <c r="AD47" s="338">
        <v>432.76612742228772820963177562</v>
      </c>
      <c r="AE47" s="88"/>
      <c r="AF47" s="329">
        <v>62.697820054109460094370126920</v>
      </c>
      <c r="AG47" s="330">
        <v>23.817179304046587379268611820</v>
      </c>
      <c r="AH47" s="332">
        <v>7.7578435788955906505392445500</v>
      </c>
      <c r="AJ47" s="244"/>
      <c r="AK47" s="244"/>
      <c r="AL47" s="244"/>
      <c r="AM47" s="244"/>
      <c r="AN47" s="244"/>
      <c r="AO47" s="244"/>
      <c r="AP47" s="244"/>
      <c r="AQ47" s="244"/>
      <c r="AR47" s="244"/>
      <c r="AS47" s="244"/>
      <c r="AT47" s="244"/>
      <c r="AU47" s="244"/>
      <c r="AV47" s="244"/>
      <c r="AW47" s="244"/>
      <c r="AX47" s="244"/>
      <c r="AY47" s="244"/>
      <c r="AZ47" s="244"/>
      <c r="BA47" s="244"/>
      <c r="BB47" s="244"/>
      <c r="BC47" s="244"/>
      <c r="BD47" s="244"/>
      <c r="BE47" s="244"/>
      <c r="BF47" s="244"/>
      <c r="BG47" s="244"/>
      <c r="BH47" s="244"/>
      <c r="BI47" s="244"/>
      <c r="BJ47" s="244"/>
      <c r="BK47" s="244"/>
    </row>
    <row r="48" ht="14.25" customHeight="1">
      <c r="A48" s="24"/>
      <c r="B48" s="53"/>
      <c r="C48" s="472"/>
      <c r="D48" s="472"/>
      <c r="E48" s="472"/>
      <c r="F48" s="472"/>
      <c r="G48" s="472"/>
      <c r="H48" s="472"/>
      <c r="I48" s="472"/>
      <c r="J48" s="472"/>
      <c r="K48" s="472"/>
      <c r="L48" s="472"/>
      <c r="M48" s="472"/>
      <c r="N48" s="472"/>
      <c r="O48" s="472"/>
      <c r="P48" s="472"/>
      <c r="Q48" s="472"/>
      <c r="R48" s="472"/>
      <c r="S48" s="472"/>
      <c r="T48" s="472"/>
      <c r="U48" s="472"/>
      <c r="V48" s="472"/>
      <c r="W48" s="472"/>
      <c r="X48" s="473"/>
      <c r="Y48" s="472"/>
      <c r="Z48" s="472"/>
      <c r="AA48" s="472"/>
      <c r="AB48" s="472"/>
      <c r="AC48" s="472"/>
      <c r="AD48" s="474"/>
      <c r="AE48" s="475"/>
      <c r="AF48" s="472"/>
      <c r="AG48" s="472"/>
      <c r="AH48" s="472"/>
      <c r="AJ48" s="244"/>
      <c r="AK48" s="244"/>
      <c r="AL48" s="244"/>
      <c r="AM48" s="244"/>
      <c r="AN48" s="244"/>
      <c r="AO48" s="244"/>
      <c r="AP48" s="244"/>
      <c r="AQ48" s="244"/>
      <c r="AR48" s="244"/>
      <c r="AS48" s="244"/>
      <c r="AT48" s="244"/>
      <c r="AU48" s="244"/>
      <c r="AV48" s="244"/>
      <c r="AW48" s="244"/>
      <c r="AX48" s="244"/>
      <c r="AY48" s="244"/>
      <c r="AZ48" s="244"/>
      <c r="BA48" s="244"/>
      <c r="BB48" s="244"/>
      <c r="BC48" s="244"/>
      <c r="BD48" s="244"/>
      <c r="BE48" s="244"/>
      <c r="BF48" s="244"/>
      <c r="BG48" s="244"/>
      <c r="BH48" s="244"/>
      <c r="BI48" s="244"/>
      <c r="BJ48" s="244"/>
      <c r="BK48" s="244"/>
    </row>
    <row r="49" ht="18">
      <c r="B49" s="29"/>
      <c r="X49" s="27"/>
      <c r="AD49" s="28"/>
      <c r="AF49" s="43"/>
      <c r="AG49" s="43"/>
      <c r="AH49" s="43"/>
      <c r="AJ49" s="244"/>
      <c r="AK49" s="244"/>
      <c r="AL49" s="244"/>
      <c r="AM49" s="244"/>
      <c r="AN49" s="244"/>
      <c r="AO49" s="244"/>
      <c r="AP49" s="244"/>
      <c r="AQ49" s="244"/>
      <c r="AR49" s="244"/>
      <c r="AS49" s="244"/>
      <c r="AT49" s="244"/>
      <c r="AU49" s="244"/>
      <c r="AV49" s="244"/>
      <c r="AW49" s="244"/>
      <c r="AX49" s="244"/>
      <c r="AY49" s="244"/>
      <c r="AZ49" s="244"/>
      <c r="BA49" s="244"/>
      <c r="BB49" s="244"/>
      <c r="BC49" s="244"/>
      <c r="BD49" s="244"/>
      <c r="BE49" s="244"/>
      <c r="BF49" s="244"/>
      <c r="BG49" s="244"/>
      <c r="BH49" s="244"/>
      <c r="BI49" s="244"/>
      <c r="BJ49" s="244"/>
      <c r="BK49" s="244"/>
    </row>
    <row r="50" s="41" customFormat="1" ht="18">
      <c r="B50" s="417" t="s">
        <v>55</v>
      </c>
      <c r="C50" s="309" t="s">
        <v>148</v>
      </c>
      <c r="D50" s="310"/>
      <c r="E50" s="310"/>
      <c r="F50" s="310"/>
      <c r="G50" s="310"/>
      <c r="H50" s="310"/>
      <c r="I50" s="310"/>
      <c r="J50" s="310"/>
      <c r="K50" s="310"/>
      <c r="L50" s="656" t="s">
        <v>145</v>
      </c>
      <c r="M50" s="310"/>
      <c r="N50" s="310"/>
      <c r="O50" s="310"/>
      <c r="P50" s="310"/>
      <c r="Q50" s="310"/>
      <c r="R50" s="310"/>
      <c r="S50" s="311"/>
      <c r="T50" s="311"/>
      <c r="U50" s="311"/>
      <c r="V50" s="311"/>
      <c r="W50" s="311"/>
      <c r="X50" s="312"/>
      <c r="Y50" s="311"/>
      <c r="Z50" s="311"/>
      <c r="AA50" s="311"/>
      <c r="AB50" s="311"/>
      <c r="AC50" s="311"/>
      <c r="AD50" s="336"/>
      <c r="AE50" s="25"/>
      <c r="AF50" s="316" t="s">
        <v>58</v>
      </c>
      <c r="AG50" s="317" t="s">
        <v>59</v>
      </c>
      <c r="AH50" s="318" t="s">
        <v>59</v>
      </c>
      <c r="AI50" s="25"/>
      <c r="AJ50" s="255"/>
      <c r="AK50" s="255"/>
      <c r="AL50" s="255"/>
      <c r="AM50" s="255"/>
      <c r="AN50" s="263"/>
      <c r="AO50" s="263"/>
      <c r="AP50" s="263"/>
      <c r="AQ50" s="263"/>
      <c r="AR50" s="263"/>
      <c r="AS50" s="263"/>
      <c r="AT50" s="263"/>
      <c r="AU50" s="263"/>
      <c r="AV50" s="263"/>
      <c r="AW50" s="263"/>
      <c r="AX50" s="263"/>
      <c r="AY50" s="263"/>
      <c r="AZ50" s="263"/>
      <c r="BA50" s="263"/>
      <c r="BB50" s="263"/>
      <c r="BC50" s="263"/>
      <c r="BD50" s="263"/>
      <c r="BE50" s="263"/>
      <c r="BF50" s="263"/>
      <c r="BG50" s="263"/>
      <c r="BH50" s="263"/>
      <c r="BI50" s="263"/>
      <c r="BJ50" s="263"/>
      <c r="BK50" s="263"/>
    </row>
    <row r="51" s="42" customFormat="1">
      <c r="C51" s="322">
        <v>22</v>
      </c>
      <c r="D51" s="42">
        <v>23</v>
      </c>
      <c r="E51" s="42">
        <v>24</v>
      </c>
      <c r="F51" s="42">
        <v>25</v>
      </c>
      <c r="G51" s="42">
        <v>26</v>
      </c>
      <c r="H51" s="42">
        <v>27</v>
      </c>
      <c r="I51" s="42">
        <v>28</v>
      </c>
      <c r="J51" s="42">
        <v>29</v>
      </c>
      <c r="K51" s="42">
        <v>30</v>
      </c>
      <c r="L51" s="657">
        <v>1</v>
      </c>
      <c r="M51" s="42">
        <v>2</v>
      </c>
      <c r="N51" s="42">
        <v>3</v>
      </c>
      <c r="O51" s="42">
        <v>4</v>
      </c>
      <c r="P51" s="42">
        <v>5</v>
      </c>
      <c r="Q51" s="42">
        <v>6</v>
      </c>
      <c r="R51" s="42">
        <v>7</v>
      </c>
      <c r="S51" s="42">
        <v>8</v>
      </c>
      <c r="T51" s="42">
        <v>9</v>
      </c>
      <c r="U51" s="42">
        <v>10</v>
      </c>
      <c r="V51" s="42">
        <v>11</v>
      </c>
      <c r="W51" s="42">
        <v>12</v>
      </c>
      <c r="X51" s="323">
        <v>13</v>
      </c>
      <c r="Y51" s="42">
        <v>14</v>
      </c>
      <c r="Z51" s="42">
        <v>15</v>
      </c>
      <c r="AA51" s="42">
        <v>16</v>
      </c>
      <c r="AB51" s="42">
        <v>17</v>
      </c>
      <c r="AC51" s="42">
        <v>18</v>
      </c>
      <c r="AD51" s="337">
        <v>19</v>
      </c>
      <c r="AE51" s="25"/>
      <c r="AF51" s="324" t="s">
        <v>60</v>
      </c>
      <c r="AG51" s="325">
        <v>28</v>
      </c>
      <c r="AH51" s="326" t="s">
        <v>31</v>
      </c>
      <c r="AI51" s="25"/>
      <c r="AJ51" s="255"/>
      <c r="AK51" s="255"/>
      <c r="AL51" s="255"/>
      <c r="AM51" s="255"/>
      <c r="AN51" s="264"/>
      <c r="AO51" s="264"/>
      <c r="AP51" s="264"/>
      <c r="AQ51" s="264"/>
      <c r="AR51" s="264"/>
      <c r="AS51" s="264"/>
      <c r="AT51" s="264"/>
      <c r="AU51" s="264"/>
      <c r="AV51" s="264"/>
      <c r="AW51" s="264"/>
      <c r="AX51" s="264"/>
      <c r="AY51" s="264"/>
      <c r="AZ51" s="264"/>
      <c r="BA51" s="264"/>
      <c r="BB51" s="264"/>
      <c r="BC51" s="264"/>
      <c r="BD51" s="264"/>
      <c r="BE51" s="264"/>
      <c r="BF51" s="264"/>
      <c r="BG51" s="264"/>
      <c r="BH51" s="264"/>
      <c r="BI51" s="264"/>
      <c r="BJ51" s="264"/>
      <c r="BK51" s="264"/>
    </row>
    <row r="52" ht="14.25" customHeight="1">
      <c r="A52" s="1"/>
      <c r="B52" s="46" t="s">
        <v>56</v>
      </c>
      <c r="C52" s="455" t="s">
        <v>149</v>
      </c>
      <c r="D52" s="456" t="s">
        <v>151</v>
      </c>
      <c r="E52" s="456" t="s">
        <v>153</v>
      </c>
      <c r="F52" s="456" t="s">
        <v>149</v>
      </c>
      <c r="G52" s="456" t="s">
        <v>155</v>
      </c>
      <c r="H52" s="456" t="s">
        <v>153</v>
      </c>
      <c r="I52" s="456" t="s">
        <v>149</v>
      </c>
      <c r="J52" s="456" t="s">
        <v>153</v>
      </c>
      <c r="K52" s="456" t="s">
        <v>153</v>
      </c>
      <c r="L52" s="662" t="s">
        <v>149</v>
      </c>
      <c r="M52" s="456" t="s">
        <v>153</v>
      </c>
      <c r="N52" s="456" t="s">
        <v>149</v>
      </c>
      <c r="O52" s="456" t="s">
        <v>153</v>
      </c>
      <c r="P52" s="456" t="s">
        <v>149</v>
      </c>
      <c r="Q52" s="456" t="s">
        <v>149</v>
      </c>
      <c r="R52" s="456" t="s">
        <v>149</v>
      </c>
      <c r="S52" s="456" t="s">
        <v>149</v>
      </c>
      <c r="T52" s="456" t="s">
        <v>158</v>
      </c>
      <c r="U52" s="456" t="s">
        <v>158</v>
      </c>
      <c r="V52" s="456" t="s">
        <v>149</v>
      </c>
      <c r="W52" s="456" t="s">
        <v>153</v>
      </c>
      <c r="X52" s="457" t="s">
        <v>149</v>
      </c>
      <c r="Y52" s="456" t="s">
        <v>149</v>
      </c>
      <c r="Z52" s="456" t="s">
        <v>149</v>
      </c>
      <c r="AA52" s="456" t="s">
        <v>149</v>
      </c>
      <c r="AB52" s="456" t="s">
        <v>158</v>
      </c>
      <c r="AC52" s="456" t="s">
        <v>149</v>
      </c>
      <c r="AD52" s="458" t="s">
        <v>153</v>
      </c>
      <c r="AE52" s="459"/>
      <c r="AF52" s="455" t="s">
        <v>149</v>
      </c>
      <c r="AG52" s="456" t="s">
        <v>149</v>
      </c>
      <c r="AH52" s="460" t="s">
        <v>149</v>
      </c>
      <c r="AJ52" s="244"/>
      <c r="AK52" s="244"/>
      <c r="AL52" s="244"/>
      <c r="AM52" s="244"/>
      <c r="AN52" s="244"/>
      <c r="AO52" s="244"/>
      <c r="AP52" s="244"/>
      <c r="AQ52" s="244"/>
      <c r="AR52" s="244"/>
      <c r="AS52" s="244"/>
      <c r="AT52" s="244"/>
      <c r="AU52" s="244"/>
      <c r="AV52" s="244"/>
      <c r="AW52" s="244"/>
      <c r="AX52" s="244"/>
      <c r="AY52" s="244"/>
      <c r="AZ52" s="244"/>
      <c r="BA52" s="244"/>
      <c r="BB52" s="244"/>
      <c r="BC52" s="244"/>
      <c r="BD52" s="244"/>
      <c r="BE52" s="244"/>
      <c r="BF52" s="244"/>
      <c r="BG52" s="244"/>
      <c r="BH52" s="244"/>
      <c r="BI52" s="244"/>
      <c r="BJ52" s="244"/>
      <c r="BK52" s="244"/>
    </row>
    <row r="53" ht="14.25" customHeight="1" thickBot="1">
      <c r="B53" s="48" t="s">
        <v>76</v>
      </c>
      <c r="C53" s="333" t="s">
        <v>150</v>
      </c>
      <c r="D53" s="334" t="s">
        <v>152</v>
      </c>
      <c r="E53" s="334" t="s">
        <v>154</v>
      </c>
      <c r="F53" s="334" t="s">
        <v>154</v>
      </c>
      <c r="G53" s="334" t="s">
        <v>156</v>
      </c>
      <c r="H53" s="334" t="s">
        <v>150</v>
      </c>
      <c r="I53" s="334" t="s">
        <v>150</v>
      </c>
      <c r="J53" s="334" t="s">
        <v>150</v>
      </c>
      <c r="K53" s="334" t="s">
        <v>154</v>
      </c>
      <c r="L53" s="663" t="s">
        <v>157</v>
      </c>
      <c r="M53" s="334" t="s">
        <v>151</v>
      </c>
      <c r="N53" s="334" t="s">
        <v>157</v>
      </c>
      <c r="O53" s="334" t="s">
        <v>153</v>
      </c>
      <c r="P53" s="334" t="s">
        <v>149</v>
      </c>
      <c r="Q53" s="334" t="s">
        <v>151</v>
      </c>
      <c r="R53" s="334" t="s">
        <v>150</v>
      </c>
      <c r="S53" s="334" t="s">
        <v>150</v>
      </c>
      <c r="T53" s="334" t="s">
        <v>153</v>
      </c>
      <c r="U53" s="334" t="s">
        <v>151</v>
      </c>
      <c r="V53" s="334" t="s">
        <v>151</v>
      </c>
      <c r="W53" s="334" t="s">
        <v>151</v>
      </c>
      <c r="X53" s="60" t="s">
        <v>150</v>
      </c>
      <c r="Y53" s="61" t="s">
        <v>157</v>
      </c>
      <c r="Z53" s="61" t="s">
        <v>151</v>
      </c>
      <c r="AA53" s="61" t="s">
        <v>150</v>
      </c>
      <c r="AB53" s="61" t="s">
        <v>152</v>
      </c>
      <c r="AC53" s="61" t="s">
        <v>154</v>
      </c>
      <c r="AD53" s="62" t="s">
        <v>154</v>
      </c>
      <c r="AE53" s="59"/>
      <c r="AF53" s="333" t="s">
        <v>152</v>
      </c>
      <c r="AG53" s="334" t="s">
        <v>150</v>
      </c>
      <c r="AH53" s="335" t="s">
        <v>150</v>
      </c>
      <c r="AJ53" s="244"/>
      <c r="AK53" s="244"/>
      <c r="AL53" s="244"/>
      <c r="AM53" s="244"/>
      <c r="AN53" s="244"/>
      <c r="AO53" s="244"/>
      <c r="AP53" s="244"/>
      <c r="AQ53" s="244"/>
      <c r="AR53" s="244"/>
      <c r="AS53" s="244"/>
      <c r="AT53" s="244"/>
      <c r="AU53" s="244"/>
      <c r="AV53" s="244"/>
      <c r="AW53" s="244"/>
      <c r="AX53" s="244"/>
      <c r="AY53" s="244"/>
      <c r="AZ53" s="244"/>
      <c r="BA53" s="244"/>
      <c r="BB53" s="244"/>
      <c r="BC53" s="244"/>
      <c r="BD53" s="244"/>
      <c r="BE53" s="244"/>
      <c r="BF53" s="244"/>
      <c r="BG53" s="244"/>
      <c r="BH53" s="244"/>
      <c r="BI53" s="244"/>
      <c r="BJ53" s="244"/>
      <c r="BK53" s="244"/>
    </row>
    <row r="54" ht="9.95" customHeight="1">
      <c r="AJ54" s="244"/>
      <c r="AK54" s="244"/>
      <c r="AL54" s="244"/>
      <c r="AM54" s="244"/>
      <c r="AN54" s="244"/>
      <c r="AO54" s="244"/>
      <c r="AP54" s="244"/>
      <c r="AQ54" s="244"/>
      <c r="AR54" s="244"/>
      <c r="AS54" s="244"/>
      <c r="AT54" s="244"/>
      <c r="AU54" s="244"/>
      <c r="AV54" s="244"/>
      <c r="AW54" s="244"/>
      <c r="AX54" s="244"/>
      <c r="AY54" s="244"/>
      <c r="AZ54" s="244"/>
      <c r="BA54" s="244"/>
      <c r="BB54" s="244"/>
      <c r="BC54" s="244"/>
      <c r="BD54" s="244"/>
      <c r="BE54" s="244"/>
      <c r="BF54" s="244"/>
      <c r="BG54" s="244"/>
      <c r="BH54" s="244"/>
      <c r="BI54" s="244"/>
      <c r="BJ54" s="244"/>
      <c r="BK54" s="244"/>
    </row>
    <row r="55" ht="9.95" customHeight="1">
      <c r="AJ55" s="244"/>
      <c r="AK55" s="244"/>
      <c r="AL55" s="244"/>
      <c r="AM55" s="244"/>
      <c r="AN55" s="244"/>
      <c r="AO55" s="244"/>
      <c r="AP55" s="244"/>
      <c r="AQ55" s="244"/>
      <c r="AR55" s="244"/>
      <c r="AS55" s="244"/>
      <c r="AT55" s="244"/>
      <c r="AU55" s="244"/>
      <c r="AV55" s="244"/>
      <c r="AW55" s="244"/>
      <c r="AX55" s="244"/>
      <c r="AY55" s="244"/>
      <c r="AZ55" s="244"/>
      <c r="BA55" s="244"/>
      <c r="BB55" s="244"/>
      <c r="BC55" s="244"/>
      <c r="BD55" s="244"/>
      <c r="BE55" s="244"/>
      <c r="BF55" s="244"/>
      <c r="BG55" s="244"/>
      <c r="BH55" s="244"/>
      <c r="BI55" s="244"/>
      <c r="BJ55" s="244"/>
      <c r="BK55" s="244"/>
    </row>
    <row r="56" ht="24.95" customHeight="1">
      <c r="B56" s="611" t="s">
        <v>114</v>
      </c>
      <c r="C56" s="611"/>
      <c r="D56" s="611"/>
      <c r="E56" s="611"/>
      <c r="F56" s="611"/>
      <c r="G56" s="611"/>
      <c r="H56" s="611"/>
      <c r="I56" s="611"/>
      <c r="J56" s="611"/>
      <c r="K56" s="611"/>
      <c r="L56" s="611"/>
      <c r="M56" s="611"/>
      <c r="N56" s="611"/>
      <c r="O56" s="611"/>
      <c r="P56" s="611"/>
      <c r="Q56" s="611"/>
      <c r="R56" s="611"/>
      <c r="S56" s="611"/>
      <c r="T56" s="611"/>
      <c r="U56" s="611"/>
      <c r="V56" s="611"/>
      <c r="W56" s="611"/>
      <c r="X56" s="611"/>
      <c r="Y56" s="611"/>
      <c r="Z56" s="611"/>
      <c r="AA56" s="611"/>
      <c r="AB56" s="611"/>
      <c r="AC56" s="611"/>
      <c r="AD56" s="611"/>
      <c r="AE56" s="611"/>
      <c r="AF56" s="611"/>
      <c r="AG56" s="611"/>
      <c r="AH56" s="611"/>
      <c r="AJ56" s="244"/>
      <c r="AK56" s="244"/>
      <c r="AL56" s="244"/>
      <c r="AM56" s="244"/>
      <c r="AN56" s="244"/>
      <c r="AO56" s="244"/>
      <c r="AP56" s="244"/>
      <c r="AQ56" s="244"/>
      <c r="AR56" s="244"/>
      <c r="AS56" s="244"/>
      <c r="AT56" s="244"/>
      <c r="AU56" s="244"/>
      <c r="AV56" s="244"/>
      <c r="AW56" s="244"/>
      <c r="AX56" s="244"/>
      <c r="AY56" s="244"/>
      <c r="AZ56" s="244"/>
      <c r="BA56" s="244"/>
      <c r="BB56" s="244"/>
      <c r="BC56" s="244"/>
      <c r="BD56" s="244"/>
      <c r="BE56" s="244"/>
      <c r="BF56" s="244"/>
      <c r="BG56" s="244"/>
      <c r="BH56" s="244"/>
      <c r="BI56" s="244"/>
      <c r="BJ56" s="244"/>
      <c r="BK56" s="244"/>
    </row>
    <row r="57" ht="9.95" customHeight="1">
      <c r="B57" s="235"/>
      <c r="AF57" s="80"/>
      <c r="AG57" s="242"/>
      <c r="AJ57" s="244"/>
      <c r="AK57" s="244"/>
      <c r="AL57" s="244"/>
      <c r="AM57" s="244"/>
      <c r="AN57" s="244"/>
      <c r="AO57" s="244"/>
      <c r="AP57" s="244"/>
      <c r="AQ57" s="244"/>
      <c r="AR57" s="244"/>
      <c r="AS57" s="244"/>
      <c r="AT57" s="244"/>
      <c r="AU57" s="244"/>
      <c r="AV57" s="244"/>
      <c r="AW57" s="244"/>
      <c r="AX57" s="244"/>
      <c r="AY57" s="244"/>
      <c r="AZ57" s="244"/>
      <c r="BA57" s="244"/>
      <c r="BB57" s="244"/>
      <c r="BC57" s="244"/>
      <c r="BD57" s="244"/>
      <c r="BE57" s="244"/>
      <c r="BF57" s="244"/>
      <c r="BG57" s="244"/>
      <c r="BH57" s="244"/>
      <c r="BI57" s="244"/>
      <c r="BJ57" s="244"/>
      <c r="BK57" s="244"/>
    </row>
    <row r="58" ht="9.95" customHeight="1">
      <c r="AJ58" s="244"/>
      <c r="AK58" s="244"/>
      <c r="AL58" s="244"/>
      <c r="AM58" s="244"/>
      <c r="AN58" s="244"/>
      <c r="AO58" s="244"/>
      <c r="AP58" s="244"/>
      <c r="AQ58" s="244"/>
      <c r="AR58" s="244"/>
      <c r="AS58" s="244"/>
      <c r="AT58" s="244"/>
      <c r="AU58" s="244"/>
      <c r="AV58" s="244"/>
      <c r="AW58" s="244"/>
      <c r="AX58" s="244"/>
      <c r="AY58" s="244"/>
      <c r="AZ58" s="244"/>
      <c r="BA58" s="244"/>
      <c r="BB58" s="244"/>
      <c r="BC58" s="244"/>
      <c r="BD58" s="244"/>
      <c r="BE58" s="244"/>
      <c r="BF58" s="244"/>
      <c r="BG58" s="244"/>
      <c r="BH58" s="244"/>
      <c r="BI58" s="244"/>
      <c r="BJ58" s="244"/>
      <c r="BK58" s="244"/>
    </row>
    <row r="59">
      <c r="A59" s="244"/>
      <c r="B59" s="244"/>
      <c r="C59" s="244"/>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4"/>
      <c r="AC59" s="244"/>
      <c r="AD59" s="244"/>
      <c r="AE59" s="244"/>
      <c r="AF59" s="244"/>
      <c r="AG59" s="244"/>
      <c r="AH59" s="244"/>
      <c r="AI59" s="244"/>
      <c r="AJ59" s="244"/>
      <c r="AK59" s="244"/>
      <c r="AL59" s="244"/>
      <c r="AM59" s="244"/>
      <c r="AN59" s="244"/>
      <c r="AO59" s="244"/>
      <c r="AP59" s="244"/>
      <c r="AQ59" s="244"/>
      <c r="AR59" s="244"/>
      <c r="AS59" s="244"/>
      <c r="AT59" s="244"/>
      <c r="AU59" s="244"/>
      <c r="AV59" s="244"/>
      <c r="AW59" s="244"/>
      <c r="AX59" s="244"/>
      <c r="AY59" s="244"/>
      <c r="AZ59" s="244"/>
      <c r="BA59" s="244"/>
      <c r="BB59" s="244"/>
      <c r="BC59" s="244"/>
      <c r="BD59" s="244"/>
      <c r="BE59" s="244"/>
      <c r="BF59" s="244"/>
      <c r="BG59" s="244"/>
      <c r="BH59" s="244"/>
      <c r="BI59" s="244"/>
      <c r="BJ59" s="244"/>
      <c r="BK59" s="244"/>
    </row>
    <row r="60">
      <c r="A60" s="244"/>
      <c r="B60" s="244"/>
      <c r="C60" s="244"/>
      <c r="D60" s="244"/>
      <c r="E60" s="244"/>
      <c r="F60" s="244"/>
      <c r="G60" s="244"/>
      <c r="H60" s="244"/>
      <c r="I60" s="244"/>
      <c r="J60" s="244"/>
      <c r="K60" s="244"/>
      <c r="L60" s="244"/>
      <c r="M60" s="244"/>
      <c r="N60" s="244"/>
      <c r="O60" s="244"/>
      <c r="P60" s="244"/>
      <c r="Q60" s="244"/>
      <c r="R60" s="244"/>
      <c r="S60" s="244"/>
      <c r="T60" s="244"/>
      <c r="U60" s="244"/>
      <c r="V60" s="244"/>
      <c r="W60" s="244"/>
      <c r="X60" s="244"/>
      <c r="Y60" s="244"/>
      <c r="Z60" s="244"/>
      <c r="AA60" s="244"/>
      <c r="AB60" s="244"/>
      <c r="AC60" s="244"/>
      <c r="AD60" s="244"/>
      <c r="AE60" s="244"/>
      <c r="AF60" s="244"/>
      <c r="AG60" s="244"/>
      <c r="AH60" s="244"/>
      <c r="AI60" s="244"/>
      <c r="AJ60" s="244"/>
      <c r="AK60" s="244"/>
      <c r="AL60" s="244"/>
      <c r="AM60" s="244"/>
      <c r="AN60" s="244"/>
      <c r="AO60" s="244"/>
      <c r="AP60" s="244"/>
      <c r="AQ60" s="244"/>
      <c r="AR60" s="244"/>
      <c r="AS60" s="244"/>
      <c r="AT60" s="244"/>
      <c r="AU60" s="244"/>
      <c r="AV60" s="244"/>
      <c r="AW60" s="244"/>
      <c r="AX60" s="244"/>
      <c r="AY60" s="244"/>
      <c r="AZ60" s="244"/>
      <c r="BA60" s="244"/>
      <c r="BB60" s="244"/>
      <c r="BC60" s="244"/>
      <c r="BD60" s="244"/>
      <c r="BE60" s="244"/>
      <c r="BF60" s="244"/>
      <c r="BG60" s="244"/>
      <c r="BH60" s="244"/>
      <c r="BI60" s="244"/>
      <c r="BJ60" s="244"/>
      <c r="BK60" s="244"/>
    </row>
    <row r="61">
      <c r="A61" s="244"/>
      <c r="B61" s="244"/>
      <c r="C61" s="244"/>
      <c r="D61" s="244"/>
      <c r="E61" s="244"/>
      <c r="F61" s="244"/>
      <c r="G61" s="244"/>
      <c r="H61" s="244"/>
      <c r="I61" s="244"/>
      <c r="J61" s="244"/>
      <c r="K61" s="244"/>
      <c r="L61" s="244"/>
      <c r="M61" s="244"/>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244"/>
      <c r="AW61" s="244"/>
      <c r="AX61" s="244"/>
      <c r="AY61" s="244"/>
      <c r="AZ61" s="244"/>
      <c r="BA61" s="244"/>
      <c r="BB61" s="244"/>
      <c r="BC61" s="244"/>
      <c r="BD61" s="244"/>
      <c r="BE61" s="244"/>
      <c r="BF61" s="244"/>
      <c r="BG61" s="244"/>
      <c r="BH61" s="244"/>
      <c r="BI61" s="244"/>
      <c r="BJ61" s="244"/>
      <c r="BK61" s="244"/>
    </row>
    <row r="62">
      <c r="A62" s="244"/>
      <c r="B62" s="244"/>
      <c r="C62" s="244"/>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c r="BB62" s="244"/>
      <c r="BC62" s="244"/>
      <c r="BD62" s="244"/>
      <c r="BE62" s="244"/>
      <c r="BF62" s="244"/>
      <c r="BG62" s="244"/>
      <c r="BH62" s="244"/>
      <c r="BI62" s="244"/>
      <c r="BJ62" s="244"/>
      <c r="BK62" s="244"/>
    </row>
    <row r="63">
      <c r="A63" s="244"/>
      <c r="B63" s="244"/>
      <c r="C63" s="244"/>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c r="BB63" s="244"/>
      <c r="BC63" s="244"/>
      <c r="BD63" s="244"/>
      <c r="BE63" s="244"/>
      <c r="BF63" s="244"/>
      <c r="BG63" s="244"/>
      <c r="BH63" s="244"/>
      <c r="BI63" s="244"/>
      <c r="BJ63" s="244"/>
      <c r="BK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c r="BH64" s="244"/>
      <c r="BI64" s="244"/>
      <c r="BJ64" s="244"/>
      <c r="BK64" s="244"/>
    </row>
    <row r="65" s="25" customFormat="1">
      <c r="A65" s="255"/>
      <c r="B65" s="255"/>
      <c r="C65" s="255"/>
      <c r="D65" s="255"/>
      <c r="E65" s="255"/>
      <c r="F65" s="255"/>
      <c r="G65" s="255"/>
      <c r="H65" s="255"/>
      <c r="I65" s="255"/>
      <c r="J65" s="255"/>
      <c r="K65" s="255"/>
      <c r="L65" s="255"/>
      <c r="M65" s="255"/>
      <c r="N65" s="255"/>
      <c r="O65" s="255"/>
      <c r="P65" s="255"/>
      <c r="Q65" s="255"/>
      <c r="R65" s="255"/>
      <c r="S65" s="255"/>
      <c r="T65" s="255"/>
      <c r="U65" s="255"/>
      <c r="V65" s="255"/>
      <c r="W65" s="255"/>
      <c r="X65" s="255"/>
      <c r="Y65" s="255"/>
      <c r="Z65" s="255"/>
      <c r="AA65" s="255"/>
      <c r="AB65" s="255"/>
      <c r="AC65" s="255"/>
      <c r="AD65" s="255"/>
      <c r="AE65" s="255"/>
      <c r="AF65" s="255"/>
      <c r="AG65" s="255"/>
      <c r="AH65" s="255"/>
      <c r="AI65" s="255"/>
      <c r="AJ65" s="255"/>
      <c r="AK65" s="255"/>
      <c r="AL65" s="255"/>
      <c r="AM65" s="255"/>
      <c r="AN65" s="255"/>
      <c r="AO65" s="255"/>
      <c r="AP65" s="255"/>
      <c r="AQ65" s="255"/>
      <c r="AR65" s="255"/>
      <c r="AS65" s="255"/>
      <c r="AT65" s="255"/>
      <c r="AU65" s="255"/>
      <c r="AV65" s="255"/>
      <c r="AW65" s="255"/>
      <c r="AX65" s="255"/>
      <c r="AY65" s="255"/>
      <c r="AZ65" s="255"/>
      <c r="BA65" s="255"/>
      <c r="BB65" s="255"/>
      <c r="BC65" s="255"/>
      <c r="BD65" s="255"/>
      <c r="BE65" s="255"/>
      <c r="BF65" s="255"/>
      <c r="BG65" s="255"/>
      <c r="BH65" s="255"/>
      <c r="BI65" s="255"/>
      <c r="BJ65" s="255"/>
      <c r="BK65" s="255"/>
    </row>
    <row r="66" s="25" customFormat="1" ht="10.5" customHeight="1">
      <c r="A66" s="255"/>
      <c r="B66" s="664"/>
      <c r="C66" s="664"/>
      <c r="D66" s="664"/>
      <c r="E66" s="664"/>
      <c r="F66" s="664"/>
      <c r="G66" s="664"/>
      <c r="H66" s="664"/>
      <c r="I66" s="664"/>
      <c r="J66" s="664"/>
      <c r="K66" s="664"/>
      <c r="L66" s="664"/>
      <c r="M66" s="664"/>
      <c r="N66" s="664"/>
      <c r="O66" s="664"/>
      <c r="P66" s="664"/>
      <c r="Q66" s="664"/>
      <c r="R66" s="664"/>
      <c r="S66" s="664"/>
      <c r="T66" s="664"/>
      <c r="U66" s="664"/>
      <c r="V66" s="664"/>
      <c r="W66" s="664"/>
      <c r="X66" s="664"/>
      <c r="Y66" s="664"/>
      <c r="Z66" s="664"/>
      <c r="AA66" s="664"/>
      <c r="AB66" s="664"/>
      <c r="AC66" s="664"/>
      <c r="AD66" s="664"/>
      <c r="AE66" s="664"/>
      <c r="AF66" s="664"/>
      <c r="AG66" s="664"/>
      <c r="AH66" s="664"/>
      <c r="AI66" s="255"/>
      <c r="AJ66" s="255"/>
      <c r="AK66" s="255"/>
      <c r="AL66" s="255"/>
      <c r="AM66" s="255"/>
      <c r="AN66" s="255"/>
      <c r="AO66" s="255"/>
      <c r="AP66" s="255"/>
      <c r="AQ66" s="255"/>
      <c r="AR66" s="255"/>
      <c r="AS66" s="255"/>
      <c r="AT66" s="255"/>
      <c r="AU66" s="255"/>
      <c r="AV66" s="255"/>
      <c r="AW66" s="255"/>
      <c r="AX66" s="255"/>
      <c r="AY66" s="255"/>
      <c r="AZ66" s="255"/>
      <c r="BA66" s="255"/>
      <c r="BB66" s="255"/>
      <c r="BC66" s="255"/>
      <c r="BD66" s="255"/>
      <c r="BE66" s="255"/>
      <c r="BF66" s="255"/>
      <c r="BG66" s="255"/>
      <c r="BH66" s="255"/>
      <c r="BI66" s="255"/>
      <c r="BJ66" s="255"/>
      <c r="BK66" s="255"/>
    </row>
    <row r="67" s="25" customFormat="1">
      <c r="A67" s="255"/>
      <c r="B67" s="664"/>
      <c r="C67" s="664"/>
      <c r="D67" s="664"/>
      <c r="E67" s="664"/>
      <c r="F67" s="664"/>
      <c r="G67" s="664"/>
      <c r="H67" s="664"/>
      <c r="I67" s="664"/>
      <c r="J67" s="664"/>
      <c r="K67" s="664"/>
      <c r="L67" s="664"/>
      <c r="M67" s="664"/>
      <c r="N67" s="664"/>
      <c r="O67" s="664"/>
      <c r="P67" s="664"/>
      <c r="Q67" s="664"/>
      <c r="R67" s="664"/>
      <c r="S67" s="664"/>
      <c r="T67" s="664"/>
      <c r="U67" s="664"/>
      <c r="V67" s="664"/>
      <c r="W67" s="664"/>
      <c r="X67" s="664"/>
      <c r="Y67" s="664"/>
      <c r="Z67" s="664"/>
      <c r="AA67" s="664"/>
      <c r="AB67" s="664"/>
      <c r="AC67" s="664"/>
      <c r="AD67" s="664"/>
      <c r="AE67" s="664"/>
      <c r="AF67" s="664"/>
      <c r="AG67" s="664"/>
      <c r="AH67" s="664"/>
      <c r="AI67" s="255"/>
      <c r="AJ67" s="255"/>
      <c r="AK67" s="255"/>
      <c r="AL67" s="255"/>
      <c r="AM67" s="255"/>
      <c r="AN67" s="255"/>
      <c r="AO67" s="255"/>
      <c r="AP67" s="255"/>
      <c r="AQ67" s="255"/>
      <c r="AR67" s="255"/>
      <c r="AS67" s="255"/>
      <c r="AT67" s="255"/>
      <c r="AU67" s="255"/>
      <c r="AV67" s="255"/>
      <c r="AW67" s="255"/>
      <c r="AX67" s="255"/>
      <c r="AY67" s="255"/>
      <c r="AZ67" s="255"/>
      <c r="BA67" s="255"/>
      <c r="BB67" s="255"/>
      <c r="BC67" s="255"/>
      <c r="BD67" s="255"/>
      <c r="BE67" s="255"/>
      <c r="BF67" s="255"/>
      <c r="BG67" s="255"/>
      <c r="BH67" s="255"/>
      <c r="BI67" s="255"/>
      <c r="BJ67" s="255"/>
      <c r="BK67" s="255"/>
    </row>
    <row r="68" s="84" customFormat="1">
      <c r="A68" s="257"/>
      <c r="B68" s="664"/>
      <c r="C68" s="664"/>
      <c r="D68" s="664"/>
      <c r="E68" s="664"/>
      <c r="F68" s="664"/>
      <c r="G68" s="664"/>
      <c r="H68" s="664"/>
      <c r="I68" s="664"/>
      <c r="J68" s="664"/>
      <c r="K68" s="664"/>
      <c r="L68" s="664"/>
      <c r="M68" s="664"/>
      <c r="N68" s="664"/>
      <c r="O68" s="664"/>
      <c r="P68" s="664"/>
      <c r="Q68" s="664"/>
      <c r="R68" s="664"/>
      <c r="S68" s="664"/>
      <c r="T68" s="664"/>
      <c r="U68" s="664"/>
      <c r="V68" s="664"/>
      <c r="W68" s="664"/>
      <c r="X68" s="664"/>
      <c r="Y68" s="664"/>
      <c r="Z68" s="664"/>
      <c r="AA68" s="664"/>
      <c r="AB68" s="664"/>
      <c r="AC68" s="664"/>
      <c r="AD68" s="664"/>
      <c r="AE68" s="664"/>
      <c r="AF68" s="664"/>
      <c r="AG68" s="664"/>
      <c r="AH68" s="664"/>
      <c r="AI68" s="257"/>
      <c r="AJ68" s="257"/>
      <c r="AK68" s="257"/>
      <c r="AL68" s="257"/>
      <c r="AM68" s="257"/>
      <c r="AN68" s="257"/>
      <c r="AO68" s="257"/>
      <c r="AP68" s="257"/>
      <c r="AQ68" s="257"/>
      <c r="AR68" s="257"/>
      <c r="AS68" s="257"/>
      <c r="AT68" s="257"/>
      <c r="AU68" s="257"/>
      <c r="AV68" s="257"/>
      <c r="AW68" s="257"/>
      <c r="AX68" s="257"/>
      <c r="AY68" s="257"/>
      <c r="AZ68" s="257"/>
      <c r="BA68" s="257"/>
      <c r="BB68" s="257"/>
      <c r="BC68" s="257"/>
      <c r="BD68" s="257"/>
      <c r="BE68" s="257"/>
      <c r="BF68" s="257"/>
      <c r="BG68" s="257"/>
      <c r="BH68" s="257"/>
      <c r="BI68" s="257"/>
      <c r="BJ68" s="257"/>
      <c r="BK68" s="257"/>
    </row>
    <row r="69" s="84" customFormat="1">
      <c r="A69" s="257"/>
      <c r="B69" s="664"/>
      <c r="C69" s="664"/>
      <c r="D69" s="664"/>
      <c r="E69" s="664"/>
      <c r="F69" s="664"/>
      <c r="G69" s="664"/>
      <c r="H69" s="664"/>
      <c r="I69" s="664"/>
      <c r="J69" s="664"/>
      <c r="K69" s="664"/>
      <c r="L69" s="664"/>
      <c r="M69" s="664"/>
      <c r="N69" s="664"/>
      <c r="O69" s="664"/>
      <c r="P69" s="664"/>
      <c r="Q69" s="664"/>
      <c r="R69" s="664"/>
      <c r="S69" s="664"/>
      <c r="T69" s="664"/>
      <c r="U69" s="664"/>
      <c r="V69" s="664"/>
      <c r="W69" s="664"/>
      <c r="X69" s="664"/>
      <c r="Y69" s="664"/>
      <c r="Z69" s="664"/>
      <c r="AA69" s="664"/>
      <c r="AB69" s="664"/>
      <c r="AC69" s="664"/>
      <c r="AD69" s="664"/>
      <c r="AE69" s="664"/>
      <c r="AF69" s="664"/>
      <c r="AG69" s="664"/>
      <c r="AH69" s="664"/>
      <c r="AI69" s="257"/>
      <c r="AJ69" s="257"/>
      <c r="AK69" s="257"/>
      <c r="AL69" s="257"/>
      <c r="AM69" s="257"/>
      <c r="AN69" s="257"/>
      <c r="AO69" s="257"/>
      <c r="AP69" s="257"/>
      <c r="AQ69" s="257"/>
      <c r="AR69" s="257"/>
      <c r="AS69" s="257"/>
      <c r="AT69" s="257"/>
      <c r="AU69" s="257"/>
      <c r="AV69" s="257"/>
      <c r="AW69" s="257"/>
      <c r="AX69" s="257"/>
      <c r="AY69" s="257"/>
      <c r="AZ69" s="257"/>
      <c r="BA69" s="257"/>
      <c r="BB69" s="257"/>
      <c r="BC69" s="257"/>
      <c r="BD69" s="257"/>
      <c r="BE69" s="257"/>
      <c r="BF69" s="257"/>
      <c r="BG69" s="257"/>
      <c r="BH69" s="257"/>
      <c r="BI69" s="257"/>
      <c r="BJ69" s="257"/>
      <c r="BK69" s="257"/>
    </row>
    <row r="70" s="84" customFormat="1">
      <c r="A70" s="257"/>
      <c r="B70" s="664"/>
      <c r="C70" s="664"/>
      <c r="D70" s="664"/>
      <c r="E70" s="664"/>
      <c r="F70" s="664"/>
      <c r="G70" s="664"/>
      <c r="H70" s="664"/>
      <c r="I70" s="664"/>
      <c r="J70" s="664"/>
      <c r="K70" s="664"/>
      <c r="L70" s="664"/>
      <c r="M70" s="664"/>
      <c r="N70" s="664"/>
      <c r="O70" s="664"/>
      <c r="P70" s="664"/>
      <c r="Q70" s="664"/>
      <c r="R70" s="664"/>
      <c r="S70" s="664"/>
      <c r="T70" s="664"/>
      <c r="U70" s="664"/>
      <c r="V70" s="664"/>
      <c r="W70" s="664"/>
      <c r="X70" s="664"/>
      <c r="Y70" s="664"/>
      <c r="Z70" s="664"/>
      <c r="AA70" s="664"/>
      <c r="AB70" s="664"/>
      <c r="AC70" s="664"/>
      <c r="AD70" s="664"/>
      <c r="AE70" s="664"/>
      <c r="AF70" s="664"/>
      <c r="AG70" s="664"/>
      <c r="AH70" s="664"/>
      <c r="AI70" s="257"/>
      <c r="AJ70" s="257"/>
      <c r="AK70" s="257"/>
      <c r="AL70" s="257"/>
      <c r="AM70" s="257"/>
      <c r="AN70" s="257"/>
      <c r="AO70" s="257"/>
      <c r="AP70" s="257"/>
      <c r="AQ70" s="257"/>
      <c r="AR70" s="257"/>
      <c r="AS70" s="257"/>
      <c r="AT70" s="257"/>
      <c r="AU70" s="257"/>
      <c r="AV70" s="257"/>
      <c r="AW70" s="257"/>
      <c r="AX70" s="257"/>
      <c r="AY70" s="257"/>
      <c r="AZ70" s="257"/>
      <c r="BA70" s="257"/>
      <c r="BB70" s="257"/>
      <c r="BC70" s="257"/>
      <c r="BD70" s="257"/>
      <c r="BE70" s="257"/>
      <c r="BF70" s="257"/>
      <c r="BG70" s="257"/>
      <c r="BH70" s="257"/>
      <c r="BI70" s="257"/>
      <c r="BJ70" s="257"/>
      <c r="BK70" s="257"/>
    </row>
    <row r="71" s="84" customFormat="1">
      <c r="A71" s="257"/>
      <c r="B71" s="664">
        <v>1</v>
      </c>
      <c r="C71" s="664">
        <v>2</v>
      </c>
      <c r="D71" s="664">
        <v>3</v>
      </c>
      <c r="E71" s="664">
        <v>4</v>
      </c>
      <c r="F71" s="664">
        <v>5</v>
      </c>
      <c r="G71" s="664">
        <v>6</v>
      </c>
      <c r="H71" s="664">
        <v>7</v>
      </c>
      <c r="I71" s="664">
        <v>8</v>
      </c>
      <c r="J71" s="664">
        <v>9</v>
      </c>
      <c r="K71" s="664">
        <v>10</v>
      </c>
      <c r="L71" s="664">
        <v>11</v>
      </c>
      <c r="M71" s="664">
        <v>12</v>
      </c>
      <c r="N71" s="664"/>
      <c r="O71" s="664"/>
      <c r="P71" s="664"/>
      <c r="Q71" s="664"/>
      <c r="R71" s="664"/>
      <c r="S71" s="664"/>
      <c r="T71" s="664"/>
      <c r="U71" s="664"/>
      <c r="V71" s="664"/>
      <c r="W71" s="664"/>
      <c r="X71" s="664"/>
      <c r="Y71" s="664"/>
      <c r="Z71" s="664"/>
      <c r="AA71" s="664"/>
      <c r="AB71" s="664"/>
      <c r="AC71" s="664"/>
      <c r="AD71" s="664"/>
      <c r="AE71" s="664"/>
      <c r="AF71" s="664"/>
      <c r="AG71" s="664"/>
      <c r="AH71" s="664"/>
      <c r="AI71" s="257"/>
      <c r="AJ71" s="257"/>
      <c r="AK71" s="257"/>
      <c r="AL71" s="257"/>
      <c r="AM71" s="257"/>
      <c r="AN71" s="257"/>
      <c r="AO71" s="257"/>
      <c r="AP71" s="257"/>
      <c r="AQ71" s="257"/>
      <c r="AR71" s="257"/>
      <c r="AS71" s="257"/>
      <c r="AT71" s="257"/>
      <c r="AU71" s="257"/>
      <c r="AV71" s="257"/>
      <c r="AW71" s="257"/>
      <c r="AX71" s="257"/>
      <c r="AY71" s="257"/>
      <c r="AZ71" s="257"/>
      <c r="BA71" s="257"/>
      <c r="BB71" s="257"/>
      <c r="BC71" s="257"/>
      <c r="BD71" s="257"/>
      <c r="BE71" s="257"/>
      <c r="BF71" s="257"/>
      <c r="BG71" s="257"/>
      <c r="BH71" s="257"/>
      <c r="BI71" s="257"/>
      <c r="BJ71" s="257"/>
      <c r="BK71" s="257"/>
    </row>
    <row r="72" s="84" customFormat="1">
      <c r="A72" s="256"/>
      <c r="B72" s="664" t="n">
        <v>45780</v>
      </c>
      <c r="C72" s="664">
        <v>45787</v>
      </c>
      <c r="D72" s="664">
        <v>45794</v>
      </c>
      <c r="E72" s="664">
        <v>45801</v>
      </c>
      <c r="F72" s="664">
        <v>45808</v>
      </c>
      <c r="G72" s="664">
        <v>45815</v>
      </c>
      <c r="H72" s="664">
        <v>45822</v>
      </c>
      <c r="I72" s="664">
        <v>45829</v>
      </c>
      <c r="J72" s="664">
        <v>45836</v>
      </c>
      <c r="K72" s="664">
        <v>45843</v>
      </c>
      <c r="L72" s="664">
        <v>45850</v>
      </c>
      <c r="M72" s="664">
        <v>45857</v>
      </c>
      <c r="N72" s="664"/>
      <c r="O72" s="664"/>
      <c r="P72" s="664"/>
      <c r="Q72" s="664"/>
      <c r="R72" s="664"/>
      <c r="S72" s="664"/>
      <c r="T72" s="664"/>
      <c r="U72" s="664"/>
      <c r="V72" s="664"/>
      <c r="W72" s="664"/>
      <c r="X72" s="664"/>
      <c r="Y72" s="664"/>
      <c r="Z72" s="664"/>
      <c r="AA72" s="664"/>
      <c r="AB72" s="664"/>
      <c r="AC72" s="664"/>
      <c r="AD72" s="664"/>
      <c r="AE72" s="664"/>
      <c r="AF72" s="664"/>
      <c r="AG72" s="664"/>
      <c r="AH72" s="664"/>
      <c r="AI72" s="257"/>
      <c r="AJ72" s="257"/>
      <c r="AK72" s="257"/>
      <c r="AL72" s="257"/>
      <c r="AM72" s="257"/>
      <c r="AN72" s="257"/>
      <c r="AO72" s="257"/>
      <c r="AP72" s="257"/>
      <c r="AQ72" s="257"/>
      <c r="AR72" s="257"/>
      <c r="AS72" s="257"/>
      <c r="AT72" s="257"/>
      <c r="AU72" s="257"/>
      <c r="AV72" s="257"/>
      <c r="AW72" s="257"/>
      <c r="AX72" s="257"/>
      <c r="AY72" s="257"/>
      <c r="AZ72" s="257"/>
      <c r="BA72" s="257"/>
      <c r="BB72" s="257"/>
      <c r="BC72" s="257"/>
      <c r="BD72" s="257"/>
      <c r="BE72" s="257"/>
      <c r="BF72" s="257"/>
      <c r="BG72" s="257"/>
      <c r="BH72" s="257"/>
      <c r="BI72" s="257"/>
      <c r="BJ72" s="257"/>
      <c r="BK72" s="257"/>
    </row>
    <row r="73" s="84" customFormat="1" ht="14.25">
      <c r="A73" s="260" t="s">
        <v>32</v>
      </c>
      <c r="B73" s="664">
        <v>49.001536098310291858678955450</v>
      </c>
      <c r="C73" s="664">
        <v>29.646697388632872503840245780</v>
      </c>
      <c r="D73" s="664">
        <v>37.480798771121351766513056840</v>
      </c>
      <c r="E73" s="664">
        <v>37.634408602150537634408602150</v>
      </c>
      <c r="F73" s="664">
        <v>39.016897081413210445468509980</v>
      </c>
      <c r="G73" s="664">
        <v>42.242703533026113671274961600</v>
      </c>
      <c r="H73" s="664">
        <v>28.673835125448028673835125450</v>
      </c>
      <c r="I73" s="664">
        <v>45.314900153609831029185867900</v>
      </c>
      <c r="J73" s="664">
        <v>50.768049155145929339477726570</v>
      </c>
      <c r="K73" s="664">
        <v>29.877112135176651305683563750</v>
      </c>
      <c r="L73" s="664">
        <v>39.170506912442396313364055300</v>
      </c>
      <c r="M73" s="664">
        <v>40.629800307219662058371735790</v>
      </c>
      <c r="N73" s="664"/>
      <c r="O73" s="664"/>
      <c r="P73" s="664"/>
      <c r="Q73" s="664"/>
      <c r="R73" s="664"/>
      <c r="S73" s="664"/>
      <c r="T73" s="664"/>
      <c r="U73" s="664"/>
      <c r="V73" s="664"/>
      <c r="W73" s="664"/>
      <c r="X73" s="664"/>
      <c r="Y73" s="664"/>
      <c r="Z73" s="664"/>
      <c r="AA73" s="664"/>
      <c r="AB73" s="664"/>
      <c r="AC73" s="664"/>
      <c r="AD73" s="664"/>
      <c r="AE73" s="664"/>
      <c r="AF73" s="664"/>
      <c r="AG73" s="664"/>
      <c r="AH73" s="664"/>
      <c r="AI73" s="257"/>
      <c r="AJ73" s="257"/>
      <c r="AK73" s="257"/>
      <c r="AL73" s="257"/>
      <c r="AM73" s="257"/>
      <c r="AN73" s="257"/>
      <c r="AO73" s="257"/>
      <c r="AP73" s="257"/>
      <c r="AQ73" s="257"/>
      <c r="AR73" s="257"/>
      <c r="AS73" s="257"/>
      <c r="AT73" s="257"/>
      <c r="AU73" s="257"/>
      <c r="AV73" s="257"/>
      <c r="AW73" s="257"/>
      <c r="AX73" s="257"/>
      <c r="AY73" s="257"/>
      <c r="AZ73" s="257"/>
      <c r="BA73" s="257"/>
      <c r="BB73" s="257"/>
      <c r="BC73" s="257"/>
      <c r="BD73" s="257"/>
      <c r="BE73" s="257"/>
      <c r="BF73" s="257"/>
      <c r="BG73" s="257"/>
      <c r="BH73" s="257"/>
      <c r="BI73" s="257"/>
      <c r="BJ73" s="257"/>
      <c r="BK73" s="257"/>
    </row>
    <row r="74" s="84" customFormat="1" ht="14.25">
      <c r="A74" s="260" t="s">
        <v>26</v>
      </c>
      <c r="B74" s="664">
        <v>61.852144172586161536437779530</v>
      </c>
      <c r="C74" s="664">
        <v>48.447776900815574848724019990</v>
      </c>
      <c r="D74" s="664">
        <v>54.735595895816890292028413580</v>
      </c>
      <c r="E74" s="664">
        <v>57.090239410681399631675874770</v>
      </c>
      <c r="F74" s="664">
        <v>49.039726387792686135227571690</v>
      </c>
      <c r="G74" s="664">
        <v>61.444356748224151539068666140</v>
      </c>
      <c r="H74" s="664">
        <v>58.945014469876348329387003420</v>
      </c>
      <c r="I74" s="664">
        <v>63.785845830044725072349381740</v>
      </c>
      <c r="J74" s="664">
        <v>61.70923734425436356572288700</v>
      </c>
      <c r="K74" s="664">
        <v>45.803735858984477769008155750</v>
      </c>
      <c r="L74" s="664">
        <v>62.865035516969218626677190210</v>
      </c>
      <c r="M74" s="664">
        <v>59.155485398579321231254932910</v>
      </c>
      <c r="N74" s="664"/>
      <c r="O74" s="664"/>
      <c r="P74" s="664"/>
      <c r="Q74" s="664"/>
      <c r="R74" s="664"/>
      <c r="S74" s="664"/>
      <c r="T74" s="664"/>
      <c r="U74" s="664"/>
      <c r="V74" s="664"/>
      <c r="W74" s="664"/>
      <c r="X74" s="664"/>
      <c r="Y74" s="664"/>
      <c r="Z74" s="664"/>
      <c r="AA74" s="664"/>
      <c r="AB74" s="664"/>
      <c r="AC74" s="664"/>
      <c r="AD74" s="664"/>
      <c r="AE74" s="664"/>
      <c r="AF74" s="664"/>
      <c r="AG74" s="664"/>
      <c r="AH74" s="664"/>
      <c r="AI74" s="257"/>
      <c r="AJ74" s="257"/>
      <c r="AK74" s="257"/>
      <c r="AL74" s="257"/>
      <c r="AM74" s="257"/>
      <c r="AN74" s="257"/>
      <c r="AO74" s="257"/>
      <c r="AP74" s="257"/>
      <c r="AQ74" s="257"/>
      <c r="AR74" s="257"/>
      <c r="AS74" s="257"/>
      <c r="AT74" s="257"/>
      <c r="AU74" s="257"/>
      <c r="AV74" s="257"/>
      <c r="AW74" s="257"/>
      <c r="AX74" s="257"/>
      <c r="AY74" s="257"/>
      <c r="AZ74" s="257"/>
      <c r="BA74" s="257"/>
      <c r="BB74" s="257"/>
      <c r="BC74" s="257"/>
      <c r="BD74" s="257"/>
      <c r="BE74" s="257"/>
      <c r="BF74" s="257"/>
      <c r="BG74" s="257"/>
      <c r="BH74" s="257"/>
      <c r="BI74" s="257"/>
      <c r="BJ74" s="257"/>
      <c r="BK74" s="257"/>
    </row>
    <row r="75" ht="14.25">
      <c r="A75" s="260" t="s">
        <v>147</v>
      </c>
      <c r="B75" s="664">
        <v>77.473275024295432458697764820</v>
      </c>
      <c r="C75" s="664">
        <v>69.322967282150955620343375450</v>
      </c>
      <c r="D75" s="664">
        <v>69.420149011985746679624230640</v>
      </c>
      <c r="E75" s="664">
        <v>72.432782636864269517330741820</v>
      </c>
      <c r="F75" s="664">
        <v>63.446712018140589569160997730</v>
      </c>
      <c r="G75" s="664">
        <v>78.736637512147716229348882410</v>
      </c>
      <c r="H75" s="664">
        <v>74.408811143505021056041464200</v>
      </c>
      <c r="I75" s="664">
        <v>77.680596047942986718496922580</v>
      </c>
      <c r="J75" s="664">
        <v>75.730482669258179462261094910</v>
      </c>
      <c r="K75" s="664">
        <v>63.122772918691286038224813740</v>
      </c>
      <c r="L75" s="664">
        <v>77.032717849044379656624554580</v>
      </c>
      <c r="M75" s="664">
        <v>74.603174603174603174603174600</v>
      </c>
      <c r="N75" s="664"/>
      <c r="O75" s="664"/>
      <c r="P75" s="664"/>
      <c r="Q75" s="664"/>
      <c r="R75" s="664"/>
      <c r="S75" s="664"/>
      <c r="T75" s="664"/>
      <c r="U75" s="664"/>
      <c r="V75" s="664"/>
      <c r="W75" s="664"/>
      <c r="X75" s="664"/>
      <c r="Y75" s="664"/>
      <c r="Z75" s="664"/>
      <c r="AA75" s="664"/>
      <c r="AB75" s="664"/>
      <c r="AC75" s="664"/>
      <c r="AD75" s="664"/>
      <c r="AE75" s="664"/>
      <c r="AF75" s="664"/>
      <c r="AG75" s="664"/>
      <c r="AH75" s="664"/>
      <c r="AI75" s="244"/>
      <c r="AJ75" s="244"/>
      <c r="AK75" s="244"/>
      <c r="AL75" s="244"/>
      <c r="AM75" s="244"/>
      <c r="AN75" s="244"/>
      <c r="AO75" s="244"/>
      <c r="AP75" s="244"/>
      <c r="AQ75" s="244"/>
      <c r="AR75" s="244"/>
      <c r="AS75" s="244"/>
      <c r="AT75" s="244"/>
      <c r="AU75" s="244"/>
      <c r="AV75" s="244"/>
      <c r="AW75" s="244"/>
      <c r="AX75" s="244"/>
      <c r="AY75" s="244"/>
      <c r="AZ75" s="244"/>
      <c r="BA75" s="244"/>
      <c r="BB75" s="244"/>
      <c r="BC75" s="244"/>
      <c r="BD75" s="244"/>
      <c r="BE75" s="244"/>
      <c r="BF75" s="244"/>
      <c r="BG75" s="244"/>
      <c r="BH75" s="244"/>
      <c r="BI75" s="244"/>
      <c r="BJ75" s="244"/>
      <c r="BK75" s="244"/>
    </row>
    <row r="76">
      <c r="A76" s="256"/>
      <c r="B76" s="664"/>
      <c r="C76" s="664"/>
      <c r="D76" s="664"/>
      <c r="E76" s="664"/>
      <c r="F76" s="664"/>
      <c r="G76" s="664"/>
      <c r="H76" s="664"/>
      <c r="I76" s="664"/>
      <c r="J76" s="664"/>
      <c r="K76" s="664"/>
      <c r="L76" s="664"/>
      <c r="M76" s="664"/>
      <c r="N76" s="664"/>
      <c r="O76" s="664"/>
      <c r="P76" s="664"/>
      <c r="Q76" s="664"/>
      <c r="R76" s="664"/>
      <c r="S76" s="664"/>
      <c r="T76" s="664"/>
      <c r="U76" s="664"/>
      <c r="V76" s="664"/>
      <c r="W76" s="664"/>
      <c r="X76" s="664"/>
      <c r="Y76" s="664"/>
      <c r="Z76" s="664"/>
      <c r="AA76" s="664"/>
      <c r="AB76" s="664"/>
      <c r="AC76" s="664"/>
      <c r="AD76" s="664"/>
      <c r="AE76" s="664"/>
      <c r="AF76" s="664"/>
      <c r="AG76" s="664"/>
      <c r="AH76" s="664"/>
      <c r="AI76" s="244"/>
      <c r="AJ76" s="244"/>
      <c r="AK76" s="244"/>
      <c r="AL76" s="244"/>
      <c r="AM76" s="244"/>
      <c r="AN76" s="244"/>
      <c r="AO76" s="244"/>
      <c r="AP76" s="244"/>
      <c r="AQ76" s="244"/>
      <c r="AR76" s="244"/>
      <c r="AS76" s="244"/>
      <c r="AT76" s="244"/>
      <c r="AU76" s="244"/>
      <c r="AV76" s="244"/>
      <c r="AW76" s="244"/>
      <c r="AX76" s="244"/>
      <c r="AY76" s="244"/>
      <c r="AZ76" s="244"/>
      <c r="BA76" s="244"/>
      <c r="BB76" s="244"/>
      <c r="BC76" s="244"/>
      <c r="BD76" s="244"/>
      <c r="BE76" s="244"/>
      <c r="BF76" s="244"/>
      <c r="BG76" s="244"/>
      <c r="BH76" s="244"/>
      <c r="BI76" s="244"/>
      <c r="BJ76" s="244"/>
      <c r="BK76" s="244"/>
    </row>
    <row r="77">
      <c r="A77" s="256"/>
      <c r="B77" s="664"/>
      <c r="C77" s="664"/>
      <c r="D77" s="664"/>
      <c r="E77" s="664"/>
      <c r="F77" s="664"/>
      <c r="G77" s="664"/>
      <c r="H77" s="664"/>
      <c r="I77" s="664"/>
      <c r="J77" s="664"/>
      <c r="K77" s="664"/>
      <c r="L77" s="664"/>
      <c r="M77" s="664"/>
      <c r="N77" s="664"/>
      <c r="O77" s="664"/>
      <c r="P77" s="664"/>
      <c r="Q77" s="664"/>
      <c r="R77" s="664"/>
      <c r="S77" s="664"/>
      <c r="T77" s="664"/>
      <c r="U77" s="664"/>
      <c r="V77" s="664"/>
      <c r="W77" s="664"/>
      <c r="X77" s="664"/>
      <c r="Y77" s="664"/>
      <c r="Z77" s="664"/>
      <c r="AA77" s="664"/>
      <c r="AB77" s="664"/>
      <c r="AC77" s="664"/>
      <c r="AD77" s="664"/>
      <c r="AE77" s="664"/>
      <c r="AF77" s="664"/>
      <c r="AG77" s="664"/>
      <c r="AH77" s="664"/>
      <c r="AI77" s="244"/>
      <c r="AJ77" s="244"/>
      <c r="AK77" s="244"/>
      <c r="AL77" s="244"/>
      <c r="AM77" s="244"/>
      <c r="AN77" s="244"/>
      <c r="AO77" s="244"/>
      <c r="AP77" s="244"/>
      <c r="AQ77" s="244"/>
      <c r="AR77" s="244"/>
      <c r="AS77" s="244"/>
      <c r="AT77" s="244"/>
      <c r="AU77" s="244"/>
      <c r="AV77" s="244"/>
      <c r="AW77" s="244"/>
      <c r="AX77" s="244"/>
      <c r="AY77" s="244"/>
      <c r="AZ77" s="244"/>
      <c r="BA77" s="244"/>
      <c r="BB77" s="244"/>
      <c r="BC77" s="244"/>
      <c r="BD77" s="244"/>
      <c r="BE77" s="244"/>
      <c r="BF77" s="244"/>
      <c r="BG77" s="244"/>
      <c r="BH77" s="244"/>
      <c r="BI77" s="244"/>
      <c r="BJ77" s="244"/>
      <c r="BK77" s="244"/>
    </row>
    <row r="78">
      <c r="A78" s="244"/>
      <c r="B78" s="664"/>
      <c r="C78" s="664"/>
      <c r="D78" s="664"/>
      <c r="E78" s="664"/>
      <c r="F78" s="664"/>
      <c r="G78" s="664"/>
      <c r="H78" s="664"/>
      <c r="I78" s="664"/>
      <c r="J78" s="664"/>
      <c r="K78" s="664"/>
      <c r="L78" s="664"/>
      <c r="M78" s="664"/>
      <c r="N78" s="664"/>
      <c r="O78" s="664"/>
      <c r="P78" s="664"/>
      <c r="Q78" s="664"/>
      <c r="R78" s="664"/>
      <c r="S78" s="664"/>
      <c r="T78" s="664"/>
      <c r="U78" s="664"/>
      <c r="V78" s="664"/>
      <c r="W78" s="664"/>
      <c r="X78" s="664"/>
      <c r="Y78" s="664"/>
      <c r="Z78" s="664"/>
      <c r="AA78" s="664"/>
      <c r="AB78" s="664"/>
      <c r="AC78" s="664"/>
      <c r="AD78" s="664"/>
      <c r="AE78" s="664"/>
      <c r="AF78" s="664"/>
      <c r="AG78" s="664"/>
      <c r="AH78" s="664"/>
      <c r="AI78" s="244"/>
      <c r="AJ78" s="244"/>
      <c r="AK78" s="244"/>
      <c r="AL78" s="244"/>
      <c r="AM78" s="244"/>
      <c r="AN78" s="244"/>
      <c r="AO78" s="244"/>
      <c r="AP78" s="244"/>
      <c r="AQ78" s="244"/>
      <c r="AR78" s="244"/>
      <c r="AS78" s="244"/>
      <c r="AT78" s="244"/>
      <c r="AU78" s="244"/>
      <c r="AV78" s="244"/>
      <c r="AW78" s="244"/>
      <c r="AX78" s="244"/>
      <c r="AY78" s="244"/>
      <c r="AZ78" s="244"/>
      <c r="BA78" s="244"/>
      <c r="BB78" s="244"/>
      <c r="BC78" s="244"/>
      <c r="BD78" s="244"/>
      <c r="BE78" s="244"/>
      <c r="BF78" s="244"/>
      <c r="BG78" s="244"/>
      <c r="BH78" s="244"/>
      <c r="BI78" s="244"/>
      <c r="BJ78" s="244"/>
      <c r="BK78" s="244"/>
    </row>
    <row r="79">
      <c r="A79" s="244"/>
      <c r="B79" s="664"/>
      <c r="C79" s="664"/>
      <c r="D79" s="664"/>
      <c r="E79" s="664"/>
      <c r="F79" s="664"/>
      <c r="G79" s="664"/>
      <c r="H79" s="664"/>
      <c r="I79" s="664"/>
      <c r="J79" s="664"/>
      <c r="K79" s="664"/>
      <c r="L79" s="664"/>
      <c r="M79" s="664"/>
      <c r="N79" s="664"/>
      <c r="O79" s="664"/>
      <c r="P79" s="664"/>
      <c r="Q79" s="664"/>
      <c r="R79" s="664"/>
      <c r="S79" s="664"/>
      <c r="T79" s="664"/>
      <c r="U79" s="664"/>
      <c r="V79" s="664"/>
      <c r="W79" s="664"/>
      <c r="X79" s="664"/>
      <c r="Y79" s="664"/>
      <c r="Z79" s="664"/>
      <c r="AA79" s="664"/>
      <c r="AB79" s="664"/>
      <c r="AC79" s="664"/>
      <c r="AD79" s="664"/>
      <c r="AE79" s="664"/>
      <c r="AF79" s="664"/>
      <c r="AG79" s="664"/>
      <c r="AH79" s="664"/>
      <c r="AI79" s="244"/>
      <c r="AJ79" s="244"/>
      <c r="AK79" s="244"/>
      <c r="AL79" s="244"/>
      <c r="AM79" s="244"/>
      <c r="AN79" s="244"/>
      <c r="AO79" s="244"/>
      <c r="AP79" s="244"/>
      <c r="AQ79" s="244"/>
      <c r="AR79" s="244"/>
      <c r="AS79" s="244"/>
      <c r="AT79" s="244"/>
      <c r="AU79" s="244"/>
      <c r="AV79" s="244"/>
      <c r="AW79" s="244"/>
      <c r="AX79" s="244"/>
      <c r="AY79" s="244"/>
      <c r="AZ79" s="244"/>
      <c r="BA79" s="244"/>
      <c r="BB79" s="244"/>
      <c r="BC79" s="244"/>
      <c r="BD79" s="244"/>
      <c r="BE79" s="244"/>
      <c r="BF79" s="244"/>
      <c r="BG79" s="244"/>
      <c r="BH79" s="244"/>
      <c r="BI79" s="244"/>
      <c r="BJ79" s="244"/>
      <c r="BK79" s="244"/>
    </row>
    <row r="80">
      <c r="A80" s="244"/>
      <c r="B80" s="664"/>
      <c r="C80" s="664"/>
      <c r="D80" s="664"/>
      <c r="E80" s="664"/>
      <c r="F80" s="664"/>
      <c r="G80" s="664"/>
      <c r="H80" s="664"/>
      <c r="I80" s="664"/>
      <c r="J80" s="664"/>
      <c r="K80" s="664"/>
      <c r="L80" s="664"/>
      <c r="M80" s="664"/>
      <c r="N80" s="664"/>
      <c r="O80" s="664"/>
      <c r="P80" s="664"/>
      <c r="Q80" s="664"/>
      <c r="R80" s="664"/>
      <c r="S80" s="664"/>
      <c r="T80" s="664"/>
      <c r="U80" s="664"/>
      <c r="V80" s="664"/>
      <c r="W80" s="664"/>
      <c r="X80" s="664"/>
      <c r="Y80" s="664"/>
      <c r="Z80" s="664"/>
      <c r="AA80" s="664"/>
      <c r="AB80" s="664"/>
      <c r="AC80" s="664"/>
      <c r="AD80" s="664"/>
      <c r="AE80" s="664"/>
      <c r="AF80" s="664"/>
      <c r="AG80" s="664"/>
      <c r="AH80" s="664"/>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c r="BH80" s="244"/>
      <c r="BI80" s="244"/>
      <c r="BJ80" s="244"/>
      <c r="BK80" s="244"/>
    </row>
    <row r="81">
      <c r="A81" s="244"/>
      <c r="B81" s="664"/>
      <c r="C81" s="664"/>
      <c r="D81" s="664"/>
      <c r="E81" s="664"/>
      <c r="F81" s="664"/>
      <c r="G81" s="664"/>
      <c r="H81" s="664"/>
      <c r="I81" s="664"/>
      <c r="J81" s="664"/>
      <c r="K81" s="664"/>
      <c r="L81" s="664"/>
      <c r="M81" s="664"/>
      <c r="N81" s="664"/>
      <c r="O81" s="664"/>
      <c r="P81" s="664"/>
      <c r="Q81" s="664"/>
      <c r="R81" s="664"/>
      <c r="S81" s="664"/>
      <c r="T81" s="664"/>
      <c r="U81" s="664"/>
      <c r="V81" s="664"/>
      <c r="W81" s="664"/>
      <c r="X81" s="664"/>
      <c r="Y81" s="664"/>
      <c r="Z81" s="664"/>
      <c r="AA81" s="664"/>
      <c r="AB81" s="664"/>
      <c r="AC81" s="664"/>
      <c r="AD81" s="664"/>
      <c r="AE81" s="664"/>
      <c r="AF81" s="664"/>
      <c r="AG81" s="664"/>
      <c r="AH81" s="664"/>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c r="BH81" s="244"/>
      <c r="BI81" s="244"/>
      <c r="BJ81" s="244"/>
      <c r="BK81" s="244"/>
    </row>
    <row r="82">
      <c r="A82" s="244"/>
      <c r="B82" s="664"/>
      <c r="C82" s="664"/>
      <c r="D82" s="664"/>
      <c r="E82" s="664"/>
      <c r="F82" s="664"/>
      <c r="G82" s="664"/>
      <c r="H82" s="664"/>
      <c r="I82" s="664"/>
      <c r="J82" s="664"/>
      <c r="K82" s="664"/>
      <c r="L82" s="664"/>
      <c r="M82" s="664"/>
      <c r="N82" s="664"/>
      <c r="O82" s="664"/>
      <c r="P82" s="664"/>
      <c r="Q82" s="664"/>
      <c r="R82" s="664"/>
      <c r="S82" s="664"/>
      <c r="T82" s="664"/>
      <c r="U82" s="664"/>
      <c r="V82" s="664"/>
      <c r="W82" s="664"/>
      <c r="X82" s="664"/>
      <c r="Y82" s="664"/>
      <c r="Z82" s="664"/>
      <c r="AA82" s="664"/>
      <c r="AB82" s="664"/>
      <c r="AC82" s="664"/>
      <c r="AD82" s="664"/>
      <c r="AE82" s="664"/>
      <c r="AF82" s="664"/>
      <c r="AG82" s="664"/>
      <c r="AH82" s="664"/>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c r="BH82" s="244"/>
      <c r="BI82" s="244"/>
      <c r="BJ82" s="244"/>
      <c r="BK82" s="244"/>
    </row>
    <row r="83">
      <c r="A83" s="244"/>
      <c r="B83" s="664"/>
      <c r="C83" s="664"/>
      <c r="D83" s="664"/>
      <c r="E83" s="664"/>
      <c r="F83" s="664"/>
      <c r="G83" s="664"/>
      <c r="H83" s="664"/>
      <c r="I83" s="664"/>
      <c r="J83" s="664"/>
      <c r="K83" s="664"/>
      <c r="L83" s="664"/>
      <c r="M83" s="664"/>
      <c r="N83" s="664"/>
      <c r="O83" s="664"/>
      <c r="P83" s="664"/>
      <c r="Q83" s="664"/>
      <c r="R83" s="664"/>
      <c r="S83" s="664"/>
      <c r="T83" s="664"/>
      <c r="U83" s="664"/>
      <c r="V83" s="664"/>
      <c r="W83" s="664"/>
      <c r="X83" s="664"/>
      <c r="Y83" s="664"/>
      <c r="Z83" s="664"/>
      <c r="AA83" s="664"/>
      <c r="AB83" s="664"/>
      <c r="AC83" s="664"/>
      <c r="AD83" s="664"/>
      <c r="AE83" s="664"/>
      <c r="AF83" s="664"/>
      <c r="AG83" s="664"/>
      <c r="AH83" s="664"/>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c r="BH83" s="244"/>
      <c r="BI83" s="244"/>
      <c r="BJ83" s="244"/>
      <c r="BK83" s="244"/>
    </row>
    <row r="84">
      <c r="A84" s="244"/>
      <c r="B84" s="664"/>
      <c r="C84" s="664"/>
      <c r="D84" s="664"/>
      <c r="E84" s="664"/>
      <c r="F84" s="664"/>
      <c r="G84" s="664"/>
      <c r="H84" s="664"/>
      <c r="I84" s="664"/>
      <c r="J84" s="664"/>
      <c r="K84" s="664"/>
      <c r="L84" s="664"/>
      <c r="M84" s="664"/>
      <c r="N84" s="664"/>
      <c r="O84" s="664"/>
      <c r="P84" s="664"/>
      <c r="Q84" s="664"/>
      <c r="R84" s="664"/>
      <c r="S84" s="664"/>
      <c r="T84" s="664"/>
      <c r="U84" s="664"/>
      <c r="V84" s="664"/>
      <c r="W84" s="664"/>
      <c r="X84" s="664"/>
      <c r="Y84" s="664"/>
      <c r="Z84" s="664"/>
      <c r="AA84" s="664"/>
      <c r="AB84" s="664"/>
      <c r="AC84" s="664"/>
      <c r="AD84" s="664"/>
      <c r="AE84" s="664"/>
      <c r="AF84" s="664"/>
      <c r="AG84" s="664"/>
      <c r="AH84" s="664"/>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c r="BH84" s="244"/>
      <c r="BI84" s="244"/>
      <c r="BJ84" s="244"/>
      <c r="BK84" s="244"/>
    </row>
    <row r="85">
      <c r="A85" s="244"/>
      <c r="B85" s="664"/>
      <c r="C85" s="664"/>
      <c r="D85" s="664"/>
      <c r="E85" s="664"/>
      <c r="F85" s="664"/>
      <c r="G85" s="664"/>
      <c r="H85" s="664"/>
      <c r="I85" s="664"/>
      <c r="J85" s="664"/>
      <c r="K85" s="664"/>
      <c r="L85" s="664"/>
      <c r="M85" s="664"/>
      <c r="N85" s="664"/>
      <c r="O85" s="664"/>
      <c r="P85" s="664"/>
      <c r="Q85" s="664"/>
      <c r="R85" s="664"/>
      <c r="S85" s="664"/>
      <c r="T85" s="664"/>
      <c r="U85" s="664"/>
      <c r="V85" s="664"/>
      <c r="W85" s="664"/>
      <c r="X85" s="664"/>
      <c r="Y85" s="664"/>
      <c r="Z85" s="664"/>
      <c r="AA85" s="664"/>
      <c r="AB85" s="664"/>
      <c r="AC85" s="664"/>
      <c r="AD85" s="664"/>
      <c r="AE85" s="664"/>
      <c r="AF85" s="664"/>
      <c r="AG85" s="664"/>
      <c r="AH85" s="664"/>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c r="BH85" s="244"/>
      <c r="BI85" s="244"/>
      <c r="BJ85" s="244"/>
      <c r="BK85" s="244"/>
    </row>
    <row r="86">
      <c r="A86" s="244"/>
      <c r="B86" s="664"/>
      <c r="C86" s="664"/>
      <c r="D86" s="664"/>
      <c r="E86" s="664"/>
      <c r="F86" s="664"/>
      <c r="G86" s="664"/>
      <c r="H86" s="664"/>
      <c r="I86" s="664"/>
      <c r="J86" s="664"/>
      <c r="K86" s="664"/>
      <c r="L86" s="664"/>
      <c r="M86" s="664"/>
      <c r="N86" s="664"/>
      <c r="O86" s="664"/>
      <c r="P86" s="664"/>
      <c r="Q86" s="664"/>
      <c r="R86" s="664"/>
      <c r="S86" s="664"/>
      <c r="T86" s="664"/>
      <c r="U86" s="664"/>
      <c r="V86" s="664"/>
      <c r="W86" s="664"/>
      <c r="X86" s="664"/>
      <c r="Y86" s="664"/>
      <c r="Z86" s="664"/>
      <c r="AA86" s="664"/>
      <c r="AB86" s="664"/>
      <c r="AC86" s="664"/>
      <c r="AD86" s="664"/>
      <c r="AE86" s="664"/>
      <c r="AF86" s="664"/>
      <c r="AG86" s="664"/>
      <c r="AH86" s="664"/>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c r="BH86" s="244"/>
      <c r="BI86" s="244"/>
      <c r="BJ86" s="244"/>
      <c r="BK86" s="244"/>
    </row>
    <row r="87">
      <c r="A87" s="244"/>
      <c r="B87" s="664"/>
      <c r="C87" s="664"/>
      <c r="D87" s="664"/>
      <c r="E87" s="664"/>
      <c r="F87" s="664"/>
      <c r="G87" s="664"/>
      <c r="H87" s="664"/>
      <c r="I87" s="664"/>
      <c r="J87" s="664"/>
      <c r="K87" s="664"/>
      <c r="L87" s="664"/>
      <c r="M87" s="664"/>
      <c r="N87" s="664"/>
      <c r="O87" s="664"/>
      <c r="P87" s="664"/>
      <c r="Q87" s="664"/>
      <c r="R87" s="664"/>
      <c r="S87" s="664"/>
      <c r="T87" s="664"/>
      <c r="U87" s="664"/>
      <c r="V87" s="664"/>
      <c r="W87" s="664"/>
      <c r="X87" s="664"/>
      <c r="Y87" s="664"/>
      <c r="Z87" s="664"/>
      <c r="AA87" s="664"/>
      <c r="AB87" s="664"/>
      <c r="AC87" s="664"/>
      <c r="AD87" s="664"/>
      <c r="AE87" s="664"/>
      <c r="AF87" s="664"/>
      <c r="AG87" s="664"/>
      <c r="AH87" s="664"/>
      <c r="AI87" s="244"/>
      <c r="AJ87" s="244"/>
      <c r="AK87" s="244"/>
      <c r="AL87" s="244"/>
      <c r="AM87" s="244"/>
      <c r="AN87" s="244"/>
      <c r="AO87" s="244"/>
      <c r="AP87" s="244"/>
      <c r="AQ87" s="244"/>
      <c r="AR87" s="244"/>
      <c r="AS87" s="244"/>
      <c r="AT87" s="244"/>
      <c r="AU87" s="244"/>
      <c r="AV87" s="244"/>
      <c r="AW87" s="244"/>
      <c r="AX87" s="244"/>
      <c r="AY87" s="244"/>
      <c r="AZ87" s="244"/>
      <c r="BA87" s="244"/>
      <c r="BB87" s="244"/>
      <c r="BC87" s="244"/>
      <c r="BD87" s="244"/>
      <c r="BE87" s="244"/>
      <c r="BF87" s="244"/>
      <c r="BG87" s="244"/>
      <c r="BH87" s="244"/>
      <c r="BI87" s="244"/>
      <c r="BJ87" s="244"/>
      <c r="BK87" s="244"/>
    </row>
    <row r="88">
      <c r="A88" s="244"/>
      <c r="B88" s="664"/>
      <c r="C88" s="664"/>
      <c r="D88" s="664"/>
      <c r="E88" s="664"/>
      <c r="F88" s="664"/>
      <c r="G88" s="664"/>
      <c r="H88" s="664"/>
      <c r="I88" s="664"/>
      <c r="J88" s="664"/>
      <c r="K88" s="664"/>
      <c r="L88" s="664"/>
      <c r="M88" s="664"/>
      <c r="N88" s="664"/>
      <c r="O88" s="664"/>
      <c r="P88" s="664"/>
      <c r="Q88" s="664"/>
      <c r="R88" s="664"/>
      <c r="S88" s="664"/>
      <c r="T88" s="664"/>
      <c r="U88" s="664"/>
      <c r="V88" s="664"/>
      <c r="W88" s="664"/>
      <c r="X88" s="664"/>
      <c r="Y88" s="664"/>
      <c r="Z88" s="664"/>
      <c r="AA88" s="664"/>
      <c r="AB88" s="664"/>
      <c r="AC88" s="664"/>
      <c r="AD88" s="664"/>
      <c r="AE88" s="664"/>
      <c r="AF88" s="664"/>
      <c r="AG88" s="664"/>
      <c r="AH88" s="664"/>
      <c r="AI88" s="244"/>
      <c r="AJ88" s="244"/>
      <c r="AK88" s="244"/>
      <c r="AL88" s="244"/>
      <c r="AM88" s="244"/>
      <c r="AN88" s="244"/>
      <c r="AO88" s="244"/>
      <c r="AP88" s="244"/>
      <c r="AQ88" s="244"/>
      <c r="AR88" s="244"/>
      <c r="AS88" s="244"/>
      <c r="AT88" s="244"/>
      <c r="AU88" s="244"/>
      <c r="AV88" s="244"/>
      <c r="AW88" s="244"/>
      <c r="AX88" s="244"/>
      <c r="AY88" s="244"/>
      <c r="AZ88" s="244"/>
      <c r="BA88" s="244"/>
      <c r="BB88" s="244"/>
      <c r="BC88" s="244"/>
      <c r="BD88" s="244"/>
      <c r="BE88" s="244"/>
      <c r="BF88" s="244"/>
      <c r="BG88" s="244"/>
      <c r="BH88" s="244"/>
      <c r="BI88" s="244"/>
      <c r="BJ88" s="244"/>
      <c r="BK88" s="244"/>
    </row>
    <row r="89">
      <c r="A89" s="244"/>
      <c r="B89" s="664"/>
      <c r="C89" s="664"/>
      <c r="D89" s="664"/>
      <c r="E89" s="664"/>
      <c r="F89" s="664"/>
      <c r="G89" s="664"/>
      <c r="H89" s="664"/>
      <c r="I89" s="664"/>
      <c r="J89" s="664"/>
      <c r="K89" s="664"/>
      <c r="L89" s="664"/>
      <c r="M89" s="664"/>
      <c r="N89" s="664"/>
      <c r="O89" s="664"/>
      <c r="P89" s="664"/>
      <c r="Q89" s="664"/>
      <c r="R89" s="664"/>
      <c r="S89" s="664"/>
      <c r="T89" s="664"/>
      <c r="U89" s="664"/>
      <c r="V89" s="664"/>
      <c r="W89" s="664"/>
      <c r="X89" s="664"/>
      <c r="Y89" s="664"/>
      <c r="Z89" s="664"/>
      <c r="AA89" s="664"/>
      <c r="AB89" s="664"/>
      <c r="AC89" s="664"/>
      <c r="AD89" s="664"/>
      <c r="AE89" s="664"/>
      <c r="AF89" s="664"/>
      <c r="AG89" s="664"/>
      <c r="AH89" s="664"/>
      <c r="AI89" s="244"/>
      <c r="AJ89" s="244"/>
      <c r="AK89" s="244"/>
      <c r="AL89" s="244"/>
      <c r="AM89" s="244"/>
      <c r="AN89" s="244"/>
      <c r="AO89" s="244"/>
      <c r="AP89" s="244"/>
      <c r="AQ89" s="244"/>
      <c r="AR89" s="244"/>
      <c r="AS89" s="244"/>
      <c r="AT89" s="244"/>
      <c r="AU89" s="244"/>
      <c r="AV89" s="244"/>
      <c r="AW89" s="244"/>
      <c r="AX89" s="244"/>
      <c r="AY89" s="244"/>
      <c r="AZ89" s="244"/>
      <c r="BA89" s="244"/>
      <c r="BB89" s="244"/>
      <c r="BC89" s="244"/>
      <c r="BD89" s="244"/>
      <c r="BE89" s="244"/>
      <c r="BF89" s="244"/>
      <c r="BG89" s="244"/>
      <c r="BH89" s="244"/>
      <c r="BI89" s="244"/>
      <c r="BJ89" s="244"/>
      <c r="BK89" s="244"/>
    </row>
    <row r="90">
      <c r="A90" s="244"/>
      <c r="B90" s="664"/>
      <c r="C90" s="664"/>
      <c r="D90" s="664"/>
      <c r="E90" s="664"/>
      <c r="F90" s="664"/>
      <c r="G90" s="664"/>
      <c r="H90" s="664"/>
      <c r="I90" s="664"/>
      <c r="J90" s="664"/>
      <c r="K90" s="664"/>
      <c r="L90" s="664"/>
      <c r="M90" s="664"/>
      <c r="N90" s="664"/>
      <c r="O90" s="664"/>
      <c r="P90" s="664"/>
      <c r="Q90" s="664"/>
      <c r="R90" s="664"/>
      <c r="S90" s="664"/>
      <c r="T90" s="664"/>
      <c r="U90" s="664"/>
      <c r="V90" s="664"/>
      <c r="W90" s="664"/>
      <c r="X90" s="664"/>
      <c r="Y90" s="664"/>
      <c r="Z90" s="664"/>
      <c r="AA90" s="664"/>
      <c r="AB90" s="664"/>
      <c r="AC90" s="664"/>
      <c r="AD90" s="664"/>
      <c r="AE90" s="664"/>
      <c r="AF90" s="664"/>
      <c r="AG90" s="664"/>
      <c r="AH90" s="664"/>
      <c r="AI90" s="244"/>
      <c r="AJ90" s="244"/>
      <c r="AK90" s="244"/>
      <c r="AL90" s="244"/>
      <c r="AM90" s="244"/>
      <c r="AN90" s="244"/>
      <c r="AO90" s="244"/>
      <c r="AP90" s="244"/>
      <c r="AQ90" s="244"/>
      <c r="AR90" s="244"/>
      <c r="AS90" s="244"/>
      <c r="AT90" s="244"/>
      <c r="AU90" s="244"/>
      <c r="AV90" s="244"/>
      <c r="AW90" s="244"/>
      <c r="AX90" s="244"/>
      <c r="AY90" s="244"/>
      <c r="AZ90" s="244"/>
      <c r="BA90" s="244"/>
      <c r="BB90" s="244"/>
      <c r="BC90" s="244"/>
      <c r="BD90" s="244"/>
      <c r="BE90" s="244"/>
      <c r="BF90" s="244"/>
      <c r="BG90" s="244"/>
      <c r="BH90" s="244"/>
      <c r="BI90" s="244"/>
      <c r="BJ90" s="244"/>
      <c r="BK90" s="244"/>
    </row>
    <row r="91">
      <c r="A91" s="244"/>
      <c r="B91" s="664"/>
      <c r="C91" s="664"/>
      <c r="D91" s="664"/>
      <c r="E91" s="664"/>
      <c r="F91" s="664"/>
      <c r="G91" s="664"/>
      <c r="H91" s="664"/>
      <c r="I91" s="664"/>
      <c r="J91" s="664"/>
      <c r="K91" s="664"/>
      <c r="L91" s="664"/>
      <c r="M91" s="664"/>
      <c r="N91" s="664"/>
      <c r="O91" s="664"/>
      <c r="P91" s="664"/>
      <c r="Q91" s="664"/>
      <c r="R91" s="664"/>
      <c r="S91" s="664"/>
      <c r="T91" s="664"/>
      <c r="U91" s="664"/>
      <c r="V91" s="664"/>
      <c r="W91" s="664"/>
      <c r="X91" s="664"/>
      <c r="Y91" s="664"/>
      <c r="Z91" s="664"/>
      <c r="AA91" s="664"/>
      <c r="AB91" s="664"/>
      <c r="AC91" s="664"/>
      <c r="AD91" s="664"/>
      <c r="AE91" s="664"/>
      <c r="AF91" s="664"/>
      <c r="AG91" s="664"/>
      <c r="AH91" s="664"/>
      <c r="AI91" s="244"/>
      <c r="AJ91" s="244"/>
      <c r="AK91" s="244"/>
      <c r="AL91" s="244"/>
      <c r="AM91" s="244"/>
      <c r="AN91" s="244"/>
      <c r="AO91" s="244"/>
      <c r="AP91" s="244"/>
      <c r="AQ91" s="244"/>
      <c r="AR91" s="244"/>
      <c r="AS91" s="244"/>
      <c r="AT91" s="244"/>
      <c r="AU91" s="244"/>
      <c r="AV91" s="244"/>
      <c r="AW91" s="244"/>
      <c r="AX91" s="244"/>
      <c r="AY91" s="244"/>
      <c r="AZ91" s="244"/>
      <c r="BA91" s="244"/>
      <c r="BB91" s="244"/>
      <c r="BC91" s="244"/>
      <c r="BD91" s="244"/>
      <c r="BE91" s="244"/>
      <c r="BF91" s="244"/>
      <c r="BG91" s="244"/>
      <c r="BH91" s="244"/>
      <c r="BI91" s="244"/>
      <c r="BJ91" s="244"/>
      <c r="BK91" s="244"/>
    </row>
    <row r="92">
      <c r="A92" s="244"/>
      <c r="B92" s="664"/>
      <c r="C92" s="664"/>
      <c r="D92" s="664"/>
      <c r="E92" s="664"/>
      <c r="F92" s="664"/>
      <c r="G92" s="664"/>
      <c r="H92" s="664"/>
      <c r="I92" s="664"/>
      <c r="J92" s="664"/>
      <c r="K92" s="664"/>
      <c r="L92" s="664"/>
      <c r="M92" s="664"/>
      <c r="N92" s="664"/>
      <c r="O92" s="664"/>
      <c r="P92" s="664"/>
      <c r="Q92" s="664"/>
      <c r="R92" s="664"/>
      <c r="S92" s="664"/>
      <c r="T92" s="664"/>
      <c r="U92" s="664"/>
      <c r="V92" s="664"/>
      <c r="W92" s="664"/>
      <c r="X92" s="664"/>
      <c r="Y92" s="664"/>
      <c r="Z92" s="664"/>
      <c r="AA92" s="664"/>
      <c r="AB92" s="664"/>
      <c r="AC92" s="664"/>
      <c r="AD92" s="664"/>
      <c r="AE92" s="664"/>
      <c r="AF92" s="664"/>
      <c r="AG92" s="664"/>
      <c r="AH92" s="664"/>
      <c r="AI92" s="244"/>
      <c r="AJ92" s="244"/>
      <c r="AK92" s="244"/>
      <c r="AL92" s="244"/>
      <c r="AM92" s="244"/>
      <c r="AN92" s="244"/>
      <c r="AO92" s="244"/>
      <c r="AP92" s="244"/>
      <c r="AQ92" s="244"/>
      <c r="AR92" s="244"/>
      <c r="AS92" s="244"/>
      <c r="AT92" s="244"/>
      <c r="AU92" s="244"/>
      <c r="AV92" s="244"/>
      <c r="AW92" s="244"/>
      <c r="AX92" s="244"/>
      <c r="AY92" s="244"/>
      <c r="AZ92" s="244"/>
      <c r="BA92" s="244"/>
      <c r="BB92" s="244"/>
      <c r="BC92" s="244"/>
      <c r="BD92" s="244"/>
      <c r="BE92" s="244"/>
      <c r="BF92" s="244"/>
      <c r="BG92" s="244"/>
      <c r="BH92" s="244"/>
      <c r="BI92" s="244"/>
      <c r="BJ92" s="244"/>
      <c r="BK92" s="244"/>
    </row>
    <row r="93">
      <c r="A93" s="244"/>
      <c r="B93" s="664"/>
      <c r="C93" s="664"/>
      <c r="D93" s="664"/>
      <c r="E93" s="664"/>
      <c r="F93" s="664"/>
      <c r="G93" s="664"/>
      <c r="H93" s="664"/>
      <c r="I93" s="664"/>
      <c r="J93" s="664"/>
      <c r="K93" s="664"/>
      <c r="L93" s="664"/>
      <c r="M93" s="664"/>
      <c r="N93" s="664"/>
      <c r="O93" s="664"/>
      <c r="P93" s="664"/>
      <c r="Q93" s="664"/>
      <c r="R93" s="664"/>
      <c r="S93" s="664"/>
      <c r="T93" s="664"/>
      <c r="U93" s="664"/>
      <c r="V93" s="664"/>
      <c r="W93" s="664"/>
      <c r="X93" s="664"/>
      <c r="Y93" s="664"/>
      <c r="Z93" s="664"/>
      <c r="AA93" s="664"/>
      <c r="AB93" s="664"/>
      <c r="AC93" s="664"/>
      <c r="AD93" s="664"/>
      <c r="AE93" s="664"/>
      <c r="AF93" s="664"/>
      <c r="AG93" s="664"/>
      <c r="AH93" s="664"/>
      <c r="AI93" s="244"/>
      <c r="AJ93" s="244"/>
      <c r="AK93" s="244"/>
      <c r="AL93" s="244"/>
      <c r="AM93" s="244"/>
      <c r="AN93" s="244"/>
      <c r="AO93" s="244"/>
      <c r="AP93" s="244"/>
      <c r="AQ93" s="244"/>
      <c r="AR93" s="244"/>
      <c r="AS93" s="244"/>
      <c r="AT93" s="244"/>
      <c r="AU93" s="244"/>
      <c r="AV93" s="244"/>
      <c r="AW93" s="244"/>
      <c r="AX93" s="244"/>
      <c r="AY93" s="244"/>
      <c r="AZ93" s="244"/>
      <c r="BA93" s="244"/>
      <c r="BB93" s="244"/>
      <c r="BC93" s="244"/>
      <c r="BD93" s="244"/>
      <c r="BE93" s="244"/>
      <c r="BF93" s="244"/>
      <c r="BG93" s="244"/>
      <c r="BH93" s="244"/>
      <c r="BI93" s="244"/>
      <c r="BJ93" s="244"/>
      <c r="BK93" s="244"/>
    </row>
    <row r="94">
      <c r="A94" s="244"/>
      <c r="B94" s="664"/>
      <c r="C94" s="664"/>
      <c r="D94" s="664"/>
      <c r="E94" s="664"/>
      <c r="F94" s="664"/>
      <c r="G94" s="664"/>
      <c r="H94" s="664"/>
      <c r="I94" s="664"/>
      <c r="J94" s="664"/>
      <c r="K94" s="664"/>
      <c r="L94" s="664"/>
      <c r="M94" s="664"/>
      <c r="N94" s="664"/>
      <c r="O94" s="664"/>
      <c r="P94" s="664"/>
      <c r="Q94" s="664"/>
      <c r="R94" s="664"/>
      <c r="S94" s="664"/>
      <c r="T94" s="664"/>
      <c r="U94" s="664"/>
      <c r="V94" s="664"/>
      <c r="W94" s="664"/>
      <c r="X94" s="664"/>
      <c r="Y94" s="664"/>
      <c r="Z94" s="664"/>
      <c r="AA94" s="664"/>
      <c r="AB94" s="664"/>
      <c r="AC94" s="664"/>
      <c r="AD94" s="664"/>
      <c r="AE94" s="664"/>
      <c r="AF94" s="664"/>
      <c r="AG94" s="664"/>
      <c r="AH94" s="664"/>
      <c r="AI94" s="244"/>
      <c r="AJ94" s="244"/>
      <c r="AK94" s="244"/>
      <c r="AL94" s="244"/>
      <c r="AM94" s="244"/>
      <c r="AN94" s="244"/>
      <c r="AO94" s="244"/>
      <c r="AP94" s="244"/>
      <c r="AQ94" s="244"/>
      <c r="AR94" s="244"/>
      <c r="AS94" s="244"/>
      <c r="AT94" s="244"/>
      <c r="AU94" s="244"/>
      <c r="AV94" s="244"/>
      <c r="AW94" s="244"/>
      <c r="AX94" s="244"/>
      <c r="AY94" s="244"/>
      <c r="AZ94" s="244"/>
      <c r="BA94" s="244"/>
      <c r="BB94" s="244"/>
      <c r="BC94" s="244"/>
      <c r="BD94" s="244"/>
      <c r="BE94" s="244"/>
      <c r="BF94" s="244"/>
      <c r="BG94" s="244"/>
      <c r="BH94" s="244"/>
      <c r="BI94" s="244"/>
      <c r="BJ94" s="244"/>
      <c r="BK94" s="244"/>
    </row>
    <row r="95">
      <c r="A95" s="244"/>
      <c r="B95" s="664"/>
      <c r="C95" s="664"/>
      <c r="D95" s="664"/>
      <c r="E95" s="664"/>
      <c r="F95" s="664"/>
      <c r="G95" s="664"/>
      <c r="H95" s="664"/>
      <c r="I95" s="664"/>
      <c r="J95" s="664"/>
      <c r="K95" s="664"/>
      <c r="L95" s="664"/>
      <c r="M95" s="664"/>
      <c r="N95" s="664"/>
      <c r="O95" s="664"/>
      <c r="P95" s="664"/>
      <c r="Q95" s="664"/>
      <c r="R95" s="664"/>
      <c r="S95" s="664"/>
      <c r="T95" s="664"/>
      <c r="U95" s="664"/>
      <c r="V95" s="664"/>
      <c r="W95" s="664"/>
      <c r="X95" s="664"/>
      <c r="Y95" s="664"/>
      <c r="Z95" s="664"/>
      <c r="AA95" s="664"/>
      <c r="AB95" s="664"/>
      <c r="AC95" s="664"/>
      <c r="AD95" s="664"/>
      <c r="AE95" s="664"/>
      <c r="AF95" s="664"/>
      <c r="AG95" s="664"/>
      <c r="AH95" s="664"/>
      <c r="AI95" s="244"/>
      <c r="AJ95" s="244"/>
      <c r="AK95" s="244"/>
      <c r="AL95" s="244"/>
      <c r="AM95" s="244"/>
      <c r="AN95" s="244"/>
      <c r="AO95" s="244"/>
      <c r="AP95" s="244"/>
      <c r="AQ95" s="244"/>
      <c r="AR95" s="244"/>
      <c r="AS95" s="244"/>
      <c r="AT95" s="244"/>
      <c r="AU95" s="244"/>
      <c r="AV95" s="244"/>
      <c r="AW95" s="244"/>
      <c r="AX95" s="244"/>
      <c r="AY95" s="244"/>
      <c r="AZ95" s="244"/>
      <c r="BA95" s="244"/>
      <c r="BB95" s="244"/>
      <c r="BC95" s="244"/>
      <c r="BD95" s="244"/>
      <c r="BE95" s="244"/>
      <c r="BF95" s="244"/>
      <c r="BG95" s="244"/>
      <c r="BH95" s="244"/>
      <c r="BI95" s="244"/>
      <c r="BJ95" s="244"/>
      <c r="BK95" s="244"/>
    </row>
    <row r="96">
      <c r="A96" s="244"/>
      <c r="B96" s="244"/>
      <c r="C96" s="244"/>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c r="BB96" s="244"/>
      <c r="BC96" s="244"/>
      <c r="BD96" s="244"/>
      <c r="BE96" s="244"/>
      <c r="BF96" s="244"/>
      <c r="BG96" s="244"/>
      <c r="BH96" s="244"/>
      <c r="BI96" s="244"/>
      <c r="BJ96" s="244"/>
      <c r="BK96" s="244"/>
    </row>
    <row r="97">
      <c r="A97" s="244"/>
      <c r="B97" s="244"/>
      <c r="C97" s="244"/>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c r="BB97" s="244"/>
      <c r="BC97" s="244"/>
      <c r="BD97" s="244"/>
      <c r="BE97" s="244"/>
      <c r="BF97" s="244"/>
      <c r="BG97" s="244"/>
      <c r="BH97" s="244"/>
      <c r="BI97" s="244"/>
      <c r="BJ97" s="244"/>
      <c r="BK97" s="244"/>
    </row>
    <row r="98">
      <c r="A98" s="244"/>
      <c r="B98" s="244"/>
      <c r="C98" s="244"/>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c r="BB98" s="244"/>
      <c r="BC98" s="244"/>
      <c r="BD98" s="244"/>
      <c r="BE98" s="244"/>
      <c r="BF98" s="244"/>
      <c r="BG98" s="244"/>
      <c r="BH98" s="244"/>
      <c r="BI98" s="244"/>
      <c r="BJ98" s="244"/>
      <c r="BK98" s="244"/>
    </row>
    <row r="99">
      <c r="A99" s="244"/>
      <c r="B99" s="244"/>
      <c r="C99" s="244"/>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c r="BB99" s="244"/>
      <c r="BC99" s="244"/>
      <c r="BD99" s="244"/>
      <c r="BE99" s="244"/>
      <c r="BF99" s="244"/>
      <c r="BG99" s="244"/>
      <c r="BH99" s="244"/>
      <c r="BI99" s="244"/>
      <c r="BJ99" s="244"/>
      <c r="BK99" s="244"/>
    </row>
    <row r="100">
      <c r="A100" s="244"/>
      <c r="B100" s="244"/>
      <c r="C100" s="244"/>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c r="BB100" s="244"/>
      <c r="BC100" s="244"/>
      <c r="BD100" s="244"/>
      <c r="BE100" s="244"/>
      <c r="BF100" s="244"/>
      <c r="BG100" s="244"/>
      <c r="BH100" s="244"/>
      <c r="BI100" s="244"/>
      <c r="BJ100" s="244"/>
      <c r="BK100" s="244"/>
    </row>
    <row r="101">
      <c r="A101" s="244"/>
      <c r="B101" s="244"/>
      <c r="C101" s="244"/>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c r="BB101" s="244"/>
      <c r="BC101" s="244"/>
      <c r="BD101" s="244"/>
      <c r="BE101" s="244"/>
      <c r="BF101" s="244"/>
      <c r="BG101" s="244"/>
      <c r="BH101" s="244"/>
      <c r="BI101" s="244"/>
      <c r="BJ101" s="244"/>
      <c r="BK101" s="244"/>
    </row>
    <row r="102">
      <c r="A102" s="244"/>
      <c r="B102" s="244"/>
      <c r="C102" s="244"/>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c r="BB102" s="244"/>
      <c r="BC102" s="244"/>
      <c r="BD102" s="244"/>
      <c r="BE102" s="244"/>
      <c r="BF102" s="244"/>
      <c r="BG102" s="244"/>
      <c r="BH102" s="244"/>
      <c r="BI102" s="244"/>
      <c r="BJ102" s="244"/>
      <c r="BK102" s="244"/>
    </row>
    <row r="103">
      <c r="A103" s="244"/>
      <c r="B103" s="244"/>
      <c r="C103" s="244"/>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c r="BB103" s="244"/>
      <c r="BC103" s="244"/>
      <c r="BD103" s="244"/>
      <c r="BE103" s="244"/>
      <c r="BF103" s="244"/>
      <c r="BG103" s="244"/>
      <c r="BH103" s="244"/>
      <c r="BI103" s="244"/>
      <c r="BJ103" s="244"/>
      <c r="BK103" s="244"/>
    </row>
    <row r="104">
      <c r="A104" s="244"/>
      <c r="B104" s="244"/>
      <c r="C104" s="244"/>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c r="AZ104" s="244"/>
      <c r="BA104" s="244"/>
      <c r="BB104" s="244"/>
      <c r="BC104" s="244"/>
      <c r="BD104" s="244"/>
      <c r="BE104" s="244"/>
      <c r="BF104" s="244"/>
      <c r="BG104" s="244"/>
      <c r="BH104" s="244"/>
      <c r="BI104" s="244"/>
      <c r="BJ104" s="244"/>
      <c r="BK104" s="244"/>
    </row>
    <row r="105">
      <c r="A105" s="244"/>
      <c r="B105" s="244"/>
      <c r="C105" s="244"/>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c r="AZ105" s="244"/>
      <c r="BA105" s="244"/>
      <c r="BB105" s="244"/>
      <c r="BC105" s="244"/>
      <c r="BD105" s="244"/>
      <c r="BE105" s="244"/>
      <c r="BF105" s="244"/>
      <c r="BG105" s="244"/>
      <c r="BH105" s="244"/>
      <c r="BI105" s="244"/>
      <c r="BJ105" s="244"/>
      <c r="BK105" s="244"/>
    </row>
    <row r="106">
      <c r="A106" s="244"/>
      <c r="B106" s="244"/>
      <c r="C106" s="244"/>
      <c r="D106" s="244"/>
      <c r="E106" s="244"/>
      <c r="F106" s="244"/>
      <c r="G106" s="244"/>
      <c r="H106" s="244"/>
      <c r="I106" s="244"/>
      <c r="J106" s="244"/>
      <c r="K106" s="244"/>
      <c r="L106" s="244"/>
      <c r="M106" s="244"/>
      <c r="N106" s="244"/>
      <c r="O106" s="244"/>
      <c r="P106" s="244"/>
      <c r="Q106" s="244"/>
      <c r="R106" s="244"/>
      <c r="S106" s="244"/>
      <c r="T106" s="244"/>
      <c r="U106" s="244"/>
      <c r="V106" s="244"/>
      <c r="W106" s="244"/>
      <c r="X106" s="244"/>
      <c r="Y106" s="244"/>
      <c r="Z106" s="244"/>
      <c r="AA106" s="244"/>
      <c r="AB106" s="244"/>
      <c r="AC106" s="244"/>
      <c r="AD106" s="244"/>
      <c r="AE106" s="244"/>
      <c r="AF106" s="244"/>
      <c r="AG106" s="244"/>
      <c r="AH106" s="244"/>
      <c r="AI106" s="244"/>
      <c r="AJ106" s="244"/>
      <c r="AK106" s="244"/>
      <c r="AL106" s="244"/>
      <c r="AM106" s="244"/>
      <c r="AN106" s="244"/>
      <c r="AO106" s="244"/>
      <c r="AP106" s="244"/>
      <c r="AQ106" s="244"/>
      <c r="AR106" s="244"/>
      <c r="AS106" s="244"/>
      <c r="AT106" s="244"/>
      <c r="AU106" s="244"/>
      <c r="AV106" s="244"/>
      <c r="AW106" s="244"/>
      <c r="AX106" s="244"/>
      <c r="AY106" s="244"/>
      <c r="AZ106" s="244"/>
      <c r="BA106" s="244"/>
      <c r="BB106" s="244"/>
      <c r="BC106" s="244"/>
      <c r="BD106" s="244"/>
      <c r="BE106" s="244"/>
      <c r="BF106" s="244"/>
      <c r="BG106" s="244"/>
      <c r="BH106" s="244"/>
      <c r="BI106" s="244"/>
      <c r="BJ106" s="244"/>
      <c r="BK106" s="244"/>
    </row>
    <row r="107">
      <c r="A107" s="244"/>
      <c r="B107" s="244"/>
      <c r="C107" s="244"/>
      <c r="D107" s="244"/>
      <c r="E107" s="244"/>
      <c r="F107" s="244"/>
      <c r="G107" s="244"/>
      <c r="H107" s="244"/>
      <c r="I107" s="244"/>
      <c r="J107" s="244"/>
      <c r="K107" s="244"/>
      <c r="L107" s="244"/>
      <c r="M107" s="244"/>
      <c r="N107" s="244"/>
      <c r="O107" s="244"/>
      <c r="P107" s="244"/>
      <c r="Q107" s="244"/>
      <c r="R107" s="244"/>
      <c r="S107" s="244"/>
      <c r="T107" s="244"/>
      <c r="U107" s="244"/>
      <c r="V107" s="244"/>
      <c r="W107" s="244"/>
      <c r="X107" s="244"/>
      <c r="Y107" s="244"/>
      <c r="Z107" s="244"/>
      <c r="AA107" s="244"/>
      <c r="AB107" s="244"/>
      <c r="AC107" s="244"/>
      <c r="AD107" s="244"/>
      <c r="AE107" s="244"/>
      <c r="AF107" s="244"/>
      <c r="AG107" s="244"/>
      <c r="AH107" s="244"/>
      <c r="AI107" s="244"/>
      <c r="AJ107" s="244"/>
      <c r="AK107" s="244"/>
      <c r="AL107" s="244"/>
      <c r="AM107" s="244"/>
      <c r="AN107" s="244"/>
      <c r="AO107" s="244"/>
      <c r="AP107" s="244"/>
      <c r="AQ107" s="244"/>
      <c r="AR107" s="244"/>
      <c r="AS107" s="244"/>
      <c r="AT107" s="244"/>
      <c r="AU107" s="244"/>
      <c r="AV107" s="244"/>
      <c r="AW107" s="244"/>
      <c r="AX107" s="244"/>
      <c r="AY107" s="244"/>
      <c r="AZ107" s="244"/>
      <c r="BA107" s="244"/>
      <c r="BB107" s="244"/>
      <c r="BC107" s="244"/>
      <c r="BD107" s="244"/>
      <c r="BE107" s="244"/>
      <c r="BF107" s="244"/>
      <c r="BG107" s="244"/>
      <c r="BH107" s="244"/>
      <c r="BI107" s="244"/>
      <c r="BJ107" s="244"/>
      <c r="BK107" s="244"/>
    </row>
    <row r="108">
      <c r="A108" s="244"/>
      <c r="B108" s="244"/>
      <c r="C108" s="244"/>
      <c r="D108" s="244"/>
      <c r="E108" s="244"/>
      <c r="F108" s="244"/>
      <c r="G108" s="244"/>
      <c r="H108" s="244"/>
      <c r="I108" s="244"/>
      <c r="J108" s="244"/>
      <c r="K108" s="244"/>
      <c r="L108" s="244"/>
      <c r="M108" s="244"/>
      <c r="N108" s="244"/>
      <c r="O108" s="244"/>
      <c r="P108" s="244"/>
      <c r="Q108" s="244"/>
      <c r="R108" s="244"/>
      <c r="S108" s="244"/>
      <c r="T108" s="244"/>
      <c r="U108" s="244"/>
      <c r="V108" s="244"/>
      <c r="W108" s="244"/>
      <c r="X108" s="244"/>
      <c r="Y108" s="244"/>
      <c r="Z108" s="244"/>
      <c r="AA108" s="244"/>
      <c r="AB108" s="244"/>
      <c r="AC108" s="244"/>
      <c r="AD108" s="244"/>
      <c r="AE108" s="244"/>
      <c r="AF108" s="244"/>
      <c r="AG108" s="244"/>
      <c r="AH108" s="244"/>
      <c r="AI108" s="244"/>
      <c r="AJ108" s="244"/>
      <c r="AK108" s="244"/>
      <c r="AL108" s="244"/>
      <c r="AM108" s="244"/>
      <c r="AN108" s="244"/>
      <c r="AO108" s="244"/>
      <c r="AP108" s="244"/>
      <c r="AQ108" s="244"/>
      <c r="AR108" s="244"/>
      <c r="AS108" s="244"/>
      <c r="AT108" s="244"/>
      <c r="AU108" s="244"/>
      <c r="AV108" s="244"/>
      <c r="AW108" s="244"/>
      <c r="AX108" s="244"/>
      <c r="AY108" s="244"/>
      <c r="AZ108" s="244"/>
      <c r="BA108" s="244"/>
      <c r="BB108" s="244"/>
      <c r="BC108" s="244"/>
      <c r="BD108" s="244"/>
      <c r="BE108" s="244"/>
      <c r="BF108" s="244"/>
      <c r="BG108" s="244"/>
      <c r="BH108" s="244"/>
      <c r="BI108" s="244"/>
      <c r="BJ108" s="244"/>
      <c r="BK108" s="244"/>
    </row>
    <row r="109">
      <c r="A109" s="244"/>
      <c r="B109" s="244"/>
      <c r="C109" s="244"/>
      <c r="D109" s="244"/>
      <c r="E109" s="244"/>
      <c r="F109" s="244"/>
      <c r="G109" s="244"/>
      <c r="H109" s="244"/>
      <c r="I109" s="244"/>
      <c r="J109" s="244"/>
      <c r="K109" s="244"/>
      <c r="L109" s="244"/>
      <c r="M109" s="244"/>
      <c r="N109" s="244"/>
      <c r="O109" s="244"/>
      <c r="P109" s="244"/>
      <c r="Q109" s="244"/>
      <c r="R109" s="244"/>
      <c r="S109" s="244"/>
      <c r="T109" s="244"/>
      <c r="U109" s="244"/>
      <c r="V109" s="244"/>
      <c r="W109" s="244"/>
      <c r="X109" s="244"/>
      <c r="Y109" s="244"/>
      <c r="Z109" s="244"/>
      <c r="AA109" s="244"/>
      <c r="AB109" s="244"/>
      <c r="AC109" s="244"/>
      <c r="AD109" s="244"/>
      <c r="AE109" s="244"/>
      <c r="AF109" s="244"/>
      <c r="AG109" s="244"/>
      <c r="AH109" s="244"/>
      <c r="AI109" s="244"/>
      <c r="AJ109" s="244"/>
      <c r="AK109" s="244"/>
      <c r="AL109" s="244"/>
      <c r="AM109" s="244"/>
      <c r="AN109" s="244"/>
      <c r="AO109" s="244"/>
      <c r="AP109" s="244"/>
      <c r="AQ109" s="244"/>
      <c r="AR109" s="244"/>
      <c r="AS109" s="244"/>
      <c r="AT109" s="244"/>
      <c r="AU109" s="244"/>
      <c r="AV109" s="244"/>
      <c r="AW109" s="244"/>
      <c r="AX109" s="244"/>
      <c r="AY109" s="244"/>
      <c r="AZ109" s="244"/>
      <c r="BA109" s="244"/>
      <c r="BB109" s="244"/>
      <c r="BC109" s="244"/>
      <c r="BD109" s="244"/>
      <c r="BE109" s="244"/>
      <c r="BF109" s="244"/>
      <c r="BG109" s="244"/>
      <c r="BH109" s="244"/>
      <c r="BI109" s="244"/>
      <c r="BJ109" s="244"/>
      <c r="BK109" s="244"/>
    </row>
    <row r="110">
      <c r="A110" s="244"/>
      <c r="B110" s="244"/>
      <c r="C110" s="244"/>
      <c r="D110" s="244"/>
      <c r="E110" s="244"/>
      <c r="F110" s="244"/>
      <c r="G110" s="244"/>
      <c r="H110" s="244"/>
      <c r="I110" s="244"/>
      <c r="J110" s="244"/>
      <c r="K110" s="244"/>
      <c r="L110" s="244"/>
      <c r="M110" s="244"/>
      <c r="N110" s="244"/>
      <c r="O110" s="244"/>
      <c r="P110" s="244"/>
      <c r="Q110" s="244"/>
      <c r="R110" s="244"/>
      <c r="S110" s="244"/>
      <c r="T110" s="244"/>
      <c r="U110" s="244"/>
      <c r="V110" s="244"/>
      <c r="W110" s="244"/>
      <c r="X110" s="244"/>
      <c r="Y110" s="244"/>
      <c r="Z110" s="244"/>
      <c r="AA110" s="244"/>
      <c r="AB110" s="244"/>
      <c r="AC110" s="244"/>
      <c r="AD110" s="244"/>
      <c r="AE110" s="244"/>
      <c r="AF110" s="244"/>
      <c r="AG110" s="244"/>
      <c r="AH110" s="244"/>
      <c r="AI110" s="244"/>
      <c r="AJ110" s="244"/>
      <c r="AK110" s="244"/>
      <c r="AL110" s="244"/>
      <c r="AM110" s="244"/>
      <c r="AN110" s="244"/>
      <c r="AO110" s="244"/>
      <c r="AP110" s="244"/>
      <c r="AQ110" s="244"/>
      <c r="AR110" s="244"/>
      <c r="AS110" s="244"/>
      <c r="AT110" s="244"/>
      <c r="AU110" s="244"/>
      <c r="AV110" s="244"/>
      <c r="AW110" s="244"/>
      <c r="AX110" s="244"/>
      <c r="AY110" s="244"/>
      <c r="AZ110" s="244"/>
      <c r="BA110" s="244"/>
      <c r="BB110" s="244"/>
      <c r="BC110" s="244"/>
      <c r="BD110" s="244"/>
      <c r="BE110" s="244"/>
      <c r="BF110" s="244"/>
      <c r="BG110" s="244"/>
      <c r="BH110" s="244"/>
      <c r="BI110" s="244"/>
      <c r="BJ110" s="244"/>
      <c r="BK110" s="244"/>
    </row>
    <row r="111">
      <c r="A111" s="244"/>
      <c r="B111" s="244"/>
      <c r="C111" s="244"/>
      <c r="D111" s="244"/>
      <c r="E111" s="244"/>
      <c r="F111" s="244"/>
      <c r="G111" s="244"/>
      <c r="H111" s="244"/>
      <c r="I111" s="244"/>
      <c r="J111" s="244"/>
      <c r="K111" s="244"/>
      <c r="L111" s="244"/>
      <c r="M111" s="244"/>
      <c r="N111" s="244"/>
      <c r="O111" s="244"/>
      <c r="P111" s="244"/>
      <c r="Q111" s="244"/>
      <c r="R111" s="244"/>
      <c r="S111" s="244"/>
      <c r="T111" s="244"/>
      <c r="U111" s="244"/>
      <c r="V111" s="244"/>
      <c r="W111" s="244"/>
      <c r="X111" s="244"/>
      <c r="Y111" s="244"/>
      <c r="Z111" s="244"/>
      <c r="AA111" s="244"/>
      <c r="AB111" s="244"/>
      <c r="AC111" s="244"/>
      <c r="AD111" s="244"/>
      <c r="AE111" s="244"/>
      <c r="AF111" s="244"/>
      <c r="AG111" s="244"/>
      <c r="AH111" s="244"/>
      <c r="AI111" s="244"/>
      <c r="AJ111" s="244"/>
      <c r="AK111" s="244"/>
      <c r="AL111" s="244"/>
      <c r="AM111" s="244"/>
      <c r="AN111" s="244"/>
      <c r="AO111" s="244"/>
      <c r="AP111" s="244"/>
      <c r="AQ111" s="244"/>
      <c r="AR111" s="244"/>
      <c r="AS111" s="244"/>
      <c r="AT111" s="244"/>
      <c r="AU111" s="244"/>
      <c r="AV111" s="244"/>
      <c r="AW111" s="244"/>
      <c r="AX111" s="244"/>
      <c r="AY111" s="244"/>
      <c r="AZ111" s="244"/>
      <c r="BA111" s="244"/>
      <c r="BB111" s="244"/>
      <c r="BC111" s="244"/>
      <c r="BD111" s="244"/>
      <c r="BE111" s="244"/>
      <c r="BF111" s="244"/>
      <c r="BG111" s="244"/>
      <c r="BH111" s="244"/>
      <c r="BI111" s="244"/>
      <c r="BJ111" s="244"/>
      <c r="BK111" s="244"/>
    </row>
    <row r="112">
      <c r="A112" s="244"/>
      <c r="B112" s="244"/>
      <c r="C112" s="244"/>
      <c r="D112" s="244"/>
      <c r="E112" s="244"/>
      <c r="F112" s="244"/>
      <c r="G112" s="244"/>
      <c r="H112" s="244"/>
      <c r="I112" s="244"/>
      <c r="J112" s="244"/>
      <c r="K112" s="244"/>
      <c r="L112" s="244"/>
      <c r="M112" s="244"/>
      <c r="N112" s="244"/>
      <c r="O112" s="244"/>
      <c r="P112" s="244"/>
      <c r="Q112" s="244"/>
      <c r="R112" s="244"/>
      <c r="S112" s="244"/>
      <c r="T112" s="244"/>
      <c r="U112" s="244"/>
      <c r="V112" s="244"/>
      <c r="W112" s="244"/>
      <c r="X112" s="244"/>
      <c r="Y112" s="244"/>
      <c r="Z112" s="244"/>
      <c r="AA112" s="244"/>
      <c r="AB112" s="244"/>
      <c r="AC112" s="244"/>
      <c r="AD112" s="244"/>
      <c r="AE112" s="244"/>
      <c r="AF112" s="244"/>
      <c r="AG112" s="244"/>
      <c r="AH112" s="244"/>
      <c r="AI112" s="244"/>
      <c r="AJ112" s="244"/>
      <c r="AK112" s="244"/>
      <c r="AL112" s="244"/>
      <c r="AM112" s="244"/>
      <c r="AN112" s="244"/>
      <c r="AO112" s="244"/>
      <c r="AP112" s="244"/>
      <c r="AQ112" s="244"/>
      <c r="AR112" s="244"/>
      <c r="AS112" s="244"/>
      <c r="AT112" s="244"/>
      <c r="AU112" s="244"/>
      <c r="AV112" s="244"/>
      <c r="AW112" s="244"/>
      <c r="AX112" s="244"/>
      <c r="AY112" s="244"/>
      <c r="AZ112" s="244"/>
      <c r="BA112" s="244"/>
      <c r="BB112" s="244"/>
      <c r="BC112" s="244"/>
      <c r="BD112" s="244"/>
      <c r="BE112" s="244"/>
      <c r="BF112" s="244"/>
      <c r="BG112" s="244"/>
      <c r="BH112" s="244"/>
      <c r="BI112" s="244"/>
      <c r="BJ112" s="244"/>
      <c r="BK112" s="244"/>
    </row>
    <row r="113">
      <c r="A113" s="244"/>
      <c r="B113" s="244"/>
      <c r="C113" s="244"/>
      <c r="D113" s="244"/>
      <c r="E113" s="244"/>
      <c r="F113" s="244"/>
      <c r="G113" s="244"/>
      <c r="H113" s="244"/>
      <c r="I113" s="244"/>
      <c r="J113" s="244"/>
      <c r="K113" s="244"/>
      <c r="L113" s="244"/>
      <c r="M113" s="244"/>
      <c r="N113" s="244"/>
      <c r="O113" s="244"/>
      <c r="P113" s="244"/>
      <c r="Q113" s="244"/>
      <c r="R113" s="244"/>
      <c r="S113" s="244"/>
      <c r="T113" s="244"/>
      <c r="U113" s="244"/>
      <c r="V113" s="244"/>
      <c r="W113" s="244"/>
      <c r="X113" s="244"/>
      <c r="Y113" s="244"/>
      <c r="Z113" s="244"/>
      <c r="AA113" s="244"/>
      <c r="AB113" s="244"/>
      <c r="AC113" s="244"/>
      <c r="AD113" s="244"/>
      <c r="AE113" s="244"/>
      <c r="AF113" s="244"/>
      <c r="AG113" s="244"/>
      <c r="AH113" s="244"/>
      <c r="AI113" s="244"/>
      <c r="AJ113" s="244"/>
      <c r="AK113" s="244"/>
      <c r="AL113" s="244"/>
      <c r="AM113" s="244"/>
      <c r="AN113" s="244"/>
      <c r="AO113" s="244"/>
      <c r="AP113" s="244"/>
      <c r="AQ113" s="244"/>
      <c r="AR113" s="244"/>
      <c r="AS113" s="244"/>
      <c r="AT113" s="244"/>
      <c r="AU113" s="244"/>
      <c r="AV113" s="244"/>
      <c r="AW113" s="244"/>
      <c r="AX113" s="244"/>
      <c r="AY113" s="244"/>
      <c r="AZ113" s="244"/>
      <c r="BA113" s="244"/>
      <c r="BB113" s="244"/>
      <c r="BC113" s="244"/>
      <c r="BD113" s="244"/>
      <c r="BE113" s="244"/>
      <c r="BF113" s="244"/>
      <c r="BG113" s="244"/>
      <c r="BH113" s="244"/>
      <c r="BI113" s="244"/>
      <c r="BJ113" s="244"/>
      <c r="BK113" s="244"/>
    </row>
  </sheetData>
  <mergeCells count="3">
    <mergeCell ref="X22:AD22"/>
    <mergeCell ref="R4:AG4"/>
    <mergeCell ref="B56:AH56"/>
  </mergeCells>
  <phoneticPr fontId="0" type="noConversion"/>
  <printOptions horizontalCentered="1" verticalCentered="1"/>
  <pageMargins left="0.25" right="0.25" top="0.25" bottom="0.25" header="0" footer="0"/>
  <pageSetup scale="55" orientation="landscape" r:id="rId1"/>
  <headerFooter alignWithMargins="0">
    <oddHeader/>
    <oddFooter/>
  </headerFooter>
  <drawing r:id="rId55"/>
</worksheet>
</file>

<file path=xl/worksheets/sheet8.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BK113"/>
  <sheetViews>
    <sheetView showGridLines="0" zoomScale="65" workbookViewId="0"/>
  </sheetViews>
  <sheetFormatPr defaultRowHeight="12.75"/>
  <cols>
    <col min="1" max="1" width="1" customWidth="1"/>
    <col min="2" max="2" width="21.7109375" customWidth="1"/>
    <col min="3" max="30" width="8.28515625" customWidth="1"/>
    <col min="31" max="31" width="1.7109375" customWidth="1"/>
    <col min="32" max="34" width="8.28515625" style="1" customWidth="1"/>
    <col min="35" max="35" width="2" style="1" customWidth="1"/>
    <col min="36" max="39" width="9.28515625" style="1" bestFit="1" customWidth="1"/>
  </cols>
  <sheetData>
    <row r="1" ht="36" customHeight="1">
      <c r="A1" s="6"/>
      <c r="B1" s="39" t="s">
        <v>125</v>
      </c>
      <c r="AF1"/>
      <c r="AG1"/>
      <c r="AH1"/>
      <c r="AI1"/>
      <c r="AJ1" s="244"/>
      <c r="AK1" s="244"/>
      <c r="AL1" s="244"/>
      <c r="AM1" s="244"/>
      <c r="AN1" s="244"/>
      <c r="AO1" s="244"/>
      <c r="AP1" s="244"/>
      <c r="AQ1" s="244"/>
      <c r="AR1" s="244"/>
      <c r="AS1" s="244"/>
      <c r="AT1" s="244"/>
      <c r="AU1" s="244"/>
      <c r="AV1" s="244"/>
      <c r="AW1" s="244"/>
      <c r="AX1" s="244"/>
      <c r="AY1" s="244"/>
      <c r="AZ1" s="244"/>
      <c r="BA1" s="244"/>
      <c r="BB1" s="244"/>
      <c r="BC1" s="244"/>
      <c r="BD1" s="244"/>
      <c r="BE1" s="244"/>
      <c r="BF1" s="244"/>
      <c r="BG1" s="244"/>
      <c r="BH1" s="244"/>
      <c r="BI1" s="244"/>
      <c r="BJ1" s="244"/>
      <c r="BK1" s="244"/>
    </row>
    <row r="2" ht="17.1" customHeight="1">
      <c r="A2" s="5"/>
      <c r="B2" s="10" t="s">
        <v>141</v>
      </c>
      <c r="AF2"/>
      <c r="AG2" s="216"/>
      <c r="AH2"/>
      <c r="AI2"/>
      <c r="AJ2" s="244"/>
      <c r="AK2" s="244"/>
      <c r="AL2" s="244"/>
      <c r="AM2" s="244"/>
      <c r="AN2" s="244"/>
      <c r="AO2" s="244"/>
      <c r="AP2" s="244"/>
      <c r="AQ2" s="244"/>
      <c r="AR2" s="244"/>
      <c r="AS2" s="244"/>
      <c r="AT2" s="244"/>
      <c r="AU2" s="244"/>
      <c r="AV2" s="244"/>
      <c r="AW2" s="244"/>
      <c r="AX2" s="244"/>
      <c r="AY2" s="244"/>
      <c r="AZ2" s="244"/>
      <c r="BA2" s="244"/>
      <c r="BB2" s="244"/>
      <c r="BC2" s="244"/>
      <c r="BD2" s="244"/>
      <c r="BE2" s="244"/>
      <c r="BF2" s="244"/>
      <c r="BG2" s="244"/>
      <c r="BH2" s="244"/>
      <c r="BI2" s="244"/>
      <c r="BJ2" s="244"/>
      <c r="BK2" s="244"/>
    </row>
    <row r="3" ht="17.1" customHeight="1">
      <c r="A3" s="5"/>
      <c r="B3" s="10" t="s">
        <v>142</v>
      </c>
      <c r="AF3"/>
      <c r="AG3"/>
      <c r="AH3"/>
      <c r="AI3"/>
      <c r="AJ3" s="244"/>
      <c r="AK3" s="244"/>
      <c r="AL3" s="244"/>
      <c r="AM3" s="244"/>
      <c r="AN3" s="244"/>
      <c r="AO3" s="244"/>
      <c r="AP3" s="244"/>
      <c r="AQ3" s="244"/>
      <c r="AR3" s="244"/>
      <c r="AS3" s="244"/>
      <c r="AT3" s="244"/>
      <c r="AU3" s="244"/>
      <c r="AV3" s="244"/>
      <c r="AW3" s="244"/>
      <c r="AX3" s="244"/>
      <c r="AY3" s="244"/>
      <c r="AZ3" s="244"/>
      <c r="BA3" s="244"/>
      <c r="BB3" s="244"/>
      <c r="BC3" s="244"/>
      <c r="BD3" s="244"/>
      <c r="BE3" s="244"/>
      <c r="BF3" s="244"/>
      <c r="BG3" s="244"/>
      <c r="BH3" s="244"/>
      <c r="BI3" s="244"/>
      <c r="BJ3" s="244"/>
      <c r="BK3" s="244"/>
    </row>
    <row r="4" ht="17.1" customHeight="1">
      <c r="A4" s="5"/>
      <c r="B4" s="4" t="s">
        <v>143</v>
      </c>
      <c r="R4" s="618" t="s">
        <v>146</v>
      </c>
      <c r="S4" s="618"/>
      <c r="T4" s="618"/>
      <c r="U4" s="618"/>
      <c r="V4" s="618"/>
      <c r="W4" s="618"/>
      <c r="X4" s="618"/>
      <c r="Y4" s="618"/>
      <c r="Z4" s="618"/>
      <c r="AA4" s="618"/>
      <c r="AB4" s="618"/>
      <c r="AC4" s="618"/>
      <c r="AD4" s="618"/>
      <c r="AE4" s="618"/>
      <c r="AF4" s="618"/>
      <c r="AG4" s="618"/>
      <c r="AH4"/>
      <c r="AI4"/>
      <c r="AJ4" s="244"/>
      <c r="AK4" s="244"/>
      <c r="AL4" s="244"/>
      <c r="AM4" s="244"/>
      <c r="AN4" s="244"/>
      <c r="AO4" s="244"/>
      <c r="AP4" s="244"/>
      <c r="AQ4" s="244"/>
      <c r="AR4" s="244"/>
      <c r="AS4" s="244"/>
      <c r="AT4" s="244"/>
      <c r="AU4" s="244"/>
      <c r="AV4" s="244"/>
      <c r="AW4" s="244"/>
      <c r="AX4" s="244"/>
      <c r="AY4" s="244"/>
      <c r="AZ4" s="244"/>
      <c r="BA4" s="244"/>
      <c r="BB4" s="244"/>
      <c r="BC4" s="244"/>
      <c r="BD4" s="244"/>
      <c r="BE4" s="244"/>
      <c r="BF4" s="244"/>
      <c r="BG4" s="244"/>
      <c r="BH4" s="244"/>
      <c r="BI4" s="244"/>
      <c r="BJ4" s="244"/>
      <c r="BK4" s="244"/>
    </row>
    <row r="5" ht="23.25">
      <c r="A5" s="5"/>
      <c r="AF5"/>
      <c r="AG5"/>
      <c r="AH5"/>
      <c r="AI5"/>
      <c r="AJ5" s="244"/>
      <c r="AK5" s="244"/>
      <c r="AL5" s="244"/>
      <c r="AM5" s="244"/>
      <c r="AN5" s="244"/>
      <c r="AO5" s="244"/>
      <c r="AP5" s="244"/>
      <c r="AQ5" s="244"/>
      <c r="AR5" s="244"/>
      <c r="AS5" s="244"/>
      <c r="AT5" s="244"/>
      <c r="AU5" s="244"/>
      <c r="AV5" s="244"/>
      <c r="AW5" s="244"/>
      <c r="AX5" s="244"/>
      <c r="AY5" s="244"/>
      <c r="AZ5" s="244"/>
      <c r="BA5" s="244"/>
      <c r="BB5" s="244"/>
      <c r="BC5" s="244"/>
      <c r="BD5" s="244"/>
      <c r="BE5" s="244"/>
      <c r="BF5" s="244"/>
      <c r="BG5" s="244"/>
      <c r="BH5" s="244"/>
      <c r="BI5" s="244"/>
      <c r="BJ5" s="244"/>
      <c r="BK5" s="244"/>
    </row>
    <row r="6" ht="23.25">
      <c r="A6" s="5"/>
      <c r="AF6"/>
      <c r="AG6"/>
      <c r="AH6"/>
      <c r="AI6"/>
      <c r="AJ6" s="244"/>
      <c r="AK6" s="244"/>
      <c r="AL6" s="244"/>
      <c r="AM6" s="244"/>
      <c r="AN6" s="244"/>
      <c r="AO6" s="244"/>
      <c r="AP6" s="244"/>
      <c r="AQ6" s="244"/>
      <c r="AR6" s="244"/>
      <c r="AS6" s="244"/>
      <c r="AT6" s="244"/>
      <c r="AU6" s="244"/>
      <c r="AV6" s="244"/>
      <c r="AW6" s="244"/>
      <c r="AX6" s="244"/>
      <c r="AY6" s="244"/>
      <c r="AZ6" s="244"/>
      <c r="BA6" s="244"/>
      <c r="BB6" s="244"/>
      <c r="BC6" s="244"/>
      <c r="BD6" s="244"/>
      <c r="BE6" s="244"/>
      <c r="BF6" s="244"/>
      <c r="BG6" s="244"/>
      <c r="BH6" s="244"/>
      <c r="BI6" s="244"/>
      <c r="BJ6" s="244"/>
      <c r="BK6" s="244"/>
    </row>
    <row r="7" ht="23.25">
      <c r="A7" s="5"/>
      <c r="Y7" s="26"/>
      <c r="Z7" s="26"/>
      <c r="AA7" s="26"/>
      <c r="AB7" s="26"/>
      <c r="AC7" s="26"/>
      <c r="AF7"/>
      <c r="AG7"/>
      <c r="AH7"/>
      <c r="AI7"/>
      <c r="AJ7" s="244"/>
      <c r="AK7" s="244"/>
      <c r="AL7" s="244"/>
      <c r="AM7" s="244"/>
      <c r="AN7" s="244"/>
      <c r="AO7" s="244"/>
      <c r="AP7" s="244"/>
      <c r="AQ7" s="244"/>
      <c r="AR7" s="244"/>
      <c r="AS7" s="244"/>
      <c r="AT7" s="244"/>
      <c r="AU7" s="244"/>
      <c r="AV7" s="244"/>
      <c r="AW7" s="244"/>
      <c r="AX7" s="244"/>
      <c r="AY7" s="244"/>
      <c r="AZ7" s="244"/>
      <c r="BA7" s="244"/>
      <c r="BB7" s="244"/>
      <c r="BC7" s="244"/>
      <c r="BD7" s="244"/>
      <c r="BE7" s="244"/>
      <c r="BF7" s="244"/>
      <c r="BG7" s="244"/>
      <c r="BH7" s="244"/>
      <c r="BI7" s="244"/>
      <c r="BJ7" s="244"/>
      <c r="BK7" s="244"/>
    </row>
    <row r="8" ht="23.25">
      <c r="A8" s="5"/>
      <c r="AF8"/>
      <c r="AG8"/>
      <c r="AH8"/>
      <c r="AI8"/>
      <c r="AJ8" s="244"/>
      <c r="AK8" s="244"/>
      <c r="AL8" s="244"/>
      <c r="AM8" s="244"/>
      <c r="AN8" s="244"/>
      <c r="AO8" s="244"/>
      <c r="AP8" s="244"/>
      <c r="AQ8" s="244"/>
      <c r="AR8" s="244"/>
      <c r="AS8" s="244"/>
      <c r="AT8" s="244"/>
      <c r="AU8" s="244"/>
      <c r="AV8" s="244"/>
      <c r="AW8" s="244"/>
      <c r="AX8" s="244"/>
      <c r="AY8" s="244"/>
      <c r="AZ8" s="244"/>
      <c r="BA8" s="244"/>
      <c r="BB8" s="244"/>
      <c r="BC8" s="244"/>
      <c r="BD8" s="244"/>
      <c r="BE8" s="244"/>
      <c r="BF8" s="244"/>
      <c r="BG8" s="244"/>
      <c r="BH8" s="244"/>
      <c r="BI8" s="244"/>
      <c r="BJ8" s="244"/>
      <c r="BK8" s="244"/>
    </row>
    <row r="9" ht="23.25">
      <c r="A9" s="5"/>
      <c r="AF9"/>
      <c r="AG9"/>
      <c r="AH9"/>
      <c r="AI9"/>
      <c r="AJ9" s="244"/>
      <c r="AK9" s="244"/>
      <c r="AL9" s="244"/>
      <c r="AM9" s="244"/>
      <c r="AN9" s="244"/>
      <c r="AO9" s="244"/>
      <c r="AP9" s="244"/>
      <c r="AQ9" s="244"/>
      <c r="AR9" s="244"/>
      <c r="AS9" s="244"/>
      <c r="AT9" s="244"/>
      <c r="AU9" s="244"/>
      <c r="AV9" s="244"/>
      <c r="AW9" s="244"/>
      <c r="AX9" s="244"/>
      <c r="AY9" s="244"/>
      <c r="AZ9" s="244"/>
      <c r="BA9" s="244"/>
      <c r="BB9" s="244"/>
      <c r="BC9" s="244"/>
      <c r="BD9" s="244"/>
      <c r="BE9" s="244"/>
      <c r="BF9" s="244"/>
      <c r="BG9" s="244"/>
      <c r="BH9" s="244"/>
      <c r="BI9" s="244"/>
      <c r="BJ9" s="244"/>
      <c r="BK9" s="244"/>
    </row>
    <row r="10" ht="23.25">
      <c r="A10" s="5"/>
      <c r="AF10"/>
      <c r="AG10"/>
      <c r="AH10"/>
      <c r="AI10"/>
      <c r="AJ10" s="244"/>
      <c r="AK10" s="244"/>
      <c r="AL10" s="244"/>
      <c r="AM10" s="244"/>
      <c r="AN10" s="244"/>
      <c r="AO10" s="244"/>
      <c r="AP10" s="244"/>
      <c r="AQ10" s="244"/>
      <c r="AR10" s="244"/>
      <c r="AS10" s="244"/>
      <c r="AT10" s="244"/>
      <c r="AU10" s="244"/>
      <c r="AV10" s="244"/>
      <c r="AW10" s="244"/>
      <c r="AX10" s="244"/>
      <c r="AY10" s="244"/>
      <c r="AZ10" s="244"/>
      <c r="BA10" s="244"/>
      <c r="BB10" s="244"/>
      <c r="BC10" s="244"/>
      <c r="BD10" s="244"/>
      <c r="BE10" s="244"/>
      <c r="BF10" s="244"/>
      <c r="BG10" s="244"/>
      <c r="BH10" s="244"/>
      <c r="BI10" s="244"/>
      <c r="BJ10" s="244"/>
      <c r="BK10" s="244"/>
    </row>
    <row r="11" ht="23.25">
      <c r="A11" s="5"/>
      <c r="AF11"/>
      <c r="AG11"/>
      <c r="AH11"/>
      <c r="AI11"/>
      <c r="AJ11" s="244"/>
      <c r="AK11" s="244"/>
      <c r="AL11" s="244"/>
      <c r="AM11" s="244"/>
      <c r="AN11" s="244"/>
      <c r="AO11" s="244"/>
      <c r="AP11" s="244"/>
      <c r="AQ11" s="244"/>
      <c r="AR11" s="244"/>
      <c r="AS11" s="244"/>
      <c r="AT11" s="244"/>
      <c r="AU11" s="244"/>
      <c r="AV11" s="244"/>
      <c r="AW11" s="244"/>
      <c r="AX11" s="244"/>
      <c r="AY11" s="244"/>
      <c r="AZ11" s="244"/>
      <c r="BA11" s="244"/>
      <c r="BB11" s="244"/>
      <c r="BC11" s="244"/>
      <c r="BD11" s="244"/>
      <c r="BE11" s="244"/>
      <c r="BF11" s="244"/>
      <c r="BG11" s="244"/>
      <c r="BH11" s="244"/>
      <c r="BI11" s="244"/>
      <c r="BJ11" s="244"/>
      <c r="BK11" s="244"/>
    </row>
    <row r="12" ht="23.25">
      <c r="A12" s="5"/>
      <c r="AF12"/>
      <c r="AG12"/>
      <c r="AH12"/>
      <c r="AI12"/>
      <c r="AJ12" s="244"/>
      <c r="AK12" s="244"/>
      <c r="AL12" s="244"/>
      <c r="AM12" s="244"/>
      <c r="AN12" s="244"/>
      <c r="AO12" s="244"/>
      <c r="AP12" s="244"/>
      <c r="AQ12" s="244"/>
      <c r="AR12" s="244"/>
      <c r="AS12" s="244"/>
      <c r="AT12" s="244"/>
      <c r="AU12" s="244"/>
      <c r="AV12" s="244"/>
      <c r="AW12" s="244"/>
      <c r="AX12" s="244"/>
      <c r="AY12" s="244"/>
      <c r="AZ12" s="244"/>
      <c r="BA12" s="244"/>
      <c r="BB12" s="244"/>
      <c r="BC12" s="244"/>
      <c r="BD12" s="244"/>
      <c r="BE12" s="244"/>
      <c r="BF12" s="244"/>
      <c r="BG12" s="244"/>
      <c r="BH12" s="244"/>
      <c r="BI12" s="244"/>
      <c r="BJ12" s="244"/>
      <c r="BK12" s="244"/>
    </row>
    <row r="13" ht="23.25">
      <c r="A13" s="5"/>
      <c r="AF13"/>
      <c r="AG13"/>
      <c r="AH13"/>
      <c r="AI13"/>
      <c r="AJ13" s="244"/>
      <c r="AK13" s="244"/>
      <c r="AL13" s="244"/>
      <c r="AM13" s="244"/>
      <c r="AN13" s="244"/>
      <c r="AO13" s="244"/>
      <c r="AP13" s="244"/>
      <c r="AQ13" s="244"/>
      <c r="AR13" s="244"/>
      <c r="AS13" s="244"/>
      <c r="AT13" s="244"/>
      <c r="AU13" s="244"/>
      <c r="AV13" s="244"/>
      <c r="AW13" s="244"/>
      <c r="AX13" s="244"/>
      <c r="AY13" s="244"/>
      <c r="AZ13" s="244"/>
      <c r="BA13" s="244"/>
      <c r="BB13" s="244"/>
      <c r="BC13" s="244"/>
      <c r="BD13" s="244"/>
      <c r="BE13" s="244"/>
      <c r="BF13" s="244"/>
      <c r="BG13" s="244"/>
      <c r="BH13" s="244"/>
      <c r="BI13" s="244"/>
      <c r="BJ13" s="244"/>
      <c r="BK13" s="244"/>
    </row>
    <row r="14" ht="23.25">
      <c r="A14" s="5"/>
      <c r="AF14"/>
      <c r="AG14"/>
      <c r="AH14"/>
      <c r="AI14"/>
      <c r="AJ14" s="244"/>
      <c r="AK14" s="244"/>
      <c r="AL14" s="244"/>
      <c r="AM14" s="244"/>
      <c r="AN14" s="244"/>
      <c r="AO14" s="244"/>
      <c r="AP14" s="244"/>
      <c r="AQ14" s="244"/>
      <c r="AR14" s="244"/>
      <c r="AS14" s="244"/>
      <c r="AT14" s="244"/>
      <c r="AU14" s="244"/>
      <c r="AV14" s="244"/>
      <c r="AW14" s="244"/>
      <c r="AX14" s="244"/>
      <c r="AY14" s="244"/>
      <c r="AZ14" s="244"/>
      <c r="BA14" s="244"/>
      <c r="BB14" s="244"/>
      <c r="BC14" s="244"/>
      <c r="BD14" s="244"/>
      <c r="BE14" s="244"/>
      <c r="BF14" s="244"/>
      <c r="BG14" s="244"/>
      <c r="BH14" s="244"/>
      <c r="BI14" s="244"/>
      <c r="BJ14" s="244"/>
      <c r="BK14" s="244"/>
    </row>
    <row r="15" ht="23.25">
      <c r="A15" s="5"/>
      <c r="AF15"/>
      <c r="AG15"/>
      <c r="AH15"/>
      <c r="AI15"/>
      <c r="AJ15" s="244"/>
      <c r="AK15" s="244"/>
      <c r="AL15" s="244"/>
      <c r="AM15" s="244"/>
      <c r="AN15" s="244"/>
      <c r="AO15" s="244"/>
      <c r="AP15" s="244"/>
      <c r="AQ15" s="244"/>
      <c r="AR15" s="244"/>
      <c r="AS15" s="244"/>
      <c r="AT15" s="244"/>
      <c r="AU15" s="244"/>
      <c r="AV15" s="244"/>
      <c r="AW15" s="244"/>
      <c r="AX15" s="244"/>
      <c r="AY15" s="244"/>
      <c r="AZ15" s="244"/>
      <c r="BA15" s="244"/>
      <c r="BB15" s="244"/>
      <c r="BC15" s="244"/>
      <c r="BD15" s="244"/>
      <c r="BE15" s="244"/>
      <c r="BF15" s="244"/>
      <c r="BG15" s="244"/>
      <c r="BH15" s="244"/>
      <c r="BI15" s="244"/>
      <c r="BJ15" s="244"/>
      <c r="BK15" s="244"/>
    </row>
    <row r="16" ht="23.25">
      <c r="A16" s="5"/>
      <c r="AF16"/>
      <c r="AG16"/>
      <c r="AH16"/>
      <c r="AI16"/>
      <c r="AJ16" s="244"/>
      <c r="AK16" s="244"/>
      <c r="AL16" s="244"/>
      <c r="AM16" s="244"/>
      <c r="AN16" s="244"/>
      <c r="AO16" s="244"/>
      <c r="AP16" s="244"/>
      <c r="AQ16" s="244"/>
      <c r="AR16" s="244"/>
      <c r="AS16" s="244"/>
      <c r="AT16" s="244"/>
      <c r="AU16" s="244"/>
      <c r="AV16" s="244"/>
      <c r="AW16" s="244"/>
      <c r="AX16" s="244"/>
      <c r="AY16" s="244"/>
      <c r="AZ16" s="244"/>
      <c r="BA16" s="244"/>
      <c r="BB16" s="244"/>
      <c r="BC16" s="244"/>
      <c r="BD16" s="244"/>
      <c r="BE16" s="244"/>
      <c r="BF16" s="244"/>
      <c r="BG16" s="244"/>
      <c r="BH16" s="244"/>
      <c r="BI16" s="244"/>
      <c r="BJ16" s="244"/>
      <c r="BK16" s="244"/>
    </row>
    <row r="17" ht="23.25">
      <c r="A17" s="5"/>
      <c r="AF17"/>
      <c r="AG17"/>
      <c r="AH17"/>
      <c r="AI17"/>
      <c r="AJ17" s="244"/>
      <c r="AK17" s="244"/>
      <c r="AL17" s="244"/>
      <c r="AM17" s="244"/>
      <c r="AN17" s="244"/>
      <c r="AO17" s="244"/>
      <c r="AP17" s="244"/>
      <c r="AQ17" s="244"/>
      <c r="AR17" s="244"/>
      <c r="AS17" s="244"/>
      <c r="AT17" s="244"/>
      <c r="AU17" s="244"/>
      <c r="AV17" s="244"/>
      <c r="AW17" s="244"/>
      <c r="AX17" s="244"/>
      <c r="AY17" s="244"/>
      <c r="AZ17" s="244"/>
      <c r="BA17" s="244"/>
      <c r="BB17" s="244"/>
      <c r="BC17" s="244"/>
      <c r="BD17" s="244"/>
      <c r="BE17" s="244"/>
      <c r="BF17" s="244"/>
      <c r="BG17" s="244"/>
      <c r="BH17" s="244"/>
      <c r="BI17" s="244"/>
      <c r="BJ17" s="244"/>
      <c r="BK17" s="244"/>
    </row>
    <row r="18" ht="23.25">
      <c r="A18" s="5"/>
      <c r="AF18"/>
      <c r="AG18"/>
      <c r="AH18"/>
      <c r="AI18"/>
      <c r="AJ18" s="244"/>
      <c r="AK18" s="244"/>
      <c r="AL18" s="244"/>
      <c r="AM18" s="244"/>
      <c r="AN18" s="244"/>
      <c r="AO18" s="244"/>
      <c r="AP18" s="244"/>
      <c r="AQ18" s="244"/>
      <c r="AR18" s="244"/>
      <c r="AS18" s="244"/>
      <c r="AT18" s="244"/>
      <c r="AU18" s="244"/>
      <c r="AV18" s="244"/>
      <c r="AW18" s="244"/>
      <c r="AX18" s="244"/>
      <c r="AY18" s="244"/>
      <c r="AZ18" s="244"/>
      <c r="BA18" s="244"/>
      <c r="BB18" s="244"/>
      <c r="BC18" s="244"/>
      <c r="BD18" s="244"/>
      <c r="BE18" s="244"/>
      <c r="BF18" s="244"/>
      <c r="BG18" s="244"/>
      <c r="BH18" s="244"/>
      <c r="BI18" s="244"/>
      <c r="BJ18" s="244"/>
      <c r="BK18" s="244"/>
    </row>
    <row r="19" ht="23.25">
      <c r="A19" s="5"/>
      <c r="AF19"/>
      <c r="AG19"/>
      <c r="AH19"/>
      <c r="AI19"/>
      <c r="AJ19" s="244"/>
      <c r="AK19" s="244"/>
      <c r="AL19" s="244"/>
      <c r="AM19" s="244"/>
      <c r="AN19" s="244"/>
      <c r="AO19" s="244"/>
      <c r="AP19" s="244"/>
      <c r="AQ19" s="244"/>
      <c r="AR19" s="244"/>
      <c r="AS19" s="244"/>
      <c r="AT19" s="244"/>
      <c r="AU19" s="244"/>
      <c r="AV19" s="244"/>
      <c r="AW19" s="244"/>
      <c r="AX19" s="244"/>
      <c r="AY19" s="244"/>
      <c r="AZ19" s="244"/>
      <c r="BA19" s="244"/>
      <c r="BB19" s="244"/>
      <c r="BC19" s="244"/>
      <c r="BD19" s="244"/>
      <c r="BE19" s="244"/>
      <c r="BF19" s="244"/>
      <c r="BG19" s="244"/>
      <c r="BH19" s="244"/>
      <c r="BI19" s="244"/>
      <c r="BJ19" s="244"/>
      <c r="BK19" s="244"/>
    </row>
    <row r="20" ht="11.25" customHeight="1">
      <c r="A20" s="5"/>
      <c r="AF20"/>
      <c r="AG20"/>
      <c r="AH20"/>
      <c r="AI20"/>
      <c r="AJ20" s="244"/>
      <c r="AK20" s="244"/>
      <c r="AL20" s="244"/>
      <c r="AM20" s="244"/>
      <c r="AN20" s="244"/>
      <c r="AO20" s="244"/>
      <c r="AP20" s="244"/>
      <c r="AQ20" s="244"/>
      <c r="AR20" s="244"/>
      <c r="AS20" s="244"/>
      <c r="AT20" s="244"/>
      <c r="AU20" s="244"/>
      <c r="AV20" s="244"/>
      <c r="AW20" s="244"/>
      <c r="AX20" s="244"/>
      <c r="AY20" s="244"/>
      <c r="AZ20" s="244"/>
      <c r="BA20" s="244"/>
      <c r="BB20" s="244"/>
      <c r="BC20" s="244"/>
      <c r="BD20" s="244"/>
      <c r="BE20" s="244"/>
      <c r="BF20" s="244"/>
      <c r="BG20" s="244"/>
      <c r="BH20" s="244"/>
      <c r="BI20" s="244"/>
      <c r="BJ20" s="244"/>
      <c r="BK20" s="244"/>
    </row>
    <row r="21" ht="20.1" customHeight="1" thickBot="1">
      <c r="AF21"/>
      <c r="AG21"/>
      <c r="AH21"/>
      <c r="AI21"/>
      <c r="AJ21" s="244"/>
      <c r="AK21" s="244"/>
      <c r="AL21" s="244"/>
      <c r="AM21" s="244"/>
      <c r="AN21" s="244"/>
      <c r="AO21" s="244"/>
      <c r="AP21" s="244"/>
      <c r="AQ21" s="244"/>
      <c r="AR21" s="244"/>
      <c r="AS21" s="244"/>
      <c r="AT21" s="244"/>
      <c r="AU21" s="244"/>
      <c r="AV21" s="244"/>
      <c r="AW21" s="244"/>
      <c r="AX21" s="244"/>
      <c r="AY21" s="244"/>
      <c r="AZ21" s="244"/>
      <c r="BA21" s="244"/>
      <c r="BB21" s="244"/>
      <c r="BC21" s="244"/>
      <c r="BD21" s="244"/>
      <c r="BE21" s="244"/>
      <c r="BF21" s="244"/>
      <c r="BG21" s="244"/>
      <c r="BH21" s="244"/>
      <c r="BI21" s="244"/>
      <c r="BJ21" s="244"/>
      <c r="BK21" s="244"/>
    </row>
    <row r="22" ht="18" customHeight="1">
      <c r="A22" s="8"/>
      <c r="B22" s="29"/>
      <c r="X22" s="517" t="s">
        <v>72</v>
      </c>
      <c r="Y22" s="517"/>
      <c r="Z22" s="517"/>
      <c r="AA22" s="517"/>
      <c r="AB22" s="517"/>
      <c r="AC22" s="517"/>
      <c r="AD22" s="617"/>
      <c r="AF22"/>
      <c r="AG22"/>
      <c r="AH22"/>
      <c r="AI22"/>
      <c r="AJ22" s="244"/>
      <c r="AK22" s="244"/>
      <c r="AL22" s="244"/>
      <c r="AM22" s="244"/>
      <c r="AN22" s="244"/>
      <c r="AO22" s="244"/>
      <c r="AP22" s="244"/>
      <c r="AQ22" s="244"/>
      <c r="AR22" s="244"/>
      <c r="AS22" s="244"/>
      <c r="AT22" s="244"/>
      <c r="AU22" s="244"/>
      <c r="AV22" s="244"/>
      <c r="AW22" s="244"/>
      <c r="AX22" s="244"/>
      <c r="AY22" s="244"/>
      <c r="AZ22" s="244"/>
      <c r="BA22" s="244"/>
      <c r="BB22" s="244"/>
      <c r="BC22" s="244"/>
      <c r="BD22" s="244"/>
      <c r="BE22" s="244"/>
      <c r="BF22" s="244"/>
      <c r="BG22" s="244"/>
      <c r="BH22" s="244"/>
      <c r="BI22" s="244"/>
      <c r="BJ22" s="244"/>
      <c r="BK22" s="244"/>
    </row>
    <row r="23" s="23" customFormat="1" ht="16.5">
      <c r="C23" s="50" t="s">
        <v>49</v>
      </c>
      <c r="D23" s="50" t="s">
        <v>47</v>
      </c>
      <c r="E23" s="50" t="s">
        <v>48</v>
      </c>
      <c r="F23" s="50" t="s">
        <v>50</v>
      </c>
      <c r="G23" s="50" t="s">
        <v>51</v>
      </c>
      <c r="H23" s="50" t="s">
        <v>52</v>
      </c>
      <c r="I23" s="50" t="s">
        <v>53</v>
      </c>
      <c r="J23" s="50" t="s">
        <v>49</v>
      </c>
      <c r="K23" s="50" t="s">
        <v>47</v>
      </c>
      <c r="L23" s="50" t="s">
        <v>48</v>
      </c>
      <c r="M23" s="50" t="s">
        <v>50</v>
      </c>
      <c r="N23" s="50" t="s">
        <v>51</v>
      </c>
      <c r="O23" s="50" t="s">
        <v>52</v>
      </c>
      <c r="P23" s="50" t="s">
        <v>53</v>
      </c>
      <c r="Q23" s="50" t="s">
        <v>49</v>
      </c>
      <c r="R23" s="50" t="s">
        <v>47</v>
      </c>
      <c r="S23" s="50" t="s">
        <v>48</v>
      </c>
      <c r="T23" s="50" t="s">
        <v>50</v>
      </c>
      <c r="U23" s="50" t="s">
        <v>51</v>
      </c>
      <c r="V23" s="50" t="s">
        <v>52</v>
      </c>
      <c r="W23" s="50" t="s">
        <v>53</v>
      </c>
      <c r="X23" s="51" t="s">
        <v>49</v>
      </c>
      <c r="Y23" s="50" t="s">
        <v>47</v>
      </c>
      <c r="Z23" s="50" t="s">
        <v>48</v>
      </c>
      <c r="AA23" s="50" t="s">
        <v>50</v>
      </c>
      <c r="AB23" s="50" t="s">
        <v>51</v>
      </c>
      <c r="AC23" s="50" t="s">
        <v>52</v>
      </c>
      <c r="AD23" s="52" t="s">
        <v>53</v>
      </c>
      <c r="AE23" s="4"/>
      <c r="AI23" s="4"/>
      <c r="AJ23" s="261"/>
      <c r="AK23" s="261"/>
      <c r="AL23" s="261"/>
      <c r="AM23" s="261"/>
      <c r="AN23" s="262"/>
      <c r="AO23" s="262"/>
      <c r="AP23" s="262"/>
      <c r="AQ23" s="262"/>
      <c r="AR23" s="262"/>
      <c r="AS23" s="262"/>
      <c r="AT23" s="262"/>
      <c r="AU23" s="262"/>
      <c r="AV23" s="262"/>
      <c r="AW23" s="262"/>
      <c r="AX23" s="262"/>
      <c r="AY23" s="262"/>
      <c r="AZ23" s="262"/>
      <c r="BA23" s="262"/>
      <c r="BB23" s="262"/>
      <c r="BC23" s="262"/>
      <c r="BD23" s="262"/>
      <c r="BE23" s="262"/>
      <c r="BF23" s="262"/>
      <c r="BG23" s="262"/>
      <c r="BH23" s="262"/>
      <c r="BI23" s="262"/>
      <c r="BJ23" s="262"/>
      <c r="BK23" s="262"/>
    </row>
    <row r="24" s="41" customFormat="1" ht="18">
      <c r="B24" s="418" t="s">
        <v>12</v>
      </c>
      <c r="C24" s="309" t="s">
        <v>148</v>
      </c>
      <c r="D24" s="310"/>
      <c r="E24" s="310"/>
      <c r="F24" s="310"/>
      <c r="G24" s="310"/>
      <c r="H24" s="310"/>
      <c r="I24" s="310"/>
      <c r="J24" s="310"/>
      <c r="K24" s="310"/>
      <c r="L24" s="656" t="s">
        <v>145</v>
      </c>
      <c r="M24" s="310"/>
      <c r="N24" s="310"/>
      <c r="O24" s="310"/>
      <c r="P24" s="310"/>
      <c r="Q24" s="310"/>
      <c r="R24" s="310"/>
      <c r="S24" s="311"/>
      <c r="T24" s="311"/>
      <c r="U24" s="311"/>
      <c r="V24" s="311"/>
      <c r="W24" s="311"/>
      <c r="X24" s="312"/>
      <c r="Y24" s="311"/>
      <c r="Z24" s="311"/>
      <c r="AA24" s="311"/>
      <c r="AB24" s="311"/>
      <c r="AC24" s="311"/>
      <c r="AD24" s="336"/>
      <c r="AE24" s="25"/>
      <c r="AF24" s="316" t="s">
        <v>58</v>
      </c>
      <c r="AG24" s="317" t="s">
        <v>59</v>
      </c>
      <c r="AH24" s="318" t="s">
        <v>59</v>
      </c>
      <c r="AI24" s="25"/>
      <c r="AJ24" s="255"/>
      <c r="AK24" s="255"/>
      <c r="AL24" s="255"/>
      <c r="AM24" s="255"/>
      <c r="AN24" s="263"/>
      <c r="AO24" s="263"/>
      <c r="AP24" s="263"/>
      <c r="AQ24" s="263"/>
      <c r="AR24" s="263"/>
      <c r="AS24" s="263"/>
      <c r="AT24" s="263"/>
      <c r="AU24" s="263"/>
      <c r="AV24" s="263"/>
      <c r="AW24" s="263"/>
      <c r="AX24" s="263"/>
      <c r="AY24" s="263"/>
      <c r="AZ24" s="263"/>
      <c r="BA24" s="263"/>
      <c r="BB24" s="263"/>
      <c r="BC24" s="263"/>
      <c r="BD24" s="263"/>
      <c r="BE24" s="263"/>
      <c r="BF24" s="263"/>
      <c r="BG24" s="263"/>
      <c r="BH24" s="263"/>
      <c r="BI24" s="263"/>
      <c r="BJ24" s="263"/>
      <c r="BK24" s="263"/>
    </row>
    <row r="25" s="42" customFormat="1">
      <c r="C25" s="322">
        <v>22</v>
      </c>
      <c r="D25" s="42">
        <v>23</v>
      </c>
      <c r="E25" s="42">
        <v>24</v>
      </c>
      <c r="F25" s="42">
        <v>25</v>
      </c>
      <c r="G25" s="42">
        <v>26</v>
      </c>
      <c r="H25" s="42">
        <v>27</v>
      </c>
      <c r="I25" s="42">
        <v>28</v>
      </c>
      <c r="J25" s="42">
        <v>29</v>
      </c>
      <c r="K25" s="42">
        <v>30</v>
      </c>
      <c r="L25" s="657">
        <v>1</v>
      </c>
      <c r="M25" s="42">
        <v>2</v>
      </c>
      <c r="N25" s="42">
        <v>3</v>
      </c>
      <c r="O25" s="42">
        <v>4</v>
      </c>
      <c r="P25" s="42">
        <v>5</v>
      </c>
      <c r="Q25" s="42">
        <v>6</v>
      </c>
      <c r="R25" s="42">
        <v>7</v>
      </c>
      <c r="S25" s="42">
        <v>8</v>
      </c>
      <c r="T25" s="42">
        <v>9</v>
      </c>
      <c r="U25" s="42">
        <v>10</v>
      </c>
      <c r="V25" s="42">
        <v>11</v>
      </c>
      <c r="W25" s="42">
        <v>12</v>
      </c>
      <c r="X25" s="323">
        <v>13</v>
      </c>
      <c r="Y25" s="42">
        <v>14</v>
      </c>
      <c r="Z25" s="42">
        <v>15</v>
      </c>
      <c r="AA25" s="42">
        <v>16</v>
      </c>
      <c r="AB25" s="42">
        <v>17</v>
      </c>
      <c r="AC25" s="42">
        <v>18</v>
      </c>
      <c r="AD25" s="337">
        <v>19</v>
      </c>
      <c r="AE25" s="25"/>
      <c r="AF25" s="324" t="s">
        <v>60</v>
      </c>
      <c r="AG25" s="325">
        <v>28</v>
      </c>
      <c r="AH25" s="326" t="s">
        <v>31</v>
      </c>
      <c r="AI25" s="25"/>
      <c r="AJ25" s="255"/>
      <c r="AK25" s="255"/>
      <c r="AL25" s="255"/>
      <c r="AM25" s="255"/>
      <c r="AN25" s="264"/>
      <c r="AO25" s="264"/>
      <c r="AP25" s="264"/>
      <c r="AQ25" s="264"/>
      <c r="AR25" s="264"/>
      <c r="AS25" s="264"/>
      <c r="AT25" s="264"/>
      <c r="AU25" s="264"/>
      <c r="AV25" s="264"/>
      <c r="AW25" s="264"/>
      <c r="AX25" s="264"/>
      <c r="AY25" s="264"/>
      <c r="AZ25" s="264"/>
      <c r="BA25" s="264"/>
      <c r="BB25" s="264"/>
      <c r="BC25" s="264"/>
      <c r="BD25" s="264"/>
      <c r="BE25" s="264"/>
      <c r="BF25" s="264"/>
      <c r="BG25" s="264"/>
      <c r="BH25" s="264"/>
      <c r="BI25" s="264"/>
      <c r="BJ25" s="264"/>
      <c r="BK25" s="264"/>
    </row>
    <row r="26" ht="14.25" customHeight="1">
      <c r="B26" s="46" t="s">
        <v>32</v>
      </c>
      <c r="C26" s="461">
        <v>88.20454545454545454545454545</v>
      </c>
      <c r="D26" s="462">
        <v>98.77450980392156862745098039</v>
      </c>
      <c r="E26" s="462">
        <v>99.56603773584905660377358491</v>
      </c>
      <c r="F26" s="462">
        <v>98.30841121495327102803738318</v>
      </c>
      <c r="G26" s="462">
        <v>99.72602739726027397260273973</v>
      </c>
      <c r="H26" s="462">
        <v>111.69672131147540983606557377</v>
      </c>
      <c r="I26" s="462">
        <v>99.84112149532710280373831776</v>
      </c>
      <c r="J26" s="462">
        <v>94.060000000</v>
      </c>
      <c r="K26" s="462">
        <v>95.12244897959183673469387755</v>
      </c>
      <c r="L26" s="671">
        <v>88.44680851063829787234042553</v>
      </c>
      <c r="M26" s="462">
        <v>92.500000000</v>
      </c>
      <c r="N26" s="462">
        <v>96.65217391304347826086956522</v>
      </c>
      <c r="O26" s="462">
        <v>98.55555555555555555555555556</v>
      </c>
      <c r="P26" s="462">
        <v>99.57333333333333333333333333</v>
      </c>
      <c r="Q26" s="462">
        <v>93.87096774193548387096774194</v>
      </c>
      <c r="R26" s="462">
        <v>99.59090909090909090909090909</v>
      </c>
      <c r="S26" s="462">
        <v>93.93181818181818181818181818</v>
      </c>
      <c r="T26" s="462">
        <v>99.13483146067415730337078652</v>
      </c>
      <c r="U26" s="462">
        <v>87.70588235294117647058823529</v>
      </c>
      <c r="V26" s="462">
        <v>106.71428571428571428571428571</v>
      </c>
      <c r="W26" s="462">
        <v>100.66037735849056603773584906</v>
      </c>
      <c r="X26" s="463">
        <v>90.000000000</v>
      </c>
      <c r="Y26" s="462">
        <v>95.23636363636363636363636364</v>
      </c>
      <c r="Z26" s="462">
        <v>102.55555555555555555555555556</v>
      </c>
      <c r="AA26" s="462">
        <v>98.687500000</v>
      </c>
      <c r="AB26" s="462">
        <v>92.28787878787878787878787879</v>
      </c>
      <c r="AC26" s="462">
        <v>104.020000000</v>
      </c>
      <c r="AD26" s="464">
        <v>102.80612244897959183673469388</v>
      </c>
      <c r="AE26" s="465"/>
      <c r="AF26" s="461">
        <v>98.87523629489603024574669187</v>
      </c>
      <c r="AG26" s="462">
        <v>98.64001914791766395404499761</v>
      </c>
      <c r="AH26" s="466">
        <v>97.87509405568096313017306245</v>
      </c>
      <c r="AI26"/>
      <c r="AJ26" s="244"/>
      <c r="AK26" s="244"/>
      <c r="AL26" s="244"/>
      <c r="AM26" s="244"/>
      <c r="AN26" s="244"/>
      <c r="AO26" s="244"/>
      <c r="AP26" s="244"/>
      <c r="AQ26" s="244"/>
      <c r="AR26" s="244"/>
      <c r="AS26" s="244"/>
      <c r="AT26" s="244"/>
      <c r="AU26" s="244"/>
      <c r="AV26" s="244"/>
      <c r="AW26" s="244"/>
      <c r="AX26" s="244"/>
      <c r="AY26" s="244"/>
      <c r="AZ26" s="244"/>
      <c r="BA26" s="244"/>
      <c r="BB26" s="244"/>
      <c r="BC26" s="244"/>
      <c r="BD26" s="244"/>
      <c r="BE26" s="244"/>
      <c r="BF26" s="244"/>
      <c r="BG26" s="244"/>
      <c r="BH26" s="244"/>
      <c r="BI26" s="244"/>
      <c r="BJ26" s="244"/>
      <c r="BK26" s="244"/>
    </row>
    <row r="27" ht="14.25" customHeight="1">
      <c r="B27" s="47" t="s">
        <v>26</v>
      </c>
      <c r="C27" s="370">
        <v>134.99008810572687224669603523</v>
      </c>
      <c r="D27" s="85">
        <v>141.07851785714285714285714285</v>
      </c>
      <c r="E27" s="85">
        <v>144.04239520958083832335329341</v>
      </c>
      <c r="F27" s="85">
        <v>146.02247104247104247104247105</v>
      </c>
      <c r="G27" s="85">
        <v>153.67954397394136807817589578</v>
      </c>
      <c r="H27" s="85">
        <v>139.84824836601307189542483661</v>
      </c>
      <c r="I27" s="85">
        <v>134.91435173299101412066752247</v>
      </c>
      <c r="J27" s="85">
        <v>125.0401072386058981233243968</v>
      </c>
      <c r="K27" s="85">
        <v>129.80238839285714285714285714</v>
      </c>
      <c r="L27" s="672">
        <v>131.30127236580516898608349899</v>
      </c>
      <c r="M27" s="85">
        <v>126.59127058823529411764705883</v>
      </c>
      <c r="N27" s="85">
        <v>123.34076404494382022471910112</v>
      </c>
      <c r="O27" s="85">
        <v>129.79806988352745424292845257</v>
      </c>
      <c r="P27" s="85">
        <v>128.97033478893740902474526929</v>
      </c>
      <c r="Q27" s="85">
        <v>118.37365591397849462365591398</v>
      </c>
      <c r="R27" s="85">
        <v>136.46416173570019723865877711</v>
      </c>
      <c r="S27" s="85">
        <v>137.18979468599033816425120773</v>
      </c>
      <c r="T27" s="85">
        <v>145.56298919567827130852340936</v>
      </c>
      <c r="U27" s="85">
        <v>143.81028653295128939828080228</v>
      </c>
      <c r="V27" s="85">
        <v>133.2245265888456549935149157</v>
      </c>
      <c r="W27" s="85">
        <v>133.55950649350649350649350649</v>
      </c>
      <c r="X27" s="86">
        <v>122.43809210526315789473684211</v>
      </c>
      <c r="Y27" s="85">
        <v>140.55796577946768060836501902</v>
      </c>
      <c r="Z27" s="85">
        <v>142.56042582417582417582417582</v>
      </c>
      <c r="AA27" s="85">
        <v>137.5721393841166936790923825</v>
      </c>
      <c r="AB27" s="85">
        <v>134.3840504201680672268907563</v>
      </c>
      <c r="AC27" s="85">
        <v>127.64540777917189460476787953</v>
      </c>
      <c r="AD27" s="87">
        <v>131.22871465295629820051413882</v>
      </c>
      <c r="AE27" s="169"/>
      <c r="AF27" s="370">
        <v>133.91574382921947965310206804</v>
      </c>
      <c r="AG27" s="85">
        <v>135.83274785927998423014898145</v>
      </c>
      <c r="AH27" s="371">
        <v>133.8333576275446091982910279</v>
      </c>
      <c r="AI27"/>
      <c r="AJ27" s="244"/>
      <c r="AK27" s="244"/>
      <c r="AL27" s="244"/>
      <c r="AM27" s="244"/>
      <c r="AN27" s="244"/>
      <c r="AO27" s="244"/>
      <c r="AP27" s="244"/>
      <c r="AQ27" s="244"/>
      <c r="AR27" s="244"/>
      <c r="AS27" s="244"/>
      <c r="AT27" s="244"/>
      <c r="AU27" s="244"/>
      <c r="AV27" s="244"/>
      <c r="AW27" s="244"/>
      <c r="AX27" s="244"/>
      <c r="AY27" s="244"/>
      <c r="AZ27" s="244"/>
      <c r="BA27" s="244"/>
      <c r="BB27" s="244"/>
      <c r="BC27" s="244"/>
      <c r="BD27" s="244"/>
      <c r="BE27" s="244"/>
      <c r="BF27" s="244"/>
      <c r="BG27" s="244"/>
      <c r="BH27" s="244"/>
      <c r="BI27" s="244"/>
      <c r="BJ27" s="244"/>
      <c r="BK27" s="244"/>
    </row>
    <row r="28" ht="14.25" customHeight="1">
      <c r="A28" s="24"/>
      <c r="B28" s="49" t="s">
        <v>147</v>
      </c>
      <c r="C28" s="467">
        <v>118.12403100775193798449612403</v>
      </c>
      <c r="D28" s="468">
        <v>130.73790322580645161290322581</v>
      </c>
      <c r="E28" s="468">
        <v>141.46535181236673773987206823</v>
      </c>
      <c r="F28" s="468">
        <v>140.17082429501084598698481562</v>
      </c>
      <c r="G28" s="468">
        <v>129.1979418886198547215496368</v>
      </c>
      <c r="H28" s="468">
        <v>121.75192421551213735938425104</v>
      </c>
      <c r="I28" s="468">
        <v>121.31523096129837702871410737</v>
      </c>
      <c r="J28" s="468">
        <v>115.68218954248366013071895425</v>
      </c>
      <c r="K28" s="468">
        <v>123.98661028893587033121916843</v>
      </c>
      <c r="L28" s="673">
        <v>123.56077348066298342541436464</v>
      </c>
      <c r="M28" s="468">
        <v>121.8547619047619047619047619</v>
      </c>
      <c r="N28" s="468">
        <v>112.35773710482529118136439268</v>
      </c>
      <c r="O28" s="468">
        <v>123.67816091954022988505747126</v>
      </c>
      <c r="P28" s="468">
        <v>123.0492610837438423645320197</v>
      </c>
      <c r="Q28" s="468">
        <v>112.3867684478371501272264631</v>
      </c>
      <c r="R28" s="468">
        <v>127.59270898805782526712759271</v>
      </c>
      <c r="S28" s="468">
        <v>146.13299232736572890025575448</v>
      </c>
      <c r="T28" s="468">
        <v>150.11776649746192893401015228</v>
      </c>
      <c r="U28" s="468">
        <v>136.15692821368948247078464107</v>
      </c>
      <c r="V28" s="468">
        <v>126.18266433973240255962769052</v>
      </c>
      <c r="W28" s="468">
        <v>125.84216795711733174508636093</v>
      </c>
      <c r="X28" s="469">
        <v>114.784693019343986543313709</v>
      </c>
      <c r="Y28" s="468">
        <v>132.78784336645236703682057276</v>
      </c>
      <c r="Z28" s="468">
        <v>144.03815995818086774699424987</v>
      </c>
      <c r="AA28" s="468">
        <v>142.08777969018932874354561102</v>
      </c>
      <c r="AB28" s="468">
        <v>128.12130735386549340037712131</v>
      </c>
      <c r="AC28" s="468">
        <v>122.66333137139493819894055327</v>
      </c>
      <c r="AD28" s="470">
        <v>124.85799880167765128819652487</v>
      </c>
      <c r="AE28" s="465"/>
      <c r="AF28" s="467">
        <v>130.91767260095527572731220148</v>
      </c>
      <c r="AG28" s="468">
        <v>129.18997702790106385351383902</v>
      </c>
      <c r="AH28" s="471">
        <v>129.76013768234715620390099984</v>
      </c>
      <c r="AI28"/>
      <c r="AJ28" s="244"/>
      <c r="AK28" s="244"/>
      <c r="AL28" s="244"/>
      <c r="AM28" s="244"/>
      <c r="AN28" s="244"/>
      <c r="AO28" s="244"/>
      <c r="AP28" s="244"/>
      <c r="AQ28" s="244"/>
      <c r="AR28" s="244"/>
      <c r="AS28" s="244"/>
      <c r="AT28" s="244"/>
      <c r="AU28" s="244"/>
      <c r="AV28" s="244"/>
      <c r="AW28" s="244"/>
      <c r="AX28" s="244"/>
      <c r="AY28" s="244"/>
      <c r="AZ28" s="244"/>
      <c r="BA28" s="244"/>
      <c r="BB28" s="244"/>
      <c r="BC28" s="244"/>
      <c r="BD28" s="244"/>
      <c r="BE28" s="244"/>
      <c r="BF28" s="244"/>
      <c r="BG28" s="244"/>
      <c r="BH28" s="244"/>
      <c r="BI28" s="244"/>
      <c r="BJ28" s="244"/>
      <c r="BK28" s="244"/>
    </row>
    <row r="29" ht="14.25">
      <c r="A29" s="24"/>
      <c r="B29" s="53"/>
      <c r="C29" s="489"/>
      <c r="D29" s="489"/>
      <c r="E29" s="489"/>
      <c r="F29" s="489"/>
      <c r="G29" s="489"/>
      <c r="H29" s="489"/>
      <c r="I29" s="489"/>
      <c r="J29" s="489"/>
      <c r="K29" s="489"/>
      <c r="L29" s="489"/>
      <c r="M29" s="489"/>
      <c r="N29" s="489"/>
      <c r="O29" s="489"/>
      <c r="P29" s="489"/>
      <c r="Q29" s="489"/>
      <c r="R29" s="489"/>
      <c r="S29" s="489"/>
      <c r="T29" s="489"/>
      <c r="U29" s="489"/>
      <c r="V29" s="489"/>
      <c r="W29" s="489"/>
      <c r="X29" s="490"/>
      <c r="Y29" s="489"/>
      <c r="Z29" s="489"/>
      <c r="AA29" s="489"/>
      <c r="AB29" s="489"/>
      <c r="AC29" s="489"/>
      <c r="AD29" s="491"/>
      <c r="AE29" s="169"/>
      <c r="AF29" s="489"/>
      <c r="AG29" s="489"/>
      <c r="AH29" s="489"/>
      <c r="AI29"/>
      <c r="AJ29" s="244"/>
      <c r="AK29" s="244"/>
      <c r="AL29" s="244"/>
      <c r="AM29" s="244"/>
      <c r="AN29" s="244"/>
      <c r="AO29" s="244"/>
      <c r="AP29" s="244"/>
      <c r="AQ29" s="244"/>
      <c r="AR29" s="244"/>
      <c r="AS29" s="244"/>
      <c r="AT29" s="244"/>
      <c r="AU29" s="244"/>
      <c r="AV29" s="244"/>
      <c r="AW29" s="244"/>
      <c r="AX29" s="244"/>
      <c r="AY29" s="244"/>
      <c r="AZ29" s="244"/>
      <c r="BA29" s="244"/>
      <c r="BB29" s="244"/>
      <c r="BC29" s="244"/>
      <c r="BD29" s="244"/>
      <c r="BE29" s="244"/>
      <c r="BF29" s="244"/>
      <c r="BG29" s="244"/>
      <c r="BH29" s="244"/>
      <c r="BI29" s="244"/>
      <c r="BJ29" s="244"/>
      <c r="BK29" s="244"/>
    </row>
    <row r="30" ht="0" hidden="1" customHeight="1">
      <c r="A30" s="24"/>
      <c r="B30" s="236" t="s">
        <v>82</v>
      </c>
      <c r="C30" s="367"/>
      <c r="D30" s="368"/>
      <c r="E30" s="368"/>
      <c r="F30" s="368"/>
      <c r="G30" s="368"/>
      <c r="H30" s="368"/>
      <c r="I30" s="368"/>
      <c r="J30" s="368"/>
      <c r="K30" s="368"/>
      <c r="L30" s="368"/>
      <c r="M30" s="368"/>
      <c r="N30" s="368"/>
      <c r="O30" s="368"/>
      <c r="P30" s="368"/>
      <c r="Q30" s="368"/>
      <c r="R30" s="368"/>
      <c r="S30" s="368"/>
      <c r="T30" s="368"/>
      <c r="U30" s="368"/>
      <c r="V30" s="368"/>
      <c r="W30" s="368"/>
      <c r="X30" s="369"/>
      <c r="Y30" s="368"/>
      <c r="Z30" s="368"/>
      <c r="AA30" s="368"/>
      <c r="AB30" s="368"/>
      <c r="AC30" s="368"/>
      <c r="AD30" s="372"/>
      <c r="AE30" s="169"/>
      <c r="AF30" s="489"/>
      <c r="AG30" s="489"/>
      <c r="AH30" s="489"/>
      <c r="AI30"/>
      <c r="AJ30" s="244"/>
      <c r="AK30" s="244"/>
      <c r="AL30" s="244"/>
      <c r="AM30" s="244"/>
      <c r="AN30" s="244"/>
      <c r="AO30" s="244"/>
      <c r="AP30" s="244"/>
      <c r="AQ30" s="244"/>
      <c r="AR30" s="244"/>
      <c r="AS30" s="244"/>
      <c r="AT30" s="244"/>
      <c r="AU30" s="244"/>
      <c r="AV30" s="244"/>
      <c r="AW30" s="244"/>
      <c r="AX30" s="244"/>
      <c r="AY30" s="244"/>
      <c r="AZ30" s="244"/>
      <c r="BA30" s="244"/>
      <c r="BB30" s="244"/>
      <c r="BC30" s="244"/>
      <c r="BD30" s="244"/>
      <c r="BE30" s="244"/>
      <c r="BF30" s="244"/>
      <c r="BG30" s="244"/>
      <c r="BH30" s="244"/>
      <c r="BI30" s="244"/>
      <c r="BJ30" s="244"/>
      <c r="BK30" s="244"/>
    </row>
    <row r="31" ht="0" hidden="1" customHeight="1">
      <c r="B31" s="4"/>
      <c r="X31" s="27"/>
      <c r="AD31" s="28"/>
      <c r="AF31" s="22"/>
      <c r="AG31" s="22"/>
      <c r="AH31" s="22"/>
      <c r="AI31"/>
      <c r="AJ31" s="244"/>
      <c r="AK31" s="244"/>
      <c r="AL31" s="244"/>
      <c r="AM31" s="244"/>
      <c r="AN31" s="244"/>
      <c r="AO31" s="244"/>
      <c r="AP31" s="244"/>
      <c r="AQ31" s="244"/>
      <c r="AR31" s="244"/>
      <c r="AS31" s="244"/>
      <c r="AT31" s="244"/>
      <c r="AU31" s="244"/>
      <c r="AV31" s="244"/>
      <c r="AW31" s="244"/>
      <c r="AX31" s="244"/>
      <c r="AY31" s="244"/>
      <c r="AZ31" s="244"/>
      <c r="BA31" s="244"/>
      <c r="BB31" s="244"/>
      <c r="BC31" s="244"/>
      <c r="BD31" s="244"/>
      <c r="BE31" s="244"/>
      <c r="BF31" s="244"/>
      <c r="BG31" s="244"/>
      <c r="BH31" s="244"/>
      <c r="BI31" s="244"/>
      <c r="BJ31" s="244"/>
      <c r="BK31" s="244"/>
    </row>
    <row r="32" ht="18">
      <c r="B32" s="29"/>
      <c r="X32" s="27"/>
      <c r="AD32" s="28"/>
      <c r="AF32" s="22"/>
      <c r="AG32" s="22"/>
      <c r="AH32" s="22"/>
      <c r="AI32"/>
      <c r="AJ32" s="244"/>
      <c r="AK32" s="244"/>
      <c r="AL32" s="244"/>
      <c r="AM32" s="244"/>
      <c r="AN32" s="244"/>
      <c r="AO32" s="244"/>
      <c r="AP32" s="244"/>
      <c r="AQ32" s="244"/>
      <c r="AR32" s="244"/>
      <c r="AS32" s="244"/>
      <c r="AT32" s="244"/>
      <c r="AU32" s="244"/>
      <c r="AV32" s="244"/>
      <c r="AW32" s="244"/>
      <c r="AX32" s="244"/>
      <c r="AY32" s="244"/>
      <c r="AZ32" s="244"/>
      <c r="BA32" s="244"/>
      <c r="BB32" s="244"/>
      <c r="BC32" s="244"/>
      <c r="BD32" s="244"/>
      <c r="BE32" s="244"/>
      <c r="BF32" s="244"/>
      <c r="BG32" s="244"/>
      <c r="BH32" s="244"/>
      <c r="BI32" s="244"/>
      <c r="BJ32" s="244"/>
      <c r="BK32" s="244"/>
    </row>
    <row r="33" s="41" customFormat="1" ht="18">
      <c r="B33" s="418" t="s">
        <v>78</v>
      </c>
      <c r="C33" s="309" t="s">
        <v>148</v>
      </c>
      <c r="D33" s="310"/>
      <c r="E33" s="310"/>
      <c r="F33" s="310"/>
      <c r="G33" s="310"/>
      <c r="H33" s="310"/>
      <c r="I33" s="310"/>
      <c r="J33" s="310"/>
      <c r="K33" s="310"/>
      <c r="L33" s="656" t="s">
        <v>145</v>
      </c>
      <c r="M33" s="310"/>
      <c r="N33" s="310"/>
      <c r="O33" s="310"/>
      <c r="P33" s="310"/>
      <c r="Q33" s="310"/>
      <c r="R33" s="310"/>
      <c r="S33" s="311"/>
      <c r="T33" s="311"/>
      <c r="U33" s="311"/>
      <c r="V33" s="311"/>
      <c r="W33" s="311"/>
      <c r="X33" s="312"/>
      <c r="Y33" s="311"/>
      <c r="Z33" s="311"/>
      <c r="AA33" s="311"/>
      <c r="AB33" s="311"/>
      <c r="AC33" s="311"/>
      <c r="AD33" s="336"/>
      <c r="AE33" s="25"/>
      <c r="AF33" s="316" t="s">
        <v>58</v>
      </c>
      <c r="AG33" s="317" t="s">
        <v>59</v>
      </c>
      <c r="AH33" s="318" t="s">
        <v>59</v>
      </c>
      <c r="AI33" s="25"/>
      <c r="AJ33" s="255"/>
      <c r="AK33" s="255"/>
      <c r="AL33" s="255"/>
      <c r="AM33" s="255"/>
      <c r="AN33" s="263"/>
      <c r="AO33" s="263"/>
      <c r="AP33" s="263"/>
      <c r="AQ33" s="263"/>
      <c r="AR33" s="263"/>
      <c r="AS33" s="263"/>
      <c r="AT33" s="263"/>
      <c r="AU33" s="263"/>
      <c r="AV33" s="263"/>
      <c r="AW33" s="263"/>
      <c r="AX33" s="263"/>
      <c r="AY33" s="263"/>
      <c r="AZ33" s="263"/>
      <c r="BA33" s="263"/>
      <c r="BB33" s="263"/>
      <c r="BC33" s="263"/>
      <c r="BD33" s="263"/>
      <c r="BE33" s="263"/>
      <c r="BF33" s="263"/>
      <c r="BG33" s="263"/>
      <c r="BH33" s="263"/>
      <c r="BI33" s="263"/>
      <c r="BJ33" s="263"/>
      <c r="BK33" s="263"/>
    </row>
    <row r="34" s="42" customFormat="1">
      <c r="C34" s="322">
        <v>22</v>
      </c>
      <c r="D34" s="42">
        <v>23</v>
      </c>
      <c r="E34" s="42">
        <v>24</v>
      </c>
      <c r="F34" s="42">
        <v>25</v>
      </c>
      <c r="G34" s="42">
        <v>26</v>
      </c>
      <c r="H34" s="42">
        <v>27</v>
      </c>
      <c r="I34" s="42">
        <v>28</v>
      </c>
      <c r="J34" s="42">
        <v>29</v>
      </c>
      <c r="K34" s="42">
        <v>30</v>
      </c>
      <c r="L34" s="657">
        <v>1</v>
      </c>
      <c r="M34" s="42">
        <v>2</v>
      </c>
      <c r="N34" s="42">
        <v>3</v>
      </c>
      <c r="O34" s="42">
        <v>4</v>
      </c>
      <c r="P34" s="42">
        <v>5</v>
      </c>
      <c r="Q34" s="42">
        <v>6</v>
      </c>
      <c r="R34" s="42">
        <v>7</v>
      </c>
      <c r="S34" s="42">
        <v>8</v>
      </c>
      <c r="T34" s="42">
        <v>9</v>
      </c>
      <c r="U34" s="42">
        <v>10</v>
      </c>
      <c r="V34" s="42">
        <v>11</v>
      </c>
      <c r="W34" s="42">
        <v>12</v>
      </c>
      <c r="X34" s="323">
        <v>13</v>
      </c>
      <c r="Y34" s="42">
        <v>14</v>
      </c>
      <c r="Z34" s="42">
        <v>15</v>
      </c>
      <c r="AA34" s="42">
        <v>16</v>
      </c>
      <c r="AB34" s="42">
        <v>17</v>
      </c>
      <c r="AC34" s="42">
        <v>18</v>
      </c>
      <c r="AD34" s="337">
        <v>19</v>
      </c>
      <c r="AE34" s="25"/>
      <c r="AF34" s="324" t="s">
        <v>60</v>
      </c>
      <c r="AG34" s="325">
        <v>28</v>
      </c>
      <c r="AH34" s="326" t="s">
        <v>31</v>
      </c>
      <c r="AI34" s="25"/>
      <c r="AJ34" s="255"/>
      <c r="AK34" s="255"/>
      <c r="AL34" s="255"/>
      <c r="AM34" s="255"/>
      <c r="AN34" s="264"/>
      <c r="AO34" s="264"/>
      <c r="AP34" s="264"/>
      <c r="AQ34" s="264"/>
      <c r="AR34" s="264"/>
      <c r="AS34" s="264"/>
      <c r="AT34" s="264"/>
      <c r="AU34" s="264"/>
      <c r="AV34" s="264"/>
      <c r="AW34" s="264"/>
      <c r="AX34" s="264"/>
      <c r="AY34" s="264"/>
      <c r="AZ34" s="264"/>
      <c r="BA34" s="264"/>
      <c r="BB34" s="264"/>
      <c r="BC34" s="264"/>
      <c r="BD34" s="264"/>
      <c r="BE34" s="264"/>
      <c r="BF34" s="264"/>
      <c r="BG34" s="264"/>
      <c r="BH34" s="264"/>
      <c r="BI34" s="264"/>
      <c r="BJ34" s="264"/>
      <c r="BK34" s="264"/>
    </row>
    <row r="35" ht="14.25" customHeight="1">
      <c r="B35" s="46" t="s">
        <v>32</v>
      </c>
      <c r="C35" s="444">
        <v>-33.782630950327173735181821250</v>
      </c>
      <c r="D35" s="445">
        <v>9.154483311299355138403182830</v>
      </c>
      <c r="E35" s="445">
        <v>-18.848997456669662266357370900</v>
      </c>
      <c r="F35" s="445">
        <v>-12.932916656694892114182271820</v>
      </c>
      <c r="G35" s="445">
        <v>-1.5051581261626923727380348300</v>
      </c>
      <c r="H35" s="445">
        <v>0.3422082703419271990749350300</v>
      </c>
      <c r="I35" s="445">
        <v>-4.4582569422707150203461074100</v>
      </c>
      <c r="J35" s="445">
        <v>25.413333333333333333333333330</v>
      </c>
      <c r="K35" s="445">
        <v>17.765553041740405260636789450</v>
      </c>
      <c r="L35" s="658">
        <v>19.716849635406467071386607380</v>
      </c>
      <c r="M35" s="445">
        <v>6.6807313642396576996801441400</v>
      </c>
      <c r="N35" s="445">
        <v>-6.7821672919743278957032580600</v>
      </c>
      <c r="O35" s="445">
        <v>-4.1614216179826619468993163400</v>
      </c>
      <c r="P35" s="445">
        <v>-8.434746467195389707879087130</v>
      </c>
      <c r="Q35" s="445">
        <v>46.450139932265625542975893530</v>
      </c>
      <c r="R35" s="445">
        <v>-3.163549933171006484217210700</v>
      </c>
      <c r="S35" s="445">
        <v>-21.890610793886437194169469480</v>
      </c>
      <c r="T35" s="445">
        <v>-14.905724068090852100110912860</v>
      </c>
      <c r="U35" s="445">
        <v>-19.454684689490645204749984910</v>
      </c>
      <c r="V35" s="445">
        <v>-2.6822807348077659647008002400</v>
      </c>
      <c r="W35" s="445">
        <v>-13.809488511403334634029655280</v>
      </c>
      <c r="X35" s="446">
        <v>-4.6757943683384006330214867700</v>
      </c>
      <c r="Y35" s="445">
        <v>-13.696776990908358656642578520</v>
      </c>
      <c r="Z35" s="445">
        <v>-5.3132406523167028311454830300</v>
      </c>
      <c r="AA35" s="445">
        <v>-6.3872940589303270506122954900</v>
      </c>
      <c r="AB35" s="445">
        <v>-9.183350927102157174977485940</v>
      </c>
      <c r="AC35" s="445">
        <v>10.874031007730450769184548360</v>
      </c>
      <c r="AD35" s="447">
        <v>-57.056757540108775339709818760</v>
      </c>
      <c r="AE35" s="448"/>
      <c r="AF35" s="444">
        <v>-11.136511726537918741744851890</v>
      </c>
      <c r="AG35" s="445">
        <v>-7.8592570143626849577211932500</v>
      </c>
      <c r="AH35" s="449">
        <v>-6.8919098261859867871250873600</v>
      </c>
      <c r="AI35"/>
      <c r="AJ35" s="244"/>
      <c r="AK35" s="244"/>
      <c r="AL35" s="244"/>
      <c r="AM35" s="244"/>
      <c r="AN35" s="244"/>
      <c r="AO35" s="244"/>
      <c r="AP35" s="244"/>
      <c r="AQ35" s="244"/>
      <c r="AR35" s="244"/>
      <c r="AS35" s="244"/>
      <c r="AT35" s="244"/>
      <c r="AU35" s="244"/>
      <c r="AV35" s="244"/>
      <c r="AW35" s="244"/>
      <c r="AX35" s="244"/>
      <c r="AY35" s="244"/>
      <c r="AZ35" s="244"/>
      <c r="BA35" s="244"/>
      <c r="BB35" s="244"/>
      <c r="BC35" s="244"/>
      <c r="BD35" s="244"/>
      <c r="BE35" s="244"/>
      <c r="BF35" s="244"/>
      <c r="BG35" s="244"/>
      <c r="BH35" s="244"/>
      <c r="BI35" s="244"/>
      <c r="BJ35" s="244"/>
      <c r="BK35" s="244"/>
    </row>
    <row r="36" ht="14.25" customHeight="1">
      <c r="B36" s="47" t="s">
        <v>26</v>
      </c>
      <c r="C36" s="327">
        <v>3.3869844483780306738405392700</v>
      </c>
      <c r="D36" s="81">
        <v>-4.5202907656743841643115945200</v>
      </c>
      <c r="E36" s="81">
        <v>-3.5262939726882847072279276700</v>
      </c>
      <c r="F36" s="81">
        <v>6.2090461497177291185998630500</v>
      </c>
      <c r="G36" s="81">
        <v>20.864390246486163599996187490</v>
      </c>
      <c r="H36" s="81">
        <v>10.582870585768144215974433380</v>
      </c>
      <c r="I36" s="81">
        <v>9.989176790200001697678788800</v>
      </c>
      <c r="J36" s="81">
        <v>3.1565378696030993573061553600</v>
      </c>
      <c r="K36" s="81">
        <v>5.4269594954797372740275818800</v>
      </c>
      <c r="L36" s="659">
        <v>6.8399882712798366061752818200</v>
      </c>
      <c r="M36" s="81">
        <v>14.022244214969755470875694010</v>
      </c>
      <c r="N36" s="81">
        <v>-0.1542006213457564586134268700</v>
      </c>
      <c r="O36" s="81">
        <v>-0.6307235979695881398085866400</v>
      </c>
      <c r="P36" s="81">
        <v>-4.4261870372302117440580355600</v>
      </c>
      <c r="Q36" s="81">
        <v>-5.5654105343328736736298575200</v>
      </c>
      <c r="R36" s="81">
        <v>1.0016139612703766073076677200</v>
      </c>
      <c r="S36" s="81">
        <v>-8.448365365839651936764404430</v>
      </c>
      <c r="T36" s="81">
        <v>-4.7960347570798230318512931600</v>
      </c>
      <c r="U36" s="81">
        <v>-0.2650934578030624567905442100</v>
      </c>
      <c r="V36" s="81">
        <v>-4.4011204766475601829531570600</v>
      </c>
      <c r="W36" s="81">
        <v>0.8010295516849091293123813700</v>
      </c>
      <c r="X36" s="82">
        <v>-7.925861901759311712360355770</v>
      </c>
      <c r="Y36" s="81">
        <v>0.9956357925684357320870401700</v>
      </c>
      <c r="Z36" s="81">
        <v>-1.4613428808995847373833432700</v>
      </c>
      <c r="AA36" s="81">
        <v>-5.0668391405997066112962160100</v>
      </c>
      <c r="AB36" s="81">
        <v>-8.386347834859406981721782110</v>
      </c>
      <c r="AC36" s="81">
        <v>-6.4894131047748430901016124400</v>
      </c>
      <c r="AD36" s="83">
        <v>3.0902178738923472976988808900</v>
      </c>
      <c r="AE36" s="88"/>
      <c r="AF36" s="327">
        <v>-3.4516522057961925224053282700</v>
      </c>
      <c r="AG36" s="81">
        <v>-0.2604785458024788618752474500</v>
      </c>
      <c r="AH36" s="328">
        <v>-2.8472995565360186714094449100</v>
      </c>
      <c r="AI36"/>
      <c r="AJ36" s="244"/>
      <c r="AK36" s="244"/>
      <c r="AL36" s="244"/>
      <c r="AM36" s="244"/>
      <c r="AN36" s="244"/>
      <c r="AO36" s="244"/>
      <c r="AP36" s="244"/>
      <c r="AQ36" s="244"/>
      <c r="AR36" s="244"/>
      <c r="AS36" s="244"/>
      <c r="AT36" s="244"/>
      <c r="AU36" s="244"/>
      <c r="AV36" s="244"/>
      <c r="AW36" s="244"/>
      <c r="AX36" s="244"/>
      <c r="AY36" s="244"/>
      <c r="AZ36" s="244"/>
      <c r="BA36" s="244"/>
      <c r="BB36" s="244"/>
      <c r="BC36" s="244"/>
      <c r="BD36" s="244"/>
      <c r="BE36" s="244"/>
      <c r="BF36" s="244"/>
      <c r="BG36" s="244"/>
      <c r="BH36" s="244"/>
      <c r="BI36" s="244"/>
      <c r="BJ36" s="244"/>
      <c r="BK36" s="244"/>
    </row>
    <row r="37" ht="14.25" customHeight="1">
      <c r="A37" s="24"/>
      <c r="B37" s="49" t="s">
        <v>147</v>
      </c>
      <c r="C37" s="450">
        <v>2.2149268367369020326490219900</v>
      </c>
      <c r="D37" s="451">
        <v>-0.9105277339517407362556927900</v>
      </c>
      <c r="E37" s="451">
        <v>3.9697990168994687838500471300</v>
      </c>
      <c r="F37" s="451">
        <v>4.5629744605801120984480290400</v>
      </c>
      <c r="G37" s="451">
        <v>7.3247759681434054054467233100</v>
      </c>
      <c r="H37" s="451">
        <v>-1.060790802024321715602191800</v>
      </c>
      <c r="I37" s="451">
        <v>0.0767258159381802667331661500</v>
      </c>
      <c r="J37" s="451">
        <v>1.2603721419771962086149282700</v>
      </c>
      <c r="K37" s="451">
        <v>7.6537720870422118973816154600</v>
      </c>
      <c r="L37" s="660">
        <v>7.5959147575648396018364142300</v>
      </c>
      <c r="M37" s="451">
        <v>9.565642538927044229543371870</v>
      </c>
      <c r="N37" s="451">
        <v>0.4431914433464021588080917600</v>
      </c>
      <c r="O37" s="451">
        <v>1.3192202852474704225908716500</v>
      </c>
      <c r="P37" s="451">
        <v>0.418051913769670661536245700</v>
      </c>
      <c r="Q37" s="451">
        <v>-1.2797849746639116520959506800</v>
      </c>
      <c r="R37" s="451">
        <v>0.8495106488695004049033611100</v>
      </c>
      <c r="S37" s="451">
        <v>5.3236386566177624247385047800</v>
      </c>
      <c r="T37" s="451">
        <v>5.1437657484681363497406862400</v>
      </c>
      <c r="U37" s="451">
        <v>2.7567795606403051476280798600</v>
      </c>
      <c r="V37" s="451">
        <v>0.8706564864334742275075185200</v>
      </c>
      <c r="W37" s="451">
        <v>3.9711232061594492877757543500</v>
      </c>
      <c r="X37" s="452">
        <v>3.285734971082340424036131900</v>
      </c>
      <c r="Y37" s="451">
        <v>6.250735632604293223041366200</v>
      </c>
      <c r="Z37" s="451">
        <v>6.377506601972927148957718900</v>
      </c>
      <c r="AA37" s="451">
        <v>7.5620426415267272739598156200</v>
      </c>
      <c r="AB37" s="451">
        <v>3.0035083160088662407322263100</v>
      </c>
      <c r="AC37" s="451">
        <v>-2.3197940345329095904035783800</v>
      </c>
      <c r="AD37" s="453">
        <v>-0.9340793259490143664755015400</v>
      </c>
      <c r="AE37" s="448"/>
      <c r="AF37" s="450">
        <v>3.4872356962068317951985866700</v>
      </c>
      <c r="AG37" s="451">
        <v>2.9820706776824863146444156700</v>
      </c>
      <c r="AH37" s="454">
        <v>3.5589912651488699231604401500</v>
      </c>
      <c r="AI37"/>
      <c r="AJ37" s="244"/>
      <c r="AK37" s="244"/>
      <c r="AL37" s="244"/>
      <c r="AM37" s="244"/>
      <c r="AN37" s="244"/>
      <c r="AO37" s="244"/>
      <c r="AP37" s="244"/>
      <c r="AQ37" s="244"/>
      <c r="AR37" s="244"/>
      <c r="AS37" s="244"/>
      <c r="AT37" s="244"/>
      <c r="AU37" s="244"/>
      <c r="AV37" s="244"/>
      <c r="AW37" s="244"/>
      <c r="AX37" s="244"/>
      <c r="AY37" s="244"/>
      <c r="AZ37" s="244"/>
      <c r="BA37" s="244"/>
      <c r="BB37" s="244"/>
      <c r="BC37" s="244"/>
      <c r="BD37" s="244"/>
      <c r="BE37" s="244"/>
      <c r="BF37" s="244"/>
      <c r="BG37" s="244"/>
      <c r="BH37" s="244"/>
      <c r="BI37" s="244"/>
      <c r="BJ37" s="244"/>
      <c r="BK37" s="244"/>
    </row>
    <row r="38" ht="13.5" customHeight="1">
      <c r="B38" s="40"/>
      <c r="C38" s="23"/>
      <c r="D38" s="23"/>
      <c r="E38" s="23"/>
      <c r="F38" s="23"/>
      <c r="G38" s="23"/>
      <c r="H38" s="23"/>
      <c r="I38" s="23"/>
      <c r="J38" s="23"/>
      <c r="K38" s="23"/>
      <c r="L38" s="23"/>
      <c r="M38" s="23"/>
      <c r="N38" s="23"/>
      <c r="O38" s="23"/>
      <c r="P38" s="23"/>
      <c r="Q38" s="23"/>
      <c r="R38" s="23"/>
      <c r="S38" s="23"/>
      <c r="T38" s="23"/>
      <c r="U38" s="23"/>
      <c r="V38" s="23"/>
      <c r="W38" s="23"/>
      <c r="X38" s="44"/>
      <c r="Y38" s="23"/>
      <c r="Z38" s="23"/>
      <c r="AA38" s="23"/>
      <c r="AB38" s="23"/>
      <c r="AC38" s="23"/>
      <c r="AD38" s="45"/>
      <c r="AF38" s="43"/>
      <c r="AG38" s="43"/>
      <c r="AH38" s="43"/>
      <c r="AI38"/>
      <c r="AJ38" s="244"/>
      <c r="AK38" s="244"/>
      <c r="AL38" s="244"/>
      <c r="AM38" s="244"/>
      <c r="AN38" s="244"/>
      <c r="AO38" s="244"/>
      <c r="AP38" s="244"/>
      <c r="AQ38" s="244"/>
      <c r="AR38" s="244"/>
      <c r="AS38" s="244"/>
      <c r="AT38" s="244"/>
      <c r="AU38" s="244"/>
      <c r="AV38" s="244"/>
      <c r="AW38" s="244"/>
      <c r="AX38" s="244"/>
      <c r="AY38" s="244"/>
      <c r="AZ38" s="244"/>
      <c r="BA38" s="244"/>
      <c r="BB38" s="244"/>
      <c r="BC38" s="244"/>
      <c r="BD38" s="244"/>
      <c r="BE38" s="244"/>
      <c r="BF38" s="244"/>
      <c r="BG38" s="244"/>
      <c r="BH38" s="244"/>
      <c r="BI38" s="244"/>
      <c r="BJ38" s="244"/>
      <c r="BK38" s="244"/>
    </row>
    <row r="39" ht="18">
      <c r="B39" s="29"/>
      <c r="X39" s="27"/>
      <c r="AD39" s="28"/>
      <c r="AF39" s="43"/>
      <c r="AG39" s="43"/>
      <c r="AH39" s="43"/>
      <c r="AI39"/>
      <c r="AJ39" s="244"/>
      <c r="AK39" s="244"/>
      <c r="AL39" s="244"/>
      <c r="AM39" s="244"/>
      <c r="AN39" s="244"/>
      <c r="AO39" s="244"/>
      <c r="AP39" s="244"/>
      <c r="AQ39" s="244"/>
      <c r="AR39" s="244"/>
      <c r="AS39" s="244"/>
      <c r="AT39" s="244"/>
      <c r="AU39" s="244"/>
      <c r="AV39" s="244"/>
      <c r="AW39" s="244"/>
      <c r="AX39" s="244"/>
      <c r="AY39" s="244"/>
      <c r="AZ39" s="244"/>
      <c r="BA39" s="244"/>
      <c r="BB39" s="244"/>
      <c r="BC39" s="244"/>
      <c r="BD39" s="244"/>
      <c r="BE39" s="244"/>
      <c r="BF39" s="244"/>
      <c r="BG39" s="244"/>
      <c r="BH39" s="244"/>
      <c r="BI39" s="244"/>
      <c r="BJ39" s="244"/>
      <c r="BK39" s="244"/>
    </row>
    <row r="40" s="41" customFormat="1" ht="18">
      <c r="B40" s="418" t="s">
        <v>92</v>
      </c>
      <c r="C40" s="309" t="s">
        <v>148</v>
      </c>
      <c r="D40" s="310"/>
      <c r="E40" s="310"/>
      <c r="F40" s="310"/>
      <c r="G40" s="310"/>
      <c r="H40" s="310"/>
      <c r="I40" s="310"/>
      <c r="J40" s="310"/>
      <c r="K40" s="310"/>
      <c r="L40" s="656" t="s">
        <v>145</v>
      </c>
      <c r="M40" s="310"/>
      <c r="N40" s="310"/>
      <c r="O40" s="310"/>
      <c r="P40" s="310"/>
      <c r="Q40" s="310"/>
      <c r="R40" s="310"/>
      <c r="S40" s="311"/>
      <c r="T40" s="311"/>
      <c r="U40" s="311"/>
      <c r="V40" s="311"/>
      <c r="W40" s="311"/>
      <c r="X40" s="312"/>
      <c r="Y40" s="311"/>
      <c r="Z40" s="311"/>
      <c r="AA40" s="311"/>
      <c r="AB40" s="311"/>
      <c r="AC40" s="311"/>
      <c r="AD40" s="336"/>
      <c r="AE40" s="25"/>
      <c r="AF40" s="316" t="s">
        <v>58</v>
      </c>
      <c r="AG40" s="317" t="s">
        <v>59</v>
      </c>
      <c r="AH40" s="318" t="s">
        <v>59</v>
      </c>
      <c r="AI40" s="25"/>
      <c r="AJ40" s="255"/>
      <c r="AK40" s="255"/>
      <c r="AL40" s="255"/>
      <c r="AM40" s="255"/>
      <c r="AN40" s="263"/>
      <c r="AO40" s="263"/>
      <c r="AP40" s="263"/>
      <c r="AQ40" s="263"/>
      <c r="AR40" s="263"/>
      <c r="AS40" s="263"/>
      <c r="AT40" s="263"/>
      <c r="AU40" s="263"/>
      <c r="AV40" s="263"/>
      <c r="AW40" s="263"/>
      <c r="AX40" s="263"/>
      <c r="AY40" s="263"/>
      <c r="AZ40" s="263"/>
      <c r="BA40" s="263"/>
      <c r="BB40" s="263"/>
      <c r="BC40" s="263"/>
      <c r="BD40" s="263"/>
      <c r="BE40" s="263"/>
      <c r="BF40" s="263"/>
      <c r="BG40" s="263"/>
      <c r="BH40" s="263"/>
      <c r="BI40" s="263"/>
      <c r="BJ40" s="263"/>
      <c r="BK40" s="263"/>
    </row>
    <row r="41" s="42" customFormat="1">
      <c r="C41" s="313">
        <v>22</v>
      </c>
      <c r="D41" s="314">
        <v>23</v>
      </c>
      <c r="E41" s="314">
        <v>24</v>
      </c>
      <c r="F41" s="314">
        <v>25</v>
      </c>
      <c r="G41" s="314">
        <v>26</v>
      </c>
      <c r="H41" s="314">
        <v>27</v>
      </c>
      <c r="I41" s="314">
        <v>28</v>
      </c>
      <c r="J41" s="314">
        <v>29</v>
      </c>
      <c r="K41" s="314">
        <v>30</v>
      </c>
      <c r="L41" s="674">
        <v>1</v>
      </c>
      <c r="M41" s="314">
        <v>2</v>
      </c>
      <c r="N41" s="314">
        <v>3</v>
      </c>
      <c r="O41" s="314">
        <v>4</v>
      </c>
      <c r="P41" s="314">
        <v>5</v>
      </c>
      <c r="Q41" s="314">
        <v>6</v>
      </c>
      <c r="R41" s="314">
        <v>7</v>
      </c>
      <c r="S41" s="314">
        <v>8</v>
      </c>
      <c r="T41" s="314">
        <v>9</v>
      </c>
      <c r="U41" s="314">
        <v>10</v>
      </c>
      <c r="V41" s="314">
        <v>11</v>
      </c>
      <c r="W41" s="314">
        <v>12</v>
      </c>
      <c r="X41" s="315">
        <v>13</v>
      </c>
      <c r="Y41" s="314">
        <v>14</v>
      </c>
      <c r="Z41" s="314">
        <v>15</v>
      </c>
      <c r="AA41" s="314">
        <v>16</v>
      </c>
      <c r="AB41" s="314">
        <v>17</v>
      </c>
      <c r="AC41" s="314">
        <v>18</v>
      </c>
      <c r="AD41" s="373">
        <v>19</v>
      </c>
      <c r="AE41" s="25"/>
      <c r="AF41" s="324" t="s">
        <v>60</v>
      </c>
      <c r="AG41" s="325">
        <v>28</v>
      </c>
      <c r="AH41" s="326" t="s">
        <v>31</v>
      </c>
      <c r="AI41" s="25"/>
      <c r="AJ41" s="255"/>
      <c r="AK41" s="255"/>
      <c r="AL41" s="255"/>
      <c r="AM41" s="255"/>
      <c r="AN41" s="264"/>
      <c r="AO41" s="264"/>
      <c r="AP41" s="264"/>
      <c r="AQ41" s="264"/>
      <c r="AR41" s="264"/>
      <c r="AS41" s="264"/>
      <c r="AT41" s="264"/>
      <c r="AU41" s="264"/>
      <c r="AV41" s="264"/>
      <c r="AW41" s="264"/>
      <c r="AX41" s="264"/>
      <c r="AY41" s="264"/>
      <c r="AZ41" s="264"/>
      <c r="BA41" s="264"/>
      <c r="BB41" s="264"/>
      <c r="BC41" s="264"/>
      <c r="BD41" s="264"/>
      <c r="BE41" s="264"/>
      <c r="BF41" s="264"/>
      <c r="BG41" s="264"/>
      <c r="BH41" s="264"/>
      <c r="BI41" s="264"/>
      <c r="BJ41" s="264"/>
      <c r="BK41" s="264"/>
    </row>
    <row r="42" ht="14.25" customHeight="1">
      <c r="A42" s="1"/>
      <c r="B42" s="46" t="s">
        <v>26</v>
      </c>
      <c r="C42" s="444">
        <v>65.341497803512426310250209510</v>
      </c>
      <c r="D42" s="445">
        <v>70.013855620436392951799072570</v>
      </c>
      <c r="E42" s="445">
        <v>69.122731256285909360642274030</v>
      </c>
      <c r="F42" s="445">
        <v>67.324166282832250084189903140</v>
      </c>
      <c r="G42" s="445">
        <v>64.892193728917582248845187030</v>
      </c>
      <c r="H42" s="445">
        <v>79.86994661467007096604679240</v>
      </c>
      <c r="I42" s="445">
        <v>74.003336348467960513309786590</v>
      </c>
      <c r="J42" s="445">
        <v>75.223863828360176391669769710</v>
      </c>
      <c r="K42" s="445">
        <v>73.282510558792533731504240520</v>
      </c>
      <c r="L42" s="658">
        <v>67.361729948990204541913544690</v>
      </c>
      <c r="M42" s="445">
        <v>73.069809292697183415851003900</v>
      </c>
      <c r="N42" s="445">
        <v>78.361906269576035985823733880</v>
      </c>
      <c r="O42" s="445">
        <v>75.929908390790324409928655720</v>
      </c>
      <c r="P42" s="445">
        <v>77.206385093375164347249547940</v>
      </c>
      <c r="Q42" s="445">
        <v>79.30055637559590315769263615</v>
      </c>
      <c r="R42" s="445">
        <v>72.979533838191157355606769480</v>
      </c>
      <c r="S42" s="445">
        <v>68.468517207718931171534487720</v>
      </c>
      <c r="T42" s="445">
        <v>68.104421328826797286263985850</v>
      </c>
      <c r="U42" s="445">
        <v>60.987210628229571716535365240</v>
      </c>
      <c r="V42" s="445">
        <v>80.10108081949606667808406773</v>
      </c>
      <c r="W42" s="445">
        <v>75.367437332803748765250261490</v>
      </c>
      <c r="X42" s="446">
        <v>73.506535794920438492253520470</v>
      </c>
      <c r="Y42" s="445">
        <v>67.755934790466071895643433090</v>
      </c>
      <c r="Z42" s="445">
        <v>71.938306134146300698754051270</v>
      </c>
      <c r="AA42" s="445">
        <v>71.735091452249291356813512870</v>
      </c>
      <c r="AB42" s="445">
        <v>68.674726278384665484494264330</v>
      </c>
      <c r="AC42" s="445">
        <v>81.49137662667266463020216403</v>
      </c>
      <c r="AD42" s="447">
        <v>78.341179154900269734591723970</v>
      </c>
      <c r="AE42" s="448"/>
      <c r="AF42" s="444">
        <v>73.833914868892754567988299170</v>
      </c>
      <c r="AG42" s="445">
        <v>72.618732008640670282399367120</v>
      </c>
      <c r="AH42" s="449">
        <v>73.132061984201198942734836340</v>
      </c>
      <c r="AI42"/>
      <c r="AJ42" s="244"/>
      <c r="AK42" s="244"/>
      <c r="AL42" s="244"/>
      <c r="AM42" s="244"/>
      <c r="AN42" s="244"/>
      <c r="AO42" s="244"/>
      <c r="AP42" s="244"/>
      <c r="AQ42" s="244"/>
      <c r="AR42" s="244"/>
      <c r="AS42" s="244"/>
      <c r="AT42" s="244"/>
      <c r="AU42" s="244"/>
      <c r="AV42" s="244"/>
      <c r="AW42" s="244"/>
      <c r="AX42" s="244"/>
      <c r="AY42" s="244"/>
      <c r="AZ42" s="244"/>
      <c r="BA42" s="244"/>
      <c r="BB42" s="244"/>
      <c r="BC42" s="244"/>
      <c r="BD42" s="244"/>
      <c r="BE42" s="244"/>
      <c r="BF42" s="244"/>
      <c r="BG42" s="244"/>
      <c r="BH42" s="244"/>
      <c r="BI42" s="244"/>
      <c r="BJ42" s="244"/>
      <c r="BK42" s="244"/>
    </row>
    <row r="43" ht="14.25" customHeight="1">
      <c r="A43" s="24"/>
      <c r="B43" s="48" t="s">
        <v>147</v>
      </c>
      <c r="C43" s="329">
        <v>74.671127205878291288075022370</v>
      </c>
      <c r="D43" s="330">
        <v>75.551548071966683663994678480</v>
      </c>
      <c r="E43" s="330">
        <v>70.381924945046295011290421380</v>
      </c>
      <c r="F43" s="330">
        <v>70.134717199105468118441147380</v>
      </c>
      <c r="G43" s="330">
        <v>77.188557293929903928377320980</v>
      </c>
      <c r="H43" s="330">
        <v>91.74123697114884538764234392</v>
      </c>
      <c r="I43" s="330">
        <v>82.29891721277502555724619001</v>
      </c>
      <c r="J43" s="330">
        <v>81.30897277445089036014344420</v>
      </c>
      <c r="K43" s="330">
        <v>76.719936739901138915822835400</v>
      </c>
      <c r="L43" s="661">
        <v>71.581624183061262027200929670</v>
      </c>
      <c r="M43" s="330">
        <v>75.910041227823627646893351220</v>
      </c>
      <c r="N43" s="330">
        <v>86.02182315481541568839448019</v>
      </c>
      <c r="O43" s="330">
        <v>79.68711276334686228884805273</v>
      </c>
      <c r="P43" s="330">
        <v>80.92152074412053597827332317</v>
      </c>
      <c r="Q43" s="330">
        <v>83.52492827973383399931888182</v>
      </c>
      <c r="R43" s="330">
        <v>78.053761755460093380406759920</v>
      </c>
      <c r="S43" s="330">
        <v>64.278310247265035173327658290</v>
      </c>
      <c r="T43" s="330">
        <v>66.038040515560900192489747060</v>
      </c>
      <c r="U43" s="330">
        <v>64.415291607699681873649510600</v>
      </c>
      <c r="V43" s="330">
        <v>84.57127314018120542178340037</v>
      </c>
      <c r="W43" s="330">
        <v>79.98938590505371187740812877</v>
      </c>
      <c r="X43" s="331">
        <v>78.407667113651922427553279230</v>
      </c>
      <c r="Y43" s="330">
        <v>71.720694622253402047563680310</v>
      </c>
      <c r="Z43" s="330">
        <v>71.200267752182662897087763860</v>
      </c>
      <c r="AA43" s="330">
        <v>69.455304471061855742520313210</v>
      </c>
      <c r="AB43" s="330">
        <v>72.031639930865530558047434020</v>
      </c>
      <c r="AC43" s="330">
        <v>84.80121878073592624705974267</v>
      </c>
      <c r="AD43" s="338">
        <v>82.33843521091244531315456444</v>
      </c>
      <c r="AE43" s="88"/>
      <c r="AF43" s="329">
        <v>75.524743398272711740648500310</v>
      </c>
      <c r="AG43" s="330">
        <v>76.352687272802335280958480290</v>
      </c>
      <c r="AH43" s="332">
        <v>75.427705151881683724551195870</v>
      </c>
      <c r="AI43"/>
      <c r="AJ43" s="244"/>
      <c r="AK43" s="244"/>
      <c r="AL43" s="244"/>
      <c r="AM43" s="244"/>
      <c r="AN43" s="244"/>
      <c r="AO43" s="244"/>
      <c r="AP43" s="244"/>
      <c r="AQ43" s="244"/>
      <c r="AR43" s="244"/>
      <c r="AS43" s="244"/>
      <c r="AT43" s="244"/>
      <c r="AU43" s="244"/>
      <c r="AV43" s="244"/>
      <c r="AW43" s="244"/>
      <c r="AX43" s="244"/>
      <c r="AY43" s="244"/>
      <c r="AZ43" s="244"/>
      <c r="BA43" s="244"/>
      <c r="BB43" s="244"/>
      <c r="BC43" s="244"/>
      <c r="BD43" s="244"/>
      <c r="BE43" s="244"/>
      <c r="BF43" s="244"/>
      <c r="BG43" s="244"/>
      <c r="BH43" s="244"/>
      <c r="BI43" s="244"/>
      <c r="BJ43" s="244"/>
      <c r="BK43" s="244"/>
    </row>
    <row r="44" ht="12" customHeight="1">
      <c r="B44" s="4"/>
      <c r="X44" s="27"/>
      <c r="AD44" s="28"/>
      <c r="AF44" s="43"/>
      <c r="AG44" s="43"/>
      <c r="AH44" s="43"/>
      <c r="AI44"/>
      <c r="AJ44" s="244"/>
      <c r="AK44" s="244"/>
      <c r="AL44" s="244"/>
      <c r="AM44" s="244"/>
      <c r="AN44" s="244"/>
      <c r="AO44" s="244"/>
      <c r="AP44" s="244"/>
      <c r="AQ44" s="244"/>
      <c r="AR44" s="244"/>
      <c r="AS44" s="244"/>
      <c r="AT44" s="244"/>
      <c r="AU44" s="244"/>
      <c r="AV44" s="244"/>
      <c r="AW44" s="244"/>
      <c r="AX44" s="244"/>
      <c r="AY44" s="244"/>
      <c r="AZ44" s="244"/>
      <c r="BA44" s="244"/>
      <c r="BB44" s="244"/>
      <c r="BC44" s="244"/>
      <c r="BD44" s="244"/>
      <c r="BE44" s="244"/>
      <c r="BF44" s="244"/>
      <c r="BG44" s="244"/>
      <c r="BH44" s="244"/>
      <c r="BI44" s="244"/>
      <c r="BJ44" s="244"/>
      <c r="BK44" s="244"/>
    </row>
    <row r="45" ht="18">
      <c r="B45" s="29"/>
      <c r="X45" s="27"/>
      <c r="AD45" s="28"/>
      <c r="AF45" s="43"/>
      <c r="AG45" s="43"/>
      <c r="AH45" s="43"/>
      <c r="AI45"/>
      <c r="AJ45" s="244"/>
      <c r="AK45" s="244"/>
      <c r="AL45" s="244"/>
      <c r="AM45" s="244"/>
      <c r="AN45" s="244"/>
      <c r="AO45" s="244"/>
      <c r="AP45" s="244"/>
      <c r="AQ45" s="244"/>
      <c r="AR45" s="244"/>
      <c r="AS45" s="244"/>
      <c r="AT45" s="244"/>
      <c r="AU45" s="244"/>
      <c r="AV45" s="244"/>
      <c r="AW45" s="244"/>
      <c r="AX45" s="244"/>
      <c r="AY45" s="244"/>
      <c r="AZ45" s="244"/>
      <c r="BA45" s="244"/>
      <c r="BB45" s="244"/>
      <c r="BC45" s="244"/>
      <c r="BD45" s="244"/>
      <c r="BE45" s="244"/>
      <c r="BF45" s="244"/>
      <c r="BG45" s="244"/>
      <c r="BH45" s="244"/>
      <c r="BI45" s="244"/>
      <c r="BJ45" s="244"/>
      <c r="BK45" s="244"/>
    </row>
    <row r="46" s="41" customFormat="1" ht="18">
      <c r="B46" s="418" t="s">
        <v>77</v>
      </c>
      <c r="C46" s="309" t="s">
        <v>148</v>
      </c>
      <c r="D46" s="310"/>
      <c r="E46" s="310"/>
      <c r="F46" s="310"/>
      <c r="G46" s="310"/>
      <c r="H46" s="310"/>
      <c r="I46" s="310"/>
      <c r="J46" s="310"/>
      <c r="K46" s="310"/>
      <c r="L46" s="656" t="s">
        <v>145</v>
      </c>
      <c r="M46" s="310"/>
      <c r="N46" s="310"/>
      <c r="O46" s="310"/>
      <c r="P46" s="310"/>
      <c r="Q46" s="310"/>
      <c r="R46" s="310"/>
      <c r="S46" s="311"/>
      <c r="T46" s="311"/>
      <c r="U46" s="311"/>
      <c r="V46" s="311"/>
      <c r="W46" s="311"/>
      <c r="X46" s="312"/>
      <c r="Y46" s="311"/>
      <c r="Z46" s="311"/>
      <c r="AA46" s="311"/>
      <c r="AB46" s="311"/>
      <c r="AC46" s="311"/>
      <c r="AD46" s="336"/>
      <c r="AE46" s="25"/>
      <c r="AF46" s="316" t="s">
        <v>58</v>
      </c>
      <c r="AG46" s="317" t="s">
        <v>59</v>
      </c>
      <c r="AH46" s="318" t="s">
        <v>59</v>
      </c>
      <c r="AI46" s="25"/>
      <c r="AJ46" s="255"/>
      <c r="AK46" s="255"/>
      <c r="AL46" s="255"/>
      <c r="AM46" s="255"/>
      <c r="AN46" s="263"/>
      <c r="AO46" s="263"/>
      <c r="AP46" s="263"/>
      <c r="AQ46" s="263"/>
      <c r="AR46" s="263"/>
      <c r="AS46" s="263"/>
      <c r="AT46" s="263"/>
      <c r="AU46" s="263"/>
      <c r="AV46" s="263"/>
      <c r="AW46" s="263"/>
      <c r="AX46" s="263"/>
      <c r="AY46" s="263"/>
      <c r="AZ46" s="263"/>
      <c r="BA46" s="263"/>
      <c r="BB46" s="263"/>
      <c r="BC46" s="263"/>
      <c r="BD46" s="263"/>
      <c r="BE46" s="263"/>
      <c r="BF46" s="263"/>
      <c r="BG46" s="263"/>
      <c r="BH46" s="263"/>
      <c r="BI46" s="263"/>
      <c r="BJ46" s="263"/>
      <c r="BK46" s="263"/>
    </row>
    <row r="47" s="42" customFormat="1">
      <c r="C47" s="322">
        <v>22</v>
      </c>
      <c r="D47" s="42">
        <v>23</v>
      </c>
      <c r="E47" s="42">
        <v>24</v>
      </c>
      <c r="F47" s="42">
        <v>25</v>
      </c>
      <c r="G47" s="42">
        <v>26</v>
      </c>
      <c r="H47" s="42">
        <v>27</v>
      </c>
      <c r="I47" s="42">
        <v>28</v>
      </c>
      <c r="J47" s="42">
        <v>29</v>
      </c>
      <c r="K47" s="42">
        <v>30</v>
      </c>
      <c r="L47" s="657">
        <v>1</v>
      </c>
      <c r="M47" s="42">
        <v>2</v>
      </c>
      <c r="N47" s="42">
        <v>3</v>
      </c>
      <c r="O47" s="42">
        <v>4</v>
      </c>
      <c r="P47" s="42">
        <v>5</v>
      </c>
      <c r="Q47" s="42">
        <v>6</v>
      </c>
      <c r="R47" s="42">
        <v>7</v>
      </c>
      <c r="S47" s="42">
        <v>8</v>
      </c>
      <c r="T47" s="42">
        <v>9</v>
      </c>
      <c r="U47" s="42">
        <v>10</v>
      </c>
      <c r="V47" s="42">
        <v>11</v>
      </c>
      <c r="W47" s="42">
        <v>12</v>
      </c>
      <c r="X47" s="323">
        <v>13</v>
      </c>
      <c r="Y47" s="42">
        <v>14</v>
      </c>
      <c r="Z47" s="42">
        <v>15</v>
      </c>
      <c r="AA47" s="42">
        <v>16</v>
      </c>
      <c r="AB47" s="42">
        <v>17</v>
      </c>
      <c r="AC47" s="42">
        <v>18</v>
      </c>
      <c r="AD47" s="337">
        <v>19</v>
      </c>
      <c r="AE47" s="25"/>
      <c r="AF47" s="324" t="s">
        <v>60</v>
      </c>
      <c r="AG47" s="325">
        <v>28</v>
      </c>
      <c r="AH47" s="326" t="s">
        <v>31</v>
      </c>
      <c r="AI47" s="25"/>
      <c r="AJ47" s="255"/>
      <c r="AK47" s="255"/>
      <c r="AL47" s="255"/>
      <c r="AM47" s="255"/>
      <c r="AN47" s="264"/>
      <c r="AO47" s="264"/>
      <c r="AP47" s="264"/>
      <c r="AQ47" s="264"/>
      <c r="AR47" s="264"/>
      <c r="AS47" s="264"/>
      <c r="AT47" s="264"/>
      <c r="AU47" s="264"/>
      <c r="AV47" s="264"/>
      <c r="AW47" s="264"/>
      <c r="AX47" s="264"/>
      <c r="AY47" s="264"/>
      <c r="AZ47" s="264"/>
      <c r="BA47" s="264"/>
      <c r="BB47" s="264"/>
      <c r="BC47" s="264"/>
      <c r="BD47" s="264"/>
      <c r="BE47" s="264"/>
      <c r="BF47" s="264"/>
      <c r="BG47" s="264"/>
      <c r="BH47" s="264"/>
      <c r="BI47" s="264"/>
      <c r="BJ47" s="264"/>
      <c r="BK47" s="264"/>
    </row>
    <row r="48" ht="14.25" customHeight="1">
      <c r="A48" s="1"/>
      <c r="B48" s="46" t="s">
        <v>26</v>
      </c>
      <c r="C48" s="444">
        <v>-35.951929149517764870606723830</v>
      </c>
      <c r="D48" s="445">
        <v>14.322178174375279569082190430</v>
      </c>
      <c r="E48" s="445">
        <v>-15.882776888092913175962845660</v>
      </c>
      <c r="F48" s="445">
        <v>-18.022911889691345993609195560</v>
      </c>
      <c r="G48" s="445">
        <v>-18.507972718047350145618735090</v>
      </c>
      <c r="H48" s="445">
        <v>-9.260622609226014954881135040</v>
      </c>
      <c r="I48" s="445">
        <v>-13.135323087312601417029802350</v>
      </c>
      <c r="J48" s="445">
        <v>21.575748782698992285439499710</v>
      </c>
      <c r="K48" s="445">
        <v>11.703451949364383535862274010</v>
      </c>
      <c r="L48" s="658">
        <v>12.052473584532215880038767140</v>
      </c>
      <c r="M48" s="445">
        <v>-6.4386672102640460643937148400</v>
      </c>
      <c r="N48" s="445">
        <v>-6.6382028206002818913091595600</v>
      </c>
      <c r="O48" s="445">
        <v>-3.5531083126128853940220319700</v>
      </c>
      <c r="P48" s="445">
        <v>-4.1942026854799243061366486600</v>
      </c>
      <c r="Q48" s="445">
        <v>55.081036261012426536190398290</v>
      </c>
      <c r="R48" s="445">
        <v>-4.1238587495177875595532097300</v>
      </c>
      <c r="S48" s="445">
        <v>-14.682692976231283442575882690</v>
      </c>
      <c r="T48" s="445">
        <v>-10.618979246523657126732614560</v>
      </c>
      <c r="U48" s="445">
        <v>-19.240596795048960485457341350</v>
      </c>
      <c r="V48" s="445">
        <v>1.7979705938474493966387023700</v>
      </c>
      <c r="W48" s="445">
        <v>-14.494413527426966939591402340</v>
      </c>
      <c r="X48" s="446">
        <v>3.5298375857744321810700144100</v>
      </c>
      <c r="Y48" s="445">
        <v>-14.547571950215638174464245970</v>
      </c>
      <c r="Z48" s="445">
        <v>-3.9090219859506811506140588100</v>
      </c>
      <c r="AA48" s="445">
        <v>-1.3909311628870320408738167500</v>
      </c>
      <c r="AB48" s="445">
        <v>-0.8699610521875748887334241700</v>
      </c>
      <c r="AC48" s="445">
        <v>18.568425981499132447974218780</v>
      </c>
      <c r="AD48" s="447">
        <v>-58.344018137202405306869354310</v>
      </c>
      <c r="AE48" s="448"/>
      <c r="AF48" s="444">
        <v>-7.959597130633010227595007180</v>
      </c>
      <c r="AG48" s="445">
        <v>-7.6186233478893520990171827800</v>
      </c>
      <c r="AH48" s="449">
        <v>-4.163147551338752241280765400</v>
      </c>
      <c r="AI48"/>
      <c r="AJ48" s="244"/>
      <c r="AK48" s="244"/>
      <c r="AL48" s="244"/>
      <c r="AM48" s="244"/>
      <c r="AN48" s="244"/>
      <c r="AO48" s="244"/>
      <c r="AP48" s="244"/>
      <c r="AQ48" s="244"/>
      <c r="AR48" s="244"/>
      <c r="AS48" s="244"/>
      <c r="AT48" s="244"/>
      <c r="AU48" s="244"/>
      <c r="AV48" s="244"/>
      <c r="AW48" s="244"/>
      <c r="AX48" s="244"/>
      <c r="AY48" s="244"/>
      <c r="AZ48" s="244"/>
      <c r="BA48" s="244"/>
      <c r="BB48" s="244"/>
      <c r="BC48" s="244"/>
      <c r="BD48" s="244"/>
      <c r="BE48" s="244"/>
      <c r="BF48" s="244"/>
      <c r="BG48" s="244"/>
      <c r="BH48" s="244"/>
      <c r="BI48" s="244"/>
      <c r="BJ48" s="244"/>
      <c r="BK48" s="244"/>
    </row>
    <row r="49" ht="14.25" customHeight="1">
      <c r="A49" s="24"/>
      <c r="B49" s="48" t="s">
        <v>147</v>
      </c>
      <c r="C49" s="329">
        <v>-35.217515583252623719422564510</v>
      </c>
      <c r="D49" s="330">
        <v>10.157497880481530662418895140</v>
      </c>
      <c r="E49" s="330">
        <v>-21.947523886103395295383066320</v>
      </c>
      <c r="F49" s="330">
        <v>-16.732396154141743662454073660</v>
      </c>
      <c r="G49" s="330">
        <v>-8.227302609891160018883709440</v>
      </c>
      <c r="H49" s="330">
        <v>1.4180415264835551142779138300</v>
      </c>
      <c r="I49" s="330">
        <v>-4.5315059233562761862688609100</v>
      </c>
      <c r="J49" s="330">
        <v>23.852333030644144315662257500</v>
      </c>
      <c r="K49" s="330">
        <v>9.392871943713151946700610840</v>
      </c>
      <c r="L49" s="661">
        <v>11.265237072612494146579395660</v>
      </c>
      <c r="M49" s="330">
        <v>-2.6330436328457907780540457800</v>
      </c>
      <c r="N49" s="330">
        <v>-7.1934778569260324736360385700</v>
      </c>
      <c r="O49" s="330">
        <v>-5.4092815635609555083589991300</v>
      </c>
      <c r="P49" s="330">
        <v>-8.815943161808535984477410830</v>
      </c>
      <c r="Q49" s="330">
        <v>48.348684101475213696649400830</v>
      </c>
      <c r="R49" s="330">
        <v>-3.979256375479882705066456500</v>
      </c>
      <c r="S49" s="330">
        <v>-25.838690912720361581039211630</v>
      </c>
      <c r="T49" s="330">
        <v>-19.068643465283583520987443500</v>
      </c>
      <c r="U49" s="330">
        <v>-21.615570617482051369774770510</v>
      </c>
      <c r="V49" s="330">
        <v>-3.5222703459728526963731430300</v>
      </c>
      <c r="W49" s="330">
        <v>-17.101490461282669623877440550</v>
      </c>
      <c r="X49" s="331">
        <v>-7.708256461266490930916551500</v>
      </c>
      <c r="Y49" s="330">
        <v>-18.773999544301564749562234310</v>
      </c>
      <c r="Z49" s="330">
        <v>-10.989867715171447236961684120</v>
      </c>
      <c r="AA49" s="330">
        <v>-12.968642429864383383321853870</v>
      </c>
      <c r="AB49" s="330">
        <v>-11.831499181366392727551604920</v>
      </c>
      <c r="AC49" s="330">
        <v>13.507163413335428339230900060</v>
      </c>
      <c r="AD49" s="338">
        <v>-56.651851446288367312514698040</v>
      </c>
      <c r="AE49" s="88"/>
      <c r="AF49" s="329">
        <v>-14.130967287278716894346704620</v>
      </c>
      <c r="AG49" s="330">
        <v>-10.527393380926947313170925510</v>
      </c>
      <c r="AH49" s="332">
        <v>-10.091737051101724707581235640</v>
      </c>
      <c r="AI49"/>
      <c r="AJ49" s="244"/>
      <c r="AK49" s="244"/>
      <c r="AL49" s="244"/>
      <c r="AM49" s="244"/>
      <c r="AN49" s="244"/>
      <c r="AO49" s="244"/>
      <c r="AP49" s="244"/>
      <c r="AQ49" s="244"/>
      <c r="AR49" s="244"/>
      <c r="AS49" s="244"/>
      <c r="AT49" s="244"/>
      <c r="AU49" s="244"/>
      <c r="AV49" s="244"/>
      <c r="AW49" s="244"/>
      <c r="AX49" s="244"/>
      <c r="AY49" s="244"/>
      <c r="AZ49" s="244"/>
      <c r="BA49" s="244"/>
      <c r="BB49" s="244"/>
      <c r="BC49" s="244"/>
      <c r="BD49" s="244"/>
      <c r="BE49" s="244"/>
      <c r="BF49" s="244"/>
      <c r="BG49" s="244"/>
      <c r="BH49" s="244"/>
      <c r="BI49" s="244"/>
      <c r="BJ49" s="244"/>
      <c r="BK49" s="244"/>
    </row>
    <row r="50" ht="14.25" customHeight="1">
      <c r="B50" s="53"/>
      <c r="C50" s="472"/>
      <c r="D50" s="472"/>
      <c r="E50" s="472"/>
      <c r="F50" s="472"/>
      <c r="G50" s="472"/>
      <c r="H50" s="472"/>
      <c r="I50" s="472"/>
      <c r="J50" s="472"/>
      <c r="K50" s="472"/>
      <c r="L50" s="472"/>
      <c r="M50" s="472"/>
      <c r="N50" s="472"/>
      <c r="O50" s="472"/>
      <c r="P50" s="472"/>
      <c r="Q50" s="472"/>
      <c r="R50" s="472"/>
      <c r="S50" s="472"/>
      <c r="T50" s="472"/>
      <c r="U50" s="472"/>
      <c r="V50" s="472"/>
      <c r="W50" s="472"/>
      <c r="X50" s="473"/>
      <c r="Y50" s="472"/>
      <c r="Z50" s="472"/>
      <c r="AA50" s="472"/>
      <c r="AB50" s="472"/>
      <c r="AC50" s="472"/>
      <c r="AD50" s="474"/>
      <c r="AE50" s="475"/>
      <c r="AF50" s="472"/>
      <c r="AG50" s="472"/>
      <c r="AH50" s="472"/>
      <c r="AI50"/>
      <c r="AJ50" s="244"/>
      <c r="AK50" s="244"/>
      <c r="AL50" s="244"/>
      <c r="AM50" s="244"/>
      <c r="AN50" s="244"/>
      <c r="AO50" s="244"/>
      <c r="AP50" s="244"/>
      <c r="AQ50" s="244"/>
      <c r="AR50" s="244"/>
      <c r="AS50" s="244"/>
      <c r="AT50" s="244"/>
      <c r="AU50" s="244"/>
      <c r="AV50" s="244"/>
      <c r="AW50" s="244"/>
      <c r="AX50" s="244"/>
      <c r="AY50" s="244"/>
      <c r="AZ50" s="244"/>
      <c r="BA50" s="244"/>
      <c r="BB50" s="244"/>
      <c r="BC50" s="244"/>
      <c r="BD50" s="244"/>
      <c r="BE50" s="244"/>
      <c r="BF50" s="244"/>
      <c r="BG50" s="244"/>
      <c r="BH50" s="244"/>
      <c r="BI50" s="244"/>
      <c r="BJ50" s="244"/>
      <c r="BK50" s="244"/>
    </row>
    <row r="51" ht="18">
      <c r="B51" s="29"/>
      <c r="X51" s="27"/>
      <c r="AD51" s="28"/>
      <c r="AF51" s="43"/>
      <c r="AG51" s="43"/>
      <c r="AH51" s="43"/>
      <c r="AI51"/>
      <c r="AJ51" s="244"/>
      <c r="AK51" s="244"/>
      <c r="AL51" s="244"/>
      <c r="AM51" s="244"/>
      <c r="AN51" s="244"/>
      <c r="AO51" s="244"/>
      <c r="AP51" s="244"/>
      <c r="AQ51" s="244"/>
      <c r="AR51" s="244"/>
      <c r="AS51" s="244"/>
      <c r="AT51" s="244"/>
      <c r="AU51" s="244"/>
      <c r="AV51" s="244"/>
      <c r="AW51" s="244"/>
      <c r="AX51" s="244"/>
      <c r="AY51" s="244"/>
      <c r="AZ51" s="244"/>
      <c r="BA51" s="244"/>
      <c r="BB51" s="244"/>
      <c r="BC51" s="244"/>
      <c r="BD51" s="244"/>
      <c r="BE51" s="244"/>
      <c r="BF51" s="244"/>
      <c r="BG51" s="244"/>
      <c r="BH51" s="244"/>
      <c r="BI51" s="244"/>
      <c r="BJ51" s="244"/>
      <c r="BK51" s="244"/>
    </row>
    <row r="52" ht="18">
      <c r="B52" s="418" t="s">
        <v>55</v>
      </c>
      <c r="C52" s="309" t="s">
        <v>148</v>
      </c>
      <c r="D52" s="310"/>
      <c r="E52" s="310"/>
      <c r="F52" s="310"/>
      <c r="G52" s="310"/>
      <c r="H52" s="310"/>
      <c r="I52" s="310"/>
      <c r="J52" s="310"/>
      <c r="K52" s="310"/>
      <c r="L52" s="656" t="s">
        <v>145</v>
      </c>
      <c r="M52" s="310"/>
      <c r="N52" s="310"/>
      <c r="O52" s="310"/>
      <c r="P52" s="310"/>
      <c r="Q52" s="310"/>
      <c r="R52" s="310"/>
      <c r="S52" s="311"/>
      <c r="T52" s="311"/>
      <c r="U52" s="311"/>
      <c r="V52" s="311"/>
      <c r="W52" s="311"/>
      <c r="X52" s="312"/>
      <c r="Y52" s="311"/>
      <c r="Z52" s="311"/>
      <c r="AA52" s="311"/>
      <c r="AB52" s="311"/>
      <c r="AC52" s="311"/>
      <c r="AD52" s="336"/>
      <c r="AE52" s="25"/>
      <c r="AF52" s="316" t="s">
        <v>58</v>
      </c>
      <c r="AG52" s="317" t="s">
        <v>59</v>
      </c>
      <c r="AH52" s="318" t="s">
        <v>59</v>
      </c>
      <c r="AI52"/>
      <c r="AJ52" s="244"/>
      <c r="AK52" s="244"/>
      <c r="AL52" s="244"/>
      <c r="AM52" s="244"/>
      <c r="AN52" s="244"/>
      <c r="AO52" s="244"/>
      <c r="AP52" s="244"/>
      <c r="AQ52" s="244"/>
      <c r="AR52" s="244"/>
      <c r="AS52" s="244"/>
      <c r="AT52" s="244"/>
      <c r="AU52" s="244"/>
      <c r="AV52" s="244"/>
      <c r="AW52" s="244"/>
      <c r="AX52" s="244"/>
      <c r="AY52" s="244"/>
      <c r="AZ52" s="244"/>
      <c r="BA52" s="244"/>
      <c r="BB52" s="244"/>
      <c r="BC52" s="244"/>
      <c r="BD52" s="244"/>
      <c r="BE52" s="244"/>
      <c r="BF52" s="244"/>
      <c r="BG52" s="244"/>
      <c r="BH52" s="244"/>
      <c r="BI52" s="244"/>
      <c r="BJ52" s="244"/>
      <c r="BK52" s="244"/>
    </row>
    <row r="53">
      <c r="B53" s="42"/>
      <c r="C53" s="322">
        <v>22</v>
      </c>
      <c r="D53" s="42">
        <v>23</v>
      </c>
      <c r="E53" s="42">
        <v>24</v>
      </c>
      <c r="F53" s="42">
        <v>25</v>
      </c>
      <c r="G53" s="42">
        <v>26</v>
      </c>
      <c r="H53" s="42">
        <v>27</v>
      </c>
      <c r="I53" s="42">
        <v>28</v>
      </c>
      <c r="J53" s="42">
        <v>29</v>
      </c>
      <c r="K53" s="42">
        <v>30</v>
      </c>
      <c r="L53" s="657">
        <v>1</v>
      </c>
      <c r="M53" s="42">
        <v>2</v>
      </c>
      <c r="N53" s="42">
        <v>3</v>
      </c>
      <c r="O53" s="42">
        <v>4</v>
      </c>
      <c r="P53" s="42">
        <v>5</v>
      </c>
      <c r="Q53" s="42">
        <v>6</v>
      </c>
      <c r="R53" s="42">
        <v>7</v>
      </c>
      <c r="S53" s="42">
        <v>8</v>
      </c>
      <c r="T53" s="42">
        <v>9</v>
      </c>
      <c r="U53" s="42">
        <v>10</v>
      </c>
      <c r="V53" s="42">
        <v>11</v>
      </c>
      <c r="W53" s="42">
        <v>12</v>
      </c>
      <c r="X53" s="323">
        <v>13</v>
      </c>
      <c r="Y53" s="42">
        <v>14</v>
      </c>
      <c r="Z53" s="42">
        <v>15</v>
      </c>
      <c r="AA53" s="42">
        <v>16</v>
      </c>
      <c r="AB53" s="42">
        <v>17</v>
      </c>
      <c r="AC53" s="42">
        <v>18</v>
      </c>
      <c r="AD53" s="337">
        <v>19</v>
      </c>
      <c r="AE53" s="25"/>
      <c r="AF53" s="324" t="s">
        <v>60</v>
      </c>
      <c r="AG53" s="325">
        <v>28</v>
      </c>
      <c r="AH53" s="326" t="s">
        <v>31</v>
      </c>
      <c r="AI53"/>
      <c r="AJ53" s="244"/>
      <c r="AK53" s="244"/>
      <c r="AL53" s="244"/>
      <c r="AM53" s="244"/>
      <c r="AN53" s="244"/>
      <c r="AO53" s="244"/>
      <c r="AP53" s="244"/>
      <c r="AQ53" s="244"/>
      <c r="AR53" s="244"/>
      <c r="AS53" s="244"/>
      <c r="AT53" s="244"/>
      <c r="AU53" s="244"/>
      <c r="AV53" s="244"/>
      <c r="AW53" s="244"/>
      <c r="AX53" s="244"/>
      <c r="AY53" s="244"/>
      <c r="AZ53" s="244"/>
      <c r="BA53" s="244"/>
      <c r="BB53" s="244"/>
      <c r="BC53" s="244"/>
      <c r="BD53" s="244"/>
      <c r="BE53" s="244"/>
      <c r="BF53" s="244"/>
      <c r="BG53" s="244"/>
      <c r="BH53" s="244"/>
      <c r="BI53" s="244"/>
      <c r="BJ53" s="244"/>
      <c r="BK53" s="244"/>
    </row>
    <row r="54" ht="14.25" customHeight="1">
      <c r="B54" s="46" t="s">
        <v>56</v>
      </c>
      <c r="C54" s="455" t="s">
        <v>153</v>
      </c>
      <c r="D54" s="456" t="s">
        <v>149</v>
      </c>
      <c r="E54" s="456" t="s">
        <v>153</v>
      </c>
      <c r="F54" s="456" t="s">
        <v>149</v>
      </c>
      <c r="G54" s="456" t="s">
        <v>159</v>
      </c>
      <c r="H54" s="456" t="s">
        <v>151</v>
      </c>
      <c r="I54" s="456" t="s">
        <v>149</v>
      </c>
      <c r="J54" s="456" t="s">
        <v>153</v>
      </c>
      <c r="K54" s="456" t="s">
        <v>153</v>
      </c>
      <c r="L54" s="662" t="s">
        <v>149</v>
      </c>
      <c r="M54" s="456" t="s">
        <v>153</v>
      </c>
      <c r="N54" s="456" t="s">
        <v>153</v>
      </c>
      <c r="O54" s="456" t="s">
        <v>153</v>
      </c>
      <c r="P54" s="456" t="s">
        <v>153</v>
      </c>
      <c r="Q54" s="456" t="s">
        <v>151</v>
      </c>
      <c r="R54" s="456" t="s">
        <v>151</v>
      </c>
      <c r="S54" s="456" t="s">
        <v>149</v>
      </c>
      <c r="T54" s="456" t="s">
        <v>153</v>
      </c>
      <c r="U54" s="456" t="s">
        <v>158</v>
      </c>
      <c r="V54" s="456" t="s">
        <v>153</v>
      </c>
      <c r="W54" s="456" t="s">
        <v>153</v>
      </c>
      <c r="X54" s="457" t="s">
        <v>153</v>
      </c>
      <c r="Y54" s="456" t="s">
        <v>153</v>
      </c>
      <c r="Z54" s="456" t="s">
        <v>149</v>
      </c>
      <c r="AA54" s="456" t="s">
        <v>153</v>
      </c>
      <c r="AB54" s="456" t="s">
        <v>149</v>
      </c>
      <c r="AC54" s="456" t="s">
        <v>151</v>
      </c>
      <c r="AD54" s="458" t="s">
        <v>153</v>
      </c>
      <c r="AE54" s="459"/>
      <c r="AF54" s="455" t="s">
        <v>153</v>
      </c>
      <c r="AG54" s="456" t="s">
        <v>153</v>
      </c>
      <c r="AH54" s="460" t="s">
        <v>153</v>
      </c>
      <c r="AI54"/>
      <c r="AJ54" s="244"/>
      <c r="AK54" s="244"/>
      <c r="AL54" s="244"/>
      <c r="AM54" s="244"/>
      <c r="AN54" s="244"/>
      <c r="AO54" s="244"/>
      <c r="AP54" s="244"/>
      <c r="AQ54" s="244"/>
      <c r="AR54" s="244"/>
      <c r="AS54" s="244"/>
      <c r="AT54" s="244"/>
      <c r="AU54" s="244"/>
      <c r="AV54" s="244"/>
      <c r="AW54" s="244"/>
      <c r="AX54" s="244"/>
      <c r="AY54" s="244"/>
      <c r="AZ54" s="244"/>
      <c r="BA54" s="244"/>
      <c r="BB54" s="244"/>
      <c r="BC54" s="244"/>
      <c r="BD54" s="244"/>
      <c r="BE54" s="244"/>
      <c r="BF54" s="244"/>
      <c r="BG54" s="244"/>
      <c r="BH54" s="244"/>
      <c r="BI54" s="244"/>
      <c r="BJ54" s="244"/>
      <c r="BK54" s="244"/>
    </row>
    <row r="55" ht="14.25" customHeight="1" thickBot="1">
      <c r="B55" s="48" t="s">
        <v>78</v>
      </c>
      <c r="C55" s="333" t="s">
        <v>158</v>
      </c>
      <c r="D55" s="334" t="s">
        <v>150</v>
      </c>
      <c r="E55" s="334" t="s">
        <v>158</v>
      </c>
      <c r="F55" s="334" t="s">
        <v>149</v>
      </c>
      <c r="G55" s="334" t="s">
        <v>160</v>
      </c>
      <c r="H55" s="334" t="s">
        <v>149</v>
      </c>
      <c r="I55" s="334" t="s">
        <v>149</v>
      </c>
      <c r="J55" s="334" t="s">
        <v>152</v>
      </c>
      <c r="K55" s="334" t="s">
        <v>152</v>
      </c>
      <c r="L55" s="663" t="s">
        <v>154</v>
      </c>
      <c r="M55" s="334" t="s">
        <v>151</v>
      </c>
      <c r="N55" s="334" t="s">
        <v>151</v>
      </c>
      <c r="O55" s="334" t="s">
        <v>151</v>
      </c>
      <c r="P55" s="334" t="s">
        <v>157</v>
      </c>
      <c r="Q55" s="334" t="s">
        <v>154</v>
      </c>
      <c r="R55" s="334" t="s">
        <v>151</v>
      </c>
      <c r="S55" s="334" t="s">
        <v>158</v>
      </c>
      <c r="T55" s="334" t="s">
        <v>149</v>
      </c>
      <c r="U55" s="334" t="s">
        <v>158</v>
      </c>
      <c r="V55" s="334" t="s">
        <v>151</v>
      </c>
      <c r="W55" s="334" t="s">
        <v>149</v>
      </c>
      <c r="X55" s="60" t="s">
        <v>157</v>
      </c>
      <c r="Y55" s="61" t="s">
        <v>149</v>
      </c>
      <c r="Z55" s="61" t="s">
        <v>158</v>
      </c>
      <c r="AA55" s="61" t="s">
        <v>151</v>
      </c>
      <c r="AB55" s="61" t="s">
        <v>151</v>
      </c>
      <c r="AC55" s="61" t="s">
        <v>154</v>
      </c>
      <c r="AD55" s="62" t="s">
        <v>158</v>
      </c>
      <c r="AE55" s="59"/>
      <c r="AF55" s="333" t="s">
        <v>149</v>
      </c>
      <c r="AG55" s="334" t="s">
        <v>153</v>
      </c>
      <c r="AH55" s="335" t="s">
        <v>153</v>
      </c>
      <c r="AI55"/>
      <c r="AJ55" s="244"/>
      <c r="AK55" s="244"/>
      <c r="AL55" s="244"/>
      <c r="AM55" s="244"/>
      <c r="AN55" s="244"/>
      <c r="AO55" s="244"/>
      <c r="AP55" s="244"/>
      <c r="AQ55" s="244"/>
      <c r="AR55" s="244"/>
      <c r="AS55" s="244"/>
      <c r="AT55" s="244"/>
      <c r="AU55" s="244"/>
      <c r="AV55" s="244"/>
      <c r="AW55" s="244"/>
      <c r="AX55" s="244"/>
      <c r="AY55" s="244"/>
      <c r="AZ55" s="244"/>
      <c r="BA55" s="244"/>
      <c r="BB55" s="244"/>
      <c r="BC55" s="244"/>
      <c r="BD55" s="244"/>
      <c r="BE55" s="244"/>
      <c r="BF55" s="244"/>
      <c r="BG55" s="244"/>
      <c r="BH55" s="244"/>
      <c r="BI55" s="244"/>
      <c r="BJ55" s="244"/>
      <c r="BK55" s="244"/>
    </row>
    <row r="56" ht="9.95" customHeight="1">
      <c r="AF56"/>
      <c r="AG56"/>
      <c r="AH56"/>
      <c r="AI56"/>
      <c r="AJ56" s="244"/>
      <c r="AK56" s="244"/>
      <c r="AL56" s="244"/>
      <c r="AM56" s="244"/>
      <c r="AN56" s="244"/>
      <c r="AO56" s="244"/>
      <c r="AP56" s="244"/>
      <c r="AQ56" s="244"/>
      <c r="AR56" s="244"/>
      <c r="AS56" s="244"/>
      <c r="AT56" s="244"/>
      <c r="AU56" s="244"/>
      <c r="AV56" s="244"/>
      <c r="AW56" s="244"/>
      <c r="AX56" s="244"/>
      <c r="AY56" s="244"/>
      <c r="AZ56" s="244"/>
      <c r="BA56" s="244"/>
      <c r="BB56" s="244"/>
      <c r="BC56" s="244"/>
      <c r="BD56" s="244"/>
      <c r="BE56" s="244"/>
      <c r="BF56" s="244"/>
      <c r="BG56" s="244"/>
      <c r="BH56" s="244"/>
      <c r="BI56" s="244"/>
      <c r="BJ56" s="244"/>
      <c r="BK56" s="244"/>
    </row>
    <row r="57" ht="9.95" customHeight="1">
      <c r="AF57"/>
      <c r="AG57"/>
      <c r="AH57"/>
      <c r="AI57"/>
      <c r="AJ57" s="244"/>
      <c r="AK57" s="244"/>
      <c r="AL57" s="244"/>
      <c r="AM57" s="244"/>
      <c r="AN57" s="244"/>
      <c r="AO57" s="244"/>
      <c r="AP57" s="244"/>
      <c r="AQ57" s="244"/>
      <c r="AR57" s="244"/>
      <c r="AS57" s="244"/>
      <c r="AT57" s="244"/>
      <c r="AU57" s="244"/>
      <c r="AV57" s="244"/>
      <c r="AW57" s="244"/>
      <c r="AX57" s="244"/>
      <c r="AY57" s="244"/>
      <c r="AZ57" s="244"/>
      <c r="BA57" s="244"/>
      <c r="BB57" s="244"/>
      <c r="BC57" s="244"/>
      <c r="BD57" s="244"/>
      <c r="BE57" s="244"/>
      <c r="BF57" s="244"/>
      <c r="BG57" s="244"/>
      <c r="BH57" s="244"/>
      <c r="BI57" s="244"/>
      <c r="BJ57" s="244"/>
      <c r="BK57" s="244"/>
    </row>
    <row r="58" ht="24.95" customHeight="1">
      <c r="B58" s="611" t="s">
        <v>114</v>
      </c>
      <c r="C58" s="611"/>
      <c r="D58" s="611"/>
      <c r="E58" s="611"/>
      <c r="F58" s="611"/>
      <c r="G58" s="611"/>
      <c r="H58" s="611"/>
      <c r="I58" s="611"/>
      <c r="J58" s="611"/>
      <c r="K58" s="611"/>
      <c r="L58" s="611"/>
      <c r="M58" s="611"/>
      <c r="N58" s="611"/>
      <c r="O58" s="611"/>
      <c r="P58" s="611"/>
      <c r="Q58" s="611"/>
      <c r="R58" s="611"/>
      <c r="S58" s="611"/>
      <c r="T58" s="611"/>
      <c r="U58" s="611"/>
      <c r="V58" s="611"/>
      <c r="W58" s="611"/>
      <c r="X58" s="611"/>
      <c r="Y58" s="611"/>
      <c r="Z58" s="611"/>
      <c r="AA58" s="611"/>
      <c r="AB58" s="611"/>
      <c r="AC58" s="611"/>
      <c r="AD58" s="611"/>
      <c r="AE58" s="611"/>
      <c r="AF58" s="611"/>
      <c r="AG58" s="611"/>
      <c r="AH58" s="611"/>
      <c r="AI58"/>
      <c r="AJ58" s="244"/>
      <c r="AK58" s="244"/>
      <c r="AL58" s="244"/>
      <c r="AM58" s="244"/>
      <c r="AN58" s="244"/>
      <c r="AO58" s="244"/>
      <c r="AP58" s="244"/>
      <c r="AQ58" s="244"/>
      <c r="AR58" s="244"/>
      <c r="AS58" s="244"/>
      <c r="AT58" s="244"/>
      <c r="AU58" s="244"/>
      <c r="AV58" s="244"/>
      <c r="AW58" s="244"/>
      <c r="AX58" s="244"/>
      <c r="AY58" s="244"/>
      <c r="AZ58" s="244"/>
      <c r="BA58" s="244"/>
      <c r="BB58" s="244"/>
      <c r="BC58" s="244"/>
      <c r="BD58" s="244"/>
      <c r="BE58" s="244"/>
      <c r="BF58" s="244"/>
      <c r="BG58" s="244"/>
      <c r="BH58" s="244"/>
      <c r="BI58" s="244"/>
      <c r="BJ58" s="244"/>
      <c r="BK58" s="244"/>
    </row>
    <row r="59" ht="9.95" customHeight="1">
      <c r="AF59" s="80"/>
      <c r="AG59" s="242"/>
      <c r="AH59"/>
      <c r="AI59"/>
      <c r="AJ59" s="244"/>
      <c r="AK59" s="244"/>
      <c r="AL59" s="244"/>
      <c r="AM59" s="244"/>
      <c r="AN59" s="244"/>
      <c r="AO59" s="244"/>
      <c r="AP59" s="244"/>
      <c r="AQ59" s="244"/>
      <c r="AR59" s="244"/>
      <c r="AS59" s="244"/>
      <c r="AT59" s="244"/>
      <c r="AU59" s="244"/>
      <c r="AV59" s="244"/>
      <c r="AW59" s="244"/>
      <c r="AX59" s="244"/>
      <c r="AY59" s="244"/>
      <c r="AZ59" s="244"/>
      <c r="BA59" s="244"/>
      <c r="BB59" s="244"/>
      <c r="BC59" s="244"/>
      <c r="BD59" s="244"/>
      <c r="BE59" s="244"/>
      <c r="BF59" s="244"/>
      <c r="BG59" s="244"/>
      <c r="BH59" s="244"/>
      <c r="BI59" s="244"/>
      <c r="BJ59" s="244"/>
      <c r="BK59" s="244"/>
    </row>
    <row r="60" ht="9.95" customHeight="1">
      <c r="B60" s="235"/>
      <c r="AF60"/>
      <c r="AG60"/>
      <c r="AH60"/>
      <c r="AI60"/>
      <c r="AJ60" s="244"/>
      <c r="AK60" s="244"/>
      <c r="AL60" s="244"/>
      <c r="AM60" s="244"/>
      <c r="AN60" s="244"/>
      <c r="AO60" s="244"/>
      <c r="AP60" s="244"/>
      <c r="AQ60" s="244"/>
      <c r="AR60" s="244"/>
      <c r="AS60" s="244"/>
      <c r="AT60" s="244"/>
      <c r="AU60" s="244"/>
      <c r="AV60" s="244"/>
      <c r="AW60" s="244"/>
      <c r="AX60" s="244"/>
      <c r="AY60" s="244"/>
      <c r="AZ60" s="244"/>
      <c r="BA60" s="244"/>
      <c r="BB60" s="244"/>
      <c r="BC60" s="244"/>
      <c r="BD60" s="244"/>
      <c r="BE60" s="244"/>
      <c r="BF60" s="244"/>
      <c r="BG60" s="244"/>
      <c r="BH60" s="244"/>
      <c r="BI60" s="244"/>
      <c r="BJ60" s="244"/>
      <c r="BK60" s="244"/>
    </row>
    <row r="61" ht="9.95" customHeight="1">
      <c r="AF61"/>
      <c r="AG61"/>
      <c r="AH61"/>
      <c r="AI61"/>
      <c r="AJ61" s="244"/>
      <c r="AK61" s="244"/>
      <c r="AL61" s="244"/>
      <c r="AM61" s="244"/>
      <c r="AN61" s="244"/>
      <c r="AO61" s="244"/>
      <c r="AP61" s="244"/>
      <c r="AQ61" s="244"/>
      <c r="AR61" s="244"/>
      <c r="AS61" s="244"/>
      <c r="AT61" s="244"/>
      <c r="AU61" s="244"/>
      <c r="AV61" s="244"/>
      <c r="AW61" s="244"/>
      <c r="AX61" s="244"/>
      <c r="AY61" s="244"/>
      <c r="AZ61" s="244"/>
      <c r="BA61" s="244"/>
      <c r="BB61" s="244"/>
      <c r="BC61" s="244"/>
      <c r="BD61" s="244"/>
      <c r="BE61" s="244"/>
      <c r="BF61" s="244"/>
      <c r="BG61" s="244"/>
      <c r="BH61" s="244"/>
      <c r="BI61" s="244"/>
      <c r="BJ61" s="244"/>
      <c r="BK61" s="244"/>
    </row>
    <row r="62">
      <c r="A62" s="244"/>
      <c r="B62" s="244"/>
      <c r="C62" s="244"/>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c r="BB62" s="244"/>
      <c r="BC62" s="244"/>
      <c r="BD62" s="244"/>
      <c r="BE62" s="244"/>
      <c r="BF62" s="244"/>
      <c r="BG62" s="244"/>
      <c r="BH62" s="244"/>
      <c r="BI62" s="244"/>
      <c r="BJ62" s="244"/>
      <c r="BK62" s="244"/>
    </row>
    <row r="63">
      <c r="A63" s="244"/>
      <c r="B63" s="244"/>
      <c r="C63" s="244"/>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c r="BB63" s="244"/>
      <c r="BC63" s="244"/>
      <c r="BD63" s="244"/>
      <c r="BE63" s="244"/>
      <c r="BF63" s="244"/>
      <c r="BG63" s="244"/>
      <c r="BH63" s="244"/>
      <c r="BI63" s="244"/>
      <c r="BJ63" s="244"/>
      <c r="BK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c r="BH64" s="244"/>
      <c r="BI64" s="244"/>
      <c r="BJ64" s="244"/>
      <c r="BK64" s="244"/>
    </row>
    <row r="65">
      <c r="A65" s="244"/>
      <c r="B65" s="244"/>
      <c r="C65" s="244"/>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c r="AZ65" s="244"/>
      <c r="BA65" s="244"/>
      <c r="BB65" s="244"/>
      <c r="BC65" s="244"/>
      <c r="BD65" s="244"/>
      <c r="BE65" s="244"/>
      <c r="BF65" s="244"/>
      <c r="BG65" s="244"/>
      <c r="BH65" s="244"/>
      <c r="BI65" s="244"/>
      <c r="BJ65" s="244"/>
      <c r="BK65" s="244"/>
    </row>
    <row r="66">
      <c r="A66" s="244"/>
      <c r="B66" s="664"/>
      <c r="C66" s="664"/>
      <c r="D66" s="664"/>
      <c r="E66" s="664"/>
      <c r="F66" s="664"/>
      <c r="G66" s="664"/>
      <c r="H66" s="664"/>
      <c r="I66" s="664"/>
      <c r="J66" s="664"/>
      <c r="K66" s="664"/>
      <c r="L66" s="664"/>
      <c r="M66" s="664"/>
      <c r="N66" s="664"/>
      <c r="O66" s="664"/>
      <c r="P66" s="664"/>
      <c r="Q66" s="664"/>
      <c r="R66" s="664"/>
      <c r="S66" s="664"/>
      <c r="T66" s="664"/>
      <c r="U66" s="664"/>
      <c r="V66" s="664"/>
      <c r="W66" s="664"/>
      <c r="X66" s="664"/>
      <c r="Y66" s="664"/>
      <c r="Z66" s="664"/>
      <c r="AA66" s="664"/>
      <c r="AB66" s="664"/>
      <c r="AC66" s="664"/>
      <c r="AD66" s="664"/>
      <c r="AE66" s="664"/>
      <c r="AF66" s="664"/>
      <c r="AG66" s="664"/>
      <c r="AH66" s="664"/>
      <c r="AI66" s="244"/>
      <c r="AJ66" s="244"/>
      <c r="AK66" s="244"/>
      <c r="AL66" s="244"/>
      <c r="AM66" s="244"/>
      <c r="AN66" s="244"/>
      <c r="AO66" s="244"/>
      <c r="AP66" s="244"/>
      <c r="AQ66" s="244"/>
      <c r="AR66" s="244"/>
      <c r="AS66" s="244"/>
      <c r="AT66" s="244"/>
      <c r="AU66" s="244"/>
      <c r="AV66" s="244"/>
      <c r="AW66" s="244"/>
      <c r="AX66" s="244"/>
      <c r="AY66" s="244"/>
      <c r="AZ66" s="244"/>
      <c r="BA66" s="244"/>
      <c r="BB66" s="244"/>
      <c r="BC66" s="244"/>
      <c r="BD66" s="244"/>
      <c r="BE66" s="244"/>
      <c r="BF66" s="244"/>
      <c r="BG66" s="244"/>
      <c r="BH66" s="244"/>
      <c r="BI66" s="244"/>
      <c r="BJ66" s="244"/>
      <c r="BK66" s="244"/>
    </row>
    <row r="67">
      <c r="A67" s="244"/>
      <c r="B67" s="664"/>
      <c r="C67" s="664"/>
      <c r="D67" s="664"/>
      <c r="E67" s="664"/>
      <c r="F67" s="664"/>
      <c r="G67" s="664"/>
      <c r="H67" s="664"/>
      <c r="I67" s="664"/>
      <c r="J67" s="664"/>
      <c r="K67" s="664"/>
      <c r="L67" s="664"/>
      <c r="M67" s="664"/>
      <c r="N67" s="664"/>
      <c r="O67" s="664"/>
      <c r="P67" s="664"/>
      <c r="Q67" s="664"/>
      <c r="R67" s="664"/>
      <c r="S67" s="664"/>
      <c r="T67" s="664"/>
      <c r="U67" s="664"/>
      <c r="V67" s="664"/>
      <c r="W67" s="664"/>
      <c r="X67" s="664"/>
      <c r="Y67" s="664"/>
      <c r="Z67" s="664"/>
      <c r="AA67" s="664"/>
      <c r="AB67" s="664"/>
      <c r="AC67" s="664"/>
      <c r="AD67" s="664"/>
      <c r="AE67" s="664"/>
      <c r="AF67" s="664"/>
      <c r="AG67" s="664"/>
      <c r="AH67" s="664"/>
      <c r="AI67" s="244"/>
      <c r="AJ67" s="244"/>
      <c r="AK67" s="244"/>
      <c r="AL67" s="244"/>
      <c r="AM67" s="244"/>
      <c r="AN67" s="244"/>
      <c r="AO67" s="244"/>
      <c r="AP67" s="244"/>
      <c r="AQ67" s="244"/>
      <c r="AR67" s="244"/>
      <c r="AS67" s="244"/>
      <c r="AT67" s="244"/>
      <c r="AU67" s="244"/>
      <c r="AV67" s="244"/>
      <c r="AW67" s="244"/>
      <c r="AX67" s="244"/>
      <c r="AY67" s="244"/>
      <c r="AZ67" s="244"/>
      <c r="BA67" s="244"/>
      <c r="BB67" s="244"/>
      <c r="BC67" s="244"/>
      <c r="BD67" s="244"/>
      <c r="BE67" s="244"/>
      <c r="BF67" s="244"/>
      <c r="BG67" s="244"/>
      <c r="BH67" s="244"/>
      <c r="BI67" s="244"/>
      <c r="BJ67" s="244"/>
      <c r="BK67" s="244"/>
    </row>
    <row r="68" s="25" customFormat="1">
      <c r="A68" s="255"/>
      <c r="B68" s="664"/>
      <c r="C68" s="664"/>
      <c r="D68" s="664"/>
      <c r="E68" s="664"/>
      <c r="F68" s="664"/>
      <c r="G68" s="664"/>
      <c r="H68" s="664"/>
      <c r="I68" s="664"/>
      <c r="J68" s="664"/>
      <c r="K68" s="664"/>
      <c r="L68" s="664"/>
      <c r="M68" s="664"/>
      <c r="N68" s="664"/>
      <c r="O68" s="664"/>
      <c r="P68" s="664"/>
      <c r="Q68" s="664"/>
      <c r="R68" s="664"/>
      <c r="S68" s="664"/>
      <c r="T68" s="664"/>
      <c r="U68" s="664"/>
      <c r="V68" s="664"/>
      <c r="W68" s="664"/>
      <c r="X68" s="664"/>
      <c r="Y68" s="664"/>
      <c r="Z68" s="664"/>
      <c r="AA68" s="664"/>
      <c r="AB68" s="664"/>
      <c r="AC68" s="664"/>
      <c r="AD68" s="664"/>
      <c r="AE68" s="664"/>
      <c r="AF68" s="664"/>
      <c r="AG68" s="664"/>
      <c r="AH68" s="664"/>
      <c r="AI68" s="255"/>
      <c r="AJ68" s="255"/>
      <c r="AK68" s="255"/>
      <c r="AL68" s="255"/>
      <c r="AM68" s="255"/>
      <c r="AN68" s="255"/>
      <c r="AO68" s="255"/>
      <c r="AP68" s="255"/>
      <c r="AQ68" s="255"/>
      <c r="AR68" s="255"/>
      <c r="AS68" s="255"/>
      <c r="AT68" s="255"/>
      <c r="AU68" s="255"/>
      <c r="AV68" s="255"/>
      <c r="AW68" s="255"/>
      <c r="AX68" s="255"/>
      <c r="AY68" s="255"/>
      <c r="AZ68" s="255"/>
      <c r="BA68" s="255"/>
      <c r="BB68" s="255"/>
      <c r="BC68" s="255"/>
      <c r="BD68" s="255"/>
      <c r="BE68" s="255"/>
      <c r="BF68" s="255"/>
      <c r="BG68" s="255"/>
      <c r="BH68" s="255"/>
      <c r="BI68" s="255"/>
      <c r="BJ68" s="255"/>
      <c r="BK68" s="255"/>
    </row>
    <row r="69" s="25" customFormat="1" ht="10.5" customHeight="1">
      <c r="A69" s="255"/>
      <c r="B69" s="664"/>
      <c r="C69" s="664"/>
      <c r="D69" s="664"/>
      <c r="E69" s="664"/>
      <c r="F69" s="664"/>
      <c r="G69" s="664"/>
      <c r="H69" s="664"/>
      <c r="I69" s="664"/>
      <c r="J69" s="664"/>
      <c r="K69" s="664"/>
      <c r="L69" s="664"/>
      <c r="M69" s="664"/>
      <c r="N69" s="664"/>
      <c r="O69" s="664"/>
      <c r="P69" s="664"/>
      <c r="Q69" s="664"/>
      <c r="R69" s="664"/>
      <c r="S69" s="664"/>
      <c r="T69" s="664"/>
      <c r="U69" s="664"/>
      <c r="V69" s="664"/>
      <c r="W69" s="664"/>
      <c r="X69" s="664"/>
      <c r="Y69" s="664"/>
      <c r="Z69" s="664"/>
      <c r="AA69" s="664"/>
      <c r="AB69" s="664"/>
      <c r="AC69" s="664"/>
      <c r="AD69" s="664"/>
      <c r="AE69" s="664"/>
      <c r="AF69" s="664"/>
      <c r="AG69" s="664"/>
      <c r="AH69" s="664"/>
      <c r="AI69" s="255"/>
      <c r="AJ69" s="255"/>
      <c r="AK69" s="255"/>
      <c r="AL69" s="255"/>
      <c r="AM69" s="255"/>
      <c r="AN69" s="255"/>
      <c r="AO69" s="255"/>
      <c r="AP69" s="255"/>
      <c r="AQ69" s="255"/>
      <c r="AR69" s="255"/>
      <c r="AS69" s="255"/>
      <c r="AT69" s="255"/>
      <c r="AU69" s="255"/>
      <c r="AV69" s="255"/>
      <c r="AW69" s="255"/>
      <c r="AX69" s="255"/>
      <c r="AY69" s="255"/>
      <c r="AZ69" s="255"/>
      <c r="BA69" s="255"/>
      <c r="BB69" s="255"/>
      <c r="BC69" s="255"/>
      <c r="BD69" s="255"/>
      <c r="BE69" s="255"/>
      <c r="BF69" s="255"/>
      <c r="BG69" s="255"/>
      <c r="BH69" s="255"/>
      <c r="BI69" s="255"/>
      <c r="BJ69" s="255"/>
      <c r="BK69" s="255"/>
    </row>
    <row r="70" s="84" customFormat="1">
      <c r="A70" s="256"/>
      <c r="B70" s="664"/>
      <c r="C70" s="664"/>
      <c r="D70" s="664"/>
      <c r="E70" s="664"/>
      <c r="F70" s="664"/>
      <c r="G70" s="664"/>
      <c r="H70" s="664"/>
      <c r="I70" s="664"/>
      <c r="J70" s="664"/>
      <c r="K70" s="664"/>
      <c r="L70" s="664"/>
      <c r="M70" s="664"/>
      <c r="N70" s="664"/>
      <c r="O70" s="664"/>
      <c r="P70" s="664"/>
      <c r="Q70" s="664"/>
      <c r="R70" s="664"/>
      <c r="S70" s="664"/>
      <c r="T70" s="664"/>
      <c r="U70" s="664"/>
      <c r="V70" s="664"/>
      <c r="W70" s="664"/>
      <c r="X70" s="664"/>
      <c r="Y70" s="664"/>
      <c r="Z70" s="664"/>
      <c r="AA70" s="664"/>
      <c r="AB70" s="664"/>
      <c r="AC70" s="664"/>
      <c r="AD70" s="664"/>
      <c r="AE70" s="664"/>
      <c r="AF70" s="664"/>
      <c r="AG70" s="664"/>
      <c r="AH70" s="664"/>
      <c r="AI70" s="257"/>
      <c r="AJ70" s="257"/>
      <c r="AK70" s="257"/>
      <c r="AL70" s="257"/>
      <c r="AM70" s="257"/>
      <c r="AN70" s="257"/>
      <c r="AO70" s="257"/>
      <c r="AP70" s="257"/>
      <c r="AQ70" s="257"/>
      <c r="AR70" s="257"/>
      <c r="AS70" s="257"/>
      <c r="AT70" s="257"/>
      <c r="AU70" s="257"/>
      <c r="AV70" s="257"/>
      <c r="AW70" s="257"/>
      <c r="AX70" s="257"/>
      <c r="AY70" s="257"/>
      <c r="AZ70" s="257"/>
      <c r="BA70" s="257"/>
      <c r="BB70" s="257"/>
      <c r="BC70" s="257"/>
      <c r="BD70" s="257"/>
      <c r="BE70" s="257"/>
      <c r="BF70" s="257"/>
      <c r="BG70" s="257"/>
      <c r="BH70" s="257"/>
      <c r="BI70" s="257"/>
      <c r="BJ70" s="257"/>
      <c r="BK70" s="257"/>
    </row>
    <row r="71" s="84" customFormat="1">
      <c r="A71" s="256"/>
      <c r="B71" s="664">
        <v>1</v>
      </c>
      <c r="C71" s="664">
        <v>2</v>
      </c>
      <c r="D71" s="664">
        <v>3</v>
      </c>
      <c r="E71" s="664">
        <v>4</v>
      </c>
      <c r="F71" s="664">
        <v>5</v>
      </c>
      <c r="G71" s="664">
        <v>6</v>
      </c>
      <c r="H71" s="664">
        <v>7</v>
      </c>
      <c r="I71" s="664">
        <v>8</v>
      </c>
      <c r="J71" s="664">
        <v>9</v>
      </c>
      <c r="K71" s="664">
        <v>10</v>
      </c>
      <c r="L71" s="664">
        <v>11</v>
      </c>
      <c r="M71" s="664">
        <v>12</v>
      </c>
      <c r="N71" s="664"/>
      <c r="O71" s="664"/>
      <c r="P71" s="664"/>
      <c r="Q71" s="664"/>
      <c r="R71" s="664"/>
      <c r="S71" s="664"/>
      <c r="T71" s="664"/>
      <c r="U71" s="664"/>
      <c r="V71" s="664"/>
      <c r="W71" s="664"/>
      <c r="X71" s="664"/>
      <c r="Y71" s="664"/>
      <c r="Z71" s="664"/>
      <c r="AA71" s="664"/>
      <c r="AB71" s="664"/>
      <c r="AC71" s="664"/>
      <c r="AD71" s="664"/>
      <c r="AE71" s="664"/>
      <c r="AF71" s="664"/>
      <c r="AG71" s="664"/>
      <c r="AH71" s="664"/>
      <c r="AI71" s="257"/>
      <c r="AJ71" s="257"/>
      <c r="AK71" s="257"/>
      <c r="AL71" s="257"/>
      <c r="AM71" s="257"/>
      <c r="AN71" s="257"/>
      <c r="AO71" s="257"/>
      <c r="AP71" s="257"/>
      <c r="AQ71" s="257"/>
      <c r="AR71" s="257"/>
      <c r="AS71" s="257"/>
      <c r="AT71" s="257"/>
      <c r="AU71" s="257"/>
      <c r="AV71" s="257"/>
      <c r="AW71" s="257"/>
      <c r="AX71" s="257"/>
      <c r="AY71" s="257"/>
      <c r="AZ71" s="257"/>
      <c r="BA71" s="257"/>
      <c r="BB71" s="257"/>
      <c r="BC71" s="257"/>
      <c r="BD71" s="257"/>
      <c r="BE71" s="257"/>
      <c r="BF71" s="257"/>
      <c r="BG71" s="257"/>
      <c r="BH71" s="257"/>
      <c r="BI71" s="257"/>
      <c r="BJ71" s="257"/>
      <c r="BK71" s="257"/>
    </row>
    <row r="72" s="84" customFormat="1">
      <c r="A72" s="256"/>
      <c r="B72" s="664" t="n">
        <v>45780</v>
      </c>
      <c r="C72" s="664">
        <v>45787</v>
      </c>
      <c r="D72" s="664">
        <v>45794</v>
      </c>
      <c r="E72" s="664">
        <v>45801</v>
      </c>
      <c r="F72" s="664">
        <v>45808</v>
      </c>
      <c r="G72" s="664">
        <v>45815</v>
      </c>
      <c r="H72" s="664">
        <v>45822</v>
      </c>
      <c r="I72" s="664">
        <v>45829</v>
      </c>
      <c r="J72" s="664">
        <v>45836</v>
      </c>
      <c r="K72" s="664">
        <v>45843</v>
      </c>
      <c r="L72" s="664">
        <v>45850</v>
      </c>
      <c r="M72" s="664">
        <v>45857</v>
      </c>
      <c r="N72" s="664"/>
      <c r="O72" s="664"/>
      <c r="P72" s="664"/>
      <c r="Q72" s="664"/>
      <c r="R72" s="664"/>
      <c r="S72" s="664"/>
      <c r="T72" s="664"/>
      <c r="U72" s="664"/>
      <c r="V72" s="664"/>
      <c r="W72" s="664"/>
      <c r="X72" s="664"/>
      <c r="Y72" s="664"/>
      <c r="Z72" s="664"/>
      <c r="AA72" s="664"/>
      <c r="AB72" s="664"/>
      <c r="AC72" s="664"/>
      <c r="AD72" s="664"/>
      <c r="AE72" s="664"/>
      <c r="AF72" s="664"/>
      <c r="AG72" s="664"/>
      <c r="AH72" s="664"/>
      <c r="AI72" s="257"/>
      <c r="AJ72" s="257"/>
      <c r="AK72" s="257"/>
      <c r="AL72" s="257"/>
      <c r="AM72" s="257"/>
      <c r="AN72" s="257"/>
      <c r="AO72" s="257"/>
      <c r="AP72" s="257"/>
      <c r="AQ72" s="257"/>
      <c r="AR72" s="257"/>
      <c r="AS72" s="257"/>
      <c r="AT72" s="257"/>
      <c r="AU72" s="257"/>
      <c r="AV72" s="257"/>
      <c r="AW72" s="257"/>
      <c r="AX72" s="257"/>
      <c r="AY72" s="257"/>
      <c r="AZ72" s="257"/>
      <c r="BA72" s="257"/>
      <c r="BB72" s="257"/>
      <c r="BC72" s="257"/>
      <c r="BD72" s="257"/>
      <c r="BE72" s="257"/>
      <c r="BF72" s="257"/>
      <c r="BG72" s="257"/>
      <c r="BH72" s="257"/>
      <c r="BI72" s="257"/>
      <c r="BJ72" s="257"/>
      <c r="BK72" s="257"/>
    </row>
    <row r="73" s="84" customFormat="1" ht="14.25">
      <c r="A73" s="260" t="s">
        <v>32</v>
      </c>
      <c r="B73" s="664">
        <v>117.45924764890282131661442006</v>
      </c>
      <c r="C73" s="664">
        <v>109.28238341968911917098445596</v>
      </c>
      <c r="D73" s="664">
        <v>107.24795081967213114754098361</v>
      </c>
      <c r="E73" s="664">
        <v>102.77346938775510204081632653</v>
      </c>
      <c r="F73" s="664">
        <v>104.76968503937007874015748031</v>
      </c>
      <c r="G73" s="664">
        <v>115.15090909090909090909090909</v>
      </c>
      <c r="H73" s="664">
        <v>106.484375000</v>
      </c>
      <c r="I73" s="664">
        <v>102.18135593220338983050847458</v>
      </c>
      <c r="J73" s="664">
        <v>100.78517397881996974281391831</v>
      </c>
      <c r="K73" s="664">
        <v>95.51670951156812339331619537</v>
      </c>
      <c r="L73" s="664">
        <v>97.99803921568627450980392157</v>
      </c>
      <c r="M73" s="664">
        <v>98.87523629489603024574669187</v>
      </c>
      <c r="N73" s="664"/>
      <c r="O73" s="664"/>
      <c r="P73" s="664"/>
      <c r="Q73" s="664"/>
      <c r="R73" s="664"/>
      <c r="S73" s="664"/>
      <c r="T73" s="664"/>
      <c r="U73" s="664"/>
      <c r="V73" s="664"/>
      <c r="W73" s="664"/>
      <c r="X73" s="664"/>
      <c r="Y73" s="664"/>
      <c r="Z73" s="664"/>
      <c r="AA73" s="664"/>
      <c r="AB73" s="664"/>
      <c r="AC73" s="664"/>
      <c r="AD73" s="664"/>
      <c r="AE73" s="664"/>
      <c r="AF73" s="664"/>
      <c r="AG73" s="664"/>
      <c r="AH73" s="664"/>
      <c r="AI73" s="257"/>
      <c r="AJ73" s="257"/>
      <c r="AK73" s="257"/>
      <c r="AL73" s="257"/>
      <c r="AM73" s="257"/>
      <c r="AN73" s="257"/>
      <c r="AO73" s="257"/>
      <c r="AP73" s="257"/>
      <c r="AQ73" s="257"/>
      <c r="AR73" s="257"/>
      <c r="AS73" s="257"/>
      <c r="AT73" s="257"/>
      <c r="AU73" s="257"/>
      <c r="AV73" s="257"/>
      <c r="AW73" s="257"/>
      <c r="AX73" s="257"/>
      <c r="AY73" s="257"/>
      <c r="AZ73" s="257"/>
      <c r="BA73" s="257"/>
      <c r="BB73" s="257"/>
      <c r="BC73" s="257"/>
      <c r="BD73" s="257"/>
      <c r="BE73" s="257"/>
      <c r="BF73" s="257"/>
      <c r="BG73" s="257"/>
      <c r="BH73" s="257"/>
      <c r="BI73" s="257"/>
      <c r="BJ73" s="257"/>
      <c r="BK73" s="257"/>
    </row>
    <row r="74" s="84" customFormat="1" ht="14.25">
      <c r="A74" s="260" t="s">
        <v>26</v>
      </c>
      <c r="B74" s="664">
        <v>148.03289025946405784772437261</v>
      </c>
      <c r="C74" s="664">
        <v>136.70136573445560684224816725</v>
      </c>
      <c r="D74" s="664">
        <v>133.52290795481855323239605864</v>
      </c>
      <c r="E74" s="664">
        <v>134.47078341013824884792626728</v>
      </c>
      <c r="F74" s="664">
        <v>127.38291040772532188841201716</v>
      </c>
      <c r="G74" s="664">
        <v>137.21882680368229501177478056</v>
      </c>
      <c r="H74" s="664">
        <v>135.44609462173621959384066057</v>
      </c>
      <c r="I74" s="664">
        <v>136.92653536811713755413487317</v>
      </c>
      <c r="J74" s="664">
        <v>142.35440396452832131211157067</v>
      </c>
      <c r="K74" s="664">
        <v>128.12612291786329695577254451</v>
      </c>
      <c r="L74" s="664">
        <v>136.84996024272860431052521448</v>
      </c>
      <c r="M74" s="664">
        <v>133.91574382921947965310206804</v>
      </c>
      <c r="N74" s="664"/>
      <c r="O74" s="664"/>
      <c r="P74" s="664"/>
      <c r="Q74" s="664"/>
      <c r="R74" s="664"/>
      <c r="S74" s="664"/>
      <c r="T74" s="664"/>
      <c r="U74" s="664"/>
      <c r="V74" s="664"/>
      <c r="W74" s="664"/>
      <c r="X74" s="664"/>
      <c r="Y74" s="664"/>
      <c r="Z74" s="664"/>
      <c r="AA74" s="664"/>
      <c r="AB74" s="664"/>
      <c r="AC74" s="664"/>
      <c r="AD74" s="664"/>
      <c r="AE74" s="664"/>
      <c r="AF74" s="664"/>
      <c r="AG74" s="664"/>
      <c r="AH74" s="664"/>
      <c r="AI74" s="257"/>
      <c r="AJ74" s="257"/>
      <c r="AK74" s="257"/>
      <c r="AL74" s="257"/>
      <c r="AM74" s="257"/>
      <c r="AN74" s="257"/>
      <c r="AO74" s="257"/>
      <c r="AP74" s="257"/>
      <c r="AQ74" s="257"/>
      <c r="AR74" s="257"/>
      <c r="AS74" s="257"/>
      <c r="AT74" s="257"/>
      <c r="AU74" s="257"/>
      <c r="AV74" s="257"/>
      <c r="AW74" s="257"/>
      <c r="AX74" s="257"/>
      <c r="AY74" s="257"/>
      <c r="AZ74" s="257"/>
      <c r="BA74" s="257"/>
      <c r="BB74" s="257"/>
      <c r="BC74" s="257"/>
      <c r="BD74" s="257"/>
      <c r="BE74" s="257"/>
      <c r="BF74" s="257"/>
      <c r="BG74" s="257"/>
      <c r="BH74" s="257"/>
      <c r="BI74" s="257"/>
      <c r="BJ74" s="257"/>
      <c r="BK74" s="257"/>
    </row>
    <row r="75" s="84" customFormat="1" ht="14.25">
      <c r="A75" s="260" t="s">
        <v>147</v>
      </c>
      <c r="B75" s="664">
        <v>142.95158053186151530356246864</v>
      </c>
      <c r="C75" s="664">
        <v>132.48906542056074766355140187</v>
      </c>
      <c r="D75" s="664">
        <v>128.33569762015865608959402706</v>
      </c>
      <c r="E75" s="664">
        <v>127.83998211091234347048300537</v>
      </c>
      <c r="F75" s="664">
        <v>119.81793117532931685898090473</v>
      </c>
      <c r="G75" s="664">
        <v>132.01555171562577141446556406</v>
      </c>
      <c r="H75" s="664">
        <v>127.87261645624727905964301263</v>
      </c>
      <c r="I75" s="664">
        <v>132.60592160133444537114261885</v>
      </c>
      <c r="J75" s="664">
        <v>129.74813927624262126785867054</v>
      </c>
      <c r="K75" s="664">
        <v>120.9638714974853741147490506</v>
      </c>
      <c r="L75" s="664">
        <v>133.70874684608915054667788057</v>
      </c>
      <c r="M75" s="664">
        <v>130.91767260095527572731220148</v>
      </c>
      <c r="N75" s="664"/>
      <c r="O75" s="664"/>
      <c r="P75" s="664"/>
      <c r="Q75" s="664"/>
      <c r="R75" s="664"/>
      <c r="S75" s="664"/>
      <c r="T75" s="664"/>
      <c r="U75" s="664"/>
      <c r="V75" s="664"/>
      <c r="W75" s="664"/>
      <c r="X75" s="664"/>
      <c r="Y75" s="664"/>
      <c r="Z75" s="664"/>
      <c r="AA75" s="664"/>
      <c r="AB75" s="664"/>
      <c r="AC75" s="664"/>
      <c r="AD75" s="664"/>
      <c r="AE75" s="664"/>
      <c r="AF75" s="664"/>
      <c r="AG75" s="664"/>
      <c r="AH75" s="664"/>
      <c r="AI75" s="257"/>
      <c r="AJ75" s="257"/>
      <c r="AK75" s="257"/>
      <c r="AL75" s="257"/>
      <c r="AM75" s="257"/>
      <c r="AN75" s="257"/>
      <c r="AO75" s="257"/>
      <c r="AP75" s="257"/>
      <c r="AQ75" s="257"/>
      <c r="AR75" s="257"/>
      <c r="AS75" s="257"/>
      <c r="AT75" s="257"/>
      <c r="AU75" s="257"/>
      <c r="AV75" s="257"/>
      <c r="AW75" s="257"/>
      <c r="AX75" s="257"/>
      <c r="AY75" s="257"/>
      <c r="AZ75" s="257"/>
      <c r="BA75" s="257"/>
      <c r="BB75" s="257"/>
      <c r="BC75" s="257"/>
      <c r="BD75" s="257"/>
      <c r="BE75" s="257"/>
      <c r="BF75" s="257"/>
      <c r="BG75" s="257"/>
      <c r="BH75" s="257"/>
      <c r="BI75" s="257"/>
      <c r="BJ75" s="257"/>
      <c r="BK75" s="257"/>
    </row>
    <row r="76" s="84" customFormat="1">
      <c r="A76" s="256"/>
      <c r="B76" s="664"/>
      <c r="C76" s="664"/>
      <c r="D76" s="664"/>
      <c r="E76" s="664"/>
      <c r="F76" s="664"/>
      <c r="G76" s="664"/>
      <c r="H76" s="664"/>
      <c r="I76" s="664"/>
      <c r="J76" s="664"/>
      <c r="K76" s="664"/>
      <c r="L76" s="664"/>
      <c r="M76" s="664"/>
      <c r="N76" s="664"/>
      <c r="O76" s="664"/>
      <c r="P76" s="664"/>
      <c r="Q76" s="664"/>
      <c r="R76" s="664"/>
      <c r="S76" s="664"/>
      <c r="T76" s="664"/>
      <c r="U76" s="664"/>
      <c r="V76" s="664"/>
      <c r="W76" s="664"/>
      <c r="X76" s="664"/>
      <c r="Y76" s="664"/>
      <c r="Z76" s="664"/>
      <c r="AA76" s="664"/>
      <c r="AB76" s="664"/>
      <c r="AC76" s="664"/>
      <c r="AD76" s="664"/>
      <c r="AE76" s="664"/>
      <c r="AF76" s="664"/>
      <c r="AG76" s="664"/>
      <c r="AH76" s="664"/>
      <c r="AI76" s="257"/>
      <c r="AJ76" s="257"/>
      <c r="AK76" s="257"/>
      <c r="AL76" s="257"/>
      <c r="AM76" s="257"/>
      <c r="AN76" s="257"/>
      <c r="AO76" s="257"/>
      <c r="AP76" s="257"/>
      <c r="AQ76" s="257"/>
      <c r="AR76" s="257"/>
      <c r="AS76" s="257"/>
      <c r="AT76" s="257"/>
      <c r="AU76" s="257"/>
      <c r="AV76" s="257"/>
      <c r="AW76" s="257"/>
      <c r="AX76" s="257"/>
      <c r="AY76" s="257"/>
      <c r="AZ76" s="257"/>
      <c r="BA76" s="257"/>
      <c r="BB76" s="257"/>
      <c r="BC76" s="257"/>
      <c r="BD76" s="257"/>
      <c r="BE76" s="257"/>
      <c r="BF76" s="257"/>
      <c r="BG76" s="257"/>
      <c r="BH76" s="257"/>
      <c r="BI76" s="257"/>
      <c r="BJ76" s="257"/>
      <c r="BK76" s="257"/>
    </row>
    <row r="77">
      <c r="A77" s="256"/>
      <c r="B77" s="664"/>
      <c r="C77" s="664"/>
      <c r="D77" s="664"/>
      <c r="E77" s="664"/>
      <c r="F77" s="664"/>
      <c r="G77" s="664"/>
      <c r="H77" s="664"/>
      <c r="I77" s="664"/>
      <c r="J77" s="664"/>
      <c r="K77" s="664"/>
      <c r="L77" s="664"/>
      <c r="M77" s="664"/>
      <c r="N77" s="664"/>
      <c r="O77" s="664"/>
      <c r="P77" s="664"/>
      <c r="Q77" s="664"/>
      <c r="R77" s="664"/>
      <c r="S77" s="664"/>
      <c r="T77" s="664"/>
      <c r="U77" s="664"/>
      <c r="V77" s="664"/>
      <c r="W77" s="664"/>
      <c r="X77" s="664"/>
      <c r="Y77" s="664"/>
      <c r="Z77" s="664"/>
      <c r="AA77" s="664"/>
      <c r="AB77" s="664"/>
      <c r="AC77" s="664"/>
      <c r="AD77" s="664"/>
      <c r="AE77" s="664"/>
      <c r="AF77" s="664"/>
      <c r="AG77" s="664"/>
      <c r="AH77" s="664"/>
      <c r="AI77" s="244"/>
      <c r="AJ77" s="244"/>
      <c r="AK77" s="244"/>
      <c r="AL77" s="244"/>
      <c r="AM77" s="244"/>
      <c r="AN77" s="244"/>
      <c r="AO77" s="244"/>
      <c r="AP77" s="244"/>
      <c r="AQ77" s="244"/>
      <c r="AR77" s="244"/>
      <c r="AS77" s="244"/>
      <c r="AT77" s="244"/>
      <c r="AU77" s="244"/>
      <c r="AV77" s="244"/>
      <c r="AW77" s="244"/>
      <c r="AX77" s="244"/>
      <c r="AY77" s="244"/>
      <c r="AZ77" s="244"/>
      <c r="BA77" s="244"/>
      <c r="BB77" s="244"/>
      <c r="BC77" s="244"/>
      <c r="BD77" s="244"/>
      <c r="BE77" s="244"/>
      <c r="BF77" s="244"/>
      <c r="BG77" s="244"/>
      <c r="BH77" s="244"/>
      <c r="BI77" s="244"/>
      <c r="BJ77" s="244"/>
      <c r="BK77" s="244"/>
    </row>
    <row r="78">
      <c r="A78" s="256"/>
      <c r="B78" s="664"/>
      <c r="C78" s="664"/>
      <c r="D78" s="664"/>
      <c r="E78" s="664"/>
      <c r="F78" s="664"/>
      <c r="G78" s="664"/>
      <c r="H78" s="664"/>
      <c r="I78" s="664"/>
      <c r="J78" s="664"/>
      <c r="K78" s="664"/>
      <c r="L78" s="664"/>
      <c r="M78" s="664"/>
      <c r="N78" s="664"/>
      <c r="O78" s="664"/>
      <c r="P78" s="664"/>
      <c r="Q78" s="664"/>
      <c r="R78" s="664"/>
      <c r="S78" s="664"/>
      <c r="T78" s="664"/>
      <c r="U78" s="664"/>
      <c r="V78" s="664"/>
      <c r="W78" s="664"/>
      <c r="X78" s="664"/>
      <c r="Y78" s="664"/>
      <c r="Z78" s="664"/>
      <c r="AA78" s="664"/>
      <c r="AB78" s="664"/>
      <c r="AC78" s="664"/>
      <c r="AD78" s="664"/>
      <c r="AE78" s="664"/>
      <c r="AF78" s="664"/>
      <c r="AG78" s="664"/>
      <c r="AH78" s="664"/>
      <c r="AI78" s="244"/>
      <c r="AJ78" s="244"/>
      <c r="AK78" s="244"/>
      <c r="AL78" s="244"/>
      <c r="AM78" s="244"/>
      <c r="AN78" s="244"/>
      <c r="AO78" s="244"/>
      <c r="AP78" s="244"/>
      <c r="AQ78" s="244"/>
      <c r="AR78" s="244"/>
      <c r="AS78" s="244"/>
      <c r="AT78" s="244"/>
      <c r="AU78" s="244"/>
      <c r="AV78" s="244"/>
      <c r="AW78" s="244"/>
      <c r="AX78" s="244"/>
      <c r="AY78" s="244"/>
      <c r="AZ78" s="244"/>
      <c r="BA78" s="244"/>
      <c r="BB78" s="244"/>
      <c r="BC78" s="244"/>
      <c r="BD78" s="244"/>
      <c r="BE78" s="244"/>
      <c r="BF78" s="244"/>
      <c r="BG78" s="244"/>
      <c r="BH78" s="244"/>
      <c r="BI78" s="244"/>
      <c r="BJ78" s="244"/>
      <c r="BK78" s="244"/>
    </row>
    <row r="79">
      <c r="A79" s="256"/>
      <c r="B79" s="664"/>
      <c r="C79" s="664"/>
      <c r="D79" s="664"/>
      <c r="E79" s="664"/>
      <c r="F79" s="664"/>
      <c r="G79" s="664"/>
      <c r="H79" s="664"/>
      <c r="I79" s="664"/>
      <c r="J79" s="664"/>
      <c r="K79" s="664"/>
      <c r="L79" s="664"/>
      <c r="M79" s="664"/>
      <c r="N79" s="664"/>
      <c r="O79" s="664"/>
      <c r="P79" s="664"/>
      <c r="Q79" s="664"/>
      <c r="R79" s="664"/>
      <c r="S79" s="664"/>
      <c r="T79" s="664"/>
      <c r="U79" s="664"/>
      <c r="V79" s="664"/>
      <c r="W79" s="664"/>
      <c r="X79" s="664"/>
      <c r="Y79" s="664"/>
      <c r="Z79" s="664"/>
      <c r="AA79" s="664"/>
      <c r="AB79" s="664"/>
      <c r="AC79" s="664"/>
      <c r="AD79" s="664"/>
      <c r="AE79" s="664"/>
      <c r="AF79" s="664"/>
      <c r="AG79" s="664"/>
      <c r="AH79" s="664"/>
      <c r="AI79" s="244"/>
      <c r="AJ79" s="244"/>
      <c r="AK79" s="244"/>
      <c r="AL79" s="244"/>
      <c r="AM79" s="244"/>
      <c r="AN79" s="244"/>
      <c r="AO79" s="244"/>
      <c r="AP79" s="244"/>
      <c r="AQ79" s="244"/>
      <c r="AR79" s="244"/>
      <c r="AS79" s="244"/>
      <c r="AT79" s="244"/>
      <c r="AU79" s="244"/>
      <c r="AV79" s="244"/>
      <c r="AW79" s="244"/>
      <c r="AX79" s="244"/>
      <c r="AY79" s="244"/>
      <c r="AZ79" s="244"/>
      <c r="BA79" s="244"/>
      <c r="BB79" s="244"/>
      <c r="BC79" s="244"/>
      <c r="BD79" s="244"/>
      <c r="BE79" s="244"/>
      <c r="BF79" s="244"/>
      <c r="BG79" s="244"/>
      <c r="BH79" s="244"/>
      <c r="BI79" s="244"/>
      <c r="BJ79" s="244"/>
      <c r="BK79" s="244"/>
    </row>
    <row r="80">
      <c r="A80" s="244"/>
      <c r="B80" s="664"/>
      <c r="C80" s="664"/>
      <c r="D80" s="664"/>
      <c r="E80" s="664"/>
      <c r="F80" s="664"/>
      <c r="G80" s="664"/>
      <c r="H80" s="664"/>
      <c r="I80" s="664"/>
      <c r="J80" s="664"/>
      <c r="K80" s="664"/>
      <c r="L80" s="664"/>
      <c r="M80" s="664"/>
      <c r="N80" s="664"/>
      <c r="O80" s="664"/>
      <c r="P80" s="664"/>
      <c r="Q80" s="664"/>
      <c r="R80" s="664"/>
      <c r="S80" s="664"/>
      <c r="T80" s="664"/>
      <c r="U80" s="664"/>
      <c r="V80" s="664"/>
      <c r="W80" s="664"/>
      <c r="X80" s="664"/>
      <c r="Y80" s="664"/>
      <c r="Z80" s="664"/>
      <c r="AA80" s="664"/>
      <c r="AB80" s="664"/>
      <c r="AC80" s="664"/>
      <c r="AD80" s="664"/>
      <c r="AE80" s="664"/>
      <c r="AF80" s="664"/>
      <c r="AG80" s="664"/>
      <c r="AH80" s="664"/>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c r="BH80" s="244"/>
      <c r="BI80" s="244"/>
      <c r="BJ80" s="244"/>
      <c r="BK80" s="244"/>
    </row>
    <row r="81">
      <c r="A81" s="244"/>
      <c r="B81" s="664"/>
      <c r="C81" s="664"/>
      <c r="D81" s="664"/>
      <c r="E81" s="664"/>
      <c r="F81" s="664"/>
      <c r="G81" s="664"/>
      <c r="H81" s="664"/>
      <c r="I81" s="664"/>
      <c r="J81" s="664"/>
      <c r="K81" s="664"/>
      <c r="L81" s="664"/>
      <c r="M81" s="664"/>
      <c r="N81" s="664"/>
      <c r="O81" s="664"/>
      <c r="P81" s="664"/>
      <c r="Q81" s="664"/>
      <c r="R81" s="664"/>
      <c r="S81" s="664"/>
      <c r="T81" s="664"/>
      <c r="U81" s="664"/>
      <c r="V81" s="664"/>
      <c r="W81" s="664"/>
      <c r="X81" s="664"/>
      <c r="Y81" s="664"/>
      <c r="Z81" s="664"/>
      <c r="AA81" s="664"/>
      <c r="AB81" s="664"/>
      <c r="AC81" s="664"/>
      <c r="AD81" s="664"/>
      <c r="AE81" s="664"/>
      <c r="AF81" s="664"/>
      <c r="AG81" s="664"/>
      <c r="AH81" s="664"/>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c r="BH81" s="244"/>
      <c r="BI81" s="244"/>
      <c r="BJ81" s="244"/>
      <c r="BK81" s="244"/>
    </row>
    <row r="82">
      <c r="A82" s="244"/>
      <c r="B82" s="664"/>
      <c r="C82" s="664"/>
      <c r="D82" s="664"/>
      <c r="E82" s="664"/>
      <c r="F82" s="664"/>
      <c r="G82" s="664"/>
      <c r="H82" s="664"/>
      <c r="I82" s="664"/>
      <c r="J82" s="664"/>
      <c r="K82" s="664"/>
      <c r="L82" s="664"/>
      <c r="M82" s="664"/>
      <c r="N82" s="664"/>
      <c r="O82" s="664"/>
      <c r="P82" s="664"/>
      <c r="Q82" s="664"/>
      <c r="R82" s="664"/>
      <c r="S82" s="664"/>
      <c r="T82" s="664"/>
      <c r="U82" s="664"/>
      <c r="V82" s="664"/>
      <c r="W82" s="664"/>
      <c r="X82" s="664"/>
      <c r="Y82" s="664"/>
      <c r="Z82" s="664"/>
      <c r="AA82" s="664"/>
      <c r="AB82" s="664"/>
      <c r="AC82" s="664"/>
      <c r="AD82" s="664"/>
      <c r="AE82" s="664"/>
      <c r="AF82" s="664"/>
      <c r="AG82" s="664"/>
      <c r="AH82" s="664"/>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c r="BH82" s="244"/>
      <c r="BI82" s="244"/>
      <c r="BJ82" s="244"/>
      <c r="BK82" s="244"/>
    </row>
    <row r="83">
      <c r="A83" s="244"/>
      <c r="B83" s="664"/>
      <c r="C83" s="664"/>
      <c r="D83" s="664"/>
      <c r="E83" s="664"/>
      <c r="F83" s="664"/>
      <c r="G83" s="664"/>
      <c r="H83" s="664"/>
      <c r="I83" s="664"/>
      <c r="J83" s="664"/>
      <c r="K83" s="664"/>
      <c r="L83" s="664"/>
      <c r="M83" s="664"/>
      <c r="N83" s="664"/>
      <c r="O83" s="664"/>
      <c r="P83" s="664"/>
      <c r="Q83" s="664"/>
      <c r="R83" s="664"/>
      <c r="S83" s="664"/>
      <c r="T83" s="664"/>
      <c r="U83" s="664"/>
      <c r="V83" s="664"/>
      <c r="W83" s="664"/>
      <c r="X83" s="664"/>
      <c r="Y83" s="664"/>
      <c r="Z83" s="664"/>
      <c r="AA83" s="664"/>
      <c r="AB83" s="664"/>
      <c r="AC83" s="664"/>
      <c r="AD83" s="664"/>
      <c r="AE83" s="664"/>
      <c r="AF83" s="664"/>
      <c r="AG83" s="664"/>
      <c r="AH83" s="664"/>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c r="BH83" s="244"/>
      <c r="BI83" s="244"/>
      <c r="BJ83" s="244"/>
      <c r="BK83" s="244"/>
    </row>
    <row r="84">
      <c r="A84" s="244"/>
      <c r="B84" s="664"/>
      <c r="C84" s="664"/>
      <c r="D84" s="664"/>
      <c r="E84" s="664"/>
      <c r="F84" s="664"/>
      <c r="G84" s="664"/>
      <c r="H84" s="664"/>
      <c r="I84" s="664"/>
      <c r="J84" s="664"/>
      <c r="K84" s="664"/>
      <c r="L84" s="664"/>
      <c r="M84" s="664"/>
      <c r="N84" s="664"/>
      <c r="O84" s="664"/>
      <c r="P84" s="664"/>
      <c r="Q84" s="664"/>
      <c r="R84" s="664"/>
      <c r="S84" s="664"/>
      <c r="T84" s="664"/>
      <c r="U84" s="664"/>
      <c r="V84" s="664"/>
      <c r="W84" s="664"/>
      <c r="X84" s="664"/>
      <c r="Y84" s="664"/>
      <c r="Z84" s="664"/>
      <c r="AA84" s="664"/>
      <c r="AB84" s="664"/>
      <c r="AC84" s="664"/>
      <c r="AD84" s="664"/>
      <c r="AE84" s="664"/>
      <c r="AF84" s="664"/>
      <c r="AG84" s="664"/>
      <c r="AH84" s="664"/>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c r="BH84" s="244"/>
      <c r="BI84" s="244"/>
      <c r="BJ84" s="244"/>
      <c r="BK84" s="244"/>
    </row>
    <row r="85">
      <c r="A85" s="244"/>
      <c r="B85" s="664"/>
      <c r="C85" s="664"/>
      <c r="D85" s="664"/>
      <c r="E85" s="664"/>
      <c r="F85" s="664"/>
      <c r="G85" s="664"/>
      <c r="H85" s="664"/>
      <c r="I85" s="664"/>
      <c r="J85" s="664"/>
      <c r="K85" s="664"/>
      <c r="L85" s="664"/>
      <c r="M85" s="664"/>
      <c r="N85" s="664"/>
      <c r="O85" s="664"/>
      <c r="P85" s="664"/>
      <c r="Q85" s="664"/>
      <c r="R85" s="664"/>
      <c r="S85" s="664"/>
      <c r="T85" s="664"/>
      <c r="U85" s="664"/>
      <c r="V85" s="664"/>
      <c r="W85" s="664"/>
      <c r="X85" s="664"/>
      <c r="Y85" s="664"/>
      <c r="Z85" s="664"/>
      <c r="AA85" s="664"/>
      <c r="AB85" s="664"/>
      <c r="AC85" s="664"/>
      <c r="AD85" s="664"/>
      <c r="AE85" s="664"/>
      <c r="AF85" s="664"/>
      <c r="AG85" s="664"/>
      <c r="AH85" s="664"/>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c r="BH85" s="244"/>
      <c r="BI85" s="244"/>
      <c r="BJ85" s="244"/>
      <c r="BK85" s="244"/>
    </row>
    <row r="86">
      <c r="A86" s="244"/>
      <c r="B86" s="664"/>
      <c r="C86" s="664"/>
      <c r="D86" s="664"/>
      <c r="E86" s="664"/>
      <c r="F86" s="664"/>
      <c r="G86" s="664"/>
      <c r="H86" s="664"/>
      <c r="I86" s="664"/>
      <c r="J86" s="664"/>
      <c r="K86" s="664"/>
      <c r="L86" s="664"/>
      <c r="M86" s="664"/>
      <c r="N86" s="664"/>
      <c r="O86" s="664"/>
      <c r="P86" s="664"/>
      <c r="Q86" s="664"/>
      <c r="R86" s="664"/>
      <c r="S86" s="664"/>
      <c r="T86" s="664"/>
      <c r="U86" s="664"/>
      <c r="V86" s="664"/>
      <c r="W86" s="664"/>
      <c r="X86" s="664"/>
      <c r="Y86" s="664"/>
      <c r="Z86" s="664"/>
      <c r="AA86" s="664"/>
      <c r="AB86" s="664"/>
      <c r="AC86" s="664"/>
      <c r="AD86" s="664"/>
      <c r="AE86" s="664"/>
      <c r="AF86" s="664"/>
      <c r="AG86" s="664"/>
      <c r="AH86" s="664"/>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c r="BH86" s="244"/>
      <c r="BI86" s="244"/>
      <c r="BJ86" s="244"/>
      <c r="BK86" s="244"/>
    </row>
    <row r="87">
      <c r="A87" s="244"/>
      <c r="B87" s="664"/>
      <c r="C87" s="664"/>
      <c r="D87" s="664"/>
      <c r="E87" s="664"/>
      <c r="F87" s="664"/>
      <c r="G87" s="664"/>
      <c r="H87" s="664"/>
      <c r="I87" s="664"/>
      <c r="J87" s="664"/>
      <c r="K87" s="664"/>
      <c r="L87" s="664"/>
      <c r="M87" s="664"/>
      <c r="N87" s="664"/>
      <c r="O87" s="664"/>
      <c r="P87" s="664"/>
      <c r="Q87" s="664"/>
      <c r="R87" s="664"/>
      <c r="S87" s="664"/>
      <c r="T87" s="664"/>
      <c r="U87" s="664"/>
      <c r="V87" s="664"/>
      <c r="W87" s="664"/>
      <c r="X87" s="664"/>
      <c r="Y87" s="664"/>
      <c r="Z87" s="664"/>
      <c r="AA87" s="664"/>
      <c r="AB87" s="664"/>
      <c r="AC87" s="664"/>
      <c r="AD87" s="664"/>
      <c r="AE87" s="664"/>
      <c r="AF87" s="664"/>
      <c r="AG87" s="664"/>
      <c r="AH87" s="664"/>
      <c r="AI87" s="244"/>
      <c r="AJ87" s="244"/>
      <c r="AK87" s="244"/>
      <c r="AL87" s="244"/>
      <c r="AM87" s="244"/>
      <c r="AN87" s="244"/>
      <c r="AO87" s="244"/>
      <c r="AP87" s="244"/>
      <c r="AQ87" s="244"/>
      <c r="AR87" s="244"/>
      <c r="AS87" s="244"/>
      <c r="AT87" s="244"/>
      <c r="AU87" s="244"/>
      <c r="AV87" s="244"/>
      <c r="AW87" s="244"/>
      <c r="AX87" s="244"/>
      <c r="AY87" s="244"/>
      <c r="AZ87" s="244"/>
      <c r="BA87" s="244"/>
      <c r="BB87" s="244"/>
      <c r="BC87" s="244"/>
      <c r="BD87" s="244"/>
      <c r="BE87" s="244"/>
      <c r="BF87" s="244"/>
      <c r="BG87" s="244"/>
      <c r="BH87" s="244"/>
      <c r="BI87" s="244"/>
      <c r="BJ87" s="244"/>
      <c r="BK87" s="244"/>
    </row>
    <row r="88">
      <c r="A88" s="244"/>
      <c r="B88" s="664"/>
      <c r="C88" s="664"/>
      <c r="D88" s="664"/>
      <c r="E88" s="664"/>
      <c r="F88" s="664"/>
      <c r="G88" s="664"/>
      <c r="H88" s="664"/>
      <c r="I88" s="664"/>
      <c r="J88" s="664"/>
      <c r="K88" s="664"/>
      <c r="L88" s="664"/>
      <c r="M88" s="664"/>
      <c r="N88" s="664"/>
      <c r="O88" s="664"/>
      <c r="P88" s="664"/>
      <c r="Q88" s="664"/>
      <c r="R88" s="664"/>
      <c r="S88" s="664"/>
      <c r="T88" s="664"/>
      <c r="U88" s="664"/>
      <c r="V88" s="664"/>
      <c r="W88" s="664"/>
      <c r="X88" s="664"/>
      <c r="Y88" s="664"/>
      <c r="Z88" s="664"/>
      <c r="AA88" s="664"/>
      <c r="AB88" s="664"/>
      <c r="AC88" s="664"/>
      <c r="AD88" s="664"/>
      <c r="AE88" s="664"/>
      <c r="AF88" s="664"/>
      <c r="AG88" s="664"/>
      <c r="AH88" s="664"/>
      <c r="AI88" s="244"/>
      <c r="AJ88" s="244"/>
      <c r="AK88" s="244"/>
      <c r="AL88" s="244"/>
      <c r="AM88" s="244"/>
      <c r="AN88" s="244"/>
      <c r="AO88" s="244"/>
      <c r="AP88" s="244"/>
      <c r="AQ88" s="244"/>
      <c r="AR88" s="244"/>
      <c r="AS88" s="244"/>
      <c r="AT88" s="244"/>
      <c r="AU88" s="244"/>
      <c r="AV88" s="244"/>
      <c r="AW88" s="244"/>
      <c r="AX88" s="244"/>
      <c r="AY88" s="244"/>
      <c r="AZ88" s="244"/>
      <c r="BA88" s="244"/>
      <c r="BB88" s="244"/>
      <c r="BC88" s="244"/>
      <c r="BD88" s="244"/>
      <c r="BE88" s="244"/>
      <c r="BF88" s="244"/>
      <c r="BG88" s="244"/>
      <c r="BH88" s="244"/>
      <c r="BI88" s="244"/>
      <c r="BJ88" s="244"/>
      <c r="BK88" s="244"/>
    </row>
    <row r="89">
      <c r="A89" s="244"/>
      <c r="B89" s="664"/>
      <c r="C89" s="664"/>
      <c r="D89" s="664"/>
      <c r="E89" s="664"/>
      <c r="F89" s="664"/>
      <c r="G89" s="664"/>
      <c r="H89" s="664"/>
      <c r="I89" s="664"/>
      <c r="J89" s="664"/>
      <c r="K89" s="664"/>
      <c r="L89" s="664"/>
      <c r="M89" s="664"/>
      <c r="N89" s="664"/>
      <c r="O89" s="664"/>
      <c r="P89" s="664"/>
      <c r="Q89" s="664"/>
      <c r="R89" s="664"/>
      <c r="S89" s="664"/>
      <c r="T89" s="664"/>
      <c r="U89" s="664"/>
      <c r="V89" s="664"/>
      <c r="W89" s="664"/>
      <c r="X89" s="664"/>
      <c r="Y89" s="664"/>
      <c r="Z89" s="664"/>
      <c r="AA89" s="664"/>
      <c r="AB89" s="664"/>
      <c r="AC89" s="664"/>
      <c r="AD89" s="664"/>
      <c r="AE89" s="664"/>
      <c r="AF89" s="664"/>
      <c r="AG89" s="664"/>
      <c r="AH89" s="664"/>
      <c r="AI89" s="244"/>
      <c r="AJ89" s="244"/>
      <c r="AK89" s="244"/>
      <c r="AL89" s="244"/>
      <c r="AM89" s="244"/>
      <c r="AN89" s="244"/>
      <c r="AO89" s="244"/>
      <c r="AP89" s="244"/>
      <c r="AQ89" s="244"/>
      <c r="AR89" s="244"/>
      <c r="AS89" s="244"/>
      <c r="AT89" s="244"/>
      <c r="AU89" s="244"/>
      <c r="AV89" s="244"/>
      <c r="AW89" s="244"/>
      <c r="AX89" s="244"/>
      <c r="AY89" s="244"/>
      <c r="AZ89" s="244"/>
      <c r="BA89" s="244"/>
      <c r="BB89" s="244"/>
      <c r="BC89" s="244"/>
      <c r="BD89" s="244"/>
      <c r="BE89" s="244"/>
      <c r="BF89" s="244"/>
      <c r="BG89" s="244"/>
      <c r="BH89" s="244"/>
      <c r="BI89" s="244"/>
      <c r="BJ89" s="244"/>
      <c r="BK89" s="244"/>
    </row>
    <row r="90">
      <c r="A90" s="244"/>
      <c r="B90" s="664"/>
      <c r="C90" s="664"/>
      <c r="D90" s="664"/>
      <c r="E90" s="664"/>
      <c r="F90" s="664"/>
      <c r="G90" s="664"/>
      <c r="H90" s="664"/>
      <c r="I90" s="664"/>
      <c r="J90" s="664"/>
      <c r="K90" s="664"/>
      <c r="L90" s="664"/>
      <c r="M90" s="664"/>
      <c r="N90" s="664"/>
      <c r="O90" s="664"/>
      <c r="P90" s="664"/>
      <c r="Q90" s="664"/>
      <c r="R90" s="664"/>
      <c r="S90" s="664"/>
      <c r="T90" s="664"/>
      <c r="U90" s="664"/>
      <c r="V90" s="664"/>
      <c r="W90" s="664"/>
      <c r="X90" s="664"/>
      <c r="Y90" s="664"/>
      <c r="Z90" s="664"/>
      <c r="AA90" s="664"/>
      <c r="AB90" s="664"/>
      <c r="AC90" s="664"/>
      <c r="AD90" s="664"/>
      <c r="AE90" s="664"/>
      <c r="AF90" s="664"/>
      <c r="AG90" s="664"/>
      <c r="AH90" s="664"/>
      <c r="AI90" s="244"/>
      <c r="AJ90" s="244"/>
      <c r="AK90" s="244"/>
      <c r="AL90" s="244"/>
      <c r="AM90" s="244"/>
      <c r="AN90" s="244"/>
      <c r="AO90" s="244"/>
      <c r="AP90" s="244"/>
      <c r="AQ90" s="244"/>
      <c r="AR90" s="244"/>
      <c r="AS90" s="244"/>
      <c r="AT90" s="244"/>
      <c r="AU90" s="244"/>
      <c r="AV90" s="244"/>
      <c r="AW90" s="244"/>
      <c r="AX90" s="244"/>
      <c r="AY90" s="244"/>
      <c r="AZ90" s="244"/>
      <c r="BA90" s="244"/>
      <c r="BB90" s="244"/>
      <c r="BC90" s="244"/>
      <c r="BD90" s="244"/>
      <c r="BE90" s="244"/>
      <c r="BF90" s="244"/>
      <c r="BG90" s="244"/>
      <c r="BH90" s="244"/>
      <c r="BI90" s="244"/>
      <c r="BJ90" s="244"/>
      <c r="BK90" s="244"/>
    </row>
    <row r="91">
      <c r="A91" s="244"/>
      <c r="B91" s="664"/>
      <c r="C91" s="664"/>
      <c r="D91" s="664"/>
      <c r="E91" s="664"/>
      <c r="F91" s="664"/>
      <c r="G91" s="664"/>
      <c r="H91" s="664"/>
      <c r="I91" s="664"/>
      <c r="J91" s="664"/>
      <c r="K91" s="664"/>
      <c r="L91" s="664"/>
      <c r="M91" s="664"/>
      <c r="N91" s="664"/>
      <c r="O91" s="664"/>
      <c r="P91" s="664"/>
      <c r="Q91" s="664"/>
      <c r="R91" s="664"/>
      <c r="S91" s="664"/>
      <c r="T91" s="664"/>
      <c r="U91" s="664"/>
      <c r="V91" s="664"/>
      <c r="W91" s="664"/>
      <c r="X91" s="664"/>
      <c r="Y91" s="664"/>
      <c r="Z91" s="664"/>
      <c r="AA91" s="664"/>
      <c r="AB91" s="664"/>
      <c r="AC91" s="664"/>
      <c r="AD91" s="664"/>
      <c r="AE91" s="664"/>
      <c r="AF91" s="664"/>
      <c r="AG91" s="664"/>
      <c r="AH91" s="664"/>
      <c r="AI91" s="244"/>
      <c r="AJ91" s="244"/>
      <c r="AK91" s="244"/>
      <c r="AL91" s="244"/>
      <c r="AM91" s="244"/>
      <c r="AN91" s="244"/>
      <c r="AO91" s="244"/>
      <c r="AP91" s="244"/>
      <c r="AQ91" s="244"/>
      <c r="AR91" s="244"/>
      <c r="AS91" s="244"/>
      <c r="AT91" s="244"/>
      <c r="AU91" s="244"/>
      <c r="AV91" s="244"/>
      <c r="AW91" s="244"/>
      <c r="AX91" s="244"/>
      <c r="AY91" s="244"/>
      <c r="AZ91" s="244"/>
      <c r="BA91" s="244"/>
      <c r="BB91" s="244"/>
      <c r="BC91" s="244"/>
      <c r="BD91" s="244"/>
      <c r="BE91" s="244"/>
      <c r="BF91" s="244"/>
      <c r="BG91" s="244"/>
      <c r="BH91" s="244"/>
      <c r="BI91" s="244"/>
      <c r="BJ91" s="244"/>
      <c r="BK91" s="244"/>
    </row>
    <row r="92">
      <c r="A92" s="244"/>
      <c r="B92" s="664"/>
      <c r="C92" s="664"/>
      <c r="D92" s="664"/>
      <c r="E92" s="664"/>
      <c r="F92" s="664"/>
      <c r="G92" s="664"/>
      <c r="H92" s="664"/>
      <c r="I92" s="664"/>
      <c r="J92" s="664"/>
      <c r="K92" s="664"/>
      <c r="L92" s="664"/>
      <c r="M92" s="664"/>
      <c r="N92" s="664"/>
      <c r="O92" s="664"/>
      <c r="P92" s="664"/>
      <c r="Q92" s="664"/>
      <c r="R92" s="664"/>
      <c r="S92" s="664"/>
      <c r="T92" s="664"/>
      <c r="U92" s="664"/>
      <c r="V92" s="664"/>
      <c r="W92" s="664"/>
      <c r="X92" s="664"/>
      <c r="Y92" s="664"/>
      <c r="Z92" s="664"/>
      <c r="AA92" s="664"/>
      <c r="AB92" s="664"/>
      <c r="AC92" s="664"/>
      <c r="AD92" s="664"/>
      <c r="AE92" s="664"/>
      <c r="AF92" s="664"/>
      <c r="AG92" s="664"/>
      <c r="AH92" s="664"/>
      <c r="AI92" s="244"/>
      <c r="AJ92" s="244"/>
      <c r="AK92" s="244"/>
      <c r="AL92" s="244"/>
      <c r="AM92" s="244"/>
      <c r="AN92" s="244"/>
      <c r="AO92" s="244"/>
      <c r="AP92" s="244"/>
      <c r="AQ92" s="244"/>
      <c r="AR92" s="244"/>
      <c r="AS92" s="244"/>
      <c r="AT92" s="244"/>
      <c r="AU92" s="244"/>
      <c r="AV92" s="244"/>
      <c r="AW92" s="244"/>
      <c r="AX92" s="244"/>
      <c r="AY92" s="244"/>
      <c r="AZ92" s="244"/>
      <c r="BA92" s="244"/>
      <c r="BB92" s="244"/>
      <c r="BC92" s="244"/>
      <c r="BD92" s="244"/>
      <c r="BE92" s="244"/>
      <c r="BF92" s="244"/>
      <c r="BG92" s="244"/>
      <c r="BH92" s="244"/>
      <c r="BI92" s="244"/>
      <c r="BJ92" s="244"/>
      <c r="BK92" s="244"/>
    </row>
    <row r="93">
      <c r="A93" s="244"/>
      <c r="B93" s="664"/>
      <c r="C93" s="664"/>
      <c r="D93" s="664"/>
      <c r="E93" s="664"/>
      <c r="F93" s="664"/>
      <c r="G93" s="664"/>
      <c r="H93" s="664"/>
      <c r="I93" s="664"/>
      <c r="J93" s="664"/>
      <c r="K93" s="664"/>
      <c r="L93" s="664"/>
      <c r="M93" s="664"/>
      <c r="N93" s="664"/>
      <c r="O93" s="664"/>
      <c r="P93" s="664"/>
      <c r="Q93" s="664"/>
      <c r="R93" s="664"/>
      <c r="S93" s="664"/>
      <c r="T93" s="664"/>
      <c r="U93" s="664"/>
      <c r="V93" s="664"/>
      <c r="W93" s="664"/>
      <c r="X93" s="664"/>
      <c r="Y93" s="664"/>
      <c r="Z93" s="664"/>
      <c r="AA93" s="664"/>
      <c r="AB93" s="664"/>
      <c r="AC93" s="664"/>
      <c r="AD93" s="664"/>
      <c r="AE93" s="664"/>
      <c r="AF93" s="664"/>
      <c r="AG93" s="664"/>
      <c r="AH93" s="664"/>
      <c r="AI93" s="244"/>
      <c r="AJ93" s="244"/>
      <c r="AK93" s="244"/>
      <c r="AL93" s="244"/>
      <c r="AM93" s="244"/>
      <c r="AN93" s="244"/>
      <c r="AO93" s="244"/>
      <c r="AP93" s="244"/>
      <c r="AQ93" s="244"/>
      <c r="AR93" s="244"/>
      <c r="AS93" s="244"/>
      <c r="AT93" s="244"/>
      <c r="AU93" s="244"/>
      <c r="AV93" s="244"/>
      <c r="AW93" s="244"/>
      <c r="AX93" s="244"/>
      <c r="AY93" s="244"/>
      <c r="AZ93" s="244"/>
      <c r="BA93" s="244"/>
      <c r="BB93" s="244"/>
      <c r="BC93" s="244"/>
      <c r="BD93" s="244"/>
      <c r="BE93" s="244"/>
      <c r="BF93" s="244"/>
      <c r="BG93" s="244"/>
      <c r="BH93" s="244"/>
      <c r="BI93" s="244"/>
      <c r="BJ93" s="244"/>
      <c r="BK93" s="244"/>
    </row>
    <row r="94">
      <c r="A94" s="244"/>
      <c r="B94" s="664"/>
      <c r="C94" s="664"/>
      <c r="D94" s="664"/>
      <c r="E94" s="664"/>
      <c r="F94" s="664"/>
      <c r="G94" s="664"/>
      <c r="H94" s="664"/>
      <c r="I94" s="664"/>
      <c r="J94" s="664"/>
      <c r="K94" s="664"/>
      <c r="L94" s="664"/>
      <c r="M94" s="664"/>
      <c r="N94" s="664"/>
      <c r="O94" s="664"/>
      <c r="P94" s="664"/>
      <c r="Q94" s="664"/>
      <c r="R94" s="664"/>
      <c r="S94" s="664"/>
      <c r="T94" s="664"/>
      <c r="U94" s="664"/>
      <c r="V94" s="664"/>
      <c r="W94" s="664"/>
      <c r="X94" s="664"/>
      <c r="Y94" s="664"/>
      <c r="Z94" s="664"/>
      <c r="AA94" s="664"/>
      <c r="AB94" s="664"/>
      <c r="AC94" s="664"/>
      <c r="AD94" s="664"/>
      <c r="AE94" s="664"/>
      <c r="AF94" s="664"/>
      <c r="AG94" s="664"/>
      <c r="AH94" s="664"/>
      <c r="AI94" s="244"/>
      <c r="AJ94" s="244"/>
      <c r="AK94" s="244"/>
      <c r="AL94" s="244"/>
      <c r="AM94" s="244"/>
      <c r="AN94" s="244"/>
      <c r="AO94" s="244"/>
      <c r="AP94" s="244"/>
      <c r="AQ94" s="244"/>
      <c r="AR94" s="244"/>
      <c r="AS94" s="244"/>
      <c r="AT94" s="244"/>
      <c r="AU94" s="244"/>
      <c r="AV94" s="244"/>
      <c r="AW94" s="244"/>
      <c r="AX94" s="244"/>
      <c r="AY94" s="244"/>
      <c r="AZ94" s="244"/>
      <c r="BA94" s="244"/>
      <c r="BB94" s="244"/>
      <c r="BC94" s="244"/>
      <c r="BD94" s="244"/>
      <c r="BE94" s="244"/>
      <c r="BF94" s="244"/>
      <c r="BG94" s="244"/>
      <c r="BH94" s="244"/>
      <c r="BI94" s="244"/>
      <c r="BJ94" s="244"/>
      <c r="BK94" s="244"/>
    </row>
    <row r="95">
      <c r="A95" s="244"/>
      <c r="B95" s="664"/>
      <c r="C95" s="664"/>
      <c r="D95" s="664"/>
      <c r="E95" s="664"/>
      <c r="F95" s="664"/>
      <c r="G95" s="664"/>
      <c r="H95" s="664"/>
      <c r="I95" s="664"/>
      <c r="J95" s="664"/>
      <c r="K95" s="664"/>
      <c r="L95" s="664"/>
      <c r="M95" s="664"/>
      <c r="N95" s="664"/>
      <c r="O95" s="664"/>
      <c r="P95" s="664"/>
      <c r="Q95" s="664"/>
      <c r="R95" s="664"/>
      <c r="S95" s="664"/>
      <c r="T95" s="664"/>
      <c r="U95" s="664"/>
      <c r="V95" s="664"/>
      <c r="W95" s="664"/>
      <c r="X95" s="664"/>
      <c r="Y95" s="664"/>
      <c r="Z95" s="664"/>
      <c r="AA95" s="664"/>
      <c r="AB95" s="664"/>
      <c r="AC95" s="664"/>
      <c r="AD95" s="664"/>
      <c r="AE95" s="664"/>
      <c r="AF95" s="664"/>
      <c r="AG95" s="664"/>
      <c r="AH95" s="664"/>
      <c r="AI95" s="244"/>
      <c r="AJ95" s="244"/>
      <c r="AK95" s="244"/>
      <c r="AL95" s="244"/>
      <c r="AM95" s="244"/>
      <c r="AN95" s="244"/>
      <c r="AO95" s="244"/>
      <c r="AP95" s="244"/>
      <c r="AQ95" s="244"/>
      <c r="AR95" s="244"/>
      <c r="AS95" s="244"/>
      <c r="AT95" s="244"/>
      <c r="AU95" s="244"/>
      <c r="AV95" s="244"/>
      <c r="AW95" s="244"/>
      <c r="AX95" s="244"/>
      <c r="AY95" s="244"/>
      <c r="AZ95" s="244"/>
      <c r="BA95" s="244"/>
      <c r="BB95" s="244"/>
      <c r="BC95" s="244"/>
      <c r="BD95" s="244"/>
      <c r="BE95" s="244"/>
      <c r="BF95" s="244"/>
      <c r="BG95" s="244"/>
      <c r="BH95" s="244"/>
      <c r="BI95" s="244"/>
      <c r="BJ95" s="244"/>
      <c r="BK95" s="244"/>
    </row>
    <row r="96">
      <c r="A96" s="244"/>
      <c r="B96" s="244"/>
      <c r="C96" s="244"/>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c r="BB96" s="244"/>
      <c r="BC96" s="244"/>
      <c r="BD96" s="244"/>
      <c r="BE96" s="244"/>
      <c r="BF96" s="244"/>
      <c r="BG96" s="244"/>
      <c r="BH96" s="244"/>
      <c r="BI96" s="244"/>
      <c r="BJ96" s="244"/>
      <c r="BK96" s="244"/>
    </row>
    <row r="97">
      <c r="A97" s="244"/>
      <c r="B97" s="244"/>
      <c r="C97" s="244"/>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c r="BB97" s="244"/>
      <c r="BC97" s="244"/>
      <c r="BD97" s="244"/>
      <c r="BE97" s="244"/>
      <c r="BF97" s="244"/>
      <c r="BG97" s="244"/>
      <c r="BH97" s="244"/>
      <c r="BI97" s="244"/>
      <c r="BJ97" s="244"/>
      <c r="BK97" s="244"/>
    </row>
    <row r="98">
      <c r="A98" s="244"/>
      <c r="B98" s="244"/>
      <c r="C98" s="244"/>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c r="BB98" s="244"/>
      <c r="BC98" s="244"/>
      <c r="BD98" s="244"/>
      <c r="BE98" s="244"/>
      <c r="BF98" s="244"/>
      <c r="BG98" s="244"/>
      <c r="BH98" s="244"/>
      <c r="BI98" s="244"/>
      <c r="BJ98" s="244"/>
      <c r="BK98" s="244"/>
    </row>
    <row r="99">
      <c r="A99" s="244"/>
      <c r="B99" s="244"/>
      <c r="C99" s="244"/>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c r="BB99" s="244"/>
      <c r="BC99" s="244"/>
      <c r="BD99" s="244"/>
      <c r="BE99" s="244"/>
      <c r="BF99" s="244"/>
      <c r="BG99" s="244"/>
      <c r="BH99" s="244"/>
      <c r="BI99" s="244"/>
      <c r="BJ99" s="244"/>
      <c r="BK99" s="244"/>
    </row>
    <row r="100">
      <c r="A100" s="244"/>
      <c r="B100" s="244"/>
      <c r="C100" s="244"/>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c r="BB100" s="244"/>
      <c r="BC100" s="244"/>
      <c r="BD100" s="244"/>
      <c r="BE100" s="244"/>
      <c r="BF100" s="244"/>
      <c r="BG100" s="244"/>
      <c r="BH100" s="244"/>
      <c r="BI100" s="244"/>
      <c r="BJ100" s="244"/>
      <c r="BK100" s="244"/>
    </row>
    <row r="101">
      <c r="A101" s="244"/>
      <c r="B101" s="244"/>
      <c r="C101" s="244"/>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c r="BB101" s="244"/>
      <c r="BC101" s="244"/>
      <c r="BD101" s="244"/>
      <c r="BE101" s="244"/>
      <c r="BF101" s="244"/>
      <c r="BG101" s="244"/>
      <c r="BH101" s="244"/>
      <c r="BI101" s="244"/>
      <c r="BJ101" s="244"/>
      <c r="BK101" s="244"/>
    </row>
    <row r="102">
      <c r="A102" s="244"/>
      <c r="B102" s="244"/>
      <c r="C102" s="244"/>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c r="BB102" s="244"/>
      <c r="BC102" s="244"/>
      <c r="BD102" s="244"/>
      <c r="BE102" s="244"/>
      <c r="BF102" s="244"/>
      <c r="BG102" s="244"/>
      <c r="BH102" s="244"/>
      <c r="BI102" s="244"/>
      <c r="BJ102" s="244"/>
      <c r="BK102" s="244"/>
    </row>
    <row r="103">
      <c r="A103" s="244"/>
      <c r="B103" s="244"/>
      <c r="C103" s="244"/>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c r="BB103" s="244"/>
      <c r="BC103" s="244"/>
      <c r="BD103" s="244"/>
      <c r="BE103" s="244"/>
      <c r="BF103" s="244"/>
      <c r="BG103" s="244"/>
      <c r="BH103" s="244"/>
      <c r="BI103" s="244"/>
      <c r="BJ103" s="244"/>
      <c r="BK103" s="244"/>
    </row>
    <row r="104">
      <c r="A104" s="244"/>
      <c r="B104" s="244"/>
      <c r="C104" s="244"/>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c r="AZ104" s="244"/>
      <c r="BA104" s="244"/>
      <c r="BB104" s="244"/>
      <c r="BC104" s="244"/>
      <c r="BD104" s="244"/>
      <c r="BE104" s="244"/>
      <c r="BF104" s="244"/>
      <c r="BG104" s="244"/>
      <c r="BH104" s="244"/>
      <c r="BI104" s="244"/>
      <c r="BJ104" s="244"/>
      <c r="BK104" s="244"/>
    </row>
    <row r="105">
      <c r="A105" s="244"/>
      <c r="B105" s="244"/>
      <c r="C105" s="244"/>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c r="AZ105" s="244"/>
      <c r="BA105" s="244"/>
      <c r="BB105" s="244"/>
      <c r="BC105" s="244"/>
      <c r="BD105" s="244"/>
      <c r="BE105" s="244"/>
      <c r="BF105" s="244"/>
      <c r="BG105" s="244"/>
      <c r="BH105" s="244"/>
      <c r="BI105" s="244"/>
      <c r="BJ105" s="244"/>
      <c r="BK105" s="244"/>
    </row>
    <row r="106">
      <c r="A106" s="244"/>
      <c r="B106" s="244"/>
      <c r="C106" s="244"/>
      <c r="D106" s="244"/>
      <c r="E106" s="244"/>
      <c r="F106" s="244"/>
      <c r="G106" s="244"/>
      <c r="H106" s="244"/>
      <c r="I106" s="244"/>
      <c r="J106" s="244"/>
      <c r="K106" s="244"/>
      <c r="L106" s="244"/>
      <c r="M106" s="244"/>
      <c r="N106" s="244"/>
      <c r="O106" s="244"/>
      <c r="P106" s="244"/>
      <c r="Q106" s="244"/>
      <c r="R106" s="244"/>
      <c r="S106" s="244"/>
      <c r="T106" s="244"/>
      <c r="U106" s="244"/>
      <c r="V106" s="244"/>
      <c r="W106" s="244"/>
      <c r="X106" s="244"/>
      <c r="Y106" s="244"/>
      <c r="Z106" s="244"/>
      <c r="AA106" s="244"/>
      <c r="AB106" s="244"/>
      <c r="AC106" s="244"/>
      <c r="AD106" s="244"/>
      <c r="AE106" s="244"/>
      <c r="AF106" s="244"/>
      <c r="AG106" s="244"/>
      <c r="AH106" s="244"/>
      <c r="AI106" s="244"/>
      <c r="AJ106" s="244"/>
      <c r="AK106" s="244"/>
      <c r="AL106" s="244"/>
      <c r="AM106" s="244"/>
      <c r="AN106" s="244"/>
      <c r="AO106" s="244"/>
      <c r="AP106" s="244"/>
      <c r="AQ106" s="244"/>
      <c r="AR106" s="244"/>
      <c r="AS106" s="244"/>
      <c r="AT106" s="244"/>
      <c r="AU106" s="244"/>
      <c r="AV106" s="244"/>
      <c r="AW106" s="244"/>
      <c r="AX106" s="244"/>
      <c r="AY106" s="244"/>
      <c r="AZ106" s="244"/>
      <c r="BA106" s="244"/>
      <c r="BB106" s="244"/>
      <c r="BC106" s="244"/>
      <c r="BD106" s="244"/>
      <c r="BE106" s="244"/>
      <c r="BF106" s="244"/>
      <c r="BG106" s="244"/>
      <c r="BH106" s="244"/>
      <c r="BI106" s="244"/>
      <c r="BJ106" s="244"/>
      <c r="BK106" s="244"/>
    </row>
    <row r="107">
      <c r="A107" s="244"/>
      <c r="B107" s="244"/>
      <c r="C107" s="244"/>
      <c r="D107" s="244"/>
      <c r="E107" s="244"/>
      <c r="F107" s="244"/>
      <c r="G107" s="244"/>
      <c r="H107" s="244"/>
      <c r="I107" s="244"/>
      <c r="J107" s="244"/>
      <c r="K107" s="244"/>
      <c r="L107" s="244"/>
      <c r="M107" s="244"/>
      <c r="N107" s="244"/>
      <c r="O107" s="244"/>
      <c r="P107" s="244"/>
      <c r="Q107" s="244"/>
      <c r="R107" s="244"/>
      <c r="S107" s="244"/>
      <c r="T107" s="244"/>
      <c r="U107" s="244"/>
      <c r="V107" s="244"/>
      <c r="W107" s="244"/>
      <c r="X107" s="244"/>
      <c r="Y107" s="244"/>
      <c r="Z107" s="244"/>
      <c r="AA107" s="244"/>
      <c r="AB107" s="244"/>
      <c r="AC107" s="244"/>
      <c r="AD107" s="244"/>
      <c r="AE107" s="244"/>
      <c r="AF107" s="244"/>
      <c r="AG107" s="244"/>
      <c r="AH107" s="244"/>
      <c r="AI107" s="244"/>
      <c r="AJ107" s="244"/>
      <c r="AK107" s="244"/>
      <c r="AL107" s="244"/>
      <c r="AM107" s="244"/>
      <c r="AN107" s="244"/>
      <c r="AO107" s="244"/>
      <c r="AP107" s="244"/>
      <c r="AQ107" s="244"/>
      <c r="AR107" s="244"/>
      <c r="AS107" s="244"/>
      <c r="AT107" s="244"/>
      <c r="AU107" s="244"/>
      <c r="AV107" s="244"/>
      <c r="AW107" s="244"/>
      <c r="AX107" s="244"/>
      <c r="AY107" s="244"/>
      <c r="AZ107" s="244"/>
      <c r="BA107" s="244"/>
      <c r="BB107" s="244"/>
      <c r="BC107" s="244"/>
      <c r="BD107" s="244"/>
      <c r="BE107" s="244"/>
      <c r="BF107" s="244"/>
      <c r="BG107" s="244"/>
      <c r="BH107" s="244"/>
      <c r="BI107" s="244"/>
      <c r="BJ107" s="244"/>
      <c r="BK107" s="244"/>
    </row>
    <row r="108">
      <c r="A108" s="244"/>
      <c r="B108" s="244"/>
      <c r="C108" s="244"/>
      <c r="D108" s="244"/>
      <c r="E108" s="244"/>
      <c r="F108" s="244"/>
      <c r="G108" s="244"/>
      <c r="H108" s="244"/>
      <c r="I108" s="244"/>
      <c r="J108" s="244"/>
      <c r="K108" s="244"/>
      <c r="L108" s="244"/>
      <c r="M108" s="244"/>
      <c r="N108" s="244"/>
      <c r="O108" s="244"/>
      <c r="P108" s="244"/>
      <c r="Q108" s="244"/>
      <c r="R108" s="244"/>
      <c r="S108" s="244"/>
      <c r="T108" s="244"/>
      <c r="U108" s="244"/>
      <c r="V108" s="244"/>
      <c r="W108" s="244"/>
      <c r="X108" s="244"/>
      <c r="Y108" s="244"/>
      <c r="Z108" s="244"/>
      <c r="AA108" s="244"/>
      <c r="AB108" s="244"/>
      <c r="AC108" s="244"/>
      <c r="AD108" s="244"/>
      <c r="AE108" s="244"/>
      <c r="AF108" s="244"/>
      <c r="AG108" s="244"/>
      <c r="AH108" s="244"/>
      <c r="AI108" s="244"/>
      <c r="AJ108" s="244"/>
      <c r="AK108" s="244"/>
      <c r="AL108" s="244"/>
      <c r="AM108" s="244"/>
      <c r="AN108" s="244"/>
      <c r="AO108" s="244"/>
      <c r="AP108" s="244"/>
      <c r="AQ108" s="244"/>
      <c r="AR108" s="244"/>
      <c r="AS108" s="244"/>
      <c r="AT108" s="244"/>
      <c r="AU108" s="244"/>
      <c r="AV108" s="244"/>
      <c r="AW108" s="244"/>
      <c r="AX108" s="244"/>
      <c r="AY108" s="244"/>
      <c r="AZ108" s="244"/>
      <c r="BA108" s="244"/>
      <c r="BB108" s="244"/>
      <c r="BC108" s="244"/>
      <c r="BD108" s="244"/>
      <c r="BE108" s="244"/>
      <c r="BF108" s="244"/>
      <c r="BG108" s="244"/>
      <c r="BH108" s="244"/>
      <c r="BI108" s="244"/>
      <c r="BJ108" s="244"/>
      <c r="BK108" s="244"/>
    </row>
    <row r="109">
      <c r="A109" s="244"/>
      <c r="B109" s="244"/>
      <c r="C109" s="244"/>
      <c r="D109" s="244"/>
      <c r="E109" s="244"/>
      <c r="F109" s="244"/>
      <c r="G109" s="244"/>
      <c r="H109" s="244"/>
      <c r="I109" s="244"/>
      <c r="J109" s="244"/>
      <c r="K109" s="244"/>
      <c r="L109" s="244"/>
      <c r="M109" s="244"/>
      <c r="N109" s="244"/>
      <c r="O109" s="244"/>
      <c r="P109" s="244"/>
      <c r="Q109" s="244"/>
      <c r="R109" s="244"/>
      <c r="S109" s="244"/>
      <c r="T109" s="244"/>
      <c r="U109" s="244"/>
      <c r="V109" s="244"/>
      <c r="W109" s="244"/>
      <c r="X109" s="244"/>
      <c r="Y109" s="244"/>
      <c r="Z109" s="244"/>
      <c r="AA109" s="244"/>
      <c r="AB109" s="244"/>
      <c r="AC109" s="244"/>
      <c r="AD109" s="244"/>
      <c r="AE109" s="244"/>
      <c r="AF109" s="244"/>
      <c r="AG109" s="244"/>
      <c r="AH109" s="244"/>
      <c r="AI109" s="244"/>
      <c r="AJ109" s="244"/>
      <c r="AK109" s="244"/>
      <c r="AL109" s="244"/>
      <c r="AM109" s="244"/>
      <c r="AN109" s="244"/>
      <c r="AO109" s="244"/>
      <c r="AP109" s="244"/>
      <c r="AQ109" s="244"/>
      <c r="AR109" s="244"/>
      <c r="AS109" s="244"/>
      <c r="AT109" s="244"/>
      <c r="AU109" s="244"/>
      <c r="AV109" s="244"/>
      <c r="AW109" s="244"/>
      <c r="AX109" s="244"/>
      <c r="AY109" s="244"/>
      <c r="AZ109" s="244"/>
      <c r="BA109" s="244"/>
      <c r="BB109" s="244"/>
      <c r="BC109" s="244"/>
      <c r="BD109" s="244"/>
      <c r="BE109" s="244"/>
      <c r="BF109" s="244"/>
      <c r="BG109" s="244"/>
      <c r="BH109" s="244"/>
      <c r="BI109" s="244"/>
      <c r="BJ109" s="244"/>
      <c r="BK109" s="244"/>
    </row>
    <row r="110">
      <c r="A110" s="244"/>
      <c r="B110" s="244"/>
      <c r="C110" s="244"/>
      <c r="D110" s="244"/>
      <c r="E110" s="244"/>
      <c r="F110" s="244"/>
      <c r="G110" s="244"/>
      <c r="H110" s="244"/>
      <c r="I110" s="244"/>
      <c r="J110" s="244"/>
      <c r="K110" s="244"/>
      <c r="L110" s="244"/>
      <c r="M110" s="244"/>
      <c r="N110" s="244"/>
      <c r="O110" s="244"/>
      <c r="P110" s="244"/>
      <c r="Q110" s="244"/>
      <c r="R110" s="244"/>
      <c r="S110" s="244"/>
      <c r="T110" s="244"/>
      <c r="U110" s="244"/>
      <c r="V110" s="244"/>
      <c r="W110" s="244"/>
      <c r="X110" s="244"/>
      <c r="Y110" s="244"/>
      <c r="Z110" s="244"/>
      <c r="AA110" s="244"/>
      <c r="AB110" s="244"/>
      <c r="AC110" s="244"/>
      <c r="AD110" s="244"/>
      <c r="AE110" s="244"/>
      <c r="AF110" s="244"/>
      <c r="AG110" s="244"/>
      <c r="AH110" s="244"/>
      <c r="AI110" s="244"/>
      <c r="AJ110" s="244"/>
      <c r="AK110" s="244"/>
      <c r="AL110" s="244"/>
      <c r="AM110" s="244"/>
      <c r="AN110" s="244"/>
      <c r="AO110" s="244"/>
      <c r="AP110" s="244"/>
      <c r="AQ110" s="244"/>
      <c r="AR110" s="244"/>
      <c r="AS110" s="244"/>
      <c r="AT110" s="244"/>
      <c r="AU110" s="244"/>
      <c r="AV110" s="244"/>
      <c r="AW110" s="244"/>
      <c r="AX110" s="244"/>
      <c r="AY110" s="244"/>
      <c r="AZ110" s="244"/>
      <c r="BA110" s="244"/>
      <c r="BB110" s="244"/>
      <c r="BC110" s="244"/>
      <c r="BD110" s="244"/>
      <c r="BE110" s="244"/>
      <c r="BF110" s="244"/>
      <c r="BG110" s="244"/>
      <c r="BH110" s="244"/>
      <c r="BI110" s="244"/>
      <c r="BJ110" s="244"/>
      <c r="BK110" s="244"/>
    </row>
    <row r="111">
      <c r="A111" s="244"/>
      <c r="B111" s="244"/>
      <c r="C111" s="244"/>
      <c r="D111" s="244"/>
      <c r="E111" s="244"/>
      <c r="F111" s="244"/>
      <c r="G111" s="244"/>
      <c r="H111" s="244"/>
      <c r="I111" s="244"/>
      <c r="J111" s="244"/>
      <c r="K111" s="244"/>
      <c r="L111" s="244"/>
      <c r="M111" s="244"/>
      <c r="N111" s="244"/>
      <c r="O111" s="244"/>
      <c r="P111" s="244"/>
      <c r="Q111" s="244"/>
      <c r="R111" s="244"/>
      <c r="S111" s="244"/>
      <c r="T111" s="244"/>
      <c r="U111" s="244"/>
      <c r="V111" s="244"/>
      <c r="W111" s="244"/>
      <c r="X111" s="244"/>
      <c r="Y111" s="244"/>
      <c r="Z111" s="244"/>
      <c r="AA111" s="244"/>
      <c r="AB111" s="244"/>
      <c r="AC111" s="244"/>
      <c r="AD111" s="244"/>
      <c r="AE111" s="244"/>
      <c r="AF111" s="244"/>
      <c r="AG111" s="244"/>
      <c r="AH111" s="244"/>
      <c r="AI111" s="244"/>
      <c r="AJ111" s="244"/>
      <c r="AK111" s="244"/>
      <c r="AL111" s="244"/>
      <c r="AM111" s="244"/>
      <c r="AN111" s="244"/>
      <c r="AO111" s="244"/>
      <c r="AP111" s="244"/>
      <c r="AQ111" s="244"/>
      <c r="AR111" s="244"/>
      <c r="AS111" s="244"/>
      <c r="AT111" s="244"/>
      <c r="AU111" s="244"/>
      <c r="AV111" s="244"/>
      <c r="AW111" s="244"/>
      <c r="AX111" s="244"/>
      <c r="AY111" s="244"/>
      <c r="AZ111" s="244"/>
      <c r="BA111" s="244"/>
      <c r="BB111" s="244"/>
      <c r="BC111" s="244"/>
      <c r="BD111" s="244"/>
      <c r="BE111" s="244"/>
      <c r="BF111" s="244"/>
      <c r="BG111" s="244"/>
      <c r="BH111" s="244"/>
      <c r="BI111" s="244"/>
      <c r="BJ111" s="244"/>
      <c r="BK111" s="244"/>
    </row>
    <row r="112">
      <c r="A112" s="244"/>
      <c r="B112" s="244"/>
      <c r="C112" s="244"/>
      <c r="D112" s="244"/>
      <c r="E112" s="244"/>
      <c r="F112" s="244"/>
      <c r="G112" s="244"/>
      <c r="H112" s="244"/>
      <c r="I112" s="244"/>
      <c r="J112" s="244"/>
      <c r="K112" s="244"/>
      <c r="L112" s="244"/>
      <c r="M112" s="244"/>
      <c r="N112" s="244"/>
      <c r="O112" s="244"/>
      <c r="P112" s="244"/>
      <c r="Q112" s="244"/>
      <c r="R112" s="244"/>
      <c r="S112" s="244"/>
      <c r="T112" s="244"/>
      <c r="U112" s="244"/>
      <c r="V112" s="244"/>
      <c r="W112" s="244"/>
      <c r="X112" s="244"/>
      <c r="Y112" s="244"/>
      <c r="Z112" s="244"/>
      <c r="AA112" s="244"/>
      <c r="AB112" s="244"/>
      <c r="AC112" s="244"/>
      <c r="AD112" s="244"/>
      <c r="AE112" s="244"/>
      <c r="AF112" s="244"/>
      <c r="AG112" s="244"/>
      <c r="AH112" s="244"/>
      <c r="AI112" s="244"/>
      <c r="AJ112" s="244"/>
      <c r="AK112" s="244"/>
      <c r="AL112" s="244"/>
      <c r="AM112" s="244"/>
      <c r="AN112" s="244"/>
      <c r="AO112" s="244"/>
      <c r="AP112" s="244"/>
      <c r="AQ112" s="244"/>
      <c r="AR112" s="244"/>
      <c r="AS112" s="244"/>
      <c r="AT112" s="244"/>
      <c r="AU112" s="244"/>
      <c r="AV112" s="244"/>
      <c r="AW112" s="244"/>
      <c r="AX112" s="244"/>
      <c r="AY112" s="244"/>
      <c r="AZ112" s="244"/>
      <c r="BA112" s="244"/>
      <c r="BB112" s="244"/>
      <c r="BC112" s="244"/>
      <c r="BD112" s="244"/>
      <c r="BE112" s="244"/>
      <c r="BF112" s="244"/>
      <c r="BG112" s="244"/>
      <c r="BH112" s="244"/>
      <c r="BI112" s="244"/>
      <c r="BJ112" s="244"/>
      <c r="BK112" s="244"/>
    </row>
    <row r="113">
      <c r="A113" s="244"/>
      <c r="B113" s="244"/>
      <c r="C113" s="244"/>
      <c r="D113" s="244"/>
      <c r="E113" s="244"/>
      <c r="F113" s="244"/>
      <c r="G113" s="244"/>
      <c r="H113" s="244"/>
      <c r="I113" s="244"/>
      <c r="J113" s="244"/>
      <c r="K113" s="244"/>
      <c r="L113" s="244"/>
      <c r="M113" s="244"/>
      <c r="N113" s="244"/>
      <c r="O113" s="244"/>
      <c r="P113" s="244"/>
      <c r="Q113" s="244"/>
      <c r="R113" s="244"/>
      <c r="S113" s="244"/>
      <c r="T113" s="244"/>
      <c r="U113" s="244"/>
      <c r="V113" s="244"/>
      <c r="W113" s="244"/>
      <c r="X113" s="244"/>
      <c r="Y113" s="244"/>
      <c r="Z113" s="244"/>
      <c r="AA113" s="244"/>
      <c r="AB113" s="244"/>
      <c r="AC113" s="244"/>
      <c r="AD113" s="244"/>
      <c r="AE113" s="244"/>
      <c r="AF113" s="244"/>
      <c r="AG113" s="244"/>
      <c r="AH113" s="244"/>
      <c r="AI113" s="244"/>
      <c r="AJ113" s="244"/>
      <c r="AK113" s="244"/>
      <c r="AL113" s="244"/>
      <c r="AM113" s="244"/>
      <c r="AN113" s="244"/>
      <c r="AO113" s="244"/>
      <c r="AP113" s="244"/>
      <c r="AQ113" s="244"/>
      <c r="AR113" s="244"/>
      <c r="AS113" s="244"/>
      <c r="AT113" s="244"/>
      <c r="AU113" s="244"/>
      <c r="AV113" s="244"/>
      <c r="AW113" s="244"/>
      <c r="AX113" s="244"/>
      <c r="AY113" s="244"/>
      <c r="AZ113" s="244"/>
      <c r="BA113" s="244"/>
      <c r="BB113" s="244"/>
      <c r="BC113" s="244"/>
      <c r="BD113" s="244"/>
      <c r="BE113" s="244"/>
      <c r="BF113" s="244"/>
      <c r="BG113" s="244"/>
      <c r="BH113" s="244"/>
      <c r="BI113" s="244"/>
      <c r="BJ113" s="244"/>
      <c r="BK113" s="244"/>
    </row>
  </sheetData>
  <mergeCells count="3">
    <mergeCell ref="X22:AD22"/>
    <mergeCell ref="R4:AG4"/>
    <mergeCell ref="B58:AH58"/>
  </mergeCells>
  <phoneticPr fontId="0" type="noConversion"/>
  <printOptions horizontalCentered="1" verticalCentered="1"/>
  <pageMargins left="0.25" right="0.25" top="0.25" bottom="0.25" header="0.19" footer="0.28"/>
  <pageSetup scale="55" orientation="landscape" r:id="rId1"/>
  <headerFooter alignWithMargins="0">
    <oddHeader/>
    <oddFooter/>
  </headerFooter>
  <drawing r:id="rId57"/>
</worksheet>
</file>

<file path=xl/worksheets/sheet10.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BJ113"/>
  <sheetViews>
    <sheetView showGridLines="0" zoomScale="65" workbookViewId="0"/>
  </sheetViews>
  <sheetFormatPr defaultRowHeight="12.75"/>
  <cols>
    <col min="1" max="1" width="1" customWidth="1"/>
    <col min="2" max="2" width="21.7109375" customWidth="1"/>
    <col min="3" max="30" width="8.28515625" customWidth="1"/>
    <col min="31" max="31" width="1.7109375" customWidth="1"/>
    <col min="32" max="34" width="8.28515625" customWidth="1"/>
    <col min="35" max="35" width="2" customWidth="1"/>
    <col min="36" max="39" width="9.28515625" bestFit="1" customWidth="1"/>
  </cols>
  <sheetData>
    <row r="1" ht="36" customHeight="1">
      <c r="A1" s="4"/>
      <c r="B1" s="39" t="s">
        <v>129</v>
      </c>
      <c r="AJ1" s="244"/>
      <c r="AK1" s="244"/>
      <c r="AL1" s="244"/>
      <c r="AM1" s="244"/>
      <c r="AN1" s="244"/>
      <c r="AO1" s="244"/>
      <c r="AP1" s="244"/>
      <c r="AQ1" s="244"/>
      <c r="AR1" s="244"/>
      <c r="AS1" s="244"/>
      <c r="AT1" s="244"/>
      <c r="AU1" s="244"/>
      <c r="AV1" s="244"/>
      <c r="AW1" s="244"/>
      <c r="AX1" s="244"/>
      <c r="AY1" s="244"/>
      <c r="AZ1" s="244"/>
      <c r="BA1" s="244"/>
      <c r="BB1" s="244"/>
      <c r="BC1" s="244"/>
      <c r="BD1" s="244"/>
      <c r="BE1" s="244"/>
      <c r="BF1" s="244"/>
      <c r="BG1" s="244"/>
      <c r="BH1" s="244"/>
      <c r="BI1" s="244"/>
      <c r="BJ1" s="244"/>
    </row>
    <row r="2" ht="17.1" customHeight="1">
      <c r="A2" s="5"/>
      <c r="B2" s="10" t="s">
        <v>141</v>
      </c>
      <c r="AG2" s="216"/>
      <c r="AJ2" s="244"/>
      <c r="AK2" s="244"/>
      <c r="AL2" s="244"/>
      <c r="AM2" s="244"/>
      <c r="AN2" s="244"/>
      <c r="AO2" s="244"/>
      <c r="AP2" s="244"/>
      <c r="AQ2" s="244"/>
      <c r="AR2" s="244"/>
      <c r="AS2" s="244"/>
      <c r="AT2" s="244"/>
      <c r="AU2" s="244"/>
      <c r="AV2" s="244"/>
      <c r="AW2" s="244"/>
      <c r="AX2" s="244"/>
      <c r="AY2" s="244"/>
      <c r="AZ2" s="244"/>
      <c r="BA2" s="244"/>
      <c r="BB2" s="244"/>
      <c r="BC2" s="244"/>
      <c r="BD2" s="244"/>
      <c r="BE2" s="244"/>
      <c r="BF2" s="244"/>
      <c r="BG2" s="244"/>
      <c r="BH2" s="244"/>
      <c r="BI2" s="244"/>
      <c r="BJ2" s="244"/>
    </row>
    <row r="3" ht="17.1" customHeight="1">
      <c r="A3" s="5"/>
      <c r="B3" s="10" t="s">
        <v>142</v>
      </c>
      <c r="AJ3" s="244"/>
      <c r="AK3" s="244"/>
      <c r="AL3" s="244"/>
      <c r="AM3" s="244"/>
      <c r="AN3" s="244"/>
      <c r="AO3" s="244"/>
      <c r="AP3" s="244"/>
      <c r="AQ3" s="244"/>
      <c r="AR3" s="244"/>
      <c r="AS3" s="244"/>
      <c r="AT3" s="244"/>
      <c r="AU3" s="244"/>
      <c r="AV3" s="244"/>
      <c r="AW3" s="244"/>
      <c r="AX3" s="244"/>
      <c r="AY3" s="244"/>
      <c r="AZ3" s="244"/>
      <c r="BA3" s="244"/>
      <c r="BB3" s="244"/>
      <c r="BC3" s="244"/>
      <c r="BD3" s="244"/>
      <c r="BE3" s="244"/>
      <c r="BF3" s="244"/>
      <c r="BG3" s="244"/>
      <c r="BH3" s="244"/>
      <c r="BI3" s="244"/>
      <c r="BJ3" s="244"/>
    </row>
    <row r="4" ht="17.1" customHeight="1">
      <c r="A4" s="5"/>
      <c r="B4" s="4" t="s">
        <v>143</v>
      </c>
      <c r="R4" s="618" t="s">
        <v>161</v>
      </c>
      <c r="S4" s="618"/>
      <c r="T4" s="618"/>
      <c r="U4" s="618"/>
      <c r="V4" s="618"/>
      <c r="W4" s="618"/>
      <c r="X4" s="618"/>
      <c r="Y4" s="618"/>
      <c r="Z4" s="618"/>
      <c r="AA4" s="618"/>
      <c r="AB4" s="618"/>
      <c r="AC4" s="618"/>
      <c r="AD4" s="618"/>
      <c r="AE4" s="618"/>
      <c r="AF4" s="618"/>
      <c r="AG4" s="618"/>
      <c r="AJ4" s="244"/>
      <c r="AK4" s="244"/>
      <c r="AL4" s="244"/>
      <c r="AM4" s="244"/>
      <c r="AN4" s="244"/>
      <c r="AO4" s="244"/>
      <c r="AP4" s="244"/>
      <c r="AQ4" s="244"/>
      <c r="AR4" s="244"/>
      <c r="AS4" s="244"/>
      <c r="AT4" s="244"/>
      <c r="AU4" s="244"/>
      <c r="AV4" s="244"/>
      <c r="AW4" s="244"/>
      <c r="AX4" s="244"/>
      <c r="AY4" s="244"/>
      <c r="AZ4" s="244"/>
      <c r="BA4" s="244"/>
      <c r="BB4" s="244"/>
      <c r="BC4" s="244"/>
      <c r="BD4" s="244"/>
      <c r="BE4" s="244"/>
      <c r="BF4" s="244"/>
      <c r="BG4" s="244"/>
      <c r="BH4" s="244"/>
      <c r="BI4" s="244"/>
      <c r="BJ4" s="244"/>
    </row>
    <row r="5" ht="23.25">
      <c r="A5" s="5"/>
      <c r="AJ5" s="244"/>
      <c r="AK5" s="244"/>
      <c r="AL5" s="244"/>
      <c r="AM5" s="244"/>
      <c r="AN5" s="244"/>
      <c r="AO5" s="244"/>
      <c r="AP5" s="244"/>
      <c r="AQ5" s="244"/>
      <c r="AR5" s="244"/>
      <c r="AS5" s="244"/>
      <c r="AT5" s="244"/>
      <c r="AU5" s="244"/>
      <c r="AV5" s="244"/>
      <c r="AW5" s="244"/>
      <c r="AX5" s="244"/>
      <c r="AY5" s="244"/>
      <c r="AZ5" s="244"/>
      <c r="BA5" s="244"/>
      <c r="BB5" s="244"/>
      <c r="BC5" s="244"/>
      <c r="BD5" s="244"/>
      <c r="BE5" s="244"/>
      <c r="BF5" s="244"/>
      <c r="BG5" s="244"/>
      <c r="BH5" s="244"/>
      <c r="BI5" s="244"/>
      <c r="BJ5" s="244"/>
    </row>
    <row r="6" ht="23.25">
      <c r="A6" s="5"/>
      <c r="AJ6" s="244"/>
      <c r="AK6" s="244"/>
      <c r="AL6" s="244"/>
      <c r="AM6" s="244"/>
      <c r="AN6" s="244"/>
      <c r="AO6" s="244"/>
      <c r="AP6" s="244"/>
      <c r="AQ6" s="244"/>
      <c r="AR6" s="244"/>
      <c r="AS6" s="244"/>
      <c r="AT6" s="244"/>
      <c r="AU6" s="244"/>
      <c r="AV6" s="244"/>
      <c r="AW6" s="244"/>
      <c r="AX6" s="244"/>
      <c r="AY6" s="244"/>
      <c r="AZ6" s="244"/>
      <c r="BA6" s="244"/>
      <c r="BB6" s="244"/>
      <c r="BC6" s="244"/>
      <c r="BD6" s="244"/>
      <c r="BE6" s="244"/>
      <c r="BF6" s="244"/>
      <c r="BG6" s="244"/>
      <c r="BH6" s="244"/>
      <c r="BI6" s="244"/>
      <c r="BJ6" s="244"/>
    </row>
    <row r="7" ht="23.25">
      <c r="A7" s="5"/>
      <c r="Y7" s="26"/>
      <c r="Z7" s="26"/>
      <c r="AA7" s="26"/>
      <c r="AB7" s="26"/>
      <c r="AC7" s="26"/>
      <c r="AJ7" s="244"/>
      <c r="AK7" s="244"/>
      <c r="AL7" s="244"/>
      <c r="AM7" s="244"/>
      <c r="AN7" s="244"/>
      <c r="AO7" s="244"/>
      <c r="AP7" s="244"/>
      <c r="AQ7" s="244"/>
      <c r="AR7" s="244"/>
      <c r="AS7" s="244"/>
      <c r="AT7" s="244"/>
      <c r="AU7" s="244"/>
      <c r="AV7" s="244"/>
      <c r="AW7" s="244"/>
      <c r="AX7" s="244"/>
      <c r="AY7" s="244"/>
      <c r="AZ7" s="244"/>
      <c r="BA7" s="244"/>
      <c r="BB7" s="244"/>
      <c r="BC7" s="244"/>
      <c r="BD7" s="244"/>
      <c r="BE7" s="244"/>
      <c r="BF7" s="244"/>
      <c r="BG7" s="244"/>
      <c r="BH7" s="244"/>
      <c r="BI7" s="244"/>
      <c r="BJ7" s="244"/>
    </row>
    <row r="8" ht="23.25">
      <c r="A8" s="5"/>
      <c r="AJ8" s="244"/>
      <c r="AK8" s="244"/>
      <c r="AL8" s="244"/>
      <c r="AM8" s="244"/>
      <c r="AN8" s="244"/>
      <c r="AO8" s="244"/>
      <c r="AP8" s="244"/>
      <c r="AQ8" s="244"/>
      <c r="AR8" s="244"/>
      <c r="AS8" s="244"/>
      <c r="AT8" s="244"/>
      <c r="AU8" s="244"/>
      <c r="AV8" s="244"/>
      <c r="AW8" s="244"/>
      <c r="AX8" s="244"/>
      <c r="AY8" s="244"/>
      <c r="AZ8" s="244"/>
      <c r="BA8" s="244"/>
      <c r="BB8" s="244"/>
      <c r="BC8" s="244"/>
      <c r="BD8" s="244"/>
      <c r="BE8" s="244"/>
      <c r="BF8" s="244"/>
      <c r="BG8" s="244"/>
      <c r="BH8" s="244"/>
      <c r="BI8" s="244"/>
      <c r="BJ8" s="244"/>
    </row>
    <row r="9" ht="23.25">
      <c r="A9" s="5"/>
      <c r="AJ9" s="244"/>
      <c r="AK9" s="244"/>
      <c r="AL9" s="244"/>
      <c r="AM9" s="244"/>
      <c r="AN9" s="244"/>
      <c r="AO9" s="244"/>
      <c r="AP9" s="244"/>
      <c r="AQ9" s="244"/>
      <c r="AR9" s="244"/>
      <c r="AS9" s="244"/>
      <c r="AT9" s="244"/>
      <c r="AU9" s="244"/>
      <c r="AV9" s="244"/>
      <c r="AW9" s="244"/>
      <c r="AX9" s="244"/>
      <c r="AY9" s="244"/>
      <c r="AZ9" s="244"/>
      <c r="BA9" s="244"/>
      <c r="BB9" s="244"/>
      <c r="BC9" s="244"/>
      <c r="BD9" s="244"/>
      <c r="BE9" s="244"/>
      <c r="BF9" s="244"/>
      <c r="BG9" s="244"/>
      <c r="BH9" s="244"/>
      <c r="BI9" s="244"/>
      <c r="BJ9" s="244"/>
    </row>
    <row r="10" ht="23.25">
      <c r="A10" s="5"/>
      <c r="AJ10" s="244"/>
      <c r="AK10" s="244"/>
      <c r="AL10" s="244"/>
      <c r="AM10" s="244"/>
      <c r="AN10" s="244"/>
      <c r="AO10" s="244"/>
      <c r="AP10" s="244"/>
      <c r="AQ10" s="244"/>
      <c r="AR10" s="244"/>
      <c r="AS10" s="244"/>
      <c r="AT10" s="244"/>
      <c r="AU10" s="244"/>
      <c r="AV10" s="244"/>
      <c r="AW10" s="244"/>
      <c r="AX10" s="244"/>
      <c r="AY10" s="244"/>
      <c r="AZ10" s="244"/>
      <c r="BA10" s="244"/>
      <c r="BB10" s="244"/>
      <c r="BC10" s="244"/>
      <c r="BD10" s="244"/>
      <c r="BE10" s="244"/>
      <c r="BF10" s="244"/>
      <c r="BG10" s="244"/>
      <c r="BH10" s="244"/>
      <c r="BI10" s="244"/>
      <c r="BJ10" s="244"/>
    </row>
    <row r="11" ht="23.25">
      <c r="A11" s="5"/>
      <c r="AJ11" s="244"/>
      <c r="AK11" s="244"/>
      <c r="AL11" s="244"/>
      <c r="AM11" s="244"/>
      <c r="AN11" s="244"/>
      <c r="AO11" s="244"/>
      <c r="AP11" s="244"/>
      <c r="AQ11" s="244"/>
      <c r="AR11" s="244"/>
      <c r="AS11" s="244"/>
      <c r="AT11" s="244"/>
      <c r="AU11" s="244"/>
      <c r="AV11" s="244"/>
      <c r="AW11" s="244"/>
      <c r="AX11" s="244"/>
      <c r="AY11" s="244"/>
      <c r="AZ11" s="244"/>
      <c r="BA11" s="244"/>
      <c r="BB11" s="244"/>
      <c r="BC11" s="244"/>
      <c r="BD11" s="244"/>
      <c r="BE11" s="244"/>
      <c r="BF11" s="244"/>
      <c r="BG11" s="244"/>
      <c r="BH11" s="244"/>
      <c r="BI11" s="244"/>
      <c r="BJ11" s="244"/>
    </row>
    <row r="12" ht="23.25">
      <c r="A12" s="5"/>
      <c r="AJ12" s="244"/>
      <c r="AK12" s="244"/>
      <c r="AL12" s="244"/>
      <c r="AM12" s="244"/>
      <c r="AN12" s="244"/>
      <c r="AO12" s="244"/>
      <c r="AP12" s="244"/>
      <c r="AQ12" s="244"/>
      <c r="AR12" s="244"/>
      <c r="AS12" s="244"/>
      <c r="AT12" s="244"/>
      <c r="AU12" s="244"/>
      <c r="AV12" s="244"/>
      <c r="AW12" s="244"/>
      <c r="AX12" s="244"/>
      <c r="AY12" s="244"/>
      <c r="AZ12" s="244"/>
      <c r="BA12" s="244"/>
      <c r="BB12" s="244"/>
      <c r="BC12" s="244"/>
      <c r="BD12" s="244"/>
      <c r="BE12" s="244"/>
      <c r="BF12" s="244"/>
      <c r="BG12" s="244"/>
      <c r="BH12" s="244"/>
      <c r="BI12" s="244"/>
      <c r="BJ12" s="244"/>
    </row>
    <row r="13" ht="23.25">
      <c r="A13" s="5"/>
      <c r="AJ13" s="244"/>
      <c r="AK13" s="244"/>
      <c r="AL13" s="244"/>
      <c r="AM13" s="244"/>
      <c r="AN13" s="244"/>
      <c r="AO13" s="244"/>
      <c r="AP13" s="244"/>
      <c r="AQ13" s="244"/>
      <c r="AR13" s="244"/>
      <c r="AS13" s="244"/>
      <c r="AT13" s="244"/>
      <c r="AU13" s="244"/>
      <c r="AV13" s="244"/>
      <c r="AW13" s="244"/>
      <c r="AX13" s="244"/>
      <c r="AY13" s="244"/>
      <c r="AZ13" s="244"/>
      <c r="BA13" s="244"/>
      <c r="BB13" s="244"/>
      <c r="BC13" s="244"/>
      <c r="BD13" s="244"/>
      <c r="BE13" s="244"/>
      <c r="BF13" s="244"/>
      <c r="BG13" s="244"/>
      <c r="BH13" s="244"/>
      <c r="BI13" s="244"/>
      <c r="BJ13" s="244"/>
    </row>
    <row r="14" ht="23.25">
      <c r="A14" s="5"/>
      <c r="AJ14" s="244"/>
      <c r="AK14" s="244"/>
      <c r="AL14" s="244"/>
      <c r="AM14" s="244"/>
      <c r="AN14" s="244"/>
      <c r="AO14" s="244"/>
      <c r="AP14" s="244"/>
      <c r="AQ14" s="244"/>
      <c r="AR14" s="244"/>
      <c r="AS14" s="244"/>
      <c r="AT14" s="244"/>
      <c r="AU14" s="244"/>
      <c r="AV14" s="244"/>
      <c r="AW14" s="244"/>
      <c r="AX14" s="244"/>
      <c r="AY14" s="244"/>
      <c r="AZ14" s="244"/>
      <c r="BA14" s="244"/>
      <c r="BB14" s="244"/>
      <c r="BC14" s="244"/>
      <c r="BD14" s="244"/>
      <c r="BE14" s="244"/>
      <c r="BF14" s="244"/>
      <c r="BG14" s="244"/>
      <c r="BH14" s="244"/>
      <c r="BI14" s="244"/>
      <c r="BJ14" s="244"/>
    </row>
    <row r="15" ht="23.25">
      <c r="A15" s="5"/>
      <c r="AJ15" s="244"/>
      <c r="AK15" s="244"/>
      <c r="AL15" s="244"/>
      <c r="AM15" s="244"/>
      <c r="AN15" s="244"/>
      <c r="AO15" s="244"/>
      <c r="AP15" s="244"/>
      <c r="AQ15" s="244"/>
      <c r="AR15" s="244"/>
      <c r="AS15" s="244"/>
      <c r="AT15" s="244"/>
      <c r="AU15" s="244"/>
      <c r="AV15" s="244"/>
      <c r="AW15" s="244"/>
      <c r="AX15" s="244"/>
      <c r="AY15" s="244"/>
      <c r="AZ15" s="244"/>
      <c r="BA15" s="244"/>
      <c r="BB15" s="244"/>
      <c r="BC15" s="244"/>
      <c r="BD15" s="244"/>
      <c r="BE15" s="244"/>
      <c r="BF15" s="244"/>
      <c r="BG15" s="244"/>
      <c r="BH15" s="244"/>
      <c r="BI15" s="244"/>
      <c r="BJ15" s="244"/>
    </row>
    <row r="16" ht="23.25">
      <c r="A16" s="5"/>
      <c r="AJ16" s="244"/>
      <c r="AK16" s="244"/>
      <c r="AL16" s="244"/>
      <c r="AM16" s="244"/>
      <c r="AN16" s="244"/>
      <c r="AO16" s="244"/>
      <c r="AP16" s="244"/>
      <c r="AQ16" s="244"/>
      <c r="AR16" s="244"/>
      <c r="AS16" s="244"/>
      <c r="AT16" s="244"/>
      <c r="AU16" s="244"/>
      <c r="AV16" s="244"/>
      <c r="AW16" s="244"/>
      <c r="AX16" s="244"/>
      <c r="AY16" s="244"/>
      <c r="AZ16" s="244"/>
      <c r="BA16" s="244"/>
      <c r="BB16" s="244"/>
      <c r="BC16" s="244"/>
      <c r="BD16" s="244"/>
      <c r="BE16" s="244"/>
      <c r="BF16" s="244"/>
      <c r="BG16" s="244"/>
      <c r="BH16" s="244"/>
      <c r="BI16" s="244"/>
      <c r="BJ16" s="244"/>
    </row>
    <row r="17" ht="23.25">
      <c r="A17" s="5"/>
      <c r="AJ17" s="244"/>
      <c r="AK17" s="244"/>
      <c r="AL17" s="244"/>
      <c r="AM17" s="244"/>
      <c r="AN17" s="244"/>
      <c r="AO17" s="244"/>
      <c r="AP17" s="244"/>
      <c r="AQ17" s="244"/>
      <c r="AR17" s="244"/>
      <c r="AS17" s="244"/>
      <c r="AT17" s="244"/>
      <c r="AU17" s="244"/>
      <c r="AV17" s="244"/>
      <c r="AW17" s="244"/>
      <c r="AX17" s="244"/>
      <c r="AY17" s="244"/>
      <c r="AZ17" s="244"/>
      <c r="BA17" s="244"/>
      <c r="BB17" s="244"/>
      <c r="BC17" s="244"/>
      <c r="BD17" s="244"/>
      <c r="BE17" s="244"/>
      <c r="BF17" s="244"/>
      <c r="BG17" s="244"/>
      <c r="BH17" s="244"/>
      <c r="BI17" s="244"/>
      <c r="BJ17" s="244"/>
    </row>
    <row r="18" ht="23.25">
      <c r="A18" s="5"/>
      <c r="AJ18" s="244"/>
      <c r="AK18" s="244"/>
      <c r="AL18" s="244"/>
      <c r="AM18" s="244"/>
      <c r="AN18" s="244"/>
      <c r="AO18" s="244"/>
      <c r="AP18" s="244"/>
      <c r="AQ18" s="244"/>
      <c r="AR18" s="244"/>
      <c r="AS18" s="244"/>
      <c r="AT18" s="244"/>
      <c r="AU18" s="244"/>
      <c r="AV18" s="244"/>
      <c r="AW18" s="244"/>
      <c r="AX18" s="244"/>
      <c r="AY18" s="244"/>
      <c r="AZ18" s="244"/>
      <c r="BA18" s="244"/>
      <c r="BB18" s="244"/>
      <c r="BC18" s="244"/>
      <c r="BD18" s="244"/>
      <c r="BE18" s="244"/>
      <c r="BF18" s="244"/>
      <c r="BG18" s="244"/>
      <c r="BH18" s="244"/>
      <c r="BI18" s="244"/>
      <c r="BJ18" s="244"/>
    </row>
    <row r="19" ht="23.25">
      <c r="A19" s="5"/>
      <c r="AJ19" s="244"/>
      <c r="AK19" s="244"/>
      <c r="AL19" s="244"/>
      <c r="AM19" s="244"/>
      <c r="AN19" s="244"/>
      <c r="AO19" s="244"/>
      <c r="AP19" s="244"/>
      <c r="AQ19" s="244"/>
      <c r="AR19" s="244"/>
      <c r="AS19" s="244"/>
      <c r="AT19" s="244"/>
      <c r="AU19" s="244"/>
      <c r="AV19" s="244"/>
      <c r="AW19" s="244"/>
      <c r="AX19" s="244"/>
      <c r="AY19" s="244"/>
      <c r="AZ19" s="244"/>
      <c r="BA19" s="244"/>
      <c r="BB19" s="244"/>
      <c r="BC19" s="244"/>
      <c r="BD19" s="244"/>
      <c r="BE19" s="244"/>
      <c r="BF19" s="244"/>
      <c r="BG19" s="244"/>
      <c r="BH19" s="244"/>
      <c r="BI19" s="244"/>
      <c r="BJ19" s="244"/>
    </row>
    <row r="20" ht="11.25" customHeight="1">
      <c r="A20" s="5"/>
      <c r="AJ20" s="244"/>
      <c r="AK20" s="244"/>
      <c r="AL20" s="244"/>
      <c r="AM20" s="244"/>
      <c r="AN20" s="244"/>
      <c r="AO20" s="244"/>
      <c r="AP20" s="244"/>
      <c r="AQ20" s="244"/>
      <c r="AR20" s="244"/>
      <c r="AS20" s="244"/>
      <c r="AT20" s="244"/>
      <c r="AU20" s="244"/>
      <c r="AV20" s="244"/>
      <c r="AW20" s="244"/>
      <c r="AX20" s="244"/>
      <c r="AY20" s="244"/>
      <c r="AZ20" s="244"/>
      <c r="BA20" s="244"/>
      <c r="BB20" s="244"/>
      <c r="BC20" s="244"/>
      <c r="BD20" s="244"/>
      <c r="BE20" s="244"/>
      <c r="BF20" s="244"/>
      <c r="BG20" s="244"/>
      <c r="BH20" s="244"/>
      <c r="BI20" s="244"/>
      <c r="BJ20" s="244"/>
    </row>
    <row r="21" ht="20.1" customHeight="1" thickBot="1">
      <c r="AJ21" s="244"/>
      <c r="AK21" s="244"/>
      <c r="AL21" s="244"/>
      <c r="AM21" s="244"/>
      <c r="AN21" s="244"/>
      <c r="AO21" s="244"/>
      <c r="AP21" s="244"/>
      <c r="AQ21" s="244"/>
      <c r="AR21" s="244"/>
      <c r="AS21" s="244"/>
      <c r="AT21" s="244"/>
      <c r="AU21" s="244"/>
      <c r="AV21" s="244"/>
      <c r="AW21" s="244"/>
      <c r="AX21" s="244"/>
      <c r="AY21" s="244"/>
      <c r="AZ21" s="244"/>
      <c r="BA21" s="244"/>
      <c r="BB21" s="244"/>
      <c r="BC21" s="244"/>
      <c r="BD21" s="244"/>
      <c r="BE21" s="244"/>
      <c r="BF21" s="244"/>
      <c r="BG21" s="244"/>
      <c r="BH21" s="244"/>
      <c r="BI21" s="244"/>
      <c r="BJ21" s="244"/>
    </row>
    <row r="22" ht="18" customHeight="1">
      <c r="A22" s="8"/>
      <c r="B22" s="29"/>
      <c r="X22" s="517" t="s">
        <v>72</v>
      </c>
      <c r="Y22" s="517"/>
      <c r="Z22" s="517"/>
      <c r="AA22" s="517"/>
      <c r="AB22" s="517"/>
      <c r="AC22" s="517"/>
      <c r="AD22" s="617"/>
      <c r="AJ22" s="244"/>
      <c r="AK22" s="244"/>
      <c r="AL22" s="244"/>
      <c r="AM22" s="244"/>
      <c r="AN22" s="244"/>
      <c r="AO22" s="244"/>
      <c r="AP22" s="244"/>
      <c r="AQ22" s="244"/>
      <c r="AR22" s="244"/>
      <c r="AS22" s="244"/>
      <c r="AT22" s="244"/>
      <c r="AU22" s="244"/>
      <c r="AV22" s="244"/>
      <c r="AW22" s="244"/>
      <c r="AX22" s="244"/>
      <c r="AY22" s="244"/>
      <c r="AZ22" s="244"/>
      <c r="BA22" s="244"/>
      <c r="BB22" s="244"/>
      <c r="BC22" s="244"/>
      <c r="BD22" s="244"/>
      <c r="BE22" s="244"/>
      <c r="BF22" s="244"/>
      <c r="BG22" s="244"/>
      <c r="BH22" s="244"/>
      <c r="BI22" s="244"/>
      <c r="BJ22" s="244"/>
    </row>
    <row r="23" s="23" customFormat="1" ht="16.5">
      <c r="C23" s="50" t="s">
        <v>49</v>
      </c>
      <c r="D23" s="50" t="s">
        <v>47</v>
      </c>
      <c r="E23" s="50" t="s">
        <v>48</v>
      </c>
      <c r="F23" s="50" t="s">
        <v>50</v>
      </c>
      <c r="G23" s="50" t="s">
        <v>51</v>
      </c>
      <c r="H23" s="50" t="s">
        <v>52</v>
      </c>
      <c r="I23" s="50" t="s">
        <v>53</v>
      </c>
      <c r="J23" s="50" t="s">
        <v>49</v>
      </c>
      <c r="K23" s="50" t="s">
        <v>47</v>
      </c>
      <c r="L23" s="50" t="s">
        <v>48</v>
      </c>
      <c r="M23" s="50" t="s">
        <v>50</v>
      </c>
      <c r="N23" s="50" t="s">
        <v>51</v>
      </c>
      <c r="O23" s="50" t="s">
        <v>52</v>
      </c>
      <c r="P23" s="50" t="s">
        <v>53</v>
      </c>
      <c r="Q23" s="50" t="s">
        <v>49</v>
      </c>
      <c r="R23" s="50" t="s">
        <v>47</v>
      </c>
      <c r="S23" s="50" t="s">
        <v>48</v>
      </c>
      <c r="T23" s="50" t="s">
        <v>50</v>
      </c>
      <c r="U23" s="50" t="s">
        <v>51</v>
      </c>
      <c r="V23" s="50" t="s">
        <v>52</v>
      </c>
      <c r="W23" s="50" t="s">
        <v>53</v>
      </c>
      <c r="X23" s="51" t="s">
        <v>49</v>
      </c>
      <c r="Y23" s="50" t="s">
        <v>47</v>
      </c>
      <c r="Z23" s="50" t="s">
        <v>48</v>
      </c>
      <c r="AA23" s="50" t="s">
        <v>50</v>
      </c>
      <c r="AB23" s="50" t="s">
        <v>51</v>
      </c>
      <c r="AC23" s="50" t="s">
        <v>52</v>
      </c>
      <c r="AD23" s="52" t="s">
        <v>53</v>
      </c>
      <c r="AE23" s="4"/>
      <c r="AI23" s="4"/>
      <c r="AJ23" s="261"/>
      <c r="AK23" s="261"/>
      <c r="AL23" s="261"/>
      <c r="AM23" s="261"/>
      <c r="AN23" s="262"/>
      <c r="AO23" s="262"/>
      <c r="AP23" s="262"/>
      <c r="AQ23" s="262"/>
      <c r="AR23" s="262"/>
      <c r="AS23" s="262"/>
      <c r="AT23" s="262"/>
      <c r="AU23" s="262"/>
      <c r="AV23" s="262"/>
      <c r="AW23" s="262"/>
      <c r="AX23" s="262"/>
      <c r="AY23" s="262"/>
      <c r="AZ23" s="262"/>
      <c r="BA23" s="262"/>
      <c r="BB23" s="262"/>
      <c r="BC23" s="262"/>
      <c r="BD23" s="262"/>
      <c r="BE23" s="262"/>
      <c r="BF23" s="262"/>
      <c r="BG23" s="262"/>
      <c r="BH23" s="262"/>
      <c r="BI23" s="262"/>
      <c r="BJ23" s="262"/>
    </row>
    <row r="24" s="41" customFormat="1" ht="18">
      <c r="B24" s="417" t="s">
        <v>13</v>
      </c>
      <c r="C24" s="309" t="s">
        <v>148</v>
      </c>
      <c r="D24" s="310"/>
      <c r="E24" s="310"/>
      <c r="F24" s="310"/>
      <c r="G24" s="310"/>
      <c r="H24" s="310"/>
      <c r="I24" s="310"/>
      <c r="J24" s="310"/>
      <c r="K24" s="310"/>
      <c r="L24" s="656" t="s">
        <v>145</v>
      </c>
      <c r="M24" s="310"/>
      <c r="N24" s="310"/>
      <c r="O24" s="310"/>
      <c r="P24" s="310"/>
      <c r="Q24" s="310"/>
      <c r="R24" s="310"/>
      <c r="S24" s="311"/>
      <c r="T24" s="311"/>
      <c r="U24" s="311"/>
      <c r="V24" s="311"/>
      <c r="W24" s="311"/>
      <c r="X24" s="312"/>
      <c r="Y24" s="311"/>
      <c r="Z24" s="311"/>
      <c r="AA24" s="311"/>
      <c r="AB24" s="311"/>
      <c r="AC24" s="311"/>
      <c r="AD24" s="336"/>
      <c r="AE24" s="25"/>
      <c r="AF24" s="316" t="s">
        <v>58</v>
      </c>
      <c r="AG24" s="317" t="s">
        <v>59</v>
      </c>
      <c r="AH24" s="318" t="s">
        <v>59</v>
      </c>
      <c r="AI24" s="25"/>
      <c r="AJ24" s="255"/>
      <c r="AK24" s="255"/>
      <c r="AL24" s="255"/>
      <c r="AM24" s="255"/>
      <c r="AN24" s="263"/>
      <c r="AO24" s="263"/>
      <c r="AP24" s="263"/>
      <c r="AQ24" s="263"/>
      <c r="AR24" s="263"/>
      <c r="AS24" s="263"/>
      <c r="AT24" s="263"/>
      <c r="AU24" s="263"/>
      <c r="AV24" s="263"/>
      <c r="AW24" s="263"/>
      <c r="AX24" s="263"/>
      <c r="AY24" s="263"/>
      <c r="AZ24" s="263"/>
      <c r="BA24" s="263"/>
      <c r="BB24" s="263"/>
      <c r="BC24" s="263"/>
      <c r="BD24" s="263"/>
      <c r="BE24" s="263"/>
      <c r="BF24" s="263"/>
      <c r="BG24" s="263"/>
      <c r="BH24" s="263"/>
      <c r="BI24" s="263"/>
      <c r="BJ24" s="263"/>
    </row>
    <row r="25" s="42" customFormat="1">
      <c r="C25" s="313">
        <v>22</v>
      </c>
      <c r="D25" s="314">
        <v>23</v>
      </c>
      <c r="E25" s="314">
        <v>24</v>
      </c>
      <c r="F25" s="314">
        <v>25</v>
      </c>
      <c r="G25" s="314">
        <v>26</v>
      </c>
      <c r="H25" s="314">
        <v>27</v>
      </c>
      <c r="I25" s="314">
        <v>28</v>
      </c>
      <c r="J25" s="314">
        <v>29</v>
      </c>
      <c r="K25" s="314">
        <v>30</v>
      </c>
      <c r="L25" s="674">
        <v>1</v>
      </c>
      <c r="M25" s="314">
        <v>2</v>
      </c>
      <c r="N25" s="314">
        <v>3</v>
      </c>
      <c r="O25" s="314">
        <v>4</v>
      </c>
      <c r="P25" s="314">
        <v>5</v>
      </c>
      <c r="Q25" s="314">
        <v>6</v>
      </c>
      <c r="R25" s="314">
        <v>7</v>
      </c>
      <c r="S25" s="314">
        <v>8</v>
      </c>
      <c r="T25" s="314">
        <v>9</v>
      </c>
      <c r="U25" s="314">
        <v>10</v>
      </c>
      <c r="V25" s="314">
        <v>11</v>
      </c>
      <c r="W25" s="314">
        <v>12</v>
      </c>
      <c r="X25" s="315">
        <v>13</v>
      </c>
      <c r="Y25" s="314">
        <v>14</v>
      </c>
      <c r="Z25" s="314">
        <v>15</v>
      </c>
      <c r="AA25" s="314">
        <v>16</v>
      </c>
      <c r="AB25" s="314">
        <v>17</v>
      </c>
      <c r="AC25" s="314">
        <v>18</v>
      </c>
      <c r="AD25" s="373">
        <v>19</v>
      </c>
      <c r="AE25" s="25"/>
      <c r="AF25" s="319" t="s">
        <v>60</v>
      </c>
      <c r="AG25" s="320">
        <v>28</v>
      </c>
      <c r="AH25" s="321" t="s">
        <v>31</v>
      </c>
      <c r="AI25" s="25"/>
      <c r="AJ25" s="255"/>
      <c r="AK25" s="255"/>
      <c r="AL25" s="255"/>
      <c r="AM25" s="255"/>
      <c r="AN25" s="264"/>
      <c r="AO25" s="264"/>
      <c r="AP25" s="264"/>
      <c r="AQ25" s="264"/>
      <c r="AR25" s="264"/>
      <c r="AS25" s="264"/>
      <c r="AT25" s="264"/>
      <c r="AU25" s="264"/>
      <c r="AV25" s="264"/>
      <c r="AW25" s="264"/>
      <c r="AX25" s="264"/>
      <c r="AY25" s="264"/>
      <c r="AZ25" s="264"/>
      <c r="BA25" s="264"/>
      <c r="BB25" s="264"/>
      <c r="BC25" s="264"/>
      <c r="BD25" s="264"/>
      <c r="BE25" s="264"/>
      <c r="BF25" s="264"/>
      <c r="BG25" s="264"/>
      <c r="BH25" s="264"/>
      <c r="BI25" s="264"/>
      <c r="BJ25" s="264"/>
    </row>
    <row r="26" ht="14.25" customHeight="1">
      <c r="B26" s="46" t="s">
        <v>32</v>
      </c>
      <c r="C26" s="461">
        <v>20.865591397849462365591397849</v>
      </c>
      <c r="D26" s="462">
        <v>54.166666666666666666666666667</v>
      </c>
      <c r="E26" s="462">
        <v>56.741935483870967741935483871</v>
      </c>
      <c r="F26" s="462">
        <v>56.55376344086021505376344086</v>
      </c>
      <c r="G26" s="462">
        <v>39.139784946236559139784946237</v>
      </c>
      <c r="H26" s="462">
        <v>73.263440860215053763440860215</v>
      </c>
      <c r="I26" s="462">
        <v>57.435483870967741935483870968</v>
      </c>
      <c r="J26" s="462">
        <v>25.284946236559139784946236559</v>
      </c>
      <c r="K26" s="462">
        <v>25.059139784946236559139784946</v>
      </c>
      <c r="L26" s="671">
        <v>22.349462365591397849462365591</v>
      </c>
      <c r="M26" s="462">
        <v>24.865591397849462365591397849</v>
      </c>
      <c r="N26" s="462">
        <v>23.903225806451612903225806452</v>
      </c>
      <c r="O26" s="462">
        <v>38.150537634408602150537634409</v>
      </c>
      <c r="P26" s="462">
        <v>40.150537634408602150537634409</v>
      </c>
      <c r="Q26" s="462">
        <v>15.645161290322580645161290323</v>
      </c>
      <c r="R26" s="462">
        <v>23.559139784946236559139784946</v>
      </c>
      <c r="S26" s="462">
        <v>44.440860215053763440860215054</v>
      </c>
      <c r="T26" s="462">
        <v>47.435483870967741935483870968</v>
      </c>
      <c r="U26" s="462">
        <v>32.064516129032258064516129032</v>
      </c>
      <c r="V26" s="462">
        <v>48.193548387096774193548387097</v>
      </c>
      <c r="W26" s="462">
        <v>57.365591397849462365591397849</v>
      </c>
      <c r="X26" s="463">
        <v>28.064516129032258064516129032</v>
      </c>
      <c r="Y26" s="462">
        <v>28.161290322580645161290322581</v>
      </c>
      <c r="Z26" s="462">
        <v>39.698924731182795698924731183</v>
      </c>
      <c r="AA26" s="462">
        <v>42.44623655913978494623655914</v>
      </c>
      <c r="AB26" s="462">
        <v>32.747311827956989247311827957</v>
      </c>
      <c r="AC26" s="462">
        <v>55.924731182795698924731182796</v>
      </c>
      <c r="AD26" s="464">
        <v>54.166666666666666666666666667</v>
      </c>
      <c r="AE26" s="465"/>
      <c r="AF26" s="461">
        <v>40.172811059907834101382488479</v>
      </c>
      <c r="AG26" s="462">
        <v>39.565860215053763440860215054</v>
      </c>
      <c r="AH26" s="466">
        <v>36.807017543859649122807017544</v>
      </c>
      <c r="AJ26" s="244"/>
      <c r="AK26" s="244"/>
      <c r="AL26" s="244"/>
      <c r="AM26" s="244"/>
      <c r="AN26" s="244"/>
      <c r="AO26" s="244"/>
      <c r="AP26" s="244"/>
      <c r="AQ26" s="244"/>
      <c r="AR26" s="244"/>
      <c r="AS26" s="244"/>
      <c r="AT26" s="244"/>
      <c r="AU26" s="244"/>
      <c r="AV26" s="244"/>
      <c r="AW26" s="244"/>
      <c r="AX26" s="244"/>
      <c r="AY26" s="244"/>
      <c r="AZ26" s="244"/>
      <c r="BA26" s="244"/>
      <c r="BB26" s="244"/>
      <c r="BC26" s="244"/>
      <c r="BD26" s="244"/>
      <c r="BE26" s="244"/>
      <c r="BF26" s="244"/>
      <c r="BG26" s="244"/>
      <c r="BH26" s="244"/>
      <c r="BI26" s="244"/>
      <c r="BJ26" s="244"/>
    </row>
    <row r="27" ht="14.25" customHeight="1">
      <c r="B27" s="47" t="s">
        <v>26</v>
      </c>
      <c r="C27" s="370">
        <v>56.432320441988950276243093923</v>
      </c>
      <c r="D27" s="85">
        <v>72.747670349907918968692449355</v>
      </c>
      <c r="E27" s="85">
        <v>88.60066298342541436464088398</v>
      </c>
      <c r="F27" s="85">
        <v>104.47464088397790055248618785</v>
      </c>
      <c r="G27" s="85">
        <v>97.37795665634674922600619195</v>
      </c>
      <c r="H27" s="85">
        <v>98.51188766114180478821362799</v>
      </c>
      <c r="I27" s="85">
        <v>96.77558011049723756906077348</v>
      </c>
      <c r="J27" s="85">
        <v>42.946556169429097605893186004</v>
      </c>
      <c r="K27" s="85">
        <v>53.546473296500920810313075506</v>
      </c>
      <c r="L27" s="672">
        <v>60.814493554327808471454880295</v>
      </c>
      <c r="M27" s="85">
        <v>49.540782688766114180478821363</v>
      </c>
      <c r="N27" s="85">
        <v>50.540184162062615101289134438</v>
      </c>
      <c r="O27" s="85">
        <v>71.831160220994475138121546961</v>
      </c>
      <c r="P27" s="85">
        <v>81.58620626151012891344383057</v>
      </c>
      <c r="Q27" s="85">
        <v>40.547882136279926335174953959</v>
      </c>
      <c r="R27" s="85">
        <v>63.708406998158379373848987109</v>
      </c>
      <c r="S27" s="85">
        <v>104.59774401473296500920810313</v>
      </c>
      <c r="T27" s="85">
        <v>111.65190607734806629834254144</v>
      </c>
      <c r="U27" s="85">
        <v>92.43055248618784530386740331</v>
      </c>
      <c r="V27" s="85">
        <v>94.58205340699815837937384899</v>
      </c>
      <c r="W27" s="85">
        <v>94.69688766114180478821362799</v>
      </c>
      <c r="X27" s="86">
        <v>51.410469613259668508287292818</v>
      </c>
      <c r="Y27" s="85">
        <v>68.078720073664825046040515654</v>
      </c>
      <c r="Z27" s="85">
        <v>95.56536832412523020257826888</v>
      </c>
      <c r="AA27" s="85">
        <v>78.160230202578268876611418048</v>
      </c>
      <c r="AB27" s="85">
        <v>73.626620626151012891344383057</v>
      </c>
      <c r="AC27" s="85">
        <v>93.67715469613259668508287293</v>
      </c>
      <c r="AD27" s="87">
        <v>94.01099447513812154696132597</v>
      </c>
      <c r="AE27" s="169"/>
      <c r="AF27" s="370">
        <v>79.21850828729281767955801105</v>
      </c>
      <c r="AG27" s="85">
        <v>77.945413079741928757545472392</v>
      </c>
      <c r="AH27" s="371">
        <v>77.424095667345158476301250363</v>
      </c>
      <c r="AJ27" s="244"/>
      <c r="AK27" s="244"/>
      <c r="AL27" s="244"/>
      <c r="AM27" s="244"/>
      <c r="AN27" s="244"/>
      <c r="AO27" s="244"/>
      <c r="AP27" s="244"/>
      <c r="AQ27" s="244"/>
      <c r="AR27" s="244"/>
      <c r="AS27" s="244"/>
      <c r="AT27" s="244"/>
      <c r="AU27" s="244"/>
      <c r="AV27" s="244"/>
      <c r="AW27" s="244"/>
      <c r="AX27" s="244"/>
      <c r="AY27" s="244"/>
      <c r="AZ27" s="244"/>
      <c r="BA27" s="244"/>
      <c r="BB27" s="244"/>
      <c r="BC27" s="244"/>
      <c r="BD27" s="244"/>
      <c r="BE27" s="244"/>
      <c r="BF27" s="244"/>
      <c r="BG27" s="244"/>
      <c r="BH27" s="244"/>
      <c r="BI27" s="244"/>
      <c r="BJ27" s="244"/>
    </row>
    <row r="28" ht="14.25" customHeight="1">
      <c r="A28" s="24"/>
      <c r="B28" s="49" t="s">
        <v>147</v>
      </c>
      <c r="C28" s="467">
        <v>69.106575963718820861678004535</v>
      </c>
      <c r="D28" s="468">
        <v>102.93015873015873015873015873</v>
      </c>
      <c r="E28" s="468">
        <v>120.35782312925170068027210884</v>
      </c>
      <c r="F28" s="468">
        <v>117.22222222222222222222222222</v>
      </c>
      <c r="G28" s="468">
        <v>96.79591836734693877551020408</v>
      </c>
      <c r="H28" s="468">
        <v>93.26031746031746031746031746</v>
      </c>
      <c r="I28" s="468">
        <v>88.13922902494331065759637188</v>
      </c>
      <c r="J28" s="468">
        <v>64.215419501133786848072562358</v>
      </c>
      <c r="K28" s="468">
        <v>79.79002267573696145124716553</v>
      </c>
      <c r="L28" s="673">
        <v>81.14104308390022675736961451</v>
      </c>
      <c r="M28" s="468">
        <v>69.631292517006802721088435374</v>
      </c>
      <c r="N28" s="468">
        <v>61.24897959183673469387755102</v>
      </c>
      <c r="O28" s="468">
        <v>87.83673469387755102040816327</v>
      </c>
      <c r="P28" s="468">
        <v>90.6267573696145124716553288</v>
      </c>
      <c r="Q28" s="468">
        <v>60.09251700680272108843537415</v>
      </c>
      <c r="R28" s="468">
        <v>92.06349206349206349206349206</v>
      </c>
      <c r="S28" s="468">
        <v>129.56462585034013605442176871</v>
      </c>
      <c r="T28" s="468">
        <v>134.11882086167800453514739229</v>
      </c>
      <c r="U28" s="468">
        <v>110.96326530612244897959183673</v>
      </c>
      <c r="V28" s="468">
        <v>98.37097505668934240362811791</v>
      </c>
      <c r="W28" s="468">
        <v>95.82267573696145124716553288</v>
      </c>
      <c r="X28" s="469">
        <v>61.895238095238095238095238095</v>
      </c>
      <c r="Y28" s="468">
        <v>103.0385487528344671201814059</v>
      </c>
      <c r="Z28" s="468">
        <v>124.96371882086167800453514739</v>
      </c>
      <c r="AA28" s="468">
        <v>112.31700680272108843537414966</v>
      </c>
      <c r="AB28" s="468">
        <v>92.4448979591836734693877551</v>
      </c>
      <c r="AC28" s="468">
        <v>94.51473922902494331065759637</v>
      </c>
      <c r="AD28" s="470">
        <v>94.50702947845804988662131519</v>
      </c>
      <c r="AE28" s="465"/>
      <c r="AF28" s="467">
        <v>97.66873987690314220926465824</v>
      </c>
      <c r="AG28" s="468">
        <v>93.82071590540978296080336897</v>
      </c>
      <c r="AH28" s="471">
        <v>94.48222938298126268051080081</v>
      </c>
      <c r="AJ28" s="244"/>
      <c r="AK28" s="244"/>
      <c r="AL28" s="244"/>
      <c r="AM28" s="244"/>
      <c r="AN28" s="244"/>
      <c r="AO28" s="244"/>
      <c r="AP28" s="244"/>
      <c r="AQ28" s="244"/>
      <c r="AR28" s="244"/>
      <c r="AS28" s="244"/>
      <c r="AT28" s="244"/>
      <c r="AU28" s="244"/>
      <c r="AV28" s="244"/>
      <c r="AW28" s="244"/>
      <c r="AX28" s="244"/>
      <c r="AY28" s="244"/>
      <c r="AZ28" s="244"/>
      <c r="BA28" s="244"/>
      <c r="BB28" s="244"/>
      <c r="BC28" s="244"/>
      <c r="BD28" s="244"/>
      <c r="BE28" s="244"/>
      <c r="BF28" s="244"/>
      <c r="BG28" s="244"/>
      <c r="BH28" s="244"/>
      <c r="BI28" s="244"/>
      <c r="BJ28" s="244"/>
    </row>
    <row r="29" ht="0" hidden="1" customHeight="1">
      <c r="A29" s="24"/>
      <c r="B29" s="53"/>
      <c r="C29" s="492"/>
      <c r="D29" s="492"/>
      <c r="E29" s="492"/>
      <c r="F29" s="492"/>
      <c r="G29" s="492"/>
      <c r="H29" s="492"/>
      <c r="I29" s="492"/>
      <c r="J29" s="492"/>
      <c r="K29" s="492"/>
      <c r="L29" s="492"/>
      <c r="M29" s="492"/>
      <c r="N29" s="492"/>
      <c r="O29" s="492"/>
      <c r="P29" s="492"/>
      <c r="Q29" s="492"/>
      <c r="R29" s="492"/>
      <c r="S29" s="492"/>
      <c r="T29" s="492"/>
      <c r="U29" s="492"/>
      <c r="V29" s="492"/>
      <c r="W29" s="492"/>
      <c r="X29" s="493"/>
      <c r="Y29" s="492"/>
      <c r="Z29" s="492"/>
      <c r="AA29" s="492"/>
      <c r="AB29" s="492"/>
      <c r="AC29" s="492"/>
      <c r="AD29" s="494"/>
      <c r="AE29" s="169"/>
      <c r="AF29" s="492"/>
      <c r="AG29" s="492"/>
      <c r="AH29" s="492"/>
      <c r="AJ29" s="244"/>
      <c r="AK29" s="244"/>
      <c r="AL29" s="244"/>
      <c r="AM29" s="244"/>
      <c r="AN29" s="244"/>
      <c r="AO29" s="244"/>
      <c r="AP29" s="244"/>
      <c r="AQ29" s="244"/>
      <c r="AR29" s="244"/>
      <c r="AS29" s="244"/>
      <c r="AT29" s="244"/>
      <c r="AU29" s="244"/>
      <c r="AV29" s="244"/>
      <c r="AW29" s="244"/>
      <c r="AX29" s="244"/>
      <c r="AY29" s="244"/>
      <c r="AZ29" s="244"/>
      <c r="BA29" s="244"/>
      <c r="BB29" s="244"/>
      <c r="BC29" s="244"/>
      <c r="BD29" s="244"/>
      <c r="BE29" s="244"/>
      <c r="BF29" s="244"/>
      <c r="BG29" s="244"/>
      <c r="BH29" s="244"/>
      <c r="BI29" s="244"/>
      <c r="BJ29" s="244"/>
    </row>
    <row r="30" ht="0" hidden="1" customHeight="1">
      <c r="A30" s="24"/>
      <c r="B30" s="236" t="s">
        <v>82</v>
      </c>
      <c r="C30" s="367"/>
      <c r="D30" s="368"/>
      <c r="E30" s="368"/>
      <c r="F30" s="368"/>
      <c r="G30" s="368"/>
      <c r="H30" s="368"/>
      <c r="I30" s="368"/>
      <c r="J30" s="368"/>
      <c r="K30" s="368"/>
      <c r="L30" s="368"/>
      <c r="M30" s="368"/>
      <c r="N30" s="368"/>
      <c r="O30" s="368"/>
      <c r="P30" s="368"/>
      <c r="Q30" s="368"/>
      <c r="R30" s="368"/>
      <c r="S30" s="368"/>
      <c r="T30" s="368"/>
      <c r="U30" s="368"/>
      <c r="V30" s="368"/>
      <c r="W30" s="368"/>
      <c r="X30" s="369"/>
      <c r="Y30" s="368"/>
      <c r="Z30" s="368"/>
      <c r="AA30" s="368"/>
      <c r="AB30" s="368"/>
      <c r="AC30" s="368"/>
      <c r="AD30" s="372"/>
      <c r="AE30" s="169"/>
      <c r="AF30" s="492"/>
      <c r="AG30" s="492"/>
      <c r="AH30" s="492"/>
      <c r="AJ30" s="244"/>
      <c r="AK30" s="244"/>
      <c r="AL30" s="244"/>
      <c r="AM30" s="244"/>
      <c r="AN30" s="244"/>
      <c r="AO30" s="244"/>
      <c r="AP30" s="244"/>
      <c r="AQ30" s="244"/>
      <c r="AR30" s="244"/>
      <c r="AS30" s="244"/>
      <c r="AT30" s="244"/>
      <c r="AU30" s="244"/>
      <c r="AV30" s="244"/>
      <c r="AW30" s="244"/>
      <c r="AX30" s="244"/>
      <c r="AY30" s="244"/>
      <c r="AZ30" s="244"/>
      <c r="BA30" s="244"/>
      <c r="BB30" s="244"/>
      <c r="BC30" s="244"/>
      <c r="BD30" s="244"/>
      <c r="BE30" s="244"/>
      <c r="BF30" s="244"/>
      <c r="BG30" s="244"/>
      <c r="BH30" s="244"/>
      <c r="BI30" s="244"/>
      <c r="BJ30" s="244"/>
    </row>
    <row r="31" ht="12" customHeight="1">
      <c r="B31" s="4"/>
      <c r="X31" s="27"/>
      <c r="AD31" s="28"/>
      <c r="AF31" s="22"/>
      <c r="AG31" s="22"/>
      <c r="AH31" s="22"/>
      <c r="AJ31" s="244"/>
      <c r="AK31" s="244"/>
      <c r="AL31" s="244"/>
      <c r="AM31" s="244"/>
      <c r="AN31" s="244"/>
      <c r="AO31" s="244"/>
      <c r="AP31" s="244"/>
      <c r="AQ31" s="244"/>
      <c r="AR31" s="244"/>
      <c r="AS31" s="244"/>
      <c r="AT31" s="244"/>
      <c r="AU31" s="244"/>
      <c r="AV31" s="244"/>
      <c r="AW31" s="244"/>
      <c r="AX31" s="244"/>
      <c r="AY31" s="244"/>
      <c r="AZ31" s="244"/>
      <c r="BA31" s="244"/>
      <c r="BB31" s="244"/>
      <c r="BC31" s="244"/>
      <c r="BD31" s="244"/>
      <c r="BE31" s="244"/>
      <c r="BF31" s="244"/>
      <c r="BG31" s="244"/>
      <c r="BH31" s="244"/>
      <c r="BI31" s="244"/>
      <c r="BJ31" s="244"/>
    </row>
    <row r="32" ht="18">
      <c r="B32" s="29"/>
      <c r="X32" s="27"/>
      <c r="AD32" s="28"/>
      <c r="AF32" s="22"/>
      <c r="AG32" s="22"/>
      <c r="AH32" s="22"/>
      <c r="AJ32" s="244"/>
      <c r="AK32" s="244"/>
      <c r="AL32" s="244"/>
      <c r="AM32" s="244"/>
      <c r="AN32" s="244"/>
      <c r="AO32" s="244"/>
      <c r="AP32" s="244"/>
      <c r="AQ32" s="244"/>
      <c r="AR32" s="244"/>
      <c r="AS32" s="244"/>
      <c r="AT32" s="244"/>
      <c r="AU32" s="244"/>
      <c r="AV32" s="244"/>
      <c r="AW32" s="244"/>
      <c r="AX32" s="244"/>
      <c r="AY32" s="244"/>
      <c r="AZ32" s="244"/>
      <c r="BA32" s="244"/>
      <c r="BB32" s="244"/>
      <c r="BC32" s="244"/>
      <c r="BD32" s="244"/>
      <c r="BE32" s="244"/>
      <c r="BF32" s="244"/>
      <c r="BG32" s="244"/>
      <c r="BH32" s="244"/>
      <c r="BI32" s="244"/>
      <c r="BJ32" s="244"/>
    </row>
    <row r="33" s="41" customFormat="1" ht="18">
      <c r="B33" s="417" t="s">
        <v>79</v>
      </c>
      <c r="C33" s="309" t="s">
        <v>148</v>
      </c>
      <c r="D33" s="310"/>
      <c r="E33" s="310"/>
      <c r="F33" s="310"/>
      <c r="G33" s="310"/>
      <c r="H33" s="310"/>
      <c r="I33" s="310"/>
      <c r="J33" s="310"/>
      <c r="K33" s="310"/>
      <c r="L33" s="656" t="s">
        <v>145</v>
      </c>
      <c r="M33" s="310"/>
      <c r="N33" s="310"/>
      <c r="O33" s="310"/>
      <c r="P33" s="310"/>
      <c r="Q33" s="310"/>
      <c r="R33" s="310"/>
      <c r="S33" s="311"/>
      <c r="T33" s="311"/>
      <c r="U33" s="311"/>
      <c r="V33" s="311"/>
      <c r="W33" s="311"/>
      <c r="X33" s="312"/>
      <c r="Y33" s="311"/>
      <c r="Z33" s="311"/>
      <c r="AA33" s="311"/>
      <c r="AB33" s="311"/>
      <c r="AC33" s="311"/>
      <c r="AD33" s="336"/>
      <c r="AE33" s="25"/>
      <c r="AF33" s="316" t="s">
        <v>58</v>
      </c>
      <c r="AG33" s="317" t="s">
        <v>59</v>
      </c>
      <c r="AH33" s="318" t="s">
        <v>59</v>
      </c>
      <c r="AI33" s="25"/>
      <c r="AJ33" s="255"/>
      <c r="AK33" s="255"/>
      <c r="AL33" s="255"/>
      <c r="AM33" s="255"/>
      <c r="AN33" s="263"/>
      <c r="AO33" s="263"/>
      <c r="AP33" s="263"/>
      <c r="AQ33" s="263"/>
      <c r="AR33" s="263"/>
      <c r="AS33" s="263"/>
      <c r="AT33" s="263"/>
      <c r="AU33" s="263"/>
      <c r="AV33" s="263"/>
      <c r="AW33" s="263"/>
      <c r="AX33" s="263"/>
      <c r="AY33" s="263"/>
      <c r="AZ33" s="263"/>
      <c r="BA33" s="263"/>
      <c r="BB33" s="263"/>
      <c r="BC33" s="263"/>
      <c r="BD33" s="263"/>
      <c r="BE33" s="263"/>
      <c r="BF33" s="263"/>
      <c r="BG33" s="263"/>
      <c r="BH33" s="263"/>
      <c r="BI33" s="263"/>
      <c r="BJ33" s="263"/>
    </row>
    <row r="34" s="42" customFormat="1">
      <c r="C34" s="313">
        <v>22</v>
      </c>
      <c r="D34" s="314">
        <v>23</v>
      </c>
      <c r="E34" s="314">
        <v>24</v>
      </c>
      <c r="F34" s="314">
        <v>25</v>
      </c>
      <c r="G34" s="314">
        <v>26</v>
      </c>
      <c r="H34" s="314">
        <v>27</v>
      </c>
      <c r="I34" s="314">
        <v>28</v>
      </c>
      <c r="J34" s="314">
        <v>29</v>
      </c>
      <c r="K34" s="314">
        <v>30</v>
      </c>
      <c r="L34" s="674">
        <v>1</v>
      </c>
      <c r="M34" s="314">
        <v>2</v>
      </c>
      <c r="N34" s="314">
        <v>3</v>
      </c>
      <c r="O34" s="314">
        <v>4</v>
      </c>
      <c r="P34" s="314">
        <v>5</v>
      </c>
      <c r="Q34" s="314">
        <v>6</v>
      </c>
      <c r="R34" s="314">
        <v>7</v>
      </c>
      <c r="S34" s="314">
        <v>8</v>
      </c>
      <c r="T34" s="314">
        <v>9</v>
      </c>
      <c r="U34" s="314">
        <v>10</v>
      </c>
      <c r="V34" s="314">
        <v>11</v>
      </c>
      <c r="W34" s="314">
        <v>12</v>
      </c>
      <c r="X34" s="315">
        <v>13</v>
      </c>
      <c r="Y34" s="314">
        <v>14</v>
      </c>
      <c r="Z34" s="314">
        <v>15</v>
      </c>
      <c r="AA34" s="314">
        <v>16</v>
      </c>
      <c r="AB34" s="314">
        <v>17</v>
      </c>
      <c r="AC34" s="314">
        <v>18</v>
      </c>
      <c r="AD34" s="373">
        <v>19</v>
      </c>
      <c r="AE34" s="25"/>
      <c r="AF34" s="319" t="s">
        <v>60</v>
      </c>
      <c r="AG34" s="320">
        <v>28</v>
      </c>
      <c r="AH34" s="321" t="s">
        <v>31</v>
      </c>
      <c r="AI34" s="25"/>
      <c r="AJ34" s="255"/>
      <c r="AK34" s="255"/>
      <c r="AL34" s="255"/>
      <c r="AM34" s="255"/>
      <c r="AN34" s="264"/>
      <c r="AO34" s="264"/>
      <c r="AP34" s="264"/>
      <c r="AQ34" s="264"/>
      <c r="AR34" s="264"/>
      <c r="AS34" s="264"/>
      <c r="AT34" s="264"/>
      <c r="AU34" s="264"/>
      <c r="AV34" s="264"/>
      <c r="AW34" s="264"/>
      <c r="AX34" s="264"/>
      <c r="AY34" s="264"/>
      <c r="AZ34" s="264"/>
      <c r="BA34" s="264"/>
      <c r="BB34" s="264"/>
      <c r="BC34" s="264"/>
      <c r="BD34" s="264"/>
      <c r="BE34" s="264"/>
      <c r="BF34" s="264"/>
      <c r="BG34" s="264"/>
      <c r="BH34" s="264"/>
      <c r="BI34" s="264"/>
      <c r="BJ34" s="264"/>
    </row>
    <row r="35" ht="14.25" customHeight="1">
      <c r="B35" s="46" t="s">
        <v>32</v>
      </c>
      <c r="C35" s="444">
        <v>-33.782630950408519078494774900</v>
      </c>
      <c r="D35" s="445">
        <v>110.07089241000906197199414744</v>
      </c>
      <c r="E35" s="445">
        <v>120.56426332299464038285792835</v>
      </c>
      <c r="F35" s="445">
        <v>107.02617594942878952777654548</v>
      </c>
      <c r="G35" s="445">
        <v>124.69135802481618655692736702</v>
      </c>
      <c r="H35" s="445">
        <v>28.860520094511469107858444620</v>
      </c>
      <c r="I35" s="445">
        <v>46.042378674133311405650358600</v>
      </c>
      <c r="J35" s="445">
        <v>109.02222222305831111111445547</v>
      </c>
      <c r="K35" s="445">
        <v>162.29600450087732671170146752</v>
      </c>
      <c r="L35" s="658">
        <v>125.06767731414984834712067705</v>
      </c>
      <c r="M35" s="445">
        <v>30.098452883306924934869189400</v>
      </c>
      <c r="N35" s="445">
        <v>12.842639594040374655363600440</v>
      </c>
      <c r="O35" s="445">
        <v>-33.006042296025702861875999830</v>
      </c>
      <c r="P35" s="445">
        <v>-41.801745635886640358268906680</v>
      </c>
      <c r="Q35" s="445">
        <v>10.730593607027845541169564770</v>
      </c>
      <c r="R35" s="445">
        <v>-5.3154710457794817760294060700</v>
      </c>
      <c r="S35" s="445">
        <v>-7.1131587818751672276415187300</v>
      </c>
      <c r="T35" s="445">
        <v>-21.110515021505782421392888220</v>
      </c>
      <c r="U35" s="445">
        <v>-39.812291855903163840906835440</v>
      </c>
      <c r="V35" s="445">
        <v>-9.170128685704616790626918600</v>
      </c>
      <c r="W35" s="445">
        <v>7.4846378564228264943943175800</v>
      </c>
      <c r="X35" s="446">
        <v>34.848876259294833956983056140</v>
      </c>
      <c r="Y35" s="445">
        <v>-16.724960254432919742898188960</v>
      </c>
      <c r="Z35" s="445">
        <v>17.542184017783810690601292400</v>
      </c>
      <c r="AA35" s="445">
        <v>31.386253952417845190942161880</v>
      </c>
      <c r="AB35" s="445">
        <v>19.877976776116622969263897570</v>
      </c>
      <c r="AC35" s="445">
        <v>907.9457364294204074274600601</v>
      </c>
      <c r="AD35" s="447">
        <v>180.56251740466954539416396595</v>
      </c>
      <c r="AE35" s="448"/>
      <c r="AF35" s="444">
        <v>62.660156735731333697874761110</v>
      </c>
      <c r="AG35" s="445">
        <v>22.913162258563371778818094940</v>
      </c>
      <c r="AH35" s="449">
        <v>8.259537918595487523957119020</v>
      </c>
      <c r="AJ35" s="244"/>
      <c r="AK35" s="244"/>
      <c r="AL35" s="244"/>
      <c r="AM35" s="244"/>
      <c r="AN35" s="244"/>
      <c r="AO35" s="244"/>
      <c r="AP35" s="244"/>
      <c r="AQ35" s="244"/>
      <c r="AR35" s="244"/>
      <c r="AS35" s="244"/>
      <c r="AT35" s="244"/>
      <c r="AU35" s="244"/>
      <c r="AV35" s="244"/>
      <c r="AW35" s="244"/>
      <c r="AX35" s="244"/>
      <c r="AY35" s="244"/>
      <c r="AZ35" s="244"/>
      <c r="BA35" s="244"/>
      <c r="BB35" s="244"/>
      <c r="BC35" s="244"/>
      <c r="BD35" s="244"/>
      <c r="BE35" s="244"/>
      <c r="BF35" s="244"/>
      <c r="BG35" s="244"/>
      <c r="BH35" s="244"/>
      <c r="BI35" s="244"/>
      <c r="BJ35" s="244"/>
    </row>
    <row r="36" ht="14.25" customHeight="1">
      <c r="B36" s="47" t="s">
        <v>26</v>
      </c>
      <c r="C36" s="327">
        <v>10.963808367810927824451201940</v>
      </c>
      <c r="D36" s="81">
        <v>-3.1365268637034090146237648700</v>
      </c>
      <c r="E36" s="81">
        <v>-3.0910742462838357585429393700</v>
      </c>
      <c r="F36" s="81">
        <v>36.178925508913195999070476060</v>
      </c>
      <c r="G36" s="81">
        <v>54.593243473268367194861744290</v>
      </c>
      <c r="H36" s="81">
        <v>18.315938458918018369734401540</v>
      </c>
      <c r="I36" s="81">
        <v>39.319623934292119097490357160</v>
      </c>
      <c r="J36" s="81">
        <v>21.379774843344562689951624170</v>
      </c>
      <c r="K36" s="81">
        <v>45.775548932071794979317623560</v>
      </c>
      <c r="L36" s="659">
        <v>68.995327359912288279005906780</v>
      </c>
      <c r="M36" s="81">
        <v>63.714370916580679037370496490</v>
      </c>
      <c r="N36" s="81">
        <v>23.420502009602161614768500190</v>
      </c>
      <c r="O36" s="81">
        <v>-16.938894134087584680835092500</v>
      </c>
      <c r="P36" s="81">
        <v>-16.357694897555333060907565160</v>
      </c>
      <c r="Q36" s="81">
        <v>-24.125988593535760987925953610</v>
      </c>
      <c r="R36" s="81">
        <v>-17.273314574487683839981860770</v>
      </c>
      <c r="S36" s="81">
        <v>-5.8326043762856560722272822800</v>
      </c>
      <c r="T36" s="81">
        <v>-5.9253819129878821881981208200</v>
      </c>
      <c r="U36" s="81">
        <v>-20.257772317928424775929376180</v>
      </c>
      <c r="V36" s="81">
        <v>-6.5820835076169180824169154100</v>
      </c>
      <c r="W36" s="81">
        <v>17.245910505790493120828072700</v>
      </c>
      <c r="X36" s="82">
        <v>3.9252647840770250578793193200</v>
      </c>
      <c r="Y36" s="81">
        <v>0.0446411053235332343863818500</v>
      </c>
      <c r="Z36" s="81">
        <v>24.541913858884545883072148890</v>
      </c>
      <c r="AA36" s="81">
        <v>-0.2150591989434997602831098700</v>
      </c>
      <c r="AB36" s="81">
        <v>-6.660748222101874718680455500</v>
      </c>
      <c r="AC36" s="81">
        <v>2.7971555247722538450705234700</v>
      </c>
      <c r="AD36" s="83">
        <v>13.122975325749892258828853590</v>
      </c>
      <c r="AE36" s="88"/>
      <c r="AF36" s="327">
        <v>5.485403311531345906772335400</v>
      </c>
      <c r="AG36" s="81">
        <v>6.1006216340815523681369980900</v>
      </c>
      <c r="AH36" s="328">
        <v>2.9665084963489411152045884900</v>
      </c>
      <c r="AJ36" s="244"/>
      <c r="AK36" s="244"/>
      <c r="AL36" s="244"/>
      <c r="AM36" s="244"/>
      <c r="AN36" s="244"/>
      <c r="AO36" s="244"/>
      <c r="AP36" s="244"/>
      <c r="AQ36" s="244"/>
      <c r="AR36" s="244"/>
      <c r="AS36" s="244"/>
      <c r="AT36" s="244"/>
      <c r="AU36" s="244"/>
      <c r="AV36" s="244"/>
      <c r="AW36" s="244"/>
      <c r="AX36" s="244"/>
      <c r="AY36" s="244"/>
      <c r="AZ36" s="244"/>
      <c r="BA36" s="244"/>
      <c r="BB36" s="244"/>
      <c r="BC36" s="244"/>
      <c r="BD36" s="244"/>
      <c r="BE36" s="244"/>
      <c r="BF36" s="244"/>
      <c r="BG36" s="244"/>
      <c r="BH36" s="244"/>
      <c r="BI36" s="244"/>
      <c r="BJ36" s="244"/>
    </row>
    <row r="37" ht="14.25" customHeight="1">
      <c r="A37" s="24"/>
      <c r="B37" s="49" t="s">
        <v>147</v>
      </c>
      <c r="C37" s="450">
        <v>12.410277595345868498009832090</v>
      </c>
      <c r="D37" s="451">
        <v>4.5074871530885899480709389200</v>
      </c>
      <c r="E37" s="451">
        <v>8.359634975376842899776526920</v>
      </c>
      <c r="F37" s="451">
        <v>11.906050438384807969144861540</v>
      </c>
      <c r="G37" s="451">
        <v>24.421424490835874594976663490</v>
      </c>
      <c r="H37" s="451">
        <v>5.2319422767405798476081834600</v>
      </c>
      <c r="I37" s="451">
        <v>2.9691167354597269169836836700</v>
      </c>
      <c r="J37" s="451">
        <v>15.510433831989638474949410450</v>
      </c>
      <c r="K37" s="451">
        <v>23.094844956950898029672455190</v>
      </c>
      <c r="L37" s="660">
        <v>30.266625893832104287968885990</v>
      </c>
      <c r="M37" s="451">
        <v>38.190900499639414797218554950</v>
      </c>
      <c r="N37" s="451">
        <v>10.358972682835778382945733240</v>
      </c>
      <c r="O37" s="451">
        <v>-2.1788539046511791305522824100</v>
      </c>
      <c r="P37" s="451">
        <v>-2.6975439689476053963005399800</v>
      </c>
      <c r="Q37" s="451">
        <v>-0.6053513964237559873417132400</v>
      </c>
      <c r="R37" s="451">
        <v>2.7218767236036392573193852500</v>
      </c>
      <c r="S37" s="451">
        <v>11.241336344519722119206533450</v>
      </c>
      <c r="T37" s="451">
        <v>10.235880002430016830083879200</v>
      </c>
      <c r="U37" s="451">
        <v>0.519288443400814765244390800</v>
      </c>
      <c r="V37" s="451">
        <v>1.9980344119043773242408593100</v>
      </c>
      <c r="W37" s="451">
        <v>11.260367025602546537867994700</v>
      </c>
      <c r="X37" s="452">
        <v>11.237988116584320331030118180</v>
      </c>
      <c r="Y37" s="451">
        <v>25.030955067003963100323776360</v>
      </c>
      <c r="Z37" s="451">
        <v>20.200927424506774604274951930</v>
      </c>
      <c r="AA37" s="451">
        <v>12.533397553535074528701866350</v>
      </c>
      <c r="AB37" s="451">
        <v>8.889423076889048978365395250</v>
      </c>
      <c r="AC37" s="451">
        <v>14.296604638667334548818023790</v>
      </c>
      <c r="AD37" s="453">
        <v>21.484953420331233844673466750</v>
      </c>
      <c r="AE37" s="448"/>
      <c r="AF37" s="450">
        <v>16.429459603477753072331737570</v>
      </c>
      <c r="AG37" s="451">
        <v>10.950022898676776372592536300</v>
      </c>
      <c r="AH37" s="454">
        <v>11.742316456536107713912217380</v>
      </c>
      <c r="AJ37" s="244"/>
      <c r="AK37" s="244"/>
      <c r="AL37" s="244"/>
      <c r="AM37" s="244"/>
      <c r="AN37" s="244"/>
      <c r="AO37" s="244"/>
      <c r="AP37" s="244"/>
      <c r="AQ37" s="244"/>
      <c r="AR37" s="244"/>
      <c r="AS37" s="244"/>
      <c r="AT37" s="244"/>
      <c r="AU37" s="244"/>
      <c r="AV37" s="244"/>
      <c r="AW37" s="244"/>
      <c r="AX37" s="244"/>
      <c r="AY37" s="244"/>
      <c r="AZ37" s="244"/>
      <c r="BA37" s="244"/>
      <c r="BB37" s="244"/>
      <c r="BC37" s="244"/>
      <c r="BD37" s="244"/>
      <c r="BE37" s="244"/>
      <c r="BF37" s="244"/>
      <c r="BG37" s="244"/>
      <c r="BH37" s="244"/>
      <c r="BI37" s="244"/>
      <c r="BJ37" s="244"/>
    </row>
    <row r="38" ht="13.5" customHeight="1">
      <c r="B38" s="40"/>
      <c r="C38" s="23"/>
      <c r="D38" s="23"/>
      <c r="E38" s="23"/>
      <c r="F38" s="23"/>
      <c r="G38" s="23"/>
      <c r="H38" s="23"/>
      <c r="I38" s="23"/>
      <c r="J38" s="23"/>
      <c r="K38" s="23"/>
      <c r="L38" s="23"/>
      <c r="M38" s="23"/>
      <c r="N38" s="23"/>
      <c r="O38" s="23"/>
      <c r="P38" s="23"/>
      <c r="Q38" s="23"/>
      <c r="R38" s="23"/>
      <c r="S38" s="23"/>
      <c r="T38" s="23"/>
      <c r="U38" s="23"/>
      <c r="V38" s="23"/>
      <c r="W38" s="23"/>
      <c r="X38" s="44"/>
      <c r="Y38" s="23"/>
      <c r="Z38" s="23"/>
      <c r="AA38" s="23"/>
      <c r="AB38" s="23"/>
      <c r="AC38" s="23"/>
      <c r="AD38" s="45"/>
      <c r="AF38" s="43"/>
      <c r="AG38" s="43"/>
      <c r="AH38" s="43"/>
      <c r="AJ38" s="244"/>
      <c r="AK38" s="244"/>
      <c r="AL38" s="244"/>
      <c r="AM38" s="244"/>
      <c r="AN38" s="244"/>
      <c r="AO38" s="244"/>
      <c r="AP38" s="244"/>
      <c r="AQ38" s="244"/>
      <c r="AR38" s="244"/>
      <c r="AS38" s="244"/>
      <c r="AT38" s="244"/>
      <c r="AU38" s="244"/>
      <c r="AV38" s="244"/>
      <c r="AW38" s="244"/>
      <c r="AX38" s="244"/>
      <c r="AY38" s="244"/>
      <c r="AZ38" s="244"/>
      <c r="BA38" s="244"/>
      <c r="BB38" s="244"/>
      <c r="BC38" s="244"/>
      <c r="BD38" s="244"/>
      <c r="BE38" s="244"/>
      <c r="BF38" s="244"/>
      <c r="BG38" s="244"/>
      <c r="BH38" s="244"/>
      <c r="BI38" s="244"/>
      <c r="BJ38" s="244"/>
    </row>
    <row r="39" ht="18">
      <c r="B39" s="29"/>
      <c r="X39" s="27"/>
      <c r="AD39" s="28"/>
      <c r="AF39" s="43"/>
      <c r="AG39" s="43"/>
      <c r="AH39" s="43"/>
      <c r="AJ39" s="244"/>
      <c r="AK39" s="244"/>
      <c r="AL39" s="244"/>
      <c r="AM39" s="244"/>
      <c r="AN39" s="244"/>
      <c r="AO39" s="244"/>
      <c r="AP39" s="244"/>
      <c r="AQ39" s="244"/>
      <c r="AR39" s="244"/>
      <c r="AS39" s="244"/>
      <c r="AT39" s="244"/>
      <c r="AU39" s="244"/>
      <c r="AV39" s="244"/>
      <c r="AW39" s="244"/>
      <c r="AX39" s="244"/>
      <c r="AY39" s="244"/>
      <c r="AZ39" s="244"/>
      <c r="BA39" s="244"/>
      <c r="BB39" s="244"/>
      <c r="BC39" s="244"/>
      <c r="BD39" s="244"/>
      <c r="BE39" s="244"/>
      <c r="BF39" s="244"/>
      <c r="BG39" s="244"/>
      <c r="BH39" s="244"/>
      <c r="BI39" s="244"/>
      <c r="BJ39" s="244"/>
    </row>
    <row r="40" s="41" customFormat="1" ht="18">
      <c r="B40" s="417" t="s">
        <v>93</v>
      </c>
      <c r="C40" s="309" t="s">
        <v>148</v>
      </c>
      <c r="D40" s="310"/>
      <c r="E40" s="310"/>
      <c r="F40" s="310"/>
      <c r="G40" s="310"/>
      <c r="H40" s="310"/>
      <c r="I40" s="310"/>
      <c r="J40" s="310"/>
      <c r="K40" s="310"/>
      <c r="L40" s="656" t="s">
        <v>145</v>
      </c>
      <c r="M40" s="310"/>
      <c r="N40" s="310"/>
      <c r="O40" s="310"/>
      <c r="P40" s="310"/>
      <c r="Q40" s="310"/>
      <c r="R40" s="310"/>
      <c r="S40" s="311"/>
      <c r="T40" s="311"/>
      <c r="U40" s="311"/>
      <c r="V40" s="311"/>
      <c r="W40" s="311"/>
      <c r="X40" s="312"/>
      <c r="Y40" s="311"/>
      <c r="Z40" s="311"/>
      <c r="AA40" s="311"/>
      <c r="AB40" s="311"/>
      <c r="AC40" s="311"/>
      <c r="AD40" s="336"/>
      <c r="AE40" s="25"/>
      <c r="AF40" s="316" t="s">
        <v>58</v>
      </c>
      <c r="AG40" s="317" t="s">
        <v>59</v>
      </c>
      <c r="AH40" s="318" t="s">
        <v>59</v>
      </c>
      <c r="AI40" s="25"/>
      <c r="AJ40" s="255"/>
      <c r="AK40" s="255"/>
      <c r="AL40" s="255"/>
      <c r="AM40" s="255"/>
      <c r="AN40" s="263"/>
      <c r="AO40" s="263"/>
      <c r="AP40" s="263"/>
      <c r="AQ40" s="263"/>
      <c r="AR40" s="263"/>
      <c r="AS40" s="263"/>
      <c r="AT40" s="263"/>
      <c r="AU40" s="263"/>
      <c r="AV40" s="263"/>
      <c r="AW40" s="263"/>
      <c r="AX40" s="263"/>
      <c r="AY40" s="263"/>
      <c r="AZ40" s="263"/>
      <c r="BA40" s="263"/>
      <c r="BB40" s="263"/>
      <c r="BC40" s="263"/>
      <c r="BD40" s="263"/>
      <c r="BE40" s="263"/>
      <c r="BF40" s="263"/>
      <c r="BG40" s="263"/>
      <c r="BH40" s="263"/>
      <c r="BI40" s="263"/>
      <c r="BJ40" s="263"/>
    </row>
    <row r="41" s="42" customFormat="1">
      <c r="C41" s="313">
        <v>22</v>
      </c>
      <c r="D41" s="314">
        <v>23</v>
      </c>
      <c r="E41" s="314">
        <v>24</v>
      </c>
      <c r="F41" s="314">
        <v>25</v>
      </c>
      <c r="G41" s="314">
        <v>26</v>
      </c>
      <c r="H41" s="314">
        <v>27</v>
      </c>
      <c r="I41" s="314">
        <v>28</v>
      </c>
      <c r="J41" s="314">
        <v>29</v>
      </c>
      <c r="K41" s="314">
        <v>30</v>
      </c>
      <c r="L41" s="674">
        <v>1</v>
      </c>
      <c r="M41" s="314">
        <v>2</v>
      </c>
      <c r="N41" s="314">
        <v>3</v>
      </c>
      <c r="O41" s="314">
        <v>4</v>
      </c>
      <c r="P41" s="314">
        <v>5</v>
      </c>
      <c r="Q41" s="314">
        <v>6</v>
      </c>
      <c r="R41" s="314">
        <v>7</v>
      </c>
      <c r="S41" s="314">
        <v>8</v>
      </c>
      <c r="T41" s="314">
        <v>9</v>
      </c>
      <c r="U41" s="314">
        <v>10</v>
      </c>
      <c r="V41" s="314">
        <v>11</v>
      </c>
      <c r="W41" s="314">
        <v>12</v>
      </c>
      <c r="X41" s="315">
        <v>13</v>
      </c>
      <c r="Y41" s="314">
        <v>14</v>
      </c>
      <c r="Z41" s="314">
        <v>15</v>
      </c>
      <c r="AA41" s="314">
        <v>16</v>
      </c>
      <c r="AB41" s="314">
        <v>17</v>
      </c>
      <c r="AC41" s="314">
        <v>18</v>
      </c>
      <c r="AD41" s="373">
        <v>19</v>
      </c>
      <c r="AE41" s="25"/>
      <c r="AF41" s="319" t="s">
        <v>60</v>
      </c>
      <c r="AG41" s="320">
        <v>28</v>
      </c>
      <c r="AH41" s="321" t="s">
        <v>31</v>
      </c>
      <c r="AI41" s="25"/>
      <c r="AJ41" s="255"/>
      <c r="AK41" s="255"/>
      <c r="AL41" s="255"/>
      <c r="AM41" s="255"/>
      <c r="AN41" s="264"/>
      <c r="AO41" s="264"/>
      <c r="AP41" s="264"/>
      <c r="AQ41" s="264"/>
      <c r="AR41" s="264"/>
      <c r="AS41" s="264"/>
      <c r="AT41" s="264"/>
      <c r="AU41" s="264"/>
      <c r="AV41" s="264"/>
      <c r="AW41" s="264"/>
      <c r="AX41" s="264"/>
      <c r="AY41" s="264"/>
      <c r="AZ41" s="264"/>
      <c r="BA41" s="264"/>
      <c r="BB41" s="264"/>
      <c r="BC41" s="264"/>
      <c r="BD41" s="264"/>
      <c r="BE41" s="264"/>
      <c r="BF41" s="264"/>
      <c r="BG41" s="264"/>
      <c r="BH41" s="264"/>
      <c r="BI41" s="264"/>
      <c r="BJ41" s="264"/>
    </row>
    <row r="42" ht="14.25" customHeight="1">
      <c r="A42" s="1"/>
      <c r="B42" s="46" t="s">
        <v>26</v>
      </c>
      <c r="C42" s="444">
        <v>36.974540891499749833362341980</v>
      </c>
      <c r="D42" s="445">
        <v>74.458283552087829779168666530</v>
      </c>
      <c r="E42" s="445">
        <v>64.042337351924777066685152080</v>
      </c>
      <c r="F42" s="445">
        <v>54.131570075127452546988207230</v>
      </c>
      <c r="G42" s="445">
        <v>40.193680674962445165727671070</v>
      </c>
      <c r="H42" s="445">
        <v>74.370152272642972607963715390</v>
      </c>
      <c r="I42" s="445">
        <v>59.349149656749080258445505860</v>
      </c>
      <c r="J42" s="445">
        <v>58.875375564048147608037940250</v>
      </c>
      <c r="K42" s="445">
        <v>46.798861329648383595185303030</v>
      </c>
      <c r="L42" s="658">
        <v>36.750223605226649518711020590</v>
      </c>
      <c r="M42" s="445">
        <v>50.192165016946704088890845700</v>
      </c>
      <c r="N42" s="445">
        <v>47.295486161636510534296873310</v>
      </c>
      <c r="O42" s="445">
        <v>53.111403904701524409667427710</v>
      </c>
      <c r="P42" s="445">
        <v>49.212409148818799376914859890</v>
      </c>
      <c r="Q42" s="445">
        <v>38.584410494565484680725209530</v>
      </c>
      <c r="R42" s="445">
        <v>36.979640356745806068516529470</v>
      </c>
      <c r="S42" s="445">
        <v>42.487398398198832927338267080</v>
      </c>
      <c r="T42" s="445">
        <v>42.485153668694843552050743230</v>
      </c>
      <c r="U42" s="445">
        <v>34.690386746113555293829710330</v>
      </c>
      <c r="V42" s="445">
        <v>50.954220860180625697153391790</v>
      </c>
      <c r="W42" s="445">
        <v>60.578116994878121930715772910</v>
      </c>
      <c r="X42" s="446">
        <v>54.589106732788737002813191600</v>
      </c>
      <c r="Y42" s="445">
        <v>41.365775226229383894937017990</v>
      </c>
      <c r="Z42" s="445">
        <v>41.541120415659388693791931430</v>
      </c>
      <c r="AA42" s="445">
        <v>54.306693377328117079197174750</v>
      </c>
      <c r="AB42" s="445">
        <v>44.477542972145964538007853710</v>
      </c>
      <c r="AC42" s="445">
        <v>59.699434044748988146281083980</v>
      </c>
      <c r="AD42" s="447">
        <v>57.617374402962403395279799020</v>
      </c>
      <c r="AE42" s="448"/>
      <c r="AF42" s="444">
        <v>50.711395516580537949852076170</v>
      </c>
      <c r="AG42" s="445">
        <v>50.760985992334478495828401980</v>
      </c>
      <c r="AH42" s="449">
        <v>47.539486546957578767900476490</v>
      </c>
      <c r="AJ42" s="244"/>
      <c r="AK42" s="244"/>
      <c r="AL42" s="244"/>
      <c r="AM42" s="244"/>
      <c r="AN42" s="244"/>
      <c r="AO42" s="244"/>
      <c r="AP42" s="244"/>
      <c r="AQ42" s="244"/>
      <c r="AR42" s="244"/>
      <c r="AS42" s="244"/>
      <c r="AT42" s="244"/>
      <c r="AU42" s="244"/>
      <c r="AV42" s="244"/>
      <c r="AW42" s="244"/>
      <c r="AX42" s="244"/>
      <c r="AY42" s="244"/>
      <c r="AZ42" s="244"/>
      <c r="BA42" s="244"/>
      <c r="BB42" s="244"/>
      <c r="BC42" s="244"/>
      <c r="BD42" s="244"/>
      <c r="BE42" s="244"/>
      <c r="BF42" s="244"/>
      <c r="BG42" s="244"/>
      <c r="BH42" s="244"/>
      <c r="BI42" s="244"/>
      <c r="BJ42" s="244"/>
    </row>
    <row r="43" ht="14.25" customHeight="1">
      <c r="A43" s="24"/>
      <c r="B43" s="48" t="s">
        <v>147</v>
      </c>
      <c r="C43" s="329">
        <v>30.193351510874520775040061150</v>
      </c>
      <c r="D43" s="330">
        <v>52.624680011082129326708075510</v>
      </c>
      <c r="E43" s="330">
        <v>47.144368358102737912523263030</v>
      </c>
      <c r="F43" s="330">
        <v>48.244916679415964485045478640</v>
      </c>
      <c r="G43" s="330">
        <v>40.435367117152043248854245470</v>
      </c>
      <c r="H43" s="330">
        <v>78.558000718153870802067499850</v>
      </c>
      <c r="I43" s="330">
        <v>65.164495431134055612321604400</v>
      </c>
      <c r="J43" s="330">
        <v>39.375194358305192800313138870</v>
      </c>
      <c r="K43" s="330">
        <v>31.406357517652368628702383520</v>
      </c>
      <c r="L43" s="661">
        <v>27.543967289750033522938677860</v>
      </c>
      <c r="M43" s="330">
        <v>35.710368857189746492023167520</v>
      </c>
      <c r="N43" s="330">
        <v>39.026324953912818409544013960</v>
      </c>
      <c r="O43" s="330">
        <v>43.433465243623228096158555540</v>
      </c>
      <c r="P43" s="330">
        <v>44.303182415171316285834270130</v>
      </c>
      <c r="Q43" s="330">
        <v>26.035123954871439677306298260</v>
      </c>
      <c r="R43" s="330">
        <v>25.590100111232499184918108430</v>
      </c>
      <c r="S43" s="330">
        <v>34.300149383675978864958986120</v>
      </c>
      <c r="T43" s="330">
        <v>35.368252991041455562820824390</v>
      </c>
      <c r="U43" s="330">
        <v>28.896514572259591459236099060</v>
      </c>
      <c r="V43" s="330">
        <v>48.991634330470464004419630900</v>
      </c>
      <c r="W43" s="330">
        <v>59.866405270604327755656479310</v>
      </c>
      <c r="X43" s="331">
        <v>45.341963279738433225194385070</v>
      </c>
      <c r="Y43" s="330">
        <v>27.330829736492558983822577300</v>
      </c>
      <c r="Z43" s="330">
        <v>31.768360533572091764132233880</v>
      </c>
      <c r="AA43" s="330">
        <v>37.791459875441958029101988380</v>
      </c>
      <c r="AB43" s="330">
        <v>35.423601032487286068038758260</v>
      </c>
      <c r="AC43" s="330">
        <v>59.170380872866322707474549340</v>
      </c>
      <c r="AD43" s="338">
        <v>57.314960554325097251994956180</v>
      </c>
      <c r="AE43" s="88"/>
      <c r="AF43" s="329">
        <v>41.131697931744542066745224480</v>
      </c>
      <c r="AG43" s="330">
        <v>42.171773934179165273684018150</v>
      </c>
      <c r="AH43" s="332">
        <v>38.956550648964960529531134070</v>
      </c>
      <c r="AJ43" s="244"/>
      <c r="AK43" s="244"/>
      <c r="AL43" s="244"/>
      <c r="AM43" s="244"/>
      <c r="AN43" s="244"/>
      <c r="AO43" s="244"/>
      <c r="AP43" s="244"/>
      <c r="AQ43" s="244"/>
      <c r="AR43" s="244"/>
      <c r="AS43" s="244"/>
      <c r="AT43" s="244"/>
      <c r="AU43" s="244"/>
      <c r="AV43" s="244"/>
      <c r="AW43" s="244"/>
      <c r="AX43" s="244"/>
      <c r="AY43" s="244"/>
      <c r="AZ43" s="244"/>
      <c r="BA43" s="244"/>
      <c r="BB43" s="244"/>
      <c r="BC43" s="244"/>
      <c r="BD43" s="244"/>
      <c r="BE43" s="244"/>
      <c r="BF43" s="244"/>
      <c r="BG43" s="244"/>
      <c r="BH43" s="244"/>
      <c r="BI43" s="244"/>
      <c r="BJ43" s="244"/>
    </row>
    <row r="44" ht="12" customHeight="1">
      <c r="B44" s="4"/>
      <c r="X44" s="27"/>
      <c r="AD44" s="28"/>
      <c r="AF44" s="43"/>
      <c r="AG44" s="43"/>
      <c r="AH44" s="43"/>
      <c r="AJ44" s="244"/>
      <c r="AK44" s="244"/>
      <c r="AL44" s="244"/>
      <c r="AM44" s="244"/>
      <c r="AN44" s="244"/>
      <c r="AO44" s="244"/>
      <c r="AP44" s="244"/>
      <c r="AQ44" s="244"/>
      <c r="AR44" s="244"/>
      <c r="AS44" s="244"/>
      <c r="AT44" s="244"/>
      <c r="AU44" s="244"/>
      <c r="AV44" s="244"/>
      <c r="AW44" s="244"/>
      <c r="AX44" s="244"/>
      <c r="AY44" s="244"/>
      <c r="AZ44" s="244"/>
      <c r="BA44" s="244"/>
      <c r="BB44" s="244"/>
      <c r="BC44" s="244"/>
      <c r="BD44" s="244"/>
      <c r="BE44" s="244"/>
      <c r="BF44" s="244"/>
      <c r="BG44" s="244"/>
      <c r="BH44" s="244"/>
      <c r="BI44" s="244"/>
      <c r="BJ44" s="244"/>
    </row>
    <row r="45" ht="18">
      <c r="B45" s="29"/>
      <c r="X45" s="27"/>
      <c r="AD45" s="28"/>
      <c r="AF45" s="43"/>
      <c r="AG45" s="43"/>
      <c r="AH45" s="43"/>
      <c r="AJ45" s="244"/>
      <c r="AK45" s="244"/>
      <c r="AL45" s="244"/>
      <c r="AM45" s="244"/>
      <c r="AN45" s="244"/>
      <c r="AO45" s="244"/>
      <c r="AP45" s="244"/>
      <c r="AQ45" s="244"/>
      <c r="AR45" s="244"/>
      <c r="AS45" s="244"/>
      <c r="AT45" s="244"/>
      <c r="AU45" s="244"/>
      <c r="AV45" s="244"/>
      <c r="AW45" s="244"/>
      <c r="AX45" s="244"/>
      <c r="AY45" s="244"/>
      <c r="AZ45" s="244"/>
      <c r="BA45" s="244"/>
      <c r="BB45" s="244"/>
      <c r="BC45" s="244"/>
      <c r="BD45" s="244"/>
      <c r="BE45" s="244"/>
      <c r="BF45" s="244"/>
      <c r="BG45" s="244"/>
      <c r="BH45" s="244"/>
      <c r="BI45" s="244"/>
      <c r="BJ45" s="244"/>
    </row>
    <row r="46" s="41" customFormat="1" ht="18">
      <c r="B46" s="417" t="s">
        <v>77</v>
      </c>
      <c r="C46" s="309" t="s">
        <v>148</v>
      </c>
      <c r="D46" s="310"/>
      <c r="E46" s="310"/>
      <c r="F46" s="310"/>
      <c r="G46" s="310"/>
      <c r="H46" s="310"/>
      <c r="I46" s="310"/>
      <c r="J46" s="310"/>
      <c r="K46" s="310"/>
      <c r="L46" s="656" t="s">
        <v>145</v>
      </c>
      <c r="M46" s="310"/>
      <c r="N46" s="310"/>
      <c r="O46" s="310"/>
      <c r="P46" s="310"/>
      <c r="Q46" s="310"/>
      <c r="R46" s="310"/>
      <c r="S46" s="311"/>
      <c r="T46" s="311"/>
      <c r="U46" s="311"/>
      <c r="V46" s="311"/>
      <c r="W46" s="311"/>
      <c r="X46" s="312"/>
      <c r="Y46" s="311"/>
      <c r="Z46" s="311"/>
      <c r="AA46" s="311"/>
      <c r="AB46" s="311"/>
      <c r="AC46" s="311"/>
      <c r="AD46" s="336"/>
      <c r="AE46" s="25"/>
      <c r="AF46" s="316" t="s">
        <v>58</v>
      </c>
      <c r="AG46" s="317" t="s">
        <v>59</v>
      </c>
      <c r="AH46" s="318" t="s">
        <v>59</v>
      </c>
      <c r="AI46" s="25"/>
      <c r="AJ46" s="255"/>
      <c r="AK46" s="255"/>
      <c r="AL46" s="255"/>
      <c r="AM46" s="255"/>
      <c r="AN46" s="263"/>
      <c r="AO46" s="263"/>
      <c r="AP46" s="263"/>
      <c r="AQ46" s="263"/>
      <c r="AR46" s="263"/>
      <c r="AS46" s="263"/>
      <c r="AT46" s="263"/>
      <c r="AU46" s="263"/>
      <c r="AV46" s="263"/>
      <c r="AW46" s="263"/>
      <c r="AX46" s="263"/>
      <c r="AY46" s="263"/>
      <c r="AZ46" s="263"/>
      <c r="BA46" s="263"/>
      <c r="BB46" s="263"/>
      <c r="BC46" s="263"/>
      <c r="BD46" s="263"/>
      <c r="BE46" s="263"/>
      <c r="BF46" s="263"/>
      <c r="BG46" s="263"/>
      <c r="BH46" s="263"/>
      <c r="BI46" s="263"/>
      <c r="BJ46" s="263"/>
    </row>
    <row r="47" s="42" customFormat="1">
      <c r="C47" s="313">
        <v>22</v>
      </c>
      <c r="D47" s="314">
        <v>23</v>
      </c>
      <c r="E47" s="314">
        <v>24</v>
      </c>
      <c r="F47" s="314">
        <v>25</v>
      </c>
      <c r="G47" s="314">
        <v>26</v>
      </c>
      <c r="H47" s="314">
        <v>27</v>
      </c>
      <c r="I47" s="314">
        <v>28</v>
      </c>
      <c r="J47" s="314">
        <v>29</v>
      </c>
      <c r="K47" s="314">
        <v>30</v>
      </c>
      <c r="L47" s="674">
        <v>1</v>
      </c>
      <c r="M47" s="314">
        <v>2</v>
      </c>
      <c r="N47" s="314">
        <v>3</v>
      </c>
      <c r="O47" s="314">
        <v>4</v>
      </c>
      <c r="P47" s="314">
        <v>5</v>
      </c>
      <c r="Q47" s="314">
        <v>6</v>
      </c>
      <c r="R47" s="314">
        <v>7</v>
      </c>
      <c r="S47" s="314">
        <v>8</v>
      </c>
      <c r="T47" s="314">
        <v>9</v>
      </c>
      <c r="U47" s="314">
        <v>10</v>
      </c>
      <c r="V47" s="314">
        <v>11</v>
      </c>
      <c r="W47" s="314">
        <v>12</v>
      </c>
      <c r="X47" s="315">
        <v>13</v>
      </c>
      <c r="Y47" s="314">
        <v>14</v>
      </c>
      <c r="Z47" s="314">
        <v>15</v>
      </c>
      <c r="AA47" s="314">
        <v>16</v>
      </c>
      <c r="AB47" s="314">
        <v>17</v>
      </c>
      <c r="AC47" s="314">
        <v>18</v>
      </c>
      <c r="AD47" s="373">
        <v>19</v>
      </c>
      <c r="AE47" s="25"/>
      <c r="AF47" s="319" t="s">
        <v>60</v>
      </c>
      <c r="AG47" s="320">
        <v>28</v>
      </c>
      <c r="AH47" s="321" t="s">
        <v>31</v>
      </c>
      <c r="AI47" s="25"/>
      <c r="AJ47" s="255"/>
      <c r="AK47" s="255"/>
      <c r="AL47" s="255"/>
      <c r="AM47" s="255"/>
      <c r="AN47" s="264"/>
      <c r="AO47" s="264"/>
      <c r="AP47" s="264"/>
      <c r="AQ47" s="264"/>
      <c r="AR47" s="264"/>
      <c r="AS47" s="264"/>
      <c r="AT47" s="264"/>
      <c r="AU47" s="264"/>
      <c r="AV47" s="264"/>
      <c r="AW47" s="264"/>
      <c r="AX47" s="264"/>
      <c r="AY47" s="264"/>
      <c r="AZ47" s="264"/>
      <c r="BA47" s="264"/>
      <c r="BB47" s="264"/>
      <c r="BC47" s="264"/>
      <c r="BD47" s="264"/>
      <c r="BE47" s="264"/>
      <c r="BF47" s="264"/>
      <c r="BG47" s="264"/>
      <c r="BH47" s="264"/>
      <c r="BI47" s="264"/>
      <c r="BJ47" s="264"/>
    </row>
    <row r="48" ht="14.25" customHeight="1">
      <c r="A48" s="1"/>
      <c r="B48" s="46" t="s">
        <v>26</v>
      </c>
      <c r="C48" s="444">
        <v>-40.325255573311436118172758250</v>
      </c>
      <c r="D48" s="445">
        <v>116.87317789507027483518037744</v>
      </c>
      <c r="E48" s="445">
        <v>127.59953389987919507302593306</v>
      </c>
      <c r="F48" s="445">
        <v>52.025120756255672244918578580</v>
      </c>
      <c r="G48" s="445">
        <v>45.343582278506096588518159390</v>
      </c>
      <c r="H48" s="445">
        <v>8.912224145891188151366228900</v>
      </c>
      <c r="I48" s="445">
        <v>4.8254183795511999728104343700</v>
      </c>
      <c r="J48" s="445">
        <v>72.205149080407090081458720250</v>
      </c>
      <c r="K48" s="445">
        <v>79.93141265708827146467947131</v>
      </c>
      <c r="L48" s="658">
        <v>33.179822679369586902499422980</v>
      </c>
      <c r="M48" s="445">
        <v>-20.533272580318922721206853240</v>
      </c>
      <c r="N48" s="445">
        <v>-8.570587741521919433619522620</v>
      </c>
      <c r="O48" s="445">
        <v>-19.343768656255235995945021920</v>
      </c>
      <c r="P48" s="445">
        <v>-30.420073558657122831676390580</v>
      </c>
      <c r="Q48" s="445">
        <v>45.940080871649876033537897210</v>
      </c>
      <c r="R48" s="445">
        <v>14.454638750661148531493025180</v>
      </c>
      <c r="S48" s="445">
        <v>-1.3598702577806681439805315300</v>
      </c>
      <c r="T48" s="445">
        <v>-16.141583582467868913312465870</v>
      </c>
      <c r="U48" s="445">
        <v>-24.522163609390289583894363160</v>
      </c>
      <c r="V48" s="445">
        <v>-2.7703948829167548967529900900</v>
      </c>
      <c r="W48" s="445">
        <v>-8.325469611111077648002806830</v>
      </c>
      <c r="X48" s="446">
        <v>29.755624428227672844954674460</v>
      </c>
      <c r="Y48" s="445">
        <v>-16.762118564813257930899265580</v>
      </c>
      <c r="Z48" s="445">
        <v>-5.6203808213341999729759091700</v>
      </c>
      <c r="AA48" s="445">
        <v>31.669421154854017343029930290</v>
      </c>
      <c r="AB48" s="445">
        <v>28.432545250485248460143298540</v>
      </c>
      <c r="AC48" s="445">
        <v>880.5190924674462281791410656</v>
      </c>
      <c r="AD48" s="447">
        <v>148.01550400922818532501284653</v>
      </c>
      <c r="AE48" s="448"/>
      <c r="AF48" s="444">
        <v>54.201578256035568532660717700</v>
      </c>
      <c r="AG48" s="445">
        <v>15.845845543138325760138481550</v>
      </c>
      <c r="AH48" s="449">
        <v>5.1405350144762759295637234600</v>
      </c>
      <c r="AJ48" s="244"/>
      <c r="AK48" s="244"/>
      <c r="AL48" s="244"/>
      <c r="AM48" s="244"/>
      <c r="AN48" s="244"/>
      <c r="AO48" s="244"/>
      <c r="AP48" s="244"/>
      <c r="AQ48" s="244"/>
      <c r="AR48" s="244"/>
      <c r="AS48" s="244"/>
      <c r="AT48" s="244"/>
      <c r="AU48" s="244"/>
      <c r="AV48" s="244"/>
      <c r="AW48" s="244"/>
      <c r="AX48" s="244"/>
      <c r="AY48" s="244"/>
      <c r="AZ48" s="244"/>
      <c r="BA48" s="244"/>
      <c r="BB48" s="244"/>
      <c r="BC48" s="244"/>
      <c r="BD48" s="244"/>
      <c r="BE48" s="244"/>
      <c r="BF48" s="244"/>
      <c r="BG48" s="244"/>
      <c r="BH48" s="244"/>
      <c r="BI48" s="244"/>
      <c r="BJ48" s="244"/>
    </row>
    <row r="49" ht="14.25" customHeight="1">
      <c r="A49" s="24"/>
      <c r="B49" s="48" t="s">
        <v>147</v>
      </c>
      <c r="C49" s="329">
        <v>-41.093136262841276128655437070</v>
      </c>
      <c r="D49" s="330">
        <v>101.01037555574449823257879790</v>
      </c>
      <c r="E49" s="330">
        <v>103.54836316391345446268576281</v>
      </c>
      <c r="F49" s="330">
        <v>84.99998448557412226316866498</v>
      </c>
      <c r="G49" s="330">
        <v>80.58896122147998857255775480</v>
      </c>
      <c r="H49" s="330">
        <v>22.453807567009185415746592090</v>
      </c>
      <c r="I49" s="330">
        <v>41.831243487435132684012846120</v>
      </c>
      <c r="J49" s="330">
        <v>80.95527415841101420116355503</v>
      </c>
      <c r="K49" s="330">
        <v>113.08447530320928993243587246</v>
      </c>
      <c r="L49" s="661">
        <v>72.774627246031744235431955320</v>
      </c>
      <c r="M49" s="330">
        <v>-5.8559916659732030040836821500</v>
      </c>
      <c r="N49" s="330">
        <v>2.2505346423460240437220816600</v>
      </c>
      <c r="O49" s="330">
        <v>-31.513828678064858867241623760</v>
      </c>
      <c r="P49" s="330">
        <v>-40.188298694572976274768397640</v>
      </c>
      <c r="Q49" s="330">
        <v>11.404985241233308547492260340</v>
      </c>
      <c r="R49" s="330">
        <v>-7.8243778499560232143473422800</v>
      </c>
      <c r="S49" s="330">
        <v>-16.499707509314114976472915040</v>
      </c>
      <c r="T49" s="330">
        <v>-28.435746168290508483639612860</v>
      </c>
      <c r="U49" s="330">
        <v>-40.123225028565285256384226800</v>
      </c>
      <c r="V49" s="330">
        <v>-10.949390507507744673705934620</v>
      </c>
      <c r="W49" s="330">
        <v>-3.3935976217329752015142679800</v>
      </c>
      <c r="X49" s="331">
        <v>21.225562006822485737906445790</v>
      </c>
      <c r="Y49" s="330">
        <v>-33.396461939376181756977960270</v>
      </c>
      <c r="Z49" s="330">
        <v>-2.2119158841021529622034613500</v>
      </c>
      <c r="AA49" s="330">
        <v>16.753121125503982369437642960</v>
      </c>
      <c r="AB49" s="330">
        <v>10.091479400825875517187525690</v>
      </c>
      <c r="AC49" s="330">
        <v>781.86848560802185802158881073</v>
      </c>
      <c r="AD49" s="338">
        <v>130.94425235815654699294645645</v>
      </c>
      <c r="AE49" s="88"/>
      <c r="AF49" s="329">
        <v>39.707044325428288285015044590</v>
      </c>
      <c r="AG49" s="330">
        <v>10.782457765622506464488341020</v>
      </c>
      <c r="AH49" s="332">
        <v>-3.1167946472520594963547934100</v>
      </c>
      <c r="AJ49" s="244"/>
      <c r="AK49" s="244"/>
      <c r="AL49" s="244"/>
      <c r="AM49" s="244"/>
      <c r="AN49" s="244"/>
      <c r="AO49" s="244"/>
      <c r="AP49" s="244"/>
      <c r="AQ49" s="244"/>
      <c r="AR49" s="244"/>
      <c r="AS49" s="244"/>
      <c r="AT49" s="244"/>
      <c r="AU49" s="244"/>
      <c r="AV49" s="244"/>
      <c r="AW49" s="244"/>
      <c r="AX49" s="244"/>
      <c r="AY49" s="244"/>
      <c r="AZ49" s="244"/>
      <c r="BA49" s="244"/>
      <c r="BB49" s="244"/>
      <c r="BC49" s="244"/>
      <c r="BD49" s="244"/>
      <c r="BE49" s="244"/>
      <c r="BF49" s="244"/>
      <c r="BG49" s="244"/>
      <c r="BH49" s="244"/>
      <c r="BI49" s="244"/>
      <c r="BJ49" s="244"/>
    </row>
    <row r="50" ht="14.25" customHeight="1">
      <c r="B50" s="53"/>
      <c r="C50" s="472"/>
      <c r="D50" s="472"/>
      <c r="E50" s="472"/>
      <c r="F50" s="472"/>
      <c r="G50" s="472"/>
      <c r="H50" s="472"/>
      <c r="I50" s="472"/>
      <c r="J50" s="472"/>
      <c r="K50" s="472"/>
      <c r="L50" s="472"/>
      <c r="M50" s="472"/>
      <c r="N50" s="472"/>
      <c r="O50" s="472"/>
      <c r="P50" s="472"/>
      <c r="Q50" s="472"/>
      <c r="R50" s="472"/>
      <c r="S50" s="472"/>
      <c r="T50" s="472"/>
      <c r="U50" s="472"/>
      <c r="V50" s="472"/>
      <c r="W50" s="472"/>
      <c r="X50" s="473"/>
      <c r="Y50" s="472"/>
      <c r="Z50" s="472"/>
      <c r="AA50" s="472"/>
      <c r="AB50" s="472"/>
      <c r="AC50" s="472"/>
      <c r="AD50" s="474"/>
      <c r="AE50" s="475"/>
      <c r="AF50" s="472"/>
      <c r="AG50" s="472"/>
      <c r="AH50" s="472"/>
      <c r="AJ50" s="244"/>
      <c r="AK50" s="244"/>
      <c r="AL50" s="244"/>
      <c r="AM50" s="244"/>
      <c r="AN50" s="244"/>
      <c r="AO50" s="244"/>
      <c r="AP50" s="244"/>
      <c r="AQ50" s="244"/>
      <c r="AR50" s="244"/>
      <c r="AS50" s="244"/>
      <c r="AT50" s="244"/>
      <c r="AU50" s="244"/>
      <c r="AV50" s="244"/>
      <c r="AW50" s="244"/>
      <c r="AX50" s="244"/>
      <c r="AY50" s="244"/>
      <c r="AZ50" s="244"/>
      <c r="BA50" s="244"/>
      <c r="BB50" s="244"/>
      <c r="BC50" s="244"/>
      <c r="BD50" s="244"/>
      <c r="BE50" s="244"/>
      <c r="BF50" s="244"/>
      <c r="BG50" s="244"/>
      <c r="BH50" s="244"/>
      <c r="BI50" s="244"/>
      <c r="BJ50" s="244"/>
    </row>
    <row r="51" ht="18">
      <c r="B51" s="29"/>
      <c r="X51" s="27"/>
      <c r="AD51" s="28"/>
      <c r="AF51" s="43"/>
      <c r="AG51" s="43"/>
      <c r="AH51" s="43"/>
      <c r="AJ51" s="244"/>
      <c r="AK51" s="244"/>
      <c r="AL51" s="244"/>
      <c r="AM51" s="244"/>
      <c r="AN51" s="244"/>
      <c r="AO51" s="244"/>
      <c r="AP51" s="244"/>
      <c r="AQ51" s="244"/>
      <c r="AR51" s="244"/>
      <c r="AS51" s="244"/>
      <c r="AT51" s="244"/>
      <c r="AU51" s="244"/>
      <c r="AV51" s="244"/>
      <c r="AW51" s="244"/>
      <c r="AX51" s="244"/>
      <c r="AY51" s="244"/>
      <c r="AZ51" s="244"/>
      <c r="BA51" s="244"/>
      <c r="BB51" s="244"/>
      <c r="BC51" s="244"/>
      <c r="BD51" s="244"/>
      <c r="BE51" s="244"/>
      <c r="BF51" s="244"/>
      <c r="BG51" s="244"/>
      <c r="BH51" s="244"/>
      <c r="BI51" s="244"/>
      <c r="BJ51" s="244"/>
    </row>
    <row r="52" ht="18">
      <c r="B52" s="417" t="s">
        <v>55</v>
      </c>
      <c r="C52" s="309" t="s">
        <v>148</v>
      </c>
      <c r="D52" s="310"/>
      <c r="E52" s="310"/>
      <c r="F52" s="310"/>
      <c r="G52" s="310"/>
      <c r="H52" s="310"/>
      <c r="I52" s="310"/>
      <c r="J52" s="310"/>
      <c r="K52" s="310"/>
      <c r="L52" s="656" t="s">
        <v>145</v>
      </c>
      <c r="M52" s="310"/>
      <c r="N52" s="310"/>
      <c r="O52" s="310"/>
      <c r="P52" s="310"/>
      <c r="Q52" s="310"/>
      <c r="R52" s="310"/>
      <c r="S52" s="311"/>
      <c r="T52" s="311"/>
      <c r="U52" s="311"/>
      <c r="V52" s="311"/>
      <c r="W52" s="311"/>
      <c r="X52" s="312"/>
      <c r="Y52" s="311"/>
      <c r="Z52" s="311"/>
      <c r="AA52" s="311"/>
      <c r="AB52" s="311"/>
      <c r="AC52" s="311"/>
      <c r="AD52" s="336"/>
      <c r="AE52" s="25"/>
      <c r="AF52" s="316" t="s">
        <v>58</v>
      </c>
      <c r="AG52" s="317" t="s">
        <v>59</v>
      </c>
      <c r="AH52" s="318" t="s">
        <v>59</v>
      </c>
      <c r="AJ52" s="244"/>
      <c r="AK52" s="244"/>
      <c r="AL52" s="244"/>
      <c r="AM52" s="244"/>
      <c r="AN52" s="244"/>
      <c r="AO52" s="244"/>
      <c r="AP52" s="244"/>
      <c r="AQ52" s="244"/>
      <c r="AR52" s="244"/>
      <c r="AS52" s="244"/>
      <c r="AT52" s="244"/>
      <c r="AU52" s="244"/>
      <c r="AV52" s="244"/>
      <c r="AW52" s="244"/>
      <c r="AX52" s="244"/>
      <c r="AY52" s="244"/>
      <c r="AZ52" s="244"/>
      <c r="BA52" s="244"/>
      <c r="BB52" s="244"/>
      <c r="BC52" s="244"/>
      <c r="BD52" s="244"/>
      <c r="BE52" s="244"/>
      <c r="BF52" s="244"/>
      <c r="BG52" s="244"/>
      <c r="BH52" s="244"/>
      <c r="BI52" s="244"/>
      <c r="BJ52" s="244"/>
    </row>
    <row r="53">
      <c r="B53" s="42"/>
      <c r="C53" s="313">
        <v>22</v>
      </c>
      <c r="D53" s="314">
        <v>23</v>
      </c>
      <c r="E53" s="314">
        <v>24</v>
      </c>
      <c r="F53" s="314">
        <v>25</v>
      </c>
      <c r="G53" s="314">
        <v>26</v>
      </c>
      <c r="H53" s="314">
        <v>27</v>
      </c>
      <c r="I53" s="314">
        <v>28</v>
      </c>
      <c r="J53" s="314">
        <v>29</v>
      </c>
      <c r="K53" s="314">
        <v>30</v>
      </c>
      <c r="L53" s="674">
        <v>1</v>
      </c>
      <c r="M53" s="314">
        <v>2</v>
      </c>
      <c r="N53" s="314">
        <v>3</v>
      </c>
      <c r="O53" s="314">
        <v>4</v>
      </c>
      <c r="P53" s="314">
        <v>5</v>
      </c>
      <c r="Q53" s="314">
        <v>6</v>
      </c>
      <c r="R53" s="314">
        <v>7</v>
      </c>
      <c r="S53" s="314">
        <v>8</v>
      </c>
      <c r="T53" s="314">
        <v>9</v>
      </c>
      <c r="U53" s="314">
        <v>10</v>
      </c>
      <c r="V53" s="314">
        <v>11</v>
      </c>
      <c r="W53" s="314">
        <v>12</v>
      </c>
      <c r="X53" s="315">
        <v>13</v>
      </c>
      <c r="Y53" s="314">
        <v>14</v>
      </c>
      <c r="Z53" s="314">
        <v>15</v>
      </c>
      <c r="AA53" s="314">
        <v>16</v>
      </c>
      <c r="AB53" s="314">
        <v>17</v>
      </c>
      <c r="AC53" s="314">
        <v>18</v>
      </c>
      <c r="AD53" s="373">
        <v>19</v>
      </c>
      <c r="AE53" s="25"/>
      <c r="AF53" s="319" t="s">
        <v>60</v>
      </c>
      <c r="AG53" s="320">
        <v>28</v>
      </c>
      <c r="AH53" s="321" t="s">
        <v>31</v>
      </c>
      <c r="AJ53" s="244"/>
      <c r="AK53" s="244"/>
      <c r="AL53" s="244"/>
      <c r="AM53" s="244"/>
      <c r="AN53" s="244"/>
      <c r="AO53" s="244"/>
      <c r="AP53" s="244"/>
      <c r="AQ53" s="244"/>
      <c r="AR53" s="244"/>
      <c r="AS53" s="244"/>
      <c r="AT53" s="244"/>
      <c r="AU53" s="244"/>
      <c r="AV53" s="244"/>
      <c r="AW53" s="244"/>
      <c r="AX53" s="244"/>
      <c r="AY53" s="244"/>
      <c r="AZ53" s="244"/>
      <c r="BA53" s="244"/>
      <c r="BB53" s="244"/>
      <c r="BC53" s="244"/>
      <c r="BD53" s="244"/>
      <c r="BE53" s="244"/>
      <c r="BF53" s="244"/>
      <c r="BG53" s="244"/>
      <c r="BH53" s="244"/>
      <c r="BI53" s="244"/>
      <c r="BJ53" s="244"/>
    </row>
    <row r="54" ht="14.25" customHeight="1">
      <c r="B54" s="46" t="s">
        <v>56</v>
      </c>
      <c r="C54" s="444" t="s">
        <v>158</v>
      </c>
      <c r="D54" s="445" t="s">
        <v>157</v>
      </c>
      <c r="E54" s="445" t="s">
        <v>151</v>
      </c>
      <c r="F54" s="445" t="s">
        <v>149</v>
      </c>
      <c r="G54" s="445" t="s">
        <v>159</v>
      </c>
      <c r="H54" s="445" t="s">
        <v>153</v>
      </c>
      <c r="I54" s="445" t="s">
        <v>149</v>
      </c>
      <c r="J54" s="445" t="s">
        <v>149</v>
      </c>
      <c r="K54" s="445" t="s">
        <v>153</v>
      </c>
      <c r="L54" s="658" t="s">
        <v>149</v>
      </c>
      <c r="M54" s="445" t="s">
        <v>149</v>
      </c>
      <c r="N54" s="445" t="s">
        <v>149</v>
      </c>
      <c r="O54" s="445" t="s">
        <v>151</v>
      </c>
      <c r="P54" s="445" t="s">
        <v>153</v>
      </c>
      <c r="Q54" s="445" t="s">
        <v>158</v>
      </c>
      <c r="R54" s="445" t="s">
        <v>149</v>
      </c>
      <c r="S54" s="445" t="s">
        <v>149</v>
      </c>
      <c r="T54" s="445" t="s">
        <v>158</v>
      </c>
      <c r="U54" s="445" t="s">
        <v>158</v>
      </c>
      <c r="V54" s="445" t="s">
        <v>149</v>
      </c>
      <c r="W54" s="445" t="s">
        <v>153</v>
      </c>
      <c r="X54" s="446" t="s">
        <v>153</v>
      </c>
      <c r="Y54" s="445" t="s">
        <v>149</v>
      </c>
      <c r="Z54" s="445" t="s">
        <v>158</v>
      </c>
      <c r="AA54" s="445" t="s">
        <v>153</v>
      </c>
      <c r="AB54" s="445" t="s">
        <v>158</v>
      </c>
      <c r="AC54" s="445" t="s">
        <v>149</v>
      </c>
      <c r="AD54" s="447" t="s">
        <v>153</v>
      </c>
      <c r="AE54" s="448"/>
      <c r="AF54" s="444" t="s">
        <v>149</v>
      </c>
      <c r="AG54" s="445" t="s">
        <v>153</v>
      </c>
      <c r="AH54" s="449" t="s">
        <v>149</v>
      </c>
      <c r="AJ54" s="244"/>
      <c r="AK54" s="244"/>
      <c r="AL54" s="244"/>
      <c r="AM54" s="244"/>
      <c r="AN54" s="244"/>
      <c r="AO54" s="244"/>
      <c r="AP54" s="244"/>
      <c r="AQ54" s="244"/>
      <c r="AR54" s="244"/>
      <c r="AS54" s="244"/>
      <c r="AT54" s="244"/>
      <c r="AU54" s="244"/>
      <c r="AV54" s="244"/>
      <c r="AW54" s="244"/>
      <c r="AX54" s="244"/>
      <c r="AY54" s="244"/>
      <c r="AZ54" s="244"/>
      <c r="BA54" s="244"/>
      <c r="BB54" s="244"/>
      <c r="BC54" s="244"/>
      <c r="BD54" s="244"/>
      <c r="BE54" s="244"/>
      <c r="BF54" s="244"/>
      <c r="BG54" s="244"/>
      <c r="BH54" s="244"/>
      <c r="BI54" s="244"/>
      <c r="BJ54" s="244"/>
    </row>
    <row r="55" ht="14.25" customHeight="1" thickBot="1">
      <c r="B55" s="48" t="s">
        <v>79</v>
      </c>
      <c r="C55" s="329" t="s">
        <v>149</v>
      </c>
      <c r="D55" s="330" t="s">
        <v>154</v>
      </c>
      <c r="E55" s="330" t="s">
        <v>154</v>
      </c>
      <c r="F55" s="330" t="s">
        <v>152</v>
      </c>
      <c r="G55" s="330" t="s">
        <v>156</v>
      </c>
      <c r="H55" s="330" t="s">
        <v>151</v>
      </c>
      <c r="I55" s="330" t="s">
        <v>150</v>
      </c>
      <c r="J55" s="330" t="s">
        <v>152</v>
      </c>
      <c r="K55" s="330" t="s">
        <v>154</v>
      </c>
      <c r="L55" s="661" t="s">
        <v>150</v>
      </c>
      <c r="M55" s="330" t="s">
        <v>151</v>
      </c>
      <c r="N55" s="330" t="s">
        <v>151</v>
      </c>
      <c r="O55" s="330" t="s">
        <v>153</v>
      </c>
      <c r="P55" s="330" t="s">
        <v>149</v>
      </c>
      <c r="Q55" s="330" t="s">
        <v>150</v>
      </c>
      <c r="R55" s="330" t="s">
        <v>151</v>
      </c>
      <c r="S55" s="330" t="s">
        <v>153</v>
      </c>
      <c r="T55" s="330" t="s">
        <v>149</v>
      </c>
      <c r="U55" s="330" t="s">
        <v>149</v>
      </c>
      <c r="V55" s="330" t="s">
        <v>151</v>
      </c>
      <c r="W55" s="330" t="s">
        <v>151</v>
      </c>
      <c r="X55" s="89" t="s">
        <v>152</v>
      </c>
      <c r="Y55" s="90" t="s">
        <v>151</v>
      </c>
      <c r="Z55" s="90" t="s">
        <v>153</v>
      </c>
      <c r="AA55" s="90" t="s">
        <v>152</v>
      </c>
      <c r="AB55" s="90" t="s">
        <v>157</v>
      </c>
      <c r="AC55" s="90" t="s">
        <v>154</v>
      </c>
      <c r="AD55" s="91" t="s">
        <v>152</v>
      </c>
      <c r="AE55" s="88"/>
      <c r="AF55" s="329" t="s">
        <v>152</v>
      </c>
      <c r="AG55" s="330" t="s">
        <v>157</v>
      </c>
      <c r="AH55" s="332" t="s">
        <v>151</v>
      </c>
      <c r="AJ55" s="244"/>
      <c r="AK55" s="244"/>
      <c r="AL55" s="244"/>
      <c r="AM55" s="244"/>
      <c r="AN55" s="244"/>
      <c r="AO55" s="244"/>
      <c r="AP55" s="244"/>
      <c r="AQ55" s="244"/>
      <c r="AR55" s="244"/>
      <c r="AS55" s="244"/>
      <c r="AT55" s="244"/>
      <c r="AU55" s="244"/>
      <c r="AV55" s="244"/>
      <c r="AW55" s="244"/>
      <c r="AX55" s="244"/>
      <c r="AY55" s="244"/>
      <c r="AZ55" s="244"/>
      <c r="BA55" s="244"/>
      <c r="BB55" s="244"/>
      <c r="BC55" s="244"/>
      <c r="BD55" s="244"/>
      <c r="BE55" s="244"/>
      <c r="BF55" s="244"/>
      <c r="BG55" s="244"/>
      <c r="BH55" s="244"/>
      <c r="BI55" s="244"/>
      <c r="BJ55" s="244"/>
    </row>
    <row r="56" ht="9.95" customHeight="1">
      <c r="AJ56" s="244"/>
      <c r="AK56" s="244"/>
      <c r="AL56" s="244"/>
      <c r="AM56" s="244"/>
      <c r="AN56" s="244"/>
      <c r="AO56" s="244"/>
      <c r="AP56" s="244"/>
      <c r="AQ56" s="244"/>
      <c r="AR56" s="244"/>
      <c r="AS56" s="244"/>
      <c r="AT56" s="244"/>
      <c r="AU56" s="244"/>
      <c r="AV56" s="244"/>
      <c r="AW56" s="244"/>
      <c r="AX56" s="244"/>
      <c r="AY56" s="244"/>
      <c r="AZ56" s="244"/>
      <c r="BA56" s="244"/>
      <c r="BB56" s="244"/>
      <c r="BC56" s="244"/>
      <c r="BD56" s="244"/>
      <c r="BE56" s="244"/>
      <c r="BF56" s="244"/>
      <c r="BG56" s="244"/>
      <c r="BH56" s="244"/>
      <c r="BI56" s="244"/>
      <c r="BJ56" s="244"/>
    </row>
    <row r="57" ht="9.95" customHeight="1">
      <c r="AJ57" s="244"/>
      <c r="AK57" s="244"/>
      <c r="AL57" s="244"/>
      <c r="AM57" s="244"/>
      <c r="AN57" s="244"/>
      <c r="AO57" s="244"/>
      <c r="AP57" s="244"/>
      <c r="AQ57" s="244"/>
      <c r="AR57" s="244"/>
      <c r="AS57" s="244"/>
      <c r="AT57" s="244"/>
      <c r="AU57" s="244"/>
      <c r="AV57" s="244"/>
      <c r="AW57" s="244"/>
      <c r="AX57" s="244"/>
      <c r="AY57" s="244"/>
      <c r="AZ57" s="244"/>
      <c r="BA57" s="244"/>
      <c r="BB57" s="244"/>
      <c r="BC57" s="244"/>
      <c r="BD57" s="244"/>
      <c r="BE57" s="244"/>
      <c r="BF57" s="244"/>
      <c r="BG57" s="244"/>
      <c r="BH57" s="244"/>
      <c r="BI57" s="244"/>
      <c r="BJ57" s="244"/>
    </row>
    <row r="58" ht="24.95" customHeight="1">
      <c r="B58" s="611" t="s">
        <v>114</v>
      </c>
      <c r="C58" s="611"/>
      <c r="D58" s="611"/>
      <c r="E58" s="611"/>
      <c r="F58" s="611"/>
      <c r="G58" s="611"/>
      <c r="H58" s="611"/>
      <c r="I58" s="611"/>
      <c r="J58" s="611"/>
      <c r="K58" s="611"/>
      <c r="L58" s="611"/>
      <c r="M58" s="611"/>
      <c r="N58" s="611"/>
      <c r="O58" s="611"/>
      <c r="P58" s="611"/>
      <c r="Q58" s="611"/>
      <c r="R58" s="611"/>
      <c r="S58" s="611"/>
      <c r="T58" s="611"/>
      <c r="U58" s="611"/>
      <c r="V58" s="611"/>
      <c r="W58" s="611"/>
      <c r="X58" s="611"/>
      <c r="Y58" s="611"/>
      <c r="Z58" s="611"/>
      <c r="AA58" s="611"/>
      <c r="AB58" s="611"/>
      <c r="AC58" s="611"/>
      <c r="AD58" s="611"/>
      <c r="AE58" s="611"/>
      <c r="AF58" s="611"/>
      <c r="AG58" s="611"/>
      <c r="AH58" s="611"/>
      <c r="AJ58" s="244"/>
      <c r="AK58" s="244"/>
      <c r="AL58" s="244"/>
      <c r="AM58" s="244"/>
      <c r="AN58" s="244"/>
      <c r="AO58" s="244"/>
      <c r="AP58" s="244"/>
      <c r="AQ58" s="244"/>
      <c r="AR58" s="244"/>
      <c r="AS58" s="244"/>
      <c r="AT58" s="244"/>
      <c r="AU58" s="244"/>
      <c r="AV58" s="244"/>
      <c r="AW58" s="244"/>
      <c r="AX58" s="244"/>
      <c r="AY58" s="244"/>
      <c r="AZ58" s="244"/>
      <c r="BA58" s="244"/>
      <c r="BB58" s="244"/>
      <c r="BC58" s="244"/>
      <c r="BD58" s="244"/>
      <c r="BE58" s="244"/>
      <c r="BF58" s="244"/>
      <c r="BG58" s="244"/>
      <c r="BH58" s="244"/>
      <c r="BI58" s="244"/>
      <c r="BJ58" s="244"/>
    </row>
    <row r="59" ht="9.95" customHeight="1">
      <c r="AF59" s="80"/>
      <c r="AG59" s="242"/>
      <c r="AJ59" s="244"/>
      <c r="AK59" s="244"/>
      <c r="AL59" s="244"/>
      <c r="AM59" s="244"/>
      <c r="AN59" s="244"/>
      <c r="AO59" s="244"/>
      <c r="AP59" s="244"/>
      <c r="AQ59" s="244"/>
      <c r="AR59" s="244"/>
      <c r="AS59" s="244"/>
      <c r="AT59" s="244"/>
      <c r="AU59" s="244"/>
      <c r="AV59" s="244"/>
      <c r="AW59" s="244"/>
      <c r="AX59" s="244"/>
      <c r="AY59" s="244"/>
      <c r="AZ59" s="244"/>
      <c r="BA59" s="244"/>
      <c r="BB59" s="244"/>
      <c r="BC59" s="244"/>
      <c r="BD59" s="244"/>
      <c r="BE59" s="244"/>
      <c r="BF59" s="244"/>
      <c r="BG59" s="244"/>
      <c r="BH59" s="244"/>
      <c r="BI59" s="244"/>
      <c r="BJ59" s="244"/>
    </row>
    <row r="60" ht="9.95" customHeight="1">
      <c r="B60" s="235"/>
      <c r="AJ60" s="244"/>
      <c r="AK60" s="244"/>
      <c r="AL60" s="244"/>
      <c r="AM60" s="244"/>
      <c r="AN60" s="244"/>
      <c r="AO60" s="244"/>
      <c r="AP60" s="244"/>
      <c r="AQ60" s="244"/>
      <c r="AR60" s="244"/>
      <c r="AS60" s="244"/>
      <c r="AT60" s="244"/>
      <c r="AU60" s="244"/>
      <c r="AV60" s="244"/>
      <c r="AW60" s="244"/>
      <c r="AX60" s="244"/>
      <c r="AY60" s="244"/>
      <c r="AZ60" s="244"/>
      <c r="BA60" s="244"/>
      <c r="BB60" s="244"/>
      <c r="BC60" s="244"/>
      <c r="BD60" s="244"/>
      <c r="BE60" s="244"/>
      <c r="BF60" s="244"/>
      <c r="BG60" s="244"/>
      <c r="BH60" s="244"/>
      <c r="BI60" s="244"/>
      <c r="BJ60" s="244"/>
    </row>
    <row r="61" ht="9.95" customHeight="1">
      <c r="AJ61" s="244"/>
      <c r="AK61" s="244"/>
      <c r="AL61" s="244"/>
      <c r="AM61" s="244"/>
      <c r="AN61" s="244"/>
      <c r="AO61" s="244"/>
      <c r="AP61" s="244"/>
      <c r="AQ61" s="244"/>
      <c r="AR61" s="244"/>
      <c r="AS61" s="244"/>
      <c r="AT61" s="244"/>
      <c r="AU61" s="244"/>
      <c r="AV61" s="244"/>
      <c r="AW61" s="244"/>
      <c r="AX61" s="244"/>
      <c r="AY61" s="244"/>
      <c r="AZ61" s="244"/>
      <c r="BA61" s="244"/>
      <c r="BB61" s="244"/>
      <c r="BC61" s="244"/>
      <c r="BD61" s="244"/>
      <c r="BE61" s="244"/>
      <c r="BF61" s="244"/>
      <c r="BG61" s="244"/>
      <c r="BH61" s="244"/>
      <c r="BI61" s="244"/>
      <c r="BJ61" s="244"/>
    </row>
    <row r="62">
      <c r="A62" s="244"/>
      <c r="B62" s="244"/>
      <c r="C62" s="244"/>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c r="BB62" s="244"/>
      <c r="BC62" s="244"/>
      <c r="BD62" s="244"/>
      <c r="BE62" s="244"/>
      <c r="BF62" s="244"/>
      <c r="BG62" s="244"/>
      <c r="BH62" s="244"/>
      <c r="BI62" s="244"/>
      <c r="BJ62" s="244"/>
    </row>
    <row r="63">
      <c r="A63" s="244"/>
      <c r="B63" s="244"/>
      <c r="C63" s="244"/>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c r="BB63" s="244"/>
      <c r="BC63" s="244"/>
      <c r="BD63" s="244"/>
      <c r="BE63" s="244"/>
      <c r="BF63" s="244"/>
      <c r="BG63" s="244"/>
      <c r="BH63" s="244"/>
      <c r="BI63" s="244"/>
      <c r="BJ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c r="BH64" s="244"/>
      <c r="BI64" s="244"/>
      <c r="BJ64" s="244"/>
    </row>
    <row r="65">
      <c r="A65" s="664"/>
      <c r="B65" s="664"/>
      <c r="C65" s="664"/>
      <c r="D65" s="664"/>
      <c r="E65" s="664"/>
      <c r="F65" s="664"/>
      <c r="G65" s="664"/>
      <c r="H65" s="664"/>
      <c r="I65" s="664"/>
      <c r="J65" s="664"/>
      <c r="K65" s="664"/>
      <c r="L65" s="664"/>
      <c r="M65" s="664"/>
      <c r="N65" s="664"/>
      <c r="O65" s="664"/>
      <c r="P65" s="664"/>
      <c r="Q65" s="664"/>
      <c r="R65" s="664"/>
      <c r="S65" s="664"/>
      <c r="T65" s="664"/>
      <c r="U65" s="664"/>
      <c r="V65" s="664"/>
      <c r="W65" s="664"/>
      <c r="X65" s="664"/>
      <c r="Y65" s="664"/>
      <c r="Z65" s="664"/>
      <c r="AA65" s="664"/>
      <c r="AB65" s="664"/>
      <c r="AC65" s="664"/>
      <c r="AD65" s="664"/>
      <c r="AE65" s="664"/>
      <c r="AF65" s="664"/>
      <c r="AG65" s="664"/>
      <c r="AH65" s="244"/>
      <c r="AI65" s="244"/>
      <c r="AJ65" s="244"/>
      <c r="AK65" s="244"/>
      <c r="AL65" s="244"/>
      <c r="AM65" s="244"/>
      <c r="AN65" s="244"/>
      <c r="AO65" s="244"/>
      <c r="AP65" s="244"/>
      <c r="AQ65" s="244"/>
      <c r="AR65" s="244"/>
      <c r="AS65" s="244"/>
      <c r="AT65" s="244"/>
      <c r="AU65" s="244"/>
      <c r="AV65" s="244"/>
      <c r="AW65" s="244"/>
      <c r="AX65" s="244"/>
      <c r="AY65" s="244"/>
      <c r="AZ65" s="244"/>
      <c r="BA65" s="244"/>
      <c r="BB65" s="244"/>
      <c r="BC65" s="244"/>
      <c r="BD65" s="244"/>
      <c r="BE65" s="244"/>
      <c r="BF65" s="244"/>
      <c r="BG65" s="244"/>
      <c r="BH65" s="244"/>
      <c r="BI65" s="244"/>
      <c r="BJ65" s="244"/>
    </row>
    <row r="66">
      <c r="A66" s="664"/>
      <c r="B66" s="664"/>
      <c r="C66" s="664"/>
      <c r="D66" s="664"/>
      <c r="E66" s="664"/>
      <c r="F66" s="664"/>
      <c r="G66" s="664"/>
      <c r="H66" s="664"/>
      <c r="I66" s="664"/>
      <c r="J66" s="664"/>
      <c r="K66" s="664"/>
      <c r="L66" s="664"/>
      <c r="M66" s="664"/>
      <c r="N66" s="664"/>
      <c r="O66" s="664"/>
      <c r="P66" s="664"/>
      <c r="Q66" s="664"/>
      <c r="R66" s="664"/>
      <c r="S66" s="664"/>
      <c r="T66" s="664"/>
      <c r="U66" s="664"/>
      <c r="V66" s="664"/>
      <c r="W66" s="664"/>
      <c r="X66" s="664"/>
      <c r="Y66" s="664"/>
      <c r="Z66" s="664"/>
      <c r="AA66" s="664"/>
      <c r="AB66" s="664"/>
      <c r="AC66" s="664"/>
      <c r="AD66" s="664"/>
      <c r="AE66" s="664"/>
      <c r="AF66" s="664"/>
      <c r="AG66" s="664"/>
      <c r="AH66" s="244"/>
      <c r="AI66" s="244"/>
      <c r="AJ66" s="244"/>
      <c r="AK66" s="244"/>
      <c r="AL66" s="244"/>
      <c r="AM66" s="244"/>
      <c r="AN66" s="244"/>
      <c r="AO66" s="244"/>
      <c r="AP66" s="244"/>
      <c r="AQ66" s="244"/>
      <c r="AR66" s="244"/>
      <c r="AS66" s="244"/>
      <c r="AT66" s="244"/>
      <c r="AU66" s="244"/>
      <c r="AV66" s="244"/>
      <c r="AW66" s="244"/>
      <c r="AX66" s="244"/>
      <c r="AY66" s="244"/>
      <c r="AZ66" s="244"/>
      <c r="BA66" s="244"/>
      <c r="BB66" s="244"/>
      <c r="BC66" s="244"/>
      <c r="BD66" s="244"/>
      <c r="BE66" s="244"/>
      <c r="BF66" s="244"/>
      <c r="BG66" s="244"/>
      <c r="BH66" s="244"/>
      <c r="BI66" s="244"/>
      <c r="BJ66" s="244"/>
    </row>
    <row r="67">
      <c r="A67" s="664"/>
      <c r="B67" s="664"/>
      <c r="C67" s="664"/>
      <c r="D67" s="664"/>
      <c r="E67" s="664"/>
      <c r="F67" s="664"/>
      <c r="G67" s="664"/>
      <c r="H67" s="664"/>
      <c r="I67" s="664"/>
      <c r="J67" s="664"/>
      <c r="K67" s="664"/>
      <c r="L67" s="664"/>
      <c r="M67" s="664"/>
      <c r="N67" s="664"/>
      <c r="O67" s="664"/>
      <c r="P67" s="664"/>
      <c r="Q67" s="664"/>
      <c r="R67" s="664"/>
      <c r="S67" s="664"/>
      <c r="T67" s="664"/>
      <c r="U67" s="664"/>
      <c r="V67" s="664"/>
      <c r="W67" s="664"/>
      <c r="X67" s="664"/>
      <c r="Y67" s="664"/>
      <c r="Z67" s="664"/>
      <c r="AA67" s="664"/>
      <c r="AB67" s="664"/>
      <c r="AC67" s="664"/>
      <c r="AD67" s="664"/>
      <c r="AE67" s="664"/>
      <c r="AF67" s="664"/>
      <c r="AG67" s="664"/>
      <c r="AH67" s="244"/>
      <c r="AI67" s="244"/>
      <c r="AJ67" s="244"/>
      <c r="AK67" s="244"/>
      <c r="AL67" s="244"/>
      <c r="AM67" s="244"/>
      <c r="AN67" s="244"/>
      <c r="AO67" s="244"/>
      <c r="AP67" s="244"/>
      <c r="AQ67" s="244"/>
      <c r="AR67" s="244"/>
      <c r="AS67" s="244"/>
      <c r="AT67" s="244"/>
      <c r="AU67" s="244"/>
      <c r="AV67" s="244"/>
      <c r="AW67" s="244"/>
      <c r="AX67" s="244"/>
      <c r="AY67" s="244"/>
      <c r="AZ67" s="244"/>
      <c r="BA67" s="244"/>
      <c r="BB67" s="244"/>
      <c r="BC67" s="244"/>
      <c r="BD67" s="244"/>
      <c r="BE67" s="244"/>
      <c r="BF67" s="244"/>
      <c r="BG67" s="244"/>
      <c r="BH67" s="244"/>
      <c r="BI67" s="244"/>
      <c r="BJ67" s="244"/>
    </row>
    <row r="68" s="25" customFormat="1">
      <c r="A68" s="664"/>
      <c r="B68" s="664"/>
      <c r="C68" s="664"/>
      <c r="D68" s="664"/>
      <c r="E68" s="664"/>
      <c r="F68" s="664"/>
      <c r="G68" s="664"/>
      <c r="H68" s="664"/>
      <c r="I68" s="664"/>
      <c r="J68" s="664"/>
      <c r="K68" s="664"/>
      <c r="L68" s="664"/>
      <c r="M68" s="664"/>
      <c r="N68" s="664"/>
      <c r="O68" s="664"/>
      <c r="P68" s="664"/>
      <c r="Q68" s="664"/>
      <c r="R68" s="664"/>
      <c r="S68" s="664"/>
      <c r="T68" s="664"/>
      <c r="U68" s="664"/>
      <c r="V68" s="664"/>
      <c r="W68" s="664"/>
      <c r="X68" s="664"/>
      <c r="Y68" s="664"/>
      <c r="Z68" s="664"/>
      <c r="AA68" s="664"/>
      <c r="AB68" s="664"/>
      <c r="AC68" s="664"/>
      <c r="AD68" s="664"/>
      <c r="AE68" s="664"/>
      <c r="AF68" s="664"/>
      <c r="AG68" s="664"/>
      <c r="AH68" s="255"/>
      <c r="AI68" s="255"/>
      <c r="AJ68" s="255"/>
      <c r="AK68" s="255"/>
      <c r="AL68" s="255"/>
      <c r="AM68" s="255"/>
      <c r="AN68" s="255"/>
      <c r="AO68" s="255"/>
      <c r="AP68" s="255"/>
      <c r="AQ68" s="255"/>
      <c r="AR68" s="255"/>
      <c r="AS68" s="255"/>
      <c r="AT68" s="255"/>
      <c r="AU68" s="255"/>
      <c r="AV68" s="255"/>
      <c r="AW68" s="255"/>
      <c r="AX68" s="255"/>
      <c r="AY68" s="255"/>
      <c r="AZ68" s="255"/>
      <c r="BA68" s="255"/>
      <c r="BB68" s="255"/>
      <c r="BC68" s="255"/>
      <c r="BD68" s="255"/>
      <c r="BE68" s="255"/>
      <c r="BF68" s="255"/>
      <c r="BG68" s="255"/>
      <c r="BH68" s="255"/>
      <c r="BI68" s="255"/>
      <c r="BJ68" s="255"/>
    </row>
    <row r="69" s="25" customFormat="1" ht="10.5" customHeight="1">
      <c r="A69" s="664"/>
      <c r="B69" s="664"/>
      <c r="C69" s="664"/>
      <c r="D69" s="664"/>
      <c r="E69" s="664"/>
      <c r="F69" s="664"/>
      <c r="G69" s="664"/>
      <c r="H69" s="664"/>
      <c r="I69" s="664"/>
      <c r="J69" s="664"/>
      <c r="K69" s="664"/>
      <c r="L69" s="664"/>
      <c r="M69" s="664"/>
      <c r="N69" s="664"/>
      <c r="O69" s="664"/>
      <c r="P69" s="664"/>
      <c r="Q69" s="664"/>
      <c r="R69" s="664"/>
      <c r="S69" s="664"/>
      <c r="T69" s="664"/>
      <c r="U69" s="664"/>
      <c r="V69" s="664"/>
      <c r="W69" s="664"/>
      <c r="X69" s="664"/>
      <c r="Y69" s="664"/>
      <c r="Z69" s="664"/>
      <c r="AA69" s="664"/>
      <c r="AB69" s="664"/>
      <c r="AC69" s="664"/>
      <c r="AD69" s="664"/>
      <c r="AE69" s="664"/>
      <c r="AF69" s="664"/>
      <c r="AG69" s="664"/>
      <c r="AH69" s="255"/>
      <c r="AI69" s="255"/>
      <c r="AJ69" s="255"/>
      <c r="AK69" s="255"/>
      <c r="AL69" s="255"/>
      <c r="AM69" s="255"/>
      <c r="AN69" s="255"/>
      <c r="AO69" s="255"/>
      <c r="AP69" s="255"/>
      <c r="AQ69" s="255"/>
      <c r="AR69" s="255"/>
      <c r="AS69" s="255"/>
      <c r="AT69" s="255"/>
      <c r="AU69" s="255"/>
      <c r="AV69" s="255"/>
      <c r="AW69" s="255"/>
      <c r="AX69" s="255"/>
      <c r="AY69" s="255"/>
      <c r="AZ69" s="255"/>
      <c r="BA69" s="255"/>
      <c r="BB69" s="255"/>
      <c r="BC69" s="255"/>
      <c r="BD69" s="255"/>
      <c r="BE69" s="255"/>
      <c r="BF69" s="255"/>
      <c r="BG69" s="255"/>
      <c r="BH69" s="255"/>
      <c r="BI69" s="255"/>
      <c r="BJ69" s="255"/>
    </row>
    <row r="70" s="25" customFormat="1">
      <c r="A70" s="664"/>
      <c r="B70" s="664"/>
      <c r="C70" s="664"/>
      <c r="D70" s="664"/>
      <c r="E70" s="664"/>
      <c r="F70" s="664"/>
      <c r="G70" s="664"/>
      <c r="H70" s="664"/>
      <c r="I70" s="664"/>
      <c r="J70" s="664"/>
      <c r="K70" s="664"/>
      <c r="L70" s="664"/>
      <c r="M70" s="664"/>
      <c r="N70" s="664"/>
      <c r="O70" s="664"/>
      <c r="P70" s="664"/>
      <c r="Q70" s="664"/>
      <c r="R70" s="664"/>
      <c r="S70" s="664"/>
      <c r="T70" s="664"/>
      <c r="U70" s="664"/>
      <c r="V70" s="664"/>
      <c r="W70" s="664"/>
      <c r="X70" s="664"/>
      <c r="Y70" s="664"/>
      <c r="Z70" s="664"/>
      <c r="AA70" s="664"/>
      <c r="AB70" s="664"/>
      <c r="AC70" s="664"/>
      <c r="AD70" s="664"/>
      <c r="AE70" s="664"/>
      <c r="AF70" s="664"/>
      <c r="AG70" s="664"/>
      <c r="AH70" s="255"/>
      <c r="AI70" s="255"/>
      <c r="AJ70" s="255"/>
      <c r="AK70" s="255"/>
      <c r="AL70" s="255"/>
      <c r="AM70" s="255"/>
      <c r="AN70" s="255"/>
      <c r="AO70" s="255"/>
      <c r="AP70" s="255"/>
      <c r="AQ70" s="255"/>
      <c r="AR70" s="255"/>
      <c r="AS70" s="255"/>
      <c r="AT70" s="255"/>
      <c r="AU70" s="255"/>
      <c r="AV70" s="255"/>
      <c r="AW70" s="255"/>
      <c r="AX70" s="255"/>
      <c r="AY70" s="255"/>
      <c r="AZ70" s="255"/>
      <c r="BA70" s="255"/>
      <c r="BB70" s="255"/>
      <c r="BC70" s="255"/>
      <c r="BD70" s="255"/>
      <c r="BE70" s="255"/>
      <c r="BF70" s="255"/>
      <c r="BG70" s="255"/>
      <c r="BH70" s="255"/>
      <c r="BI70" s="255"/>
      <c r="BJ70" s="255"/>
    </row>
    <row r="71" s="25" customFormat="1">
      <c r="A71" s="664"/>
      <c r="B71" s="664">
        <v>1</v>
      </c>
      <c r="C71" s="664">
        <v>2</v>
      </c>
      <c r="D71" s="664">
        <v>3</v>
      </c>
      <c r="E71" s="664">
        <v>4</v>
      </c>
      <c r="F71" s="664">
        <v>5</v>
      </c>
      <c r="G71" s="664">
        <v>6</v>
      </c>
      <c r="H71" s="664">
        <v>7</v>
      </c>
      <c r="I71" s="664">
        <v>8</v>
      </c>
      <c r="J71" s="664">
        <v>9</v>
      </c>
      <c r="K71" s="664">
        <v>10</v>
      </c>
      <c r="L71" s="664">
        <v>11</v>
      </c>
      <c r="M71" s="664">
        <v>12</v>
      </c>
      <c r="N71" s="664"/>
      <c r="O71" s="664"/>
      <c r="P71" s="664"/>
      <c r="Q71" s="664"/>
      <c r="R71" s="664"/>
      <c r="S71" s="664"/>
      <c r="T71" s="664"/>
      <c r="U71" s="664"/>
      <c r="V71" s="664"/>
      <c r="W71" s="664"/>
      <c r="X71" s="664"/>
      <c r="Y71" s="664"/>
      <c r="Z71" s="664"/>
      <c r="AA71" s="664"/>
      <c r="AB71" s="664"/>
      <c r="AC71" s="664"/>
      <c r="AD71" s="664"/>
      <c r="AE71" s="664"/>
      <c r="AF71" s="664"/>
      <c r="AG71" s="664"/>
      <c r="AH71" s="255"/>
      <c r="AI71" s="255"/>
      <c r="AJ71" s="255"/>
      <c r="AK71" s="255"/>
      <c r="AL71" s="255"/>
      <c r="AM71" s="255"/>
      <c r="AN71" s="255"/>
      <c r="AO71" s="255"/>
      <c r="AP71" s="255"/>
      <c r="AQ71" s="255"/>
      <c r="AR71" s="255"/>
      <c r="AS71" s="255"/>
      <c r="AT71" s="255"/>
      <c r="AU71" s="255"/>
      <c r="AV71" s="255"/>
      <c r="AW71" s="255"/>
      <c r="AX71" s="255"/>
      <c r="AY71" s="255"/>
      <c r="AZ71" s="255"/>
      <c r="BA71" s="255"/>
      <c r="BB71" s="255"/>
      <c r="BC71" s="255"/>
      <c r="BD71" s="255"/>
      <c r="BE71" s="255"/>
      <c r="BF71" s="255"/>
      <c r="BG71" s="255"/>
      <c r="BH71" s="255"/>
      <c r="BI71" s="255"/>
      <c r="BJ71" s="255"/>
    </row>
    <row r="72" s="25" customFormat="1">
      <c r="A72" s="664"/>
      <c r="B72" s="664" t="n">
        <v>45780</v>
      </c>
      <c r="C72" s="664">
        <v>45787</v>
      </c>
      <c r="D72" s="664">
        <v>45794</v>
      </c>
      <c r="E72" s="664">
        <v>45801</v>
      </c>
      <c r="F72" s="664">
        <v>45808</v>
      </c>
      <c r="G72" s="664">
        <v>45815</v>
      </c>
      <c r="H72" s="664">
        <v>45822</v>
      </c>
      <c r="I72" s="664">
        <v>45829</v>
      </c>
      <c r="J72" s="664">
        <v>45836</v>
      </c>
      <c r="K72" s="664">
        <v>45843</v>
      </c>
      <c r="L72" s="664">
        <v>45850</v>
      </c>
      <c r="M72" s="664">
        <v>45857</v>
      </c>
      <c r="N72" s="664"/>
      <c r="O72" s="664"/>
      <c r="P72" s="664"/>
      <c r="Q72" s="664"/>
      <c r="R72" s="664"/>
      <c r="S72" s="664"/>
      <c r="T72" s="664"/>
      <c r="U72" s="664"/>
      <c r="V72" s="664"/>
      <c r="W72" s="664"/>
      <c r="X72" s="664"/>
      <c r="Y72" s="664"/>
      <c r="Z72" s="664"/>
      <c r="AA72" s="664"/>
      <c r="AB72" s="664"/>
      <c r="AC72" s="664"/>
      <c r="AD72" s="664"/>
      <c r="AE72" s="664"/>
      <c r="AF72" s="664"/>
      <c r="AG72" s="664"/>
      <c r="AH72" s="255"/>
      <c r="AI72" s="255"/>
      <c r="AJ72" s="255"/>
      <c r="AK72" s="255"/>
      <c r="AL72" s="255"/>
      <c r="AM72" s="255"/>
      <c r="AN72" s="255"/>
      <c r="AO72" s="255"/>
      <c r="AP72" s="255"/>
      <c r="AQ72" s="255"/>
      <c r="AR72" s="255"/>
      <c r="AS72" s="255"/>
      <c r="AT72" s="255"/>
      <c r="AU72" s="255"/>
      <c r="AV72" s="255"/>
      <c r="AW72" s="255"/>
      <c r="AX72" s="255"/>
      <c r="AY72" s="255"/>
      <c r="AZ72" s="255"/>
      <c r="BA72" s="255"/>
      <c r="BB72" s="255"/>
      <c r="BC72" s="255"/>
      <c r="BD72" s="255"/>
      <c r="BE72" s="255"/>
      <c r="BF72" s="255"/>
      <c r="BG72" s="255"/>
      <c r="BH72" s="255"/>
      <c r="BI72" s="255"/>
      <c r="BJ72" s="255"/>
    </row>
    <row r="73" s="25" customFormat="1" ht="14.25">
      <c r="A73" s="664" t="s">
        <v>32</v>
      </c>
      <c r="B73" s="664">
        <v>57.556835637480798771121351767</v>
      </c>
      <c r="C73" s="664">
        <v>32.398617511520737327188940092</v>
      </c>
      <c r="D73" s="664">
        <v>40.19738863287250384024577573</v>
      </c>
      <c r="E73" s="664">
        <v>38.678187403993855606758832565</v>
      </c>
      <c r="F73" s="664">
        <v>40.877880184331797235023041475</v>
      </c>
      <c r="G73" s="664">
        <v>48.642857142857142857142857143</v>
      </c>
      <c r="H73" s="664">
        <v>30.533154121863799283154121864</v>
      </c>
      <c r="I73" s="664">
        <v>46.303379416282642089093701997</v>
      </c>
      <c r="J73" s="664">
        <v>51.166666666666666666666666667</v>
      </c>
      <c r="K73" s="664">
        <v>28.537634408602150537634408602</v>
      </c>
      <c r="L73" s="664">
        <v>38.386328725038402457757296467</v>
      </c>
      <c r="M73" s="664">
        <v>40.172811059907834101382488479</v>
      </c>
      <c r="N73" s="664"/>
      <c r="O73" s="664"/>
      <c r="P73" s="664"/>
      <c r="Q73" s="664"/>
      <c r="R73" s="664"/>
      <c r="S73" s="664"/>
      <c r="T73" s="664"/>
      <c r="U73" s="664"/>
      <c r="V73" s="664"/>
      <c r="W73" s="664"/>
      <c r="X73" s="664"/>
      <c r="Y73" s="664"/>
      <c r="Z73" s="664"/>
      <c r="AA73" s="664"/>
      <c r="AB73" s="664"/>
      <c r="AC73" s="664"/>
      <c r="AD73" s="664"/>
      <c r="AE73" s="664"/>
      <c r="AF73" s="664"/>
      <c r="AG73" s="664"/>
      <c r="AH73" s="255"/>
      <c r="AI73" s="255"/>
      <c r="AJ73" s="255"/>
      <c r="AK73" s="255"/>
      <c r="AL73" s="255"/>
      <c r="AM73" s="255"/>
      <c r="AN73" s="255"/>
      <c r="AO73" s="255"/>
      <c r="AP73" s="255"/>
      <c r="AQ73" s="255"/>
      <c r="AR73" s="255"/>
      <c r="AS73" s="255"/>
      <c r="AT73" s="255"/>
      <c r="AU73" s="255"/>
      <c r="AV73" s="255"/>
      <c r="AW73" s="255"/>
      <c r="AX73" s="255"/>
      <c r="AY73" s="255"/>
      <c r="AZ73" s="255"/>
      <c r="BA73" s="255"/>
      <c r="BB73" s="255"/>
      <c r="BC73" s="255"/>
      <c r="BD73" s="255"/>
      <c r="BE73" s="255"/>
      <c r="BF73" s="255"/>
      <c r="BG73" s="255"/>
      <c r="BH73" s="255"/>
      <c r="BI73" s="255"/>
      <c r="BJ73" s="255"/>
    </row>
    <row r="74" s="25" customFormat="1" ht="14.25">
      <c r="A74" s="664" t="s">
        <v>26</v>
      </c>
      <c r="B74" s="664">
        <v>91.56151670612996579847408577</v>
      </c>
      <c r="C74" s="664">
        <v>66.228772691397000789265982636</v>
      </c>
      <c r="D74" s="664">
        <v>73.084559326493028150486714023</v>
      </c>
      <c r="E74" s="664">
        <v>76.769692186266771902131018152</v>
      </c>
      <c r="F74" s="664">
        <v>62.468230728755590634043672719</v>
      </c>
      <c r="G74" s="664">
        <v>84.31322546698237305972112602</v>
      </c>
      <c r="H74" s="664">
        <v>79.83872007366482504604051565</v>
      </c>
      <c r="I74" s="664">
        <v>87.33974875032886082609839516</v>
      </c>
      <c r="J74" s="664">
        <v>87.84581701246942510647760122</v>
      </c>
      <c r="K74" s="664">
        <v>58.686550907655880031570639305</v>
      </c>
      <c r="L74" s="664">
        <v>86.03077611154959221257563799</v>
      </c>
      <c r="M74" s="664">
        <v>79.21850828729281767955801105</v>
      </c>
      <c r="N74" s="664"/>
      <c r="O74" s="664"/>
      <c r="P74" s="664"/>
      <c r="Q74" s="664"/>
      <c r="R74" s="664"/>
      <c r="S74" s="664"/>
      <c r="T74" s="664"/>
      <c r="U74" s="664"/>
      <c r="V74" s="664"/>
      <c r="W74" s="664"/>
      <c r="X74" s="664"/>
      <c r="Y74" s="664"/>
      <c r="Z74" s="664"/>
      <c r="AA74" s="664"/>
      <c r="AB74" s="664"/>
      <c r="AC74" s="664"/>
      <c r="AD74" s="664"/>
      <c r="AE74" s="664"/>
      <c r="AF74" s="664"/>
      <c r="AG74" s="664"/>
      <c r="AH74" s="255"/>
      <c r="AI74" s="255"/>
      <c r="AJ74" s="255"/>
      <c r="AK74" s="255"/>
      <c r="AL74" s="255"/>
      <c r="AM74" s="255"/>
      <c r="AN74" s="255"/>
      <c r="AO74" s="255"/>
      <c r="AP74" s="255"/>
      <c r="AQ74" s="255"/>
      <c r="AR74" s="255"/>
      <c r="AS74" s="255"/>
      <c r="AT74" s="255"/>
      <c r="AU74" s="255"/>
      <c r="AV74" s="255"/>
      <c r="AW74" s="255"/>
      <c r="AX74" s="255"/>
      <c r="AY74" s="255"/>
      <c r="AZ74" s="255"/>
      <c r="BA74" s="255"/>
      <c r="BB74" s="255"/>
      <c r="BC74" s="255"/>
      <c r="BD74" s="255"/>
      <c r="BE74" s="255"/>
      <c r="BF74" s="255"/>
      <c r="BG74" s="255"/>
      <c r="BH74" s="255"/>
      <c r="BI74" s="255"/>
      <c r="BJ74" s="255"/>
    </row>
    <row r="75" s="25" customFormat="1" ht="14.25">
      <c r="A75" s="664" t="s">
        <v>147</v>
      </c>
      <c r="B75" s="664">
        <v>110.74927113702623906705539359</v>
      </c>
      <c r="C75" s="664">
        <v>91.84535147392290249433106576</v>
      </c>
      <c r="D75" s="664">
        <v>89.09083252348558471007450599</v>
      </c>
      <c r="E75" s="664">
        <v>92.5980563654033041788143829</v>
      </c>
      <c r="F75" s="664">
        <v>76.020537738905085843861354065</v>
      </c>
      <c r="G75" s="664">
        <v>103.94460641399416909620991254</v>
      </c>
      <c r="H75" s="664">
        <v>95.14849368318756073858114674</v>
      </c>
      <c r="I75" s="664">
        <v>103.00907029478458049886621315</v>
      </c>
      <c r="J75" s="664">
        <v>98.25889212827988338192419825</v>
      </c>
      <c r="K75" s="664">
        <v>76.355749919015225137674117266</v>
      </c>
      <c r="L75" s="664">
        <v>102.99948169744088111435050211</v>
      </c>
      <c r="M75" s="664">
        <v>97.66873987690314220926465824</v>
      </c>
      <c r="N75" s="664"/>
      <c r="O75" s="664"/>
      <c r="P75" s="664"/>
      <c r="Q75" s="664"/>
      <c r="R75" s="664"/>
      <c r="S75" s="664"/>
      <c r="T75" s="664"/>
      <c r="U75" s="664"/>
      <c r="V75" s="664"/>
      <c r="W75" s="664"/>
      <c r="X75" s="664"/>
      <c r="Y75" s="664"/>
      <c r="Z75" s="664"/>
      <c r="AA75" s="664"/>
      <c r="AB75" s="664"/>
      <c r="AC75" s="664"/>
      <c r="AD75" s="664"/>
      <c r="AE75" s="664"/>
      <c r="AF75" s="664"/>
      <c r="AG75" s="664"/>
      <c r="AH75" s="255"/>
      <c r="AI75" s="255"/>
      <c r="AJ75" s="255"/>
      <c r="AK75" s="255"/>
      <c r="AL75" s="255"/>
      <c r="AM75" s="255"/>
      <c r="AN75" s="255"/>
      <c r="AO75" s="255"/>
      <c r="AP75" s="255"/>
      <c r="AQ75" s="255"/>
      <c r="AR75" s="255"/>
      <c r="AS75" s="255"/>
      <c r="AT75" s="255"/>
      <c r="AU75" s="255"/>
      <c r="AV75" s="255"/>
      <c r="AW75" s="255"/>
      <c r="AX75" s="255"/>
      <c r="AY75" s="255"/>
      <c r="AZ75" s="255"/>
      <c r="BA75" s="255"/>
      <c r="BB75" s="255"/>
      <c r="BC75" s="255"/>
      <c r="BD75" s="255"/>
      <c r="BE75" s="255"/>
      <c r="BF75" s="255"/>
      <c r="BG75" s="255"/>
      <c r="BH75" s="255"/>
      <c r="BI75" s="255"/>
      <c r="BJ75" s="255"/>
    </row>
    <row r="76" s="25" customFormat="1">
      <c r="A76" s="664"/>
      <c r="B76" s="664"/>
      <c r="C76" s="664"/>
      <c r="D76" s="664"/>
      <c r="E76" s="664"/>
      <c r="F76" s="664"/>
      <c r="G76" s="664"/>
      <c r="H76" s="664"/>
      <c r="I76" s="664"/>
      <c r="J76" s="664"/>
      <c r="K76" s="664"/>
      <c r="L76" s="664"/>
      <c r="M76" s="664"/>
      <c r="N76" s="664"/>
      <c r="O76" s="664"/>
      <c r="P76" s="664"/>
      <c r="Q76" s="664"/>
      <c r="R76" s="664"/>
      <c r="S76" s="664"/>
      <c r="T76" s="664"/>
      <c r="U76" s="664"/>
      <c r="V76" s="664"/>
      <c r="W76" s="664"/>
      <c r="X76" s="664"/>
      <c r="Y76" s="664"/>
      <c r="Z76" s="664"/>
      <c r="AA76" s="664"/>
      <c r="AB76" s="664"/>
      <c r="AC76" s="664"/>
      <c r="AD76" s="664"/>
      <c r="AE76" s="664"/>
      <c r="AF76" s="664"/>
      <c r="AG76" s="664"/>
      <c r="AH76" s="255"/>
      <c r="AI76" s="255"/>
      <c r="AJ76" s="255"/>
      <c r="AK76" s="255"/>
      <c r="AL76" s="255"/>
      <c r="AM76" s="255"/>
      <c r="AN76" s="255"/>
      <c r="AO76" s="255"/>
      <c r="AP76" s="255"/>
      <c r="AQ76" s="255"/>
      <c r="AR76" s="255"/>
      <c r="AS76" s="255"/>
      <c r="AT76" s="255"/>
      <c r="AU76" s="255"/>
      <c r="AV76" s="255"/>
      <c r="AW76" s="255"/>
      <c r="AX76" s="255"/>
      <c r="AY76" s="255"/>
      <c r="AZ76" s="255"/>
      <c r="BA76" s="255"/>
      <c r="BB76" s="255"/>
      <c r="BC76" s="255"/>
      <c r="BD76" s="255"/>
      <c r="BE76" s="255"/>
      <c r="BF76" s="255"/>
      <c r="BG76" s="255"/>
      <c r="BH76" s="255"/>
      <c r="BI76" s="255"/>
      <c r="BJ76" s="255"/>
    </row>
    <row r="77" s="25" customFormat="1">
      <c r="A77" s="664"/>
      <c r="B77" s="664"/>
      <c r="C77" s="664"/>
      <c r="D77" s="664"/>
      <c r="E77" s="664"/>
      <c r="F77" s="664"/>
      <c r="G77" s="664"/>
      <c r="H77" s="664"/>
      <c r="I77" s="664"/>
      <c r="J77" s="664"/>
      <c r="K77" s="664"/>
      <c r="L77" s="664"/>
      <c r="M77" s="664"/>
      <c r="N77" s="664"/>
      <c r="O77" s="664"/>
      <c r="P77" s="664"/>
      <c r="Q77" s="664"/>
      <c r="R77" s="664"/>
      <c r="S77" s="664"/>
      <c r="T77" s="664"/>
      <c r="U77" s="664"/>
      <c r="V77" s="664"/>
      <c r="W77" s="664"/>
      <c r="X77" s="664"/>
      <c r="Y77" s="664"/>
      <c r="Z77" s="664"/>
      <c r="AA77" s="664"/>
      <c r="AB77" s="664"/>
      <c r="AC77" s="664"/>
      <c r="AD77" s="664"/>
      <c r="AE77" s="664"/>
      <c r="AF77" s="664"/>
      <c r="AG77" s="664"/>
      <c r="AH77" s="255"/>
      <c r="AI77" s="255"/>
      <c r="AJ77" s="255"/>
      <c r="AK77" s="255"/>
      <c r="AL77" s="255"/>
      <c r="AM77" s="255"/>
      <c r="AN77" s="255"/>
      <c r="AO77" s="255"/>
      <c r="AP77" s="255"/>
      <c r="AQ77" s="255"/>
      <c r="AR77" s="255"/>
      <c r="AS77" s="255"/>
      <c r="AT77" s="255"/>
      <c r="AU77" s="255"/>
      <c r="AV77" s="255"/>
      <c r="AW77" s="255"/>
      <c r="AX77" s="255"/>
      <c r="AY77" s="255"/>
      <c r="AZ77" s="255"/>
      <c r="BA77" s="255"/>
      <c r="BB77" s="255"/>
      <c r="BC77" s="255"/>
      <c r="BD77" s="255"/>
      <c r="BE77" s="255"/>
      <c r="BF77" s="255"/>
      <c r="BG77" s="255"/>
      <c r="BH77" s="255"/>
      <c r="BI77" s="255"/>
      <c r="BJ77" s="255"/>
    </row>
    <row r="78">
      <c r="A78" s="664"/>
      <c r="B78" s="664"/>
      <c r="C78" s="664"/>
      <c r="D78" s="664"/>
      <c r="E78" s="664"/>
      <c r="F78" s="664"/>
      <c r="G78" s="664"/>
      <c r="H78" s="664"/>
      <c r="I78" s="664"/>
      <c r="J78" s="664"/>
      <c r="K78" s="664"/>
      <c r="L78" s="664"/>
      <c r="M78" s="664"/>
      <c r="N78" s="664"/>
      <c r="O78" s="664"/>
      <c r="P78" s="664"/>
      <c r="Q78" s="664"/>
      <c r="R78" s="664"/>
      <c r="S78" s="664"/>
      <c r="T78" s="664"/>
      <c r="U78" s="664"/>
      <c r="V78" s="664"/>
      <c r="W78" s="664"/>
      <c r="X78" s="664"/>
      <c r="Y78" s="664"/>
      <c r="Z78" s="664"/>
      <c r="AA78" s="664"/>
      <c r="AB78" s="664"/>
      <c r="AC78" s="664"/>
      <c r="AD78" s="664"/>
      <c r="AE78" s="664"/>
      <c r="AF78" s="664"/>
      <c r="AG78" s="664"/>
      <c r="AH78" s="244"/>
      <c r="AI78" s="244"/>
      <c r="AJ78" s="244"/>
      <c r="AK78" s="244"/>
      <c r="AL78" s="244"/>
      <c r="AM78" s="244"/>
      <c r="AN78" s="244"/>
      <c r="AO78" s="244"/>
      <c r="AP78" s="244"/>
      <c r="AQ78" s="244"/>
      <c r="AR78" s="244"/>
      <c r="AS78" s="244"/>
      <c r="AT78" s="244"/>
      <c r="AU78" s="244"/>
      <c r="AV78" s="244"/>
      <c r="AW78" s="244"/>
      <c r="AX78" s="244"/>
      <c r="AY78" s="244"/>
      <c r="AZ78" s="244"/>
      <c r="BA78" s="244"/>
      <c r="BB78" s="244"/>
      <c r="BC78" s="244"/>
      <c r="BD78" s="244"/>
      <c r="BE78" s="244"/>
      <c r="BF78" s="244"/>
      <c r="BG78" s="244"/>
      <c r="BH78" s="244"/>
      <c r="BI78" s="244"/>
      <c r="BJ78" s="244"/>
    </row>
    <row r="79">
      <c r="A79" s="664"/>
      <c r="B79" s="664"/>
      <c r="C79" s="664"/>
      <c r="D79" s="664"/>
      <c r="E79" s="664"/>
      <c r="F79" s="664"/>
      <c r="G79" s="664"/>
      <c r="H79" s="664"/>
      <c r="I79" s="664"/>
      <c r="J79" s="664"/>
      <c r="K79" s="664"/>
      <c r="L79" s="664"/>
      <c r="M79" s="664"/>
      <c r="N79" s="664"/>
      <c r="O79" s="664"/>
      <c r="P79" s="664"/>
      <c r="Q79" s="664"/>
      <c r="R79" s="664"/>
      <c r="S79" s="664"/>
      <c r="T79" s="664"/>
      <c r="U79" s="664"/>
      <c r="V79" s="664"/>
      <c r="W79" s="664"/>
      <c r="X79" s="664"/>
      <c r="Y79" s="664"/>
      <c r="Z79" s="664"/>
      <c r="AA79" s="664"/>
      <c r="AB79" s="664"/>
      <c r="AC79" s="664"/>
      <c r="AD79" s="664"/>
      <c r="AE79" s="664"/>
      <c r="AF79" s="664"/>
      <c r="AG79" s="664"/>
      <c r="AH79" s="244"/>
      <c r="AI79" s="244"/>
      <c r="AJ79" s="244"/>
      <c r="AK79" s="244"/>
      <c r="AL79" s="244"/>
      <c r="AM79" s="244"/>
      <c r="AN79" s="244"/>
      <c r="AO79" s="244"/>
      <c r="AP79" s="244"/>
      <c r="AQ79" s="244"/>
      <c r="AR79" s="244"/>
      <c r="AS79" s="244"/>
      <c r="AT79" s="244"/>
      <c r="AU79" s="244"/>
      <c r="AV79" s="244"/>
      <c r="AW79" s="244"/>
      <c r="AX79" s="244"/>
      <c r="AY79" s="244"/>
      <c r="AZ79" s="244"/>
      <c r="BA79" s="244"/>
      <c r="BB79" s="244"/>
      <c r="BC79" s="244"/>
      <c r="BD79" s="244"/>
      <c r="BE79" s="244"/>
      <c r="BF79" s="244"/>
      <c r="BG79" s="244"/>
      <c r="BH79" s="244"/>
      <c r="BI79" s="244"/>
      <c r="BJ79" s="244"/>
    </row>
    <row r="80">
      <c r="A80" s="664"/>
      <c r="B80" s="664"/>
      <c r="C80" s="664"/>
      <c r="D80" s="664"/>
      <c r="E80" s="664"/>
      <c r="F80" s="664"/>
      <c r="G80" s="664"/>
      <c r="H80" s="664"/>
      <c r="I80" s="664"/>
      <c r="J80" s="664"/>
      <c r="K80" s="664"/>
      <c r="L80" s="664"/>
      <c r="M80" s="664"/>
      <c r="N80" s="664"/>
      <c r="O80" s="664"/>
      <c r="P80" s="664"/>
      <c r="Q80" s="664"/>
      <c r="R80" s="664"/>
      <c r="S80" s="664"/>
      <c r="T80" s="664"/>
      <c r="U80" s="664"/>
      <c r="V80" s="664"/>
      <c r="W80" s="664"/>
      <c r="X80" s="664"/>
      <c r="Y80" s="664"/>
      <c r="Z80" s="664"/>
      <c r="AA80" s="664"/>
      <c r="AB80" s="664"/>
      <c r="AC80" s="664"/>
      <c r="AD80" s="664"/>
      <c r="AE80" s="664"/>
      <c r="AF80" s="664"/>
      <c r="AG80" s="664"/>
      <c r="AH80" s="244"/>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c r="BH80" s="244"/>
      <c r="BI80" s="244"/>
      <c r="BJ80" s="244"/>
    </row>
    <row r="81">
      <c r="A81" s="664"/>
      <c r="B81" s="664"/>
      <c r="C81" s="664"/>
      <c r="D81" s="664"/>
      <c r="E81" s="664"/>
      <c r="F81" s="664"/>
      <c r="G81" s="664"/>
      <c r="H81" s="664"/>
      <c r="I81" s="664"/>
      <c r="J81" s="664"/>
      <c r="K81" s="664"/>
      <c r="L81" s="664"/>
      <c r="M81" s="664"/>
      <c r="N81" s="664"/>
      <c r="O81" s="664"/>
      <c r="P81" s="664"/>
      <c r="Q81" s="664"/>
      <c r="R81" s="664"/>
      <c r="S81" s="664"/>
      <c r="T81" s="664"/>
      <c r="U81" s="664"/>
      <c r="V81" s="664"/>
      <c r="W81" s="664"/>
      <c r="X81" s="664"/>
      <c r="Y81" s="664"/>
      <c r="Z81" s="664"/>
      <c r="AA81" s="664"/>
      <c r="AB81" s="664"/>
      <c r="AC81" s="664"/>
      <c r="AD81" s="664"/>
      <c r="AE81" s="664"/>
      <c r="AF81" s="664"/>
      <c r="AG81" s="664"/>
      <c r="AH81" s="244"/>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c r="BH81" s="244"/>
      <c r="BI81" s="244"/>
      <c r="BJ81" s="244"/>
    </row>
    <row r="82">
      <c r="A82" s="664"/>
      <c r="B82" s="664"/>
      <c r="C82" s="664"/>
      <c r="D82" s="664"/>
      <c r="E82" s="664"/>
      <c r="F82" s="664"/>
      <c r="G82" s="664"/>
      <c r="H82" s="664"/>
      <c r="I82" s="664"/>
      <c r="J82" s="664"/>
      <c r="K82" s="664"/>
      <c r="L82" s="664"/>
      <c r="M82" s="664"/>
      <c r="N82" s="664"/>
      <c r="O82" s="664"/>
      <c r="P82" s="664"/>
      <c r="Q82" s="664"/>
      <c r="R82" s="664"/>
      <c r="S82" s="664"/>
      <c r="T82" s="664"/>
      <c r="U82" s="664"/>
      <c r="V82" s="664"/>
      <c r="W82" s="664"/>
      <c r="X82" s="664"/>
      <c r="Y82" s="664"/>
      <c r="Z82" s="664"/>
      <c r="AA82" s="664"/>
      <c r="AB82" s="664"/>
      <c r="AC82" s="664"/>
      <c r="AD82" s="664"/>
      <c r="AE82" s="664"/>
      <c r="AF82" s="664"/>
      <c r="AG82" s="664"/>
      <c r="AH82" s="244"/>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c r="BH82" s="244"/>
      <c r="BI82" s="244"/>
      <c r="BJ82" s="244"/>
    </row>
    <row r="83">
      <c r="A83" s="664"/>
      <c r="B83" s="664"/>
      <c r="C83" s="664"/>
      <c r="D83" s="664"/>
      <c r="E83" s="664"/>
      <c r="F83" s="664"/>
      <c r="G83" s="664"/>
      <c r="H83" s="664"/>
      <c r="I83" s="664"/>
      <c r="J83" s="664"/>
      <c r="K83" s="664"/>
      <c r="L83" s="664"/>
      <c r="M83" s="664"/>
      <c r="N83" s="664"/>
      <c r="O83" s="664"/>
      <c r="P83" s="664"/>
      <c r="Q83" s="664"/>
      <c r="R83" s="664"/>
      <c r="S83" s="664"/>
      <c r="T83" s="664"/>
      <c r="U83" s="664"/>
      <c r="V83" s="664"/>
      <c r="W83" s="664"/>
      <c r="X83" s="664"/>
      <c r="Y83" s="664"/>
      <c r="Z83" s="664"/>
      <c r="AA83" s="664"/>
      <c r="AB83" s="664"/>
      <c r="AC83" s="664"/>
      <c r="AD83" s="664"/>
      <c r="AE83" s="664"/>
      <c r="AF83" s="664"/>
      <c r="AG83" s="664"/>
      <c r="AH83" s="244"/>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c r="BH83" s="244"/>
      <c r="BI83" s="244"/>
      <c r="BJ83" s="244"/>
    </row>
    <row r="84">
      <c r="A84" s="664"/>
      <c r="B84" s="664"/>
      <c r="C84" s="664"/>
      <c r="D84" s="664"/>
      <c r="E84" s="664"/>
      <c r="F84" s="664"/>
      <c r="G84" s="664"/>
      <c r="H84" s="664"/>
      <c r="I84" s="664"/>
      <c r="J84" s="664"/>
      <c r="K84" s="664"/>
      <c r="L84" s="664"/>
      <c r="M84" s="664"/>
      <c r="N84" s="664"/>
      <c r="O84" s="664"/>
      <c r="P84" s="664"/>
      <c r="Q84" s="664"/>
      <c r="R84" s="664"/>
      <c r="S84" s="664"/>
      <c r="T84" s="664"/>
      <c r="U84" s="664"/>
      <c r="V84" s="664"/>
      <c r="W84" s="664"/>
      <c r="X84" s="664"/>
      <c r="Y84" s="664"/>
      <c r="Z84" s="664"/>
      <c r="AA84" s="664"/>
      <c r="AB84" s="664"/>
      <c r="AC84" s="664"/>
      <c r="AD84" s="664"/>
      <c r="AE84" s="664"/>
      <c r="AF84" s="664"/>
      <c r="AG84" s="664"/>
      <c r="AH84" s="244"/>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c r="BH84" s="244"/>
      <c r="BI84" s="244"/>
      <c r="BJ84" s="244"/>
    </row>
    <row r="85">
      <c r="A85" s="664"/>
      <c r="B85" s="664"/>
      <c r="C85" s="664"/>
      <c r="D85" s="664"/>
      <c r="E85" s="664"/>
      <c r="F85" s="664"/>
      <c r="G85" s="664"/>
      <c r="H85" s="664"/>
      <c r="I85" s="664"/>
      <c r="J85" s="664"/>
      <c r="K85" s="664"/>
      <c r="L85" s="664"/>
      <c r="M85" s="664"/>
      <c r="N85" s="664"/>
      <c r="O85" s="664"/>
      <c r="P85" s="664"/>
      <c r="Q85" s="664"/>
      <c r="R85" s="664"/>
      <c r="S85" s="664"/>
      <c r="T85" s="664"/>
      <c r="U85" s="664"/>
      <c r="V85" s="664"/>
      <c r="W85" s="664"/>
      <c r="X85" s="664"/>
      <c r="Y85" s="664"/>
      <c r="Z85" s="664"/>
      <c r="AA85" s="664"/>
      <c r="AB85" s="664"/>
      <c r="AC85" s="664"/>
      <c r="AD85" s="664"/>
      <c r="AE85" s="664"/>
      <c r="AF85" s="664"/>
      <c r="AG85" s="664"/>
      <c r="AH85" s="244"/>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c r="BH85" s="244"/>
      <c r="BI85" s="244"/>
      <c r="BJ85" s="244"/>
    </row>
    <row r="86">
      <c r="A86" s="664"/>
      <c r="B86" s="664"/>
      <c r="C86" s="664"/>
      <c r="D86" s="664"/>
      <c r="E86" s="664"/>
      <c r="F86" s="664"/>
      <c r="G86" s="664"/>
      <c r="H86" s="664"/>
      <c r="I86" s="664"/>
      <c r="J86" s="664"/>
      <c r="K86" s="664"/>
      <c r="L86" s="664"/>
      <c r="M86" s="664"/>
      <c r="N86" s="664"/>
      <c r="O86" s="664"/>
      <c r="P86" s="664"/>
      <c r="Q86" s="664"/>
      <c r="R86" s="664"/>
      <c r="S86" s="664"/>
      <c r="T86" s="664"/>
      <c r="U86" s="664"/>
      <c r="V86" s="664"/>
      <c r="W86" s="664"/>
      <c r="X86" s="664"/>
      <c r="Y86" s="664"/>
      <c r="Z86" s="664"/>
      <c r="AA86" s="664"/>
      <c r="AB86" s="664"/>
      <c r="AC86" s="664"/>
      <c r="AD86" s="664"/>
      <c r="AE86" s="664"/>
      <c r="AF86" s="664"/>
      <c r="AG86" s="664"/>
      <c r="AH86" s="244"/>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c r="BH86" s="244"/>
      <c r="BI86" s="244"/>
      <c r="BJ86" s="244"/>
    </row>
    <row r="87">
      <c r="A87" s="664"/>
      <c r="B87" s="664"/>
      <c r="C87" s="664"/>
      <c r="D87" s="664"/>
      <c r="E87" s="664"/>
      <c r="F87" s="664"/>
      <c r="G87" s="664"/>
      <c r="H87" s="664"/>
      <c r="I87" s="664"/>
      <c r="J87" s="664"/>
      <c r="K87" s="664"/>
      <c r="L87" s="664"/>
      <c r="M87" s="664"/>
      <c r="N87" s="664"/>
      <c r="O87" s="664"/>
      <c r="P87" s="664"/>
      <c r="Q87" s="664"/>
      <c r="R87" s="664"/>
      <c r="S87" s="664"/>
      <c r="T87" s="664"/>
      <c r="U87" s="664"/>
      <c r="V87" s="664"/>
      <c r="W87" s="664"/>
      <c r="X87" s="664"/>
      <c r="Y87" s="664"/>
      <c r="Z87" s="664"/>
      <c r="AA87" s="664"/>
      <c r="AB87" s="664"/>
      <c r="AC87" s="664"/>
      <c r="AD87" s="664"/>
      <c r="AE87" s="664"/>
      <c r="AF87" s="664"/>
      <c r="AG87" s="664"/>
      <c r="AH87" s="244"/>
      <c r="AI87" s="244"/>
      <c r="AJ87" s="244"/>
      <c r="AK87" s="244"/>
      <c r="AL87" s="244"/>
      <c r="AM87" s="244"/>
      <c r="AN87" s="244"/>
      <c r="AO87" s="244"/>
      <c r="AP87" s="244"/>
      <c r="AQ87" s="244"/>
      <c r="AR87" s="244"/>
      <c r="AS87" s="244"/>
      <c r="AT87" s="244"/>
      <c r="AU87" s="244"/>
      <c r="AV87" s="244"/>
      <c r="AW87" s="244"/>
      <c r="AX87" s="244"/>
      <c r="AY87" s="244"/>
      <c r="AZ87" s="244"/>
      <c r="BA87" s="244"/>
      <c r="BB87" s="244"/>
      <c r="BC87" s="244"/>
      <c r="BD87" s="244"/>
      <c r="BE87" s="244"/>
      <c r="BF87" s="244"/>
      <c r="BG87" s="244"/>
      <c r="BH87" s="244"/>
      <c r="BI87" s="244"/>
      <c r="BJ87" s="244"/>
    </row>
    <row r="88">
      <c r="A88" s="664"/>
      <c r="B88" s="664"/>
      <c r="C88" s="664"/>
      <c r="D88" s="664"/>
      <c r="E88" s="664"/>
      <c r="F88" s="664"/>
      <c r="G88" s="664"/>
      <c r="H88" s="664"/>
      <c r="I88" s="664"/>
      <c r="J88" s="664"/>
      <c r="K88" s="664"/>
      <c r="L88" s="664"/>
      <c r="M88" s="664"/>
      <c r="N88" s="664"/>
      <c r="O88" s="664"/>
      <c r="P88" s="664"/>
      <c r="Q88" s="664"/>
      <c r="R88" s="664"/>
      <c r="S88" s="664"/>
      <c r="T88" s="664"/>
      <c r="U88" s="664"/>
      <c r="V88" s="664"/>
      <c r="W88" s="664"/>
      <c r="X88" s="664"/>
      <c r="Y88" s="664"/>
      <c r="Z88" s="664"/>
      <c r="AA88" s="664"/>
      <c r="AB88" s="664"/>
      <c r="AC88" s="664"/>
      <c r="AD88" s="664"/>
      <c r="AE88" s="664"/>
      <c r="AF88" s="664"/>
      <c r="AG88" s="664"/>
      <c r="AH88" s="244"/>
      <c r="AI88" s="244"/>
      <c r="AJ88" s="244"/>
      <c r="AK88" s="244"/>
      <c r="AL88" s="244"/>
      <c r="AM88" s="244"/>
      <c r="AN88" s="244"/>
      <c r="AO88" s="244"/>
      <c r="AP88" s="244"/>
      <c r="AQ88" s="244"/>
      <c r="AR88" s="244"/>
      <c r="AS88" s="244"/>
      <c r="AT88" s="244"/>
      <c r="AU88" s="244"/>
      <c r="AV88" s="244"/>
      <c r="AW88" s="244"/>
      <c r="AX88" s="244"/>
      <c r="AY88" s="244"/>
      <c r="AZ88" s="244"/>
      <c r="BA88" s="244"/>
      <c r="BB88" s="244"/>
      <c r="BC88" s="244"/>
      <c r="BD88" s="244"/>
      <c r="BE88" s="244"/>
      <c r="BF88" s="244"/>
      <c r="BG88" s="244"/>
      <c r="BH88" s="244"/>
      <c r="BI88" s="244"/>
      <c r="BJ88" s="244"/>
    </row>
    <row r="89">
      <c r="A89" s="664"/>
      <c r="B89" s="664"/>
      <c r="C89" s="664"/>
      <c r="D89" s="664"/>
      <c r="E89" s="664"/>
      <c r="F89" s="664"/>
      <c r="G89" s="664"/>
      <c r="H89" s="664"/>
      <c r="I89" s="664"/>
      <c r="J89" s="664"/>
      <c r="K89" s="664"/>
      <c r="L89" s="664"/>
      <c r="M89" s="664"/>
      <c r="N89" s="664"/>
      <c r="O89" s="664"/>
      <c r="P89" s="664"/>
      <c r="Q89" s="664"/>
      <c r="R89" s="664"/>
      <c r="S89" s="664"/>
      <c r="T89" s="664"/>
      <c r="U89" s="664"/>
      <c r="V89" s="664"/>
      <c r="W89" s="664"/>
      <c r="X89" s="664"/>
      <c r="Y89" s="664"/>
      <c r="Z89" s="664"/>
      <c r="AA89" s="664"/>
      <c r="AB89" s="664"/>
      <c r="AC89" s="664"/>
      <c r="AD89" s="664"/>
      <c r="AE89" s="664"/>
      <c r="AF89" s="664"/>
      <c r="AG89" s="664"/>
      <c r="AH89" s="244"/>
      <c r="AI89" s="244"/>
      <c r="AJ89" s="244"/>
      <c r="AK89" s="244"/>
      <c r="AL89" s="244"/>
      <c r="AM89" s="244"/>
      <c r="AN89" s="244"/>
      <c r="AO89" s="244"/>
      <c r="AP89" s="244"/>
      <c r="AQ89" s="244"/>
      <c r="AR89" s="244"/>
      <c r="AS89" s="244"/>
      <c r="AT89" s="244"/>
      <c r="AU89" s="244"/>
      <c r="AV89" s="244"/>
      <c r="AW89" s="244"/>
      <c r="AX89" s="244"/>
      <c r="AY89" s="244"/>
      <c r="AZ89" s="244"/>
      <c r="BA89" s="244"/>
      <c r="BB89" s="244"/>
      <c r="BC89" s="244"/>
      <c r="BD89" s="244"/>
      <c r="BE89" s="244"/>
      <c r="BF89" s="244"/>
      <c r="BG89" s="244"/>
      <c r="BH89" s="244"/>
      <c r="BI89" s="244"/>
      <c r="BJ89" s="244"/>
    </row>
    <row r="90">
      <c r="A90" s="664"/>
      <c r="B90" s="664"/>
      <c r="C90" s="664"/>
      <c r="D90" s="664"/>
      <c r="E90" s="664"/>
      <c r="F90" s="664"/>
      <c r="G90" s="664"/>
      <c r="H90" s="664"/>
      <c r="I90" s="664"/>
      <c r="J90" s="664"/>
      <c r="K90" s="664"/>
      <c r="L90" s="664"/>
      <c r="M90" s="664"/>
      <c r="N90" s="664"/>
      <c r="O90" s="664"/>
      <c r="P90" s="664"/>
      <c r="Q90" s="664"/>
      <c r="R90" s="664"/>
      <c r="S90" s="664"/>
      <c r="T90" s="664"/>
      <c r="U90" s="664"/>
      <c r="V90" s="664"/>
      <c r="W90" s="664"/>
      <c r="X90" s="664"/>
      <c r="Y90" s="664"/>
      <c r="Z90" s="664"/>
      <c r="AA90" s="664"/>
      <c r="AB90" s="664"/>
      <c r="AC90" s="664"/>
      <c r="AD90" s="664"/>
      <c r="AE90" s="664"/>
      <c r="AF90" s="664"/>
      <c r="AG90" s="664"/>
      <c r="AH90" s="244"/>
      <c r="AI90" s="244"/>
      <c r="AJ90" s="244"/>
      <c r="AK90" s="244"/>
      <c r="AL90" s="244"/>
      <c r="AM90" s="244"/>
      <c r="AN90" s="244"/>
      <c r="AO90" s="244"/>
      <c r="AP90" s="244"/>
      <c r="AQ90" s="244"/>
      <c r="AR90" s="244"/>
      <c r="AS90" s="244"/>
      <c r="AT90" s="244"/>
      <c r="AU90" s="244"/>
      <c r="AV90" s="244"/>
      <c r="AW90" s="244"/>
      <c r="AX90" s="244"/>
      <c r="AY90" s="244"/>
      <c r="AZ90" s="244"/>
      <c r="BA90" s="244"/>
      <c r="BB90" s="244"/>
      <c r="BC90" s="244"/>
      <c r="BD90" s="244"/>
      <c r="BE90" s="244"/>
      <c r="BF90" s="244"/>
      <c r="BG90" s="244"/>
      <c r="BH90" s="244"/>
      <c r="BI90" s="244"/>
      <c r="BJ90" s="244"/>
    </row>
    <row r="91">
      <c r="A91" s="664"/>
      <c r="B91" s="664"/>
      <c r="C91" s="664"/>
      <c r="D91" s="664"/>
      <c r="E91" s="664"/>
      <c r="F91" s="664"/>
      <c r="G91" s="664"/>
      <c r="H91" s="664"/>
      <c r="I91" s="664"/>
      <c r="J91" s="664"/>
      <c r="K91" s="664"/>
      <c r="L91" s="664"/>
      <c r="M91" s="664"/>
      <c r="N91" s="664"/>
      <c r="O91" s="664"/>
      <c r="P91" s="664"/>
      <c r="Q91" s="664"/>
      <c r="R91" s="664"/>
      <c r="S91" s="664"/>
      <c r="T91" s="664"/>
      <c r="U91" s="664"/>
      <c r="V91" s="664"/>
      <c r="W91" s="664"/>
      <c r="X91" s="664"/>
      <c r="Y91" s="664"/>
      <c r="Z91" s="664"/>
      <c r="AA91" s="664"/>
      <c r="AB91" s="664"/>
      <c r="AC91" s="664"/>
      <c r="AD91" s="664"/>
      <c r="AE91" s="664"/>
      <c r="AF91" s="664"/>
      <c r="AG91" s="664"/>
      <c r="AH91" s="244"/>
      <c r="AI91" s="244"/>
      <c r="AJ91" s="244"/>
      <c r="AK91" s="244"/>
      <c r="AL91" s="244"/>
      <c r="AM91" s="244"/>
      <c r="AN91" s="244"/>
      <c r="AO91" s="244"/>
      <c r="AP91" s="244"/>
      <c r="AQ91" s="244"/>
      <c r="AR91" s="244"/>
      <c r="AS91" s="244"/>
      <c r="AT91" s="244"/>
      <c r="AU91" s="244"/>
      <c r="AV91" s="244"/>
      <c r="AW91" s="244"/>
      <c r="AX91" s="244"/>
      <c r="AY91" s="244"/>
      <c r="AZ91" s="244"/>
      <c r="BA91" s="244"/>
      <c r="BB91" s="244"/>
      <c r="BC91" s="244"/>
      <c r="BD91" s="244"/>
      <c r="BE91" s="244"/>
      <c r="BF91" s="244"/>
      <c r="BG91" s="244"/>
      <c r="BH91" s="244"/>
      <c r="BI91" s="244"/>
      <c r="BJ91" s="244"/>
    </row>
    <row r="92">
      <c r="A92" s="664"/>
      <c r="B92" s="664"/>
      <c r="C92" s="664"/>
      <c r="D92" s="664"/>
      <c r="E92" s="664"/>
      <c r="F92" s="664"/>
      <c r="G92" s="664"/>
      <c r="H92" s="664"/>
      <c r="I92" s="664"/>
      <c r="J92" s="664"/>
      <c r="K92" s="664"/>
      <c r="L92" s="664"/>
      <c r="M92" s="664"/>
      <c r="N92" s="664"/>
      <c r="O92" s="664"/>
      <c r="P92" s="664"/>
      <c r="Q92" s="664"/>
      <c r="R92" s="664"/>
      <c r="S92" s="664"/>
      <c r="T92" s="664"/>
      <c r="U92" s="664"/>
      <c r="V92" s="664"/>
      <c r="W92" s="664"/>
      <c r="X92" s="664"/>
      <c r="Y92" s="664"/>
      <c r="Z92" s="664"/>
      <c r="AA92" s="664"/>
      <c r="AB92" s="664"/>
      <c r="AC92" s="664"/>
      <c r="AD92" s="664"/>
      <c r="AE92" s="664"/>
      <c r="AF92" s="664"/>
      <c r="AG92" s="664"/>
      <c r="AH92" s="244"/>
      <c r="AI92" s="244"/>
      <c r="AJ92" s="244"/>
      <c r="AK92" s="244"/>
      <c r="AL92" s="244"/>
      <c r="AM92" s="244"/>
      <c r="AN92" s="244"/>
      <c r="AO92" s="244"/>
      <c r="AP92" s="244"/>
      <c r="AQ92" s="244"/>
      <c r="AR92" s="244"/>
      <c r="AS92" s="244"/>
      <c r="AT92" s="244"/>
      <c r="AU92" s="244"/>
      <c r="AV92" s="244"/>
      <c r="AW92" s="244"/>
      <c r="AX92" s="244"/>
      <c r="AY92" s="244"/>
      <c r="AZ92" s="244"/>
      <c r="BA92" s="244"/>
      <c r="BB92" s="244"/>
      <c r="BC92" s="244"/>
      <c r="BD92" s="244"/>
      <c r="BE92" s="244"/>
      <c r="BF92" s="244"/>
      <c r="BG92" s="244"/>
      <c r="BH92" s="244"/>
      <c r="BI92" s="244"/>
      <c r="BJ92" s="244"/>
    </row>
    <row r="93">
      <c r="A93" s="664"/>
      <c r="B93" s="664"/>
      <c r="C93" s="664"/>
      <c r="D93" s="664"/>
      <c r="E93" s="664"/>
      <c r="F93" s="664"/>
      <c r="G93" s="664"/>
      <c r="H93" s="664"/>
      <c r="I93" s="664"/>
      <c r="J93" s="664"/>
      <c r="K93" s="664"/>
      <c r="L93" s="664"/>
      <c r="M93" s="664"/>
      <c r="N93" s="664"/>
      <c r="O93" s="664"/>
      <c r="P93" s="664"/>
      <c r="Q93" s="664"/>
      <c r="R93" s="664"/>
      <c r="S93" s="664"/>
      <c r="T93" s="664"/>
      <c r="U93" s="664"/>
      <c r="V93" s="664"/>
      <c r="W93" s="664"/>
      <c r="X93" s="664"/>
      <c r="Y93" s="664"/>
      <c r="Z93" s="664"/>
      <c r="AA93" s="664"/>
      <c r="AB93" s="664"/>
      <c r="AC93" s="664"/>
      <c r="AD93" s="664"/>
      <c r="AE93" s="664"/>
      <c r="AF93" s="664"/>
      <c r="AG93" s="664"/>
      <c r="AH93" s="244"/>
      <c r="AI93" s="244"/>
      <c r="AJ93" s="244"/>
      <c r="AK93" s="244"/>
      <c r="AL93" s="244"/>
      <c r="AM93" s="244"/>
      <c r="AN93" s="244"/>
      <c r="AO93" s="244"/>
      <c r="AP93" s="244"/>
      <c r="AQ93" s="244"/>
      <c r="AR93" s="244"/>
      <c r="AS93" s="244"/>
      <c r="AT93" s="244"/>
      <c r="AU93" s="244"/>
      <c r="AV93" s="244"/>
      <c r="AW93" s="244"/>
      <c r="AX93" s="244"/>
      <c r="AY93" s="244"/>
      <c r="AZ93" s="244"/>
      <c r="BA93" s="244"/>
      <c r="BB93" s="244"/>
      <c r="BC93" s="244"/>
      <c r="BD93" s="244"/>
      <c r="BE93" s="244"/>
      <c r="BF93" s="244"/>
      <c r="BG93" s="244"/>
      <c r="BH93" s="244"/>
      <c r="BI93" s="244"/>
      <c r="BJ93" s="244"/>
    </row>
    <row r="94">
      <c r="A94" s="664"/>
      <c r="B94" s="664"/>
      <c r="C94" s="664"/>
      <c r="D94" s="664"/>
      <c r="E94" s="664"/>
      <c r="F94" s="664"/>
      <c r="G94" s="664"/>
      <c r="H94" s="664"/>
      <c r="I94" s="664"/>
      <c r="J94" s="664"/>
      <c r="K94" s="664"/>
      <c r="L94" s="664"/>
      <c r="M94" s="664"/>
      <c r="N94" s="664"/>
      <c r="O94" s="664"/>
      <c r="P94" s="664"/>
      <c r="Q94" s="664"/>
      <c r="R94" s="664"/>
      <c r="S94" s="664"/>
      <c r="T94" s="664"/>
      <c r="U94" s="664"/>
      <c r="V94" s="664"/>
      <c r="W94" s="664"/>
      <c r="X94" s="664"/>
      <c r="Y94" s="664"/>
      <c r="Z94" s="664"/>
      <c r="AA94" s="664"/>
      <c r="AB94" s="664"/>
      <c r="AC94" s="664"/>
      <c r="AD94" s="664"/>
      <c r="AE94" s="664"/>
      <c r="AF94" s="664"/>
      <c r="AG94" s="664"/>
      <c r="AH94" s="244"/>
      <c r="AI94" s="244"/>
      <c r="AJ94" s="244"/>
      <c r="AK94" s="244"/>
      <c r="AL94" s="244"/>
      <c r="AM94" s="244"/>
      <c r="AN94" s="244"/>
      <c r="AO94" s="244"/>
      <c r="AP94" s="244"/>
      <c r="AQ94" s="244"/>
      <c r="AR94" s="244"/>
      <c r="AS94" s="244"/>
      <c r="AT94" s="244"/>
      <c r="AU94" s="244"/>
      <c r="AV94" s="244"/>
      <c r="AW94" s="244"/>
      <c r="AX94" s="244"/>
      <c r="AY94" s="244"/>
      <c r="AZ94" s="244"/>
      <c r="BA94" s="244"/>
      <c r="BB94" s="244"/>
      <c r="BC94" s="244"/>
      <c r="BD94" s="244"/>
      <c r="BE94" s="244"/>
      <c r="BF94" s="244"/>
      <c r="BG94" s="244"/>
      <c r="BH94" s="244"/>
      <c r="BI94" s="244"/>
      <c r="BJ94" s="244"/>
    </row>
    <row r="95">
      <c r="A95" s="244"/>
      <c r="B95" s="244"/>
      <c r="C95" s="244"/>
      <c r="D95" s="244"/>
      <c r="E95" s="244"/>
      <c r="F95" s="244"/>
      <c r="G95" s="244"/>
      <c r="H95" s="244"/>
      <c r="I95" s="244"/>
      <c r="J95" s="244"/>
      <c r="K95" s="244"/>
      <c r="L95" s="244"/>
      <c r="M95" s="244"/>
      <c r="N95" s="244"/>
      <c r="O95" s="244"/>
      <c r="P95" s="244"/>
      <c r="Q95" s="244"/>
      <c r="R95" s="244"/>
      <c r="S95" s="244"/>
      <c r="T95" s="244"/>
      <c r="U95" s="244"/>
      <c r="V95" s="244"/>
      <c r="W95" s="244"/>
      <c r="X95" s="244"/>
      <c r="Y95" s="244"/>
      <c r="Z95" s="244"/>
      <c r="AA95" s="244"/>
      <c r="AB95" s="244"/>
      <c r="AC95" s="244"/>
      <c r="AD95" s="244"/>
      <c r="AE95" s="244"/>
      <c r="AF95" s="244"/>
      <c r="AG95" s="244"/>
      <c r="AH95" s="244"/>
      <c r="AI95" s="244"/>
      <c r="AJ95" s="244"/>
      <c r="AK95" s="244"/>
      <c r="AL95" s="244"/>
      <c r="AM95" s="244"/>
      <c r="AN95" s="244"/>
      <c r="AO95" s="244"/>
      <c r="AP95" s="244"/>
      <c r="AQ95" s="244"/>
      <c r="AR95" s="244"/>
      <c r="AS95" s="244"/>
      <c r="AT95" s="244"/>
      <c r="AU95" s="244"/>
      <c r="AV95" s="244"/>
      <c r="AW95" s="244"/>
      <c r="AX95" s="244"/>
      <c r="AY95" s="244"/>
      <c r="AZ95" s="244"/>
      <c r="BA95" s="244"/>
      <c r="BB95" s="244"/>
      <c r="BC95" s="244"/>
      <c r="BD95" s="244"/>
      <c r="BE95" s="244"/>
      <c r="BF95" s="244"/>
      <c r="BG95" s="244"/>
      <c r="BH95" s="244"/>
      <c r="BI95" s="244"/>
      <c r="BJ95" s="244"/>
    </row>
    <row r="96">
      <c r="A96" s="244"/>
      <c r="B96" s="244"/>
      <c r="C96" s="244"/>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c r="BB96" s="244"/>
      <c r="BC96" s="244"/>
      <c r="BD96" s="244"/>
      <c r="BE96" s="244"/>
      <c r="BF96" s="244"/>
      <c r="BG96" s="244"/>
      <c r="BH96" s="244"/>
      <c r="BI96" s="244"/>
      <c r="BJ96" s="244"/>
    </row>
    <row r="97">
      <c r="A97" s="244"/>
      <c r="B97" s="244"/>
      <c r="C97" s="244"/>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c r="BB97" s="244"/>
      <c r="BC97" s="244"/>
      <c r="BD97" s="244"/>
      <c r="BE97" s="244"/>
      <c r="BF97" s="244"/>
      <c r="BG97" s="244"/>
      <c r="BH97" s="244"/>
      <c r="BI97" s="244"/>
      <c r="BJ97" s="244"/>
    </row>
    <row r="98">
      <c r="A98" s="244"/>
      <c r="B98" s="244"/>
      <c r="C98" s="244"/>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c r="BB98" s="244"/>
      <c r="BC98" s="244"/>
      <c r="BD98" s="244"/>
      <c r="BE98" s="244"/>
      <c r="BF98" s="244"/>
      <c r="BG98" s="244"/>
      <c r="BH98" s="244"/>
      <c r="BI98" s="244"/>
      <c r="BJ98" s="244"/>
    </row>
    <row r="99">
      <c r="A99" s="244"/>
      <c r="B99" s="244"/>
      <c r="C99" s="244"/>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c r="BB99" s="244"/>
      <c r="BC99" s="244"/>
      <c r="BD99" s="244"/>
      <c r="BE99" s="244"/>
      <c r="BF99" s="244"/>
      <c r="BG99" s="244"/>
      <c r="BH99" s="244"/>
      <c r="BI99" s="244"/>
      <c r="BJ99" s="244"/>
    </row>
    <row r="100">
      <c r="A100" s="244"/>
      <c r="B100" s="244"/>
      <c r="C100" s="244"/>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c r="BB100" s="244"/>
      <c r="BC100" s="244"/>
      <c r="BD100" s="244"/>
      <c r="BE100" s="244"/>
      <c r="BF100" s="244"/>
      <c r="BG100" s="244"/>
      <c r="BH100" s="244"/>
      <c r="BI100" s="244"/>
      <c r="BJ100" s="244"/>
    </row>
    <row r="101">
      <c r="A101" s="244"/>
      <c r="B101" s="244"/>
      <c r="C101" s="244"/>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c r="BB101" s="244"/>
      <c r="BC101" s="244"/>
      <c r="BD101" s="244"/>
      <c r="BE101" s="244"/>
      <c r="BF101" s="244"/>
      <c r="BG101" s="244"/>
      <c r="BH101" s="244"/>
      <c r="BI101" s="244"/>
      <c r="BJ101" s="244"/>
    </row>
    <row r="102">
      <c r="A102" s="244"/>
      <c r="B102" s="244"/>
      <c r="C102" s="244"/>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c r="BB102" s="244"/>
      <c r="BC102" s="244"/>
      <c r="BD102" s="244"/>
      <c r="BE102" s="244"/>
      <c r="BF102" s="244"/>
      <c r="BG102" s="244"/>
      <c r="BH102" s="244"/>
      <c r="BI102" s="244"/>
      <c r="BJ102" s="244"/>
    </row>
    <row r="103">
      <c r="A103" s="244"/>
      <c r="B103" s="244"/>
      <c r="C103" s="244"/>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c r="BB103" s="244"/>
      <c r="BC103" s="244"/>
      <c r="BD103" s="244"/>
      <c r="BE103" s="244"/>
      <c r="BF103" s="244"/>
      <c r="BG103" s="244"/>
      <c r="BH103" s="244"/>
      <c r="BI103" s="244"/>
      <c r="BJ103" s="244"/>
    </row>
    <row r="104">
      <c r="A104" s="244"/>
      <c r="B104" s="244"/>
      <c r="C104" s="244"/>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c r="AZ104" s="244"/>
      <c r="BA104" s="244"/>
      <c r="BB104" s="244"/>
      <c r="BC104" s="244"/>
      <c r="BD104" s="244"/>
      <c r="BE104" s="244"/>
      <c r="BF104" s="244"/>
      <c r="BG104" s="244"/>
      <c r="BH104" s="244"/>
      <c r="BI104" s="244"/>
      <c r="BJ104" s="244"/>
    </row>
    <row r="105">
      <c r="A105" s="244"/>
      <c r="B105" s="244"/>
      <c r="C105" s="244"/>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c r="AZ105" s="244"/>
      <c r="BA105" s="244"/>
      <c r="BB105" s="244"/>
      <c r="BC105" s="244"/>
      <c r="BD105" s="244"/>
      <c r="BE105" s="244"/>
      <c r="BF105" s="244"/>
      <c r="BG105" s="244"/>
      <c r="BH105" s="244"/>
      <c r="BI105" s="244"/>
      <c r="BJ105" s="244"/>
    </row>
    <row r="106">
      <c r="A106" s="244"/>
      <c r="B106" s="244"/>
      <c r="C106" s="244"/>
      <c r="D106" s="244"/>
      <c r="E106" s="244"/>
      <c r="F106" s="244"/>
      <c r="G106" s="244"/>
      <c r="H106" s="244"/>
      <c r="I106" s="244"/>
      <c r="J106" s="244"/>
      <c r="K106" s="244"/>
      <c r="L106" s="244"/>
      <c r="M106" s="244"/>
      <c r="N106" s="244"/>
      <c r="O106" s="244"/>
      <c r="P106" s="244"/>
      <c r="Q106" s="244"/>
      <c r="R106" s="244"/>
      <c r="S106" s="244"/>
      <c r="T106" s="244"/>
      <c r="U106" s="244"/>
      <c r="V106" s="244"/>
      <c r="W106" s="244"/>
      <c r="X106" s="244"/>
      <c r="Y106" s="244"/>
      <c r="Z106" s="244"/>
      <c r="AA106" s="244"/>
      <c r="AB106" s="244"/>
      <c r="AC106" s="244"/>
      <c r="AD106" s="244"/>
      <c r="AE106" s="244"/>
      <c r="AF106" s="244"/>
      <c r="AG106" s="244"/>
      <c r="AH106" s="244"/>
      <c r="AI106" s="244"/>
      <c r="AJ106" s="244"/>
      <c r="AK106" s="244"/>
      <c r="AL106" s="244"/>
      <c r="AM106" s="244"/>
      <c r="AN106" s="244"/>
      <c r="AO106" s="244"/>
      <c r="AP106" s="244"/>
      <c r="AQ106" s="244"/>
      <c r="AR106" s="244"/>
      <c r="AS106" s="244"/>
      <c r="AT106" s="244"/>
      <c r="AU106" s="244"/>
      <c r="AV106" s="244"/>
      <c r="AW106" s="244"/>
      <c r="AX106" s="244"/>
      <c r="AY106" s="244"/>
      <c r="AZ106" s="244"/>
      <c r="BA106" s="244"/>
      <c r="BB106" s="244"/>
      <c r="BC106" s="244"/>
      <c r="BD106" s="244"/>
      <c r="BE106" s="244"/>
      <c r="BF106" s="244"/>
      <c r="BG106" s="244"/>
      <c r="BH106" s="244"/>
      <c r="BI106" s="244"/>
      <c r="BJ106" s="244"/>
    </row>
    <row r="107">
      <c r="A107" s="244"/>
      <c r="B107" s="244"/>
      <c r="C107" s="244"/>
      <c r="D107" s="244"/>
      <c r="E107" s="244"/>
      <c r="F107" s="244"/>
      <c r="G107" s="244"/>
      <c r="H107" s="244"/>
      <c r="I107" s="244"/>
      <c r="J107" s="244"/>
      <c r="K107" s="244"/>
      <c r="L107" s="244"/>
      <c r="M107" s="244"/>
      <c r="N107" s="244"/>
      <c r="O107" s="244"/>
      <c r="P107" s="244"/>
      <c r="Q107" s="244"/>
      <c r="R107" s="244"/>
      <c r="S107" s="244"/>
      <c r="T107" s="244"/>
      <c r="U107" s="244"/>
      <c r="V107" s="244"/>
      <c r="W107" s="244"/>
      <c r="X107" s="244"/>
      <c r="Y107" s="244"/>
      <c r="Z107" s="244"/>
      <c r="AA107" s="244"/>
      <c r="AB107" s="244"/>
      <c r="AC107" s="244"/>
      <c r="AD107" s="244"/>
      <c r="AE107" s="244"/>
      <c r="AF107" s="244"/>
      <c r="AG107" s="244"/>
      <c r="AH107" s="244"/>
      <c r="AI107" s="244"/>
      <c r="AJ107" s="244"/>
      <c r="AK107" s="244"/>
      <c r="AL107" s="244"/>
      <c r="AM107" s="244"/>
      <c r="AN107" s="244"/>
      <c r="AO107" s="244"/>
      <c r="AP107" s="244"/>
      <c r="AQ107" s="244"/>
      <c r="AR107" s="244"/>
      <c r="AS107" s="244"/>
      <c r="AT107" s="244"/>
      <c r="AU107" s="244"/>
      <c r="AV107" s="244"/>
      <c r="AW107" s="244"/>
      <c r="AX107" s="244"/>
      <c r="AY107" s="244"/>
      <c r="AZ107" s="244"/>
      <c r="BA107" s="244"/>
      <c r="BB107" s="244"/>
      <c r="BC107" s="244"/>
      <c r="BD107" s="244"/>
      <c r="BE107" s="244"/>
      <c r="BF107" s="244"/>
      <c r="BG107" s="244"/>
      <c r="BH107" s="244"/>
      <c r="BI107" s="244"/>
      <c r="BJ107" s="244"/>
    </row>
    <row r="108">
      <c r="A108" s="244"/>
      <c r="B108" s="244"/>
      <c r="C108" s="244"/>
      <c r="D108" s="244"/>
      <c r="E108" s="244"/>
      <c r="F108" s="244"/>
      <c r="G108" s="244"/>
      <c r="H108" s="244"/>
      <c r="I108" s="244"/>
      <c r="J108" s="244"/>
      <c r="K108" s="244"/>
      <c r="L108" s="244"/>
      <c r="M108" s="244"/>
      <c r="N108" s="244"/>
      <c r="O108" s="244"/>
      <c r="P108" s="244"/>
      <c r="Q108" s="244"/>
      <c r="R108" s="244"/>
      <c r="S108" s="244"/>
      <c r="T108" s="244"/>
      <c r="U108" s="244"/>
      <c r="V108" s="244"/>
      <c r="W108" s="244"/>
      <c r="X108" s="244"/>
      <c r="Y108" s="244"/>
      <c r="Z108" s="244"/>
      <c r="AA108" s="244"/>
      <c r="AB108" s="244"/>
      <c r="AC108" s="244"/>
      <c r="AD108" s="244"/>
      <c r="AE108" s="244"/>
      <c r="AF108" s="244"/>
      <c r="AG108" s="244"/>
      <c r="AH108" s="244"/>
      <c r="AI108" s="244"/>
      <c r="AJ108" s="244"/>
      <c r="AK108" s="244"/>
      <c r="AL108" s="244"/>
      <c r="AM108" s="244"/>
      <c r="AN108" s="244"/>
      <c r="AO108" s="244"/>
      <c r="AP108" s="244"/>
      <c r="AQ108" s="244"/>
      <c r="AR108" s="244"/>
      <c r="AS108" s="244"/>
      <c r="AT108" s="244"/>
      <c r="AU108" s="244"/>
      <c r="AV108" s="244"/>
      <c r="AW108" s="244"/>
      <c r="AX108" s="244"/>
      <c r="AY108" s="244"/>
      <c r="AZ108" s="244"/>
      <c r="BA108" s="244"/>
      <c r="BB108" s="244"/>
      <c r="BC108" s="244"/>
      <c r="BD108" s="244"/>
      <c r="BE108" s="244"/>
      <c r="BF108" s="244"/>
      <c r="BG108" s="244"/>
      <c r="BH108" s="244"/>
      <c r="BI108" s="244"/>
      <c r="BJ108" s="244"/>
    </row>
    <row r="109">
      <c r="A109" s="244"/>
      <c r="B109" s="244"/>
      <c r="C109" s="244"/>
      <c r="D109" s="244"/>
      <c r="E109" s="244"/>
      <c r="F109" s="244"/>
      <c r="G109" s="244"/>
      <c r="H109" s="244"/>
      <c r="I109" s="244"/>
      <c r="J109" s="244"/>
      <c r="K109" s="244"/>
      <c r="L109" s="244"/>
      <c r="M109" s="244"/>
      <c r="N109" s="244"/>
      <c r="O109" s="244"/>
      <c r="P109" s="244"/>
      <c r="Q109" s="244"/>
      <c r="R109" s="244"/>
      <c r="S109" s="244"/>
      <c r="T109" s="244"/>
      <c r="U109" s="244"/>
      <c r="V109" s="244"/>
      <c r="W109" s="244"/>
      <c r="X109" s="244"/>
      <c r="Y109" s="244"/>
      <c r="Z109" s="244"/>
      <c r="AA109" s="244"/>
      <c r="AB109" s="244"/>
      <c r="AC109" s="244"/>
      <c r="AD109" s="244"/>
      <c r="AE109" s="244"/>
      <c r="AF109" s="244"/>
      <c r="AG109" s="244"/>
      <c r="AH109" s="244"/>
      <c r="AI109" s="244"/>
      <c r="AJ109" s="244"/>
      <c r="AK109" s="244"/>
      <c r="AL109" s="244"/>
      <c r="AM109" s="244"/>
      <c r="AN109" s="244"/>
      <c r="AO109" s="244"/>
      <c r="AP109" s="244"/>
      <c r="AQ109" s="244"/>
      <c r="AR109" s="244"/>
      <c r="AS109" s="244"/>
      <c r="AT109" s="244"/>
      <c r="AU109" s="244"/>
      <c r="AV109" s="244"/>
      <c r="AW109" s="244"/>
      <c r="AX109" s="244"/>
      <c r="AY109" s="244"/>
      <c r="AZ109" s="244"/>
      <c r="BA109" s="244"/>
      <c r="BB109" s="244"/>
      <c r="BC109" s="244"/>
      <c r="BD109" s="244"/>
      <c r="BE109" s="244"/>
      <c r="BF109" s="244"/>
      <c r="BG109" s="244"/>
      <c r="BH109" s="244"/>
      <c r="BI109" s="244"/>
      <c r="BJ109" s="244"/>
    </row>
    <row r="110">
      <c r="A110" s="244"/>
      <c r="B110" s="244"/>
      <c r="C110" s="244"/>
      <c r="D110" s="244"/>
      <c r="E110" s="244"/>
      <c r="F110" s="244"/>
      <c r="G110" s="244"/>
      <c r="H110" s="244"/>
      <c r="I110" s="244"/>
      <c r="J110" s="244"/>
      <c r="K110" s="244"/>
      <c r="L110" s="244"/>
      <c r="M110" s="244"/>
      <c r="N110" s="244"/>
      <c r="O110" s="244"/>
      <c r="P110" s="244"/>
      <c r="Q110" s="244"/>
      <c r="R110" s="244"/>
      <c r="S110" s="244"/>
      <c r="T110" s="244"/>
      <c r="U110" s="244"/>
      <c r="V110" s="244"/>
      <c r="W110" s="244"/>
      <c r="X110" s="244"/>
      <c r="Y110" s="244"/>
      <c r="Z110" s="244"/>
      <c r="AA110" s="244"/>
      <c r="AB110" s="244"/>
      <c r="AC110" s="244"/>
      <c r="AD110" s="244"/>
      <c r="AE110" s="244"/>
      <c r="AF110" s="244"/>
      <c r="AG110" s="244"/>
      <c r="AH110" s="244"/>
      <c r="AI110" s="244"/>
      <c r="AJ110" s="244"/>
      <c r="AK110" s="244"/>
      <c r="AL110" s="244"/>
      <c r="AM110" s="244"/>
      <c r="AN110" s="244"/>
      <c r="AO110" s="244"/>
      <c r="AP110" s="244"/>
      <c r="AQ110" s="244"/>
      <c r="AR110" s="244"/>
      <c r="AS110" s="244"/>
      <c r="AT110" s="244"/>
      <c r="AU110" s="244"/>
      <c r="AV110" s="244"/>
      <c r="AW110" s="244"/>
      <c r="AX110" s="244"/>
      <c r="AY110" s="244"/>
      <c r="AZ110" s="244"/>
      <c r="BA110" s="244"/>
      <c r="BB110" s="244"/>
      <c r="BC110" s="244"/>
      <c r="BD110" s="244"/>
      <c r="BE110" s="244"/>
      <c r="BF110" s="244"/>
      <c r="BG110" s="244"/>
      <c r="BH110" s="244"/>
      <c r="BI110" s="244"/>
      <c r="BJ110" s="244"/>
    </row>
    <row r="111">
      <c r="A111" s="244"/>
      <c r="B111" s="244"/>
      <c r="C111" s="244"/>
      <c r="D111" s="244"/>
      <c r="E111" s="244"/>
      <c r="F111" s="244"/>
      <c r="G111" s="244"/>
      <c r="H111" s="244"/>
      <c r="I111" s="244"/>
      <c r="J111" s="244"/>
      <c r="K111" s="244"/>
      <c r="L111" s="244"/>
      <c r="M111" s="244"/>
      <c r="N111" s="244"/>
      <c r="O111" s="244"/>
      <c r="P111" s="244"/>
      <c r="Q111" s="244"/>
      <c r="R111" s="244"/>
      <c r="S111" s="244"/>
      <c r="T111" s="244"/>
      <c r="U111" s="244"/>
      <c r="V111" s="244"/>
      <c r="W111" s="244"/>
      <c r="X111" s="244"/>
      <c r="Y111" s="244"/>
      <c r="Z111" s="244"/>
      <c r="AA111" s="244"/>
      <c r="AB111" s="244"/>
      <c r="AC111" s="244"/>
      <c r="AD111" s="244"/>
      <c r="AE111" s="244"/>
      <c r="AF111" s="244"/>
      <c r="AG111" s="244"/>
      <c r="AH111" s="244"/>
      <c r="AI111" s="244"/>
      <c r="AJ111" s="244"/>
      <c r="AK111" s="244"/>
      <c r="AL111" s="244"/>
      <c r="AM111" s="244"/>
      <c r="AN111" s="244"/>
      <c r="AO111" s="244"/>
      <c r="AP111" s="244"/>
      <c r="AQ111" s="244"/>
      <c r="AR111" s="244"/>
      <c r="AS111" s="244"/>
      <c r="AT111" s="244"/>
      <c r="AU111" s="244"/>
      <c r="AV111" s="244"/>
      <c r="AW111" s="244"/>
      <c r="AX111" s="244"/>
      <c r="AY111" s="244"/>
      <c r="AZ111" s="244"/>
      <c r="BA111" s="244"/>
      <c r="BB111" s="244"/>
      <c r="BC111" s="244"/>
      <c r="BD111" s="244"/>
      <c r="BE111" s="244"/>
      <c r="BF111" s="244"/>
      <c r="BG111" s="244"/>
      <c r="BH111" s="244"/>
      <c r="BI111" s="244"/>
      <c r="BJ111" s="244"/>
    </row>
    <row r="112">
      <c r="A112" s="244"/>
      <c r="B112" s="244"/>
      <c r="C112" s="244"/>
      <c r="D112" s="244"/>
      <c r="E112" s="244"/>
      <c r="F112" s="244"/>
      <c r="G112" s="244"/>
      <c r="H112" s="244"/>
      <c r="I112" s="244"/>
      <c r="J112" s="244"/>
      <c r="K112" s="244"/>
      <c r="L112" s="244"/>
      <c r="M112" s="244"/>
      <c r="N112" s="244"/>
      <c r="O112" s="244"/>
      <c r="P112" s="244"/>
      <c r="Q112" s="244"/>
      <c r="R112" s="244"/>
      <c r="S112" s="244"/>
      <c r="T112" s="244"/>
      <c r="U112" s="244"/>
      <c r="V112" s="244"/>
      <c r="W112" s="244"/>
      <c r="X112" s="244"/>
      <c r="Y112" s="244"/>
      <c r="Z112" s="244"/>
      <c r="AA112" s="244"/>
      <c r="AB112" s="244"/>
      <c r="AC112" s="244"/>
      <c r="AD112" s="244"/>
      <c r="AE112" s="244"/>
      <c r="AF112" s="244"/>
      <c r="AG112" s="244"/>
      <c r="AH112" s="244"/>
      <c r="AI112" s="244"/>
      <c r="AJ112" s="244"/>
      <c r="AK112" s="244"/>
      <c r="AL112" s="244"/>
      <c r="AM112" s="244"/>
      <c r="AN112" s="244"/>
      <c r="AO112" s="244"/>
      <c r="AP112" s="244"/>
      <c r="AQ112" s="244"/>
      <c r="AR112" s="244"/>
      <c r="AS112" s="244"/>
      <c r="AT112" s="244"/>
      <c r="AU112" s="244"/>
      <c r="AV112" s="244"/>
      <c r="AW112" s="244"/>
      <c r="AX112" s="244"/>
      <c r="AY112" s="244"/>
      <c r="AZ112" s="244"/>
      <c r="BA112" s="244"/>
      <c r="BB112" s="244"/>
      <c r="BC112" s="244"/>
      <c r="BD112" s="244"/>
      <c r="BE112" s="244"/>
      <c r="BF112" s="244"/>
      <c r="BG112" s="244"/>
      <c r="BH112" s="244"/>
      <c r="BI112" s="244"/>
      <c r="BJ112" s="244"/>
    </row>
    <row r="113">
      <c r="A113" s="244"/>
      <c r="B113" s="244"/>
      <c r="C113" s="244"/>
      <c r="D113" s="244"/>
      <c r="E113" s="244"/>
      <c r="F113" s="244"/>
      <c r="G113" s="244"/>
      <c r="H113" s="244"/>
      <c r="I113" s="244"/>
      <c r="J113" s="244"/>
      <c r="K113" s="244"/>
      <c r="L113" s="244"/>
      <c r="M113" s="244"/>
      <c r="N113" s="244"/>
      <c r="O113" s="244"/>
      <c r="P113" s="244"/>
      <c r="Q113" s="244"/>
      <c r="R113" s="244"/>
      <c r="S113" s="244"/>
      <c r="T113" s="244"/>
      <c r="U113" s="244"/>
      <c r="V113" s="244"/>
      <c r="W113" s="244"/>
      <c r="X113" s="244"/>
      <c r="Y113" s="244"/>
      <c r="Z113" s="244"/>
      <c r="AA113" s="244"/>
      <c r="AB113" s="244"/>
      <c r="AC113" s="244"/>
      <c r="AD113" s="244"/>
      <c r="AE113" s="244"/>
      <c r="AF113" s="244"/>
      <c r="AG113" s="244"/>
      <c r="AH113" s="244"/>
      <c r="AI113" s="244"/>
      <c r="AJ113" s="244"/>
      <c r="AK113" s="244"/>
      <c r="AL113" s="244"/>
      <c r="AM113" s="244"/>
      <c r="AN113" s="244"/>
      <c r="AO113" s="244"/>
      <c r="AP113" s="244"/>
      <c r="AQ113" s="244"/>
      <c r="AR113" s="244"/>
      <c r="AS113" s="244"/>
      <c r="AT113" s="244"/>
      <c r="AU113" s="244"/>
      <c r="AV113" s="244"/>
      <c r="AW113" s="244"/>
      <c r="AX113" s="244"/>
      <c r="AY113" s="244"/>
      <c r="AZ113" s="244"/>
      <c r="BA113" s="244"/>
      <c r="BB113" s="244"/>
      <c r="BC113" s="244"/>
      <c r="BD113" s="244"/>
      <c r="BE113" s="244"/>
      <c r="BF113" s="244"/>
      <c r="BG113" s="244"/>
      <c r="BH113" s="244"/>
      <c r="BI113" s="244"/>
      <c r="BJ113" s="244"/>
    </row>
  </sheetData>
  <mergeCells count="3">
    <mergeCell ref="X22:AD22"/>
    <mergeCell ref="R4:AG4"/>
    <mergeCell ref="B58:AH58"/>
  </mergeCells>
  <phoneticPr fontId="0" type="noConversion"/>
  <printOptions horizontalCentered="1" verticalCentered="1"/>
  <pageMargins left="0.25" right="0.25" top="0.25" bottom="0.25" header="0.23" footer="0.28"/>
  <pageSetup scale="55" orientation="landscape" r:id="rId1"/>
  <headerFooter alignWithMargins="0">
    <oddHeader/>
    <oddFooter/>
  </headerFooter>
  <drawing r:id="rId59"/>
</worksheet>
</file>

<file path=xl/worksheets/sheet1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2:M16"/>
  <sheetViews>
    <sheetView showGridLines="0" zoomScaleNormal="100" workbookViewId="0"/>
  </sheetViews>
  <sheetFormatPr defaultRowHeight="15"/>
  <cols>
    <col min="1" max="1" width="4.28515625" style="433" customWidth="1"/>
    <col min="2" max="2" width="3.42578125" style="433" customWidth="1"/>
    <col min="3" max="3" width="6.85546875" style="433" customWidth="1"/>
    <col min="4" max="4" width="9.140625" style="433"/>
    <col min="5" max="5" width="39" style="433" customWidth="1"/>
    <col min="6" max="6" width="32.28515625" style="433" customWidth="1"/>
    <col min="7" max="9" width="9.140625" style="433"/>
    <col min="10" max="10" width="12" style="433" customWidth="1"/>
    <col min="11" max="11" width="9.140625" style="433"/>
    <col min="12" max="12" width="18.28515625" style="433" customWidth="1"/>
    <col min="13" max="16384" width="9.140625" style="433"/>
  </cols>
  <sheetData>
    <row r="2" ht="84" customHeight="1">
      <c r="B2" s="434"/>
      <c r="C2" s="435"/>
      <c r="K2" s="436"/>
      <c r="M2" s="436"/>
    </row>
    <row r="3" ht="15" customHeight="1">
      <c r="B3" s="434"/>
    </row>
    <row r="4">
      <c r="A4" s="437" t="s">
        <v>102</v>
      </c>
      <c r="B4" s="438"/>
      <c r="C4" s="438"/>
      <c r="D4" s="438"/>
      <c r="E4" s="438"/>
      <c r="F4" s="438"/>
      <c r="G4" s="438"/>
      <c r="H4" s="438"/>
      <c r="I4" s="438"/>
      <c r="J4" s="438"/>
      <c r="K4" s="438"/>
    </row>
    <row r="5">
      <c r="A5" s="22" t="s">
        <v>109</v>
      </c>
      <c r="B5" s="22"/>
      <c r="C5" s="22"/>
      <c r="D5" s="22"/>
      <c r="E5" s="22"/>
      <c r="F5" s="22"/>
      <c r="G5" s="438"/>
      <c r="H5" s="438"/>
      <c r="I5" s="438"/>
      <c r="J5" s="438"/>
      <c r="K5" s="438"/>
    </row>
    <row r="6">
      <c r="A6" s="438"/>
      <c r="B6" s="438"/>
      <c r="C6" s="438"/>
      <c r="D6" s="438"/>
      <c r="E6" s="438"/>
      <c r="F6" s="438"/>
      <c r="G6" s="438"/>
      <c r="H6" s="438"/>
      <c r="I6" s="438"/>
      <c r="J6" s="438"/>
      <c r="K6" s="438"/>
    </row>
    <row r="7">
      <c r="A7" s="438"/>
      <c r="B7" s="438"/>
      <c r="C7" s="438"/>
      <c r="D7" s="438"/>
      <c r="E7" s="438"/>
      <c r="F7" s="438"/>
      <c r="G7" s="438"/>
      <c r="H7" s="438"/>
      <c r="I7" s="438"/>
      <c r="J7" s="438"/>
      <c r="K7" s="438"/>
    </row>
    <row r="8">
      <c r="A8" s="437" t="s">
        <v>103</v>
      </c>
      <c r="B8" s="438"/>
      <c r="C8" s="438"/>
      <c r="D8" s="438"/>
      <c r="E8" s="438"/>
      <c r="F8" s="438"/>
      <c r="G8" s="438"/>
      <c r="H8" s="438"/>
      <c r="I8" s="438"/>
      <c r="J8" s="438"/>
      <c r="K8" s="438"/>
    </row>
    <row r="9">
      <c r="A9" s="22" t="s">
        <v>110</v>
      </c>
      <c r="B9" s="22"/>
      <c r="C9" s="22"/>
      <c r="D9" s="22"/>
      <c r="E9" s="22"/>
      <c r="F9" s="22"/>
      <c r="G9" s="438"/>
      <c r="H9" s="438"/>
      <c r="I9" s="438"/>
      <c r="J9" s="438"/>
      <c r="K9" s="438"/>
    </row>
    <row r="10">
      <c r="A10" s="22"/>
      <c r="B10" s="22"/>
      <c r="C10" s="22"/>
      <c r="D10" s="22"/>
      <c r="E10" s="22"/>
      <c r="F10" s="22"/>
      <c r="G10" s="438"/>
      <c r="H10" s="438"/>
      <c r="I10" s="438"/>
      <c r="J10" s="438"/>
      <c r="K10" s="438"/>
    </row>
    <row r="11">
      <c r="A11" s="438"/>
      <c r="B11" s="438"/>
      <c r="C11" s="438"/>
      <c r="D11" s="438"/>
      <c r="E11" s="438"/>
      <c r="F11" s="438"/>
      <c r="G11" s="438"/>
      <c r="H11" s="438"/>
      <c r="I11" s="438"/>
      <c r="J11" s="438"/>
      <c r="K11" s="438"/>
    </row>
    <row r="12">
      <c r="A12" s="22" t="s">
        <v>111</v>
      </c>
      <c r="B12" s="22"/>
      <c r="C12" s="22"/>
      <c r="D12" s="22"/>
      <c r="E12" s="22"/>
      <c r="F12" s="438"/>
      <c r="G12" s="438"/>
      <c r="H12" s="438"/>
      <c r="I12" s="438"/>
      <c r="J12" s="438"/>
      <c r="K12" s="438"/>
    </row>
    <row r="13">
      <c r="A13" s="438"/>
      <c r="B13" s="438"/>
      <c r="C13" s="438"/>
      <c r="D13" s="438"/>
      <c r="E13" s="438"/>
      <c r="F13" s="438"/>
      <c r="G13" s="438"/>
      <c r="H13" s="438"/>
      <c r="I13" s="438"/>
      <c r="J13" s="438"/>
      <c r="K13" s="438"/>
    </row>
    <row r="14" ht="16.5" customHeight="1">
      <c r="A14" s="647" t="s">
        <v>104</v>
      </c>
      <c r="B14" s="647"/>
      <c r="C14" s="647"/>
      <c r="D14" s="647"/>
      <c r="E14" s="647"/>
      <c r="F14" s="647"/>
      <c r="G14" s="647"/>
      <c r="H14" s="647"/>
      <c r="I14" s="647"/>
      <c r="J14" s="439"/>
      <c r="K14" s="438"/>
    </row>
    <row r="15" ht="15" customHeight="1">
      <c r="A15" s="647" t="s">
        <v>105</v>
      </c>
      <c r="B15" s="647"/>
      <c r="C15" s="647"/>
      <c r="D15" s="647"/>
      <c r="E15" s="647"/>
      <c r="F15" s="647"/>
      <c r="G15" s="647"/>
      <c r="H15" s="647"/>
      <c r="I15" s="647"/>
      <c r="J15" s="439"/>
      <c r="K15" s="439"/>
      <c r="L15" s="439"/>
    </row>
    <row r="16">
      <c r="C16" s="440"/>
      <c r="D16" s="440"/>
      <c r="E16" s="440"/>
      <c r="F16" s="440"/>
      <c r="G16" s="440"/>
      <c r="H16" s="440"/>
      <c r="I16" s="440"/>
      <c r="J16" s="440"/>
      <c r="K16" s="440"/>
      <c r="L16" s="440"/>
    </row>
  </sheetData>
  <mergeCells count="2">
    <mergeCell ref="A15:I15"/>
    <mergeCell ref="A14:I14"/>
  </mergeCells>
  <hyperlinks>
    <hyperlink ref="A5:F5" r:id="rId63" display="For all STR definitions, please click here or visit www.str.com/data-insights/resources/glossary"/>
    <hyperlink ref="A14:I14" r:id="rId64" display="For the latest in industry news, visit HotelNewsNow.com."/>
    <hyperlink ref="A15:I15" r:id="rId65" display="To learn more about the Hotel Data Conference, visit HotelDataConference.com."/>
    <hyperlink ref="A9:F9" r:id="rId66" display="For all STR FAQs, please click here or visit www.str.com/data-insights/resources/FAQ"/>
    <hyperlink ref="A12:E12" r:id="rId67" display="For additional support, please contact your regional office."/>
  </hyperlinks>
  <pageMargins left="0.7" right="0.7" top="0.75" bottom="0.75" header="0.3" footer="0.3"/>
  <pageSetup orientation="landscape" r:id="rId6"/>
  <headerFooter>
    <oddHeader/>
    <oddFooter/>
  </headerFooter>
  <drawing r:id="rId7"/>
</worksheet>
</file>

<file path=xl/worksheets/sheet18.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BG86"/>
  <sheetViews>
    <sheetView showGridLines="0" zoomScaleNormal="100" workbookViewId="0"/>
  </sheetViews>
  <sheetFormatPr defaultRowHeight="12.75"/>
  <cols>
    <col min="1" max="1" width="2" customWidth="1"/>
    <col min="2" max="2" width="16.5703125" customWidth="1"/>
    <col min="3" max="3" width="2.7109375" customWidth="1"/>
    <col min="4" max="4" width="14.42578125" customWidth="1"/>
    <col min="5" max="5" width="8.7109375" customWidth="1"/>
    <col min="6" max="6" width="5.7109375" customWidth="1"/>
    <col min="7" max="7" width="4.7109375" customWidth="1"/>
    <col min="8" max="8" width="8.7109375" customWidth="1"/>
    <col min="9" max="9" width="5.7109375" customWidth="1"/>
    <col min="10" max="10" width="4.7109375" customWidth="1"/>
    <col min="11" max="11" width="8.7109375" customWidth="1"/>
    <col min="12" max="12" width="5.7109375" customWidth="1"/>
    <col min="13" max="13" width="4.7109375" customWidth="1"/>
    <col min="14" max="14" width="8.7109375" customWidth="1"/>
    <col min="15" max="15" width="5.7109375" customWidth="1"/>
    <col min="16" max="16" width="4.7109375" customWidth="1"/>
    <col min="17" max="17" width="8.7109375" customWidth="1"/>
    <col min="18" max="18" width="5.7109375" customWidth="1"/>
    <col min="19" max="19" width="4.7109375" customWidth="1"/>
    <col min="20" max="20" width="8.7109375" customWidth="1"/>
    <col min="21" max="21" width="5.7109375" customWidth="1"/>
    <col min="22" max="22" width="4.7109375" customWidth="1"/>
    <col min="23" max="23" width="8.7109375" customWidth="1"/>
    <col min="24" max="24" width="5.7109375" customWidth="1"/>
    <col min="25" max="25" width="4.7109375" customWidth="1"/>
    <col min="26" max="26" width="8.7109375" customWidth="1"/>
    <col min="27" max="29" width="5.7109375" customWidth="1"/>
  </cols>
  <sheetData>
    <row r="1" ht="48" customHeight="1">
      <c r="A1" s="72"/>
      <c r="B1" s="20" t="s">
        <v>115</v>
      </c>
      <c r="C1" s="11"/>
      <c r="D1" s="11"/>
      <c r="E1" s="11"/>
      <c r="F1" s="11"/>
      <c r="G1" s="11"/>
      <c r="H1" s="11"/>
      <c r="I1" s="11"/>
      <c r="J1" s="11"/>
      <c r="K1" s="1"/>
      <c r="L1" s="1"/>
      <c r="M1" s="1"/>
      <c r="N1" s="1"/>
      <c r="O1" s="1"/>
      <c r="P1" s="1"/>
      <c r="Q1" s="1"/>
      <c r="R1" s="1"/>
      <c r="S1" s="1"/>
      <c r="T1" s="1"/>
      <c r="U1" s="1"/>
      <c r="V1" s="1"/>
      <c r="W1" s="1"/>
      <c r="X1" s="1"/>
      <c r="Y1" s="1"/>
      <c r="Z1" s="1"/>
      <c r="AA1" s="1"/>
      <c r="AB1" s="175"/>
      <c r="AC1" s="1"/>
      <c r="AD1" s="244"/>
      <c r="AE1" s="244"/>
      <c r="AF1" s="244"/>
      <c r="AG1" s="244"/>
      <c r="AH1" s="244"/>
      <c r="AI1" s="244"/>
      <c r="AJ1" s="244"/>
      <c r="AK1" s="244"/>
      <c r="AL1" s="244"/>
      <c r="AM1" s="244"/>
      <c r="AN1" s="244"/>
      <c r="AO1" s="244"/>
      <c r="AP1" s="244"/>
      <c r="AQ1" s="244"/>
      <c r="AR1" s="244"/>
      <c r="AS1" s="244"/>
      <c r="AT1" s="244"/>
      <c r="AU1" s="244"/>
      <c r="AV1" s="244"/>
      <c r="AW1" s="244"/>
      <c r="AX1" s="244"/>
      <c r="AY1" s="244"/>
      <c r="AZ1" s="244"/>
      <c r="BA1" s="244"/>
      <c r="BB1" s="244"/>
      <c r="BC1" s="244"/>
      <c r="BD1" s="244"/>
      <c r="BE1" s="244"/>
      <c r="BF1" s="244"/>
      <c r="BG1" s="244"/>
    </row>
    <row r="2" ht="18" customHeight="1">
      <c r="B2" s="10" t="s">
        <v>141</v>
      </c>
      <c r="C2" s="12"/>
      <c r="D2" s="1"/>
      <c r="E2" s="1"/>
      <c r="F2" s="1"/>
      <c r="G2" s="1"/>
      <c r="H2" s="1"/>
      <c r="I2" s="1"/>
      <c r="J2" s="1"/>
      <c r="K2" s="1"/>
      <c r="L2" s="1"/>
      <c r="M2" s="1"/>
      <c r="N2" s="1"/>
      <c r="O2" s="1"/>
      <c r="P2" s="1"/>
      <c r="Q2" s="1"/>
      <c r="R2" s="1"/>
      <c r="S2" s="1"/>
      <c r="T2" s="1"/>
      <c r="U2" s="1"/>
      <c r="V2" s="80"/>
      <c r="W2" s="1"/>
      <c r="X2" s="1"/>
      <c r="Y2" s="80"/>
      <c r="Z2" s="234"/>
      <c r="AA2" s="1"/>
      <c r="AB2" s="175"/>
      <c r="AC2" s="1"/>
      <c r="AD2" s="244"/>
      <c r="AE2" s="244"/>
      <c r="AF2" s="244"/>
      <c r="AG2" s="244"/>
      <c r="AH2" s="244"/>
      <c r="AI2" s="244"/>
      <c r="AJ2" s="244"/>
      <c r="AK2" s="244"/>
      <c r="AL2" s="244"/>
      <c r="AM2" s="244"/>
      <c r="AN2" s="244"/>
      <c r="AO2" s="244"/>
      <c r="AP2" s="244"/>
      <c r="AQ2" s="244"/>
      <c r="AR2" s="244"/>
      <c r="AS2" s="244"/>
      <c r="AT2" s="244"/>
      <c r="AU2" s="244"/>
      <c r="AV2" s="244"/>
      <c r="AW2" s="244"/>
      <c r="AX2" s="244"/>
      <c r="AY2" s="244"/>
      <c r="AZ2" s="244"/>
      <c r="BA2" s="244"/>
      <c r="BB2" s="244"/>
      <c r="BC2" s="244"/>
      <c r="BD2" s="244"/>
      <c r="BE2" s="244"/>
      <c r="BF2" s="244"/>
      <c r="BG2" s="244"/>
    </row>
    <row r="3" ht="15" customHeight="1">
      <c r="A3" s="1"/>
      <c r="B3" s="432" t="s">
        <v>142</v>
      </c>
      <c r="C3" s="12"/>
      <c r="D3" s="1"/>
      <c r="E3" s="1"/>
      <c r="F3" s="1"/>
      <c r="G3" s="1"/>
      <c r="H3" s="1"/>
      <c r="I3" s="1"/>
      <c r="J3" s="1"/>
      <c r="K3" s="1"/>
      <c r="L3" s="1"/>
      <c r="M3" s="1"/>
      <c r="N3" s="1"/>
      <c r="O3" s="1"/>
      <c r="P3" s="1"/>
      <c r="Q3" s="1"/>
      <c r="R3" s="1"/>
      <c r="S3" s="1"/>
      <c r="T3" s="1"/>
      <c r="U3" s="1"/>
      <c r="V3" s="1"/>
      <c r="W3" s="1"/>
      <c r="X3" s="1"/>
      <c r="Y3" s="1"/>
      <c r="Z3" s="1"/>
      <c r="AA3" s="1"/>
      <c r="AB3" s="175"/>
      <c r="AC3" s="1"/>
      <c r="AD3" s="244"/>
      <c r="AE3" s="244"/>
      <c r="AF3" s="244"/>
      <c r="AG3" s="244"/>
      <c r="AH3" s="244"/>
      <c r="AI3" s="244"/>
      <c r="AJ3" s="244"/>
      <c r="AK3" s="244"/>
      <c r="AL3" s="244"/>
      <c r="AM3" s="244"/>
      <c r="AN3" s="244"/>
      <c r="AO3" s="244"/>
      <c r="AP3" s="244"/>
      <c r="AQ3" s="244"/>
      <c r="AR3" s="244"/>
      <c r="AS3" s="244"/>
      <c r="AT3" s="244"/>
      <c r="AU3" s="244"/>
      <c r="AV3" s="244"/>
      <c r="AW3" s="244"/>
      <c r="AX3" s="244"/>
      <c r="AY3" s="244"/>
      <c r="AZ3" s="244"/>
      <c r="BA3" s="244"/>
      <c r="BB3" s="244"/>
      <c r="BC3" s="244"/>
      <c r="BD3" s="244"/>
      <c r="BE3" s="244"/>
      <c r="BF3" s="244"/>
      <c r="BG3" s="244"/>
    </row>
    <row r="4" ht="15" customHeight="1">
      <c r="B4" s="175" t="s">
        <v>143</v>
      </c>
      <c r="C4" s="12"/>
      <c r="D4" s="1"/>
      <c r="E4" s="1"/>
      <c r="F4" s="1"/>
      <c r="G4" s="1"/>
      <c r="H4" s="1"/>
      <c r="I4" s="1"/>
      <c r="J4" s="1"/>
      <c r="K4" s="1"/>
      <c r="L4" s="1"/>
      <c r="M4" s="1"/>
      <c r="N4" s="1"/>
      <c r="O4" s="1"/>
      <c r="P4" s="1"/>
      <c r="Q4" s="1"/>
      <c r="R4" s="1"/>
      <c r="S4" s="1"/>
      <c r="T4" s="1"/>
      <c r="U4" s="1"/>
      <c r="V4" s="1"/>
      <c r="W4" s="1"/>
      <c r="X4" s="1"/>
      <c r="Y4" s="1"/>
      <c r="Z4" s="1"/>
      <c r="AA4" s="1"/>
      <c r="AB4" s="175"/>
      <c r="AC4" s="1"/>
      <c r="AD4" s="244"/>
      <c r="AE4" s="244"/>
      <c r="AF4" s="244"/>
      <c r="AG4" s="244"/>
      <c r="AH4" s="244"/>
      <c r="AI4" s="244"/>
      <c r="AJ4" s="244"/>
      <c r="AK4" s="244"/>
      <c r="AL4" s="244"/>
      <c r="AM4" s="244"/>
      <c r="AN4" s="244"/>
      <c r="AO4" s="244"/>
      <c r="AP4" s="244"/>
      <c r="AQ4" s="244"/>
      <c r="AR4" s="244"/>
      <c r="AS4" s="244"/>
      <c r="AT4" s="244"/>
      <c r="AU4" s="244"/>
      <c r="AV4" s="244"/>
      <c r="AW4" s="244"/>
      <c r="AX4" s="244"/>
      <c r="AY4" s="244"/>
      <c r="AZ4" s="244"/>
      <c r="BA4" s="244"/>
      <c r="BB4" s="244"/>
      <c r="BC4" s="244"/>
      <c r="BD4" s="244"/>
      <c r="BE4" s="244"/>
      <c r="BF4" s="244"/>
      <c r="BG4" s="244"/>
    </row>
    <row r="5" ht="30.75" customHeight="1">
      <c r="A5" s="13"/>
      <c r="B5" s="12"/>
      <c r="C5" s="12"/>
      <c r="D5" s="1"/>
      <c r="E5" s="1"/>
      <c r="F5" s="1"/>
      <c r="G5" s="1"/>
      <c r="H5" s="1"/>
      <c r="I5" s="1"/>
      <c r="J5" s="1"/>
      <c r="K5" s="1"/>
      <c r="L5" s="1"/>
      <c r="M5" s="1"/>
      <c r="N5" s="1"/>
      <c r="O5" s="1"/>
      <c r="P5" s="1"/>
      <c r="Q5" s="1"/>
      <c r="R5" s="1"/>
      <c r="S5" s="1"/>
      <c r="T5" s="1"/>
      <c r="U5" s="1"/>
      <c r="V5" s="1"/>
      <c r="W5" s="1"/>
      <c r="X5" s="1"/>
      <c r="Y5" s="1"/>
      <c r="Z5" s="1"/>
      <c r="AA5" s="1"/>
      <c r="AB5" s="175"/>
      <c r="AC5" s="1"/>
      <c r="AD5" s="244"/>
      <c r="AE5" s="244"/>
      <c r="AF5" s="244"/>
      <c r="AG5" s="244"/>
      <c r="AH5" s="244"/>
      <c r="AI5" s="244"/>
      <c r="AJ5" s="244"/>
      <c r="AK5" s="244"/>
      <c r="AL5" s="244"/>
      <c r="AM5" s="244"/>
      <c r="AN5" s="244"/>
      <c r="AO5" s="244"/>
      <c r="AP5" s="244"/>
      <c r="AQ5" s="244"/>
      <c r="AR5" s="244"/>
      <c r="AS5" s="244"/>
      <c r="AT5" s="244"/>
      <c r="AU5" s="244"/>
      <c r="AV5" s="244"/>
      <c r="AW5" s="244"/>
      <c r="AX5" s="244"/>
      <c r="AY5" s="244"/>
      <c r="AZ5" s="244"/>
      <c r="BA5" s="244"/>
      <c r="BB5" s="244"/>
      <c r="BC5" s="244"/>
      <c r="BD5" s="244"/>
      <c r="BE5" s="244"/>
      <c r="BF5" s="244"/>
      <c r="BG5" s="244"/>
    </row>
    <row r="6" s="6" customFormat="1" ht="18" customHeight="1">
      <c r="A6" s="78"/>
      <c r="B6" s="607" t="s">
        <v>144</v>
      </c>
      <c r="C6" s="607"/>
      <c r="D6" s="607"/>
      <c r="E6" s="607"/>
      <c r="F6" s="607"/>
      <c r="G6" s="607"/>
      <c r="H6" s="607"/>
      <c r="I6" s="607"/>
      <c r="J6" s="607"/>
      <c r="K6" s="607"/>
      <c r="L6" s="607"/>
      <c r="M6" s="607"/>
      <c r="N6" s="607"/>
      <c r="O6" s="607"/>
      <c r="P6" s="607"/>
      <c r="Q6" s="607"/>
      <c r="R6" s="607"/>
      <c r="S6" s="607"/>
      <c r="T6" s="607"/>
      <c r="U6" s="607"/>
      <c r="V6" s="607"/>
      <c r="W6" s="607"/>
      <c r="X6" s="607"/>
      <c r="Y6" s="607"/>
      <c r="Z6" s="607"/>
      <c r="AA6" s="607"/>
      <c r="AB6" s="607"/>
      <c r="AC6" s="78"/>
      <c r="AD6" s="245"/>
      <c r="AE6" s="245"/>
      <c r="AF6" s="245"/>
      <c r="AG6" s="245"/>
      <c r="AH6" s="245"/>
      <c r="AI6" s="245"/>
      <c r="AJ6" s="245"/>
      <c r="AK6" s="245"/>
      <c r="AL6" s="245"/>
      <c r="AM6" s="245"/>
      <c r="AN6" s="245"/>
      <c r="AO6" s="245"/>
      <c r="AP6" s="245"/>
      <c r="AQ6" s="245"/>
      <c r="AR6" s="245"/>
      <c r="AS6" s="245"/>
      <c r="AT6" s="245"/>
      <c r="AU6" s="245"/>
      <c r="AV6" s="245"/>
      <c r="AW6" s="245"/>
      <c r="AX6" s="245"/>
      <c r="AY6" s="245"/>
      <c r="AZ6" s="245"/>
      <c r="BA6" s="245"/>
      <c r="BB6" s="245"/>
      <c r="BC6" s="245"/>
      <c r="BD6" s="245"/>
      <c r="BE6" s="245"/>
      <c r="BF6" s="245"/>
      <c r="BG6" s="245"/>
    </row>
    <row r="7" ht="21" customHeight="1">
      <c r="A7" s="13"/>
      <c r="B7" s="12"/>
      <c r="C7" s="12"/>
      <c r="D7" s="1"/>
      <c r="E7" s="1"/>
      <c r="F7" s="1"/>
      <c r="G7" s="1"/>
      <c r="H7" s="1"/>
      <c r="I7" s="1"/>
      <c r="J7" s="1"/>
      <c r="K7" s="1"/>
      <c r="L7" s="1"/>
      <c r="M7" s="1"/>
      <c r="N7" s="1"/>
      <c r="O7" s="1"/>
      <c r="P7" s="1"/>
      <c r="Q7" s="1"/>
      <c r="R7" s="1"/>
      <c r="S7" s="1"/>
      <c r="T7" s="1"/>
      <c r="U7" s="1"/>
      <c r="V7" s="1"/>
      <c r="W7" s="1"/>
      <c r="X7" s="1"/>
      <c r="Y7" s="1"/>
      <c r="Z7" s="1"/>
      <c r="AA7" s="1"/>
      <c r="AB7" s="1"/>
      <c r="AC7" s="1"/>
      <c r="AD7" s="244"/>
      <c r="AE7" s="244"/>
      <c r="AF7" s="244"/>
      <c r="AG7" s="244"/>
      <c r="AH7" s="244"/>
      <c r="AI7" s="244"/>
      <c r="AJ7" s="244"/>
      <c r="AK7" s="244"/>
      <c r="AL7" s="244"/>
      <c r="AM7" s="244"/>
      <c r="AN7" s="244"/>
      <c r="AO7" s="244"/>
      <c r="AP7" s="244"/>
      <c r="AQ7" s="244"/>
      <c r="AR7" s="244"/>
      <c r="AS7" s="244"/>
      <c r="AT7" s="244"/>
      <c r="AU7" s="244"/>
      <c r="AV7" s="244"/>
      <c r="AW7" s="244"/>
      <c r="AX7" s="244"/>
      <c r="AY7" s="244"/>
      <c r="AZ7" s="244"/>
      <c r="BA7" s="244"/>
      <c r="BB7" s="244"/>
      <c r="BC7" s="244"/>
      <c r="BD7" s="244"/>
      <c r="BE7" s="244"/>
      <c r="BF7" s="244"/>
      <c r="BG7" s="244"/>
    </row>
    <row r="8" ht="18" customHeight="1">
      <c r="A8" s="1"/>
      <c r="B8" s="1"/>
      <c r="C8" s="3"/>
      <c r="D8" s="3"/>
      <c r="E8" s="648" t="s">
        <v>40</v>
      </c>
      <c r="F8" s="648"/>
      <c r="G8" s="64"/>
      <c r="H8" s="648" t="s">
        <v>39</v>
      </c>
      <c r="I8" s="648"/>
      <c r="J8" s="1"/>
      <c r="K8" s="648" t="s">
        <v>41</v>
      </c>
      <c r="L8" s="648"/>
      <c r="M8" s="64"/>
      <c r="N8" s="648" t="s">
        <v>42</v>
      </c>
      <c r="O8" s="648"/>
      <c r="P8" s="64"/>
      <c r="Q8" s="648" t="s">
        <v>43</v>
      </c>
      <c r="R8" s="648"/>
      <c r="S8" s="64"/>
      <c r="T8" s="648" t="s">
        <v>44</v>
      </c>
      <c r="U8" s="648"/>
      <c r="V8" s="64"/>
      <c r="W8" s="648" t="s">
        <v>45</v>
      </c>
      <c r="X8" s="648"/>
      <c r="Y8" s="64"/>
      <c r="Z8" s="648" t="s">
        <v>23</v>
      </c>
      <c r="AA8" s="648"/>
      <c r="AB8" s="1"/>
      <c r="AC8" s="1"/>
      <c r="AD8" s="244"/>
      <c r="AE8" s="244"/>
      <c r="AF8" s="244"/>
      <c r="AG8" s="244"/>
      <c r="AH8" s="244"/>
      <c r="AI8" s="244"/>
      <c r="AJ8" s="244"/>
      <c r="AK8" s="244"/>
      <c r="AL8" s="244"/>
      <c r="AM8" s="244"/>
      <c r="AN8" s="244"/>
      <c r="AO8" s="244"/>
      <c r="AP8" s="244"/>
      <c r="AQ8" s="244"/>
      <c r="AR8" s="244"/>
      <c r="AS8" s="244"/>
      <c r="AT8" s="244"/>
      <c r="AU8" s="244"/>
      <c r="AV8" s="244"/>
      <c r="AW8" s="244"/>
      <c r="AX8" s="244"/>
      <c r="AY8" s="244"/>
      <c r="AZ8" s="244"/>
      <c r="BA8" s="244"/>
      <c r="BB8" s="244"/>
      <c r="BC8" s="244"/>
      <c r="BD8" s="244"/>
      <c r="BE8" s="244"/>
      <c r="BF8" s="244"/>
      <c r="BG8" s="244"/>
    </row>
    <row r="9" ht="18" customHeight="1">
      <c r="A9" s="1"/>
      <c r="B9" s="1"/>
      <c r="C9" s="1"/>
      <c r="D9" s="1"/>
      <c r="E9" s="649" t="s">
        <v>57</v>
      </c>
      <c r="F9" s="649"/>
      <c r="G9" s="65"/>
      <c r="H9" s="649" t="s">
        <v>57</v>
      </c>
      <c r="I9" s="649"/>
      <c r="J9" s="3"/>
      <c r="K9" s="649" t="s">
        <v>57</v>
      </c>
      <c r="L9" s="649"/>
      <c r="M9" s="79"/>
      <c r="N9" s="649" t="s">
        <v>57</v>
      </c>
      <c r="O9" s="649"/>
      <c r="P9" s="65"/>
      <c r="Q9" s="649" t="s">
        <v>57</v>
      </c>
      <c r="R9" s="649"/>
      <c r="S9" s="65"/>
      <c r="T9" s="649" t="s">
        <v>57</v>
      </c>
      <c r="U9" s="649"/>
      <c r="V9" s="65"/>
      <c r="W9" s="649" t="s">
        <v>57</v>
      </c>
      <c r="X9" s="649"/>
      <c r="Y9" s="1"/>
      <c r="Z9" s="649" t="s">
        <v>57</v>
      </c>
      <c r="AA9" s="649"/>
      <c r="AB9" s="1"/>
      <c r="AC9" s="1"/>
      <c r="AD9" s="244"/>
      <c r="AE9" s="244"/>
      <c r="AF9" s="244"/>
      <c r="AG9" s="244"/>
      <c r="AH9" s="244"/>
      <c r="AI9" s="244"/>
      <c r="AJ9" s="244"/>
      <c r="AK9" s="244"/>
      <c r="AL9" s="244"/>
      <c r="AM9" s="244"/>
      <c r="AN9" s="244"/>
      <c r="AO9" s="244"/>
      <c r="AP9" s="244"/>
      <c r="AQ9" s="244"/>
      <c r="AR9" s="244"/>
      <c r="AS9" s="244"/>
      <c r="AT9" s="244"/>
      <c r="AU9" s="244"/>
      <c r="AV9" s="244"/>
      <c r="AW9" s="244"/>
      <c r="AX9" s="244"/>
      <c r="AY9" s="244"/>
      <c r="AZ9" s="244"/>
      <c r="BA9" s="244"/>
      <c r="BB9" s="244"/>
      <c r="BC9" s="244"/>
      <c r="BD9" s="244"/>
      <c r="BE9" s="244"/>
      <c r="BF9" s="244"/>
      <c r="BG9" s="244"/>
    </row>
    <row r="10" ht="18" customHeight="1">
      <c r="A10" s="1"/>
      <c r="B10" s="650" t="s">
        <v>28</v>
      </c>
      <c r="C10" s="1"/>
      <c r="D10" s="17" t="s">
        <v>32</v>
      </c>
      <c r="E10" s="67">
        <v>0.3118279569892473118279569892</v>
      </c>
      <c r="F10" s="73">
        <v>41.463414634070434265318303650</v>
      </c>
      <c r="G10" s="66"/>
      <c r="H10" s="67">
        <v>0.2956989247311827956989247312</v>
      </c>
      <c r="I10" s="73">
        <v>-3.5087719297534626038780639500</v>
      </c>
      <c r="J10" s="66"/>
      <c r="K10" s="67">
        <v>0.3870967741935483870967741935</v>
      </c>
      <c r="L10" s="73">
        <v>24.137931034581212841855012670</v>
      </c>
      <c r="M10" s="67"/>
      <c r="N10" s="67">
        <v>0.4301075268817204301075268817</v>
      </c>
      <c r="O10" s="73">
        <v>40.350877193085872576177361510</v>
      </c>
      <c r="P10" s="66"/>
      <c r="Q10" s="67">
        <v>0.3548387096774193548387096774</v>
      </c>
      <c r="R10" s="73">
        <v>32.000000000036960000000010340</v>
      </c>
      <c r="S10" s="66"/>
      <c r="T10" s="67">
        <v>0.5376344086021505376344086022</v>
      </c>
      <c r="U10" s="73">
        <v>809.0909090945454545454690910</v>
      </c>
      <c r="V10" s="66"/>
      <c r="W10" s="67">
        <v>0.5268817204301075268817204301</v>
      </c>
      <c r="X10" s="73">
        <v>553.33333333594666666667711999</v>
      </c>
      <c r="Y10" s="177"/>
      <c r="Z10" s="67">
        <v>0.4062980030721966205837173579</v>
      </c>
      <c r="AA10" s="73">
        <v>83.04498269910508015948096106</v>
      </c>
      <c r="AB10" s="1"/>
      <c r="AC10" s="1"/>
      <c r="AD10" s="244"/>
      <c r="AE10" s="244"/>
      <c r="AF10" s="244"/>
      <c r="AG10" s="244"/>
      <c r="AH10" s="244"/>
      <c r="AI10" s="244"/>
      <c r="AJ10" s="244"/>
      <c r="AK10" s="244"/>
      <c r="AL10" s="244"/>
      <c r="AM10" s="244"/>
      <c r="AN10" s="244"/>
      <c r="AO10" s="244"/>
      <c r="AP10" s="244"/>
      <c r="AQ10" s="244"/>
      <c r="AR10" s="244"/>
      <c r="AS10" s="244"/>
      <c r="AT10" s="244"/>
      <c r="AU10" s="244"/>
      <c r="AV10" s="244"/>
      <c r="AW10" s="244"/>
      <c r="AX10" s="244"/>
      <c r="AY10" s="244"/>
      <c r="AZ10" s="244"/>
      <c r="BA10" s="244"/>
      <c r="BB10" s="244"/>
      <c r="BC10" s="244"/>
      <c r="BD10" s="244"/>
      <c r="BE10" s="244"/>
      <c r="BF10" s="244"/>
      <c r="BG10" s="244"/>
    </row>
    <row r="11" ht="18" customHeight="1">
      <c r="A11" s="1"/>
      <c r="B11" s="650"/>
      <c r="C11" s="15"/>
      <c r="D11" s="187" t="s">
        <v>26</v>
      </c>
      <c r="E11" s="180">
        <v>0.419889502762430939226519337</v>
      </c>
      <c r="F11" s="81">
        <v>12.871287128562562493873349850</v>
      </c>
      <c r="G11" s="181"/>
      <c r="H11" s="180">
        <v>0.484346224677716390423572744</v>
      </c>
      <c r="I11" s="81">
        <v>-0.9416195856683541340823694400</v>
      </c>
      <c r="J11" s="181"/>
      <c r="K11" s="180">
        <v>0.6703499079189686924493554328</v>
      </c>
      <c r="L11" s="81">
        <v>26.388888889006061921296404930</v>
      </c>
      <c r="M11" s="180"/>
      <c r="N11" s="180">
        <v>0.5681399631675874769797421731</v>
      </c>
      <c r="O11" s="81">
        <v>5.1107325383931665355850725800</v>
      </c>
      <c r="P11" s="181"/>
      <c r="Q11" s="180">
        <v>0.5478821362799263351749539595</v>
      </c>
      <c r="R11" s="81">
        <v>1.8835616438537600863201383400</v>
      </c>
      <c r="S11" s="182"/>
      <c r="T11" s="180">
        <v>0.7338858195211786372007366483</v>
      </c>
      <c r="U11" s="81">
        <v>9.931034482716164565992882040</v>
      </c>
      <c r="V11" s="181"/>
      <c r="W11" s="180">
        <v>0.7163904235727440147329650092</v>
      </c>
      <c r="X11" s="81">
        <v>9.732016925168512834183166050</v>
      </c>
      <c r="Y11" s="183"/>
      <c r="Z11" s="180">
        <v>0.5915548539857932123125493291</v>
      </c>
      <c r="AA11" s="81">
        <v>9.256559766844118522044445240</v>
      </c>
      <c r="AB11" s="1"/>
      <c r="AC11" s="1"/>
      <c r="AD11" s="244"/>
      <c r="AE11" s="244"/>
      <c r="AF11" s="244"/>
      <c r="AG11" s="244"/>
      <c r="AH11" s="244"/>
      <c r="AI11" s="244"/>
      <c r="AJ11" s="244"/>
      <c r="AK11" s="244"/>
      <c r="AL11" s="244"/>
      <c r="AM11" s="244"/>
      <c r="AN11" s="244"/>
      <c r="AO11" s="244"/>
      <c r="AP11" s="244"/>
      <c r="AQ11" s="244"/>
      <c r="AR11" s="244"/>
      <c r="AS11" s="244"/>
      <c r="AT11" s="244"/>
      <c r="AU11" s="244"/>
      <c r="AV11" s="244"/>
      <c r="AW11" s="244"/>
      <c r="AX11" s="244"/>
      <c r="AY11" s="244"/>
      <c r="AZ11" s="244"/>
      <c r="BA11" s="244"/>
      <c r="BB11" s="244"/>
      <c r="BC11" s="244"/>
      <c r="BD11" s="244"/>
      <c r="BE11" s="244"/>
      <c r="BF11" s="244"/>
      <c r="BG11" s="244"/>
    </row>
    <row r="12" ht="18" customHeight="1">
      <c r="A12" s="1"/>
      <c r="B12" s="57"/>
      <c r="C12" s="15"/>
      <c r="D12" s="406" t="s">
        <v>91</v>
      </c>
      <c r="E12" s="68">
        <v>74.264289756725907351145343750</v>
      </c>
      <c r="F12" s="73">
        <v>25.331621737610959818653756920</v>
      </c>
      <c r="G12" s="68"/>
      <c r="H12" s="68">
        <v>61.051146817086783003200690260</v>
      </c>
      <c r="I12" s="73">
        <v>-2.5915549330697239420828259100</v>
      </c>
      <c r="J12" s="68"/>
      <c r="K12" s="68">
        <v>57.745480326122790511509051150</v>
      </c>
      <c r="L12" s="73">
        <v>-1.7809776431943047049403774600</v>
      </c>
      <c r="M12" s="68"/>
      <c r="N12" s="68">
        <v>75.704501489985288643452035560</v>
      </c>
      <c r="O12" s="73">
        <v>33.526685433048195619597454120</v>
      </c>
      <c r="P12" s="68"/>
      <c r="Q12" s="68">
        <v>64.765519110861446544462188320</v>
      </c>
      <c r="R12" s="73">
        <v>29.559663865610342550974803740</v>
      </c>
      <c r="S12" s="68"/>
      <c r="T12" s="68">
        <v>73.258590682820276729848483480</v>
      </c>
      <c r="U12" s="73">
        <v>726.96475418836048879511213353</v>
      </c>
      <c r="V12" s="68"/>
      <c r="W12" s="68">
        <v>73.546728584433459420062167360</v>
      </c>
      <c r="X12" s="73">
        <v>495.38988860479958998950040940</v>
      </c>
      <c r="Y12" s="174"/>
      <c r="Z12" s="68">
        <v>68.683064695436046517687505010</v>
      </c>
      <c r="AA12" s="73">
        <v>67.536835398676156708845369050</v>
      </c>
      <c r="AB12" s="1"/>
      <c r="AC12" s="1"/>
      <c r="AD12" s="244"/>
      <c r="AE12" s="244"/>
      <c r="AF12" s="244"/>
      <c r="AG12" s="244"/>
      <c r="AH12" s="244"/>
      <c r="AI12" s="244"/>
      <c r="AJ12" s="244"/>
      <c r="AK12" s="244"/>
      <c r="AL12" s="244"/>
      <c r="AM12" s="244"/>
      <c r="AN12" s="244"/>
      <c r="AO12" s="244"/>
      <c r="AP12" s="244"/>
      <c r="AQ12" s="244"/>
      <c r="AR12" s="244"/>
      <c r="AS12" s="244"/>
      <c r="AT12" s="244"/>
      <c r="AU12" s="244"/>
      <c r="AV12" s="244"/>
      <c r="AW12" s="244"/>
      <c r="AX12" s="244"/>
      <c r="AY12" s="244"/>
      <c r="AZ12" s="244"/>
      <c r="BA12" s="244"/>
      <c r="BB12" s="244"/>
      <c r="BC12" s="244"/>
      <c r="BD12" s="244"/>
      <c r="BE12" s="244"/>
      <c r="BF12" s="244"/>
      <c r="BG12" s="244"/>
    </row>
    <row r="13" ht="21" customHeight="1">
      <c r="A13" s="1"/>
      <c r="B13" s="16"/>
      <c r="C13" s="16"/>
      <c r="D13" s="1"/>
      <c r="E13" s="3"/>
      <c r="F13" s="66"/>
      <c r="G13" s="66"/>
      <c r="H13" s="66"/>
      <c r="I13" s="66"/>
      <c r="J13" s="66"/>
      <c r="K13" s="66"/>
      <c r="L13" s="66"/>
      <c r="M13" s="66"/>
      <c r="N13" s="66"/>
      <c r="O13" s="66"/>
      <c r="P13" s="66"/>
      <c r="Q13" s="66"/>
      <c r="R13" s="66"/>
      <c r="S13" s="66"/>
      <c r="T13" s="66"/>
      <c r="U13" s="66"/>
      <c r="V13" s="66"/>
      <c r="W13" s="66"/>
      <c r="X13" s="66"/>
      <c r="Y13" s="66"/>
      <c r="Z13" s="66"/>
      <c r="AA13" s="175"/>
      <c r="AB13" s="1"/>
      <c r="AC13" s="1"/>
      <c r="AD13" s="244"/>
      <c r="AE13" s="244"/>
      <c r="AF13" s="244"/>
      <c r="AG13" s="244"/>
      <c r="AH13" s="244"/>
      <c r="AI13" s="244"/>
      <c r="AJ13" s="244"/>
      <c r="AK13" s="244"/>
      <c r="AL13" s="244"/>
      <c r="AM13" s="244"/>
      <c r="AN13" s="244"/>
      <c r="AO13" s="244"/>
      <c r="AP13" s="244"/>
      <c r="AQ13" s="244"/>
      <c r="AR13" s="244"/>
      <c r="AS13" s="244"/>
      <c r="AT13" s="244"/>
      <c r="AU13" s="244"/>
      <c r="AV13" s="244"/>
      <c r="AW13" s="244"/>
      <c r="AX13" s="244"/>
      <c r="AY13" s="244"/>
      <c r="AZ13" s="244"/>
      <c r="BA13" s="244"/>
      <c r="BB13" s="244"/>
      <c r="BC13" s="244"/>
      <c r="BD13" s="244"/>
      <c r="BE13" s="244"/>
      <c r="BF13" s="244"/>
      <c r="BG13" s="244"/>
    </row>
    <row r="14" ht="18" customHeight="1">
      <c r="A14" s="1"/>
      <c r="B14" s="650" t="s">
        <v>12</v>
      </c>
      <c r="C14" s="1"/>
      <c r="D14" s="17" t="s">
        <v>32</v>
      </c>
      <c r="E14" s="237">
        <v>90.000000000</v>
      </c>
      <c r="F14" s="73">
        <v>-4.6757943683384006330214867700</v>
      </c>
      <c r="G14" s="70"/>
      <c r="H14" s="237">
        <v>95.23636363636363636363636364</v>
      </c>
      <c r="I14" s="73">
        <v>-13.696776990908358656642578520</v>
      </c>
      <c r="J14" s="70"/>
      <c r="K14" s="237">
        <v>102.55555555555555555555555556</v>
      </c>
      <c r="L14" s="73">
        <v>-5.3132406523167028311454830300</v>
      </c>
      <c r="M14" s="70"/>
      <c r="N14" s="237">
        <v>98.687500000</v>
      </c>
      <c r="O14" s="73">
        <v>-6.3872940589303270506122954900</v>
      </c>
      <c r="P14" s="70"/>
      <c r="Q14" s="237">
        <v>92.28787878787878787878787879</v>
      </c>
      <c r="R14" s="73">
        <v>-9.183350927102157174977485940</v>
      </c>
      <c r="S14" s="70"/>
      <c r="T14" s="237">
        <v>104.020000000</v>
      </c>
      <c r="U14" s="73">
        <v>10.874031007730450769184548360</v>
      </c>
      <c r="V14" s="70"/>
      <c r="W14" s="237">
        <v>102.80612244897959183673469388</v>
      </c>
      <c r="X14" s="73">
        <v>-57.056757540108775339709818760</v>
      </c>
      <c r="Y14" s="178"/>
      <c r="Z14" s="237">
        <v>98.87523629489603024574669187</v>
      </c>
      <c r="AA14" s="73">
        <v>-11.136511726537918741744851890</v>
      </c>
      <c r="AB14" s="1"/>
      <c r="AC14" s="1"/>
      <c r="AD14" s="244"/>
      <c r="AE14" s="244"/>
      <c r="AF14" s="244"/>
      <c r="AG14" s="244"/>
      <c r="AH14" s="244"/>
      <c r="AI14" s="244"/>
      <c r="AJ14" s="244"/>
      <c r="AK14" s="244"/>
      <c r="AL14" s="244"/>
      <c r="AM14" s="244"/>
      <c r="AN14" s="244"/>
      <c r="AO14" s="244"/>
      <c r="AP14" s="244"/>
      <c r="AQ14" s="244"/>
      <c r="AR14" s="244"/>
      <c r="AS14" s="244"/>
      <c r="AT14" s="244"/>
      <c r="AU14" s="244"/>
      <c r="AV14" s="244"/>
      <c r="AW14" s="244"/>
      <c r="AX14" s="244"/>
      <c r="AY14" s="244"/>
      <c r="AZ14" s="244"/>
      <c r="BA14" s="244"/>
      <c r="BB14" s="244"/>
      <c r="BC14" s="244"/>
      <c r="BD14" s="244"/>
      <c r="BE14" s="244"/>
      <c r="BF14" s="244"/>
      <c r="BG14" s="244"/>
    </row>
    <row r="15" ht="18" customHeight="1">
      <c r="A15" s="1"/>
      <c r="B15" s="650"/>
      <c r="C15" s="15"/>
      <c r="D15" s="187" t="s">
        <v>26</v>
      </c>
      <c r="E15" s="238">
        <v>122.43809210526315789473684211</v>
      </c>
      <c r="F15" s="81">
        <v>-7.925861901759311712360355770</v>
      </c>
      <c r="G15" s="184"/>
      <c r="H15" s="238">
        <v>140.55796577946768060836501902</v>
      </c>
      <c r="I15" s="81">
        <v>0.9956357925684357320870401700</v>
      </c>
      <c r="J15" s="184"/>
      <c r="K15" s="238">
        <v>142.56042582417582417582417582</v>
      </c>
      <c r="L15" s="81">
        <v>-1.4613428808995847373833432700</v>
      </c>
      <c r="M15" s="184"/>
      <c r="N15" s="238">
        <v>137.5721393841166936790923825</v>
      </c>
      <c r="O15" s="81">
        <v>-5.0668391405997066112962160100</v>
      </c>
      <c r="P15" s="184"/>
      <c r="Q15" s="238">
        <v>134.3840504201680672268907563</v>
      </c>
      <c r="R15" s="81">
        <v>-8.386347834859406981721782110</v>
      </c>
      <c r="S15" s="184"/>
      <c r="T15" s="238">
        <v>127.64540777917189460476787953</v>
      </c>
      <c r="U15" s="81">
        <v>-6.4894131047748430901016124400</v>
      </c>
      <c r="V15" s="184"/>
      <c r="W15" s="238">
        <v>131.22871465295629820051413882</v>
      </c>
      <c r="X15" s="81">
        <v>3.0902178738923472976988808900</v>
      </c>
      <c r="Y15" s="186"/>
      <c r="Z15" s="238">
        <v>133.91574382921947965310206804</v>
      </c>
      <c r="AA15" s="81">
        <v>-3.4516522057961925224053282700</v>
      </c>
      <c r="AB15" s="1"/>
      <c r="AC15" s="1"/>
      <c r="AD15" s="244"/>
      <c r="AE15" s="244"/>
      <c r="AF15" s="244"/>
      <c r="AG15" s="244"/>
      <c r="AH15" s="244"/>
      <c r="AI15" s="244"/>
      <c r="AJ15" s="244"/>
      <c r="AK15" s="244"/>
      <c r="AL15" s="244"/>
      <c r="AM15" s="244"/>
      <c r="AN15" s="244"/>
      <c r="AO15" s="244"/>
      <c r="AP15" s="244"/>
      <c r="AQ15" s="244"/>
      <c r="AR15" s="244"/>
      <c r="AS15" s="244"/>
      <c r="AT15" s="244"/>
      <c r="AU15" s="244"/>
      <c r="AV15" s="244"/>
      <c r="AW15" s="244"/>
      <c r="AX15" s="244"/>
      <c r="AY15" s="244"/>
      <c r="AZ15" s="244"/>
      <c r="BA15" s="244"/>
      <c r="BB15" s="244"/>
      <c r="BC15" s="244"/>
      <c r="BD15" s="244"/>
      <c r="BE15" s="244"/>
      <c r="BF15" s="244"/>
      <c r="BG15" s="244"/>
    </row>
    <row r="16" ht="18" customHeight="1">
      <c r="A16" s="1"/>
      <c r="B16" s="57"/>
      <c r="C16" s="15"/>
      <c r="D16" s="406" t="s">
        <v>92</v>
      </c>
      <c r="E16" s="68">
        <v>73.506535794920438492253520470</v>
      </c>
      <c r="F16" s="73">
        <v>3.5298375857744321810700144100</v>
      </c>
      <c r="G16" s="68"/>
      <c r="H16" s="68">
        <v>67.755934790466071895643433090</v>
      </c>
      <c r="I16" s="73">
        <v>-14.547571950215638174464245970</v>
      </c>
      <c r="J16" s="68"/>
      <c r="K16" s="68">
        <v>71.938306134146300698754051270</v>
      </c>
      <c r="L16" s="73">
        <v>-3.9090219859506811506140588100</v>
      </c>
      <c r="M16" s="68"/>
      <c r="N16" s="68">
        <v>71.735091452249291356813512870</v>
      </c>
      <c r="O16" s="73">
        <v>-1.3909311628870320408738167500</v>
      </c>
      <c r="P16" s="68"/>
      <c r="Q16" s="68">
        <v>68.674726278384665484494264330</v>
      </c>
      <c r="R16" s="73">
        <v>-0.8699610521875748887334241700</v>
      </c>
      <c r="S16" s="68"/>
      <c r="T16" s="68">
        <v>81.49137662667266463020216403</v>
      </c>
      <c r="U16" s="73">
        <v>18.568425981499132447974218780</v>
      </c>
      <c r="V16" s="68"/>
      <c r="W16" s="68">
        <v>78.341179154900269734591723970</v>
      </c>
      <c r="X16" s="73">
        <v>-58.344018137202405306869354310</v>
      </c>
      <c r="Y16" s="174"/>
      <c r="Z16" s="68">
        <v>73.833914868892754567988299170</v>
      </c>
      <c r="AA16" s="73">
        <v>-7.959597130633010227595007180</v>
      </c>
      <c r="AB16" s="1"/>
      <c r="AC16" s="1"/>
      <c r="AD16" s="244"/>
      <c r="AE16" s="244"/>
      <c r="AF16" s="244"/>
      <c r="AG16" s="244"/>
      <c r="AH16" s="244"/>
      <c r="AI16" s="244"/>
      <c r="AJ16" s="244"/>
      <c r="AK16" s="244"/>
      <c r="AL16" s="244"/>
      <c r="AM16" s="244"/>
      <c r="AN16" s="244"/>
      <c r="AO16" s="244"/>
      <c r="AP16" s="244"/>
      <c r="AQ16" s="244"/>
      <c r="AR16" s="244"/>
      <c r="AS16" s="244"/>
      <c r="AT16" s="244"/>
      <c r="AU16" s="244"/>
      <c r="AV16" s="244"/>
      <c r="AW16" s="244"/>
      <c r="AX16" s="244"/>
      <c r="AY16" s="244"/>
      <c r="AZ16" s="244"/>
      <c r="BA16" s="244"/>
      <c r="BB16" s="244"/>
      <c r="BC16" s="244"/>
      <c r="BD16" s="244"/>
      <c r="BE16" s="244"/>
      <c r="BF16" s="244"/>
      <c r="BG16" s="244"/>
    </row>
    <row r="17" ht="21" customHeight="1">
      <c r="A17" s="1"/>
      <c r="B17" s="16"/>
      <c r="C17" s="16"/>
      <c r="D17" s="1"/>
      <c r="E17" s="3"/>
      <c r="F17" s="66"/>
      <c r="G17" s="66"/>
      <c r="H17" s="66"/>
      <c r="I17" s="66"/>
      <c r="J17" s="66"/>
      <c r="K17" s="66"/>
      <c r="L17" s="66"/>
      <c r="M17" s="66"/>
      <c r="N17" s="66"/>
      <c r="O17" s="66"/>
      <c r="P17" s="66"/>
      <c r="Q17" s="66"/>
      <c r="R17" s="66"/>
      <c r="S17" s="66"/>
      <c r="T17" s="66"/>
      <c r="U17" s="66"/>
      <c r="V17" s="66"/>
      <c r="W17" s="66"/>
      <c r="X17" s="66"/>
      <c r="Y17" s="66"/>
      <c r="Z17" s="66"/>
      <c r="AA17" s="175"/>
      <c r="AB17" s="1"/>
      <c r="AC17" s="1"/>
      <c r="AD17" s="244"/>
      <c r="AE17" s="244"/>
      <c r="AF17" s="244"/>
      <c r="AG17" s="244"/>
      <c r="AH17" s="244"/>
      <c r="AI17" s="244"/>
      <c r="AJ17" s="244"/>
      <c r="AK17" s="244"/>
      <c r="AL17" s="244"/>
      <c r="AM17" s="244"/>
      <c r="AN17" s="244"/>
      <c r="AO17" s="244"/>
      <c r="AP17" s="244"/>
      <c r="AQ17" s="244"/>
      <c r="AR17" s="244"/>
      <c r="AS17" s="244"/>
      <c r="AT17" s="244"/>
      <c r="AU17" s="244"/>
      <c r="AV17" s="244"/>
      <c r="AW17" s="244"/>
      <c r="AX17" s="244"/>
      <c r="AY17" s="244"/>
      <c r="AZ17" s="244"/>
      <c r="BA17" s="244"/>
      <c r="BB17" s="244"/>
      <c r="BC17" s="244"/>
      <c r="BD17" s="244"/>
      <c r="BE17" s="244"/>
      <c r="BF17" s="244"/>
      <c r="BG17" s="244"/>
    </row>
    <row r="18" ht="18" customHeight="1">
      <c r="A18" s="1"/>
      <c r="B18" s="650" t="s">
        <v>13</v>
      </c>
      <c r="C18" s="1"/>
      <c r="D18" s="17" t="s">
        <v>32</v>
      </c>
      <c r="E18" s="237">
        <v>28.064516129032258064516129032</v>
      </c>
      <c r="F18" s="73">
        <v>34.848876259294833956983056140</v>
      </c>
      <c r="G18" s="70"/>
      <c r="H18" s="237">
        <v>28.161290322580645161290322581</v>
      </c>
      <c r="I18" s="73">
        <v>-16.724960254432919742898188960</v>
      </c>
      <c r="J18" s="70"/>
      <c r="K18" s="237">
        <v>39.698924731182795698924731183</v>
      </c>
      <c r="L18" s="73">
        <v>17.542184017783810690601292400</v>
      </c>
      <c r="M18" s="70"/>
      <c r="N18" s="237">
        <v>42.44623655913978494623655914</v>
      </c>
      <c r="O18" s="73">
        <v>31.386253952417845190942161880</v>
      </c>
      <c r="P18" s="70"/>
      <c r="Q18" s="237">
        <v>32.747311827956989247311827957</v>
      </c>
      <c r="R18" s="73">
        <v>19.877976776116622969263897570</v>
      </c>
      <c r="S18" s="70"/>
      <c r="T18" s="237">
        <v>55.924731182795698924731182796</v>
      </c>
      <c r="U18" s="73">
        <v>907.9457364294204074274600601</v>
      </c>
      <c r="V18" s="70"/>
      <c r="W18" s="237">
        <v>54.166666666666666666666666667</v>
      </c>
      <c r="X18" s="73">
        <v>180.56251740466954539416396595</v>
      </c>
      <c r="Y18" s="178"/>
      <c r="Z18" s="237">
        <v>40.172811059907834101382488479</v>
      </c>
      <c r="AA18" s="73">
        <v>62.660156735731333697874761110</v>
      </c>
      <c r="AB18" s="1"/>
      <c r="AC18" s="1"/>
      <c r="AD18" s="244"/>
      <c r="AE18" s="244"/>
      <c r="AF18" s="244"/>
      <c r="AG18" s="244"/>
      <c r="AH18" s="244"/>
      <c r="AI18" s="244"/>
      <c r="AJ18" s="244"/>
      <c r="AK18" s="244"/>
      <c r="AL18" s="244"/>
      <c r="AM18" s="244"/>
      <c r="AN18" s="244"/>
      <c r="AO18" s="244"/>
      <c r="AP18" s="244"/>
      <c r="AQ18" s="244"/>
      <c r="AR18" s="244"/>
      <c r="AS18" s="244"/>
      <c r="AT18" s="244"/>
      <c r="AU18" s="244"/>
      <c r="AV18" s="244"/>
      <c r="AW18" s="244"/>
      <c r="AX18" s="244"/>
      <c r="AY18" s="244"/>
      <c r="AZ18" s="244"/>
      <c r="BA18" s="244"/>
      <c r="BB18" s="244"/>
      <c r="BC18" s="244"/>
      <c r="BD18" s="244"/>
      <c r="BE18" s="244"/>
      <c r="BF18" s="244"/>
      <c r="BG18" s="244"/>
    </row>
    <row r="19" ht="18" customHeight="1">
      <c r="A19" s="1"/>
      <c r="B19" s="650" t="s"/>
      <c r="C19" s="15"/>
      <c r="D19" s="187" t="s">
        <v>26</v>
      </c>
      <c r="E19" s="238">
        <v>51.410469613259668508287292818</v>
      </c>
      <c r="F19" s="81">
        <v>3.9252647840770250578793193200</v>
      </c>
      <c r="G19" s="184"/>
      <c r="H19" s="238">
        <v>68.078720073664825046040515654</v>
      </c>
      <c r="I19" s="81">
        <v>0.0446411053235332343863818500</v>
      </c>
      <c r="J19" s="184"/>
      <c r="K19" s="238">
        <v>95.56536832412523020257826888</v>
      </c>
      <c r="L19" s="81">
        <v>24.541913858884545883072148890</v>
      </c>
      <c r="M19" s="184"/>
      <c r="N19" s="238">
        <v>78.160230202578268876611418048</v>
      </c>
      <c r="O19" s="81">
        <v>-0.2150591989434997602831098700</v>
      </c>
      <c r="P19" s="184"/>
      <c r="Q19" s="238">
        <v>73.626620626151012891344383057</v>
      </c>
      <c r="R19" s="81">
        <v>-6.660748222101874718680455500</v>
      </c>
      <c r="S19" s="184"/>
      <c r="T19" s="238">
        <v>93.67715469613259668508287293</v>
      </c>
      <c r="U19" s="81">
        <v>2.7971555247722538450705234700</v>
      </c>
      <c r="V19" s="184"/>
      <c r="W19" s="238">
        <v>94.01099447513812154696132597</v>
      </c>
      <c r="X19" s="81">
        <v>13.122975325749892258828853590</v>
      </c>
      <c r="Y19" s="186"/>
      <c r="Z19" s="238">
        <v>79.21850828729281767955801105</v>
      </c>
      <c r="AA19" s="81">
        <v>5.485403311531345906772335400</v>
      </c>
      <c r="AB19" s="1"/>
      <c r="AC19" s="1"/>
      <c r="AD19" s="244"/>
      <c r="AE19" s="244"/>
      <c r="AF19" s="244"/>
      <c r="AG19" s="244"/>
      <c r="AH19" s="244"/>
      <c r="AI19" s="244"/>
      <c r="AJ19" s="244"/>
      <c r="AK19" s="244"/>
      <c r="AL19" s="244"/>
      <c r="AM19" s="244"/>
      <c r="AN19" s="244"/>
      <c r="AO19" s="244"/>
      <c r="AP19" s="244"/>
      <c r="AQ19" s="244"/>
      <c r="AR19" s="244"/>
      <c r="AS19" s="244"/>
      <c r="AT19" s="244"/>
      <c r="AU19" s="244"/>
      <c r="AV19" s="244"/>
      <c r="AW19" s="244"/>
      <c r="AX19" s="244"/>
      <c r="AY19" s="244"/>
      <c r="AZ19" s="244"/>
      <c r="BA19" s="244"/>
      <c r="BB19" s="244"/>
      <c r="BC19" s="244"/>
      <c r="BD19" s="244"/>
      <c r="BE19" s="244"/>
      <c r="BF19" s="244"/>
      <c r="BG19" s="244"/>
    </row>
    <row r="20" ht="18" customHeight="1">
      <c r="A20" s="1"/>
      <c r="B20" s="57"/>
      <c r="C20" s="15"/>
      <c r="D20" s="406" t="s">
        <v>93</v>
      </c>
      <c r="E20" s="68">
        <v>54.589106732788737002813191600</v>
      </c>
      <c r="F20" s="73">
        <v>29.755624428227672844954674460</v>
      </c>
      <c r="G20" s="68"/>
      <c r="H20" s="68">
        <v>41.365775226229383894937017990</v>
      </c>
      <c r="I20" s="73">
        <v>-16.762118564813257930899265580</v>
      </c>
      <c r="J20" s="68"/>
      <c r="K20" s="68">
        <v>41.541120415659388693791931430</v>
      </c>
      <c r="L20" s="73">
        <v>-5.6203808213341999729759091700</v>
      </c>
      <c r="M20" s="68"/>
      <c r="N20" s="68">
        <v>54.306693377328117079197174750</v>
      </c>
      <c r="O20" s="73">
        <v>31.669421154854017343029930290</v>
      </c>
      <c r="P20" s="68"/>
      <c r="Q20" s="68">
        <v>44.477542972145964538007853710</v>
      </c>
      <c r="R20" s="73">
        <v>28.432545250485248460143298540</v>
      </c>
      <c r="S20" s="68"/>
      <c r="T20" s="68">
        <v>59.699434044748988146281083980</v>
      </c>
      <c r="U20" s="73">
        <v>880.5190924674462281791410656</v>
      </c>
      <c r="V20" s="68"/>
      <c r="W20" s="68">
        <v>57.617374402962403395279799020</v>
      </c>
      <c r="X20" s="73">
        <v>148.01550400922818532501284653</v>
      </c>
      <c r="Y20" s="174"/>
      <c r="Z20" s="68">
        <v>50.711395516580537949852076170</v>
      </c>
      <c r="AA20" s="73">
        <v>54.201578256035568532660717700</v>
      </c>
      <c r="AB20" s="1"/>
      <c r="AC20" s="1"/>
      <c r="AD20" s="244"/>
      <c r="AE20" s="244"/>
      <c r="AF20" s="244"/>
      <c r="AG20" s="244"/>
      <c r="AH20" s="244"/>
      <c r="AI20" s="244"/>
      <c r="AJ20" s="244"/>
      <c r="AK20" s="244"/>
      <c r="AL20" s="244"/>
      <c r="AM20" s="244"/>
      <c r="AN20" s="244"/>
      <c r="AO20" s="244"/>
      <c r="AP20" s="244"/>
      <c r="AQ20" s="244"/>
      <c r="AR20" s="244"/>
      <c r="AS20" s="244"/>
      <c r="AT20" s="244"/>
      <c r="AU20" s="244"/>
      <c r="AV20" s="244"/>
      <c r="AW20" s="244"/>
      <c r="AX20" s="244"/>
      <c r="AY20" s="244"/>
      <c r="AZ20" s="244"/>
      <c r="BA20" s="244"/>
      <c r="BB20" s="244"/>
      <c r="BC20" s="244"/>
      <c r="BD20" s="244"/>
      <c r="BE20" s="244"/>
      <c r="BF20" s="244"/>
      <c r="BG20" s="244"/>
    </row>
    <row r="21" ht="23.1" customHeight="1">
      <c r="A21" s="1"/>
      <c r="B21" s="16"/>
      <c r="C21" s="16"/>
      <c r="D21" s="1"/>
      <c r="E21" s="1"/>
      <c r="F21" s="1"/>
      <c r="G21" s="1"/>
      <c r="H21" s="1"/>
      <c r="I21" s="1"/>
      <c r="J21" s="1"/>
      <c r="K21" s="1"/>
      <c r="L21" s="1"/>
      <c r="M21" s="1"/>
      <c r="N21" s="1"/>
      <c r="O21" s="1"/>
      <c r="P21" s="1"/>
      <c r="Q21" s="1"/>
      <c r="R21" s="1"/>
      <c r="S21" s="1"/>
      <c r="T21" s="1"/>
      <c r="U21" s="1"/>
      <c r="V21" s="1"/>
      <c r="W21" s="1"/>
      <c r="X21" s="1"/>
      <c r="Y21" s="1"/>
      <c r="Z21" s="1"/>
      <c r="AA21" s="1"/>
      <c r="AB21" s="1"/>
      <c r="AC21" s="1"/>
      <c r="AD21" s="244"/>
      <c r="AE21" s="244"/>
      <c r="AF21" s="244"/>
      <c r="AG21" s="244"/>
      <c r="AH21" s="244"/>
      <c r="AI21" s="244"/>
      <c r="AJ21" s="244"/>
      <c r="AK21" s="244"/>
      <c r="AL21" s="244"/>
      <c r="AM21" s="244"/>
      <c r="AN21" s="244"/>
      <c r="AO21" s="244"/>
      <c r="AP21" s="244"/>
      <c r="AQ21" s="244"/>
      <c r="AR21" s="244"/>
      <c r="AS21" s="244"/>
      <c r="AT21" s="244"/>
      <c r="AU21" s="244"/>
      <c r="AV21" s="244"/>
      <c r="AW21" s="244"/>
      <c r="AX21" s="244"/>
      <c r="AY21" s="244"/>
      <c r="AZ21" s="244"/>
      <c r="BA21" s="244"/>
      <c r="BB21" s="244"/>
      <c r="BC21" s="244"/>
      <c r="BD21" s="244"/>
      <c r="BE21" s="244"/>
      <c r="BF21" s="244"/>
      <c r="BG21" s="244"/>
    </row>
    <row r="22" ht="23.1" customHeight="1">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244"/>
      <c r="AE22" s="244"/>
      <c r="AF22" s="244"/>
      <c r="AG22" s="244"/>
      <c r="AH22" s="244"/>
      <c r="AI22" s="244"/>
      <c r="AJ22" s="244"/>
      <c r="AK22" s="244"/>
      <c r="AL22" s="244"/>
      <c r="AM22" s="244"/>
      <c r="AN22" s="244"/>
      <c r="AO22" s="244"/>
      <c r="AP22" s="244"/>
      <c r="AQ22" s="244"/>
      <c r="AR22" s="244"/>
      <c r="AS22" s="244"/>
      <c r="AT22" s="244"/>
      <c r="AU22" s="244"/>
      <c r="AV22" s="244"/>
      <c r="AW22" s="244"/>
      <c r="AX22" s="244"/>
      <c r="AY22" s="244"/>
      <c r="AZ22" s="244"/>
      <c r="BA22" s="244"/>
      <c r="BB22" s="244"/>
      <c r="BC22" s="244"/>
      <c r="BD22" s="244"/>
      <c r="BE22" s="244"/>
      <c r="BF22" s="244"/>
      <c r="BG22" s="244"/>
    </row>
    <row r="23" s="6" customFormat="1" ht="18" customHeight="1">
      <c r="A23" s="78"/>
      <c r="B23" s="607" t="s">
        <v>69</v>
      </c>
      <c r="C23" s="607"/>
      <c r="D23" s="607"/>
      <c r="E23" s="607"/>
      <c r="F23" s="607"/>
      <c r="G23" s="607"/>
      <c r="H23" s="607"/>
      <c r="I23" s="607"/>
      <c r="J23" s="607"/>
      <c r="K23" s="607"/>
      <c r="L23" s="607"/>
      <c r="M23" s="607"/>
      <c r="N23" s="607"/>
      <c r="O23" s="607"/>
      <c r="P23" s="607"/>
      <c r="Q23" s="607"/>
      <c r="R23" s="607"/>
      <c r="S23" s="607"/>
      <c r="T23" s="607"/>
      <c r="U23" s="607"/>
      <c r="V23" s="607"/>
      <c r="W23" s="607"/>
      <c r="X23" s="607"/>
      <c r="Y23" s="607"/>
      <c r="Z23" s="607"/>
      <c r="AA23" s="607"/>
      <c r="AB23" s="607"/>
      <c r="AC23" s="78"/>
      <c r="AD23" s="245"/>
      <c r="AE23" s="245"/>
      <c r="AF23" s="245"/>
      <c r="AG23" s="245"/>
      <c r="AH23" s="245"/>
      <c r="AI23" s="245"/>
      <c r="AJ23" s="245"/>
      <c r="AK23" s="245"/>
      <c r="AL23" s="245"/>
      <c r="AM23" s="245"/>
      <c r="AN23" s="245"/>
      <c r="AO23" s="245"/>
      <c r="AP23" s="245"/>
      <c r="AQ23" s="245"/>
      <c r="AR23" s="245"/>
      <c r="AS23" s="245"/>
      <c r="AT23" s="245"/>
      <c r="AU23" s="245"/>
      <c r="AV23" s="245"/>
      <c r="AW23" s="245"/>
      <c r="AX23" s="245"/>
      <c r="AY23" s="245"/>
      <c r="AZ23" s="245"/>
      <c r="BA23" s="245"/>
      <c r="BB23" s="245"/>
      <c r="BC23" s="245"/>
      <c r="BD23" s="245"/>
      <c r="BE23" s="245"/>
      <c r="BF23" s="245"/>
      <c r="BG23" s="245"/>
    </row>
    <row r="24" ht="21" customHeight="1">
      <c r="A24" s="1"/>
      <c r="B24" s="16"/>
      <c r="C24" s="16"/>
      <c r="D24" s="1"/>
      <c r="E24" s="1"/>
      <c r="F24" s="1"/>
      <c r="G24" s="1"/>
      <c r="H24" s="1"/>
      <c r="I24" s="1"/>
      <c r="J24" s="1"/>
      <c r="K24" s="1"/>
      <c r="L24" s="1"/>
      <c r="M24" s="1"/>
      <c r="N24" s="1"/>
      <c r="O24" s="1"/>
      <c r="P24" s="1"/>
      <c r="Q24" s="1"/>
      <c r="R24" s="1"/>
      <c r="S24" s="1"/>
      <c r="T24" s="1"/>
      <c r="U24" s="1"/>
      <c r="V24" s="1"/>
      <c r="W24" s="1"/>
      <c r="X24" s="1"/>
      <c r="Y24" s="1"/>
      <c r="Z24" s="1"/>
      <c r="AA24" s="1"/>
      <c r="AB24" s="1"/>
      <c r="AC24" s="1"/>
      <c r="AD24" s="244"/>
      <c r="AE24" s="244"/>
      <c r="AF24" s="244"/>
      <c r="AG24" s="244"/>
      <c r="AH24" s="244"/>
      <c r="AI24" s="244"/>
      <c r="AJ24" s="244"/>
      <c r="AK24" s="244"/>
      <c r="AL24" s="244"/>
      <c r="AM24" s="244"/>
      <c r="AN24" s="244"/>
      <c r="AO24" s="244"/>
      <c r="AP24" s="244"/>
      <c r="AQ24" s="244"/>
      <c r="AR24" s="244"/>
      <c r="AS24" s="244"/>
      <c r="AT24" s="244"/>
      <c r="AU24" s="244"/>
      <c r="AV24" s="244"/>
      <c r="AW24" s="244"/>
      <c r="AX24" s="244"/>
      <c r="AY24" s="244"/>
      <c r="AZ24" s="244"/>
      <c r="BA24" s="244"/>
      <c r="BB24" s="244"/>
      <c r="BC24" s="244"/>
      <c r="BD24" s="244"/>
      <c r="BE24" s="244"/>
      <c r="BF24" s="244"/>
      <c r="BG24" s="244"/>
    </row>
    <row r="25" ht="18" customHeight="1">
      <c r="A25" s="1"/>
      <c r="B25" s="1"/>
      <c r="C25" s="1"/>
      <c r="D25" s="3"/>
      <c r="E25" s="648" t="s">
        <v>40</v>
      </c>
      <c r="F25" s="648"/>
      <c r="G25" s="64"/>
      <c r="H25" s="648" t="s">
        <v>39</v>
      </c>
      <c r="I25" s="648"/>
      <c r="J25" s="1"/>
      <c r="K25" s="648" t="s">
        <v>41</v>
      </c>
      <c r="L25" s="648"/>
      <c r="M25" s="64"/>
      <c r="N25" s="648" t="s">
        <v>42</v>
      </c>
      <c r="O25" s="648"/>
      <c r="P25" s="64"/>
      <c r="Q25" s="648" t="s">
        <v>43</v>
      </c>
      <c r="R25" s="648"/>
      <c r="S25" s="64"/>
      <c r="T25" s="648" t="s">
        <v>44</v>
      </c>
      <c r="U25" s="648"/>
      <c r="V25" s="64"/>
      <c r="W25" s="648" t="s">
        <v>45</v>
      </c>
      <c r="X25" s="648"/>
      <c r="Y25" s="64"/>
      <c r="Z25" s="648" t="s">
        <v>23</v>
      </c>
      <c r="AA25" s="648"/>
      <c r="AB25" s="1"/>
      <c r="AC25" s="1"/>
      <c r="AD25" s="244"/>
      <c r="AE25" s="244"/>
      <c r="AF25" s="244"/>
      <c r="AG25" s="244"/>
      <c r="AH25" s="244"/>
      <c r="AI25" s="244"/>
      <c r="AJ25" s="244"/>
      <c r="AK25" s="244"/>
      <c r="AL25" s="244"/>
      <c r="AM25" s="244"/>
      <c r="AN25" s="244"/>
      <c r="AO25" s="244"/>
      <c r="AP25" s="244"/>
      <c r="AQ25" s="244"/>
      <c r="AR25" s="244"/>
      <c r="AS25" s="244"/>
      <c r="AT25" s="244"/>
      <c r="AU25" s="244"/>
      <c r="AV25" s="244"/>
      <c r="AW25" s="244"/>
      <c r="AX25" s="244"/>
      <c r="AY25" s="244"/>
      <c r="AZ25" s="244"/>
      <c r="BA25" s="244"/>
      <c r="BB25" s="244"/>
      <c r="BC25" s="244"/>
      <c r="BD25" s="244"/>
      <c r="BE25" s="244"/>
      <c r="BF25" s="244"/>
      <c r="BG25" s="244"/>
    </row>
    <row r="26" ht="18" customHeight="1">
      <c r="A26" s="1"/>
      <c r="B26" s="16"/>
      <c r="C26" s="16"/>
      <c r="D26" s="1"/>
      <c r="E26" s="649" t="s">
        <v>57</v>
      </c>
      <c r="F26" s="649"/>
      <c r="G26" s="65"/>
      <c r="H26" s="649" t="s">
        <v>57</v>
      </c>
      <c r="I26" s="649"/>
      <c r="J26" s="3"/>
      <c r="K26" s="649" t="s">
        <v>57</v>
      </c>
      <c r="L26" s="649"/>
      <c r="M26" s="65"/>
      <c r="N26" s="649" t="s">
        <v>57</v>
      </c>
      <c r="O26" s="649"/>
      <c r="P26" s="65"/>
      <c r="Q26" s="649" t="s">
        <v>57</v>
      </c>
      <c r="R26" s="649"/>
      <c r="S26" s="65"/>
      <c r="T26" s="649" t="s">
        <v>57</v>
      </c>
      <c r="U26" s="649"/>
      <c r="V26" s="65"/>
      <c r="W26" s="649" t="s">
        <v>57</v>
      </c>
      <c r="X26" s="649"/>
      <c r="Y26" s="1"/>
      <c r="Z26" s="649" t="s">
        <v>57</v>
      </c>
      <c r="AA26" s="649"/>
      <c r="AB26" s="1"/>
      <c r="AC26" s="1"/>
      <c r="AD26" s="244"/>
      <c r="AE26" s="244"/>
      <c r="AF26" s="244"/>
      <c r="AG26" s="244"/>
      <c r="AH26" s="244"/>
      <c r="AI26" s="244"/>
      <c r="AJ26" s="244"/>
      <c r="AK26" s="244"/>
      <c r="AL26" s="244"/>
      <c r="AM26" s="244"/>
      <c r="AN26" s="244"/>
      <c r="AO26" s="244"/>
      <c r="AP26" s="244"/>
      <c r="AQ26" s="244"/>
      <c r="AR26" s="244"/>
      <c r="AS26" s="244"/>
      <c r="AT26" s="244"/>
      <c r="AU26" s="244"/>
      <c r="AV26" s="244"/>
      <c r="AW26" s="244"/>
      <c r="AX26" s="244"/>
      <c r="AY26" s="244"/>
      <c r="AZ26" s="244"/>
      <c r="BA26" s="244"/>
      <c r="BB26" s="244"/>
      <c r="BC26" s="244"/>
      <c r="BD26" s="244"/>
      <c r="BE26" s="244"/>
      <c r="BF26" s="244"/>
      <c r="BG26" s="244"/>
    </row>
    <row r="27" ht="18" customHeight="1">
      <c r="A27" s="1"/>
      <c r="B27" s="650" t="s">
        <v>28</v>
      </c>
      <c r="C27" s="1"/>
      <c r="D27" s="17" t="s">
        <v>32</v>
      </c>
      <c r="E27" s="67">
        <v>0.2459677419354838709677419355</v>
      </c>
      <c r="F27" s="73">
        <v>17.307692307602071005917229180</v>
      </c>
      <c r="G27" s="66"/>
      <c r="H27" s="67">
        <v>0.3360215053763440860215053763</v>
      </c>
      <c r="I27" s="73">
        <v>41.242937853375466819879853970</v>
      </c>
      <c r="J27" s="66"/>
      <c r="K27" s="67">
        <v>0.4206989247311827956989247312</v>
      </c>
      <c r="L27" s="73">
        <v>59.693877551052998750520623070</v>
      </c>
      <c r="M27" s="67"/>
      <c r="N27" s="67">
        <v>0.4381720430107526881720430108</v>
      </c>
      <c r="O27" s="73">
        <v>36.401673640076049088776518140</v>
      </c>
      <c r="P27" s="66"/>
      <c r="Q27" s="67">
        <v>0.3400537634408602150537634409</v>
      </c>
      <c r="R27" s="73">
        <v>19.905213269987610341187504140</v>
      </c>
      <c r="S27" s="66"/>
      <c r="T27" s="67">
        <v>0.508064516129032258064516129</v>
      </c>
      <c r="U27" s="73">
        <v>26.421404682308072616637406830</v>
      </c>
      <c r="V27" s="66"/>
      <c r="W27" s="67">
        <v>0.5188172043010752688172043011</v>
      </c>
      <c r="X27" s="73">
        <v>34.027777777621412037037219470</v>
      </c>
      <c r="Y27" s="177"/>
      <c r="Z27" s="67">
        <v>0.4011136712749615975422427035</v>
      </c>
      <c r="AA27" s="73">
        <v>33.397190293578465769244143890</v>
      </c>
      <c r="AB27" s="1"/>
      <c r="AC27" s="1"/>
      <c r="AD27" s="244"/>
      <c r="AE27" s="244"/>
      <c r="AF27" s="244"/>
      <c r="AG27" s="244"/>
      <c r="AH27" s="244"/>
      <c r="AI27" s="244"/>
      <c r="AJ27" s="244"/>
      <c r="AK27" s="244"/>
      <c r="AL27" s="244"/>
      <c r="AM27" s="244"/>
      <c r="AN27" s="244"/>
      <c r="AO27" s="244"/>
      <c r="AP27" s="244"/>
      <c r="AQ27" s="244"/>
      <c r="AR27" s="244"/>
      <c r="AS27" s="244"/>
      <c r="AT27" s="244"/>
      <c r="AU27" s="244"/>
      <c r="AV27" s="244"/>
      <c r="AW27" s="244"/>
      <c r="AX27" s="244"/>
      <c r="AY27" s="244"/>
      <c r="AZ27" s="244"/>
      <c r="BA27" s="244"/>
      <c r="BB27" s="244"/>
      <c r="BC27" s="244"/>
      <c r="BD27" s="244"/>
      <c r="BE27" s="244"/>
      <c r="BF27" s="244"/>
      <c r="BG27" s="244"/>
    </row>
    <row r="28" ht="18" customHeight="1">
      <c r="A28" s="1"/>
      <c r="B28" s="650"/>
      <c r="C28" s="15"/>
      <c r="D28" s="187" t="s">
        <v>26</v>
      </c>
      <c r="E28" s="180">
        <v>0.3809852670349907918968692449</v>
      </c>
      <c r="F28" s="81">
        <v>2.9869321717721836907524655600</v>
      </c>
      <c r="G28" s="181"/>
      <c r="H28" s="180">
        <v>0.4698434622467771639042357274</v>
      </c>
      <c r="I28" s="81">
        <v>0.7403751233405610576815623300</v>
      </c>
      <c r="J28" s="181"/>
      <c r="K28" s="180">
        <v>0.6277624309392265193370165746</v>
      </c>
      <c r="L28" s="81">
        <v>15.355329949158942513334590780</v>
      </c>
      <c r="M28" s="180"/>
      <c r="N28" s="180">
        <v>0.6104972375690607734806629834</v>
      </c>
      <c r="O28" s="81">
        <v>13.722126929678390886436454410</v>
      </c>
      <c r="P28" s="181"/>
      <c r="Q28" s="180">
        <v>0.5585028137454458375382720695</v>
      </c>
      <c r="R28" s="81">
        <v>3.0206464081159890278708254700</v>
      </c>
      <c r="S28" s="182"/>
      <c r="T28" s="180">
        <v>0.6754143646408839779005524862</v>
      </c>
      <c r="U28" s="81">
        <v>-0.4748982361438515452833012900</v>
      </c>
      <c r="V28" s="181"/>
      <c r="W28" s="180">
        <v>0.6938305709023941068139963168</v>
      </c>
      <c r="X28" s="81">
        <v>8.769397329493675500013610410</v>
      </c>
      <c r="Y28" s="183"/>
      <c r="Z28" s="180">
        <v>0.5738337352969684529816579147</v>
      </c>
      <c r="AA28" s="81">
        <v>6.3777127532561597954549137400</v>
      </c>
      <c r="AB28" s="1"/>
      <c r="AC28" s="1"/>
      <c r="AD28" s="244"/>
      <c r="AE28" s="244"/>
      <c r="AF28" s="244"/>
      <c r="AG28" s="244"/>
      <c r="AH28" s="244"/>
      <c r="AI28" s="244"/>
      <c r="AJ28" s="244"/>
      <c r="AK28" s="244"/>
      <c r="AL28" s="244"/>
      <c r="AM28" s="244"/>
      <c r="AN28" s="244"/>
      <c r="AO28" s="244"/>
      <c r="AP28" s="244"/>
      <c r="AQ28" s="244"/>
      <c r="AR28" s="244"/>
      <c r="AS28" s="244"/>
      <c r="AT28" s="244"/>
      <c r="AU28" s="244"/>
      <c r="AV28" s="244"/>
      <c r="AW28" s="244"/>
      <c r="AX28" s="244"/>
      <c r="AY28" s="244"/>
      <c r="AZ28" s="244"/>
      <c r="BA28" s="244"/>
      <c r="BB28" s="244"/>
      <c r="BC28" s="244"/>
      <c r="BD28" s="244"/>
      <c r="BE28" s="244"/>
      <c r="BF28" s="244"/>
      <c r="BG28" s="244"/>
    </row>
    <row r="29" ht="18" customHeight="1">
      <c r="A29" s="1"/>
      <c r="B29" s="57"/>
      <c r="C29" s="15"/>
      <c r="D29" s="406" t="s">
        <v>91</v>
      </c>
      <c r="E29" s="68">
        <v>64.560958970858979522675687260</v>
      </c>
      <c r="F29" s="73">
        <v>13.905414826856641797245160170</v>
      </c>
      <c r="G29" s="68"/>
      <c r="H29" s="68">
        <v>71.517756950227653982858459140</v>
      </c>
      <c r="I29" s="73">
        <v>40.204895683683564962422554480</v>
      </c>
      <c r="J29" s="68"/>
      <c r="K29" s="68">
        <v>67.015626293836358572748822230</v>
      </c>
      <c r="L29" s="73">
        <v>38.436496711169755968721065020</v>
      </c>
      <c r="M29" s="68"/>
      <c r="N29" s="68">
        <v>71.772977180953965236768950130</v>
      </c>
      <c r="O29" s="73">
        <v>19.942949822339372256684179210</v>
      </c>
      <c r="P29" s="68"/>
      <c r="Q29" s="68">
        <v>60.886669694760252859782741520</v>
      </c>
      <c r="R29" s="73">
        <v>16.389498077156117399320920690</v>
      </c>
      <c r="S29" s="68"/>
      <c r="T29" s="68">
        <v>75.222640015819257223128095950</v>
      </c>
      <c r="U29" s="73">
        <v>27.024642468850484612379607020</v>
      </c>
      <c r="V29" s="68"/>
      <c r="W29" s="68">
        <v>74.775777554251862277825622950</v>
      </c>
      <c r="X29" s="73">
        <v>23.221954951121261658458295930</v>
      </c>
      <c r="Y29" s="174"/>
      <c r="Z29" s="68">
        <v>69.900677949398806961484801310</v>
      </c>
      <c r="AA29" s="73">
        <v>25.399566169607766510223012140</v>
      </c>
      <c r="AB29" s="1"/>
      <c r="AC29" s="1"/>
      <c r="AD29" s="244"/>
      <c r="AE29" s="244"/>
      <c r="AF29" s="244"/>
      <c r="AG29" s="244"/>
      <c r="AH29" s="244"/>
      <c r="AI29" s="244"/>
      <c r="AJ29" s="244"/>
      <c r="AK29" s="244"/>
      <c r="AL29" s="244"/>
      <c r="AM29" s="244"/>
      <c r="AN29" s="244"/>
      <c r="AO29" s="244"/>
      <c r="AP29" s="244"/>
      <c r="AQ29" s="244"/>
      <c r="AR29" s="244"/>
      <c r="AS29" s="244"/>
      <c r="AT29" s="244"/>
      <c r="AU29" s="244"/>
      <c r="AV29" s="244"/>
      <c r="AW29" s="244"/>
      <c r="AX29" s="244"/>
      <c r="AY29" s="244"/>
      <c r="AZ29" s="244"/>
      <c r="BA29" s="244"/>
      <c r="BB29" s="244"/>
      <c r="BC29" s="244"/>
      <c r="BD29" s="244"/>
      <c r="BE29" s="244"/>
      <c r="BF29" s="244"/>
      <c r="BG29" s="244"/>
    </row>
    <row r="30" ht="21" customHeight="1">
      <c r="A30" s="1"/>
      <c r="B30" s="16"/>
      <c r="C30" s="16"/>
      <c r="D30" s="1"/>
      <c r="E30" s="66"/>
      <c r="F30" s="66"/>
      <c r="G30" s="66"/>
      <c r="H30" s="66"/>
      <c r="I30" s="66"/>
      <c r="J30" s="66"/>
      <c r="K30" s="66"/>
      <c r="L30" s="66"/>
      <c r="M30" s="66"/>
      <c r="N30" s="66"/>
      <c r="O30" s="66"/>
      <c r="P30" s="66"/>
      <c r="Q30" s="66"/>
      <c r="R30" s="66"/>
      <c r="S30" s="66"/>
      <c r="T30" s="66"/>
      <c r="U30" s="66"/>
      <c r="V30" s="66"/>
      <c r="W30" s="66"/>
      <c r="X30" s="66"/>
      <c r="Y30" s="66"/>
      <c r="Z30" s="66"/>
      <c r="AA30" s="19"/>
      <c r="AB30" s="1"/>
      <c r="AC30" s="1"/>
      <c r="AD30" s="244"/>
      <c r="AE30" s="244"/>
      <c r="AF30" s="244"/>
      <c r="AG30" s="244"/>
      <c r="AH30" s="244"/>
      <c r="AI30" s="244"/>
      <c r="AJ30" s="244"/>
      <c r="AK30" s="244"/>
      <c r="AL30" s="244"/>
      <c r="AM30" s="244"/>
      <c r="AN30" s="244"/>
      <c r="AO30" s="244"/>
      <c r="AP30" s="244"/>
      <c r="AQ30" s="244"/>
      <c r="AR30" s="244"/>
      <c r="AS30" s="244"/>
      <c r="AT30" s="244"/>
      <c r="AU30" s="244"/>
      <c r="AV30" s="244"/>
      <c r="AW30" s="244"/>
      <c r="AX30" s="244"/>
      <c r="AY30" s="244"/>
      <c r="AZ30" s="244"/>
      <c r="BA30" s="244"/>
      <c r="BB30" s="244"/>
      <c r="BC30" s="244"/>
      <c r="BD30" s="244"/>
      <c r="BE30" s="244"/>
      <c r="BF30" s="244"/>
      <c r="BG30" s="244"/>
    </row>
    <row r="31" ht="18" customHeight="1">
      <c r="A31" s="1"/>
      <c r="B31" s="650" t="s">
        <v>12</v>
      </c>
      <c r="C31" s="1"/>
      <c r="D31" s="17" t="s">
        <v>32</v>
      </c>
      <c r="E31" s="237">
        <v>91.33333333333333333333333333</v>
      </c>
      <c r="F31" s="73">
        <v>-2.4777549623064914329725261300</v>
      </c>
      <c r="G31" s="70"/>
      <c r="H31" s="237">
        <v>97.424000000</v>
      </c>
      <c r="I31" s="73">
        <v>-1.411880395584129036839658400</v>
      </c>
      <c r="J31" s="70"/>
      <c r="K31" s="237">
        <v>97.000000000</v>
      </c>
      <c r="L31" s="73">
        <v>-12.840966396161786356685323920</v>
      </c>
      <c r="M31" s="70"/>
      <c r="N31" s="237">
        <v>97.73619631901840490797546012</v>
      </c>
      <c r="O31" s="73">
        <v>-9.563084439009631354723273570</v>
      </c>
      <c r="P31" s="70"/>
      <c r="Q31" s="237">
        <v>93.9960474308300395256916996</v>
      </c>
      <c r="R31" s="73">
        <v>-10.540523193938268348012342120</v>
      </c>
      <c r="S31" s="70"/>
      <c r="T31" s="237">
        <v>106.05555555555555555555555556</v>
      </c>
      <c r="U31" s="73">
        <v>-1.1144720247240032018741043500</v>
      </c>
      <c r="V31" s="70"/>
      <c r="W31" s="237">
        <v>100.7668393782383419689119171</v>
      </c>
      <c r="X31" s="73">
        <v>-13.795188650125052603565043450</v>
      </c>
      <c r="Y31" s="178"/>
      <c r="Z31" s="237">
        <v>98.64001914791766395404499761</v>
      </c>
      <c r="AA31" s="73">
        <v>-7.8592570143626849577211932500</v>
      </c>
      <c r="AB31" s="1"/>
      <c r="AC31" s="1"/>
      <c r="AD31" s="244"/>
      <c r="AE31" s="244"/>
      <c r="AF31" s="244"/>
      <c r="AG31" s="244"/>
      <c r="AH31" s="244"/>
      <c r="AI31" s="244"/>
      <c r="AJ31" s="244"/>
      <c r="AK31" s="244"/>
      <c r="AL31" s="244"/>
      <c r="AM31" s="244"/>
      <c r="AN31" s="244"/>
      <c r="AO31" s="244"/>
      <c r="AP31" s="244"/>
      <c r="AQ31" s="244"/>
      <c r="AR31" s="244"/>
      <c r="AS31" s="244"/>
      <c r="AT31" s="244"/>
      <c r="AU31" s="244"/>
      <c r="AV31" s="244"/>
      <c r="AW31" s="244"/>
      <c r="AX31" s="244"/>
      <c r="AY31" s="244"/>
      <c r="AZ31" s="244"/>
      <c r="BA31" s="244"/>
      <c r="BB31" s="244"/>
      <c r="BC31" s="244"/>
      <c r="BD31" s="244"/>
      <c r="BE31" s="244"/>
      <c r="BF31" s="244"/>
      <c r="BG31" s="244"/>
    </row>
    <row r="32" ht="18" customHeight="1">
      <c r="A32" s="1"/>
      <c r="B32" s="650"/>
      <c r="C32" s="15"/>
      <c r="D32" s="187" t="s">
        <v>26</v>
      </c>
      <c r="E32" s="238">
        <v>125.55421752265861027190332326</v>
      </c>
      <c r="F32" s="81">
        <v>-1.7765803951964081642932000400</v>
      </c>
      <c r="G32" s="184"/>
      <c r="H32" s="238">
        <v>137.32300832925036746692797648</v>
      </c>
      <c r="I32" s="81">
        <v>-0.2763583838362084491170312800</v>
      </c>
      <c r="J32" s="184"/>
      <c r="K32" s="238">
        <v>139.21598826549321598826549321</v>
      </c>
      <c r="L32" s="81">
        <v>-3.8632312712023087397968289400</v>
      </c>
      <c r="M32" s="184"/>
      <c r="N32" s="238">
        <v>140.79816365007541478129713424</v>
      </c>
      <c r="O32" s="81">
        <v>-0.543492575997329350000344400</v>
      </c>
      <c r="P32" s="184"/>
      <c r="Q32" s="238">
        <v>140.54329996350374278050436296</v>
      </c>
      <c r="R32" s="81">
        <v>2.0210770167476868937789347600</v>
      </c>
      <c r="S32" s="184"/>
      <c r="T32" s="238">
        <v>132.73416837082481254260395364</v>
      </c>
      <c r="U32" s="81">
        <v>-0.4977857006937658394949549100</v>
      </c>
      <c r="V32" s="184"/>
      <c r="W32" s="238">
        <v>132.26199734571997345719973457</v>
      </c>
      <c r="X32" s="81">
        <v>1.9939280985103765582492672700</v>
      </c>
      <c r="Y32" s="186"/>
      <c r="Z32" s="238">
        <v>135.83274785927998423014898145</v>
      </c>
      <c r="AA32" s="81">
        <v>-0.2604785458024788618752474500</v>
      </c>
      <c r="AB32" s="1"/>
      <c r="AC32" s="1"/>
      <c r="AD32" s="244"/>
      <c r="AE32" s="244"/>
      <c r="AF32" s="244"/>
      <c r="AG32" s="244"/>
      <c r="AH32" s="244"/>
      <c r="AI32" s="244"/>
      <c r="AJ32" s="244"/>
      <c r="AK32" s="244"/>
      <c r="AL32" s="244"/>
      <c r="AM32" s="244"/>
      <c r="AN32" s="244"/>
      <c r="AO32" s="244"/>
      <c r="AP32" s="244"/>
      <c r="AQ32" s="244"/>
      <c r="AR32" s="244"/>
      <c r="AS32" s="244"/>
      <c r="AT32" s="244"/>
      <c r="AU32" s="244"/>
      <c r="AV32" s="244"/>
      <c r="AW32" s="244"/>
      <c r="AX32" s="244"/>
      <c r="AY32" s="244"/>
      <c r="AZ32" s="244"/>
      <c r="BA32" s="244"/>
      <c r="BB32" s="244"/>
      <c r="BC32" s="244"/>
      <c r="BD32" s="244"/>
      <c r="BE32" s="244"/>
      <c r="BF32" s="244"/>
      <c r="BG32" s="244"/>
    </row>
    <row r="33" ht="18" customHeight="1">
      <c r="A33" s="1"/>
      <c r="B33" s="57"/>
      <c r="C33" s="15"/>
      <c r="D33" s="406" t="s">
        <v>92</v>
      </c>
      <c r="E33" s="68">
        <v>72.744138058779597741501885150</v>
      </c>
      <c r="F33" s="73">
        <v>-0.7138568072220726397955539700</v>
      </c>
      <c r="G33" s="68"/>
      <c r="H33" s="68">
        <v>70.945139627568932371781067960</v>
      </c>
      <c r="I33" s="73">
        <v>-1.138668818629072229031873100</v>
      </c>
      <c r="J33" s="68"/>
      <c r="K33" s="68">
        <v>69.675905194890741792936225500</v>
      </c>
      <c r="L33" s="73">
        <v>-9.338503096930555428374372840</v>
      </c>
      <c r="M33" s="68"/>
      <c r="N33" s="68">
        <v>69.415817497381819788015451370</v>
      </c>
      <c r="O33" s="73">
        <v>-9.068880555579972294606708760</v>
      </c>
      <c r="P33" s="68"/>
      <c r="Q33" s="68">
        <v>66.880489824304266593685189480</v>
      </c>
      <c r="R33" s="73">
        <v>-12.312750049295488343136584740</v>
      </c>
      <c r="S33" s="68"/>
      <c r="T33" s="68">
        <v>79.90071950372543687149313027</v>
      </c>
      <c r="U33" s="73">
        <v>-0.6197714576890551049195959600</v>
      </c>
      <c r="V33" s="68"/>
      <c r="W33" s="68">
        <v>76.187295973505420297338833570</v>
      </c>
      <c r="X33" s="73">
        <v>-15.480447751118117676324828800</v>
      </c>
      <c r="Y33" s="174"/>
      <c r="Z33" s="68">
        <v>72.618732008640670282399367120</v>
      </c>
      <c r="AA33" s="73">
        <v>-7.6186233478893520990171827800</v>
      </c>
      <c r="AB33" s="1"/>
      <c r="AC33" s="1"/>
      <c r="AD33" s="244"/>
      <c r="AE33" s="244"/>
      <c r="AF33" s="244"/>
      <c r="AG33" s="244"/>
      <c r="AH33" s="244"/>
      <c r="AI33" s="244"/>
      <c r="AJ33" s="244"/>
      <c r="AK33" s="244"/>
      <c r="AL33" s="244"/>
      <c r="AM33" s="244"/>
      <c r="AN33" s="244"/>
      <c r="AO33" s="244"/>
      <c r="AP33" s="244"/>
      <c r="AQ33" s="244"/>
      <c r="AR33" s="244"/>
      <c r="AS33" s="244"/>
      <c r="AT33" s="244"/>
      <c r="AU33" s="244"/>
      <c r="AV33" s="244"/>
      <c r="AW33" s="244"/>
      <c r="AX33" s="244"/>
      <c r="AY33" s="244"/>
      <c r="AZ33" s="244"/>
      <c r="BA33" s="244"/>
      <c r="BB33" s="244"/>
      <c r="BC33" s="244"/>
      <c r="BD33" s="244"/>
      <c r="BE33" s="244"/>
      <c r="BF33" s="244"/>
      <c r="BG33" s="244"/>
    </row>
    <row r="34" ht="21" customHeight="1">
      <c r="A34" s="1"/>
      <c r="B34" s="16"/>
      <c r="C34" s="16"/>
      <c r="D34" s="1"/>
      <c r="E34" s="66"/>
      <c r="F34" s="66"/>
      <c r="G34" s="66"/>
      <c r="H34" s="66"/>
      <c r="I34" s="66"/>
      <c r="J34" s="66"/>
      <c r="K34" s="66"/>
      <c r="L34" s="66"/>
      <c r="M34" s="66"/>
      <c r="N34" s="66"/>
      <c r="O34" s="66"/>
      <c r="P34" s="66"/>
      <c r="Q34" s="66"/>
      <c r="R34" s="66"/>
      <c r="S34" s="66"/>
      <c r="T34" s="66"/>
      <c r="U34" s="66"/>
      <c r="V34" s="66"/>
      <c r="W34" s="66"/>
      <c r="X34" s="66"/>
      <c r="Y34" s="66"/>
      <c r="Z34" s="66"/>
      <c r="AA34" s="18"/>
      <c r="AB34" s="1"/>
      <c r="AC34" s="1"/>
      <c r="AD34" s="244"/>
      <c r="AE34" s="244"/>
      <c r="AF34" s="244"/>
      <c r="AG34" s="244"/>
      <c r="AH34" s="244"/>
      <c r="AI34" s="244"/>
      <c r="AJ34" s="244"/>
      <c r="AK34" s="244"/>
      <c r="AL34" s="244"/>
      <c r="AM34" s="244"/>
      <c r="AN34" s="244"/>
      <c r="AO34" s="244"/>
      <c r="AP34" s="244"/>
      <c r="AQ34" s="244"/>
      <c r="AR34" s="244"/>
      <c r="AS34" s="244"/>
      <c r="AT34" s="244"/>
      <c r="AU34" s="244"/>
      <c r="AV34" s="244"/>
      <c r="AW34" s="244"/>
      <c r="AX34" s="244"/>
      <c r="AY34" s="244"/>
      <c r="AZ34" s="244"/>
      <c r="BA34" s="244"/>
      <c r="BB34" s="244"/>
      <c r="BC34" s="244"/>
      <c r="BD34" s="244"/>
      <c r="BE34" s="244"/>
      <c r="BF34" s="244"/>
      <c r="BG34" s="244"/>
    </row>
    <row r="35" ht="18" customHeight="1">
      <c r="A35" s="1"/>
      <c r="B35" s="650" t="s">
        <v>13</v>
      </c>
      <c r="C35" s="1"/>
      <c r="D35" s="17" t="s">
        <v>32</v>
      </c>
      <c r="E35" s="237">
        <v>22.465053763440860215053763441</v>
      </c>
      <c r="F35" s="73">
        <v>14.401095140277267265114761750</v>
      </c>
      <c r="G35" s="70"/>
      <c r="H35" s="237">
        <v>32.736559139784946236559139785</v>
      </c>
      <c r="I35" s="73">
        <v>39.248756503051606298135481160</v>
      </c>
      <c r="J35" s="70"/>
      <c r="K35" s="237">
        <v>40.807795698924731182795698925</v>
      </c>
      <c r="L35" s="73">
        <v>39.187640397912526918032595700</v>
      </c>
      <c r="M35" s="70"/>
      <c r="N35" s="237">
        <v>42.825268817204301075268817204</v>
      </c>
      <c r="O35" s="73">
        <v>23.3574664135872852584466900</v>
      </c>
      <c r="P35" s="70"/>
      <c r="Q35" s="237">
        <v>31.963709677419354838709677419</v>
      </c>
      <c r="R35" s="73">
        <v>7.266576454575574277495360800</v>
      </c>
      <c r="S35" s="70"/>
      <c r="T35" s="237">
        <v>53.883064516129032258064516129</v>
      </c>
      <c r="U35" s="73">
        <v>25.012473493925418464557954680</v>
      </c>
      <c r="V35" s="70"/>
      <c r="W35" s="237">
        <v>52.279569892473118279569892473</v>
      </c>
      <c r="X35" s="73">
        <v>15.538392989697055865503188690</v>
      </c>
      <c r="Y35" s="178"/>
      <c r="Z35" s="237">
        <v>39.565860215053763440860215054</v>
      </c>
      <c r="AA35" s="73">
        <v>22.913162258563371778818094940</v>
      </c>
      <c r="AB35" s="1"/>
      <c r="AC35" s="1"/>
      <c r="AD35" s="244"/>
      <c r="AE35" s="244"/>
      <c r="AF35" s="244"/>
      <c r="AG35" s="244"/>
      <c r="AH35" s="244"/>
      <c r="AI35" s="244"/>
      <c r="AJ35" s="244"/>
      <c r="AK35" s="244"/>
      <c r="AL35" s="244"/>
      <c r="AM35" s="244"/>
      <c r="AN35" s="244"/>
      <c r="AO35" s="244"/>
      <c r="AP35" s="244"/>
      <c r="AQ35" s="244"/>
      <c r="AR35" s="244"/>
      <c r="AS35" s="244"/>
      <c r="AT35" s="244"/>
      <c r="AU35" s="244"/>
      <c r="AV35" s="244"/>
      <c r="AW35" s="244"/>
      <c r="AX35" s="244"/>
      <c r="AY35" s="244"/>
      <c r="AZ35" s="244"/>
      <c r="BA35" s="244"/>
      <c r="BB35" s="244"/>
      <c r="BC35" s="244"/>
      <c r="BD35" s="244"/>
      <c r="BE35" s="244"/>
      <c r="BF35" s="244"/>
      <c r="BG35" s="244"/>
    </row>
    <row r="36" ht="18" customHeight="1">
      <c r="A36" s="1"/>
      <c r="B36" s="650" t="s"/>
      <c r="C36" s="15"/>
      <c r="D36" s="187" t="s">
        <v>26</v>
      </c>
      <c r="E36" s="238">
        <v>47.834307090239410681399631676</v>
      </c>
      <c r="F36" s="81">
        <v>1.1572865251422832613808995200</v>
      </c>
      <c r="G36" s="184"/>
      <c r="H36" s="238">
        <v>64.520317679558011049723756906</v>
      </c>
      <c r="I36" s="81">
        <v>0.4619706508348074673079329200</v>
      </c>
      <c r="J36" s="184"/>
      <c r="K36" s="238">
        <v>87.39456721915285451197053407</v>
      </c>
      <c r="L36" s="81">
        <v>10.898886769581514055354321050</v>
      </c>
      <c r="M36" s="184"/>
      <c r="N36" s="238">
        <v>85.95688996316758747697974218</v>
      </c>
      <c r="O36" s="81">
        <v>13.104055612532179418589140680</v>
      </c>
      <c r="P36" s="184"/>
      <c r="Q36" s="238">
        <v>78.493828482687055630626778188</v>
      </c>
      <c r="R36" s="81">
        <v>5.1027730150930249279223628100</v>
      </c>
      <c r="S36" s="184"/>
      <c r="T36" s="238">
        <v>89.65056399631675874769797422</v>
      </c>
      <c r="U36" s="81">
        <v>-0.9703199612365476729176947900</v>
      </c>
      <c r="V36" s="184"/>
      <c r="W36" s="238">
        <v>91.7674171270718232044198895</v>
      </c>
      <c r="X36" s="81">
        <v>10.938180905348994886526514740</v>
      </c>
      <c r="Y36" s="186"/>
      <c r="Z36" s="238">
        <v>77.945413079741928757545472392</v>
      </c>
      <c r="AA36" s="81">
        <v>6.1006216340815523681369980900</v>
      </c>
      <c r="AB36" s="1"/>
      <c r="AC36" s="1"/>
      <c r="AD36" s="244"/>
      <c r="AE36" s="244"/>
      <c r="AF36" s="244"/>
      <c r="AG36" s="244"/>
      <c r="AH36" s="244"/>
      <c r="AI36" s="244"/>
      <c r="AJ36" s="244"/>
      <c r="AK36" s="244"/>
      <c r="AL36" s="244"/>
      <c r="AM36" s="244"/>
      <c r="AN36" s="244"/>
      <c r="AO36" s="244"/>
      <c r="AP36" s="244"/>
      <c r="AQ36" s="244"/>
      <c r="AR36" s="244"/>
      <c r="AS36" s="244"/>
      <c r="AT36" s="244"/>
      <c r="AU36" s="244"/>
      <c r="AV36" s="244"/>
      <c r="AW36" s="244"/>
      <c r="AX36" s="244"/>
      <c r="AY36" s="244"/>
      <c r="AZ36" s="244"/>
      <c r="BA36" s="244"/>
      <c r="BB36" s="244"/>
      <c r="BC36" s="244"/>
      <c r="BD36" s="244"/>
      <c r="BE36" s="244"/>
      <c r="BF36" s="244"/>
      <c r="BG36" s="244"/>
    </row>
    <row r="37" ht="18" customHeight="1">
      <c r="A37" s="1"/>
      <c r="B37" s="57"/>
      <c r="C37" s="15"/>
      <c r="D37" s="406" t="s">
        <v>93</v>
      </c>
      <c r="E37" s="68">
        <v>46.964313125889018890776171170</v>
      </c>
      <c r="F37" s="73">
        <v>13.092293269408196541585696910</v>
      </c>
      <c r="G37" s="68"/>
      <c r="H37" s="68">
        <v>50.738372526853776220691656850</v>
      </c>
      <c r="I37" s="73">
        <v>38.608426254288580839336750750</v>
      </c>
      <c r="J37" s="68"/>
      <c r="K37" s="68">
        <v>46.693744242215930658319273920</v>
      </c>
      <c r="L37" s="73">
        <v>25.508600178223841756745345160</v>
      </c>
      <c r="M37" s="68"/>
      <c r="N37" s="68">
        <v>49.821798852353456544245480740</v>
      </c>
      <c r="O37" s="73">
        <v>9.065466968142746952201100650</v>
      </c>
      <c r="P37" s="68"/>
      <c r="Q37" s="68">
        <v>40.721302929521574101226199890</v>
      </c>
      <c r="R37" s="73">
        <v>2.0587500952822293808584355500</v>
      </c>
      <c r="S37" s="68"/>
      <c r="T37" s="68">
        <v>60.103430602347196823381236520</v>
      </c>
      <c r="U37" s="73">
        <v>26.237379990519334924096522690</v>
      </c>
      <c r="V37" s="68"/>
      <c r="W37" s="68">
        <v>56.969642961689443732803996750</v>
      </c>
      <c r="X37" s="73">
        <v>4.1466445969296453052996174300</v>
      </c>
      <c r="Y37" s="174"/>
      <c r="Z37" s="68">
        <v>50.760985992334478495828401980</v>
      </c>
      <c r="AA37" s="73">
        <v>15.845845543138325760138481550</v>
      </c>
      <c r="AB37" s="1"/>
      <c r="AC37" s="1"/>
      <c r="AD37" s="244"/>
      <c r="AE37" s="244"/>
      <c r="AF37" s="244"/>
      <c r="AG37" s="244"/>
      <c r="AH37" s="244"/>
      <c r="AI37" s="244"/>
      <c r="AJ37" s="244"/>
      <c r="AK37" s="244"/>
      <c r="AL37" s="244"/>
      <c r="AM37" s="244"/>
      <c r="AN37" s="244"/>
      <c r="AO37" s="244"/>
      <c r="AP37" s="244"/>
      <c r="AQ37" s="244"/>
      <c r="AR37" s="244"/>
      <c r="AS37" s="244"/>
      <c r="AT37" s="244"/>
      <c r="AU37" s="244"/>
      <c r="AV37" s="244"/>
      <c r="AW37" s="244"/>
      <c r="AX37" s="244"/>
      <c r="AY37" s="244"/>
      <c r="AZ37" s="244"/>
      <c r="BA37" s="244"/>
      <c r="BB37" s="244"/>
      <c r="BC37" s="244"/>
      <c r="BD37" s="244"/>
      <c r="BE37" s="244"/>
      <c r="BF37" s="244"/>
      <c r="BG37" s="244"/>
    </row>
    <row r="38" ht="23.1" customHeight="1">
      <c r="A38" s="1"/>
      <c r="B38" s="1"/>
      <c r="C38" s="1"/>
      <c r="D38" s="1"/>
      <c r="E38" s="175"/>
      <c r="F38" s="175"/>
      <c r="G38" s="175"/>
      <c r="H38" s="175"/>
      <c r="I38" s="175"/>
      <c r="J38" s="175"/>
      <c r="K38" s="175"/>
      <c r="L38" s="175"/>
      <c r="M38" s="175"/>
      <c r="N38" s="175"/>
      <c r="O38" s="175"/>
      <c r="P38" s="175"/>
      <c r="Q38" s="175"/>
      <c r="R38" s="175"/>
      <c r="S38" s="175"/>
      <c r="T38" s="175"/>
      <c r="U38" s="175"/>
      <c r="V38" s="175"/>
      <c r="W38" s="175"/>
      <c r="X38" s="175"/>
      <c r="Y38" s="175"/>
      <c r="Z38" s="175"/>
      <c r="AA38" s="175"/>
      <c r="AB38" s="1"/>
      <c r="AC38" s="1"/>
      <c r="AD38" s="244"/>
      <c r="AE38" s="244"/>
      <c r="AF38" s="244"/>
      <c r="AG38" s="244"/>
      <c r="AH38" s="244"/>
      <c r="AI38" s="244"/>
      <c r="AJ38" s="244"/>
      <c r="AK38" s="244"/>
      <c r="AL38" s="244"/>
      <c r="AM38" s="244"/>
      <c r="AN38" s="244"/>
      <c r="AO38" s="244"/>
      <c r="AP38" s="244"/>
      <c r="AQ38" s="244"/>
      <c r="AR38" s="244"/>
      <c r="AS38" s="244"/>
      <c r="AT38" s="244"/>
      <c r="AU38" s="244"/>
      <c r="AV38" s="244"/>
      <c r="AW38" s="244"/>
      <c r="AX38" s="244"/>
      <c r="AY38" s="244"/>
      <c r="AZ38" s="244"/>
      <c r="BA38" s="244"/>
      <c r="BB38" s="244"/>
      <c r="BC38" s="244"/>
      <c r="BD38" s="244"/>
      <c r="BE38" s="244"/>
      <c r="BF38" s="244"/>
      <c r="BG38" s="244"/>
    </row>
    <row r="39" ht="9"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244"/>
      <c r="AE39" s="244"/>
      <c r="AF39" s="244"/>
      <c r="AG39" s="244"/>
      <c r="AH39" s="244"/>
      <c r="AI39" s="244"/>
      <c r="AJ39" s="244"/>
      <c r="AK39" s="244"/>
      <c r="AL39" s="244"/>
      <c r="AM39" s="244"/>
      <c r="AN39" s="244"/>
      <c r="AO39" s="244"/>
      <c r="AP39" s="244"/>
      <c r="AQ39" s="244"/>
      <c r="AR39" s="244"/>
      <c r="AS39" s="244"/>
      <c r="AT39" s="244"/>
      <c r="AU39" s="244"/>
      <c r="AV39" s="244"/>
      <c r="AW39" s="244"/>
      <c r="AX39" s="244"/>
      <c r="AY39" s="244"/>
      <c r="AZ39" s="244"/>
      <c r="BA39" s="244"/>
      <c r="BB39" s="244"/>
      <c r="BC39" s="244"/>
      <c r="BD39" s="244"/>
      <c r="BE39" s="244"/>
      <c r="BF39" s="244"/>
      <c r="BG39" s="244"/>
    </row>
    <row r="40" ht="33.95" customHeight="1">
      <c r="A40" s="1"/>
      <c r="B40" s="651" t="s">
        <v>114</v>
      </c>
      <c r="C40" s="651"/>
      <c r="D40" s="651"/>
      <c r="E40" s="651"/>
      <c r="F40" s="651"/>
      <c r="G40" s="651"/>
      <c r="H40" s="651"/>
      <c r="I40" s="651"/>
      <c r="J40" s="651"/>
      <c r="K40" s="651"/>
      <c r="L40" s="651"/>
      <c r="M40" s="651"/>
      <c r="N40" s="651"/>
      <c r="O40" s="651"/>
      <c r="P40" s="651"/>
      <c r="Q40" s="651"/>
      <c r="R40" s="651"/>
      <c r="S40" s="651"/>
      <c r="T40" s="651"/>
      <c r="U40" s="651"/>
      <c r="V40" s="651"/>
      <c r="W40" s="651"/>
      <c r="X40" s="651"/>
      <c r="Y40" s="651"/>
      <c r="Z40" s="651"/>
      <c r="AA40" s="651"/>
      <c r="AB40" s="651"/>
      <c r="AC40" s="1"/>
      <c r="AD40" s="244"/>
      <c r="AE40" s="244"/>
      <c r="AF40" s="244"/>
      <c r="AG40" s="244"/>
      <c r="AH40" s="244"/>
      <c r="AI40" s="244"/>
      <c r="AJ40" s="244"/>
      <c r="AK40" s="244"/>
      <c r="AL40" s="244"/>
      <c r="AM40" s="244"/>
      <c r="AN40" s="244"/>
      <c r="AO40" s="244"/>
      <c r="AP40" s="244"/>
      <c r="AQ40" s="244"/>
      <c r="AR40" s="244"/>
      <c r="AS40" s="244"/>
      <c r="AT40" s="244"/>
      <c r="AU40" s="244"/>
      <c r="AV40" s="244"/>
      <c r="AW40" s="244"/>
      <c r="AX40" s="244"/>
      <c r="AY40" s="244"/>
      <c r="AZ40" s="244"/>
      <c r="BA40" s="244"/>
      <c r="BB40" s="244"/>
      <c r="BC40" s="244"/>
      <c r="BD40" s="244"/>
      <c r="BE40" s="244"/>
      <c r="BF40" s="244"/>
      <c r="BG40" s="244"/>
    </row>
    <row r="41" ht="9.75" customHeight="1">
      <c r="A41" s="1"/>
      <c r="B41" s="1"/>
      <c r="C41" s="1"/>
      <c r="D41" s="1"/>
      <c r="E41" s="1"/>
      <c r="F41" s="1"/>
      <c r="G41" s="1"/>
      <c r="H41" s="1"/>
      <c r="I41" s="1"/>
      <c r="J41" s="1"/>
      <c r="K41" s="1"/>
      <c r="L41" s="1"/>
      <c r="M41" s="1"/>
      <c r="N41" s="1"/>
      <c r="O41" s="1"/>
      <c r="P41" s="1"/>
      <c r="Q41" s="1"/>
      <c r="R41" s="1"/>
      <c r="S41" s="1"/>
      <c r="T41" s="1"/>
      <c r="U41" s="1"/>
      <c r="V41" s="1"/>
      <c r="W41" s="1"/>
      <c r="X41" s="1"/>
      <c r="Y41" s="80"/>
      <c r="Z41" s="241"/>
      <c r="AA41" s="1"/>
      <c r="AB41" s="1"/>
      <c r="AC41" s="1"/>
      <c r="AD41" s="244"/>
      <c r="AE41" s="244"/>
      <c r="AF41" s="244"/>
      <c r="AG41" s="244"/>
      <c r="AH41" s="244"/>
      <c r="AI41" s="244"/>
      <c r="AJ41" s="244"/>
      <c r="AK41" s="244"/>
      <c r="AL41" s="244"/>
      <c r="AM41" s="244"/>
      <c r="AN41" s="244"/>
      <c r="AO41" s="244"/>
      <c r="AP41" s="244"/>
      <c r="AQ41" s="244"/>
      <c r="AR41" s="244"/>
      <c r="AS41" s="244"/>
      <c r="AT41" s="244"/>
      <c r="AU41" s="244"/>
      <c r="AV41" s="244"/>
      <c r="AW41" s="244"/>
      <c r="AX41" s="244"/>
      <c r="AY41" s="244"/>
      <c r="AZ41" s="244"/>
      <c r="BA41" s="244"/>
      <c r="BB41" s="244"/>
      <c r="BC41" s="244"/>
      <c r="BD41" s="244"/>
      <c r="BE41" s="244"/>
      <c r="BF41" s="244"/>
      <c r="BG41" s="244"/>
    </row>
    <row r="42" ht="9"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244"/>
      <c r="AE42" s="244"/>
      <c r="AF42" s="244"/>
      <c r="AG42" s="244"/>
      <c r="AH42" s="244"/>
      <c r="AI42" s="244"/>
      <c r="AJ42" s="244"/>
      <c r="AK42" s="244"/>
      <c r="AL42" s="244"/>
      <c r="AM42" s="244"/>
      <c r="AN42" s="244"/>
      <c r="AO42" s="244"/>
      <c r="AP42" s="244"/>
      <c r="AQ42" s="244"/>
      <c r="AR42" s="244"/>
      <c r="AS42" s="244"/>
      <c r="AT42" s="244"/>
      <c r="AU42" s="244"/>
      <c r="AV42" s="244"/>
      <c r="AW42" s="244"/>
      <c r="AX42" s="244"/>
      <c r="AY42" s="244"/>
      <c r="AZ42" s="244"/>
      <c r="BA42" s="244"/>
      <c r="BB42" s="244"/>
      <c r="BC42" s="244"/>
      <c r="BD42" s="244"/>
      <c r="BE42" s="244"/>
      <c r="BF42" s="244"/>
      <c r="BG42" s="244"/>
    </row>
    <row r="43" ht="18" customHeight="1">
      <c r="A43" s="244"/>
      <c r="B43" s="244"/>
      <c r="C43" s="244"/>
      <c r="D43" s="244"/>
      <c r="E43" s="244"/>
      <c r="F43" s="244"/>
      <c r="G43" s="244"/>
      <c r="H43" s="244"/>
      <c r="I43" s="244"/>
      <c r="J43" s="244"/>
      <c r="K43" s="244"/>
      <c r="L43" s="244"/>
      <c r="M43" s="244"/>
      <c r="N43" s="244"/>
      <c r="O43" s="244"/>
      <c r="P43" s="244"/>
      <c r="Q43" s="244"/>
      <c r="R43" s="244"/>
      <c r="S43" s="244"/>
      <c r="T43" s="244"/>
      <c r="U43" s="244"/>
      <c r="V43" s="244"/>
      <c r="W43" s="244"/>
      <c r="X43" s="244"/>
      <c r="Y43" s="244"/>
      <c r="Z43" s="244"/>
      <c r="AA43" s="244"/>
      <c r="AB43" s="244"/>
      <c r="AC43" s="244"/>
      <c r="AD43" s="244"/>
      <c r="AE43" s="244"/>
      <c r="AF43" s="244"/>
      <c r="AG43" s="244"/>
      <c r="AH43" s="244"/>
      <c r="AI43" s="244"/>
      <c r="AJ43" s="244"/>
      <c r="AK43" s="244"/>
      <c r="AL43" s="244"/>
      <c r="AM43" s="244"/>
      <c r="AN43" s="244"/>
      <c r="AO43" s="244"/>
      <c r="AP43" s="244"/>
      <c r="AQ43" s="244"/>
      <c r="AR43" s="244"/>
      <c r="AS43" s="244"/>
      <c r="AT43" s="244"/>
      <c r="AU43" s="244"/>
      <c r="AV43" s="244"/>
      <c r="AW43" s="244"/>
      <c r="AX43" s="244"/>
      <c r="AY43" s="244"/>
      <c r="AZ43" s="244"/>
      <c r="BA43" s="244"/>
      <c r="BB43" s="244"/>
      <c r="BC43" s="244"/>
      <c r="BD43" s="244"/>
      <c r="BE43" s="244"/>
      <c r="BF43" s="244"/>
      <c r="BG43" s="244"/>
    </row>
    <row r="44">
      <c r="A44" s="244"/>
      <c r="B44" s="244"/>
      <c r="C44" s="244"/>
      <c r="D44" s="244"/>
      <c r="E44" s="244"/>
      <c r="F44" s="244"/>
      <c r="G44" s="244"/>
      <c r="H44" s="244"/>
      <c r="I44" s="244"/>
      <c r="J44" s="244"/>
      <c r="K44" s="244"/>
      <c r="L44" s="244"/>
      <c r="M44" s="244"/>
      <c r="N44" s="244"/>
      <c r="O44" s="244"/>
      <c r="P44" s="244"/>
      <c r="Q44" s="244"/>
      <c r="R44" s="244"/>
      <c r="S44" s="244"/>
      <c r="T44" s="244"/>
      <c r="U44" s="244"/>
      <c r="V44" s="244"/>
      <c r="W44" s="244"/>
      <c r="X44" s="244"/>
      <c r="Y44" s="244"/>
      <c r="Z44" s="244"/>
      <c r="AA44" s="244"/>
      <c r="AB44" s="244"/>
      <c r="AC44" s="244"/>
      <c r="AD44" s="244"/>
      <c r="AE44" s="244"/>
      <c r="AF44" s="244"/>
      <c r="AG44" s="244"/>
      <c r="AH44" s="244"/>
      <c r="AI44" s="244"/>
      <c r="AJ44" s="244"/>
      <c r="AK44" s="244"/>
      <c r="AL44" s="244"/>
      <c r="AM44" s="244"/>
      <c r="AN44" s="244"/>
      <c r="AO44" s="244"/>
      <c r="AP44" s="244"/>
      <c r="AQ44" s="244"/>
      <c r="AR44" s="244"/>
      <c r="AS44" s="244"/>
      <c r="AT44" s="244"/>
      <c r="AU44" s="244"/>
      <c r="AV44" s="244"/>
      <c r="AW44" s="244"/>
      <c r="AX44" s="244"/>
      <c r="AY44" s="244"/>
      <c r="AZ44" s="244"/>
      <c r="BA44" s="244"/>
      <c r="BB44" s="244"/>
      <c r="BC44" s="244"/>
      <c r="BD44" s="244"/>
      <c r="BE44" s="244"/>
      <c r="BF44" s="244"/>
      <c r="BG44" s="244"/>
    </row>
    <row r="45">
      <c r="A45" s="244"/>
      <c r="B45" s="244"/>
      <c r="C45" s="244"/>
      <c r="D45" s="244"/>
      <c r="E45" s="244"/>
      <c r="F45" s="244"/>
      <c r="G45" s="244"/>
      <c r="H45" s="244"/>
      <c r="I45" s="244"/>
      <c r="J45" s="244"/>
      <c r="K45" s="244"/>
      <c r="L45" s="244"/>
      <c r="M45" s="244"/>
      <c r="N45" s="244"/>
      <c r="O45" s="244"/>
      <c r="P45" s="244"/>
      <c r="Q45" s="244"/>
      <c r="R45" s="244"/>
      <c r="S45" s="244"/>
      <c r="T45" s="244"/>
      <c r="U45" s="244"/>
      <c r="V45" s="244"/>
      <c r="W45" s="244"/>
      <c r="X45" s="244"/>
      <c r="Y45" s="244"/>
      <c r="Z45" s="244"/>
      <c r="AA45" s="244"/>
      <c r="AB45" s="244"/>
      <c r="AC45" s="244"/>
      <c r="AD45" s="244"/>
      <c r="AE45" s="244"/>
      <c r="AF45" s="244"/>
      <c r="AG45" s="244"/>
      <c r="AH45" s="244"/>
      <c r="AI45" s="244"/>
      <c r="AJ45" s="244"/>
      <c r="AK45" s="244"/>
      <c r="AL45" s="244"/>
      <c r="AM45" s="244"/>
      <c r="AN45" s="244"/>
      <c r="AO45" s="244"/>
      <c r="AP45" s="244"/>
      <c r="AQ45" s="244"/>
      <c r="AR45" s="244"/>
      <c r="AS45" s="244"/>
      <c r="AT45" s="244"/>
      <c r="AU45" s="244"/>
      <c r="AV45" s="244"/>
      <c r="AW45" s="244"/>
      <c r="AX45" s="244"/>
      <c r="AY45" s="244"/>
      <c r="AZ45" s="244"/>
      <c r="BA45" s="244"/>
      <c r="BB45" s="244"/>
      <c r="BC45" s="244"/>
      <c r="BD45" s="244"/>
      <c r="BE45" s="244"/>
      <c r="BF45" s="244"/>
      <c r="BG45" s="244"/>
    </row>
    <row r="46">
      <c r="A46" s="244"/>
      <c r="B46" s="244"/>
      <c r="C46" s="244"/>
      <c r="D46" s="244"/>
      <c r="E46" s="244"/>
      <c r="F46" s="244"/>
      <c r="G46" s="244"/>
      <c r="H46" s="244"/>
      <c r="I46" s="244"/>
      <c r="J46" s="244"/>
      <c r="K46" s="244"/>
      <c r="L46" s="244"/>
      <c r="M46" s="244"/>
      <c r="N46" s="244"/>
      <c r="O46" s="244"/>
      <c r="P46" s="244"/>
      <c r="Q46" s="244"/>
      <c r="R46" s="244"/>
      <c r="S46" s="244"/>
      <c r="T46" s="244"/>
      <c r="U46" s="244"/>
      <c r="V46" s="244"/>
      <c r="W46" s="244"/>
      <c r="X46" s="244"/>
      <c r="Y46" s="244"/>
      <c r="Z46" s="244"/>
      <c r="AA46" s="244"/>
      <c r="AB46" s="244"/>
      <c r="AC46" s="244"/>
      <c r="AD46" s="244"/>
      <c r="AE46" s="244"/>
      <c r="AF46" s="244"/>
      <c r="AG46" s="244"/>
      <c r="AH46" s="244"/>
      <c r="AI46" s="244"/>
      <c r="AJ46" s="244"/>
      <c r="AK46" s="244"/>
      <c r="AL46" s="244"/>
      <c r="AM46" s="244"/>
      <c r="AN46" s="244"/>
      <c r="AO46" s="244"/>
      <c r="AP46" s="244"/>
      <c r="AQ46" s="244"/>
      <c r="AR46" s="244"/>
      <c r="AS46" s="244"/>
      <c r="AT46" s="244"/>
      <c r="AU46" s="244"/>
      <c r="AV46" s="244"/>
      <c r="AW46" s="244"/>
      <c r="AX46" s="244"/>
      <c r="AY46" s="244"/>
      <c r="AZ46" s="244"/>
      <c r="BA46" s="244"/>
      <c r="BB46" s="244"/>
      <c r="BC46" s="244"/>
      <c r="BD46" s="244"/>
      <c r="BE46" s="244"/>
      <c r="BF46" s="244"/>
      <c r="BG46" s="244"/>
    </row>
    <row r="47">
      <c r="A47" s="244"/>
      <c r="B47" s="244"/>
      <c r="C47" s="244"/>
      <c r="D47" s="244"/>
      <c r="E47" s="244"/>
      <c r="F47" s="244"/>
      <c r="G47" s="244"/>
      <c r="H47" s="244"/>
      <c r="I47" s="244"/>
      <c r="J47" s="244"/>
      <c r="K47" s="244"/>
      <c r="L47" s="244"/>
      <c r="M47" s="244"/>
      <c r="N47" s="244"/>
      <c r="O47" s="244"/>
      <c r="P47" s="244"/>
      <c r="Q47" s="244"/>
      <c r="R47" s="244"/>
      <c r="S47" s="244"/>
      <c r="T47" s="244"/>
      <c r="U47" s="244"/>
      <c r="V47" s="244"/>
      <c r="W47" s="244"/>
      <c r="X47" s="244"/>
      <c r="Y47" s="244"/>
      <c r="Z47" s="244"/>
      <c r="AA47" s="244"/>
      <c r="AB47" s="244"/>
      <c r="AC47" s="244"/>
      <c r="AD47" s="244"/>
      <c r="AE47" s="244"/>
      <c r="AF47" s="244"/>
      <c r="AG47" s="244"/>
      <c r="AH47" s="244"/>
      <c r="AI47" s="244"/>
      <c r="AJ47" s="244"/>
      <c r="AK47" s="244"/>
      <c r="AL47" s="244"/>
      <c r="AM47" s="244"/>
      <c r="AN47" s="244"/>
      <c r="AO47" s="244"/>
      <c r="AP47" s="244"/>
      <c r="AQ47" s="244"/>
      <c r="AR47" s="244"/>
      <c r="AS47" s="244"/>
      <c r="AT47" s="244"/>
      <c r="AU47" s="244"/>
      <c r="AV47" s="244"/>
      <c r="AW47" s="244"/>
      <c r="AX47" s="244"/>
      <c r="AY47" s="244"/>
      <c r="AZ47" s="244"/>
      <c r="BA47" s="244"/>
      <c r="BB47" s="244"/>
      <c r="BC47" s="244"/>
      <c r="BD47" s="244"/>
      <c r="BE47" s="244"/>
      <c r="BF47" s="244"/>
      <c r="BG47" s="244"/>
    </row>
    <row r="48">
      <c r="A48" s="244"/>
      <c r="B48" s="244"/>
      <c r="C48" s="244"/>
      <c r="D48" s="244"/>
      <c r="E48" s="244"/>
      <c r="F48" s="244"/>
      <c r="G48" s="244"/>
      <c r="H48" s="244"/>
      <c r="I48" s="244"/>
      <c r="J48" s="244"/>
      <c r="K48" s="244"/>
      <c r="L48" s="244"/>
      <c r="M48" s="244"/>
      <c r="N48" s="244"/>
      <c r="O48" s="244"/>
      <c r="P48" s="244"/>
      <c r="Q48" s="244"/>
      <c r="R48" s="244"/>
      <c r="S48" s="244"/>
      <c r="T48" s="244"/>
      <c r="U48" s="244"/>
      <c r="V48" s="244"/>
      <c r="W48" s="244"/>
      <c r="X48" s="244"/>
      <c r="Y48" s="244"/>
      <c r="Z48" s="244"/>
      <c r="AA48" s="244"/>
      <c r="AB48" s="244"/>
      <c r="AC48" s="244"/>
      <c r="AD48" s="244"/>
      <c r="AE48" s="244"/>
      <c r="AF48" s="244"/>
      <c r="AG48" s="244"/>
      <c r="AH48" s="244"/>
      <c r="AI48" s="244"/>
      <c r="AJ48" s="244"/>
      <c r="AK48" s="244"/>
      <c r="AL48" s="244"/>
      <c r="AM48" s="244"/>
      <c r="AN48" s="244"/>
      <c r="AO48" s="244"/>
      <c r="AP48" s="244"/>
      <c r="AQ48" s="244"/>
      <c r="AR48" s="244"/>
      <c r="AS48" s="244"/>
      <c r="AT48" s="244"/>
      <c r="AU48" s="244"/>
      <c r="AV48" s="244"/>
      <c r="AW48" s="244"/>
      <c r="AX48" s="244"/>
      <c r="AY48" s="244"/>
      <c r="AZ48" s="244"/>
      <c r="BA48" s="244"/>
      <c r="BB48" s="244"/>
      <c r="BC48" s="244"/>
      <c r="BD48" s="244"/>
      <c r="BE48" s="244"/>
      <c r="BF48" s="244"/>
      <c r="BG48" s="244"/>
    </row>
    <row r="49">
      <c r="A49" s="244"/>
      <c r="B49" s="244"/>
      <c r="C49" s="244"/>
      <c r="D49" s="244"/>
      <c r="E49" s="244"/>
      <c r="F49" s="244"/>
      <c r="G49" s="244"/>
      <c r="H49" s="244"/>
      <c r="I49" s="244"/>
      <c r="J49" s="244"/>
      <c r="K49" s="244"/>
      <c r="L49" s="244"/>
      <c r="M49" s="244"/>
      <c r="N49" s="244"/>
      <c r="O49" s="244"/>
      <c r="P49" s="244"/>
      <c r="Q49" s="244"/>
      <c r="R49" s="244"/>
      <c r="S49" s="244"/>
      <c r="T49" s="244"/>
      <c r="U49" s="244"/>
      <c r="V49" s="244"/>
      <c r="W49" s="244"/>
      <c r="X49" s="244"/>
      <c r="Y49" s="244"/>
      <c r="Z49" s="244"/>
      <c r="AA49" s="244"/>
      <c r="AB49" s="244"/>
      <c r="AC49" s="244"/>
      <c r="AD49" s="244"/>
      <c r="AE49" s="244"/>
      <c r="AF49" s="244"/>
      <c r="AG49" s="244"/>
      <c r="AH49" s="244"/>
      <c r="AI49" s="244"/>
      <c r="AJ49" s="244"/>
      <c r="AK49" s="244"/>
      <c r="AL49" s="244"/>
      <c r="AM49" s="244"/>
      <c r="AN49" s="244"/>
      <c r="AO49" s="244"/>
      <c r="AP49" s="244"/>
      <c r="AQ49" s="244"/>
      <c r="AR49" s="244"/>
      <c r="AS49" s="244"/>
      <c r="AT49" s="244"/>
      <c r="AU49" s="244"/>
      <c r="AV49" s="244"/>
      <c r="AW49" s="244"/>
      <c r="AX49" s="244"/>
      <c r="AY49" s="244"/>
      <c r="AZ49" s="244"/>
      <c r="BA49" s="244"/>
      <c r="BB49" s="244"/>
      <c r="BC49" s="244"/>
      <c r="BD49" s="244"/>
      <c r="BE49" s="244"/>
      <c r="BF49" s="244"/>
      <c r="BG49" s="244"/>
    </row>
    <row r="50">
      <c r="A50" s="244"/>
      <c r="B50" s="244"/>
      <c r="C50" s="244"/>
      <c r="D50" s="244"/>
      <c r="E50" s="244"/>
      <c r="F50" s="244"/>
      <c r="G50" s="244"/>
      <c r="H50" s="244"/>
      <c r="I50" s="244"/>
      <c r="J50" s="244"/>
      <c r="K50" s="244"/>
      <c r="L50" s="244"/>
      <c r="M50" s="244"/>
      <c r="N50" s="244"/>
      <c r="O50" s="244"/>
      <c r="P50" s="244"/>
      <c r="Q50" s="244"/>
      <c r="R50" s="244"/>
      <c r="S50" s="244"/>
      <c r="T50" s="244"/>
      <c r="U50" s="244"/>
      <c r="V50" s="244"/>
      <c r="W50" s="244"/>
      <c r="X50" s="244"/>
      <c r="Y50" s="244"/>
      <c r="Z50" s="244"/>
      <c r="AA50" s="244"/>
      <c r="AB50" s="244"/>
      <c r="AC50" s="244"/>
      <c r="AD50" s="244"/>
      <c r="AE50" s="244"/>
      <c r="AF50" s="244"/>
      <c r="AG50" s="244"/>
      <c r="AH50" s="244"/>
      <c r="AI50" s="244"/>
      <c r="AJ50" s="244"/>
      <c r="AK50" s="244"/>
      <c r="AL50" s="244"/>
      <c r="AM50" s="244"/>
      <c r="AN50" s="244"/>
      <c r="AO50" s="244"/>
      <c r="AP50" s="244"/>
      <c r="AQ50" s="244"/>
      <c r="AR50" s="244"/>
      <c r="AS50" s="244"/>
      <c r="AT50" s="244"/>
      <c r="AU50" s="244"/>
      <c r="AV50" s="244"/>
      <c r="AW50" s="244"/>
      <c r="AX50" s="244"/>
      <c r="AY50" s="244"/>
      <c r="AZ50" s="244"/>
      <c r="BA50" s="244"/>
      <c r="BB50" s="244"/>
      <c r="BC50" s="244"/>
      <c r="BD50" s="244"/>
      <c r="BE50" s="244"/>
      <c r="BF50" s="244"/>
      <c r="BG50" s="244"/>
    </row>
    <row r="51">
      <c r="A51" s="244"/>
      <c r="B51" s="244"/>
      <c r="C51" s="244"/>
      <c r="D51" s="244"/>
      <c r="E51" s="244"/>
      <c r="F51" s="244"/>
      <c r="G51" s="244"/>
      <c r="H51" s="244"/>
      <c r="I51" s="244"/>
      <c r="J51" s="244"/>
      <c r="K51" s="244"/>
      <c r="L51" s="244"/>
      <c r="M51" s="244"/>
      <c r="N51" s="244"/>
      <c r="O51" s="244"/>
      <c r="P51" s="244"/>
      <c r="Q51" s="244"/>
      <c r="R51" s="244"/>
      <c r="S51" s="244"/>
      <c r="T51" s="244"/>
      <c r="U51" s="244"/>
      <c r="V51" s="244"/>
      <c r="W51" s="244"/>
      <c r="X51" s="244"/>
      <c r="Y51" s="244"/>
      <c r="Z51" s="244"/>
      <c r="AA51" s="244"/>
      <c r="AB51" s="244"/>
      <c r="AC51" s="244"/>
      <c r="AD51" s="244"/>
      <c r="AE51" s="244"/>
      <c r="AF51" s="244"/>
      <c r="AG51" s="244"/>
      <c r="AH51" s="244"/>
      <c r="AI51" s="244"/>
      <c r="AJ51" s="244"/>
      <c r="AK51" s="244"/>
      <c r="AL51" s="244"/>
      <c r="AM51" s="244"/>
      <c r="AN51" s="244"/>
      <c r="AO51" s="244"/>
      <c r="AP51" s="244"/>
      <c r="AQ51" s="244"/>
      <c r="AR51" s="244"/>
      <c r="AS51" s="244"/>
      <c r="AT51" s="244"/>
      <c r="AU51" s="244"/>
      <c r="AV51" s="244"/>
      <c r="AW51" s="244"/>
      <c r="AX51" s="244"/>
      <c r="AY51" s="244"/>
      <c r="AZ51" s="244"/>
      <c r="BA51" s="244"/>
      <c r="BB51" s="244"/>
      <c r="BC51" s="244"/>
      <c r="BD51" s="244"/>
      <c r="BE51" s="244"/>
      <c r="BF51" s="244"/>
      <c r="BG51" s="244"/>
    </row>
    <row r="52">
      <c r="A52" s="244"/>
      <c r="B52" s="244"/>
      <c r="C52" s="244"/>
      <c r="D52" s="244"/>
      <c r="E52" s="244"/>
      <c r="F52" s="244"/>
      <c r="G52" s="244"/>
      <c r="H52" s="244"/>
      <c r="I52" s="244"/>
      <c r="J52" s="244"/>
      <c r="K52" s="244"/>
      <c r="L52" s="244"/>
      <c r="M52" s="244"/>
      <c r="N52" s="244"/>
      <c r="O52" s="244"/>
      <c r="P52" s="244"/>
      <c r="Q52" s="244"/>
      <c r="R52" s="244"/>
      <c r="S52" s="244"/>
      <c r="T52" s="244"/>
      <c r="U52" s="244"/>
      <c r="V52" s="244"/>
      <c r="W52" s="244"/>
      <c r="X52" s="244"/>
      <c r="Y52" s="244"/>
      <c r="Z52" s="244"/>
      <c r="AA52" s="244"/>
      <c r="AB52" s="244"/>
      <c r="AC52" s="244"/>
      <c r="AD52" s="244"/>
      <c r="AE52" s="244"/>
      <c r="AF52" s="244"/>
      <c r="AG52" s="244"/>
      <c r="AH52" s="244"/>
      <c r="AI52" s="244"/>
      <c r="AJ52" s="244"/>
      <c r="AK52" s="244"/>
      <c r="AL52" s="244"/>
      <c r="AM52" s="244"/>
      <c r="AN52" s="244"/>
      <c r="AO52" s="244"/>
      <c r="AP52" s="244"/>
      <c r="AQ52" s="244"/>
      <c r="AR52" s="244"/>
      <c r="AS52" s="244"/>
      <c r="AT52" s="244"/>
      <c r="AU52" s="244"/>
      <c r="AV52" s="244"/>
      <c r="AW52" s="244"/>
      <c r="AX52" s="244"/>
      <c r="AY52" s="244"/>
      <c r="AZ52" s="244"/>
      <c r="BA52" s="244"/>
      <c r="BB52" s="244"/>
      <c r="BC52" s="244"/>
      <c r="BD52" s="244"/>
      <c r="BE52" s="244"/>
      <c r="BF52" s="244"/>
      <c r="BG52" s="244"/>
    </row>
    <row r="53">
      <c r="A53" s="244"/>
      <c r="B53" s="244"/>
      <c r="C53" s="244"/>
      <c r="D53" s="244"/>
      <c r="E53" s="244"/>
      <c r="F53" s="244"/>
      <c r="G53" s="244"/>
      <c r="H53" s="244"/>
      <c r="I53" s="244"/>
      <c r="J53" s="244"/>
      <c r="K53" s="244"/>
      <c r="L53" s="244"/>
      <c r="M53" s="244"/>
      <c r="N53" s="244"/>
      <c r="O53" s="244"/>
      <c r="P53" s="244"/>
      <c r="Q53" s="244"/>
      <c r="R53" s="244"/>
      <c r="S53" s="244"/>
      <c r="T53" s="244"/>
      <c r="U53" s="244"/>
      <c r="V53" s="244"/>
      <c r="W53" s="244"/>
      <c r="X53" s="244"/>
      <c r="Y53" s="244"/>
      <c r="Z53" s="244"/>
      <c r="AA53" s="244"/>
      <c r="AB53" s="244"/>
      <c r="AC53" s="244"/>
      <c r="AD53" s="244"/>
      <c r="AE53" s="244"/>
      <c r="AF53" s="244"/>
      <c r="AG53" s="244"/>
      <c r="AH53" s="244"/>
      <c r="AI53" s="244"/>
      <c r="AJ53" s="244"/>
      <c r="AK53" s="244"/>
      <c r="AL53" s="244"/>
      <c r="AM53" s="244"/>
      <c r="AN53" s="244"/>
      <c r="AO53" s="244"/>
      <c r="AP53" s="244"/>
      <c r="AQ53" s="244"/>
      <c r="AR53" s="244"/>
      <c r="AS53" s="244"/>
      <c r="AT53" s="244"/>
      <c r="AU53" s="244"/>
      <c r="AV53" s="244"/>
      <c r="AW53" s="244"/>
      <c r="AX53" s="244"/>
      <c r="AY53" s="244"/>
      <c r="AZ53" s="244"/>
      <c r="BA53" s="244"/>
      <c r="BB53" s="244"/>
      <c r="BC53" s="244"/>
      <c r="BD53" s="244"/>
      <c r="BE53" s="244"/>
      <c r="BF53" s="244"/>
      <c r="BG53" s="244"/>
    </row>
    <row r="54">
      <c r="A54" s="244"/>
      <c r="B54" s="244"/>
      <c r="C54" s="244"/>
      <c r="D54" s="244"/>
      <c r="E54" s="244"/>
      <c r="F54" s="244"/>
      <c r="G54" s="244"/>
      <c r="H54" s="244"/>
      <c r="I54" s="244"/>
      <c r="J54" s="244"/>
      <c r="K54" s="244"/>
      <c r="L54" s="244"/>
      <c r="M54" s="244"/>
      <c r="N54" s="244"/>
      <c r="O54" s="244"/>
      <c r="P54" s="244"/>
      <c r="Q54" s="244"/>
      <c r="R54" s="244"/>
      <c r="S54" s="244"/>
      <c r="T54" s="244"/>
      <c r="U54" s="244"/>
      <c r="V54" s="244"/>
      <c r="W54" s="244"/>
      <c r="X54" s="244"/>
      <c r="Y54" s="244"/>
      <c r="Z54" s="244"/>
      <c r="AA54" s="244"/>
      <c r="AB54" s="244"/>
      <c r="AC54" s="244"/>
      <c r="AD54" s="244"/>
      <c r="AE54" s="244"/>
      <c r="AF54" s="244"/>
      <c r="AG54" s="244"/>
      <c r="AH54" s="244"/>
      <c r="AI54" s="244"/>
      <c r="AJ54" s="244"/>
      <c r="AK54" s="244"/>
      <c r="AL54" s="244"/>
      <c r="AM54" s="244"/>
      <c r="AN54" s="244"/>
      <c r="AO54" s="244"/>
      <c r="AP54" s="244"/>
      <c r="AQ54" s="244"/>
      <c r="AR54" s="244"/>
      <c r="AS54" s="244"/>
      <c r="AT54" s="244"/>
      <c r="AU54" s="244"/>
      <c r="AV54" s="244"/>
      <c r="AW54" s="244"/>
      <c r="AX54" s="244"/>
      <c r="AY54" s="244"/>
      <c r="AZ54" s="244"/>
      <c r="BA54" s="244"/>
      <c r="BB54" s="244"/>
      <c r="BC54" s="244"/>
      <c r="BD54" s="244"/>
      <c r="BE54" s="244"/>
      <c r="BF54" s="244"/>
      <c r="BG54" s="244"/>
    </row>
    <row r="55">
      <c r="A55" s="244"/>
      <c r="B55" s="244"/>
      <c r="C55" s="244"/>
      <c r="D55" s="244"/>
      <c r="E55" s="244"/>
      <c r="F55" s="244"/>
      <c r="G55" s="244"/>
      <c r="H55" s="244"/>
      <c r="I55" s="244"/>
      <c r="J55" s="244"/>
      <c r="K55" s="244"/>
      <c r="L55" s="244"/>
      <c r="M55" s="244"/>
      <c r="N55" s="244"/>
      <c r="O55" s="244"/>
      <c r="P55" s="244"/>
      <c r="Q55" s="244"/>
      <c r="R55" s="244"/>
      <c r="S55" s="244"/>
      <c r="T55" s="244"/>
      <c r="U55" s="244"/>
      <c r="V55" s="244"/>
      <c r="W55" s="244"/>
      <c r="X55" s="244"/>
      <c r="Y55" s="244"/>
      <c r="Z55" s="244"/>
      <c r="AA55" s="244"/>
      <c r="AB55" s="244"/>
      <c r="AC55" s="244"/>
      <c r="AD55" s="244"/>
      <c r="AE55" s="244"/>
      <c r="AF55" s="244"/>
      <c r="AG55" s="244"/>
      <c r="AH55" s="244"/>
      <c r="AI55" s="244"/>
      <c r="AJ55" s="244"/>
      <c r="AK55" s="244"/>
      <c r="AL55" s="244"/>
      <c r="AM55" s="244"/>
      <c r="AN55" s="244"/>
      <c r="AO55" s="244"/>
      <c r="AP55" s="244"/>
      <c r="AQ55" s="244"/>
      <c r="AR55" s="244"/>
      <c r="AS55" s="244"/>
      <c r="AT55" s="244"/>
      <c r="AU55" s="244"/>
      <c r="AV55" s="244"/>
      <c r="AW55" s="244"/>
      <c r="AX55" s="244"/>
      <c r="AY55" s="244"/>
      <c r="AZ55" s="244"/>
      <c r="BA55" s="244"/>
      <c r="BB55" s="244"/>
      <c r="BC55" s="244"/>
      <c r="BD55" s="244"/>
      <c r="BE55" s="244"/>
      <c r="BF55" s="244"/>
      <c r="BG55" s="244"/>
    </row>
    <row r="56">
      <c r="A56" s="244"/>
      <c r="B56" s="244"/>
      <c r="C56" s="244"/>
      <c r="D56" s="244"/>
      <c r="E56" s="244"/>
      <c r="F56" s="244"/>
      <c r="G56" s="244"/>
      <c r="H56" s="244"/>
      <c r="I56" s="244"/>
      <c r="J56" s="244"/>
      <c r="K56" s="244"/>
      <c r="L56" s="244"/>
      <c r="M56" s="244"/>
      <c r="N56" s="244"/>
      <c r="O56" s="244"/>
      <c r="P56" s="244"/>
      <c r="Q56" s="244"/>
      <c r="R56" s="244"/>
      <c r="S56" s="244"/>
      <c r="T56" s="244"/>
      <c r="U56" s="244"/>
      <c r="V56" s="244"/>
      <c r="W56" s="244"/>
      <c r="X56" s="244"/>
      <c r="Y56" s="244"/>
      <c r="Z56" s="244"/>
      <c r="AA56" s="244"/>
      <c r="AB56" s="244"/>
      <c r="AC56" s="244"/>
      <c r="AD56" s="244"/>
      <c r="AE56" s="244"/>
      <c r="AF56" s="244"/>
      <c r="AG56" s="244"/>
      <c r="AH56" s="244"/>
      <c r="AI56" s="244"/>
      <c r="AJ56" s="244"/>
      <c r="AK56" s="244"/>
      <c r="AL56" s="244"/>
      <c r="AM56" s="244"/>
      <c r="AN56" s="244"/>
      <c r="AO56" s="244"/>
      <c r="AP56" s="244"/>
      <c r="AQ56" s="244"/>
      <c r="AR56" s="244"/>
      <c r="AS56" s="244"/>
      <c r="AT56" s="244"/>
      <c r="AU56" s="244"/>
      <c r="AV56" s="244"/>
      <c r="AW56" s="244"/>
      <c r="AX56" s="244"/>
      <c r="AY56" s="244"/>
      <c r="AZ56" s="244"/>
      <c r="BA56" s="244"/>
      <c r="BB56" s="244"/>
      <c r="BC56" s="244"/>
      <c r="BD56" s="244"/>
      <c r="BE56" s="244"/>
      <c r="BF56" s="244"/>
      <c r="BG56" s="244"/>
    </row>
    <row r="57">
      <c r="A57" s="244"/>
      <c r="B57" s="244"/>
      <c r="C57" s="244"/>
      <c r="D57" s="244"/>
      <c r="E57" s="244"/>
      <c r="F57" s="244"/>
      <c r="G57" s="244"/>
      <c r="H57" s="244"/>
      <c r="I57" s="244"/>
      <c r="J57" s="244"/>
      <c r="K57" s="244"/>
      <c r="L57" s="244"/>
      <c r="M57" s="244"/>
      <c r="N57" s="244"/>
      <c r="O57" s="244"/>
      <c r="P57" s="244"/>
      <c r="Q57" s="244"/>
      <c r="R57" s="244"/>
      <c r="S57" s="244"/>
      <c r="T57" s="244"/>
      <c r="U57" s="244"/>
      <c r="V57" s="244"/>
      <c r="W57" s="244"/>
      <c r="X57" s="244"/>
      <c r="Y57" s="244"/>
      <c r="Z57" s="244"/>
      <c r="AA57" s="244"/>
      <c r="AB57" s="244"/>
      <c r="AC57" s="244"/>
      <c r="AD57" s="244"/>
      <c r="AE57" s="244"/>
      <c r="AF57" s="244"/>
      <c r="AG57" s="244"/>
      <c r="AH57" s="244"/>
      <c r="AI57" s="244"/>
      <c r="AJ57" s="244"/>
      <c r="AK57" s="244"/>
      <c r="AL57" s="244"/>
      <c r="AM57" s="244"/>
      <c r="AN57" s="244"/>
      <c r="AO57" s="244"/>
      <c r="AP57" s="244"/>
      <c r="AQ57" s="244"/>
      <c r="AR57" s="244"/>
      <c r="AS57" s="244"/>
      <c r="AT57" s="244"/>
      <c r="AU57" s="244"/>
      <c r="AV57" s="244"/>
      <c r="AW57" s="244"/>
      <c r="AX57" s="244"/>
      <c r="AY57" s="244"/>
      <c r="AZ57" s="244"/>
      <c r="BA57" s="244"/>
      <c r="BB57" s="244"/>
      <c r="BC57" s="244"/>
      <c r="BD57" s="244"/>
      <c r="BE57" s="244"/>
      <c r="BF57" s="244"/>
      <c r="BG57" s="244"/>
    </row>
    <row r="58">
      <c r="A58" s="244"/>
      <c r="B58" s="244"/>
      <c r="C58" s="244"/>
      <c r="D58" s="244"/>
      <c r="E58" s="244"/>
      <c r="F58" s="244"/>
      <c r="G58" s="244"/>
      <c r="H58" s="244"/>
      <c r="I58" s="244"/>
      <c r="J58" s="244"/>
      <c r="K58" s="244"/>
      <c r="L58" s="244"/>
      <c r="M58" s="244"/>
      <c r="N58" s="244"/>
      <c r="O58" s="244"/>
      <c r="P58" s="244"/>
      <c r="Q58" s="244"/>
      <c r="R58" s="244"/>
      <c r="S58" s="244"/>
      <c r="T58" s="244"/>
      <c r="U58" s="244"/>
      <c r="V58" s="244"/>
      <c r="W58" s="244"/>
      <c r="X58" s="244"/>
      <c r="Y58" s="244"/>
      <c r="Z58" s="244"/>
      <c r="AA58" s="244"/>
      <c r="AB58" s="244"/>
      <c r="AC58" s="244"/>
      <c r="AD58" s="244"/>
      <c r="AE58" s="244"/>
      <c r="AF58" s="244"/>
      <c r="AG58" s="244"/>
      <c r="AH58" s="244"/>
      <c r="AI58" s="244"/>
      <c r="AJ58" s="244"/>
      <c r="AK58" s="244"/>
      <c r="AL58" s="244"/>
      <c r="AM58" s="244"/>
      <c r="AN58" s="244"/>
      <c r="AO58" s="244"/>
      <c r="AP58" s="244"/>
      <c r="AQ58" s="244"/>
      <c r="AR58" s="244"/>
      <c r="AS58" s="244"/>
      <c r="AT58" s="244"/>
      <c r="AU58" s="244"/>
      <c r="AV58" s="244"/>
      <c r="AW58" s="244"/>
      <c r="AX58" s="244"/>
      <c r="AY58" s="244"/>
      <c r="AZ58" s="244"/>
      <c r="BA58" s="244"/>
      <c r="BB58" s="244"/>
      <c r="BC58" s="244"/>
      <c r="BD58" s="244"/>
      <c r="BE58" s="244"/>
      <c r="BF58" s="244"/>
      <c r="BG58" s="244"/>
    </row>
    <row r="59">
      <c r="A59" s="244"/>
      <c r="B59" s="244"/>
      <c r="C59" s="244"/>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4"/>
      <c r="AC59" s="244"/>
      <c r="AD59" s="244"/>
      <c r="AE59" s="244"/>
      <c r="AF59" s="244"/>
      <c r="AG59" s="244"/>
      <c r="AH59" s="244"/>
      <c r="AI59" s="244"/>
      <c r="AJ59" s="244"/>
      <c r="AK59" s="244"/>
      <c r="AL59" s="244"/>
      <c r="AM59" s="244"/>
      <c r="AN59" s="244"/>
      <c r="AO59" s="244"/>
      <c r="AP59" s="244"/>
      <c r="AQ59" s="244"/>
      <c r="AR59" s="244"/>
      <c r="AS59" s="244"/>
      <c r="AT59" s="244"/>
      <c r="AU59" s="244"/>
      <c r="AV59" s="244"/>
      <c r="AW59" s="244"/>
      <c r="AX59" s="244"/>
      <c r="AY59" s="244"/>
      <c r="AZ59" s="244"/>
      <c r="BA59" s="244"/>
      <c r="BB59" s="244"/>
      <c r="BC59" s="244"/>
      <c r="BD59" s="244"/>
      <c r="BE59" s="244"/>
      <c r="BF59" s="244"/>
      <c r="BG59" s="244"/>
    </row>
    <row r="60">
      <c r="A60" s="244"/>
      <c r="B60" s="244"/>
      <c r="C60" s="244"/>
      <c r="D60" s="244"/>
      <c r="E60" s="244"/>
      <c r="F60" s="244"/>
      <c r="G60" s="244"/>
      <c r="H60" s="244"/>
      <c r="I60" s="244"/>
      <c r="J60" s="244"/>
      <c r="K60" s="244"/>
      <c r="L60" s="244"/>
      <c r="M60" s="244"/>
      <c r="N60" s="244"/>
      <c r="O60" s="244"/>
      <c r="P60" s="244"/>
      <c r="Q60" s="244"/>
      <c r="R60" s="244"/>
      <c r="S60" s="244"/>
      <c r="T60" s="244"/>
      <c r="U60" s="244"/>
      <c r="V60" s="244"/>
      <c r="W60" s="244"/>
      <c r="X60" s="244"/>
      <c r="Y60" s="244"/>
      <c r="Z60" s="244"/>
      <c r="AA60" s="244"/>
      <c r="AB60" s="244"/>
      <c r="AC60" s="244"/>
      <c r="AD60" s="244"/>
      <c r="AE60" s="244"/>
      <c r="AF60" s="244"/>
      <c r="AG60" s="244"/>
      <c r="AH60" s="244"/>
      <c r="AI60" s="244"/>
      <c r="AJ60" s="244"/>
      <c r="AK60" s="244"/>
      <c r="AL60" s="244"/>
      <c r="AM60" s="244"/>
      <c r="AN60" s="244"/>
      <c r="AO60" s="244"/>
      <c r="AP60" s="244"/>
      <c r="AQ60" s="244"/>
      <c r="AR60" s="244"/>
      <c r="AS60" s="244"/>
      <c r="AT60" s="244"/>
      <c r="AU60" s="244"/>
      <c r="AV60" s="244"/>
      <c r="AW60" s="244"/>
      <c r="AX60" s="244"/>
      <c r="AY60" s="244"/>
      <c r="AZ60" s="244"/>
      <c r="BA60" s="244"/>
      <c r="BB60" s="244"/>
      <c r="BC60" s="244"/>
      <c r="BD60" s="244"/>
      <c r="BE60" s="244"/>
      <c r="BF60" s="244"/>
      <c r="BG60" s="244"/>
    </row>
    <row r="61">
      <c r="A61" s="244"/>
      <c r="B61" s="244"/>
      <c r="C61" s="244"/>
      <c r="D61" s="244"/>
      <c r="E61" s="244"/>
      <c r="F61" s="244"/>
      <c r="G61" s="244"/>
      <c r="H61" s="244"/>
      <c r="I61" s="244"/>
      <c r="J61" s="244"/>
      <c r="K61" s="244"/>
      <c r="L61" s="244"/>
      <c r="M61" s="244"/>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244"/>
      <c r="AW61" s="244"/>
      <c r="AX61" s="244"/>
      <c r="AY61" s="244"/>
      <c r="AZ61" s="244"/>
      <c r="BA61" s="244"/>
      <c r="BB61" s="244"/>
      <c r="BC61" s="244"/>
      <c r="BD61" s="244"/>
      <c r="BE61" s="244"/>
      <c r="BF61" s="244"/>
      <c r="BG61" s="244"/>
    </row>
    <row r="62">
      <c r="A62" s="244"/>
      <c r="B62" s="244"/>
      <c r="C62" s="244"/>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c r="BB62" s="244"/>
      <c r="BC62" s="244"/>
      <c r="BD62" s="244"/>
      <c r="BE62" s="244"/>
      <c r="BF62" s="244"/>
      <c r="BG62" s="244"/>
    </row>
    <row r="63">
      <c r="A63" s="244"/>
      <c r="B63" s="244"/>
      <c r="C63" s="244"/>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c r="BB63" s="244"/>
      <c r="BC63" s="244"/>
      <c r="BD63" s="244"/>
      <c r="BE63" s="244"/>
      <c r="BF63" s="244"/>
      <c r="BG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row>
    <row r="65">
      <c r="A65" s="244"/>
      <c r="B65" s="244"/>
      <c r="C65" s="244"/>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c r="AZ65" s="244"/>
      <c r="BA65" s="244"/>
      <c r="BB65" s="244"/>
      <c r="BC65" s="244"/>
      <c r="BD65" s="244"/>
      <c r="BE65" s="244"/>
      <c r="BF65" s="244"/>
      <c r="BG65" s="244"/>
    </row>
    <row r="66">
      <c r="A66" s="244"/>
      <c r="B66" s="244"/>
      <c r="C66" s="244"/>
      <c r="D66" s="244"/>
      <c r="E66" s="244"/>
      <c r="F66" s="244"/>
      <c r="G66" s="244"/>
      <c r="H66" s="244"/>
      <c r="I66" s="244"/>
      <c r="J66" s="244"/>
      <c r="K66" s="244"/>
      <c r="L66" s="244"/>
      <c r="M66" s="244"/>
      <c r="N66" s="244"/>
      <c r="O66" s="244"/>
      <c r="P66" s="244"/>
      <c r="Q66" s="244"/>
      <c r="R66" s="244"/>
      <c r="S66" s="244"/>
      <c r="T66" s="244"/>
      <c r="U66" s="244"/>
      <c r="V66" s="244"/>
      <c r="W66" s="244"/>
      <c r="X66" s="244"/>
      <c r="Y66" s="244"/>
      <c r="Z66" s="244"/>
      <c r="AA66" s="244"/>
      <c r="AB66" s="244"/>
      <c r="AC66" s="244"/>
      <c r="AD66" s="244"/>
      <c r="AE66" s="244"/>
      <c r="AF66" s="244"/>
      <c r="AG66" s="244"/>
      <c r="AH66" s="244"/>
      <c r="AI66" s="244"/>
      <c r="AJ66" s="244"/>
      <c r="AK66" s="244"/>
      <c r="AL66" s="244"/>
      <c r="AM66" s="244"/>
      <c r="AN66" s="244"/>
      <c r="AO66" s="244"/>
      <c r="AP66" s="244"/>
      <c r="AQ66" s="244"/>
      <c r="AR66" s="244"/>
      <c r="AS66" s="244"/>
      <c r="AT66" s="244"/>
      <c r="AU66" s="244"/>
      <c r="AV66" s="244"/>
      <c r="AW66" s="244"/>
      <c r="AX66" s="244"/>
      <c r="AY66" s="244"/>
      <c r="AZ66" s="244"/>
      <c r="BA66" s="244"/>
      <c r="BB66" s="244"/>
      <c r="BC66" s="244"/>
      <c r="BD66" s="244"/>
      <c r="BE66" s="244"/>
      <c r="BF66" s="244"/>
      <c r="BG66" s="244"/>
    </row>
    <row r="67">
      <c r="A67" s="244"/>
      <c r="B67" s="244"/>
      <c r="C67" s="244"/>
      <c r="D67" s="244"/>
      <c r="E67" s="244"/>
      <c r="F67" s="244"/>
      <c r="G67" s="244"/>
      <c r="H67" s="244"/>
      <c r="I67" s="244"/>
      <c r="J67" s="244"/>
      <c r="K67" s="244"/>
      <c r="L67" s="244"/>
      <c r="M67" s="244"/>
      <c r="N67" s="244"/>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244"/>
      <c r="AS67" s="244"/>
      <c r="AT67" s="244"/>
      <c r="AU67" s="244"/>
      <c r="AV67" s="244"/>
      <c r="AW67" s="244"/>
      <c r="AX67" s="244"/>
      <c r="AY67" s="244"/>
      <c r="AZ67" s="244"/>
      <c r="BA67" s="244"/>
      <c r="BB67" s="244"/>
      <c r="BC67" s="244"/>
      <c r="BD67" s="244"/>
      <c r="BE67" s="244"/>
      <c r="BF67" s="244"/>
      <c r="BG67" s="244"/>
    </row>
    <row r="68">
      <c r="A68" s="244"/>
      <c r="B68" s="244"/>
      <c r="C68" s="244"/>
      <c r="D68" s="244"/>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44"/>
      <c r="AQ68" s="244"/>
      <c r="AR68" s="244"/>
      <c r="AS68" s="244"/>
      <c r="AT68" s="244"/>
      <c r="AU68" s="244"/>
      <c r="AV68" s="244"/>
      <c r="AW68" s="244"/>
      <c r="AX68" s="244"/>
      <c r="AY68" s="244"/>
      <c r="AZ68" s="244"/>
      <c r="BA68" s="244"/>
      <c r="BB68" s="244"/>
      <c r="BC68" s="244"/>
      <c r="BD68" s="244"/>
      <c r="BE68" s="244"/>
      <c r="BF68" s="244"/>
      <c r="BG68" s="244"/>
    </row>
    <row r="69">
      <c r="A69" s="244"/>
      <c r="B69" s="244"/>
      <c r="C69" s="244"/>
      <c r="D69" s="244"/>
      <c r="E69" s="244"/>
      <c r="F69" s="244"/>
      <c r="G69" s="244"/>
      <c r="H69" s="244"/>
      <c r="I69" s="244"/>
      <c r="J69" s="244"/>
      <c r="K69" s="244"/>
      <c r="L69" s="244"/>
      <c r="M69" s="244"/>
      <c r="N69" s="244"/>
      <c r="O69" s="244"/>
      <c r="P69" s="244"/>
      <c r="Q69" s="244"/>
      <c r="R69" s="244"/>
      <c r="S69" s="244"/>
      <c r="T69" s="244"/>
      <c r="U69" s="244"/>
      <c r="V69" s="244"/>
      <c r="W69" s="244"/>
      <c r="X69" s="244"/>
      <c r="Y69" s="244"/>
      <c r="Z69" s="244"/>
      <c r="AA69" s="244"/>
      <c r="AB69" s="244"/>
      <c r="AC69" s="244"/>
      <c r="AD69" s="244"/>
      <c r="AE69" s="244"/>
      <c r="AF69" s="244"/>
      <c r="AG69" s="244"/>
      <c r="AH69" s="244"/>
      <c r="AI69" s="244"/>
      <c r="AJ69" s="244"/>
      <c r="AK69" s="244"/>
      <c r="AL69" s="244"/>
      <c r="AM69" s="244"/>
      <c r="AN69" s="244"/>
      <c r="AO69" s="244"/>
      <c r="AP69" s="244"/>
      <c r="AQ69" s="244"/>
      <c r="AR69" s="244"/>
      <c r="AS69" s="244"/>
      <c r="AT69" s="244"/>
      <c r="AU69" s="244"/>
      <c r="AV69" s="244"/>
      <c r="AW69" s="244"/>
      <c r="AX69" s="244"/>
      <c r="AY69" s="244"/>
      <c r="AZ69" s="244"/>
      <c r="BA69" s="244"/>
      <c r="BB69" s="244"/>
      <c r="BC69" s="244"/>
      <c r="BD69" s="244"/>
      <c r="BE69" s="244"/>
      <c r="BF69" s="244"/>
      <c r="BG69" s="244"/>
    </row>
    <row r="70">
      <c r="A70" s="244"/>
      <c r="B70" s="244"/>
      <c r="C70" s="244"/>
      <c r="D70" s="244"/>
      <c r="E70" s="244"/>
      <c r="F70" s="244"/>
      <c r="G70" s="244"/>
      <c r="H70" s="244"/>
      <c r="I70" s="244"/>
      <c r="J70" s="244"/>
      <c r="K70" s="244"/>
      <c r="L70" s="244"/>
      <c r="M70" s="244"/>
      <c r="N70" s="244"/>
      <c r="O70" s="244"/>
      <c r="P70" s="244"/>
      <c r="Q70" s="244"/>
      <c r="R70" s="244"/>
      <c r="S70" s="244"/>
      <c r="T70" s="244"/>
      <c r="U70" s="244"/>
      <c r="V70" s="244"/>
      <c r="W70" s="244"/>
      <c r="X70" s="244"/>
      <c r="Y70" s="244"/>
      <c r="Z70" s="244"/>
      <c r="AA70" s="244"/>
      <c r="AB70" s="244"/>
      <c r="AC70" s="244"/>
      <c r="AD70" s="244"/>
      <c r="AE70" s="244"/>
      <c r="AF70" s="244"/>
      <c r="AG70" s="244"/>
      <c r="AH70" s="244"/>
      <c r="AI70" s="244"/>
      <c r="AJ70" s="244"/>
      <c r="AK70" s="244"/>
      <c r="AL70" s="244"/>
      <c r="AM70" s="244"/>
      <c r="AN70" s="244"/>
      <c r="AO70" s="244"/>
      <c r="AP70" s="244"/>
      <c r="AQ70" s="244"/>
      <c r="AR70" s="244"/>
      <c r="AS70" s="244"/>
      <c r="AT70" s="244"/>
      <c r="AU70" s="244"/>
      <c r="AV70" s="244"/>
      <c r="AW70" s="244"/>
      <c r="AX70" s="244"/>
      <c r="AY70" s="244"/>
      <c r="AZ70" s="244"/>
      <c r="BA70" s="244"/>
      <c r="BB70" s="244"/>
      <c r="BC70" s="244"/>
      <c r="BD70" s="244"/>
      <c r="BE70" s="244"/>
      <c r="BF70" s="244"/>
      <c r="BG70" s="244"/>
    </row>
    <row r="71">
      <c r="A71" s="244"/>
      <c r="B71" s="244"/>
      <c r="C71" s="244"/>
      <c r="D71" s="244"/>
      <c r="E71" s="244"/>
      <c r="F71" s="244"/>
      <c r="G71" s="244"/>
      <c r="H71" s="244"/>
      <c r="I71" s="244"/>
      <c r="J71" s="244"/>
      <c r="K71" s="244"/>
      <c r="L71" s="244"/>
      <c r="M71" s="244"/>
      <c r="N71" s="244"/>
      <c r="O71" s="244"/>
      <c r="P71" s="244"/>
      <c r="Q71" s="244"/>
      <c r="R71" s="244"/>
      <c r="S71" s="244"/>
      <c r="T71" s="244"/>
      <c r="U71" s="244"/>
      <c r="V71" s="244"/>
      <c r="W71" s="244"/>
      <c r="X71" s="244"/>
      <c r="Y71" s="244"/>
      <c r="Z71" s="244"/>
      <c r="AA71" s="244"/>
      <c r="AB71" s="244"/>
      <c r="AC71" s="244"/>
      <c r="AD71" s="244"/>
      <c r="AE71" s="244"/>
      <c r="AF71" s="244"/>
      <c r="AG71" s="244"/>
      <c r="AH71" s="244"/>
      <c r="AI71" s="244"/>
      <c r="AJ71" s="244"/>
      <c r="AK71" s="244"/>
      <c r="AL71" s="244"/>
      <c r="AM71" s="244"/>
      <c r="AN71" s="244"/>
      <c r="AO71" s="244"/>
      <c r="AP71" s="244"/>
      <c r="AQ71" s="244"/>
      <c r="AR71" s="244"/>
      <c r="AS71" s="244"/>
      <c r="AT71" s="244"/>
      <c r="AU71" s="244"/>
      <c r="AV71" s="244"/>
      <c r="AW71" s="244"/>
      <c r="AX71" s="244"/>
      <c r="AY71" s="244"/>
      <c r="AZ71" s="244"/>
      <c r="BA71" s="244"/>
      <c r="BB71" s="244"/>
      <c r="BC71" s="244"/>
      <c r="BD71" s="244"/>
      <c r="BE71" s="244"/>
      <c r="BF71" s="244"/>
      <c r="BG71" s="244"/>
    </row>
    <row r="72">
      <c r="A72" s="244"/>
      <c r="B72" s="244"/>
      <c r="C72" s="244"/>
      <c r="D72" s="244"/>
      <c r="E72" s="244"/>
      <c r="F72" s="244"/>
      <c r="G72" s="244"/>
      <c r="H72" s="244"/>
      <c r="I72" s="244"/>
      <c r="J72" s="244"/>
      <c r="K72" s="244"/>
      <c r="L72" s="244"/>
      <c r="M72" s="244"/>
      <c r="N72" s="244"/>
      <c r="O72" s="244"/>
      <c r="P72" s="244"/>
      <c r="Q72" s="244"/>
      <c r="R72" s="244"/>
      <c r="S72" s="244"/>
      <c r="T72" s="244"/>
      <c r="U72" s="244"/>
      <c r="V72" s="244"/>
      <c r="W72" s="244"/>
      <c r="X72" s="244"/>
      <c r="Y72" s="244"/>
      <c r="Z72" s="244"/>
      <c r="AA72" s="244"/>
      <c r="AB72" s="244"/>
      <c r="AC72" s="244"/>
      <c r="AD72" s="244"/>
      <c r="AE72" s="244"/>
      <c r="AF72" s="244"/>
      <c r="AG72" s="244"/>
      <c r="AH72" s="244"/>
      <c r="AI72" s="244"/>
      <c r="AJ72" s="244"/>
      <c r="AK72" s="244"/>
      <c r="AL72" s="244"/>
      <c r="AM72" s="244"/>
      <c r="AN72" s="244"/>
      <c r="AO72" s="244"/>
      <c r="AP72" s="244"/>
      <c r="AQ72" s="244"/>
      <c r="AR72" s="244"/>
      <c r="AS72" s="244"/>
      <c r="AT72" s="244"/>
      <c r="AU72" s="244"/>
      <c r="AV72" s="244"/>
      <c r="AW72" s="244"/>
      <c r="AX72" s="244"/>
      <c r="AY72" s="244"/>
      <c r="AZ72" s="244"/>
      <c r="BA72" s="244"/>
      <c r="BB72" s="244"/>
      <c r="BC72" s="244"/>
      <c r="BD72" s="244"/>
      <c r="BE72" s="244"/>
      <c r="BF72" s="244"/>
      <c r="BG72" s="244"/>
    </row>
    <row r="73">
      <c r="A73" s="244"/>
      <c r="B73" s="244"/>
      <c r="C73" s="244"/>
      <c r="D73" s="244"/>
      <c r="E73" s="244"/>
      <c r="F73" s="244"/>
      <c r="G73" s="244"/>
      <c r="H73" s="244"/>
      <c r="I73" s="244"/>
      <c r="J73" s="244"/>
      <c r="K73" s="244"/>
      <c r="L73" s="244"/>
      <c r="M73" s="244"/>
      <c r="N73" s="244"/>
      <c r="O73" s="244"/>
      <c r="P73" s="244"/>
      <c r="Q73" s="244"/>
      <c r="R73" s="244"/>
      <c r="S73" s="244"/>
      <c r="T73" s="244"/>
      <c r="U73" s="244"/>
      <c r="V73" s="244"/>
      <c r="W73" s="244"/>
      <c r="X73" s="244"/>
      <c r="Y73" s="244"/>
      <c r="Z73" s="244"/>
      <c r="AA73" s="244"/>
      <c r="AB73" s="244"/>
      <c r="AC73" s="244"/>
      <c r="AD73" s="244"/>
      <c r="AE73" s="244"/>
      <c r="AF73" s="244"/>
      <c r="AG73" s="244"/>
      <c r="AH73" s="244"/>
      <c r="AI73" s="244"/>
      <c r="AJ73" s="244"/>
      <c r="AK73" s="244"/>
      <c r="AL73" s="244"/>
      <c r="AM73" s="244"/>
      <c r="AN73" s="244"/>
      <c r="AO73" s="244"/>
      <c r="AP73" s="244"/>
      <c r="AQ73" s="244"/>
      <c r="AR73" s="244"/>
      <c r="AS73" s="244"/>
      <c r="AT73" s="244"/>
      <c r="AU73" s="244"/>
      <c r="AV73" s="244"/>
      <c r="AW73" s="244"/>
      <c r="AX73" s="244"/>
      <c r="AY73" s="244"/>
      <c r="AZ73" s="244"/>
      <c r="BA73" s="244"/>
      <c r="BB73" s="244"/>
      <c r="BC73" s="244"/>
      <c r="BD73" s="244"/>
      <c r="BE73" s="244"/>
      <c r="BF73" s="244"/>
      <c r="BG73" s="244"/>
    </row>
    <row r="74">
      <c r="A74" s="244"/>
      <c r="B74" s="244"/>
      <c r="C74" s="244"/>
      <c r="D74" s="244"/>
      <c r="E74" s="244"/>
      <c r="F74" s="244"/>
      <c r="G74" s="244"/>
      <c r="H74" s="244"/>
      <c r="I74" s="244"/>
      <c r="J74" s="244"/>
      <c r="K74" s="244"/>
      <c r="L74" s="244"/>
      <c r="M74" s="244"/>
      <c r="N74" s="244"/>
      <c r="O74" s="244"/>
      <c r="P74" s="244"/>
      <c r="Q74" s="244"/>
      <c r="R74" s="244"/>
      <c r="S74" s="244"/>
      <c r="T74" s="244"/>
      <c r="U74" s="244"/>
      <c r="V74" s="244"/>
      <c r="W74" s="244"/>
      <c r="X74" s="244"/>
      <c r="Y74" s="244"/>
      <c r="Z74" s="244"/>
      <c r="AA74" s="244"/>
      <c r="AB74" s="244"/>
      <c r="AC74" s="244"/>
      <c r="AD74" s="244"/>
      <c r="AE74" s="244"/>
      <c r="AF74" s="244"/>
      <c r="AG74" s="244"/>
      <c r="AH74" s="244"/>
      <c r="AI74" s="244"/>
      <c r="AJ74" s="244"/>
      <c r="AK74" s="244"/>
      <c r="AL74" s="244"/>
      <c r="AM74" s="244"/>
      <c r="AN74" s="244"/>
      <c r="AO74" s="244"/>
      <c r="AP74" s="244"/>
      <c r="AQ74" s="244"/>
      <c r="AR74" s="244"/>
      <c r="AS74" s="244"/>
      <c r="AT74" s="244"/>
      <c r="AU74" s="244"/>
      <c r="AV74" s="244"/>
      <c r="AW74" s="244"/>
      <c r="AX74" s="244"/>
      <c r="AY74" s="244"/>
      <c r="AZ74" s="244"/>
      <c r="BA74" s="244"/>
      <c r="BB74" s="244"/>
      <c r="BC74" s="244"/>
      <c r="BD74" s="244"/>
      <c r="BE74" s="244"/>
      <c r="BF74" s="244"/>
      <c r="BG74" s="244"/>
    </row>
    <row r="75">
      <c r="A75" s="244"/>
      <c r="B75" s="244"/>
      <c r="C75" s="244"/>
      <c r="D75" s="244"/>
      <c r="E75" s="244"/>
      <c r="F75" s="244"/>
      <c r="G75" s="244"/>
      <c r="H75" s="244"/>
      <c r="I75" s="244"/>
      <c r="J75" s="244"/>
      <c r="K75" s="244"/>
      <c r="L75" s="244"/>
      <c r="M75" s="244"/>
      <c r="N75" s="244"/>
      <c r="O75" s="244"/>
      <c r="P75" s="244"/>
      <c r="Q75" s="244"/>
      <c r="R75" s="244"/>
      <c r="S75" s="244"/>
      <c r="T75" s="244"/>
      <c r="U75" s="244"/>
      <c r="V75" s="244"/>
      <c r="W75" s="244"/>
      <c r="X75" s="244"/>
      <c r="Y75" s="244"/>
      <c r="Z75" s="244"/>
      <c r="AA75" s="244"/>
      <c r="AB75" s="244"/>
      <c r="AC75" s="244"/>
      <c r="AD75" s="244"/>
      <c r="AE75" s="244"/>
      <c r="AF75" s="244"/>
      <c r="AG75" s="244"/>
      <c r="AH75" s="244"/>
      <c r="AI75" s="244"/>
      <c r="AJ75" s="244"/>
      <c r="AK75" s="244"/>
      <c r="AL75" s="244"/>
      <c r="AM75" s="244"/>
      <c r="AN75" s="244"/>
      <c r="AO75" s="244"/>
      <c r="AP75" s="244"/>
      <c r="AQ75" s="244"/>
      <c r="AR75" s="244"/>
      <c r="AS75" s="244"/>
      <c r="AT75" s="244"/>
      <c r="AU75" s="244"/>
      <c r="AV75" s="244"/>
      <c r="AW75" s="244"/>
      <c r="AX75" s="244"/>
      <c r="AY75" s="244"/>
      <c r="AZ75" s="244"/>
      <c r="BA75" s="244"/>
      <c r="BB75" s="244"/>
      <c r="BC75" s="244"/>
      <c r="BD75" s="244"/>
      <c r="BE75" s="244"/>
      <c r="BF75" s="244"/>
      <c r="BG75" s="244"/>
    </row>
    <row r="76">
      <c r="A76" s="244"/>
      <c r="B76" s="244"/>
      <c r="C76" s="244"/>
      <c r="D76" s="244"/>
      <c r="E76" s="244"/>
      <c r="F76" s="244"/>
      <c r="G76" s="244"/>
      <c r="H76" s="244"/>
      <c r="I76" s="244"/>
      <c r="J76" s="244"/>
      <c r="K76" s="244"/>
      <c r="L76" s="244"/>
      <c r="M76" s="244"/>
      <c r="N76" s="244"/>
      <c r="O76" s="244"/>
      <c r="P76" s="244"/>
      <c r="Q76" s="244"/>
      <c r="R76" s="244"/>
      <c r="S76" s="244"/>
      <c r="T76" s="244"/>
      <c r="U76" s="244"/>
      <c r="V76" s="244"/>
      <c r="W76" s="244"/>
      <c r="X76" s="244"/>
      <c r="Y76" s="244"/>
      <c r="Z76" s="244"/>
      <c r="AA76" s="244"/>
      <c r="AB76" s="244"/>
      <c r="AC76" s="244"/>
      <c r="AD76" s="244"/>
      <c r="AE76" s="244"/>
      <c r="AF76" s="244"/>
      <c r="AG76" s="244"/>
      <c r="AH76" s="244"/>
      <c r="AI76" s="244"/>
      <c r="AJ76" s="244"/>
      <c r="AK76" s="244"/>
      <c r="AL76" s="244"/>
      <c r="AM76" s="244"/>
      <c r="AN76" s="244"/>
      <c r="AO76" s="244"/>
      <c r="AP76" s="244"/>
      <c r="AQ76" s="244"/>
      <c r="AR76" s="244"/>
      <c r="AS76" s="244"/>
      <c r="AT76" s="244"/>
      <c r="AU76" s="244"/>
      <c r="AV76" s="244"/>
      <c r="AW76" s="244"/>
      <c r="AX76" s="244"/>
      <c r="AY76" s="244"/>
      <c r="AZ76" s="244"/>
      <c r="BA76" s="244"/>
      <c r="BB76" s="244"/>
      <c r="BC76" s="244"/>
      <c r="BD76" s="244"/>
      <c r="BE76" s="244"/>
      <c r="BF76" s="244"/>
      <c r="BG76" s="244"/>
    </row>
    <row r="77">
      <c r="A77" s="244"/>
      <c r="B77" s="244"/>
      <c r="C77" s="244"/>
      <c r="D77" s="244"/>
      <c r="E77" s="244"/>
      <c r="F77" s="244"/>
      <c r="G77" s="244"/>
      <c r="H77" s="244"/>
      <c r="I77" s="244"/>
      <c r="J77" s="244"/>
      <c r="K77" s="244"/>
      <c r="L77" s="244"/>
      <c r="M77" s="244"/>
      <c r="N77" s="244"/>
      <c r="O77" s="244"/>
      <c r="P77" s="244"/>
      <c r="Q77" s="244"/>
      <c r="R77" s="244"/>
      <c r="S77" s="244"/>
      <c r="T77" s="244"/>
      <c r="U77" s="244"/>
      <c r="V77" s="244"/>
      <c r="W77" s="244"/>
      <c r="X77" s="244"/>
      <c r="Y77" s="244"/>
      <c r="Z77" s="244"/>
      <c r="AA77" s="244"/>
      <c r="AB77" s="244"/>
      <c r="AC77" s="244"/>
      <c r="AD77" s="244"/>
      <c r="AE77" s="244"/>
      <c r="AF77" s="244"/>
      <c r="AG77" s="244"/>
      <c r="AH77" s="244"/>
      <c r="AI77" s="244"/>
      <c r="AJ77" s="244"/>
      <c r="AK77" s="244"/>
      <c r="AL77" s="244"/>
      <c r="AM77" s="244"/>
      <c r="AN77" s="244"/>
      <c r="AO77" s="244"/>
      <c r="AP77" s="244"/>
      <c r="AQ77" s="244"/>
      <c r="AR77" s="244"/>
      <c r="AS77" s="244"/>
      <c r="AT77" s="244"/>
      <c r="AU77" s="244"/>
      <c r="AV77" s="244"/>
      <c r="AW77" s="244"/>
      <c r="AX77" s="244"/>
      <c r="AY77" s="244"/>
      <c r="AZ77" s="244"/>
      <c r="BA77" s="244"/>
      <c r="BB77" s="244"/>
      <c r="BC77" s="244"/>
      <c r="BD77" s="244"/>
      <c r="BE77" s="244"/>
      <c r="BF77" s="244"/>
      <c r="BG77" s="244"/>
    </row>
    <row r="78">
      <c r="A78" s="244"/>
      <c r="B78" s="244"/>
      <c r="C78" s="244"/>
      <c r="D78" s="244"/>
      <c r="E78" s="244"/>
      <c r="F78" s="244"/>
      <c r="G78" s="244"/>
      <c r="H78" s="244"/>
      <c r="I78" s="244"/>
      <c r="J78" s="244"/>
      <c r="K78" s="244"/>
      <c r="L78" s="244"/>
      <c r="M78" s="244"/>
      <c r="N78" s="244"/>
      <c r="O78" s="244"/>
      <c r="P78" s="244"/>
      <c r="Q78" s="244"/>
      <c r="R78" s="244"/>
      <c r="S78" s="244"/>
      <c r="T78" s="244"/>
      <c r="U78" s="244"/>
      <c r="V78" s="244"/>
      <c r="W78" s="244"/>
      <c r="X78" s="244"/>
      <c r="Y78" s="244"/>
      <c r="Z78" s="244"/>
      <c r="AA78" s="244"/>
      <c r="AB78" s="244"/>
      <c r="AC78" s="244"/>
      <c r="AD78" s="244"/>
      <c r="AE78" s="244"/>
      <c r="AF78" s="244"/>
      <c r="AG78" s="244"/>
      <c r="AH78" s="244"/>
      <c r="AI78" s="244"/>
      <c r="AJ78" s="244"/>
      <c r="AK78" s="244"/>
      <c r="AL78" s="244"/>
      <c r="AM78" s="244"/>
      <c r="AN78" s="244"/>
      <c r="AO78" s="244"/>
      <c r="AP78" s="244"/>
      <c r="AQ78" s="244"/>
      <c r="AR78" s="244"/>
      <c r="AS78" s="244"/>
      <c r="AT78" s="244"/>
      <c r="AU78" s="244"/>
      <c r="AV78" s="244"/>
      <c r="AW78" s="244"/>
      <c r="AX78" s="244"/>
      <c r="AY78" s="244"/>
      <c r="AZ78" s="244"/>
      <c r="BA78" s="244"/>
      <c r="BB78" s="244"/>
      <c r="BC78" s="244"/>
      <c r="BD78" s="244"/>
      <c r="BE78" s="244"/>
      <c r="BF78" s="244"/>
      <c r="BG78" s="244"/>
    </row>
    <row r="79">
      <c r="A79" s="244"/>
      <c r="B79" s="244"/>
      <c r="C79" s="244"/>
      <c r="D79" s="244"/>
      <c r="E79" s="244"/>
      <c r="F79" s="244"/>
      <c r="G79" s="244"/>
      <c r="H79" s="244"/>
      <c r="I79" s="244"/>
      <c r="J79" s="244"/>
      <c r="K79" s="244"/>
      <c r="L79" s="244"/>
      <c r="M79" s="244"/>
      <c r="N79" s="244"/>
      <c r="O79" s="244"/>
      <c r="P79" s="244"/>
      <c r="Q79" s="244"/>
      <c r="R79" s="244"/>
      <c r="S79" s="244"/>
      <c r="T79" s="244"/>
      <c r="U79" s="244"/>
      <c r="V79" s="244"/>
      <c r="W79" s="244"/>
      <c r="X79" s="244"/>
      <c r="Y79" s="244"/>
      <c r="Z79" s="244"/>
      <c r="AA79" s="244"/>
      <c r="AB79" s="244"/>
      <c r="AC79" s="244"/>
      <c r="AD79" s="244"/>
      <c r="AE79" s="244"/>
      <c r="AF79" s="244"/>
      <c r="AG79" s="244"/>
      <c r="AH79" s="244"/>
      <c r="AI79" s="244"/>
      <c r="AJ79" s="244"/>
      <c r="AK79" s="244"/>
      <c r="AL79" s="244"/>
      <c r="AM79" s="244"/>
      <c r="AN79" s="244"/>
      <c r="AO79" s="244"/>
      <c r="AP79" s="244"/>
      <c r="AQ79" s="244"/>
      <c r="AR79" s="244"/>
      <c r="AS79" s="244"/>
      <c r="AT79" s="244"/>
      <c r="AU79" s="244"/>
      <c r="AV79" s="244"/>
      <c r="AW79" s="244"/>
      <c r="AX79" s="244"/>
      <c r="AY79" s="244"/>
      <c r="AZ79" s="244"/>
      <c r="BA79" s="244"/>
      <c r="BB79" s="244"/>
      <c r="BC79" s="244"/>
      <c r="BD79" s="244"/>
      <c r="BE79" s="244"/>
      <c r="BF79" s="244"/>
      <c r="BG79" s="244"/>
    </row>
    <row r="80">
      <c r="A80" s="244"/>
      <c r="B80" s="244"/>
      <c r="C80" s="244"/>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row>
    <row r="81">
      <c r="A81" s="244"/>
      <c r="B81" s="244"/>
      <c r="C81" s="244"/>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row>
    <row r="82">
      <c r="A82" s="244"/>
      <c r="B82" s="244"/>
      <c r="C82" s="244"/>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row>
    <row r="83">
      <c r="A83" s="244"/>
      <c r="B83" s="244"/>
      <c r="C83" s="244"/>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row>
    <row r="84">
      <c r="A84" s="244"/>
      <c r="B84" s="244"/>
      <c r="C84" s="244"/>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row>
    <row r="85">
      <c r="A85" s="244"/>
      <c r="B85" s="244"/>
      <c r="C85" s="244"/>
      <c r="D85" s="244"/>
      <c r="E85" s="244"/>
      <c r="F85" s="244"/>
      <c r="G85" s="244"/>
      <c r="H85" s="244"/>
      <c r="I85" s="244"/>
      <c r="J85" s="244"/>
      <c r="K85" s="244"/>
      <c r="L85" s="244"/>
      <c r="M85" s="244"/>
      <c r="N85" s="244"/>
      <c r="O85" s="244"/>
      <c r="P85" s="244"/>
      <c r="Q85" s="244"/>
      <c r="R85" s="244"/>
      <c r="S85" s="244"/>
      <c r="T85" s="244"/>
      <c r="U85" s="244"/>
      <c r="V85" s="244"/>
      <c r="W85" s="244"/>
      <c r="X85" s="244"/>
      <c r="Y85" s="244"/>
      <c r="Z85" s="244"/>
      <c r="AA85" s="244"/>
      <c r="AB85" s="244"/>
      <c r="AC85" s="244"/>
      <c r="AD85" s="244"/>
      <c r="AE85" s="244"/>
      <c r="AF85" s="244"/>
      <c r="AG85" s="244"/>
      <c r="AH85" s="244"/>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row>
    <row r="86">
      <c r="A86" s="244"/>
      <c r="B86" s="244"/>
      <c r="C86" s="244"/>
      <c r="D86" s="244"/>
      <c r="E86" s="244"/>
      <c r="F86" s="244"/>
      <c r="G86" s="244"/>
      <c r="H86" s="244"/>
      <c r="I86" s="244"/>
      <c r="J86" s="244"/>
      <c r="K86" s="244"/>
      <c r="L86" s="244"/>
      <c r="M86" s="244"/>
      <c r="N86" s="244"/>
      <c r="O86" s="244"/>
      <c r="P86" s="244"/>
      <c r="Q86" s="244"/>
      <c r="R86" s="244"/>
      <c r="S86" s="244"/>
      <c r="T86" s="244"/>
      <c r="U86" s="244"/>
      <c r="V86" s="244"/>
      <c r="W86" s="244"/>
      <c r="X86" s="244"/>
      <c r="Y86" s="244"/>
      <c r="Z86" s="244"/>
      <c r="AA86" s="244"/>
      <c r="AB86" s="244"/>
      <c r="AC86" s="244"/>
      <c r="AD86" s="244"/>
      <c r="AE86" s="244"/>
      <c r="AF86" s="244"/>
      <c r="AG86" s="244"/>
      <c r="AH86" s="244"/>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row>
  </sheetData>
  <mergeCells count="41">
    <mergeCell ref="H26:I26"/>
    <mergeCell ref="K26:L26"/>
    <mergeCell ref="N26:O26"/>
    <mergeCell ref="Z8:AA8"/>
    <mergeCell ref="Z25:AA25"/>
    <mergeCell ref="Z9:AA9"/>
    <mergeCell ref="Q26:R26"/>
    <mergeCell ref="T26:U26"/>
    <mergeCell ref="W26:X26"/>
    <mergeCell ref="K9:L9"/>
    <mergeCell ref="B10:B11"/>
    <mergeCell ref="B6:AB6"/>
    <mergeCell ref="E8:F8"/>
    <mergeCell ref="H8:I8"/>
    <mergeCell ref="K8:L8"/>
    <mergeCell ref="N8:O8"/>
    <mergeCell ref="Q8:R8"/>
    <mergeCell ref="T8:U8"/>
    <mergeCell ref="T9:U9"/>
    <mergeCell ref="W9:X9"/>
    <mergeCell ref="E9:F9"/>
    <mergeCell ref="H9:I9"/>
    <mergeCell ref="N9:O9"/>
    <mergeCell ref="Q9:R9"/>
    <mergeCell ref="W8:X8"/>
    <mergeCell ref="B40:AB40"/>
    <mergeCell ref="B31:B32"/>
    <mergeCell ref="B35:B36"/>
    <mergeCell ref="B14:B15"/>
    <mergeCell ref="B18:B19"/>
    <mergeCell ref="B27:B28"/>
    <mergeCell ref="B23:AB23"/>
    <mergeCell ref="E25:F25"/>
    <mergeCell ref="T25:U25"/>
    <mergeCell ref="N25:O25"/>
    <mergeCell ref="Q25:R25"/>
    <mergeCell ref="H25:I25"/>
    <mergeCell ref="K25:L25"/>
    <mergeCell ref="Z26:AA26"/>
    <mergeCell ref="W25:X25"/>
    <mergeCell ref="E26:F26"/>
  </mergeCells>
  <phoneticPr fontId="0" type="noConversion"/>
  <printOptions horizontalCentered="1" verticalCentered="1"/>
  <pageMargins left="0.25" right="0.25" top="0.25" bottom="0.25" header="0.5" footer="0.5"/>
  <pageSetup scale="69" orientation="landscape" r:id="rId1"/>
  <headerFooter alignWithMargins="0">
    <oddHeader/>
    <oddFooter/>
  </headerFooter>
  <drawing r:id="rId22"/>
</worksheet>
</file>

<file path=xl/worksheets/sheet2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
    <pageSetUpPr fitToPage="1"/>
  </sheetPr>
  <dimension ref="A1:AV84"/>
  <sheetViews>
    <sheetView showGridLines="0" workbookViewId="0"/>
  </sheetViews>
  <sheetFormatPr defaultRowHeight="12.75"/>
  <cols>
    <col min="1" max="1" width="2.7109375" customWidth="1"/>
    <col min="2" max="2" width="14.28515625" customWidth="1"/>
    <col min="3" max="3" width="4.42578125" customWidth="1"/>
    <col min="4" max="4" width="12.28515625" customWidth="1"/>
    <col min="5" max="5" width="8.7109375" customWidth="1"/>
    <col min="6" max="6" width="6.7109375" customWidth="1"/>
    <col min="7" max="7" width="4.7109375" customWidth="1"/>
    <col min="8" max="8" width="12.28515625" customWidth="1"/>
    <col min="9" max="9" width="8.7109375" customWidth="1"/>
    <col min="10" max="10" width="6.7109375" customWidth="1"/>
    <col min="11" max="11" width="4.7109375" customWidth="1"/>
    <col min="12" max="12" width="12.28515625" customWidth="1"/>
    <col min="13" max="13" width="8.7109375" customWidth="1"/>
    <col min="14" max="14" width="6.7109375" customWidth="1"/>
    <col min="15" max="15" width="3.7109375" customWidth="1"/>
    <col min="16" max="16" width="12.28515625" customWidth="1"/>
    <col min="17" max="17" width="8.7109375" customWidth="1"/>
    <col min="18" max="18" width="6.7109375" customWidth="1"/>
    <col min="19" max="19" width="4.7109375" customWidth="1"/>
    <col min="20" max="20" width="2.7109375" customWidth="1"/>
  </cols>
  <sheetData>
    <row r="1" ht="26.25" customHeight="1">
      <c r="B1" s="20" t="s">
        <v>117</v>
      </c>
      <c r="C1" s="11"/>
      <c r="D1" s="11"/>
      <c r="E1" s="11"/>
      <c r="F1" s="11"/>
      <c r="G1" s="11"/>
      <c r="H1" s="1"/>
      <c r="I1" s="1"/>
      <c r="J1" s="1"/>
      <c r="K1" s="1"/>
      <c r="L1" s="1"/>
      <c r="M1" s="1"/>
      <c r="N1" s="1"/>
      <c r="O1" s="1"/>
      <c r="P1" s="1"/>
      <c r="Q1" s="1"/>
      <c r="R1" s="1"/>
      <c r="S1" s="175"/>
      <c r="T1" s="1"/>
      <c r="U1" s="244"/>
      <c r="V1" s="244"/>
      <c r="W1" s="244"/>
      <c r="X1" s="244"/>
      <c r="Y1" s="244"/>
      <c r="Z1" s="244"/>
      <c r="AA1" s="244"/>
      <c r="AB1" s="244"/>
      <c r="AC1" s="244"/>
      <c r="AD1" s="244"/>
      <c r="AE1" s="244"/>
      <c r="AF1" s="244"/>
      <c r="AG1" s="244"/>
      <c r="AH1" s="244"/>
      <c r="AI1" s="244"/>
      <c r="AJ1" s="244"/>
      <c r="AK1" s="244"/>
      <c r="AL1" s="244"/>
      <c r="AM1" s="244"/>
      <c r="AN1" s="244"/>
      <c r="AO1" s="244"/>
      <c r="AP1" s="244"/>
      <c r="AQ1" s="244"/>
      <c r="AR1" s="244"/>
      <c r="AS1" s="244"/>
      <c r="AT1" s="244"/>
      <c r="AU1" s="244"/>
      <c r="AV1" s="244"/>
    </row>
    <row r="2" ht="14.25" customHeight="1">
      <c r="B2" s="10" t="s">
        <v>141</v>
      </c>
      <c r="C2" s="1"/>
      <c r="D2" s="1"/>
      <c r="E2" s="1"/>
      <c r="F2" s="1"/>
      <c r="G2" s="1"/>
      <c r="H2" s="1"/>
      <c r="I2" s="1"/>
      <c r="J2" s="1"/>
      <c r="K2" s="1"/>
      <c r="L2" s="1"/>
      <c r="M2" s="1"/>
      <c r="N2" s="1"/>
      <c r="O2" s="1"/>
      <c r="P2" s="1"/>
      <c r="Q2" s="1"/>
      <c r="R2" s="234"/>
      <c r="S2" s="175"/>
      <c r="T2" s="1"/>
      <c r="U2" s="244"/>
      <c r="V2" s="244"/>
      <c r="W2" s="244"/>
      <c r="X2" s="244"/>
      <c r="Y2" s="244"/>
      <c r="Z2" s="244"/>
      <c r="AA2" s="244"/>
      <c r="AB2" s="244"/>
      <c r="AC2" s="244"/>
      <c r="AD2" s="244"/>
      <c r="AE2" s="244"/>
      <c r="AF2" s="244"/>
      <c r="AG2" s="244"/>
      <c r="AH2" s="244"/>
      <c r="AI2" s="244"/>
      <c r="AJ2" s="244"/>
      <c r="AK2" s="244"/>
      <c r="AL2" s="244"/>
      <c r="AM2" s="244"/>
      <c r="AN2" s="244"/>
      <c r="AO2" s="244"/>
      <c r="AP2" s="244"/>
      <c r="AQ2" s="244"/>
      <c r="AR2" s="244"/>
      <c r="AS2" s="244"/>
      <c r="AT2" s="244"/>
      <c r="AU2" s="244"/>
      <c r="AV2" s="244"/>
    </row>
    <row r="3" ht="14.25" customHeight="1">
      <c r="B3" s="432" t="s">
        <v>142</v>
      </c>
      <c r="C3" s="1"/>
      <c r="D3" s="1"/>
      <c r="E3" s="1"/>
      <c r="F3" s="1"/>
      <c r="G3" s="1"/>
      <c r="H3" s="1"/>
      <c r="I3" s="1"/>
      <c r="J3" s="1"/>
      <c r="K3" s="1"/>
      <c r="L3" s="1"/>
      <c r="M3" s="1"/>
      <c r="N3" s="1"/>
      <c r="O3" s="1"/>
      <c r="P3" s="1"/>
      <c r="Q3" s="1"/>
      <c r="R3" s="1"/>
      <c r="S3" s="175"/>
      <c r="T3" s="1"/>
      <c r="U3" s="244"/>
      <c r="V3" s="244"/>
      <c r="W3" s="244"/>
      <c r="X3" s="244"/>
      <c r="Y3" s="244"/>
      <c r="Z3" s="244"/>
      <c r="AA3" s="244"/>
      <c r="AB3" s="244"/>
      <c r="AC3" s="244"/>
      <c r="AD3" s="244"/>
      <c r="AE3" s="244"/>
      <c r="AF3" s="244"/>
      <c r="AG3" s="244"/>
      <c r="AH3" s="244"/>
      <c r="AI3" s="244"/>
      <c r="AJ3" s="244"/>
      <c r="AK3" s="244"/>
      <c r="AL3" s="244"/>
      <c r="AM3" s="244"/>
      <c r="AN3" s="244"/>
      <c r="AO3" s="244"/>
      <c r="AP3" s="244"/>
      <c r="AQ3" s="244"/>
      <c r="AR3" s="244"/>
      <c r="AS3" s="244"/>
      <c r="AT3" s="244"/>
      <c r="AU3" s="244"/>
      <c r="AV3" s="244"/>
    </row>
    <row r="4" ht="14.25" customHeight="1">
      <c r="B4" s="175" t="s">
        <v>143</v>
      </c>
      <c r="C4" s="1"/>
      <c r="D4" s="1"/>
      <c r="E4" s="1"/>
      <c r="F4" s="1"/>
      <c r="G4" s="1"/>
      <c r="H4" s="1"/>
      <c r="I4" s="1"/>
      <c r="J4" s="1"/>
      <c r="K4" s="1"/>
      <c r="L4" s="1"/>
      <c r="M4" s="1"/>
      <c r="N4" s="1"/>
      <c r="O4" s="1"/>
      <c r="P4" s="1"/>
      <c r="Q4" s="1"/>
      <c r="R4" s="1"/>
      <c r="S4" s="175"/>
      <c r="T4" s="1"/>
      <c r="U4" s="244"/>
      <c r="V4" s="244"/>
      <c r="W4" s="244"/>
      <c r="X4" s="244"/>
      <c r="Y4" s="244"/>
      <c r="Z4" s="244"/>
      <c r="AA4" s="244"/>
      <c r="AB4" s="244"/>
      <c r="AC4" s="244"/>
      <c r="AD4" s="244"/>
      <c r="AE4" s="244"/>
      <c r="AF4" s="244"/>
      <c r="AG4" s="244"/>
      <c r="AH4" s="244"/>
      <c r="AI4" s="244"/>
      <c r="AJ4" s="244"/>
      <c r="AK4" s="244"/>
      <c r="AL4" s="244"/>
      <c r="AM4" s="244"/>
      <c r="AN4" s="244"/>
      <c r="AO4" s="244"/>
      <c r="AP4" s="244"/>
      <c r="AQ4" s="244"/>
      <c r="AR4" s="244"/>
      <c r="AS4" s="244"/>
      <c r="AT4" s="244"/>
      <c r="AU4" s="244"/>
      <c r="AV4" s="244"/>
    </row>
    <row r="5" ht="14.25" customHeight="1">
      <c r="A5" s="13"/>
      <c r="B5" s="12"/>
      <c r="C5" s="1"/>
      <c r="D5" s="1"/>
      <c r="E5" s="1"/>
      <c r="F5" s="1"/>
      <c r="G5" s="1"/>
      <c r="H5" s="1"/>
      <c r="I5" s="1"/>
      <c r="J5" s="1"/>
      <c r="K5" s="1"/>
      <c r="L5" s="1"/>
      <c r="M5" s="1"/>
      <c r="N5" s="1"/>
      <c r="O5" s="1"/>
      <c r="P5" s="1"/>
      <c r="Q5" s="1"/>
      <c r="R5" s="1"/>
      <c r="S5" s="1"/>
      <c r="T5" s="1"/>
      <c r="U5" s="244"/>
      <c r="V5" s="244"/>
      <c r="W5" s="244"/>
      <c r="X5" s="244"/>
      <c r="Y5" s="244"/>
      <c r="Z5" s="244"/>
      <c r="AA5" s="244"/>
      <c r="AB5" s="244"/>
      <c r="AC5" s="244"/>
      <c r="AD5" s="244"/>
      <c r="AE5" s="244"/>
      <c r="AF5" s="244"/>
      <c r="AG5" s="244"/>
      <c r="AH5" s="244"/>
      <c r="AI5" s="244"/>
      <c r="AJ5" s="244"/>
      <c r="AK5" s="244"/>
      <c r="AL5" s="244"/>
      <c r="AM5" s="244"/>
      <c r="AN5" s="244"/>
      <c r="AO5" s="244"/>
      <c r="AP5" s="244"/>
      <c r="AQ5" s="244"/>
      <c r="AR5" s="244"/>
      <c r="AS5" s="244"/>
      <c r="AT5" s="244"/>
      <c r="AU5" s="244"/>
      <c r="AV5" s="244"/>
    </row>
    <row r="6" ht="15" customHeight="1">
      <c r="A6" s="13"/>
      <c r="B6" s="612" t="s">
        <v>144</v>
      </c>
      <c r="C6" s="612"/>
      <c r="D6" s="612"/>
      <c r="E6" s="612"/>
      <c r="F6" s="612"/>
      <c r="G6" s="612"/>
      <c r="H6" s="612"/>
      <c r="I6" s="612"/>
      <c r="J6" s="612"/>
      <c r="K6" s="612"/>
      <c r="L6" s="612"/>
      <c r="M6" s="612"/>
      <c r="N6" s="612"/>
      <c r="O6" s="612"/>
      <c r="P6" s="612"/>
      <c r="Q6" s="612"/>
      <c r="R6" s="612"/>
      <c r="S6" s="612"/>
      <c r="T6" s="1"/>
      <c r="U6" s="244"/>
      <c r="V6" s="244"/>
      <c r="W6" s="244"/>
      <c r="X6" s="244"/>
      <c r="Y6" s="244"/>
      <c r="Z6" s="244"/>
      <c r="AA6" s="244"/>
      <c r="AB6" s="244"/>
      <c r="AC6" s="244"/>
      <c r="AD6" s="244"/>
      <c r="AE6" s="244"/>
      <c r="AF6" s="244"/>
      <c r="AG6" s="244"/>
      <c r="AH6" s="244"/>
      <c r="AI6" s="244"/>
      <c r="AJ6" s="244"/>
      <c r="AK6" s="244"/>
      <c r="AL6" s="244"/>
      <c r="AM6" s="244"/>
      <c r="AN6" s="244"/>
      <c r="AO6" s="244"/>
      <c r="AP6" s="244"/>
      <c r="AQ6" s="244"/>
      <c r="AR6" s="244"/>
      <c r="AS6" s="244"/>
      <c r="AT6" s="244"/>
      <c r="AU6" s="244"/>
      <c r="AV6" s="244"/>
    </row>
    <row r="7" ht="14.25" customHeight="1">
      <c r="A7" s="13"/>
      <c r="B7" s="12"/>
      <c r="C7" s="1"/>
      <c r="D7" s="1"/>
      <c r="E7" s="1"/>
      <c r="F7" s="1"/>
      <c r="G7" s="1"/>
      <c r="H7" s="1"/>
      <c r="I7" s="1"/>
      <c r="J7" s="1"/>
      <c r="K7" s="1"/>
      <c r="L7" s="1"/>
      <c r="M7" s="1"/>
      <c r="N7" s="1"/>
      <c r="O7" s="1"/>
      <c r="P7" s="1"/>
      <c r="Q7" s="1"/>
      <c r="R7" s="1"/>
      <c r="S7" s="1"/>
      <c r="T7" s="1"/>
      <c r="U7" s="244"/>
      <c r="V7" s="244"/>
      <c r="W7" s="244"/>
      <c r="X7" s="244"/>
      <c r="Y7" s="244"/>
      <c r="Z7" s="244"/>
      <c r="AA7" s="244"/>
      <c r="AB7" s="244"/>
      <c r="AC7" s="244"/>
      <c r="AD7" s="244"/>
      <c r="AE7" s="244"/>
      <c r="AF7" s="244"/>
      <c r="AG7" s="244"/>
      <c r="AH7" s="244"/>
      <c r="AI7" s="244"/>
      <c r="AJ7" s="244"/>
      <c r="AK7" s="244"/>
      <c r="AL7" s="244"/>
      <c r="AM7" s="244"/>
      <c r="AN7" s="244"/>
      <c r="AO7" s="244"/>
      <c r="AP7" s="244"/>
      <c r="AQ7" s="244"/>
      <c r="AR7" s="244"/>
      <c r="AS7" s="244"/>
      <c r="AT7" s="244"/>
      <c r="AU7" s="244"/>
      <c r="AV7" s="244"/>
    </row>
    <row r="8" ht="15" customHeight="1">
      <c r="A8" s="1"/>
      <c r="B8" s="1"/>
      <c r="C8" s="14"/>
      <c r="D8" s="648" t="s">
        <v>21</v>
      </c>
      <c r="E8" s="648"/>
      <c r="F8" s="648"/>
      <c r="G8" s="1"/>
      <c r="H8" s="648" t="s">
        <v>24</v>
      </c>
      <c r="I8" s="648"/>
      <c r="J8" s="648"/>
      <c r="K8" s="1"/>
      <c r="L8" s="648" t="s">
        <v>25</v>
      </c>
      <c r="M8" s="648"/>
      <c r="N8" s="648"/>
      <c r="O8" s="1"/>
      <c r="P8" s="648" t="s">
        <v>23</v>
      </c>
      <c r="Q8" s="648"/>
      <c r="R8" s="648"/>
      <c r="S8" s="2"/>
      <c r="T8" s="1"/>
      <c r="U8" s="244"/>
      <c r="V8" s="244"/>
      <c r="W8" s="244"/>
      <c r="X8" s="244"/>
      <c r="Y8" s="244"/>
      <c r="Z8" s="244"/>
      <c r="AA8" s="244"/>
      <c r="AB8" s="244"/>
      <c r="AC8" s="244"/>
      <c r="AD8" s="244"/>
      <c r="AE8" s="244"/>
      <c r="AF8" s="244"/>
      <c r="AG8" s="244"/>
      <c r="AH8" s="244"/>
      <c r="AI8" s="244"/>
      <c r="AJ8" s="244"/>
      <c r="AK8" s="244"/>
      <c r="AL8" s="244"/>
      <c r="AM8" s="244"/>
      <c r="AN8" s="244"/>
      <c r="AO8" s="244"/>
      <c r="AP8" s="244"/>
      <c r="AQ8" s="244"/>
      <c r="AR8" s="244"/>
      <c r="AS8" s="244"/>
      <c r="AT8" s="244"/>
      <c r="AU8" s="244"/>
      <c r="AV8" s="244"/>
    </row>
    <row r="9" ht="15" customHeight="1">
      <c r="A9" s="1"/>
      <c r="B9" s="1"/>
      <c r="C9" s="1"/>
      <c r="D9" s="2"/>
      <c r="E9" s="2"/>
      <c r="F9" s="66" t="s">
        <v>57</v>
      </c>
      <c r="G9" s="65"/>
      <c r="H9" s="1"/>
      <c r="I9" s="1"/>
      <c r="J9" s="66" t="s">
        <v>57</v>
      </c>
      <c r="K9" s="1"/>
      <c r="L9" s="1"/>
      <c r="M9" s="1"/>
      <c r="N9" s="66" t="s">
        <v>57</v>
      </c>
      <c r="O9" s="1"/>
      <c r="P9" s="1"/>
      <c r="Q9" s="1"/>
      <c r="R9" s="66" t="s">
        <v>57</v>
      </c>
      <c r="S9" s="1"/>
      <c r="T9" s="1"/>
      <c r="U9" s="244"/>
      <c r="V9" s="244"/>
      <c r="W9" s="244"/>
      <c r="X9" s="244"/>
      <c r="Y9" s="244"/>
      <c r="Z9" s="244"/>
      <c r="AA9" s="244"/>
      <c r="AB9" s="244"/>
      <c r="AC9" s="244"/>
      <c r="AD9" s="244"/>
      <c r="AE9" s="244"/>
      <c r="AF9" s="244"/>
      <c r="AG9" s="244"/>
      <c r="AH9" s="244"/>
      <c r="AI9" s="244"/>
      <c r="AJ9" s="244"/>
      <c r="AK9" s="244"/>
      <c r="AL9" s="244"/>
      <c r="AM9" s="244"/>
      <c r="AN9" s="244"/>
      <c r="AO9" s="244"/>
      <c r="AP9" s="244"/>
      <c r="AQ9" s="244"/>
      <c r="AR9" s="244"/>
      <c r="AS9" s="244"/>
      <c r="AT9" s="244"/>
      <c r="AU9" s="244"/>
      <c r="AV9" s="244"/>
    </row>
    <row r="10" ht="15" customHeight="1">
      <c r="A10" s="1"/>
      <c r="B10" s="57" t="s">
        <v>28</v>
      </c>
      <c r="C10" s="58"/>
      <c r="D10" s="17" t="s">
        <v>32</v>
      </c>
      <c r="E10" s="19">
        <v>0.3855606758832565284178187404</v>
      </c>
      <c r="F10" s="73">
        <v>83.21167883210341520592466398</v>
      </c>
      <c r="G10" s="66"/>
      <c r="H10" s="17" t="s">
        <v>32</v>
      </c>
      <c r="I10" s="19">
        <v>0.0046082949308755760368663594</v>
      </c>
      <c r="J10" s="73">
        <v>100.00000003800000000721999796</v>
      </c>
      <c r="K10" s="1"/>
      <c r="L10" s="17" t="s">
        <v>32</v>
      </c>
      <c r="M10" s="19">
        <v>0.0161290322580645161290322581</v>
      </c>
      <c r="N10" s="73">
        <v>74.999999995275000000127575380</v>
      </c>
      <c r="O10" s="1"/>
      <c r="P10" s="17" t="s">
        <v>32</v>
      </c>
      <c r="Q10" s="19">
        <v>0.4062980030721966205837173579</v>
      </c>
      <c r="R10" s="73">
        <v>83.04498269910508015948096106</v>
      </c>
      <c r="S10" s="19"/>
      <c r="T10" s="1"/>
      <c r="U10" s="244"/>
      <c r="V10" s="244"/>
      <c r="W10" s="244"/>
      <c r="X10" s="244"/>
      <c r="Y10" s="244"/>
      <c r="Z10" s="244"/>
      <c r="AA10" s="244"/>
      <c r="AB10" s="244"/>
      <c r="AC10" s="244"/>
      <c r="AD10" s="244"/>
      <c r="AE10" s="244"/>
      <c r="AF10" s="244"/>
      <c r="AG10" s="244"/>
      <c r="AH10" s="244"/>
      <c r="AI10" s="244"/>
      <c r="AJ10" s="244"/>
      <c r="AK10" s="244"/>
      <c r="AL10" s="244"/>
      <c r="AM10" s="244"/>
      <c r="AN10" s="244"/>
      <c r="AO10" s="244"/>
      <c r="AP10" s="244"/>
      <c r="AQ10" s="244"/>
      <c r="AR10" s="244"/>
      <c r="AS10" s="244"/>
      <c r="AT10" s="244"/>
      <c r="AU10" s="244"/>
      <c r="AV10" s="244"/>
    </row>
    <row r="11" ht="15" customHeight="1">
      <c r="A11" s="1"/>
      <c r="B11" s="57"/>
      <c r="C11" s="58"/>
      <c r="D11" s="187" t="s">
        <v>27</v>
      </c>
      <c r="E11" s="190">
        <v>0.4211913709528792711547106387</v>
      </c>
      <c r="F11" s="81">
        <v>1.2711261351042685734898418500</v>
      </c>
      <c r="G11" s="181"/>
      <c r="H11" s="187" t="s">
        <v>27</v>
      </c>
      <c r="I11" s="190">
        <v>0.1182151995429308524350535629</v>
      </c>
      <c r="J11" s="81">
        <v>61.509771920981596091707507050</v>
      </c>
      <c r="K11" s="191"/>
      <c r="L11" s="187" t="s">
        <v>27</v>
      </c>
      <c r="M11" s="190">
        <v>0.0521482834899830887227851275</v>
      </c>
      <c r="N11" s="81">
        <v>-0.3623485774079111491563195700</v>
      </c>
      <c r="O11" s="191"/>
      <c r="P11" s="187" t="s">
        <v>27</v>
      </c>
      <c r="Q11" s="190">
        <v>0.5915548539857932123125493291</v>
      </c>
      <c r="R11" s="81">
        <v>9.256559766844118522044445240</v>
      </c>
      <c r="S11" s="19"/>
      <c r="T11" s="1"/>
      <c r="U11" s="244"/>
      <c r="V11" s="244"/>
      <c r="W11" s="244"/>
      <c r="X11" s="244"/>
      <c r="Y11" s="244"/>
      <c r="Z11" s="244"/>
      <c r="AA11" s="244"/>
      <c r="AB11" s="244"/>
      <c r="AC11" s="244"/>
      <c r="AD11" s="244"/>
      <c r="AE11" s="244"/>
      <c r="AF11" s="244"/>
      <c r="AG11" s="244"/>
      <c r="AH11" s="244"/>
      <c r="AI11" s="244"/>
      <c r="AJ11" s="244"/>
      <c r="AK11" s="244"/>
      <c r="AL11" s="244"/>
      <c r="AM11" s="244"/>
      <c r="AN11" s="244"/>
      <c r="AO11" s="244"/>
      <c r="AP11" s="244"/>
      <c r="AQ11" s="244"/>
      <c r="AR11" s="244"/>
      <c r="AS11" s="244"/>
      <c r="AT11" s="244"/>
      <c r="AU11" s="244"/>
      <c r="AV11" s="244"/>
    </row>
    <row r="12" ht="15" customHeight="1">
      <c r="A12" s="1"/>
      <c r="B12" s="57"/>
      <c r="C12" s="58"/>
      <c r="D12" s="406" t="s">
        <v>91</v>
      </c>
      <c r="E12" s="74">
        <v>91.54049737792006241871492893</v>
      </c>
      <c r="F12" s="73">
        <v>80.91205837636585585836824964</v>
      </c>
      <c r="G12" s="68"/>
      <c r="H12" s="406" t="s">
        <v>91</v>
      </c>
      <c r="I12" s="74">
        <v>3.8982253963030694005266552500</v>
      </c>
      <c r="J12" s="73">
        <v>23.831516582031152337755641440</v>
      </c>
      <c r="K12" s="1"/>
      <c r="L12" s="406" t="s">
        <v>91</v>
      </c>
      <c r="M12" s="74">
        <v>30.929171927887968396545698270</v>
      </c>
      <c r="N12" s="73">
        <v>75.636416054433896292762506880</v>
      </c>
      <c r="O12" s="1"/>
      <c r="P12" s="406" t="s">
        <v>91</v>
      </c>
      <c r="Q12" s="74">
        <v>68.683064695436046517687505010</v>
      </c>
      <c r="R12" s="73">
        <v>67.536835398676156708845369050</v>
      </c>
      <c r="S12" s="74"/>
      <c r="T12" s="1"/>
      <c r="U12" s="244"/>
      <c r="V12" s="244"/>
      <c r="W12" s="244"/>
      <c r="X12" s="244"/>
      <c r="Y12" s="244"/>
      <c r="Z12" s="244"/>
      <c r="AA12" s="244"/>
      <c r="AB12" s="244"/>
      <c r="AC12" s="244"/>
      <c r="AD12" s="244"/>
      <c r="AE12" s="244"/>
      <c r="AF12" s="244"/>
      <c r="AG12" s="244"/>
      <c r="AH12" s="244"/>
      <c r="AI12" s="244"/>
      <c r="AJ12" s="244"/>
      <c r="AK12" s="244"/>
      <c r="AL12" s="244"/>
      <c r="AM12" s="244"/>
      <c r="AN12" s="244"/>
      <c r="AO12" s="244"/>
      <c r="AP12" s="244"/>
      <c r="AQ12" s="244"/>
      <c r="AR12" s="244"/>
      <c r="AS12" s="244"/>
      <c r="AT12" s="244"/>
      <c r="AU12" s="244"/>
      <c r="AV12" s="244"/>
    </row>
    <row r="13" ht="15" customHeight="1">
      <c r="A13" s="1"/>
      <c r="B13" s="16"/>
      <c r="C13" s="1"/>
      <c r="D13" s="1"/>
      <c r="E13" s="3"/>
      <c r="F13" s="66"/>
      <c r="G13" s="3"/>
      <c r="H13" s="1"/>
      <c r="I13" s="1"/>
      <c r="J13" s="66"/>
      <c r="K13" s="1"/>
      <c r="L13" s="1"/>
      <c r="M13" s="1"/>
      <c r="N13" s="66"/>
      <c r="O13" s="1"/>
      <c r="P13" s="1"/>
      <c r="Q13" s="19"/>
      <c r="R13" s="66"/>
      <c r="S13" s="19"/>
      <c r="T13" s="1"/>
      <c r="U13" s="244"/>
      <c r="V13" s="244"/>
      <c r="W13" s="244"/>
      <c r="X13" s="244"/>
      <c r="Y13" s="244"/>
      <c r="Z13" s="244"/>
      <c r="AA13" s="244"/>
      <c r="AB13" s="244"/>
      <c r="AC13" s="244"/>
      <c r="AD13" s="244"/>
      <c r="AE13" s="244"/>
      <c r="AF13" s="244"/>
      <c r="AG13" s="244"/>
      <c r="AH13" s="244"/>
      <c r="AI13" s="244"/>
      <c r="AJ13" s="244"/>
      <c r="AK13" s="244"/>
      <c r="AL13" s="244"/>
      <c r="AM13" s="244"/>
      <c r="AN13" s="244"/>
      <c r="AO13" s="244"/>
      <c r="AP13" s="244"/>
      <c r="AQ13" s="244"/>
      <c r="AR13" s="244"/>
      <c r="AS13" s="244"/>
      <c r="AT13" s="244"/>
      <c r="AU13" s="244"/>
      <c r="AV13" s="244"/>
    </row>
    <row r="14" ht="15" customHeight="1">
      <c r="A14" s="1"/>
      <c r="B14" s="57" t="s">
        <v>12</v>
      </c>
      <c r="C14" s="58"/>
      <c r="D14" s="17" t="s">
        <v>32</v>
      </c>
      <c r="E14" s="239">
        <v>98.45418326693227091633466135</v>
      </c>
      <c r="F14" s="73">
        <v>-11.864720938530178626482037900</v>
      </c>
      <c r="G14" s="70"/>
      <c r="H14" s="76" t="s">
        <v>32</v>
      </c>
      <c r="I14" s="239">
        <v>134.16666666666666666666666667</v>
      </c>
      <c r="J14" s="73">
        <v>63.617886178861788617886178870</v>
      </c>
      <c r="K14" s="77"/>
      <c r="L14" s="76" t="s">
        <v>32</v>
      </c>
      <c r="M14" s="239">
        <v>98.85714285714285714285714286</v>
      </c>
      <c r="N14" s="73">
        <v>-8.887425938117182356813693220</v>
      </c>
      <c r="O14" s="77"/>
      <c r="P14" s="76" t="s">
        <v>32</v>
      </c>
      <c r="Q14" s="239">
        <v>98.87523629489603024574669187</v>
      </c>
      <c r="R14" s="73">
        <v>-11.136511726537918741744851890</v>
      </c>
      <c r="S14" s="18"/>
      <c r="T14" s="1"/>
      <c r="U14" s="244"/>
      <c r="V14" s="244"/>
      <c r="W14" s="244"/>
      <c r="X14" s="244"/>
      <c r="Y14" s="244"/>
      <c r="Z14" s="244"/>
      <c r="AA14" s="244"/>
      <c r="AB14" s="244"/>
      <c r="AC14" s="244"/>
      <c r="AD14" s="244"/>
      <c r="AE14" s="244"/>
      <c r="AF14" s="244"/>
      <c r="AG14" s="244"/>
      <c r="AH14" s="244"/>
      <c r="AI14" s="244"/>
      <c r="AJ14" s="244"/>
      <c r="AK14" s="244"/>
      <c r="AL14" s="244"/>
      <c r="AM14" s="244"/>
      <c r="AN14" s="244"/>
      <c r="AO14" s="244"/>
      <c r="AP14" s="244"/>
      <c r="AQ14" s="244"/>
      <c r="AR14" s="244"/>
      <c r="AS14" s="244"/>
      <c r="AT14" s="244"/>
      <c r="AU14" s="244"/>
      <c r="AV14" s="244"/>
    </row>
    <row r="15" ht="15" customHeight="1">
      <c r="A15" s="1"/>
      <c r="B15" s="57"/>
      <c r="C15" s="58"/>
      <c r="D15" s="187" t="s">
        <v>27</v>
      </c>
      <c r="E15" s="240">
        <v>135.47621810636198824260936358</v>
      </c>
      <c r="F15" s="81">
        <v>-3.6213563436653766955384053800</v>
      </c>
      <c r="G15" s="184"/>
      <c r="H15" s="189" t="s">
        <v>27</v>
      </c>
      <c r="I15" s="240">
        <v>132.65556770843409110100394622</v>
      </c>
      <c r="J15" s="81">
        <v>-6.2500040831946104845357685800</v>
      </c>
      <c r="K15" s="188"/>
      <c r="L15" s="189" t="s">
        <v>27</v>
      </c>
      <c r="M15" s="240">
        <v>124.16880117776845940582301926</v>
      </c>
      <c r="N15" s="81">
        <v>3.4859856121447216248534965900</v>
      </c>
      <c r="O15" s="188"/>
      <c r="P15" s="189" t="s">
        <v>27</v>
      </c>
      <c r="Q15" s="240">
        <v>133.91574382921947965310206804</v>
      </c>
      <c r="R15" s="81">
        <v>-3.4516522057961925224053282700</v>
      </c>
      <c r="S15" s="18"/>
      <c r="T15" s="1"/>
      <c r="U15" s="244"/>
      <c r="V15" s="244"/>
      <c r="W15" s="244"/>
      <c r="X15" s="244"/>
      <c r="Y15" s="244"/>
      <c r="Z15" s="244"/>
      <c r="AA15" s="244"/>
      <c r="AB15" s="244"/>
      <c r="AC15" s="244"/>
      <c r="AD15" s="244"/>
      <c r="AE15" s="244"/>
      <c r="AF15" s="244"/>
      <c r="AG15" s="244"/>
      <c r="AH15" s="244"/>
      <c r="AI15" s="244"/>
      <c r="AJ15" s="244"/>
      <c r="AK15" s="244"/>
      <c r="AL15" s="244"/>
      <c r="AM15" s="244"/>
      <c r="AN15" s="244"/>
      <c r="AO15" s="244"/>
      <c r="AP15" s="244"/>
      <c r="AQ15" s="244"/>
      <c r="AR15" s="244"/>
      <c r="AS15" s="244"/>
      <c r="AT15" s="244"/>
      <c r="AU15" s="244"/>
      <c r="AV15" s="244"/>
    </row>
    <row r="16" ht="15" customHeight="1">
      <c r="A16" s="1"/>
      <c r="B16" s="57"/>
      <c r="C16" s="58"/>
      <c r="D16" s="406" t="s">
        <v>92</v>
      </c>
      <c r="E16" s="74">
        <v>72.672668785017715307845257580</v>
      </c>
      <c r="F16" s="73">
        <v>-8.553102930416299515678292850</v>
      </c>
      <c r="G16" s="68"/>
      <c r="H16" s="406" t="s">
        <v>92</v>
      </c>
      <c r="I16" s="74">
        <v>101.13911461416253924717628974</v>
      </c>
      <c r="J16" s="73">
        <v>74.525752858895834871395075290</v>
      </c>
      <c r="K16" s="1"/>
      <c r="L16" s="406" t="s">
        <v>92</v>
      </c>
      <c r="M16" s="74">
        <v>79.61512225247884110433647771</v>
      </c>
      <c r="N16" s="73">
        <v>-11.956605985945137039453391910</v>
      </c>
      <c r="O16" s="1"/>
      <c r="P16" s="406" t="s">
        <v>92</v>
      </c>
      <c r="Q16" s="74">
        <v>73.833914868892754567988299170</v>
      </c>
      <c r="R16" s="73">
        <v>-7.959597130633010227595007180</v>
      </c>
      <c r="S16" s="74"/>
      <c r="T16" s="1"/>
      <c r="U16" s="244"/>
      <c r="V16" s="244"/>
      <c r="W16" s="244"/>
      <c r="X16" s="244"/>
      <c r="Y16" s="244"/>
      <c r="Z16" s="244"/>
      <c r="AA16" s="244"/>
      <c r="AB16" s="244"/>
      <c r="AC16" s="244"/>
      <c r="AD16" s="244"/>
      <c r="AE16" s="244"/>
      <c r="AF16" s="244"/>
      <c r="AG16" s="244"/>
      <c r="AH16" s="244"/>
      <c r="AI16" s="244"/>
      <c r="AJ16" s="244"/>
      <c r="AK16" s="244"/>
      <c r="AL16" s="244"/>
      <c r="AM16" s="244"/>
      <c r="AN16" s="244"/>
      <c r="AO16" s="244"/>
      <c r="AP16" s="244"/>
      <c r="AQ16" s="244"/>
      <c r="AR16" s="244"/>
      <c r="AS16" s="244"/>
      <c r="AT16" s="244"/>
      <c r="AU16" s="244"/>
      <c r="AV16" s="244"/>
    </row>
    <row r="17" ht="15" customHeight="1">
      <c r="A17" s="1"/>
      <c r="B17" s="16"/>
      <c r="C17" s="1"/>
      <c r="D17" s="1"/>
      <c r="E17" s="3"/>
      <c r="F17" s="68"/>
      <c r="G17" s="3"/>
      <c r="H17" s="1"/>
      <c r="I17" s="1"/>
      <c r="J17" s="68"/>
      <c r="K17" s="1"/>
      <c r="L17" s="1"/>
      <c r="M17" s="1"/>
      <c r="N17" s="68"/>
      <c r="O17" s="1"/>
      <c r="P17" s="1"/>
      <c r="Q17" s="18"/>
      <c r="R17" s="68"/>
      <c r="S17" s="18"/>
      <c r="T17" s="1"/>
      <c r="U17" s="244"/>
      <c r="V17" s="244"/>
      <c r="W17" s="244"/>
      <c r="X17" s="244"/>
      <c r="Y17" s="244"/>
      <c r="Z17" s="244"/>
      <c r="AA17" s="244"/>
      <c r="AB17" s="244"/>
      <c r="AC17" s="244"/>
      <c r="AD17" s="244"/>
      <c r="AE17" s="244"/>
      <c r="AF17" s="244"/>
      <c r="AG17" s="244"/>
      <c r="AH17" s="244"/>
      <c r="AI17" s="244"/>
      <c r="AJ17" s="244"/>
      <c r="AK17" s="244"/>
      <c r="AL17" s="244"/>
      <c r="AM17" s="244"/>
      <c r="AN17" s="244"/>
      <c r="AO17" s="244"/>
      <c r="AP17" s="244"/>
      <c r="AQ17" s="244"/>
      <c r="AR17" s="244"/>
      <c r="AS17" s="244"/>
      <c r="AT17" s="244"/>
      <c r="AU17" s="244"/>
      <c r="AV17" s="244"/>
    </row>
    <row r="18" ht="15" customHeight="1">
      <c r="A18" s="1"/>
      <c r="B18" s="57" t="s">
        <v>13</v>
      </c>
      <c r="C18" s="58"/>
      <c r="D18" s="17" t="s">
        <v>32</v>
      </c>
      <c r="E18" s="239">
        <v>37.960061443932411674347158218</v>
      </c>
      <c r="F18" s="73">
        <v>61.474124411963822447397506820</v>
      </c>
      <c r="G18" s="70"/>
      <c r="H18" s="76" t="s">
        <v>32</v>
      </c>
      <c r="I18" s="239">
        <v>0.6182795698924731182795698925</v>
      </c>
      <c r="J18" s="73">
        <v>227.23577229866151101601393868</v>
      </c>
      <c r="K18" s="77"/>
      <c r="L18" s="76" t="s">
        <v>32</v>
      </c>
      <c r="M18" s="239">
        <v>1.5944700460829493087557603687</v>
      </c>
      <c r="N18" s="73">
        <v>59.447004608294930875576036870</v>
      </c>
      <c r="O18" s="77"/>
      <c r="P18" s="76" t="s">
        <v>32</v>
      </c>
      <c r="Q18" s="239">
        <v>40.172811059907834101382488479</v>
      </c>
      <c r="R18" s="73">
        <v>62.660156735731333697874761110</v>
      </c>
      <c r="S18" s="18"/>
      <c r="T18" s="1"/>
      <c r="U18" s="244"/>
      <c r="V18" s="244"/>
      <c r="W18" s="244"/>
      <c r="X18" s="244"/>
      <c r="Y18" s="244"/>
      <c r="Z18" s="244"/>
      <c r="AA18" s="244"/>
      <c r="AB18" s="244"/>
      <c r="AC18" s="244"/>
      <c r="AD18" s="244"/>
      <c r="AE18" s="244"/>
      <c r="AF18" s="244"/>
      <c r="AG18" s="244"/>
      <c r="AH18" s="244"/>
      <c r="AI18" s="244"/>
      <c r="AJ18" s="244"/>
      <c r="AK18" s="244"/>
      <c r="AL18" s="244"/>
      <c r="AM18" s="244"/>
      <c r="AN18" s="244"/>
      <c r="AO18" s="244"/>
      <c r="AP18" s="244"/>
      <c r="AQ18" s="244"/>
      <c r="AR18" s="244"/>
      <c r="AS18" s="244"/>
      <c r="AT18" s="244"/>
      <c r="AU18" s="244"/>
      <c r="AV18" s="244"/>
    </row>
    <row r="19" ht="15" customHeight="1">
      <c r="A19" s="1"/>
      <c r="B19" s="57"/>
      <c r="C19" s="58"/>
      <c r="D19" s="187" t="s">
        <v>27</v>
      </c>
      <c r="E19" s="240">
        <v>57.061414035729891511815354274</v>
      </c>
      <c r="F19" s="81">
        <v>-2.3962622155508244653904653200</v>
      </c>
      <c r="G19" s="184"/>
      <c r="H19" s="189" t="s">
        <v>27</v>
      </c>
      <c r="I19" s="240">
        <v>15.68190440713331051408539664</v>
      </c>
      <c r="J19" s="81">
        <v>51.415404580917768524849599820</v>
      </c>
      <c r="K19" s="188"/>
      <c r="L19" s="189" t="s">
        <v>27</v>
      </c>
      <c r="M19" s="240">
        <v>6.4751898444296156536572601355</v>
      </c>
      <c r="N19" s="81">
        <v>3.1110056155503012640198481100</v>
      </c>
      <c r="O19" s="188"/>
      <c r="P19" s="189" t="s">
        <v>27</v>
      </c>
      <c r="Q19" s="240">
        <v>79.21850828729281767955801105</v>
      </c>
      <c r="R19" s="81">
        <v>5.485403311531345906772335400</v>
      </c>
      <c r="S19" s="18"/>
      <c r="T19" s="1"/>
      <c r="U19" s="244"/>
      <c r="V19" s="244"/>
      <c r="W19" s="244"/>
      <c r="X19" s="244"/>
      <c r="Y19" s="244"/>
      <c r="Z19" s="244"/>
      <c r="AA19" s="244"/>
      <c r="AB19" s="244"/>
      <c r="AC19" s="244"/>
      <c r="AD19" s="244"/>
      <c r="AE19" s="244"/>
      <c r="AF19" s="244"/>
      <c r="AG19" s="244"/>
      <c r="AH19" s="244"/>
      <c r="AI19" s="244"/>
      <c r="AJ19" s="244"/>
      <c r="AK19" s="244"/>
      <c r="AL19" s="244"/>
      <c r="AM19" s="244"/>
      <c r="AN19" s="244"/>
      <c r="AO19" s="244"/>
      <c r="AP19" s="244"/>
      <c r="AQ19" s="244"/>
      <c r="AR19" s="244"/>
      <c r="AS19" s="244"/>
      <c r="AT19" s="244"/>
      <c r="AU19" s="244"/>
      <c r="AV19" s="244"/>
    </row>
    <row r="20" ht="15" customHeight="1">
      <c r="A20" s="1"/>
      <c r="B20" s="57"/>
      <c r="C20" s="58"/>
      <c r="D20" s="406" t="s">
        <v>93</v>
      </c>
      <c r="E20" s="74">
        <v>66.524922463686256276108343070</v>
      </c>
      <c r="F20" s="73">
        <v>65.438463810268219009451870990</v>
      </c>
      <c r="G20" s="68"/>
      <c r="H20" s="406" t="s">
        <v>93</v>
      </c>
      <c r="I20" s="74">
        <v>3.9426306514950208599883022600</v>
      </c>
      <c r="J20" s="73">
        <v>116.11788659022546475173250306</v>
      </c>
      <c r="K20" s="1"/>
      <c r="L20" s="406" t="s">
        <v>93</v>
      </c>
      <c r="M20" s="74">
        <v>24.624298042194237735263278530</v>
      </c>
      <c r="N20" s="73">
        <v>54.636261820248091725957718790</v>
      </c>
      <c r="O20" s="1"/>
      <c r="P20" s="406" t="s">
        <v>93</v>
      </c>
      <c r="Q20" s="74">
        <v>50.711395516580537949852076170</v>
      </c>
      <c r="R20" s="73">
        <v>54.201578256035568532660717700</v>
      </c>
      <c r="S20" s="74"/>
      <c r="T20" s="1"/>
      <c r="U20" s="244"/>
      <c r="V20" s="244"/>
      <c r="W20" s="244"/>
      <c r="X20" s="244"/>
      <c r="Y20" s="244"/>
      <c r="Z20" s="244"/>
      <c r="AA20" s="244"/>
      <c r="AB20" s="244"/>
      <c r="AC20" s="244"/>
      <c r="AD20" s="244"/>
      <c r="AE20" s="244"/>
      <c r="AF20" s="244"/>
      <c r="AG20" s="244"/>
      <c r="AH20" s="244"/>
      <c r="AI20" s="244"/>
      <c r="AJ20" s="244"/>
      <c r="AK20" s="244"/>
      <c r="AL20" s="244"/>
      <c r="AM20" s="244"/>
      <c r="AN20" s="244"/>
      <c r="AO20" s="244"/>
      <c r="AP20" s="244"/>
      <c r="AQ20" s="244"/>
      <c r="AR20" s="244"/>
      <c r="AS20" s="244"/>
      <c r="AT20" s="244"/>
      <c r="AU20" s="244"/>
      <c r="AV20" s="244"/>
    </row>
    <row r="21" ht="15" customHeight="1">
      <c r="A21" s="1"/>
      <c r="B21" s="16"/>
      <c r="C21" s="1"/>
      <c r="D21" s="1"/>
      <c r="E21" s="1"/>
      <c r="F21" s="1"/>
      <c r="G21" s="1"/>
      <c r="H21" s="1"/>
      <c r="I21" s="1"/>
      <c r="J21" s="1"/>
      <c r="K21" s="1"/>
      <c r="L21" s="1"/>
      <c r="M21" s="1"/>
      <c r="N21" s="1"/>
      <c r="O21" s="1"/>
      <c r="P21" s="1"/>
      <c r="Q21" s="1"/>
      <c r="R21" s="1"/>
      <c r="S21" s="1"/>
      <c r="T21" s="1"/>
      <c r="U21" s="244"/>
      <c r="V21" s="244"/>
      <c r="W21" s="244"/>
      <c r="X21" s="244"/>
      <c r="Y21" s="244"/>
      <c r="Z21" s="244"/>
      <c r="AA21" s="244"/>
      <c r="AB21" s="244"/>
      <c r="AC21" s="244"/>
      <c r="AD21" s="244"/>
      <c r="AE21" s="244"/>
      <c r="AF21" s="244"/>
      <c r="AG21" s="244"/>
      <c r="AH21" s="244"/>
      <c r="AI21" s="244"/>
      <c r="AJ21" s="244"/>
      <c r="AK21" s="244"/>
      <c r="AL21" s="244"/>
      <c r="AM21" s="244"/>
      <c r="AN21" s="244"/>
      <c r="AO21" s="244"/>
      <c r="AP21" s="244"/>
      <c r="AQ21" s="244"/>
      <c r="AR21" s="244"/>
      <c r="AS21" s="244"/>
      <c r="AT21" s="244"/>
      <c r="AU21" s="244"/>
      <c r="AV21" s="244"/>
    </row>
    <row r="22" ht="15" customHeight="1">
      <c r="A22" s="1"/>
      <c r="T22" s="1"/>
      <c r="U22" s="244"/>
      <c r="V22" s="244"/>
      <c r="W22" s="244"/>
      <c r="X22" s="244"/>
      <c r="Y22" s="244"/>
      <c r="Z22" s="244"/>
      <c r="AA22" s="244"/>
      <c r="AB22" s="244"/>
      <c r="AC22" s="244"/>
      <c r="AD22" s="244"/>
      <c r="AE22" s="244"/>
      <c r="AF22" s="244"/>
      <c r="AG22" s="244"/>
      <c r="AH22" s="244"/>
      <c r="AI22" s="244"/>
      <c r="AJ22" s="244"/>
      <c r="AK22" s="244"/>
      <c r="AL22" s="244"/>
      <c r="AM22" s="244"/>
      <c r="AN22" s="244"/>
      <c r="AO22" s="244"/>
      <c r="AP22" s="244"/>
      <c r="AQ22" s="244"/>
      <c r="AR22" s="244"/>
      <c r="AS22" s="244"/>
      <c r="AT22" s="244"/>
      <c r="AU22" s="244"/>
      <c r="AV22" s="244"/>
    </row>
    <row r="23" ht="15" customHeight="1">
      <c r="A23" s="1"/>
      <c r="B23" s="612" t="s">
        <v>61</v>
      </c>
      <c r="C23" s="612"/>
      <c r="D23" s="612"/>
      <c r="E23" s="612"/>
      <c r="F23" s="612"/>
      <c r="G23" s="612"/>
      <c r="H23" s="612"/>
      <c r="I23" s="612"/>
      <c r="J23" s="612"/>
      <c r="K23" s="612"/>
      <c r="L23" s="612"/>
      <c r="M23" s="612"/>
      <c r="N23" s="612"/>
      <c r="O23" s="612"/>
      <c r="P23" s="612"/>
      <c r="Q23" s="612"/>
      <c r="R23" s="612"/>
      <c r="S23" s="612"/>
      <c r="T23" s="1"/>
      <c r="U23" s="244"/>
      <c r="V23" s="244"/>
      <c r="W23" s="244"/>
      <c r="X23" s="244"/>
      <c r="Y23" s="244"/>
      <c r="Z23" s="244"/>
      <c r="AA23" s="244"/>
      <c r="AB23" s="244"/>
      <c r="AC23" s="244"/>
      <c r="AD23" s="244"/>
      <c r="AE23" s="244"/>
      <c r="AF23" s="244"/>
      <c r="AG23" s="244"/>
      <c r="AH23" s="244"/>
      <c r="AI23" s="244"/>
      <c r="AJ23" s="244"/>
      <c r="AK23" s="244"/>
      <c r="AL23" s="244"/>
      <c r="AM23" s="244"/>
      <c r="AN23" s="244"/>
      <c r="AO23" s="244"/>
      <c r="AP23" s="244"/>
      <c r="AQ23" s="244"/>
      <c r="AR23" s="244"/>
      <c r="AS23" s="244"/>
      <c r="AT23" s="244"/>
      <c r="AU23" s="244"/>
      <c r="AV23" s="244"/>
    </row>
    <row r="24" ht="15" customHeight="1">
      <c r="A24" s="1"/>
      <c r="B24" s="16"/>
      <c r="C24" s="1"/>
      <c r="D24" s="1"/>
      <c r="E24" s="1"/>
      <c r="F24" s="1"/>
      <c r="G24" s="1"/>
      <c r="H24" s="1"/>
      <c r="I24" s="1"/>
      <c r="J24" s="1"/>
      <c r="K24" s="1"/>
      <c r="L24" s="1"/>
      <c r="M24" s="1"/>
      <c r="N24" s="1"/>
      <c r="O24" s="1"/>
      <c r="P24" s="1"/>
      <c r="Q24" s="1"/>
      <c r="R24" s="1"/>
      <c r="S24" s="1"/>
      <c r="T24" s="1"/>
      <c r="U24" s="244"/>
      <c r="V24" s="244"/>
      <c r="W24" s="244"/>
      <c r="X24" s="244"/>
      <c r="Y24" s="244"/>
      <c r="Z24" s="244"/>
      <c r="AA24" s="244"/>
      <c r="AB24" s="244"/>
      <c r="AC24" s="244"/>
      <c r="AD24" s="244"/>
      <c r="AE24" s="244"/>
      <c r="AF24" s="244"/>
      <c r="AG24" s="244"/>
      <c r="AH24" s="244"/>
      <c r="AI24" s="244"/>
      <c r="AJ24" s="244"/>
      <c r="AK24" s="244"/>
      <c r="AL24" s="244"/>
      <c r="AM24" s="244"/>
      <c r="AN24" s="244"/>
      <c r="AO24" s="244"/>
      <c r="AP24" s="244"/>
      <c r="AQ24" s="244"/>
      <c r="AR24" s="244"/>
      <c r="AS24" s="244"/>
      <c r="AT24" s="244"/>
      <c r="AU24" s="244"/>
      <c r="AV24" s="244"/>
    </row>
    <row r="25" ht="15" customHeight="1">
      <c r="A25" s="1"/>
      <c r="B25" s="1"/>
      <c r="C25" s="14"/>
      <c r="D25" s="648" t="s">
        <v>21</v>
      </c>
      <c r="E25" s="648"/>
      <c r="F25" s="648"/>
      <c r="G25" s="1"/>
      <c r="H25" s="648" t="s">
        <v>24</v>
      </c>
      <c r="I25" s="648"/>
      <c r="J25" s="648"/>
      <c r="K25" s="1"/>
      <c r="L25" s="648" t="s">
        <v>25</v>
      </c>
      <c r="M25" s="648"/>
      <c r="N25" s="648"/>
      <c r="O25" s="1"/>
      <c r="P25" s="648" t="s">
        <v>23</v>
      </c>
      <c r="Q25" s="648"/>
      <c r="R25" s="648"/>
      <c r="S25" s="2"/>
      <c r="T25" s="1"/>
      <c r="U25" s="244"/>
      <c r="V25" s="244"/>
      <c r="W25" s="244"/>
      <c r="X25" s="244"/>
      <c r="Y25" s="244"/>
      <c r="Z25" s="244"/>
      <c r="AA25" s="244"/>
      <c r="AB25" s="244"/>
      <c r="AC25" s="244"/>
      <c r="AD25" s="244"/>
      <c r="AE25" s="244"/>
      <c r="AF25" s="244"/>
      <c r="AG25" s="244"/>
      <c r="AH25" s="244"/>
      <c r="AI25" s="244"/>
      <c r="AJ25" s="244"/>
      <c r="AK25" s="244"/>
      <c r="AL25" s="244"/>
      <c r="AM25" s="244"/>
      <c r="AN25" s="244"/>
      <c r="AO25" s="244"/>
      <c r="AP25" s="244"/>
      <c r="AQ25" s="244"/>
      <c r="AR25" s="244"/>
      <c r="AS25" s="244"/>
      <c r="AT25" s="244"/>
      <c r="AU25" s="244"/>
      <c r="AV25" s="244"/>
    </row>
    <row r="26" ht="15" customHeight="1">
      <c r="A26" s="1"/>
      <c r="B26" s="16"/>
      <c r="C26" s="1"/>
      <c r="D26" s="1"/>
      <c r="E26" s="1"/>
      <c r="F26" s="66" t="s">
        <v>57</v>
      </c>
      <c r="G26" s="1"/>
      <c r="H26" s="1"/>
      <c r="I26" s="1"/>
      <c r="J26" s="66" t="s">
        <v>57</v>
      </c>
      <c r="K26" s="1"/>
      <c r="L26" s="1"/>
      <c r="M26" s="1"/>
      <c r="N26" s="66" t="s">
        <v>57</v>
      </c>
      <c r="O26" s="1"/>
      <c r="P26" s="1"/>
      <c r="Q26" s="1"/>
      <c r="R26" s="66" t="s">
        <v>57</v>
      </c>
      <c r="S26" s="1"/>
      <c r="T26" s="1"/>
      <c r="U26" s="244"/>
      <c r="V26" s="244"/>
      <c r="W26" s="244"/>
      <c r="X26" s="244"/>
      <c r="Y26" s="244"/>
      <c r="Z26" s="244"/>
      <c r="AA26" s="244"/>
      <c r="AB26" s="244"/>
      <c r="AC26" s="244"/>
      <c r="AD26" s="244"/>
      <c r="AE26" s="244"/>
      <c r="AF26" s="244"/>
      <c r="AG26" s="244"/>
      <c r="AH26" s="244"/>
      <c r="AI26" s="244"/>
      <c r="AJ26" s="244"/>
      <c r="AK26" s="244"/>
      <c r="AL26" s="244"/>
      <c r="AM26" s="244"/>
      <c r="AN26" s="244"/>
      <c r="AO26" s="244"/>
      <c r="AP26" s="244"/>
      <c r="AQ26" s="244"/>
      <c r="AR26" s="244"/>
      <c r="AS26" s="244"/>
      <c r="AT26" s="244"/>
      <c r="AU26" s="244"/>
      <c r="AV26" s="244"/>
    </row>
    <row r="27" ht="15" customHeight="1">
      <c r="A27" s="1"/>
      <c r="B27" s="57" t="s">
        <v>28</v>
      </c>
      <c r="C27" s="58"/>
      <c r="D27" s="17" t="s">
        <v>32</v>
      </c>
      <c r="E27" s="19">
        <v>0.364247311827956989247311828</v>
      </c>
      <c r="F27" s="73">
        <v>35.113960114070976696617813240</v>
      </c>
      <c r="G27" s="1"/>
      <c r="H27" s="17" t="s">
        <v>32</v>
      </c>
      <c r="I27" s="19">
        <v>0.0245775729646697388632872504</v>
      </c>
      <c r="J27" s="73">
        <v>39.130434785415500945236208460</v>
      </c>
      <c r="K27" s="1"/>
      <c r="L27" s="17" t="s">
        <v>32</v>
      </c>
      <c r="M27" s="19">
        <v>0.0122887864823348694316436252</v>
      </c>
      <c r="N27" s="73">
        <v>-8.571428571062857142855679940</v>
      </c>
      <c r="O27" s="1"/>
      <c r="P27" s="17" t="s">
        <v>32</v>
      </c>
      <c r="Q27" s="19">
        <v>0.4011136712749615975422427035</v>
      </c>
      <c r="R27" s="73">
        <v>33.397190293578465769244143890</v>
      </c>
      <c r="S27" s="19"/>
      <c r="T27" s="1"/>
      <c r="U27" s="244"/>
      <c r="V27" s="244"/>
      <c r="W27" s="244"/>
      <c r="X27" s="244"/>
      <c r="Y27" s="244"/>
      <c r="Z27" s="244"/>
      <c r="AA27" s="244"/>
      <c r="AB27" s="244"/>
      <c r="AC27" s="244"/>
      <c r="AD27" s="244"/>
      <c r="AE27" s="244"/>
      <c r="AF27" s="244"/>
      <c r="AG27" s="244"/>
      <c r="AH27" s="244"/>
      <c r="AI27" s="244"/>
      <c r="AJ27" s="244"/>
      <c r="AK27" s="244"/>
      <c r="AL27" s="244"/>
      <c r="AM27" s="244"/>
      <c r="AN27" s="244"/>
      <c r="AO27" s="244"/>
      <c r="AP27" s="244"/>
      <c r="AQ27" s="244"/>
      <c r="AR27" s="244"/>
      <c r="AS27" s="244"/>
      <c r="AT27" s="244"/>
      <c r="AU27" s="244"/>
      <c r="AV27" s="244"/>
    </row>
    <row r="28" ht="15" customHeight="1">
      <c r="A28" s="1"/>
      <c r="B28" s="57"/>
      <c r="C28" s="58"/>
      <c r="D28" s="187" t="s">
        <v>27</v>
      </c>
      <c r="E28" s="190">
        <v>0.4263597998557019226767818083</v>
      </c>
      <c r="F28" s="81">
        <v>8.684090148802420276043314400</v>
      </c>
      <c r="G28" s="191"/>
      <c r="H28" s="187" t="s">
        <v>27</v>
      </c>
      <c r="I28" s="190">
        <v>0.0970350006932697803049141382</v>
      </c>
      <c r="J28" s="81">
        <v>-3.0647390124163138734699239900</v>
      </c>
      <c r="K28" s="191"/>
      <c r="L28" s="187" t="s">
        <v>27</v>
      </c>
      <c r="M28" s="190">
        <v>0.0504389347479967499999619681</v>
      </c>
      <c r="N28" s="81">
        <v>7.2375366043252343996701558900</v>
      </c>
      <c r="O28" s="191"/>
      <c r="P28" s="187" t="s">
        <v>27</v>
      </c>
      <c r="Q28" s="190">
        <v>0.5738337352969684529816579147</v>
      </c>
      <c r="R28" s="81">
        <v>6.3777127532561597954549137400</v>
      </c>
      <c r="S28" s="19"/>
      <c r="T28" s="1"/>
      <c r="U28" s="244"/>
      <c r="V28" s="244"/>
      <c r="W28" s="244"/>
      <c r="X28" s="244"/>
      <c r="Y28" s="244"/>
      <c r="Z28" s="244"/>
      <c r="AA28" s="244"/>
      <c r="AB28" s="244"/>
      <c r="AC28" s="244"/>
      <c r="AD28" s="244"/>
      <c r="AE28" s="244"/>
      <c r="AF28" s="244"/>
      <c r="AG28" s="244"/>
      <c r="AH28" s="244"/>
      <c r="AI28" s="244"/>
      <c r="AJ28" s="244"/>
      <c r="AK28" s="244"/>
      <c r="AL28" s="244"/>
      <c r="AM28" s="244"/>
      <c r="AN28" s="244"/>
      <c r="AO28" s="244"/>
      <c r="AP28" s="244"/>
      <c r="AQ28" s="244"/>
      <c r="AR28" s="244"/>
      <c r="AS28" s="244"/>
      <c r="AT28" s="244"/>
      <c r="AU28" s="244"/>
      <c r="AV28" s="244"/>
    </row>
    <row r="29" ht="15" customHeight="1">
      <c r="A29" s="1"/>
      <c r="B29" s="57"/>
      <c r="C29" s="58"/>
      <c r="D29" s="406" t="s">
        <v>91</v>
      </c>
      <c r="E29" s="74">
        <v>85.43190796856995821886879763</v>
      </c>
      <c r="F29" s="73">
        <v>24.318067095967824396802502920</v>
      </c>
      <c r="G29" s="75"/>
      <c r="H29" s="406" t="s">
        <v>91</v>
      </c>
      <c r="I29" s="74">
        <v>25.328564733490787097641156090</v>
      </c>
      <c r="J29" s="73">
        <v>43.529231123368989737996930680</v>
      </c>
      <c r="K29" s="75"/>
      <c r="L29" s="406" t="s">
        <v>91</v>
      </c>
      <c r="M29" s="74">
        <v>24.363691548466223828434341940</v>
      </c>
      <c r="N29" s="73">
        <v>-14.742007021426122472428020990</v>
      </c>
      <c r="O29" s="75"/>
      <c r="P29" s="406" t="s">
        <v>91</v>
      </c>
      <c r="Q29" s="74">
        <v>69.900677949398806961484801310</v>
      </c>
      <c r="R29" s="73">
        <v>25.399566169607766510223012140</v>
      </c>
      <c r="S29" s="74"/>
      <c r="T29" s="1"/>
      <c r="U29" s="244"/>
      <c r="V29" s="244"/>
      <c r="W29" s="244"/>
      <c r="X29" s="244"/>
      <c r="Y29" s="244"/>
      <c r="Z29" s="244"/>
      <c r="AA29" s="244"/>
      <c r="AB29" s="244"/>
      <c r="AC29" s="244"/>
      <c r="AD29" s="244"/>
      <c r="AE29" s="244"/>
      <c r="AF29" s="244"/>
      <c r="AG29" s="244"/>
      <c r="AH29" s="244"/>
      <c r="AI29" s="244"/>
      <c r="AJ29" s="244"/>
      <c r="AK29" s="244"/>
      <c r="AL29" s="244"/>
      <c r="AM29" s="244"/>
      <c r="AN29" s="244"/>
      <c r="AO29" s="244"/>
      <c r="AP29" s="244"/>
      <c r="AQ29" s="244"/>
      <c r="AR29" s="244"/>
      <c r="AS29" s="244"/>
      <c r="AT29" s="244"/>
      <c r="AU29" s="244"/>
      <c r="AV29" s="244"/>
    </row>
    <row r="30" ht="15" customHeight="1">
      <c r="A30" s="1"/>
      <c r="B30" s="16"/>
      <c r="C30" s="1"/>
      <c r="D30" s="1"/>
      <c r="E30" s="1"/>
      <c r="F30" s="66"/>
      <c r="G30" s="1"/>
      <c r="H30" s="1"/>
      <c r="I30" s="1"/>
      <c r="J30" s="66"/>
      <c r="K30" s="1"/>
      <c r="L30" s="1"/>
      <c r="M30" s="1"/>
      <c r="N30" s="66"/>
      <c r="O30" s="1"/>
      <c r="P30" s="1"/>
      <c r="Q30" s="19"/>
      <c r="R30" s="66"/>
      <c r="S30" s="19"/>
      <c r="T30" s="1"/>
      <c r="U30" s="244"/>
      <c r="V30" s="244"/>
      <c r="W30" s="244"/>
      <c r="X30" s="244"/>
      <c r="Y30" s="244"/>
      <c r="Z30" s="244"/>
      <c r="AA30" s="244"/>
      <c r="AB30" s="244"/>
      <c r="AC30" s="244"/>
      <c r="AD30" s="244"/>
      <c r="AE30" s="244"/>
      <c r="AF30" s="244"/>
      <c r="AG30" s="244"/>
      <c r="AH30" s="244"/>
      <c r="AI30" s="244"/>
      <c r="AJ30" s="244"/>
      <c r="AK30" s="244"/>
      <c r="AL30" s="244"/>
      <c r="AM30" s="244"/>
      <c r="AN30" s="244"/>
      <c r="AO30" s="244"/>
      <c r="AP30" s="244"/>
      <c r="AQ30" s="244"/>
      <c r="AR30" s="244"/>
      <c r="AS30" s="244"/>
      <c r="AT30" s="244"/>
      <c r="AU30" s="244"/>
      <c r="AV30" s="244"/>
    </row>
    <row r="31" ht="15" customHeight="1">
      <c r="A31" s="1"/>
      <c r="B31" s="57" t="s">
        <v>12</v>
      </c>
      <c r="C31" s="58"/>
      <c r="D31" s="17" t="s">
        <v>32</v>
      </c>
      <c r="E31" s="239">
        <v>97.96626251976805482340537691</v>
      </c>
      <c r="F31" s="73">
        <v>-8.903599903457340159962753670</v>
      </c>
      <c r="G31" s="77"/>
      <c r="H31" s="76" t="s">
        <v>32</v>
      </c>
      <c r="I31" s="239">
        <v>108.578125</v>
      </c>
      <c r="J31" s="73">
        <v>-0.9009176587262262268912192900</v>
      </c>
      <c r="K31" s="77"/>
      <c r="L31" s="76" t="s">
        <v>32</v>
      </c>
      <c r="M31" s="239">
        <v>98.734375</v>
      </c>
      <c r="N31" s="73">
        <v>5.0525345797393300706155554500</v>
      </c>
      <c r="O31" s="77"/>
      <c r="P31" s="76" t="s">
        <v>32</v>
      </c>
      <c r="Q31" s="239">
        <v>98.64001914791766395404499761</v>
      </c>
      <c r="R31" s="73">
        <v>-7.8592570143626849577211932500</v>
      </c>
      <c r="S31" s="18"/>
      <c r="T31" s="1"/>
      <c r="U31" s="244"/>
      <c r="V31" s="244"/>
      <c r="W31" s="244"/>
      <c r="X31" s="244"/>
      <c r="Y31" s="244"/>
      <c r="Z31" s="244"/>
      <c r="AA31" s="244"/>
      <c r="AB31" s="244"/>
      <c r="AC31" s="244"/>
      <c r="AD31" s="244"/>
      <c r="AE31" s="244"/>
      <c r="AF31" s="244"/>
      <c r="AG31" s="244"/>
      <c r="AH31" s="244"/>
      <c r="AI31" s="244"/>
      <c r="AJ31" s="244"/>
      <c r="AK31" s="244"/>
      <c r="AL31" s="244"/>
      <c r="AM31" s="244"/>
      <c r="AN31" s="244"/>
      <c r="AO31" s="244"/>
      <c r="AP31" s="244"/>
      <c r="AQ31" s="244"/>
      <c r="AR31" s="244"/>
      <c r="AS31" s="244"/>
      <c r="AT31" s="244"/>
      <c r="AU31" s="244"/>
      <c r="AV31" s="244"/>
    </row>
    <row r="32" ht="15" customHeight="1">
      <c r="A32" s="1"/>
      <c r="B32" s="57"/>
      <c r="C32" s="58"/>
      <c r="D32" s="187" t="s">
        <v>27</v>
      </c>
      <c r="E32" s="240">
        <v>135.52355057531770115204406504</v>
      </c>
      <c r="F32" s="81">
        <v>-2.4276005349279078772798360600</v>
      </c>
      <c r="G32" s="188"/>
      <c r="H32" s="189" t="s">
        <v>27</v>
      </c>
      <c r="I32" s="240">
        <v>144.29613814243417945269538073</v>
      </c>
      <c r="J32" s="81">
        <v>8.331194794160721583814768560</v>
      </c>
      <c r="K32" s="188"/>
      <c r="L32" s="189" t="s">
        <v>27</v>
      </c>
      <c r="M32" s="240">
        <v>122.16442212378107022796292405</v>
      </c>
      <c r="N32" s="81">
        <v>1.8354476468227828216569574500</v>
      </c>
      <c r="O32" s="188"/>
      <c r="P32" s="189" t="s">
        <v>27</v>
      </c>
      <c r="Q32" s="240">
        <v>135.83274785927998423014898145</v>
      </c>
      <c r="R32" s="81">
        <v>-0.2604785458024788618752474500</v>
      </c>
      <c r="S32" s="18"/>
      <c r="T32" s="1"/>
      <c r="U32" s="244"/>
      <c r="V32" s="244"/>
      <c r="W32" s="244"/>
      <c r="X32" s="244"/>
      <c r="Y32" s="244"/>
      <c r="Z32" s="244"/>
      <c r="AA32" s="244"/>
      <c r="AB32" s="244"/>
      <c r="AC32" s="244"/>
      <c r="AD32" s="244"/>
      <c r="AE32" s="244"/>
      <c r="AF32" s="244"/>
      <c r="AG32" s="244"/>
      <c r="AH32" s="244"/>
      <c r="AI32" s="244"/>
      <c r="AJ32" s="244"/>
      <c r="AK32" s="244"/>
      <c r="AL32" s="244"/>
      <c r="AM32" s="244"/>
      <c r="AN32" s="244"/>
      <c r="AO32" s="244"/>
      <c r="AP32" s="244"/>
      <c r="AQ32" s="244"/>
      <c r="AR32" s="244"/>
      <c r="AS32" s="244"/>
      <c r="AT32" s="244"/>
      <c r="AU32" s="244"/>
      <c r="AV32" s="244"/>
    </row>
    <row r="33" ht="15" customHeight="1">
      <c r="A33" s="1"/>
      <c r="B33" s="57"/>
      <c r="C33" s="58"/>
      <c r="D33" s="406" t="s">
        <v>92</v>
      </c>
      <c r="E33" s="74">
        <v>72.287260851637551660899188520</v>
      </c>
      <c r="F33" s="73">
        <v>-6.6371221821644623610235853300</v>
      </c>
      <c r="G33" s="75"/>
      <c r="H33" s="406" t="s">
        <v>92</v>
      </c>
      <c r="I33" s="74">
        <v>75.246729675362937947988030260</v>
      </c>
      <c r="J33" s="73">
        <v>-8.522118186208230348494076710</v>
      </c>
      <c r="K33" s="75"/>
      <c r="L33" s="406" t="s">
        <v>92</v>
      </c>
      <c r="M33" s="74">
        <v>80.82089145393225564479965166</v>
      </c>
      <c r="N33" s="73">
        <v>3.159103246679059361065624300</v>
      </c>
      <c r="O33" s="75"/>
      <c r="P33" s="406" t="s">
        <v>92</v>
      </c>
      <c r="Q33" s="74">
        <v>72.618732008640670282399367120</v>
      </c>
      <c r="R33" s="73">
        <v>-7.6186233478893520990171827800</v>
      </c>
      <c r="S33" s="74"/>
      <c r="T33" s="1"/>
      <c r="U33" s="244"/>
      <c r="V33" s="244"/>
      <c r="W33" s="244"/>
      <c r="X33" s="244"/>
      <c r="Y33" s="244"/>
      <c r="Z33" s="244"/>
      <c r="AA33" s="244"/>
      <c r="AB33" s="244"/>
      <c r="AC33" s="244"/>
      <c r="AD33" s="244"/>
      <c r="AE33" s="244"/>
      <c r="AF33" s="244"/>
      <c r="AG33" s="244"/>
      <c r="AH33" s="244"/>
      <c r="AI33" s="244"/>
      <c r="AJ33" s="244"/>
      <c r="AK33" s="244"/>
      <c r="AL33" s="244"/>
      <c r="AM33" s="244"/>
      <c r="AN33" s="244"/>
      <c r="AO33" s="244"/>
      <c r="AP33" s="244"/>
      <c r="AQ33" s="244"/>
      <c r="AR33" s="244"/>
      <c r="AS33" s="244"/>
      <c r="AT33" s="244"/>
      <c r="AU33" s="244"/>
      <c r="AV33" s="244"/>
    </row>
    <row r="34" ht="15" customHeight="1">
      <c r="A34" s="1"/>
      <c r="B34" s="16"/>
      <c r="C34" s="1"/>
      <c r="D34" s="1"/>
      <c r="E34" s="1"/>
      <c r="F34" s="68"/>
      <c r="G34" s="1"/>
      <c r="H34" s="1"/>
      <c r="I34" s="1"/>
      <c r="J34" s="68"/>
      <c r="K34" s="1"/>
      <c r="L34" s="1"/>
      <c r="M34" s="1"/>
      <c r="N34" s="68"/>
      <c r="O34" s="1"/>
      <c r="P34" s="1"/>
      <c r="Q34" s="18"/>
      <c r="R34" s="68"/>
      <c r="S34" s="18"/>
      <c r="T34" s="1"/>
      <c r="U34" s="244"/>
      <c r="V34" s="244"/>
      <c r="W34" s="244"/>
      <c r="X34" s="244"/>
      <c r="Y34" s="244"/>
      <c r="Z34" s="244"/>
      <c r="AA34" s="244"/>
      <c r="AB34" s="244"/>
      <c r="AC34" s="244"/>
      <c r="AD34" s="244"/>
      <c r="AE34" s="244"/>
      <c r="AF34" s="244"/>
      <c r="AG34" s="244"/>
      <c r="AH34" s="244"/>
      <c r="AI34" s="244"/>
      <c r="AJ34" s="244"/>
      <c r="AK34" s="244"/>
      <c r="AL34" s="244"/>
      <c r="AM34" s="244"/>
      <c r="AN34" s="244"/>
      <c r="AO34" s="244"/>
      <c r="AP34" s="244"/>
      <c r="AQ34" s="244"/>
      <c r="AR34" s="244"/>
      <c r="AS34" s="244"/>
      <c r="AT34" s="244"/>
      <c r="AU34" s="244"/>
      <c r="AV34" s="244"/>
    </row>
    <row r="35" ht="15" customHeight="1">
      <c r="A35" s="1"/>
      <c r="B35" s="57" t="s">
        <v>13</v>
      </c>
      <c r="C35" s="58"/>
      <c r="D35" s="17" t="s">
        <v>32</v>
      </c>
      <c r="E35" s="239">
        <v>35.683947772657450076804915515</v>
      </c>
      <c r="F35" s="73">
        <v>23.083953691656064799805329110</v>
      </c>
      <c r="G35" s="77"/>
      <c r="H35" s="76" t="s">
        <v>32</v>
      </c>
      <c r="I35" s="239">
        <v>2.6685867895545314900153609831</v>
      </c>
      <c r="J35" s="73">
        <v>37.876984124686177248715547840</v>
      </c>
      <c r="K35" s="77"/>
      <c r="L35" s="76" t="s">
        <v>32</v>
      </c>
      <c r="M35" s="239">
        <v>1.2133256528417818740399385561</v>
      </c>
      <c r="N35" s="73">
        <v>-3.9519683822557576036924437800</v>
      </c>
      <c r="O35" s="77"/>
      <c r="P35" s="76" t="s">
        <v>32</v>
      </c>
      <c r="Q35" s="239">
        <v>39.565860215053763440860215054</v>
      </c>
      <c r="R35" s="73">
        <v>22.913162258563371778818094940</v>
      </c>
      <c r="S35" s="18"/>
      <c r="T35" s="1"/>
      <c r="U35" s="244"/>
      <c r="V35" s="244"/>
      <c r="W35" s="244"/>
      <c r="X35" s="244"/>
      <c r="Y35" s="244"/>
      <c r="Z35" s="244"/>
      <c r="AA35" s="244"/>
      <c r="AB35" s="244"/>
      <c r="AC35" s="244"/>
      <c r="AD35" s="244"/>
      <c r="AE35" s="244"/>
      <c r="AF35" s="244"/>
      <c r="AG35" s="244"/>
      <c r="AH35" s="244"/>
      <c r="AI35" s="244"/>
      <c r="AJ35" s="244"/>
      <c r="AK35" s="244"/>
      <c r="AL35" s="244"/>
      <c r="AM35" s="244"/>
      <c r="AN35" s="244"/>
      <c r="AO35" s="244"/>
      <c r="AP35" s="244"/>
      <c r="AQ35" s="244"/>
      <c r="AR35" s="244"/>
      <c r="AS35" s="244"/>
      <c r="AT35" s="244"/>
      <c r="AU35" s="244"/>
      <c r="AV35" s="244"/>
    </row>
    <row r="36" ht="15" customHeight="1">
      <c r="A36" s="1"/>
      <c r="B36" s="57"/>
      <c r="C36" s="58"/>
      <c r="D36" s="187" t="s">
        <v>27</v>
      </c>
      <c r="E36" s="240">
        <v>57.781793899026552219611012276</v>
      </c>
      <c r="F36" s="81">
        <v>6.0456745950160411939877341800</v>
      </c>
      <c r="G36" s="188"/>
      <c r="H36" s="189" t="s">
        <v>27</v>
      </c>
      <c r="I36" s="240">
        <v>14.001775864687252592045181136</v>
      </c>
      <c r="J36" s="81">
        <v>5.0111264042905247922835527900</v>
      </c>
      <c r="K36" s="188"/>
      <c r="L36" s="189" t="s">
        <v>27</v>
      </c>
      <c r="M36" s="240">
        <v>6.1618433160281239458892789769</v>
      </c>
      <c r="N36" s="81">
        <v>9.205825445534800067435531730</v>
      </c>
      <c r="O36" s="188"/>
      <c r="P36" s="189" t="s">
        <v>27</v>
      </c>
      <c r="Q36" s="240">
        <v>77.945413079741928757545472392</v>
      </c>
      <c r="R36" s="81">
        <v>6.1006216340815523681369980900</v>
      </c>
      <c r="S36" s="18"/>
      <c r="T36" s="1"/>
      <c r="U36" s="244"/>
      <c r="V36" s="244"/>
      <c r="W36" s="244"/>
      <c r="X36" s="244"/>
      <c r="Y36" s="244"/>
      <c r="Z36" s="244"/>
      <c r="AA36" s="244"/>
      <c r="AB36" s="244"/>
      <c r="AC36" s="244"/>
      <c r="AD36" s="244"/>
      <c r="AE36" s="244"/>
      <c r="AF36" s="244"/>
      <c r="AG36" s="244"/>
      <c r="AH36" s="244"/>
      <c r="AI36" s="244"/>
      <c r="AJ36" s="244"/>
      <c r="AK36" s="244"/>
      <c r="AL36" s="244"/>
      <c r="AM36" s="244"/>
      <c r="AN36" s="244"/>
      <c r="AO36" s="244"/>
      <c r="AP36" s="244"/>
      <c r="AQ36" s="244"/>
      <c r="AR36" s="244"/>
      <c r="AS36" s="244"/>
      <c r="AT36" s="244"/>
      <c r="AU36" s="244"/>
      <c r="AV36" s="244"/>
    </row>
    <row r="37" ht="15" customHeight="1">
      <c r="A37" s="1"/>
      <c r="B37" s="57"/>
      <c r="C37" s="58"/>
      <c r="D37" s="406" t="s">
        <v>93</v>
      </c>
      <c r="E37" s="74">
        <v>61.756386163834581014009087950</v>
      </c>
      <c r="F37" s="73">
        <v>16.066925088435428176492526060</v>
      </c>
      <c r="G37" s="75"/>
      <c r="H37" s="406" t="s">
        <v>93</v>
      </c>
      <c r="I37" s="74">
        <v>19.058916635584269438111833330</v>
      </c>
      <c r="J37" s="73">
        <v>31.297500415596688403965031710</v>
      </c>
      <c r="K37" s="75"/>
      <c r="L37" s="406" t="s">
        <v>93</v>
      </c>
      <c r="M37" s="74">
        <v>19.690952700650947127068080680</v>
      </c>
      <c r="N37" s="73">
        <v>-12.048618996147695781340212900</v>
      </c>
      <c r="O37" s="75"/>
      <c r="P37" s="406" t="s">
        <v>93</v>
      </c>
      <c r="Q37" s="74">
        <v>50.760985992334478495828401980</v>
      </c>
      <c r="R37" s="73">
        <v>15.845845543138325760138481550</v>
      </c>
      <c r="S37" s="74"/>
      <c r="T37" s="1"/>
      <c r="U37" s="244"/>
      <c r="V37" s="244"/>
      <c r="W37" s="244"/>
      <c r="X37" s="244"/>
      <c r="Y37" s="244"/>
      <c r="Z37" s="244"/>
      <c r="AA37" s="244"/>
      <c r="AB37" s="244"/>
      <c r="AC37" s="244"/>
      <c r="AD37" s="244"/>
      <c r="AE37" s="244"/>
      <c r="AF37" s="244"/>
      <c r="AG37" s="244"/>
      <c r="AH37" s="244"/>
      <c r="AI37" s="244"/>
      <c r="AJ37" s="244"/>
      <c r="AK37" s="244"/>
      <c r="AL37" s="244"/>
      <c r="AM37" s="244"/>
      <c r="AN37" s="244"/>
      <c r="AO37" s="244"/>
      <c r="AP37" s="244"/>
      <c r="AQ37" s="244"/>
      <c r="AR37" s="244"/>
      <c r="AS37" s="244"/>
      <c r="AT37" s="244"/>
      <c r="AU37" s="244"/>
      <c r="AV37" s="244"/>
    </row>
    <row r="38" ht="18" customHeight="1">
      <c r="A38" s="1"/>
      <c r="B38" s="1"/>
      <c r="C38" s="1"/>
      <c r="D38" s="1"/>
      <c r="E38" s="1"/>
      <c r="F38" s="1"/>
      <c r="G38" s="1"/>
      <c r="H38" s="1"/>
      <c r="I38" s="1"/>
      <c r="J38" s="1"/>
      <c r="K38" s="1"/>
      <c r="L38" s="1"/>
      <c r="M38" s="1"/>
      <c r="N38" s="1"/>
      <c r="O38" s="1"/>
      <c r="P38" s="1"/>
      <c r="Q38" s="1"/>
      <c r="R38" s="1"/>
      <c r="S38" s="1"/>
      <c r="T38" s="1"/>
      <c r="U38" s="244"/>
      <c r="V38" s="244"/>
      <c r="W38" s="244"/>
      <c r="X38" s="244"/>
      <c r="Y38" s="244"/>
      <c r="Z38" s="244"/>
      <c r="AA38" s="244"/>
      <c r="AB38" s="244"/>
      <c r="AC38" s="244"/>
      <c r="AD38" s="244"/>
      <c r="AE38" s="244"/>
      <c r="AF38" s="244"/>
      <c r="AG38" s="244"/>
      <c r="AH38" s="244"/>
      <c r="AI38" s="244"/>
      <c r="AJ38" s="244"/>
      <c r="AK38" s="244"/>
      <c r="AL38" s="244"/>
      <c r="AM38" s="244"/>
      <c r="AN38" s="244"/>
      <c r="AO38" s="244"/>
      <c r="AP38" s="244"/>
      <c r="AQ38" s="244"/>
      <c r="AR38" s="244"/>
      <c r="AS38" s="244"/>
      <c r="AT38" s="244"/>
      <c r="AU38" s="244"/>
      <c r="AV38" s="244"/>
    </row>
    <row r="39" ht="9" customHeight="1">
      <c r="A39" s="1"/>
      <c r="B39" s="1"/>
      <c r="C39" s="1"/>
      <c r="D39" s="1"/>
      <c r="E39" s="1"/>
      <c r="F39" s="1"/>
      <c r="G39" s="1"/>
      <c r="H39" s="1"/>
      <c r="I39" s="1"/>
      <c r="J39" s="1"/>
      <c r="K39" s="1"/>
      <c r="L39" s="1"/>
      <c r="M39" s="1"/>
      <c r="N39" s="1"/>
      <c r="O39" s="1"/>
      <c r="P39" s="1"/>
      <c r="Q39" s="1"/>
      <c r="R39" s="1"/>
      <c r="S39" s="1"/>
      <c r="T39" s="1"/>
      <c r="U39" s="244"/>
      <c r="V39" s="244"/>
      <c r="W39" s="244"/>
      <c r="X39" s="244"/>
      <c r="Y39" s="244"/>
      <c r="Z39" s="244"/>
      <c r="AA39" s="244"/>
      <c r="AB39" s="244"/>
      <c r="AC39" s="244"/>
      <c r="AD39" s="244"/>
      <c r="AE39" s="244"/>
      <c r="AF39" s="244"/>
      <c r="AG39" s="244"/>
      <c r="AH39" s="244"/>
      <c r="AI39" s="244"/>
      <c r="AJ39" s="244"/>
      <c r="AK39" s="244"/>
      <c r="AL39" s="244"/>
      <c r="AM39" s="244"/>
      <c r="AN39" s="244"/>
      <c r="AO39" s="244"/>
      <c r="AP39" s="244"/>
      <c r="AQ39" s="244"/>
      <c r="AR39" s="244"/>
      <c r="AS39" s="244"/>
      <c r="AT39" s="244"/>
      <c r="AU39" s="244"/>
      <c r="AV39" s="244"/>
    </row>
    <row r="40" ht="33.95" customHeight="1">
      <c r="A40" s="1"/>
      <c r="B40" s="651" t="s">
        <v>114</v>
      </c>
      <c r="C40" s="651"/>
      <c r="D40" s="651"/>
      <c r="E40" s="651"/>
      <c r="F40" s="651"/>
      <c r="G40" s="651"/>
      <c r="H40" s="651"/>
      <c r="I40" s="651"/>
      <c r="J40" s="651"/>
      <c r="K40" s="651"/>
      <c r="L40" s="651"/>
      <c r="M40" s="651"/>
      <c r="N40" s="651"/>
      <c r="O40" s="651"/>
      <c r="P40" s="651"/>
      <c r="Q40" s="651"/>
      <c r="R40" s="651"/>
      <c r="S40" s="651"/>
      <c r="T40" s="1"/>
      <c r="U40" s="244"/>
      <c r="V40" s="244"/>
      <c r="W40" s="244"/>
      <c r="X40" s="244"/>
      <c r="Y40" s="244"/>
      <c r="Z40" s="244"/>
      <c r="AA40" s="244"/>
      <c r="AB40" s="244"/>
      <c r="AC40" s="244"/>
      <c r="AD40" s="244"/>
      <c r="AE40" s="244"/>
      <c r="AF40" s="244"/>
      <c r="AG40" s="244"/>
      <c r="AH40" s="244"/>
      <c r="AI40" s="244"/>
      <c r="AJ40" s="244"/>
      <c r="AK40" s="244"/>
      <c r="AL40" s="244"/>
      <c r="AM40" s="244"/>
      <c r="AN40" s="244"/>
      <c r="AO40" s="244"/>
      <c r="AP40" s="244"/>
      <c r="AQ40" s="244"/>
      <c r="AR40" s="244"/>
      <c r="AS40" s="244"/>
      <c r="AT40" s="244"/>
      <c r="AU40" s="244"/>
      <c r="AV40" s="244"/>
    </row>
    <row r="41" ht="9" customHeight="1">
      <c r="A41" s="1"/>
      <c r="B41" s="1"/>
      <c r="C41" s="1"/>
      <c r="D41" s="1"/>
      <c r="E41" s="1"/>
      <c r="F41" s="1"/>
      <c r="G41" s="1"/>
      <c r="H41" s="1"/>
      <c r="I41" s="1"/>
      <c r="J41" s="1"/>
      <c r="K41" s="1"/>
      <c r="L41" s="1"/>
      <c r="M41" s="1"/>
      <c r="N41" s="1"/>
      <c r="O41" s="1"/>
      <c r="P41" s="1"/>
      <c r="Q41" s="80"/>
      <c r="R41" s="241"/>
      <c r="S41" s="1"/>
      <c r="T41" s="1"/>
      <c r="U41" s="244"/>
      <c r="V41" s="244"/>
      <c r="W41" s="244"/>
      <c r="X41" s="244"/>
      <c r="Y41" s="244"/>
      <c r="Z41" s="244"/>
      <c r="AA41" s="244"/>
      <c r="AB41" s="244"/>
      <c r="AC41" s="244"/>
      <c r="AD41" s="244"/>
      <c r="AE41" s="244"/>
      <c r="AF41" s="244"/>
      <c r="AG41" s="244"/>
      <c r="AH41" s="244"/>
      <c r="AI41" s="244"/>
      <c r="AJ41" s="244"/>
      <c r="AK41" s="244"/>
      <c r="AL41" s="244"/>
      <c r="AM41" s="244"/>
      <c r="AN41" s="244"/>
      <c r="AO41" s="244"/>
      <c r="AP41" s="244"/>
      <c r="AQ41" s="244"/>
      <c r="AR41" s="244"/>
      <c r="AS41" s="244"/>
      <c r="AT41" s="244"/>
      <c r="AU41" s="244"/>
      <c r="AV41" s="244"/>
    </row>
    <row r="42" ht="9" customHeight="1">
      <c r="A42" s="1"/>
      <c r="B42" s="1"/>
      <c r="C42" s="1"/>
      <c r="D42" s="1"/>
      <c r="E42" s="1"/>
      <c r="F42" s="1"/>
      <c r="G42" s="1"/>
      <c r="H42" s="1"/>
      <c r="I42" s="1"/>
      <c r="J42" s="1"/>
      <c r="K42" s="1"/>
      <c r="L42" s="1"/>
      <c r="M42" s="1"/>
      <c r="N42" s="1"/>
      <c r="O42" s="1"/>
      <c r="P42" s="1"/>
      <c r="Q42" s="1"/>
      <c r="R42" s="1"/>
      <c r="S42" s="1"/>
      <c r="T42" s="1"/>
      <c r="U42" s="244"/>
      <c r="V42" s="244"/>
      <c r="W42" s="244"/>
      <c r="X42" s="244"/>
      <c r="Y42" s="244"/>
      <c r="Z42" s="244"/>
      <c r="AA42" s="244"/>
      <c r="AB42" s="244"/>
      <c r="AC42" s="244"/>
      <c r="AD42" s="244"/>
      <c r="AE42" s="244"/>
      <c r="AF42" s="244"/>
      <c r="AG42" s="244"/>
      <c r="AH42" s="244"/>
      <c r="AI42" s="244"/>
      <c r="AJ42" s="244"/>
      <c r="AK42" s="244"/>
      <c r="AL42" s="244"/>
      <c r="AM42" s="244"/>
      <c r="AN42" s="244"/>
      <c r="AO42" s="244"/>
      <c r="AP42" s="244"/>
      <c r="AQ42" s="244"/>
      <c r="AR42" s="244"/>
      <c r="AS42" s="244"/>
      <c r="AT42" s="244"/>
      <c r="AU42" s="244"/>
      <c r="AV42" s="244"/>
    </row>
    <row r="43" ht="18" customHeight="1">
      <c r="A43" s="244"/>
      <c r="B43" s="244"/>
      <c r="C43" s="244"/>
      <c r="D43" s="244"/>
      <c r="E43" s="244"/>
      <c r="F43" s="244"/>
      <c r="G43" s="244"/>
      <c r="H43" s="244"/>
      <c r="I43" s="244"/>
      <c r="J43" s="244"/>
      <c r="K43" s="244"/>
      <c r="L43" s="244"/>
      <c r="M43" s="244"/>
      <c r="N43" s="244"/>
      <c r="O43" s="244"/>
      <c r="P43" s="244"/>
      <c r="Q43" s="244"/>
      <c r="R43" s="244"/>
      <c r="S43" s="244"/>
      <c r="T43" s="244"/>
      <c r="U43" s="244"/>
      <c r="V43" s="244"/>
      <c r="W43" s="244"/>
      <c r="X43" s="244"/>
      <c r="Y43" s="244"/>
      <c r="Z43" s="244"/>
      <c r="AA43" s="244"/>
      <c r="AB43" s="244"/>
      <c r="AC43" s="244"/>
      <c r="AD43" s="244"/>
      <c r="AE43" s="244"/>
      <c r="AF43" s="244"/>
      <c r="AG43" s="244"/>
      <c r="AH43" s="244"/>
      <c r="AI43" s="244"/>
      <c r="AJ43" s="244"/>
      <c r="AK43" s="244"/>
      <c r="AL43" s="244"/>
      <c r="AM43" s="244"/>
      <c r="AN43" s="244"/>
      <c r="AO43" s="244"/>
      <c r="AP43" s="244"/>
      <c r="AQ43" s="244"/>
      <c r="AR43" s="244"/>
      <c r="AS43" s="244"/>
      <c r="AT43" s="244"/>
      <c r="AU43" s="244"/>
      <c r="AV43" s="244"/>
    </row>
    <row r="44">
      <c r="A44" s="244"/>
      <c r="B44" s="244"/>
      <c r="C44" s="244"/>
      <c r="D44" s="244"/>
      <c r="E44" s="244"/>
      <c r="F44" s="244"/>
      <c r="G44" s="244"/>
      <c r="H44" s="244"/>
      <c r="I44" s="244"/>
      <c r="J44" s="244"/>
      <c r="K44" s="244"/>
      <c r="L44" s="244"/>
      <c r="M44" s="244"/>
      <c r="N44" s="244"/>
      <c r="O44" s="244"/>
      <c r="P44" s="244"/>
      <c r="Q44" s="244"/>
      <c r="R44" s="244"/>
      <c r="S44" s="244"/>
      <c r="T44" s="244"/>
      <c r="U44" s="244"/>
      <c r="V44" s="244"/>
      <c r="W44" s="244"/>
      <c r="X44" s="244"/>
      <c r="Y44" s="244"/>
      <c r="Z44" s="244"/>
      <c r="AA44" s="244"/>
      <c r="AB44" s="244"/>
      <c r="AC44" s="244"/>
      <c r="AD44" s="244"/>
      <c r="AE44" s="244"/>
      <c r="AF44" s="244"/>
      <c r="AG44" s="244"/>
      <c r="AH44" s="244"/>
      <c r="AI44" s="244"/>
      <c r="AJ44" s="244"/>
      <c r="AK44" s="244"/>
      <c r="AL44" s="244"/>
      <c r="AM44" s="244"/>
      <c r="AN44" s="244"/>
      <c r="AO44" s="244"/>
      <c r="AP44" s="244"/>
      <c r="AQ44" s="244"/>
      <c r="AR44" s="244"/>
      <c r="AS44" s="244"/>
      <c r="AT44" s="244"/>
      <c r="AU44" s="244"/>
      <c r="AV44" s="244"/>
    </row>
    <row r="45">
      <c r="A45" s="244"/>
      <c r="B45" s="244"/>
      <c r="C45" s="244"/>
      <c r="D45" s="244"/>
      <c r="E45" s="244"/>
      <c r="F45" s="244"/>
      <c r="G45" s="244"/>
      <c r="H45" s="244"/>
      <c r="I45" s="244"/>
      <c r="J45" s="244"/>
      <c r="K45" s="244"/>
      <c r="L45" s="244"/>
      <c r="M45" s="244"/>
      <c r="N45" s="244"/>
      <c r="O45" s="244"/>
      <c r="P45" s="244"/>
      <c r="Q45" s="244"/>
      <c r="R45" s="244"/>
      <c r="S45" s="244"/>
      <c r="T45" s="244"/>
      <c r="U45" s="244"/>
      <c r="V45" s="244"/>
      <c r="W45" s="244"/>
      <c r="X45" s="244"/>
      <c r="Y45" s="244"/>
      <c r="Z45" s="244"/>
      <c r="AA45" s="244"/>
      <c r="AB45" s="244"/>
      <c r="AC45" s="244"/>
      <c r="AD45" s="244"/>
      <c r="AE45" s="244"/>
      <c r="AF45" s="244"/>
      <c r="AG45" s="244"/>
      <c r="AH45" s="244"/>
      <c r="AI45" s="244"/>
      <c r="AJ45" s="244"/>
      <c r="AK45" s="244"/>
      <c r="AL45" s="244"/>
      <c r="AM45" s="244"/>
      <c r="AN45" s="244"/>
      <c r="AO45" s="244"/>
      <c r="AP45" s="244"/>
      <c r="AQ45" s="244"/>
      <c r="AR45" s="244"/>
      <c r="AS45" s="244"/>
      <c r="AT45" s="244"/>
      <c r="AU45" s="244"/>
      <c r="AV45" s="244"/>
    </row>
    <row r="46">
      <c r="A46" s="244"/>
      <c r="B46" s="244"/>
      <c r="C46" s="244"/>
      <c r="D46" s="244"/>
      <c r="E46" s="244"/>
      <c r="F46" s="244"/>
      <c r="G46" s="244"/>
      <c r="H46" s="244"/>
      <c r="I46" s="244"/>
      <c r="J46" s="244"/>
      <c r="K46" s="244"/>
      <c r="L46" s="244"/>
      <c r="M46" s="244"/>
      <c r="N46" s="244"/>
      <c r="O46" s="244"/>
      <c r="P46" s="244"/>
      <c r="Q46" s="244"/>
      <c r="R46" s="244"/>
      <c r="S46" s="244"/>
      <c r="T46" s="244"/>
      <c r="U46" s="244"/>
      <c r="V46" s="244"/>
      <c r="W46" s="244"/>
      <c r="X46" s="244"/>
      <c r="Y46" s="244"/>
      <c r="Z46" s="244"/>
      <c r="AA46" s="244"/>
      <c r="AB46" s="244"/>
      <c r="AC46" s="244"/>
      <c r="AD46" s="244"/>
      <c r="AE46" s="244"/>
      <c r="AF46" s="244"/>
      <c r="AG46" s="244"/>
      <c r="AH46" s="244"/>
      <c r="AI46" s="244"/>
      <c r="AJ46" s="244"/>
      <c r="AK46" s="244"/>
      <c r="AL46" s="244"/>
      <c r="AM46" s="244"/>
      <c r="AN46" s="244"/>
      <c r="AO46" s="244"/>
      <c r="AP46" s="244"/>
      <c r="AQ46" s="244"/>
      <c r="AR46" s="244"/>
      <c r="AS46" s="244"/>
      <c r="AT46" s="244"/>
      <c r="AU46" s="244"/>
      <c r="AV46" s="244"/>
    </row>
    <row r="47">
      <c r="A47" s="244"/>
      <c r="B47" s="244"/>
      <c r="C47" s="244"/>
      <c r="D47" s="244"/>
      <c r="E47" s="244"/>
      <c r="F47" s="244"/>
      <c r="G47" s="244"/>
      <c r="H47" s="244"/>
      <c r="I47" s="244"/>
      <c r="J47" s="244"/>
      <c r="K47" s="244"/>
      <c r="L47" s="244"/>
      <c r="M47" s="244"/>
      <c r="N47" s="244"/>
      <c r="O47" s="244"/>
      <c r="P47" s="244"/>
      <c r="Q47" s="244"/>
      <c r="R47" s="244"/>
      <c r="S47" s="244"/>
      <c r="T47" s="244"/>
      <c r="U47" s="244"/>
      <c r="V47" s="244"/>
      <c r="W47" s="244"/>
      <c r="X47" s="244"/>
      <c r="Y47" s="244"/>
      <c r="Z47" s="244"/>
      <c r="AA47" s="244"/>
      <c r="AB47" s="244"/>
      <c r="AC47" s="244"/>
      <c r="AD47" s="244"/>
      <c r="AE47" s="244"/>
      <c r="AF47" s="244"/>
      <c r="AG47" s="244"/>
      <c r="AH47" s="244"/>
      <c r="AI47" s="244"/>
      <c r="AJ47" s="244"/>
      <c r="AK47" s="244"/>
      <c r="AL47" s="244"/>
      <c r="AM47" s="244"/>
      <c r="AN47" s="244"/>
      <c r="AO47" s="244"/>
      <c r="AP47" s="244"/>
      <c r="AQ47" s="244"/>
      <c r="AR47" s="244"/>
      <c r="AS47" s="244"/>
      <c r="AT47" s="244"/>
      <c r="AU47" s="244"/>
      <c r="AV47" s="244"/>
    </row>
    <row r="48">
      <c r="A48" s="244"/>
      <c r="B48" s="244"/>
      <c r="C48" s="244"/>
      <c r="D48" s="244"/>
      <c r="E48" s="244"/>
      <c r="F48" s="244"/>
      <c r="G48" s="244"/>
      <c r="H48" s="244"/>
      <c r="I48" s="244"/>
      <c r="J48" s="244"/>
      <c r="K48" s="244"/>
      <c r="L48" s="244"/>
      <c r="M48" s="244"/>
      <c r="N48" s="244"/>
      <c r="O48" s="244"/>
      <c r="P48" s="244"/>
      <c r="Q48" s="244"/>
      <c r="R48" s="244"/>
      <c r="S48" s="244"/>
      <c r="T48" s="244"/>
      <c r="U48" s="244"/>
      <c r="V48" s="244"/>
      <c r="W48" s="244"/>
      <c r="X48" s="244"/>
      <c r="Y48" s="244"/>
      <c r="Z48" s="244"/>
      <c r="AA48" s="244"/>
      <c r="AB48" s="244"/>
      <c r="AC48" s="244"/>
      <c r="AD48" s="244"/>
      <c r="AE48" s="244"/>
      <c r="AF48" s="244"/>
      <c r="AG48" s="244"/>
      <c r="AH48" s="244"/>
      <c r="AI48" s="244"/>
      <c r="AJ48" s="244"/>
      <c r="AK48" s="244"/>
      <c r="AL48" s="244"/>
      <c r="AM48" s="244"/>
      <c r="AN48" s="244"/>
      <c r="AO48" s="244"/>
      <c r="AP48" s="244"/>
      <c r="AQ48" s="244"/>
      <c r="AR48" s="244"/>
      <c r="AS48" s="244"/>
      <c r="AT48" s="244"/>
      <c r="AU48" s="244"/>
      <c r="AV48" s="244"/>
    </row>
    <row r="49">
      <c r="A49" s="244"/>
      <c r="B49" s="244"/>
      <c r="C49" s="244"/>
      <c r="D49" s="244"/>
      <c r="E49" s="244"/>
      <c r="F49" s="244"/>
      <c r="G49" s="244"/>
      <c r="H49" s="244"/>
      <c r="I49" s="244"/>
      <c r="J49" s="244"/>
      <c r="K49" s="244"/>
      <c r="L49" s="244"/>
      <c r="M49" s="244"/>
      <c r="N49" s="244"/>
      <c r="O49" s="244"/>
      <c r="P49" s="244"/>
      <c r="Q49" s="244"/>
      <c r="R49" s="244"/>
      <c r="S49" s="244"/>
      <c r="T49" s="244"/>
      <c r="U49" s="244"/>
      <c r="V49" s="244"/>
      <c r="W49" s="244"/>
      <c r="X49" s="244"/>
      <c r="Y49" s="244"/>
      <c r="Z49" s="244"/>
      <c r="AA49" s="244"/>
      <c r="AB49" s="244"/>
      <c r="AC49" s="244"/>
      <c r="AD49" s="244"/>
      <c r="AE49" s="244"/>
      <c r="AF49" s="244"/>
      <c r="AG49" s="244"/>
      <c r="AH49" s="244"/>
      <c r="AI49" s="244"/>
      <c r="AJ49" s="244"/>
      <c r="AK49" s="244"/>
      <c r="AL49" s="244"/>
      <c r="AM49" s="244"/>
      <c r="AN49" s="244"/>
      <c r="AO49" s="244"/>
      <c r="AP49" s="244"/>
      <c r="AQ49" s="244"/>
      <c r="AR49" s="244"/>
      <c r="AS49" s="244"/>
      <c r="AT49" s="244"/>
      <c r="AU49" s="244"/>
      <c r="AV49" s="244"/>
    </row>
    <row r="50">
      <c r="A50" s="244"/>
      <c r="B50" s="244"/>
      <c r="C50" s="244"/>
      <c r="D50" s="244"/>
      <c r="E50" s="244"/>
      <c r="F50" s="244"/>
      <c r="G50" s="244"/>
      <c r="H50" s="244"/>
      <c r="I50" s="244"/>
      <c r="J50" s="244"/>
      <c r="K50" s="244"/>
      <c r="L50" s="244"/>
      <c r="M50" s="244"/>
      <c r="N50" s="244"/>
      <c r="O50" s="244"/>
      <c r="P50" s="244"/>
      <c r="Q50" s="244"/>
      <c r="R50" s="244"/>
      <c r="S50" s="244"/>
      <c r="T50" s="244"/>
      <c r="U50" s="244"/>
      <c r="V50" s="244"/>
      <c r="W50" s="244"/>
      <c r="X50" s="244"/>
      <c r="Y50" s="244"/>
      <c r="Z50" s="244"/>
      <c r="AA50" s="244"/>
      <c r="AB50" s="244"/>
      <c r="AC50" s="244"/>
      <c r="AD50" s="244"/>
      <c r="AE50" s="244"/>
      <c r="AF50" s="244"/>
      <c r="AG50" s="244"/>
      <c r="AH50" s="244"/>
      <c r="AI50" s="244"/>
      <c r="AJ50" s="244"/>
      <c r="AK50" s="244"/>
      <c r="AL50" s="244"/>
      <c r="AM50" s="244"/>
      <c r="AN50" s="244"/>
      <c r="AO50" s="244"/>
      <c r="AP50" s="244"/>
      <c r="AQ50" s="244"/>
      <c r="AR50" s="244"/>
      <c r="AS50" s="244"/>
      <c r="AT50" s="244"/>
      <c r="AU50" s="244"/>
      <c r="AV50" s="244"/>
    </row>
    <row r="51">
      <c r="A51" s="244"/>
      <c r="B51" s="244"/>
      <c r="C51" s="244"/>
      <c r="D51" s="244"/>
      <c r="E51" s="244"/>
      <c r="F51" s="244"/>
      <c r="G51" s="244"/>
      <c r="H51" s="244"/>
      <c r="I51" s="244"/>
      <c r="J51" s="244"/>
      <c r="K51" s="244"/>
      <c r="L51" s="244"/>
      <c r="M51" s="244"/>
      <c r="N51" s="244"/>
      <c r="O51" s="244"/>
      <c r="P51" s="244"/>
      <c r="Q51" s="244"/>
      <c r="R51" s="244"/>
      <c r="S51" s="244"/>
      <c r="T51" s="244"/>
      <c r="U51" s="244"/>
      <c r="V51" s="244"/>
      <c r="W51" s="244"/>
      <c r="X51" s="244"/>
      <c r="Y51" s="244"/>
      <c r="Z51" s="244"/>
      <c r="AA51" s="244"/>
      <c r="AB51" s="244"/>
      <c r="AC51" s="244"/>
      <c r="AD51" s="244"/>
      <c r="AE51" s="244"/>
      <c r="AF51" s="244"/>
      <c r="AG51" s="244"/>
      <c r="AH51" s="244"/>
      <c r="AI51" s="244"/>
      <c r="AJ51" s="244"/>
      <c r="AK51" s="244"/>
      <c r="AL51" s="244"/>
      <c r="AM51" s="244"/>
      <c r="AN51" s="244"/>
      <c r="AO51" s="244"/>
      <c r="AP51" s="244"/>
      <c r="AQ51" s="244"/>
      <c r="AR51" s="244"/>
      <c r="AS51" s="244"/>
      <c r="AT51" s="244"/>
      <c r="AU51" s="244"/>
      <c r="AV51" s="244"/>
    </row>
    <row r="52">
      <c r="A52" s="244"/>
      <c r="B52" s="244"/>
      <c r="C52" s="244"/>
      <c r="D52" s="244"/>
      <c r="E52" s="244"/>
      <c r="F52" s="244"/>
      <c r="G52" s="244"/>
      <c r="H52" s="244"/>
      <c r="I52" s="244"/>
      <c r="J52" s="244"/>
      <c r="K52" s="244"/>
      <c r="L52" s="244"/>
      <c r="M52" s="244"/>
      <c r="N52" s="244"/>
      <c r="O52" s="244"/>
      <c r="P52" s="244"/>
      <c r="Q52" s="244"/>
      <c r="R52" s="244"/>
      <c r="S52" s="244"/>
      <c r="T52" s="244"/>
      <c r="U52" s="244"/>
      <c r="V52" s="244"/>
      <c r="W52" s="244"/>
      <c r="X52" s="244"/>
      <c r="Y52" s="244"/>
      <c r="Z52" s="244"/>
      <c r="AA52" s="244"/>
      <c r="AB52" s="244"/>
      <c r="AC52" s="244"/>
      <c r="AD52" s="244"/>
      <c r="AE52" s="244"/>
      <c r="AF52" s="244"/>
      <c r="AG52" s="244"/>
      <c r="AH52" s="244"/>
      <c r="AI52" s="244"/>
      <c r="AJ52" s="244"/>
      <c r="AK52" s="244"/>
      <c r="AL52" s="244"/>
      <c r="AM52" s="244"/>
      <c r="AN52" s="244"/>
      <c r="AO52" s="244"/>
      <c r="AP52" s="244"/>
      <c r="AQ52" s="244"/>
      <c r="AR52" s="244"/>
      <c r="AS52" s="244"/>
      <c r="AT52" s="244"/>
      <c r="AU52" s="244"/>
      <c r="AV52" s="244"/>
    </row>
    <row r="53">
      <c r="A53" s="244"/>
      <c r="B53" s="244"/>
      <c r="C53" s="244"/>
      <c r="D53" s="244"/>
      <c r="E53" s="244"/>
      <c r="F53" s="244"/>
      <c r="G53" s="244"/>
      <c r="H53" s="244"/>
      <c r="I53" s="244"/>
      <c r="J53" s="244"/>
      <c r="K53" s="244"/>
      <c r="L53" s="244"/>
      <c r="M53" s="244"/>
      <c r="N53" s="244"/>
      <c r="O53" s="244"/>
      <c r="P53" s="244"/>
      <c r="Q53" s="244"/>
      <c r="R53" s="244"/>
      <c r="S53" s="244"/>
      <c r="T53" s="244"/>
      <c r="U53" s="244"/>
      <c r="V53" s="244"/>
      <c r="W53" s="244"/>
      <c r="X53" s="244"/>
      <c r="Y53" s="244"/>
      <c r="Z53" s="244"/>
      <c r="AA53" s="244"/>
      <c r="AB53" s="244"/>
      <c r="AC53" s="244"/>
      <c r="AD53" s="244"/>
      <c r="AE53" s="244"/>
      <c r="AF53" s="244"/>
      <c r="AG53" s="244"/>
      <c r="AH53" s="244"/>
      <c r="AI53" s="244"/>
      <c r="AJ53" s="244"/>
      <c r="AK53" s="244"/>
      <c r="AL53" s="244"/>
      <c r="AM53" s="244"/>
      <c r="AN53" s="244"/>
      <c r="AO53" s="244"/>
      <c r="AP53" s="244"/>
      <c r="AQ53" s="244"/>
      <c r="AR53" s="244"/>
      <c r="AS53" s="244"/>
      <c r="AT53" s="244"/>
      <c r="AU53" s="244"/>
      <c r="AV53" s="244"/>
    </row>
    <row r="54">
      <c r="A54" s="244"/>
      <c r="B54" s="244"/>
      <c r="C54" s="244"/>
      <c r="D54" s="244"/>
      <c r="E54" s="244"/>
      <c r="F54" s="244"/>
      <c r="G54" s="244"/>
      <c r="H54" s="244"/>
      <c r="I54" s="244"/>
      <c r="J54" s="244"/>
      <c r="K54" s="244"/>
      <c r="L54" s="244"/>
      <c r="M54" s="244"/>
      <c r="N54" s="244"/>
      <c r="O54" s="244"/>
      <c r="P54" s="244"/>
      <c r="Q54" s="244"/>
      <c r="R54" s="244"/>
      <c r="S54" s="244"/>
      <c r="T54" s="244"/>
      <c r="U54" s="244"/>
      <c r="V54" s="244"/>
      <c r="W54" s="244"/>
      <c r="X54" s="244"/>
      <c r="Y54" s="244"/>
      <c r="Z54" s="244"/>
      <c r="AA54" s="244"/>
      <c r="AB54" s="244"/>
      <c r="AC54" s="244"/>
      <c r="AD54" s="244"/>
      <c r="AE54" s="244"/>
      <c r="AF54" s="244"/>
      <c r="AG54" s="244"/>
      <c r="AH54" s="244"/>
      <c r="AI54" s="244"/>
      <c r="AJ54" s="244"/>
      <c r="AK54" s="244"/>
      <c r="AL54" s="244"/>
      <c r="AM54" s="244"/>
      <c r="AN54" s="244"/>
      <c r="AO54" s="244"/>
      <c r="AP54" s="244"/>
      <c r="AQ54" s="244"/>
      <c r="AR54" s="244"/>
      <c r="AS54" s="244"/>
      <c r="AT54" s="244"/>
      <c r="AU54" s="244"/>
      <c r="AV54" s="244"/>
    </row>
    <row r="55">
      <c r="A55" s="244"/>
      <c r="B55" s="244"/>
      <c r="C55" s="244"/>
      <c r="D55" s="244"/>
      <c r="E55" s="244"/>
      <c r="F55" s="244"/>
      <c r="G55" s="244"/>
      <c r="H55" s="244"/>
      <c r="I55" s="244"/>
      <c r="J55" s="244"/>
      <c r="K55" s="244"/>
      <c r="L55" s="244"/>
      <c r="M55" s="244"/>
      <c r="N55" s="244"/>
      <c r="O55" s="244"/>
      <c r="P55" s="244"/>
      <c r="Q55" s="244"/>
      <c r="R55" s="244"/>
      <c r="S55" s="244"/>
      <c r="T55" s="244"/>
      <c r="U55" s="244"/>
      <c r="V55" s="244"/>
      <c r="W55" s="244"/>
      <c r="X55" s="244"/>
      <c r="Y55" s="244"/>
      <c r="Z55" s="244"/>
      <c r="AA55" s="244"/>
      <c r="AB55" s="244"/>
      <c r="AC55" s="244"/>
      <c r="AD55" s="244"/>
      <c r="AE55" s="244"/>
      <c r="AF55" s="244"/>
      <c r="AG55" s="244"/>
      <c r="AH55" s="244"/>
      <c r="AI55" s="244"/>
      <c r="AJ55" s="244"/>
      <c r="AK55" s="244"/>
      <c r="AL55" s="244"/>
      <c r="AM55" s="244"/>
      <c r="AN55" s="244"/>
      <c r="AO55" s="244"/>
      <c r="AP55" s="244"/>
      <c r="AQ55" s="244"/>
      <c r="AR55" s="244"/>
      <c r="AS55" s="244"/>
      <c r="AT55" s="244"/>
      <c r="AU55" s="244"/>
      <c r="AV55" s="244"/>
    </row>
    <row r="56">
      <c r="A56" s="244"/>
      <c r="B56" s="244"/>
      <c r="C56" s="244"/>
      <c r="D56" s="244"/>
      <c r="E56" s="244"/>
      <c r="F56" s="244"/>
      <c r="G56" s="244"/>
      <c r="H56" s="244"/>
      <c r="I56" s="244"/>
      <c r="J56" s="244"/>
      <c r="K56" s="244"/>
      <c r="L56" s="244"/>
      <c r="M56" s="244"/>
      <c r="N56" s="244"/>
      <c r="O56" s="244"/>
      <c r="P56" s="244"/>
      <c r="Q56" s="244"/>
      <c r="R56" s="244"/>
      <c r="S56" s="244"/>
      <c r="T56" s="244"/>
      <c r="U56" s="244"/>
      <c r="V56" s="244"/>
      <c r="W56" s="244"/>
      <c r="X56" s="244"/>
      <c r="Y56" s="244"/>
      <c r="Z56" s="244"/>
      <c r="AA56" s="244"/>
      <c r="AB56" s="244"/>
      <c r="AC56" s="244"/>
      <c r="AD56" s="244"/>
      <c r="AE56" s="244"/>
      <c r="AF56" s="244"/>
      <c r="AG56" s="244"/>
      <c r="AH56" s="244"/>
      <c r="AI56" s="244"/>
      <c r="AJ56" s="244"/>
      <c r="AK56" s="244"/>
      <c r="AL56" s="244"/>
      <c r="AM56" s="244"/>
      <c r="AN56" s="244"/>
      <c r="AO56" s="244"/>
      <c r="AP56" s="244"/>
      <c r="AQ56" s="244"/>
      <c r="AR56" s="244"/>
      <c r="AS56" s="244"/>
      <c r="AT56" s="244"/>
      <c r="AU56" s="244"/>
      <c r="AV56" s="244"/>
    </row>
    <row r="57">
      <c r="A57" s="244"/>
      <c r="B57" s="244"/>
      <c r="C57" s="244"/>
      <c r="D57" s="244"/>
      <c r="E57" s="244"/>
      <c r="F57" s="244"/>
      <c r="G57" s="244"/>
      <c r="H57" s="244"/>
      <c r="I57" s="244"/>
      <c r="J57" s="244"/>
      <c r="K57" s="244"/>
      <c r="L57" s="244"/>
      <c r="M57" s="244"/>
      <c r="N57" s="244"/>
      <c r="O57" s="244"/>
      <c r="P57" s="244"/>
      <c r="Q57" s="244"/>
      <c r="R57" s="244"/>
      <c r="S57" s="244"/>
      <c r="T57" s="244"/>
      <c r="U57" s="244"/>
      <c r="V57" s="244"/>
      <c r="W57" s="244"/>
      <c r="X57" s="244"/>
      <c r="Y57" s="244"/>
      <c r="Z57" s="244"/>
      <c r="AA57" s="244"/>
      <c r="AB57" s="244"/>
      <c r="AC57" s="244"/>
      <c r="AD57" s="244"/>
      <c r="AE57" s="244"/>
      <c r="AF57" s="244"/>
      <c r="AG57" s="244"/>
      <c r="AH57" s="244"/>
      <c r="AI57" s="244"/>
      <c r="AJ57" s="244"/>
      <c r="AK57" s="244"/>
      <c r="AL57" s="244"/>
      <c r="AM57" s="244"/>
      <c r="AN57" s="244"/>
      <c r="AO57" s="244"/>
      <c r="AP57" s="244"/>
      <c r="AQ57" s="244"/>
      <c r="AR57" s="244"/>
      <c r="AS57" s="244"/>
      <c r="AT57" s="244"/>
      <c r="AU57" s="244"/>
      <c r="AV57" s="244"/>
    </row>
    <row r="58">
      <c r="A58" s="244"/>
      <c r="B58" s="244"/>
      <c r="C58" s="244"/>
      <c r="D58" s="244"/>
      <c r="E58" s="244"/>
      <c r="F58" s="244"/>
      <c r="G58" s="244"/>
      <c r="H58" s="244"/>
      <c r="I58" s="244"/>
      <c r="J58" s="244"/>
      <c r="K58" s="244"/>
      <c r="L58" s="244"/>
      <c r="M58" s="244"/>
      <c r="N58" s="244"/>
      <c r="O58" s="244"/>
      <c r="P58" s="244"/>
      <c r="Q58" s="244"/>
      <c r="R58" s="244"/>
      <c r="S58" s="244"/>
      <c r="T58" s="244"/>
      <c r="U58" s="244"/>
      <c r="V58" s="244"/>
      <c r="W58" s="244"/>
      <c r="X58" s="244"/>
      <c r="Y58" s="244"/>
      <c r="Z58" s="244"/>
      <c r="AA58" s="244"/>
      <c r="AB58" s="244"/>
      <c r="AC58" s="244"/>
      <c r="AD58" s="244"/>
      <c r="AE58" s="244"/>
      <c r="AF58" s="244"/>
      <c r="AG58" s="244"/>
      <c r="AH58" s="244"/>
      <c r="AI58" s="244"/>
      <c r="AJ58" s="244"/>
      <c r="AK58" s="244"/>
      <c r="AL58" s="244"/>
      <c r="AM58" s="244"/>
      <c r="AN58" s="244"/>
      <c r="AO58" s="244"/>
      <c r="AP58" s="244"/>
      <c r="AQ58" s="244"/>
      <c r="AR58" s="244"/>
      <c r="AS58" s="244"/>
      <c r="AT58" s="244"/>
      <c r="AU58" s="244"/>
      <c r="AV58" s="244"/>
    </row>
    <row r="59">
      <c r="A59" s="244"/>
      <c r="B59" s="244"/>
      <c r="C59" s="244"/>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4"/>
      <c r="AC59" s="244"/>
      <c r="AD59" s="244"/>
      <c r="AE59" s="244"/>
      <c r="AF59" s="244"/>
      <c r="AG59" s="244"/>
      <c r="AH59" s="244"/>
      <c r="AI59" s="244"/>
      <c r="AJ59" s="244"/>
      <c r="AK59" s="244"/>
      <c r="AL59" s="244"/>
      <c r="AM59" s="244"/>
      <c r="AN59" s="244"/>
      <c r="AO59" s="244"/>
      <c r="AP59" s="244"/>
      <c r="AQ59" s="244"/>
      <c r="AR59" s="244"/>
      <c r="AS59" s="244"/>
      <c r="AT59" s="244"/>
      <c r="AU59" s="244"/>
      <c r="AV59" s="244"/>
    </row>
    <row r="60">
      <c r="A60" s="244"/>
      <c r="B60" s="244"/>
      <c r="C60" s="244"/>
      <c r="D60" s="244"/>
      <c r="E60" s="244"/>
      <c r="F60" s="244"/>
      <c r="G60" s="244"/>
      <c r="H60" s="244"/>
      <c r="I60" s="244"/>
      <c r="J60" s="244"/>
      <c r="K60" s="244"/>
      <c r="L60" s="244"/>
      <c r="M60" s="244"/>
      <c r="N60" s="244"/>
      <c r="O60" s="244"/>
      <c r="P60" s="244"/>
      <c r="Q60" s="244"/>
      <c r="R60" s="244"/>
      <c r="S60" s="244"/>
      <c r="T60" s="244"/>
      <c r="U60" s="244"/>
      <c r="V60" s="244"/>
      <c r="W60" s="244"/>
      <c r="X60" s="244"/>
      <c r="Y60" s="244"/>
      <c r="Z60" s="244"/>
      <c r="AA60" s="244"/>
      <c r="AB60" s="244"/>
      <c r="AC60" s="244"/>
      <c r="AD60" s="244"/>
      <c r="AE60" s="244"/>
      <c r="AF60" s="244"/>
      <c r="AG60" s="244"/>
      <c r="AH60" s="244"/>
      <c r="AI60" s="244"/>
      <c r="AJ60" s="244"/>
      <c r="AK60" s="244"/>
      <c r="AL60" s="244"/>
      <c r="AM60" s="244"/>
      <c r="AN60" s="244"/>
      <c r="AO60" s="244"/>
      <c r="AP60" s="244"/>
      <c r="AQ60" s="244"/>
      <c r="AR60" s="244"/>
      <c r="AS60" s="244"/>
      <c r="AT60" s="244"/>
      <c r="AU60" s="244"/>
      <c r="AV60" s="244"/>
    </row>
    <row r="61">
      <c r="A61" s="244"/>
      <c r="B61" s="244"/>
      <c r="C61" s="244"/>
      <c r="D61" s="244"/>
      <c r="E61" s="244"/>
      <c r="F61" s="244"/>
      <c r="G61" s="244"/>
      <c r="H61" s="244"/>
      <c r="I61" s="244"/>
      <c r="J61" s="244"/>
      <c r="K61" s="244"/>
      <c r="L61" s="244"/>
      <c r="M61" s="244"/>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244"/>
    </row>
    <row r="62">
      <c r="A62" s="244"/>
      <c r="B62" s="244"/>
      <c r="C62" s="244"/>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row>
    <row r="63">
      <c r="A63" s="244"/>
      <c r="B63" s="244"/>
      <c r="C63" s="244"/>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row>
    <row r="65">
      <c r="A65" s="244"/>
      <c r="B65" s="244"/>
      <c r="C65" s="244"/>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row>
    <row r="66">
      <c r="A66" s="244"/>
      <c r="B66" s="244"/>
      <c r="C66" s="244"/>
      <c r="D66" s="244"/>
      <c r="E66" s="244"/>
      <c r="F66" s="244"/>
      <c r="G66" s="244"/>
      <c r="H66" s="244"/>
      <c r="I66" s="244"/>
      <c r="J66" s="244"/>
      <c r="K66" s="244"/>
      <c r="L66" s="244"/>
      <c r="M66" s="244"/>
      <c r="N66" s="244"/>
      <c r="O66" s="244"/>
      <c r="P66" s="244"/>
      <c r="Q66" s="244"/>
      <c r="R66" s="244"/>
      <c r="S66" s="244"/>
      <c r="T66" s="244"/>
      <c r="U66" s="244"/>
      <c r="V66" s="244"/>
      <c r="W66" s="244"/>
      <c r="X66" s="244"/>
      <c r="Y66" s="244"/>
      <c r="Z66" s="244"/>
      <c r="AA66" s="244"/>
      <c r="AB66" s="244"/>
      <c r="AC66" s="244"/>
      <c r="AD66" s="244"/>
      <c r="AE66" s="244"/>
      <c r="AF66" s="244"/>
      <c r="AG66" s="244"/>
      <c r="AH66" s="244"/>
      <c r="AI66" s="244"/>
      <c r="AJ66" s="244"/>
      <c r="AK66" s="244"/>
      <c r="AL66" s="244"/>
      <c r="AM66" s="244"/>
      <c r="AN66" s="244"/>
      <c r="AO66" s="244"/>
      <c r="AP66" s="244"/>
      <c r="AQ66" s="244"/>
      <c r="AR66" s="244"/>
      <c r="AS66" s="244"/>
      <c r="AT66" s="244"/>
      <c r="AU66" s="244"/>
      <c r="AV66" s="244"/>
    </row>
    <row r="67">
      <c r="A67" s="244"/>
      <c r="B67" s="244"/>
      <c r="C67" s="244"/>
      <c r="D67" s="244"/>
      <c r="E67" s="244"/>
      <c r="F67" s="244"/>
      <c r="G67" s="244"/>
      <c r="H67" s="244"/>
      <c r="I67" s="244"/>
      <c r="J67" s="244"/>
      <c r="K67" s="244"/>
      <c r="L67" s="244"/>
      <c r="M67" s="244"/>
      <c r="N67" s="244"/>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244"/>
      <c r="AS67" s="244"/>
      <c r="AT67" s="244"/>
      <c r="AU67" s="244"/>
      <c r="AV67" s="244"/>
    </row>
    <row r="68">
      <c r="A68" s="244"/>
      <c r="B68" s="244"/>
      <c r="C68" s="244"/>
      <c r="D68" s="244"/>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44"/>
      <c r="AQ68" s="244"/>
      <c r="AR68" s="244"/>
      <c r="AS68" s="244"/>
      <c r="AT68" s="244"/>
      <c r="AU68" s="244"/>
      <c r="AV68" s="244"/>
    </row>
    <row r="69">
      <c r="A69" s="244"/>
      <c r="B69" s="244"/>
      <c r="C69" s="244"/>
      <c r="D69" s="244"/>
      <c r="E69" s="244"/>
      <c r="F69" s="244"/>
      <c r="G69" s="244"/>
      <c r="H69" s="244"/>
      <c r="I69" s="244"/>
      <c r="J69" s="244"/>
      <c r="K69" s="244"/>
      <c r="L69" s="244"/>
      <c r="M69" s="244"/>
      <c r="N69" s="244"/>
      <c r="O69" s="244"/>
      <c r="P69" s="244"/>
      <c r="Q69" s="244"/>
      <c r="R69" s="244"/>
      <c r="S69" s="244"/>
      <c r="T69" s="244"/>
      <c r="U69" s="244"/>
      <c r="V69" s="244"/>
      <c r="W69" s="244"/>
      <c r="X69" s="244"/>
      <c r="Y69" s="244"/>
      <c r="Z69" s="244"/>
      <c r="AA69" s="244"/>
      <c r="AB69" s="244"/>
      <c r="AC69" s="244"/>
      <c r="AD69" s="244"/>
      <c r="AE69" s="244"/>
      <c r="AF69" s="244"/>
      <c r="AG69" s="244"/>
      <c r="AH69" s="244"/>
      <c r="AI69" s="244"/>
      <c r="AJ69" s="244"/>
      <c r="AK69" s="244"/>
      <c r="AL69" s="244"/>
      <c r="AM69" s="244"/>
      <c r="AN69" s="244"/>
      <c r="AO69" s="244"/>
      <c r="AP69" s="244"/>
      <c r="AQ69" s="244"/>
      <c r="AR69" s="244"/>
      <c r="AS69" s="244"/>
      <c r="AT69" s="244"/>
      <c r="AU69" s="244"/>
      <c r="AV69" s="244"/>
    </row>
    <row r="70">
      <c r="A70" s="244"/>
      <c r="B70" s="244"/>
      <c r="C70" s="244"/>
      <c r="D70" s="244"/>
      <c r="E70" s="244"/>
      <c r="F70" s="244"/>
      <c r="G70" s="244"/>
      <c r="H70" s="244"/>
      <c r="I70" s="244"/>
      <c r="J70" s="244"/>
      <c r="K70" s="244"/>
      <c r="L70" s="244"/>
      <c r="M70" s="244"/>
      <c r="N70" s="244"/>
      <c r="O70" s="244"/>
      <c r="P70" s="244"/>
      <c r="Q70" s="244"/>
      <c r="R70" s="244"/>
      <c r="S70" s="244"/>
      <c r="T70" s="244"/>
      <c r="U70" s="244"/>
      <c r="V70" s="244"/>
      <c r="W70" s="244"/>
      <c r="X70" s="244"/>
      <c r="Y70" s="244"/>
      <c r="Z70" s="244"/>
      <c r="AA70" s="244"/>
      <c r="AB70" s="244"/>
      <c r="AC70" s="244"/>
      <c r="AD70" s="244"/>
      <c r="AE70" s="244"/>
      <c r="AF70" s="244"/>
      <c r="AG70" s="244"/>
      <c r="AH70" s="244"/>
      <c r="AI70" s="244"/>
      <c r="AJ70" s="244"/>
      <c r="AK70" s="244"/>
      <c r="AL70" s="244"/>
      <c r="AM70" s="244"/>
      <c r="AN70" s="244"/>
      <c r="AO70" s="244"/>
      <c r="AP70" s="244"/>
      <c r="AQ70" s="244"/>
      <c r="AR70" s="244"/>
      <c r="AS70" s="244"/>
      <c r="AT70" s="244"/>
      <c r="AU70" s="244"/>
      <c r="AV70" s="244"/>
    </row>
    <row r="71">
      <c r="A71" s="244"/>
      <c r="B71" s="244"/>
      <c r="C71" s="244"/>
      <c r="D71" s="244"/>
      <c r="E71" s="244"/>
      <c r="F71" s="244"/>
      <c r="G71" s="244"/>
      <c r="H71" s="244"/>
      <c r="I71" s="244"/>
      <c r="J71" s="244"/>
      <c r="K71" s="244"/>
      <c r="L71" s="244"/>
      <c r="M71" s="244"/>
      <c r="N71" s="244"/>
      <c r="O71" s="244"/>
      <c r="P71" s="244"/>
      <c r="Q71" s="244"/>
      <c r="R71" s="244"/>
      <c r="S71" s="244"/>
      <c r="T71" s="244"/>
      <c r="U71" s="244"/>
      <c r="V71" s="244"/>
      <c r="W71" s="244"/>
      <c r="X71" s="244"/>
      <c r="Y71" s="244"/>
      <c r="Z71" s="244"/>
      <c r="AA71" s="244"/>
      <c r="AB71" s="244"/>
      <c r="AC71" s="244"/>
      <c r="AD71" s="244"/>
      <c r="AE71" s="244"/>
      <c r="AF71" s="244"/>
      <c r="AG71" s="244"/>
      <c r="AH71" s="244"/>
      <c r="AI71" s="244"/>
      <c r="AJ71" s="244"/>
      <c r="AK71" s="244"/>
      <c r="AL71" s="244"/>
      <c r="AM71" s="244"/>
      <c r="AN71" s="244"/>
      <c r="AO71" s="244"/>
      <c r="AP71" s="244"/>
      <c r="AQ71" s="244"/>
      <c r="AR71" s="244"/>
      <c r="AS71" s="244"/>
      <c r="AT71" s="244"/>
      <c r="AU71" s="244"/>
      <c r="AV71" s="244"/>
    </row>
    <row r="72">
      <c r="A72" s="244"/>
      <c r="B72" s="244"/>
      <c r="C72" s="244"/>
      <c r="D72" s="244"/>
      <c r="E72" s="244"/>
      <c r="F72" s="244"/>
      <c r="G72" s="244"/>
      <c r="H72" s="244"/>
      <c r="I72" s="244"/>
      <c r="J72" s="244"/>
      <c r="K72" s="244"/>
      <c r="L72" s="244"/>
      <c r="M72" s="244"/>
      <c r="N72" s="244"/>
      <c r="O72" s="244"/>
      <c r="P72" s="244"/>
      <c r="Q72" s="244"/>
      <c r="R72" s="244"/>
      <c r="S72" s="244"/>
      <c r="T72" s="244"/>
      <c r="U72" s="244"/>
      <c r="V72" s="244"/>
      <c r="W72" s="244"/>
      <c r="X72" s="244"/>
      <c r="Y72" s="244"/>
      <c r="Z72" s="244"/>
      <c r="AA72" s="244"/>
      <c r="AB72" s="244"/>
      <c r="AC72" s="244"/>
      <c r="AD72" s="244"/>
      <c r="AE72" s="244"/>
      <c r="AF72" s="244"/>
      <c r="AG72" s="244"/>
      <c r="AH72" s="244"/>
      <c r="AI72" s="244"/>
      <c r="AJ72" s="244"/>
      <c r="AK72" s="244"/>
      <c r="AL72" s="244"/>
      <c r="AM72" s="244"/>
      <c r="AN72" s="244"/>
      <c r="AO72" s="244"/>
      <c r="AP72" s="244"/>
      <c r="AQ72" s="244"/>
      <c r="AR72" s="244"/>
      <c r="AS72" s="244"/>
      <c r="AT72" s="244"/>
      <c r="AU72" s="244"/>
      <c r="AV72" s="244"/>
    </row>
    <row r="73">
      <c r="A73" s="244"/>
      <c r="B73" s="244"/>
      <c r="C73" s="244"/>
      <c r="D73" s="244"/>
      <c r="E73" s="244"/>
      <c r="F73" s="244"/>
      <c r="G73" s="244"/>
      <c r="H73" s="244"/>
      <c r="I73" s="244"/>
      <c r="J73" s="244"/>
      <c r="K73" s="244"/>
      <c r="L73" s="244"/>
      <c r="M73" s="244"/>
      <c r="N73" s="244"/>
      <c r="O73" s="244"/>
      <c r="P73" s="244"/>
      <c r="Q73" s="244"/>
      <c r="R73" s="244"/>
      <c r="S73" s="244"/>
      <c r="T73" s="244"/>
      <c r="U73" s="244"/>
      <c r="V73" s="244"/>
      <c r="W73" s="244"/>
      <c r="X73" s="244"/>
      <c r="Y73" s="244"/>
      <c r="Z73" s="244"/>
      <c r="AA73" s="244"/>
      <c r="AB73" s="244"/>
      <c r="AC73" s="244"/>
      <c r="AD73" s="244"/>
      <c r="AE73" s="244"/>
      <c r="AF73" s="244"/>
      <c r="AG73" s="244"/>
      <c r="AH73" s="244"/>
      <c r="AI73" s="244"/>
      <c r="AJ73" s="244"/>
      <c r="AK73" s="244"/>
      <c r="AL73" s="244"/>
      <c r="AM73" s="244"/>
      <c r="AN73" s="244"/>
      <c r="AO73" s="244"/>
      <c r="AP73" s="244"/>
      <c r="AQ73" s="244"/>
      <c r="AR73" s="244"/>
      <c r="AS73" s="244"/>
      <c r="AT73" s="244"/>
      <c r="AU73" s="244"/>
      <c r="AV73" s="244"/>
    </row>
    <row r="74">
      <c r="A74" s="244"/>
      <c r="B74" s="244"/>
      <c r="C74" s="244"/>
      <c r="D74" s="244"/>
      <c r="E74" s="244"/>
      <c r="F74" s="244"/>
      <c r="G74" s="244"/>
      <c r="H74" s="244"/>
      <c r="I74" s="244"/>
      <c r="J74" s="244"/>
      <c r="K74" s="244"/>
      <c r="L74" s="244"/>
      <c r="M74" s="244"/>
      <c r="N74" s="244"/>
      <c r="O74" s="244"/>
      <c r="P74" s="244"/>
      <c r="Q74" s="244"/>
      <c r="R74" s="244"/>
      <c r="S74" s="244"/>
      <c r="T74" s="244"/>
      <c r="U74" s="244"/>
      <c r="V74" s="244"/>
      <c r="W74" s="244"/>
      <c r="X74" s="244"/>
      <c r="Y74" s="244"/>
      <c r="Z74" s="244"/>
      <c r="AA74" s="244"/>
      <c r="AB74" s="244"/>
      <c r="AC74" s="244"/>
      <c r="AD74" s="244"/>
      <c r="AE74" s="244"/>
      <c r="AF74" s="244"/>
      <c r="AG74" s="244"/>
      <c r="AH74" s="244"/>
      <c r="AI74" s="244"/>
      <c r="AJ74" s="244"/>
      <c r="AK74" s="244"/>
      <c r="AL74" s="244"/>
      <c r="AM74" s="244"/>
      <c r="AN74" s="244"/>
      <c r="AO74" s="244"/>
      <c r="AP74" s="244"/>
      <c r="AQ74" s="244"/>
      <c r="AR74" s="244"/>
      <c r="AS74" s="244"/>
      <c r="AT74" s="244"/>
      <c r="AU74" s="244"/>
      <c r="AV74" s="244"/>
    </row>
    <row r="75">
      <c r="A75" s="244"/>
      <c r="B75" s="244"/>
      <c r="C75" s="244"/>
      <c r="D75" s="244"/>
      <c r="E75" s="244"/>
      <c r="F75" s="244"/>
      <c r="G75" s="244"/>
      <c r="H75" s="244"/>
      <c r="I75" s="244"/>
      <c r="J75" s="244"/>
      <c r="K75" s="244"/>
      <c r="L75" s="244"/>
      <c r="M75" s="244"/>
      <c r="N75" s="244"/>
      <c r="O75" s="244"/>
      <c r="P75" s="244"/>
      <c r="Q75" s="244"/>
      <c r="R75" s="244"/>
      <c r="S75" s="244"/>
      <c r="T75" s="244"/>
      <c r="U75" s="244"/>
      <c r="V75" s="244"/>
      <c r="W75" s="244"/>
      <c r="X75" s="244"/>
      <c r="Y75" s="244"/>
      <c r="Z75" s="244"/>
      <c r="AA75" s="244"/>
      <c r="AB75" s="244"/>
      <c r="AC75" s="244"/>
      <c r="AD75" s="244"/>
      <c r="AE75" s="244"/>
      <c r="AF75" s="244"/>
      <c r="AG75" s="244"/>
      <c r="AH75" s="244"/>
      <c r="AI75" s="244"/>
      <c r="AJ75" s="244"/>
      <c r="AK75" s="244"/>
      <c r="AL75" s="244"/>
      <c r="AM75" s="244"/>
      <c r="AN75" s="244"/>
      <c r="AO75" s="244"/>
      <c r="AP75" s="244"/>
      <c r="AQ75" s="244"/>
      <c r="AR75" s="244"/>
      <c r="AS75" s="244"/>
      <c r="AT75" s="244"/>
      <c r="AU75" s="244"/>
      <c r="AV75" s="244"/>
    </row>
    <row r="76">
      <c r="A76" s="244"/>
      <c r="B76" s="244"/>
      <c r="C76" s="244"/>
      <c r="D76" s="244"/>
      <c r="E76" s="244"/>
      <c r="F76" s="244"/>
      <c r="G76" s="244"/>
      <c r="H76" s="244"/>
      <c r="I76" s="244"/>
      <c r="J76" s="244"/>
      <c r="K76" s="244"/>
      <c r="L76" s="244"/>
      <c r="M76" s="244"/>
      <c r="N76" s="244"/>
      <c r="O76" s="244"/>
      <c r="P76" s="244"/>
      <c r="Q76" s="244"/>
      <c r="R76" s="244"/>
      <c r="S76" s="244"/>
      <c r="T76" s="244"/>
      <c r="U76" s="244"/>
      <c r="V76" s="244"/>
      <c r="W76" s="244"/>
      <c r="X76" s="244"/>
      <c r="Y76" s="244"/>
      <c r="Z76" s="244"/>
      <c r="AA76" s="244"/>
      <c r="AB76" s="244"/>
      <c r="AC76" s="244"/>
      <c r="AD76" s="244"/>
      <c r="AE76" s="244"/>
      <c r="AF76" s="244"/>
      <c r="AG76" s="244"/>
      <c r="AH76" s="244"/>
      <c r="AI76" s="244"/>
      <c r="AJ76" s="244"/>
      <c r="AK76" s="244"/>
      <c r="AL76" s="244"/>
      <c r="AM76" s="244"/>
      <c r="AN76" s="244"/>
      <c r="AO76" s="244"/>
      <c r="AP76" s="244"/>
      <c r="AQ76" s="244"/>
      <c r="AR76" s="244"/>
      <c r="AS76" s="244"/>
      <c r="AT76" s="244"/>
      <c r="AU76" s="244"/>
      <c r="AV76" s="244"/>
    </row>
    <row r="77">
      <c r="A77" s="244"/>
      <c r="B77" s="244"/>
      <c r="C77" s="244"/>
      <c r="D77" s="244"/>
      <c r="E77" s="244"/>
      <c r="F77" s="244"/>
      <c r="G77" s="244"/>
      <c r="H77" s="244"/>
      <c r="I77" s="244"/>
      <c r="J77" s="244"/>
      <c r="K77" s="244"/>
      <c r="L77" s="244"/>
      <c r="M77" s="244"/>
      <c r="N77" s="244"/>
      <c r="O77" s="244"/>
      <c r="P77" s="244"/>
      <c r="Q77" s="244"/>
      <c r="R77" s="244"/>
      <c r="S77" s="244"/>
      <c r="T77" s="244"/>
      <c r="U77" s="244"/>
      <c r="V77" s="244"/>
      <c r="W77" s="244"/>
      <c r="X77" s="244"/>
      <c r="Y77" s="244"/>
      <c r="Z77" s="244"/>
      <c r="AA77" s="244"/>
      <c r="AB77" s="244"/>
      <c r="AC77" s="244"/>
      <c r="AD77" s="244"/>
      <c r="AE77" s="244"/>
      <c r="AF77" s="244"/>
      <c r="AG77" s="244"/>
      <c r="AH77" s="244"/>
      <c r="AI77" s="244"/>
      <c r="AJ77" s="244"/>
      <c r="AK77" s="244"/>
      <c r="AL77" s="244"/>
      <c r="AM77" s="244"/>
      <c r="AN77" s="244"/>
      <c r="AO77" s="244"/>
      <c r="AP77" s="244"/>
      <c r="AQ77" s="244"/>
      <c r="AR77" s="244"/>
      <c r="AS77" s="244"/>
      <c r="AT77" s="244"/>
      <c r="AU77" s="244"/>
      <c r="AV77" s="244"/>
    </row>
    <row r="78">
      <c r="A78" s="244"/>
      <c r="B78" s="244"/>
      <c r="C78" s="244"/>
      <c r="D78" s="244"/>
      <c r="E78" s="244"/>
      <c r="F78" s="244"/>
      <c r="G78" s="244"/>
      <c r="H78" s="244"/>
      <c r="I78" s="244"/>
      <c r="J78" s="244"/>
      <c r="K78" s="244"/>
      <c r="L78" s="244"/>
      <c r="M78" s="244"/>
      <c r="N78" s="244"/>
      <c r="O78" s="244"/>
      <c r="P78" s="244"/>
      <c r="Q78" s="244"/>
      <c r="R78" s="244"/>
      <c r="S78" s="244"/>
      <c r="T78" s="244"/>
      <c r="U78" s="244"/>
      <c r="V78" s="244"/>
      <c r="W78" s="244"/>
      <c r="X78" s="244"/>
      <c r="Y78" s="244"/>
      <c r="Z78" s="244"/>
      <c r="AA78" s="244"/>
      <c r="AB78" s="244"/>
      <c r="AC78" s="244"/>
      <c r="AD78" s="244"/>
      <c r="AE78" s="244"/>
      <c r="AF78" s="244"/>
      <c r="AG78" s="244"/>
      <c r="AH78" s="244"/>
      <c r="AI78" s="244"/>
      <c r="AJ78" s="244"/>
      <c r="AK78" s="244"/>
      <c r="AL78" s="244"/>
      <c r="AM78" s="244"/>
      <c r="AN78" s="244"/>
      <c r="AO78" s="244"/>
      <c r="AP78" s="244"/>
      <c r="AQ78" s="244"/>
      <c r="AR78" s="244"/>
      <c r="AS78" s="244"/>
      <c r="AT78" s="244"/>
      <c r="AU78" s="244"/>
      <c r="AV78" s="244"/>
    </row>
    <row r="79">
      <c r="A79" s="244"/>
      <c r="B79" s="244"/>
      <c r="C79" s="244"/>
      <c r="D79" s="244"/>
      <c r="E79" s="244"/>
      <c r="F79" s="244"/>
      <c r="G79" s="244"/>
      <c r="H79" s="244"/>
      <c r="I79" s="244"/>
      <c r="J79" s="244"/>
      <c r="K79" s="244"/>
      <c r="L79" s="244"/>
      <c r="M79" s="244"/>
      <c r="N79" s="244"/>
      <c r="O79" s="244"/>
      <c r="P79" s="244"/>
      <c r="Q79" s="244"/>
      <c r="R79" s="244"/>
      <c r="S79" s="244"/>
      <c r="T79" s="244"/>
      <c r="U79" s="244"/>
      <c r="V79" s="244"/>
      <c r="W79" s="244"/>
      <c r="X79" s="244"/>
      <c r="Y79" s="244"/>
      <c r="Z79" s="244"/>
      <c r="AA79" s="244"/>
      <c r="AB79" s="244"/>
      <c r="AC79" s="244"/>
      <c r="AD79" s="244"/>
      <c r="AE79" s="244"/>
      <c r="AF79" s="244"/>
      <c r="AG79" s="244"/>
      <c r="AH79" s="244"/>
      <c r="AI79" s="244"/>
      <c r="AJ79" s="244"/>
      <c r="AK79" s="244"/>
      <c r="AL79" s="244"/>
      <c r="AM79" s="244"/>
      <c r="AN79" s="244"/>
      <c r="AO79" s="244"/>
      <c r="AP79" s="244"/>
      <c r="AQ79" s="244"/>
      <c r="AR79" s="244"/>
      <c r="AS79" s="244"/>
      <c r="AT79" s="244"/>
      <c r="AU79" s="244"/>
      <c r="AV79" s="244"/>
    </row>
    <row r="80">
      <c r="A80" s="244"/>
      <c r="B80" s="244"/>
      <c r="C80" s="244"/>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row>
    <row r="81">
      <c r="A81" s="244"/>
      <c r="B81" s="244"/>
      <c r="C81" s="244"/>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row>
    <row r="82">
      <c r="A82" s="244"/>
      <c r="B82" s="244"/>
      <c r="C82" s="244"/>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row>
    <row r="83">
      <c r="A83" s="244"/>
      <c r="B83" s="244"/>
      <c r="C83" s="244"/>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row>
    <row r="84">
      <c r="A84" s="244"/>
      <c r="B84" s="244"/>
      <c r="C84" s="244"/>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row>
  </sheetData>
  <mergeCells count="11">
    <mergeCell ref="B40:S40"/>
    <mergeCell ref="D25:F25"/>
    <mergeCell ref="H25:J25"/>
    <mergeCell ref="L25:N25"/>
    <mergeCell ref="P25:R25"/>
    <mergeCell ref="B6:S6"/>
    <mergeCell ref="B23:S23"/>
    <mergeCell ref="D8:F8"/>
    <mergeCell ref="H8:J8"/>
    <mergeCell ref="L8:N8"/>
    <mergeCell ref="P8:R8"/>
  </mergeCells>
  <phoneticPr fontId="0" type="noConversion"/>
  <printOptions horizontalCentered="1" verticalCentered="1"/>
  <pageMargins left="0.25" right="0.25" top="0.3" bottom="0.3" header="0" footer="0"/>
  <pageSetup scale="89" orientation="landscape" r:id="rId1"/>
  <headerFooter alignWithMargins="0">
    <oddHeader/>
    <oddFooter/>
  </headerFooter>
  <drawing r:id="rId26"/>
</worksheet>
</file>

<file path=xl/worksheets/sheet2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5">
    <pageSetUpPr fitToPage="1"/>
  </sheetPr>
  <dimension ref="A1:BM103"/>
  <sheetViews>
    <sheetView showGridLines="0" zoomScale="65" zoomScaleNormal="75" workbookViewId="0"/>
  </sheetViews>
  <sheetFormatPr defaultRowHeight="12.75"/>
  <cols>
    <col min="1" max="1" width="1" customWidth="1"/>
    <col min="2" max="2" width="20.28515625" customWidth="1"/>
    <col min="3" max="33" width="8.28515625" customWidth="1"/>
    <col min="34" max="34" width="1.7109375" customWidth="1"/>
    <col min="35" max="37" width="8.28515625" customWidth="1"/>
    <col min="38" max="38" width="3.7109375" customWidth="1"/>
    <col min="39" max="40" width="9.28515625" customWidth="1"/>
  </cols>
  <sheetData>
    <row r="1" ht="36" customHeight="1">
      <c r="A1" s="6"/>
      <c r="B1" s="39" t="s">
        <v>119</v>
      </c>
      <c r="AM1" s="244"/>
      <c r="AN1" s="244"/>
      <c r="AO1" s="244"/>
      <c r="AP1" s="244"/>
      <c r="AQ1" s="244"/>
      <c r="AR1" s="244"/>
      <c r="AS1" s="244"/>
      <c r="AT1" s="244"/>
      <c r="AU1" s="244"/>
      <c r="AV1" s="244"/>
      <c r="AW1" s="244"/>
      <c r="AX1" s="244"/>
      <c r="AY1" s="244"/>
      <c r="AZ1" s="244"/>
      <c r="BA1" s="244"/>
      <c r="BB1" s="244"/>
      <c r="BC1" s="244"/>
      <c r="BD1" s="244"/>
      <c r="BE1" s="244"/>
      <c r="BF1" s="244"/>
      <c r="BG1" s="244"/>
      <c r="BH1" s="244"/>
      <c r="BI1" s="244"/>
      <c r="BJ1" s="244"/>
      <c r="BK1" s="244"/>
      <c r="BL1" s="244"/>
      <c r="BM1" s="244"/>
    </row>
    <row r="2" ht="15" customHeight="1">
      <c r="A2" s="5"/>
      <c r="B2" s="10" t="s">
        <v>141</v>
      </c>
      <c r="AD2" s="9"/>
      <c r="AE2" s="9"/>
      <c r="AF2" s="216"/>
      <c r="AG2" s="176"/>
      <c r="AI2" s="216"/>
      <c r="AM2" s="244"/>
      <c r="AN2" s="244"/>
      <c r="AO2" s="244"/>
      <c r="AP2" s="244"/>
      <c r="AQ2" s="244"/>
      <c r="AR2" s="244"/>
      <c r="AS2" s="244"/>
      <c r="AT2" s="244"/>
      <c r="AU2" s="244"/>
      <c r="AV2" s="244"/>
      <c r="AW2" s="244"/>
      <c r="AX2" s="244"/>
      <c r="AY2" s="244"/>
      <c r="AZ2" s="244"/>
      <c r="BA2" s="244"/>
      <c r="BB2" s="244"/>
      <c r="BC2" s="244"/>
      <c r="BD2" s="244"/>
      <c r="BE2" s="244"/>
      <c r="BF2" s="244"/>
      <c r="BG2" s="244"/>
      <c r="BH2" s="244"/>
      <c r="BI2" s="244"/>
      <c r="BJ2" s="244"/>
      <c r="BK2" s="244"/>
      <c r="BL2" s="244"/>
      <c r="BM2" s="244"/>
    </row>
    <row r="3" ht="15" customHeight="1">
      <c r="A3" s="5"/>
      <c r="B3" s="10" t="s">
        <v>142</v>
      </c>
      <c r="AF3" s="176"/>
      <c r="AG3" s="176"/>
      <c r="AM3" s="244"/>
      <c r="AN3" s="244"/>
      <c r="AO3" s="244"/>
      <c r="AP3" s="244"/>
      <c r="AQ3" s="244"/>
      <c r="AR3" s="244"/>
      <c r="AS3" s="244"/>
      <c r="AT3" s="244"/>
      <c r="AU3" s="244"/>
      <c r="AV3" s="244"/>
      <c r="AW3" s="244"/>
      <c r="AX3" s="244"/>
      <c r="AY3" s="244"/>
      <c r="AZ3" s="244"/>
      <c r="BA3" s="244"/>
      <c r="BB3" s="244"/>
      <c r="BC3" s="244"/>
      <c r="BD3" s="244"/>
      <c r="BE3" s="244"/>
      <c r="BF3" s="244"/>
      <c r="BG3" s="244"/>
      <c r="BH3" s="244"/>
      <c r="BI3" s="244"/>
      <c r="BJ3" s="244"/>
      <c r="BK3" s="244"/>
      <c r="BL3" s="244"/>
      <c r="BM3" s="244"/>
    </row>
    <row r="4" ht="15" customHeight="1">
      <c r="A4" s="5"/>
      <c r="B4" s="4" t="s">
        <v>143</v>
      </c>
      <c r="T4" s="652"/>
      <c r="U4" s="652"/>
      <c r="V4" s="652"/>
      <c r="W4" s="652"/>
      <c r="X4" s="652"/>
      <c r="Y4" s="652"/>
      <c r="Z4" s="652"/>
      <c r="AA4" s="652"/>
      <c r="AB4" s="652"/>
      <c r="AC4" s="652"/>
      <c r="AD4" s="652"/>
      <c r="AE4" s="652"/>
      <c r="AF4" s="652"/>
      <c r="AG4" s="652"/>
      <c r="AH4" s="652"/>
      <c r="AI4" s="652"/>
      <c r="AM4" s="244"/>
      <c r="AN4" s="244"/>
      <c r="AO4" s="244"/>
      <c r="AP4" s="244"/>
      <c r="AQ4" s="244"/>
      <c r="AR4" s="244"/>
      <c r="AS4" s="244"/>
      <c r="AT4" s="244"/>
      <c r="AU4" s="244"/>
      <c r="AV4" s="244"/>
      <c r="AW4" s="244"/>
      <c r="AX4" s="244"/>
      <c r="AY4" s="244"/>
      <c r="AZ4" s="244"/>
      <c r="BA4" s="244"/>
      <c r="BB4" s="244"/>
      <c r="BC4" s="244"/>
      <c r="BD4" s="244"/>
      <c r="BE4" s="244"/>
      <c r="BF4" s="244"/>
      <c r="BG4" s="244"/>
      <c r="BH4" s="244"/>
      <c r="BI4" s="244"/>
      <c r="BJ4" s="244"/>
      <c r="BK4" s="244"/>
      <c r="BL4" s="244"/>
      <c r="BM4" s="244"/>
    </row>
    <row r="5" ht="24" customHeight="1">
      <c r="A5" s="5"/>
      <c r="AM5" s="244"/>
      <c r="AN5" s="244"/>
      <c r="AO5" s="244"/>
      <c r="AP5" s="244"/>
      <c r="AQ5" s="244"/>
      <c r="AR5" s="244"/>
      <c r="AS5" s="244"/>
      <c r="AT5" s="244"/>
      <c r="AU5" s="244"/>
      <c r="AV5" s="244"/>
      <c r="AW5" s="244"/>
      <c r="AX5" s="244"/>
      <c r="AY5" s="244"/>
      <c r="AZ5" s="244"/>
      <c r="BA5" s="244"/>
      <c r="BB5" s="244"/>
      <c r="BC5" s="244"/>
      <c r="BD5" s="244"/>
      <c r="BE5" s="244"/>
      <c r="BF5" s="244"/>
      <c r="BG5" s="244"/>
      <c r="BH5" s="244"/>
      <c r="BI5" s="244"/>
      <c r="BJ5" s="244"/>
      <c r="BK5" s="244"/>
      <c r="BL5" s="244"/>
      <c r="BM5" s="244"/>
    </row>
    <row r="6" ht="24" customHeight="1">
      <c r="A6" s="5"/>
      <c r="B6" t="s">
        <v>144</v>
      </c>
      <c r="AM6" s="244"/>
      <c r="AN6" s="244"/>
      <c r="AO6" s="244"/>
      <c r="AP6" s="244"/>
      <c r="AQ6" s="244"/>
      <c r="AR6" s="244"/>
      <c r="AS6" s="244"/>
      <c r="AT6" s="244"/>
      <c r="AU6" s="244"/>
      <c r="AV6" s="244"/>
      <c r="AW6" s="244"/>
      <c r="AX6" s="244"/>
      <c r="AY6" s="244"/>
      <c r="AZ6" s="244"/>
      <c r="BA6" s="244"/>
      <c r="BB6" s="244"/>
      <c r="BC6" s="244"/>
      <c r="BD6" s="244"/>
      <c r="BE6" s="244"/>
      <c r="BF6" s="244"/>
      <c r="BG6" s="244"/>
      <c r="BH6" s="244"/>
      <c r="BI6" s="244"/>
      <c r="BJ6" s="244"/>
      <c r="BK6" s="244"/>
      <c r="BL6" s="244"/>
      <c r="BM6" s="244"/>
    </row>
    <row r="7" ht="24" customHeight="1">
      <c r="A7" s="5"/>
      <c r="Y7" s="26"/>
      <c r="Z7" s="26"/>
      <c r="AA7" s="26"/>
      <c r="AB7" s="26"/>
      <c r="AC7" s="26"/>
      <c r="AM7" s="244"/>
      <c r="AN7" s="244"/>
      <c r="AO7" s="244"/>
      <c r="AP7" s="244"/>
      <c r="AQ7" s="244"/>
      <c r="AR7" s="244"/>
      <c r="AS7" s="244"/>
      <c r="AT7" s="244"/>
      <c r="AU7" s="244"/>
      <c r="AV7" s="244"/>
      <c r="AW7" s="244"/>
      <c r="AX7" s="244"/>
      <c r="AY7" s="244"/>
      <c r="AZ7" s="244"/>
      <c r="BA7" s="244"/>
      <c r="BB7" s="244"/>
      <c r="BC7" s="244"/>
      <c r="BD7" s="244"/>
      <c r="BE7" s="244"/>
      <c r="BF7" s="244"/>
      <c r="BG7" s="244"/>
      <c r="BH7" s="244"/>
      <c r="BI7" s="244"/>
      <c r="BJ7" s="244"/>
      <c r="BK7" s="244"/>
      <c r="BL7" s="244"/>
      <c r="BM7" s="244"/>
    </row>
    <row r="8" ht="24" customHeight="1">
      <c r="A8" s="5"/>
      <c r="AM8" s="244"/>
      <c r="AN8" s="244"/>
      <c r="AO8" s="244"/>
      <c r="AP8" s="244"/>
      <c r="AQ8" s="244"/>
      <c r="AR8" s="244"/>
      <c r="AS8" s="244"/>
      <c r="AT8" s="244"/>
      <c r="AU8" s="244"/>
      <c r="AV8" s="244"/>
      <c r="AW8" s="244"/>
      <c r="AX8" s="244"/>
      <c r="AY8" s="244"/>
      <c r="AZ8" s="244"/>
      <c r="BA8" s="244"/>
      <c r="BB8" s="244"/>
      <c r="BC8" s="244"/>
      <c r="BD8" s="244"/>
      <c r="BE8" s="244"/>
      <c r="BF8" s="244"/>
      <c r="BG8" s="244"/>
      <c r="BH8" s="244"/>
      <c r="BI8" s="244"/>
      <c r="BJ8" s="244"/>
      <c r="BK8" s="244"/>
      <c r="BL8" s="244"/>
      <c r="BM8" s="244"/>
    </row>
    <row r="9" ht="24" customHeight="1">
      <c r="A9" s="5"/>
      <c r="AM9" s="244"/>
      <c r="AN9" s="244"/>
      <c r="AO9" s="244"/>
      <c r="AP9" s="244"/>
      <c r="AQ9" s="244"/>
      <c r="AR9" s="244"/>
      <c r="AS9" s="244"/>
      <c r="AT9" s="244"/>
      <c r="AU9" s="244"/>
      <c r="AV9" s="244"/>
      <c r="AW9" s="244"/>
      <c r="AX9" s="244"/>
      <c r="AY9" s="244"/>
      <c r="AZ9" s="244"/>
      <c r="BA9" s="244"/>
      <c r="BB9" s="244"/>
      <c r="BC9" s="244"/>
      <c r="BD9" s="244"/>
      <c r="BE9" s="244"/>
      <c r="BF9" s="244"/>
      <c r="BG9" s="244"/>
      <c r="BH9" s="244"/>
      <c r="BI9" s="244"/>
      <c r="BJ9" s="244"/>
      <c r="BK9" s="244"/>
      <c r="BL9" s="244"/>
      <c r="BM9" s="244"/>
    </row>
    <row r="10" ht="24" customHeight="1">
      <c r="A10" s="5"/>
      <c r="AM10" s="244"/>
      <c r="AN10" s="244"/>
      <c r="AO10" s="244"/>
      <c r="AP10" s="244"/>
      <c r="AQ10" s="244"/>
      <c r="AR10" s="244"/>
      <c r="AS10" s="244"/>
      <c r="AT10" s="244"/>
      <c r="AU10" s="244"/>
      <c r="AV10" s="244"/>
      <c r="AW10" s="244"/>
      <c r="AX10" s="244"/>
      <c r="AY10" s="244"/>
      <c r="AZ10" s="244"/>
      <c r="BA10" s="244"/>
      <c r="BB10" s="244"/>
      <c r="BC10" s="244"/>
      <c r="BD10" s="244"/>
      <c r="BE10" s="244"/>
      <c r="BF10" s="244"/>
      <c r="BG10" s="244"/>
      <c r="BH10" s="244"/>
      <c r="BI10" s="244"/>
      <c r="BJ10" s="244"/>
      <c r="BK10" s="244"/>
      <c r="BL10" s="244"/>
      <c r="BM10" s="244"/>
    </row>
    <row r="11" ht="24" customHeight="1">
      <c r="A11" s="5"/>
      <c r="AM11" s="244"/>
      <c r="AN11" s="244"/>
      <c r="AO11" s="244"/>
      <c r="AP11" s="244"/>
      <c r="AQ11" s="244"/>
      <c r="AR11" s="244"/>
      <c r="AS11" s="244"/>
      <c r="AT11" s="244"/>
      <c r="AU11" s="244"/>
      <c r="AV11" s="244"/>
      <c r="AW11" s="244"/>
      <c r="AX11" s="244"/>
      <c r="AY11" s="244"/>
      <c r="AZ11" s="244"/>
      <c r="BA11" s="244"/>
      <c r="BB11" s="244"/>
      <c r="BC11" s="244"/>
      <c r="BD11" s="244"/>
      <c r="BE11" s="244"/>
      <c r="BF11" s="244"/>
      <c r="BG11" s="244"/>
      <c r="BH11" s="244"/>
      <c r="BI11" s="244"/>
      <c r="BJ11" s="244"/>
      <c r="BK11" s="244"/>
      <c r="BL11" s="244"/>
      <c r="BM11" s="244"/>
    </row>
    <row r="12" ht="24" customHeight="1">
      <c r="A12" s="5"/>
      <c r="AM12" s="244"/>
      <c r="AN12" s="244"/>
      <c r="AO12" s="244"/>
      <c r="AP12" s="244"/>
      <c r="AQ12" s="244"/>
      <c r="AR12" s="244"/>
      <c r="AS12" s="244"/>
      <c r="AT12" s="244"/>
      <c r="AU12" s="244"/>
      <c r="AV12" s="244"/>
      <c r="AW12" s="244"/>
      <c r="AX12" s="244"/>
      <c r="AY12" s="244"/>
      <c r="AZ12" s="244"/>
      <c r="BA12" s="244"/>
      <c r="BB12" s="244"/>
      <c r="BC12" s="244"/>
      <c r="BD12" s="244"/>
      <c r="BE12" s="244"/>
      <c r="BF12" s="244"/>
      <c r="BG12" s="244"/>
      <c r="BH12" s="244"/>
      <c r="BI12" s="244"/>
      <c r="BJ12" s="244"/>
      <c r="BK12" s="244"/>
      <c r="BL12" s="244"/>
      <c r="BM12" s="244"/>
    </row>
    <row r="13" ht="24" customHeight="1">
      <c r="A13" s="5"/>
      <c r="AM13" s="244"/>
      <c r="AN13" s="244"/>
      <c r="AO13" s="244"/>
      <c r="AP13" s="244"/>
      <c r="AQ13" s="244"/>
      <c r="AR13" s="244"/>
      <c r="AS13" s="244"/>
      <c r="AT13" s="244"/>
      <c r="AU13" s="244"/>
      <c r="AV13" s="244"/>
      <c r="AW13" s="244"/>
      <c r="AX13" s="244"/>
      <c r="AY13" s="244"/>
      <c r="AZ13" s="244"/>
      <c r="BA13" s="244"/>
      <c r="BB13" s="244"/>
      <c r="BC13" s="244"/>
      <c r="BD13" s="244"/>
      <c r="BE13" s="244"/>
      <c r="BF13" s="244"/>
      <c r="BG13" s="244"/>
      <c r="BH13" s="244"/>
      <c r="BI13" s="244"/>
      <c r="BJ13" s="244"/>
      <c r="BK13" s="244"/>
      <c r="BL13" s="244"/>
      <c r="BM13" s="244"/>
    </row>
    <row r="14" ht="24" customHeight="1">
      <c r="A14" s="5"/>
      <c r="AM14" s="244"/>
      <c r="AN14" s="244"/>
      <c r="AO14" s="244"/>
      <c r="AP14" s="244"/>
      <c r="AQ14" s="244"/>
      <c r="AR14" s="244"/>
      <c r="AS14" s="244"/>
      <c r="AT14" s="244"/>
      <c r="AU14" s="244"/>
      <c r="AV14" s="244"/>
      <c r="AW14" s="244"/>
      <c r="AX14" s="244"/>
      <c r="AY14" s="244"/>
      <c r="AZ14" s="244"/>
      <c r="BA14" s="244"/>
      <c r="BB14" s="244"/>
      <c r="BC14" s="244"/>
      <c r="BD14" s="244"/>
      <c r="BE14" s="244"/>
      <c r="BF14" s="244"/>
      <c r="BG14" s="244"/>
      <c r="BH14" s="244"/>
      <c r="BI14" s="244"/>
      <c r="BJ14" s="244"/>
      <c r="BK14" s="244"/>
      <c r="BL14" s="244"/>
      <c r="BM14" s="244"/>
    </row>
    <row r="15" ht="24" customHeight="1">
      <c r="A15" s="5"/>
      <c r="AM15" s="244"/>
      <c r="AN15" s="244"/>
      <c r="AO15" s="244"/>
      <c r="AP15" s="244"/>
      <c r="AQ15" s="244"/>
      <c r="AR15" s="244"/>
      <c r="AS15" s="244"/>
      <c r="AT15" s="244"/>
      <c r="AU15" s="244"/>
      <c r="AV15" s="244"/>
      <c r="AW15" s="244"/>
      <c r="AX15" s="244"/>
      <c r="AY15" s="244"/>
      <c r="AZ15" s="244"/>
      <c r="BA15" s="244"/>
      <c r="BB15" s="244"/>
      <c r="BC15" s="244"/>
      <c r="BD15" s="244"/>
      <c r="BE15" s="244"/>
      <c r="BF15" s="244"/>
      <c r="BG15" s="244"/>
      <c r="BH15" s="244"/>
      <c r="BI15" s="244"/>
      <c r="BJ15" s="244"/>
      <c r="BK15" s="244"/>
      <c r="BL15" s="244"/>
      <c r="BM15" s="244"/>
    </row>
    <row r="16" ht="24" customHeight="1">
      <c r="A16" s="5"/>
      <c r="AM16" s="244"/>
      <c r="AN16" s="244"/>
      <c r="AO16" s="244"/>
      <c r="AP16" s="244"/>
      <c r="AQ16" s="244"/>
      <c r="AR16" s="244"/>
      <c r="AS16" s="244"/>
      <c r="AT16" s="244"/>
      <c r="AU16" s="244"/>
      <c r="AV16" s="244"/>
      <c r="AW16" s="244"/>
      <c r="AX16" s="244"/>
      <c r="AY16" s="244"/>
      <c r="AZ16" s="244"/>
      <c r="BA16" s="244"/>
      <c r="BB16" s="244"/>
      <c r="BC16" s="244"/>
      <c r="BD16" s="244"/>
      <c r="BE16" s="244"/>
      <c r="BF16" s="244"/>
      <c r="BG16" s="244"/>
      <c r="BH16" s="244"/>
      <c r="BI16" s="244"/>
      <c r="BJ16" s="244"/>
      <c r="BK16" s="244"/>
      <c r="BL16" s="244"/>
      <c r="BM16" s="244"/>
    </row>
    <row r="17" ht="24" customHeight="1">
      <c r="A17" s="5"/>
      <c r="AM17" s="244"/>
      <c r="AN17" s="244"/>
      <c r="AO17" s="244"/>
      <c r="AP17" s="244"/>
      <c r="AQ17" s="244"/>
      <c r="AR17" s="244"/>
      <c r="AS17" s="244"/>
      <c r="AT17" s="244"/>
      <c r="AU17" s="244"/>
      <c r="AV17" s="244"/>
      <c r="AW17" s="244"/>
      <c r="AX17" s="244"/>
      <c r="AY17" s="244"/>
      <c r="AZ17" s="244"/>
      <c r="BA17" s="244"/>
      <c r="BB17" s="244"/>
      <c r="BC17" s="244"/>
      <c r="BD17" s="244"/>
      <c r="BE17" s="244"/>
      <c r="BF17" s="244"/>
      <c r="BG17" s="244"/>
      <c r="BH17" s="244"/>
      <c r="BI17" s="244"/>
      <c r="BJ17" s="244"/>
      <c r="BK17" s="244"/>
      <c r="BL17" s="244"/>
      <c r="BM17" s="244"/>
    </row>
    <row r="18" ht="24" customHeight="1">
      <c r="A18" s="5"/>
      <c r="AM18" s="244"/>
      <c r="AN18" s="244"/>
      <c r="AO18" s="244"/>
      <c r="AP18" s="244"/>
      <c r="AQ18" s="244"/>
      <c r="AR18" s="244"/>
      <c r="AS18" s="244"/>
      <c r="AT18" s="244"/>
      <c r="AU18" s="244"/>
      <c r="AV18" s="244"/>
      <c r="AW18" s="244"/>
      <c r="AX18" s="244"/>
      <c r="AY18" s="244"/>
      <c r="AZ18" s="244"/>
      <c r="BA18" s="244"/>
      <c r="BB18" s="244"/>
      <c r="BC18" s="244"/>
      <c r="BD18" s="244"/>
      <c r="BE18" s="244"/>
      <c r="BF18" s="244"/>
      <c r="BG18" s="244"/>
      <c r="BH18" s="244"/>
      <c r="BI18" s="244"/>
      <c r="BJ18" s="244"/>
      <c r="BK18" s="244"/>
      <c r="BL18" s="244"/>
      <c r="BM18" s="244"/>
    </row>
    <row r="19" ht="15" customHeight="1">
      <c r="A19" s="5"/>
      <c r="AM19" s="244"/>
      <c r="AN19" s="244"/>
      <c r="AO19" s="244"/>
      <c r="AP19" s="244"/>
      <c r="AQ19" s="244"/>
      <c r="AR19" s="244"/>
      <c r="AS19" s="244"/>
      <c r="AT19" s="244"/>
      <c r="AU19" s="244"/>
      <c r="AV19" s="244"/>
      <c r="AW19" s="244"/>
      <c r="AX19" s="244"/>
      <c r="AY19" s="244"/>
      <c r="AZ19" s="244"/>
      <c r="BA19" s="244"/>
      <c r="BB19" s="244"/>
      <c r="BC19" s="244"/>
      <c r="BD19" s="244"/>
      <c r="BE19" s="244"/>
      <c r="BF19" s="244"/>
      <c r="BG19" s="244"/>
      <c r="BH19" s="244"/>
      <c r="BI19" s="244"/>
      <c r="BJ19" s="244"/>
      <c r="BK19" s="244"/>
      <c r="BL19" s="244"/>
      <c r="BM19" s="244"/>
    </row>
    <row r="20" ht="15" customHeight="1">
      <c r="A20" s="5"/>
      <c r="AM20" s="244"/>
      <c r="AN20" s="244"/>
      <c r="AO20" s="244"/>
      <c r="AP20" s="244"/>
      <c r="AQ20" s="244"/>
      <c r="AR20" s="244"/>
      <c r="AS20" s="244"/>
      <c r="AT20" s="244"/>
      <c r="AU20" s="244"/>
      <c r="AV20" s="244"/>
      <c r="AW20" s="244"/>
      <c r="AX20" s="244"/>
      <c r="AY20" s="244"/>
      <c r="AZ20" s="244"/>
      <c r="BA20" s="244"/>
      <c r="BB20" s="244"/>
      <c r="BC20" s="244"/>
      <c r="BD20" s="244"/>
      <c r="BE20" s="244"/>
      <c r="BF20" s="244"/>
      <c r="BG20" s="244"/>
      <c r="BH20" s="244"/>
      <c r="BI20" s="244"/>
      <c r="BJ20" s="244"/>
      <c r="BK20" s="244"/>
      <c r="BL20" s="244"/>
      <c r="BM20" s="244"/>
    </row>
    <row r="21" ht="30.75" customHeight="1">
      <c r="AM21" s="244"/>
      <c r="AN21" s="244"/>
      <c r="AO21" s="244"/>
      <c r="AP21" s="244"/>
      <c r="AQ21" s="244"/>
      <c r="AR21" s="244"/>
      <c r="AS21" s="244"/>
      <c r="AT21" s="244"/>
      <c r="AU21" s="244"/>
      <c r="AV21" s="244"/>
      <c r="AW21" s="244"/>
      <c r="AX21" s="244"/>
      <c r="AY21" s="244"/>
      <c r="AZ21" s="244"/>
      <c r="BA21" s="244"/>
      <c r="BB21" s="244"/>
      <c r="BC21" s="244"/>
      <c r="BD21" s="244"/>
      <c r="BE21" s="244"/>
      <c r="BF21" s="244"/>
      <c r="BG21" s="244"/>
      <c r="BH21" s="244"/>
      <c r="BI21" s="244"/>
      <c r="BJ21" s="244"/>
      <c r="BK21" s="244"/>
      <c r="BL21" s="244"/>
      <c r="BM21" s="244"/>
    </row>
    <row r="22" ht="18" customHeight="1">
      <c r="A22" s="8"/>
      <c r="B22" s="29"/>
      <c r="X22" s="653"/>
      <c r="Y22" s="653"/>
      <c r="Z22" s="653"/>
      <c r="AA22" s="653"/>
      <c r="AB22" s="653"/>
      <c r="AC22" s="653"/>
      <c r="AD22" s="653"/>
      <c r="AM22" s="244"/>
      <c r="AN22" s="244"/>
      <c r="AO22" s="244"/>
      <c r="AP22" s="244"/>
      <c r="AQ22" s="244"/>
      <c r="AR22" s="244"/>
      <c r="AS22" s="244"/>
      <c r="AT22" s="244"/>
      <c r="AU22" s="244"/>
      <c r="AV22" s="244"/>
      <c r="AW22" s="244"/>
      <c r="AX22" s="244"/>
      <c r="AY22" s="244"/>
      <c r="AZ22" s="244"/>
      <c r="BA22" s="244"/>
      <c r="BB22" s="244"/>
      <c r="BC22" s="244"/>
      <c r="BD22" s="244"/>
      <c r="BE22" s="244"/>
      <c r="BF22" s="244"/>
      <c r="BG22" s="244"/>
      <c r="BH22" s="244"/>
      <c r="BI22" s="244"/>
      <c r="BJ22" s="244"/>
      <c r="BK22" s="244"/>
      <c r="BL22" s="244"/>
      <c r="BM22" s="244"/>
    </row>
    <row r="23" s="21" customFormat="1" ht="16.5">
      <c r="C23" s="50" t="s">
        <v>48</v>
      </c>
      <c r="D23" s="50" t="s">
        <v>50</v>
      </c>
      <c r="E23" s="50" t="s">
        <v>51</v>
      </c>
      <c r="F23" s="50" t="s">
        <v>52</v>
      </c>
      <c r="G23" s="50" t="s">
        <v>53</v>
      </c>
      <c r="H23" s="50" t="s">
        <v>49</v>
      </c>
      <c r="I23" s="50" t="s">
        <v>47</v>
      </c>
      <c r="J23" s="50" t="s">
        <v>48</v>
      </c>
      <c r="K23" s="50" t="s">
        <v>50</v>
      </c>
      <c r="L23" s="50" t="s">
        <v>51</v>
      </c>
      <c r="M23" s="50" t="s">
        <v>52</v>
      </c>
      <c r="N23" s="50" t="s">
        <v>53</v>
      </c>
      <c r="O23" s="50" t="s">
        <v>49</v>
      </c>
      <c r="P23" s="50" t="s">
        <v>47</v>
      </c>
      <c r="Q23" s="50" t="s">
        <v>48</v>
      </c>
      <c r="R23" s="50" t="s">
        <v>50</v>
      </c>
      <c r="S23" s="50" t="s">
        <v>51</v>
      </c>
      <c r="T23" s="50" t="s">
        <v>52</v>
      </c>
      <c r="U23" s="50" t="s">
        <v>53</v>
      </c>
      <c r="V23" s="50" t="s">
        <v>49</v>
      </c>
      <c r="W23" s="50" t="s">
        <v>47</v>
      </c>
      <c r="X23" s="50" t="s">
        <v>48</v>
      </c>
      <c r="Y23" s="50" t="s">
        <v>50</v>
      </c>
      <c r="Z23" s="50" t="s">
        <v>51</v>
      </c>
      <c r="AA23" s="50" t="s">
        <v>52</v>
      </c>
      <c r="AB23" s="50" t="s">
        <v>53</v>
      </c>
      <c r="AC23" s="50" t="s">
        <v>49</v>
      </c>
      <c r="AD23" s="50" t="s">
        <v>47</v>
      </c>
      <c r="AE23" s="50" t="s">
        <v>48</v>
      </c>
      <c r="AF23" s="50" t="s">
        <v>50</v>
      </c>
      <c r="AG23" s="50" t="s">
        <v>51</v>
      </c>
      <c r="AH23" s="0"/>
      <c r="AJ23" s="0"/>
      <c r="AK23" s="0"/>
      <c r="AL23" s="0"/>
      <c r="AM23" s="244"/>
      <c r="AN23" s="244"/>
      <c r="AO23" s="246"/>
      <c r="AP23" s="246"/>
      <c r="AQ23" s="246"/>
      <c r="AR23" s="246"/>
      <c r="AS23" s="246"/>
      <c r="AT23" s="246"/>
      <c r="AU23" s="246"/>
      <c r="AV23" s="246"/>
      <c r="AW23" s="246"/>
      <c r="AX23" s="246"/>
      <c r="AY23" s="246"/>
      <c r="AZ23" s="246"/>
      <c r="BA23" s="246"/>
      <c r="BB23" s="246"/>
      <c r="BC23" s="246"/>
      <c r="BD23" s="246"/>
      <c r="BE23" s="246"/>
      <c r="BF23" s="246"/>
      <c r="BG23" s="246"/>
      <c r="BH23" s="246"/>
      <c r="BI23" s="246"/>
      <c r="BJ23" s="246"/>
      <c r="BK23" s="246"/>
      <c r="BL23" s="246"/>
      <c r="BM23" s="246"/>
    </row>
    <row r="24" s="41" customFormat="1" ht="18">
      <c r="B24" s="615" t="s">
        <v>54</v>
      </c>
      <c r="C24" s="275" t="s">
        <v>145</v>
      </c>
      <c r="D24" s="276"/>
      <c r="E24" s="276"/>
      <c r="F24" s="276"/>
      <c r="G24" s="276"/>
      <c r="H24" s="276"/>
      <c r="I24" s="276"/>
      <c r="J24" s="276"/>
      <c r="K24" s="276"/>
      <c r="L24" s="276"/>
      <c r="M24" s="276"/>
      <c r="N24" s="276"/>
      <c r="O24" s="276"/>
      <c r="P24" s="276"/>
      <c r="Q24" s="276"/>
      <c r="R24" s="276"/>
      <c r="S24" s="277"/>
      <c r="T24" s="277"/>
      <c r="U24" s="277"/>
      <c r="V24" s="277"/>
      <c r="W24" s="277"/>
      <c r="X24" s="277"/>
      <c r="Y24" s="277"/>
      <c r="Z24" s="277"/>
      <c r="AA24" s="277"/>
      <c r="AB24" s="277"/>
      <c r="AC24" s="277"/>
      <c r="AD24" s="277"/>
      <c r="AE24" s="277"/>
      <c r="AF24" s="277"/>
      <c r="AG24" s="278"/>
      <c r="AH24" s="25"/>
      <c r="AI24" s="307" t="s">
        <v>59</v>
      </c>
      <c r="AJ24" s="307" t="s">
        <v>31</v>
      </c>
      <c r="AK24" s="307" t="s">
        <v>31</v>
      </c>
      <c r="AL24" s="25"/>
      <c r="AM24" s="248"/>
      <c r="AN24" s="248"/>
      <c r="AO24" s="253"/>
      <c r="AP24" s="253"/>
      <c r="AQ24" s="253"/>
      <c r="AR24" s="253"/>
      <c r="AS24" s="253"/>
      <c r="AT24" s="253"/>
      <c r="AU24" s="253"/>
      <c r="AV24" s="253"/>
      <c r="AW24" s="253"/>
      <c r="AX24" s="253"/>
      <c r="AY24" s="253"/>
      <c r="AZ24" s="253"/>
      <c r="BA24" s="253"/>
      <c r="BB24" s="253"/>
      <c r="BC24" s="253"/>
      <c r="BD24" s="253"/>
      <c r="BE24" s="253"/>
      <c r="BF24" s="253"/>
      <c r="BG24" s="253"/>
      <c r="BH24" s="253"/>
      <c r="BI24" s="253"/>
      <c r="BJ24" s="253"/>
      <c r="BK24" s="253"/>
      <c r="BL24" s="253"/>
      <c r="BM24" s="253"/>
    </row>
    <row r="25" s="42" customFormat="1">
      <c r="B25" s="615"/>
      <c r="C25" s="284">
        <v>1</v>
      </c>
      <c r="D25">
        <v>2</v>
      </c>
      <c r="E25">
        <v>3</v>
      </c>
      <c r="F25">
        <v>4</v>
      </c>
      <c r="G25">
        <v>5</v>
      </c>
      <c r="H25">
        <v>6</v>
      </c>
      <c r="I25">
        <v>7</v>
      </c>
      <c r="J25">
        <v>8</v>
      </c>
      <c r="K25">
        <v>9</v>
      </c>
      <c r="L25">
        <v>10</v>
      </c>
      <c r="M25">
        <v>11</v>
      </c>
      <c r="N25">
        <v>12</v>
      </c>
      <c r="O25">
        <v>13</v>
      </c>
      <c r="P25">
        <v>14</v>
      </c>
      <c r="Q25">
        <v>15</v>
      </c>
      <c r="R25">
        <v>16</v>
      </c>
      <c r="S25">
        <v>17</v>
      </c>
      <c r="T25">
        <v>18</v>
      </c>
      <c r="U25">
        <v>19</v>
      </c>
      <c r="V25">
        <v>20</v>
      </c>
      <c r="W25">
        <v>21</v>
      </c>
      <c r="X25">
        <v>22</v>
      </c>
      <c r="Y25">
        <v>23</v>
      </c>
      <c r="Z25">
        <v>24</v>
      </c>
      <c r="AA25">
        <v>25</v>
      </c>
      <c r="AB25">
        <v>26</v>
      </c>
      <c r="AC25">
        <v>27</v>
      </c>
      <c r="AD25">
        <v>28</v>
      </c>
      <c r="AE25">
        <v>29</v>
      </c>
      <c r="AF25">
        <v>30</v>
      </c>
      <c r="AG25" s="285">
        <v>31</v>
      </c>
      <c r="AH25" s="25"/>
      <c r="AI25" s="308" t="s">
        <v>31</v>
      </c>
      <c r="AJ25" s="308" t="s">
        <v>88</v>
      </c>
      <c r="AK25" s="308" t="s">
        <v>89</v>
      </c>
      <c r="AL25" s="25"/>
      <c r="AM25" s="248"/>
      <c r="AN25" s="248"/>
      <c r="AO25" s="254"/>
      <c r="AP25" s="254"/>
      <c r="AQ25" s="254"/>
      <c r="AR25" s="254"/>
      <c r="AS25" s="254"/>
      <c r="AT25" s="254"/>
      <c r="AU25" s="254"/>
      <c r="AV25" s="254"/>
      <c r="AW25" s="254"/>
      <c r="AX25" s="254"/>
      <c r="AY25" s="254"/>
      <c r="AZ25" s="254"/>
      <c r="BA25" s="254"/>
      <c r="BB25" s="254"/>
      <c r="BC25" s="254"/>
      <c r="BD25" s="254"/>
      <c r="BE25" s="254"/>
      <c r="BF25" s="254"/>
      <c r="BG25" s="254"/>
      <c r="BH25" s="254"/>
      <c r="BI25" s="254"/>
      <c r="BJ25" s="254"/>
      <c r="BK25" s="254"/>
      <c r="BL25" s="254"/>
      <c r="BM25" s="254"/>
    </row>
    <row r="26" ht="14.25">
      <c r="B26" s="404" t="s">
        <v>32</v>
      </c>
      <c r="C26" s="286">
        <v>25.268817204301075268817204300</v>
      </c>
      <c r="D26" s="287">
        <v>26.881720430107526881720430110</v>
      </c>
      <c r="E26" s="287">
        <v>24.731182795698924731182795700</v>
      </c>
      <c r="F26" s="287">
        <v>38.709677419354838709677419350</v>
      </c>
      <c r="G26" s="287">
        <v>40.322580645161290322580645160</v>
      </c>
      <c r="H26" s="287">
        <v>16.666666666666666666666666670</v>
      </c>
      <c r="I26" s="287">
        <v>23.655913978494623655913978490</v>
      </c>
      <c r="J26" s="287">
        <v>47.311827956989247311827956990</v>
      </c>
      <c r="K26" s="287">
        <v>47.849462365591397849462365590</v>
      </c>
      <c r="L26" s="287">
        <v>36.559139784946236559139784950</v>
      </c>
      <c r="M26" s="287">
        <v>45.161290322580645161290322580</v>
      </c>
      <c r="N26" s="287">
        <v>56.989247311827956989247311830</v>
      </c>
      <c r="O26" s="287">
        <v>31.182795698924731182795698920</v>
      </c>
      <c r="P26" s="287">
        <v>29.569892473118279569892473120</v>
      </c>
      <c r="Q26" s="287">
        <v>38.709677419354838709677419350</v>
      </c>
      <c r="R26" s="287">
        <v>43.010752688172043010752688170</v>
      </c>
      <c r="S26" s="287">
        <v>35.483870967741935483870967740</v>
      </c>
      <c r="T26" s="287">
        <v>53.763440860215053763440860220</v>
      </c>
      <c r="U26" s="287">
        <v>52.688172043010752688172043010</v>
      </c>
      <c r="V26" s="287"/>
      <c r="W26" s="287"/>
      <c r="X26" s="287"/>
      <c r="Y26" s="287"/>
      <c r="Z26" s="287"/>
      <c r="AA26" s="287"/>
      <c r="AB26" s="287"/>
      <c r="AC26" s="287"/>
      <c r="AD26" s="287"/>
      <c r="AE26" s="287"/>
      <c r="AF26" s="287"/>
      <c r="AG26" s="288"/>
      <c r="AH26" s="218"/>
      <c r="AI26" s="302">
        <v>37.606112054329371816638370120</v>
      </c>
      <c r="AJ26" s="302">
        <v>32.837055417700578990901571550</v>
      </c>
      <c r="AK26" s="302">
        <v>47.939068100358422939068100360</v>
      </c>
      <c r="AM26" s="244"/>
      <c r="AN26" s="244"/>
      <c r="AO26" s="244"/>
      <c r="AP26" s="244"/>
      <c r="AQ26" s="244"/>
      <c r="AR26" s="244"/>
      <c r="AS26" s="244"/>
      <c r="AT26" s="244"/>
      <c r="AU26" s="244"/>
      <c r="AV26" s="244"/>
      <c r="AW26" s="244"/>
      <c r="AX26" s="244"/>
      <c r="AY26" s="244"/>
      <c r="AZ26" s="244"/>
      <c r="BA26" s="244"/>
      <c r="BB26" s="244"/>
      <c r="BC26" s="244"/>
      <c r="BD26" s="244"/>
      <c r="BE26" s="244"/>
      <c r="BF26" s="244"/>
      <c r="BG26" s="244"/>
      <c r="BH26" s="244"/>
      <c r="BI26" s="244"/>
      <c r="BJ26" s="244"/>
      <c r="BK26" s="244"/>
      <c r="BL26" s="244"/>
      <c r="BM26" s="244"/>
    </row>
    <row r="27" ht="14.25">
      <c r="B27" s="201" t="s">
        <v>26</v>
      </c>
      <c r="C27" s="289">
        <v>46.316758747697974217311233890</v>
      </c>
      <c r="D27" s="202">
        <v>39.134438305709023941068139960</v>
      </c>
      <c r="E27" s="202">
        <v>40.976058931860036832412523020</v>
      </c>
      <c r="F27" s="202">
        <v>55.340699815837937384898710870</v>
      </c>
      <c r="G27" s="202">
        <v>63.259668508287292817679558010</v>
      </c>
      <c r="H27" s="202">
        <v>34.254143646408839779005524860</v>
      </c>
      <c r="I27" s="202">
        <v>46.685082872928176795580110500</v>
      </c>
      <c r="J27" s="202">
        <v>76.243093922651933701657458560</v>
      </c>
      <c r="K27" s="202">
        <v>76.703499079189686924493554330</v>
      </c>
      <c r="L27" s="202">
        <v>64.272559852670349907918968690</v>
      </c>
      <c r="M27" s="202">
        <v>70.994475138121546961325966850</v>
      </c>
      <c r="N27" s="202">
        <v>70.902394106813996316758747700</v>
      </c>
      <c r="O27" s="202">
        <v>41.988950276243093922651933700</v>
      </c>
      <c r="P27" s="202">
        <v>48.434622467771639042357274400</v>
      </c>
      <c r="Q27" s="202">
        <v>67.034990791896869244935543280</v>
      </c>
      <c r="R27" s="202">
        <v>56.813996316758747697974217310</v>
      </c>
      <c r="S27" s="202">
        <v>54.788213627992633517495395950</v>
      </c>
      <c r="T27" s="202">
        <v>73.388581952117863720073664830</v>
      </c>
      <c r="U27" s="202">
        <v>71.639042357274401473296500920</v>
      </c>
      <c r="V27" s="202"/>
      <c r="W27" s="202"/>
      <c r="X27" s="202"/>
      <c r="Y27" s="202"/>
      <c r="Z27" s="202"/>
      <c r="AA27" s="202"/>
      <c r="AB27" s="202"/>
      <c r="AC27" s="202"/>
      <c r="AD27" s="202"/>
      <c r="AE27" s="202"/>
      <c r="AF27" s="202"/>
      <c r="AG27" s="290"/>
      <c r="AH27" s="218"/>
      <c r="AI27" s="303">
        <v>57.851119511485897063099738300</v>
      </c>
      <c r="AJ27" s="303">
        <v>53.357416064598385040373990650</v>
      </c>
      <c r="AK27" s="303">
        <v>67.587476979742173112338858200</v>
      </c>
      <c r="AM27" s="244"/>
      <c r="AN27" s="244"/>
      <c r="AO27" s="244"/>
      <c r="AP27" s="244"/>
      <c r="AQ27" s="244"/>
      <c r="AR27" s="244"/>
      <c r="AS27" s="244"/>
      <c r="AT27" s="244"/>
      <c r="AU27" s="244"/>
      <c r="AV27" s="244"/>
      <c r="AW27" s="244"/>
      <c r="AX27" s="244"/>
      <c r="AY27" s="244"/>
      <c r="AZ27" s="244"/>
      <c r="BA27" s="244"/>
      <c r="BB27" s="244"/>
      <c r="BC27" s="244"/>
      <c r="BD27" s="244"/>
      <c r="BE27" s="244"/>
      <c r="BF27" s="244"/>
      <c r="BG27" s="244"/>
      <c r="BH27" s="244"/>
      <c r="BI27" s="244"/>
      <c r="BJ27" s="244"/>
      <c r="BK27" s="244"/>
      <c r="BL27" s="244"/>
      <c r="BM27" s="244"/>
    </row>
    <row r="28" ht="14.25">
      <c r="A28" s="24"/>
      <c r="B28" s="49" t="s">
        <v>91</v>
      </c>
      <c r="C28" s="291">
        <v>54.556531777077072561106139510</v>
      </c>
      <c r="D28" s="292">
        <v>68.690702087302366782006924070</v>
      </c>
      <c r="E28" s="292">
        <v>60.355201159781658653395889640</v>
      </c>
      <c r="F28" s="292">
        <v>69.947936235354697817701569970</v>
      </c>
      <c r="G28" s="292">
        <v>63.741372024215960671009081280</v>
      </c>
      <c r="H28" s="292">
        <v>48.655913978507180020811657780</v>
      </c>
      <c r="I28" s="292">
        <v>50.671247693610782430210701260</v>
      </c>
      <c r="J28" s="292">
        <v>62.053919276881558496114286370</v>
      </c>
      <c r="K28" s="292">
        <v>62.382372303751826217068558010</v>
      </c>
      <c r="L28" s="292">
        <v>56.881412330133663450509317210</v>
      </c>
      <c r="M28" s="292">
        <v>63.612401154782705508471477920</v>
      </c>
      <c r="N28" s="292">
        <v>80.37704231254205013084946369</v>
      </c>
      <c r="O28" s="292">
        <v>74.264289756725907351145343750</v>
      </c>
      <c r="P28" s="292">
        <v>61.051146817086783003200690260</v>
      </c>
      <c r="Q28" s="292">
        <v>57.745480326122790511509051150</v>
      </c>
      <c r="R28" s="292">
        <v>75.704501489985288643452035560</v>
      </c>
      <c r="S28" s="292">
        <v>64.765519110861446544462188320</v>
      </c>
      <c r="T28" s="292">
        <v>73.258590682820276729848483480</v>
      </c>
      <c r="U28" s="292">
        <v>73.546728584433459420062167360</v>
      </c>
      <c r="V28" s="292"/>
      <c r="W28" s="292"/>
      <c r="X28" s="292"/>
      <c r="Y28" s="292"/>
      <c r="Z28" s="292"/>
      <c r="AA28" s="292"/>
      <c r="AB28" s="292"/>
      <c r="AC28" s="292"/>
      <c r="AD28" s="292"/>
      <c r="AE28" s="292"/>
      <c r="AF28" s="292"/>
      <c r="AG28" s="293"/>
      <c r="AH28" s="218"/>
      <c r="AI28" s="304">
        <v>65.004985853132536948620550670</v>
      </c>
      <c r="AJ28" s="304">
        <v>61.541689683669552991942189100</v>
      </c>
      <c r="AK28" s="304">
        <v>70.928920922372932912275754490</v>
      </c>
      <c r="AM28" s="244"/>
      <c r="AN28" s="244"/>
      <c r="AO28" s="244"/>
      <c r="AP28" s="244"/>
      <c r="AQ28" s="244"/>
      <c r="AR28" s="244"/>
      <c r="AS28" s="244"/>
      <c r="AT28" s="244"/>
      <c r="AU28" s="244"/>
      <c r="AV28" s="244"/>
      <c r="AW28" s="244"/>
      <c r="AX28" s="244"/>
      <c r="AY28" s="244"/>
      <c r="AZ28" s="244"/>
      <c r="BA28" s="244"/>
      <c r="BB28" s="244"/>
      <c r="BC28" s="244"/>
      <c r="BD28" s="244"/>
      <c r="BE28" s="244"/>
      <c r="BF28" s="244"/>
      <c r="BG28" s="244"/>
      <c r="BH28" s="244"/>
      <c r="BI28" s="244"/>
      <c r="BJ28" s="244"/>
      <c r="BK28" s="244"/>
      <c r="BL28" s="244"/>
      <c r="BM28" s="244"/>
    </row>
    <row r="29" ht="12" customHeight="1">
      <c r="B29" s="0"/>
      <c r="AI29" s="22"/>
      <c r="AJ29" s="22"/>
      <c r="AK29" s="22"/>
      <c r="AM29" s="244"/>
      <c r="AN29" s="244"/>
      <c r="AO29" s="244"/>
      <c r="AP29" s="244"/>
      <c r="AQ29" s="244"/>
      <c r="AR29" s="244"/>
      <c r="AS29" s="244"/>
      <c r="AT29" s="244"/>
      <c r="AU29" s="244"/>
      <c r="AV29" s="244"/>
      <c r="AW29" s="244"/>
      <c r="AX29" s="244"/>
      <c r="AY29" s="244"/>
      <c r="AZ29" s="244"/>
      <c r="BA29" s="244"/>
      <c r="BB29" s="244"/>
      <c r="BC29" s="244"/>
      <c r="BD29" s="244"/>
      <c r="BE29" s="244"/>
      <c r="BF29" s="244"/>
      <c r="BG29" s="244"/>
      <c r="BH29" s="244"/>
      <c r="BI29" s="244"/>
      <c r="BJ29" s="244"/>
      <c r="BK29" s="244"/>
      <c r="BL29" s="244"/>
      <c r="BM29" s="244"/>
    </row>
    <row r="30" ht="18">
      <c r="B30" s="29" t="s">
        <v>87</v>
      </c>
      <c r="AI30" s="22"/>
      <c r="AJ30" s="22"/>
      <c r="AK30" s="22"/>
      <c r="AM30" s="244"/>
      <c r="AN30" s="244"/>
      <c r="AO30" s="244"/>
      <c r="AP30" s="244"/>
      <c r="AQ30" s="244"/>
      <c r="AR30" s="244"/>
      <c r="AS30" s="244"/>
      <c r="AT30" s="244"/>
      <c r="AU30" s="244"/>
      <c r="AV30" s="244"/>
      <c r="AW30" s="244"/>
      <c r="AX30" s="244"/>
      <c r="AY30" s="244"/>
      <c r="AZ30" s="244"/>
      <c r="BA30" s="244"/>
      <c r="BB30" s="244"/>
      <c r="BC30" s="244"/>
      <c r="BD30" s="244"/>
      <c r="BE30" s="244"/>
      <c r="BF30" s="244"/>
      <c r="BG30" s="244"/>
      <c r="BH30" s="244"/>
      <c r="BI30" s="244"/>
      <c r="BJ30" s="244"/>
      <c r="BK30" s="244"/>
      <c r="BL30" s="244"/>
      <c r="BM30" s="244"/>
    </row>
    <row r="31" ht="14.25">
      <c r="B31" s="46" t="s">
        <v>32</v>
      </c>
      <c r="C31" s="286">
        <v>87.99999999935328000000222471</v>
      </c>
      <c r="D31" s="287">
        <v>21.951219512129684711481296280</v>
      </c>
      <c r="E31" s="287">
        <v>21.052631578839058171745249270</v>
      </c>
      <c r="F31" s="287">
        <v>-30.097087378613629936846063550</v>
      </c>
      <c r="G31" s="287">
        <v>-36.440677966148017810973824330</v>
      </c>
      <c r="H31" s="287">
        <v>-24.390243902479595478881596300</v>
      </c>
      <c r="I31" s="287">
        <v>-2.2222222222352592592592575400</v>
      </c>
      <c r="J31" s="287">
        <v>18.918918918796785975164478980</v>
      </c>
      <c r="K31" s="287">
        <v>-7.2916666666550781249999985500</v>
      </c>
      <c r="L31" s="287">
        <v>-25.274725274731843980195627960</v>
      </c>
      <c r="M31" s="287">
        <v>-6.6666666666791111111111094500</v>
      </c>
      <c r="N31" s="287">
        <v>24.705882352894228373702439820</v>
      </c>
      <c r="O31" s="287">
        <v>41.463414634070434265318303650</v>
      </c>
      <c r="P31" s="287">
        <v>-3.5087719297534626038780639500</v>
      </c>
      <c r="Q31" s="287">
        <v>24.137931034581212841855012670</v>
      </c>
      <c r="R31" s="287">
        <v>40.350877193085872576177361510</v>
      </c>
      <c r="S31" s="287">
        <v>32.000000000036960000000010340</v>
      </c>
      <c r="T31" s="287">
        <v>809.0909090945454545454690910</v>
      </c>
      <c r="U31" s="287">
        <v>553.33333333594666666667711999</v>
      </c>
      <c r="V31" s="287"/>
      <c r="W31" s="287"/>
      <c r="X31" s="287"/>
      <c r="Y31" s="287"/>
      <c r="Z31" s="287"/>
      <c r="AA31" s="287"/>
      <c r="AB31" s="287"/>
      <c r="AC31" s="287"/>
      <c r="AD31" s="287"/>
      <c r="AE31" s="287"/>
      <c r="AF31" s="287"/>
      <c r="AG31" s="288"/>
      <c r="AH31" s="218"/>
      <c r="AI31" s="302">
        <v>16.272965879238236165361225820</v>
      </c>
      <c r="AJ31" s="302">
        <v>16.178929765763794623382417950</v>
      </c>
      <c r="AK31" s="302">
        <v>9.541359541397221434076483900</v>
      </c>
      <c r="AM31" s="244"/>
      <c r="AN31" s="244"/>
      <c r="AO31" s="244"/>
      <c r="AP31" s="244"/>
      <c r="AQ31" s="244"/>
      <c r="AR31" s="244"/>
      <c r="AS31" s="244"/>
      <c r="AT31" s="244"/>
      <c r="AU31" s="244"/>
      <c r="AV31" s="244"/>
      <c r="AW31" s="244"/>
      <c r="AX31" s="244"/>
      <c r="AY31" s="244"/>
      <c r="AZ31" s="244"/>
      <c r="BA31" s="244"/>
      <c r="BB31" s="244"/>
      <c r="BC31" s="244"/>
      <c r="BD31" s="244"/>
      <c r="BE31" s="244"/>
      <c r="BF31" s="244"/>
      <c r="BG31" s="244"/>
      <c r="BH31" s="244"/>
      <c r="BI31" s="244"/>
      <c r="BJ31" s="244"/>
      <c r="BK31" s="244"/>
      <c r="BL31" s="244"/>
      <c r="BM31" s="244"/>
    </row>
    <row r="32" ht="14.25">
      <c r="B32" s="201" t="s">
        <v>26</v>
      </c>
      <c r="C32" s="289">
        <v>58.176100628936786519520588820</v>
      </c>
      <c r="D32" s="202">
        <v>43.581081081265408144631354230</v>
      </c>
      <c r="E32" s="202">
        <v>23.611111111179097222222259610</v>
      </c>
      <c r="F32" s="202">
        <v>-16.411682892870310526325954480</v>
      </c>
      <c r="G32" s="202">
        <v>-12.484076433088019473406616630</v>
      </c>
      <c r="H32" s="202">
        <v>-19.654427645795972365407310970</v>
      </c>
      <c r="I32" s="202">
        <v>-18.093699515384913391498595610</v>
      </c>
      <c r="J32" s="202">
        <v>2.8571428571127027506654924200</v>
      </c>
      <c r="K32" s="202">
        <v>-1.1862396204476294204311634600</v>
      </c>
      <c r="L32" s="202">
        <v>-20.045819014899422538704076810</v>
      </c>
      <c r="M32" s="202">
        <v>-2.2813688213499949399297038100</v>
      </c>
      <c r="N32" s="202">
        <v>16.314199395767581529923969370</v>
      </c>
      <c r="O32" s="202">
        <v>12.871287128562562493873349850</v>
      </c>
      <c r="P32" s="202">
        <v>-0.9416195856683541340823694400</v>
      </c>
      <c r="Q32" s="202">
        <v>26.388888889006061921296404930</v>
      </c>
      <c r="R32" s="202">
        <v>5.1107325383931665355850725800</v>
      </c>
      <c r="S32" s="202">
        <v>1.8835616438537600863201383400</v>
      </c>
      <c r="T32" s="202">
        <v>9.931034482716164565992882040</v>
      </c>
      <c r="U32" s="202">
        <v>9.732016925168512834183166050</v>
      </c>
      <c r="V32" s="202"/>
      <c r="W32" s="202"/>
      <c r="X32" s="202"/>
      <c r="Y32" s="202"/>
      <c r="Z32" s="202"/>
      <c r="AA32" s="202"/>
      <c r="AB32" s="202"/>
      <c r="AC32" s="202"/>
      <c r="AD32" s="202"/>
      <c r="AE32" s="202"/>
      <c r="AF32" s="202"/>
      <c r="AG32" s="290"/>
      <c r="AH32" s="218"/>
      <c r="AI32" s="303">
        <v>5.984196040135788745037263900</v>
      </c>
      <c r="AJ32" s="303">
        <v>6.9822173079086094120116106400</v>
      </c>
      <c r="AK32" s="303">
        <v>-0.2717391304976547731568601700</v>
      </c>
      <c r="AM32" s="244"/>
      <c r="AN32" s="244"/>
      <c r="AO32" s="244"/>
      <c r="AP32" s="244"/>
      <c r="AQ32" s="244"/>
      <c r="AR32" s="244"/>
      <c r="AS32" s="244"/>
      <c r="AT32" s="244"/>
      <c r="AU32" s="244"/>
      <c r="AV32" s="244"/>
      <c r="AW32" s="244"/>
      <c r="AX32" s="244"/>
      <c r="AY32" s="244"/>
      <c r="AZ32" s="244"/>
      <c r="BA32" s="244"/>
      <c r="BB32" s="244"/>
      <c r="BC32" s="244"/>
      <c r="BD32" s="244"/>
      <c r="BE32" s="244"/>
      <c r="BF32" s="244"/>
      <c r="BG32" s="244"/>
      <c r="BH32" s="244"/>
      <c r="BI32" s="244"/>
      <c r="BJ32" s="244"/>
      <c r="BK32" s="244"/>
      <c r="BL32" s="244"/>
      <c r="BM32" s="244"/>
    </row>
    <row r="33" ht="14.25">
      <c r="A33" s="24"/>
      <c r="B33" s="49" t="s">
        <v>91</v>
      </c>
      <c r="C33" s="291">
        <v>18.854870775314924387647301680</v>
      </c>
      <c r="D33" s="292">
        <v>-15.064562410446095803310364620</v>
      </c>
      <c r="E33" s="292">
        <v>-2.0697811947187288177303768100</v>
      </c>
      <c r="F33" s="292">
        <v>-16.372389060293064364937695520</v>
      </c>
      <c r="G33" s="292">
        <v>-27.373991562477470638218283350</v>
      </c>
      <c r="H33" s="292">
        <v>-5.8943089430727921968734136900</v>
      </c>
      <c r="I33" s="292">
        <v>19.377602454545770930464865220</v>
      </c>
      <c r="J33" s="292">
        <v>15.615615615669098468205570550</v>
      </c>
      <c r="K33" s="292">
        <v>-6.1787214885847756640011891400</v>
      </c>
      <c r="L33" s="292">
        <v>-6.539878459689482646924199600</v>
      </c>
      <c r="M33" s="292">
        <v>-4.48767833975417961267493700</v>
      </c>
      <c r="N33" s="292">
        <v>7.2146676852963467095726261300</v>
      </c>
      <c r="O33" s="292">
        <v>25.331621737610959818653756920</v>
      </c>
      <c r="P33" s="292">
        <v>-2.5915549330697239420828259100</v>
      </c>
      <c r="Q33" s="292">
        <v>-1.7809776431943047049403774600</v>
      </c>
      <c r="R33" s="292">
        <v>33.526685433048195619597454120</v>
      </c>
      <c r="S33" s="292">
        <v>29.559663865610342550974803740</v>
      </c>
      <c r="T33" s="292">
        <v>726.96475418836048879511213353</v>
      </c>
      <c r="U33" s="292">
        <v>495.38988860479958998950040940</v>
      </c>
      <c r="V33" s="292"/>
      <c r="W33" s="292"/>
      <c r="X33" s="292"/>
      <c r="Y33" s="292"/>
      <c r="Z33" s="292"/>
      <c r="AA33" s="292"/>
      <c r="AB33" s="292"/>
      <c r="AC33" s="292"/>
      <c r="AD33" s="292"/>
      <c r="AE33" s="292"/>
      <c r="AF33" s="292"/>
      <c r="AG33" s="293"/>
      <c r="AH33" s="218"/>
      <c r="AI33" s="304">
        <v>9.707834020071705544100724780</v>
      </c>
      <c r="AJ33" s="304">
        <v>8.596487051231571356527514310</v>
      </c>
      <c r="AK33" s="304">
        <v>9.839837360419398891975509810</v>
      </c>
      <c r="AM33" s="244"/>
      <c r="AN33" s="244"/>
      <c r="AO33" s="244"/>
      <c r="AP33" s="244"/>
      <c r="AQ33" s="244"/>
      <c r="AR33" s="244"/>
      <c r="AS33" s="244"/>
      <c r="AT33" s="244"/>
      <c r="AU33" s="244"/>
      <c r="AV33" s="244"/>
      <c r="AW33" s="244"/>
      <c r="AX33" s="244"/>
      <c r="AY33" s="244"/>
      <c r="AZ33" s="244"/>
      <c r="BA33" s="244"/>
      <c r="BB33" s="244"/>
      <c r="BC33" s="244"/>
      <c r="BD33" s="244"/>
      <c r="BE33" s="244"/>
      <c r="BF33" s="244"/>
      <c r="BG33" s="244"/>
      <c r="BH33" s="244"/>
      <c r="BI33" s="244"/>
      <c r="BJ33" s="244"/>
      <c r="BK33" s="244"/>
      <c r="BL33" s="244"/>
      <c r="BM33" s="244"/>
    </row>
    <row r="34" ht="13.5" customHeight="1">
      <c r="B34" s="176"/>
      <c r="C34" s="21"/>
      <c r="D34" s="21"/>
      <c r="E34" s="21"/>
      <c r="F34" s="21"/>
      <c r="G34" s="21"/>
      <c r="H34" s="21"/>
      <c r="I34" s="21"/>
      <c r="J34" s="21"/>
      <c r="K34" s="21"/>
      <c r="L34" s="21"/>
      <c r="M34" s="21"/>
      <c r="N34" s="21"/>
      <c r="O34" s="21"/>
      <c r="P34" s="21"/>
      <c r="Q34" s="21"/>
      <c r="R34" s="21"/>
      <c r="S34" s="21"/>
      <c r="T34" s="21"/>
      <c r="U34" s="21"/>
      <c r="V34" s="21"/>
      <c r="W34" s="21"/>
      <c r="X34" s="21"/>
      <c r="Y34" s="21"/>
      <c r="Z34" s="21"/>
      <c r="AA34" s="21"/>
      <c r="AB34" s="21"/>
      <c r="AC34" s="21"/>
      <c r="AD34" s="21"/>
      <c r="AE34" s="43"/>
      <c r="AF34" s="43"/>
      <c r="AG34" s="43"/>
      <c r="AI34" s="43"/>
      <c r="AJ34" s="43"/>
      <c r="AK34" s="43"/>
      <c r="AM34" s="244"/>
      <c r="AN34" s="244"/>
      <c r="AO34" s="244"/>
      <c r="AP34" s="244"/>
      <c r="AQ34" s="244"/>
      <c r="AR34" s="244"/>
      <c r="AS34" s="244"/>
      <c r="AT34" s="244"/>
      <c r="AU34" s="244"/>
      <c r="AV34" s="244"/>
      <c r="AW34" s="244"/>
      <c r="AX34" s="244"/>
      <c r="AY34" s="244"/>
      <c r="AZ34" s="244"/>
      <c r="BA34" s="244"/>
      <c r="BB34" s="244"/>
      <c r="BC34" s="244"/>
      <c r="BD34" s="244"/>
      <c r="BE34" s="244"/>
      <c r="BF34" s="244"/>
      <c r="BG34" s="244"/>
      <c r="BH34" s="244"/>
      <c r="BI34" s="244"/>
      <c r="BJ34" s="244"/>
      <c r="BK34" s="244"/>
      <c r="BL34" s="244"/>
      <c r="BM34" s="244"/>
    </row>
    <row r="35" ht="18" customHeight="1">
      <c r="A35" s="8"/>
      <c r="B35" s="29"/>
      <c r="X35" s="653"/>
      <c r="Y35" s="653"/>
      <c r="Z35" s="653"/>
      <c r="AA35" s="653"/>
      <c r="AB35" s="653"/>
      <c r="AC35" s="653"/>
      <c r="AD35" s="653"/>
      <c r="AM35" s="244"/>
      <c r="AN35" s="244"/>
      <c r="AO35" s="244"/>
      <c r="AP35" s="244"/>
      <c r="AQ35" s="244"/>
      <c r="AR35" s="244"/>
      <c r="AS35" s="244"/>
      <c r="AT35" s="244"/>
      <c r="AU35" s="244"/>
      <c r="AV35" s="244"/>
      <c r="AW35" s="244"/>
      <c r="AX35" s="244"/>
      <c r="AY35" s="244"/>
      <c r="AZ35" s="244"/>
      <c r="BA35" s="244"/>
      <c r="BB35" s="244"/>
      <c r="BC35" s="244"/>
      <c r="BD35" s="244"/>
      <c r="BE35" s="244"/>
      <c r="BF35" s="244"/>
      <c r="BG35" s="244"/>
      <c r="BH35" s="244"/>
      <c r="BI35" s="244"/>
      <c r="BJ35" s="244"/>
      <c r="BK35" s="244"/>
      <c r="BL35" s="244"/>
      <c r="BM35" s="244"/>
    </row>
    <row r="36" s="41" customFormat="1" ht="18">
      <c r="B36" s="615" t="s">
        <v>12</v>
      </c>
      <c r="C36" s="275" t="s">
        <v>145</v>
      </c>
      <c r="D36" s="276"/>
      <c r="E36" s="276"/>
      <c r="F36" s="276"/>
      <c r="G36" s="276"/>
      <c r="H36" s="276"/>
      <c r="I36" s="276"/>
      <c r="J36" s="276"/>
      <c r="K36" s="276"/>
      <c r="L36" s="276"/>
      <c r="M36" s="276"/>
      <c r="N36" s="276"/>
      <c r="O36" s="276"/>
      <c r="P36" s="276"/>
      <c r="Q36" s="276"/>
      <c r="R36" s="276"/>
      <c r="S36" s="277"/>
      <c r="T36" s="277"/>
      <c r="U36" s="277"/>
      <c r="V36" s="277"/>
      <c r="W36" s="277"/>
      <c r="X36" s="277"/>
      <c r="Y36" s="277"/>
      <c r="Z36" s="277"/>
      <c r="AA36" s="277"/>
      <c r="AB36" s="277"/>
      <c r="AC36" s="277"/>
      <c r="AD36" s="277"/>
      <c r="AE36" s="277"/>
      <c r="AF36" s="277"/>
      <c r="AG36" s="278"/>
      <c r="AH36" s="25"/>
      <c r="AI36" s="307" t="s">
        <v>59</v>
      </c>
      <c r="AJ36" s="307" t="s">
        <v>31</v>
      </c>
      <c r="AK36" s="307" t="s">
        <v>31</v>
      </c>
      <c r="AL36" s="25"/>
      <c r="AM36" s="248"/>
      <c r="AN36" s="248"/>
      <c r="AO36" s="253"/>
      <c r="AP36" s="253"/>
      <c r="AQ36" s="253"/>
      <c r="AR36" s="253"/>
      <c r="AS36" s="253"/>
      <c r="AT36" s="253"/>
      <c r="AU36" s="253"/>
      <c r="AV36" s="253"/>
      <c r="AW36" s="253"/>
      <c r="AX36" s="253"/>
      <c r="AY36" s="253"/>
      <c r="AZ36" s="253"/>
      <c r="BA36" s="253"/>
      <c r="BB36" s="253"/>
      <c r="BC36" s="253"/>
      <c r="BD36" s="253"/>
      <c r="BE36" s="253"/>
      <c r="BF36" s="253"/>
      <c r="BG36" s="253"/>
      <c r="BH36" s="253"/>
      <c r="BI36" s="253"/>
      <c r="BJ36" s="253"/>
      <c r="BK36" s="253"/>
      <c r="BL36" s="253"/>
      <c r="BM36" s="253"/>
    </row>
    <row r="37" s="42" customFormat="1">
      <c r="B37" s="615"/>
      <c r="C37" s="279">
        <v>1</v>
      </c>
      <c r="D37" s="280">
        <v>2</v>
      </c>
      <c r="E37" s="280">
        <v>3</v>
      </c>
      <c r="F37" s="280">
        <v>4</v>
      </c>
      <c r="G37" s="280">
        <v>5</v>
      </c>
      <c r="H37" s="280">
        <v>6</v>
      </c>
      <c r="I37" s="280">
        <v>7</v>
      </c>
      <c r="J37" s="280">
        <v>8</v>
      </c>
      <c r="K37" s="280">
        <v>9</v>
      </c>
      <c r="L37" s="280">
        <v>10</v>
      </c>
      <c r="M37" s="280">
        <v>11</v>
      </c>
      <c r="N37" s="280">
        <v>12</v>
      </c>
      <c r="O37" s="280">
        <v>13</v>
      </c>
      <c r="P37" s="280">
        <v>14</v>
      </c>
      <c r="Q37" s="280">
        <v>15</v>
      </c>
      <c r="R37" s="280">
        <v>16</v>
      </c>
      <c r="S37" s="280">
        <v>17</v>
      </c>
      <c r="T37" s="280">
        <v>18</v>
      </c>
      <c r="U37" s="280">
        <v>19</v>
      </c>
      <c r="V37" s="280">
        <v>20</v>
      </c>
      <c r="W37" s="280">
        <v>21</v>
      </c>
      <c r="X37" s="280">
        <v>22</v>
      </c>
      <c r="Y37" s="280">
        <v>23</v>
      </c>
      <c r="Z37" s="280">
        <v>24</v>
      </c>
      <c r="AA37" s="280">
        <v>25</v>
      </c>
      <c r="AB37" s="280">
        <v>26</v>
      </c>
      <c r="AC37" s="280">
        <v>27</v>
      </c>
      <c r="AD37" s="280">
        <v>28</v>
      </c>
      <c r="AE37" s="280">
        <v>29</v>
      </c>
      <c r="AF37" s="280">
        <v>30</v>
      </c>
      <c r="AG37" s="281">
        <v>31</v>
      </c>
      <c r="AH37" s="25"/>
      <c r="AI37" s="308" t="s">
        <v>31</v>
      </c>
      <c r="AJ37" s="308" t="s">
        <v>88</v>
      </c>
      <c r="AK37" s="308" t="s">
        <v>89</v>
      </c>
      <c r="AL37" s="25"/>
      <c r="AM37" s="248"/>
      <c r="AN37" s="248"/>
      <c r="AO37" s="254"/>
      <c r="AP37" s="254"/>
      <c r="AQ37" s="254"/>
      <c r="AR37" s="254"/>
      <c r="AS37" s="254"/>
      <c r="AT37" s="254"/>
      <c r="AU37" s="254"/>
      <c r="AV37" s="254"/>
      <c r="AW37" s="254"/>
      <c r="AX37" s="254"/>
      <c r="AY37" s="254"/>
      <c r="AZ37" s="254"/>
      <c r="BA37" s="254"/>
      <c r="BB37" s="254"/>
      <c r="BC37" s="254"/>
      <c r="BD37" s="254"/>
      <c r="BE37" s="254"/>
      <c r="BF37" s="254"/>
      <c r="BG37" s="254"/>
      <c r="BH37" s="254"/>
      <c r="BI37" s="254"/>
      <c r="BJ37" s="254"/>
      <c r="BK37" s="254"/>
      <c r="BL37" s="254"/>
      <c r="BM37" s="254"/>
    </row>
    <row r="38" ht="14.25">
      <c r="B38" s="404" t="s">
        <v>32</v>
      </c>
      <c r="C38" s="294">
        <v>88.44680851063829787234042553</v>
      </c>
      <c r="D38" s="295">
        <v>92.500000000</v>
      </c>
      <c r="E38" s="295">
        <v>96.65217391304347826086956522</v>
      </c>
      <c r="F38" s="295">
        <v>98.55555555555555555555555556</v>
      </c>
      <c r="G38" s="295">
        <v>99.57333333333333333333333333</v>
      </c>
      <c r="H38" s="295">
        <v>93.87096774193548387096774194</v>
      </c>
      <c r="I38" s="295">
        <v>99.59090909090909090909090909</v>
      </c>
      <c r="J38" s="295">
        <v>93.93181818181818181818181818</v>
      </c>
      <c r="K38" s="295">
        <v>99.13483146067415730337078652</v>
      </c>
      <c r="L38" s="295">
        <v>87.70588235294117647058823529</v>
      </c>
      <c r="M38" s="295">
        <v>106.71428571428571428571428571</v>
      </c>
      <c r="N38" s="295">
        <v>100.66037735849056603773584906</v>
      </c>
      <c r="O38" s="295">
        <v>90.000000000</v>
      </c>
      <c r="P38" s="295">
        <v>95.23636363636363636363636364</v>
      </c>
      <c r="Q38" s="295">
        <v>102.55555555555555555555555556</v>
      </c>
      <c r="R38" s="295">
        <v>98.687500000</v>
      </c>
      <c r="S38" s="295">
        <v>92.28787878787878787878787879</v>
      </c>
      <c r="T38" s="295">
        <v>104.020000000</v>
      </c>
      <c r="U38" s="295">
        <v>102.80612244897959183673469388</v>
      </c>
      <c r="V38" s="295"/>
      <c r="W38" s="295"/>
      <c r="X38" s="295"/>
      <c r="Y38" s="295"/>
      <c r="Z38" s="295"/>
      <c r="AA38" s="295"/>
      <c r="AB38" s="295"/>
      <c r="AC38" s="295"/>
      <c r="AD38" s="295"/>
      <c r="AE38" s="295"/>
      <c r="AF38" s="295"/>
      <c r="AG38" s="296"/>
      <c r="AH38" s="218"/>
      <c r="AI38" s="305">
        <v>97.87509405568096313017306245</v>
      </c>
      <c r="AJ38" s="305">
        <v>94.96347607052896725440806045</v>
      </c>
      <c r="AK38" s="305">
        <v>102.19626168224299065420560748</v>
      </c>
      <c r="AM38" s="244"/>
      <c r="AN38" s="244"/>
      <c r="AO38" s="244"/>
      <c r="AP38" s="244"/>
      <c r="AQ38" s="244"/>
      <c r="AR38" s="244"/>
      <c r="AS38" s="244"/>
      <c r="AT38" s="244"/>
      <c r="AU38" s="244"/>
      <c r="AV38" s="244"/>
      <c r="AW38" s="244"/>
      <c r="AX38" s="244"/>
      <c r="AY38" s="244"/>
      <c r="AZ38" s="244"/>
      <c r="BA38" s="244"/>
      <c r="BB38" s="244"/>
      <c r="BC38" s="244"/>
      <c r="BD38" s="244"/>
      <c r="BE38" s="244"/>
      <c r="BF38" s="244"/>
      <c r="BG38" s="244"/>
      <c r="BH38" s="244"/>
      <c r="BI38" s="244"/>
      <c r="BJ38" s="244"/>
      <c r="BK38" s="244"/>
      <c r="BL38" s="244"/>
      <c r="BM38" s="244"/>
    </row>
    <row r="39" ht="14.25">
      <c r="B39" s="201" t="s">
        <v>26</v>
      </c>
      <c r="C39" s="297">
        <v>131.30127236580516898608349899</v>
      </c>
      <c r="D39" s="207">
        <v>126.59127058823529411764705883</v>
      </c>
      <c r="E39" s="207">
        <v>123.34076404494382022471910112</v>
      </c>
      <c r="F39" s="207">
        <v>129.79806988352745424292845257</v>
      </c>
      <c r="G39" s="207">
        <v>128.97033478893740902474526929</v>
      </c>
      <c r="H39" s="207">
        <v>118.37365591397849462365591398</v>
      </c>
      <c r="I39" s="207">
        <v>136.46416173570019723865877711</v>
      </c>
      <c r="J39" s="207">
        <v>137.18979468599033816425120773</v>
      </c>
      <c r="K39" s="207">
        <v>145.56298919567827130852340936</v>
      </c>
      <c r="L39" s="207">
        <v>143.81028653295128939828080228</v>
      </c>
      <c r="M39" s="207">
        <v>133.2245265888456549935149157</v>
      </c>
      <c r="N39" s="207">
        <v>133.55950649350649350649350649</v>
      </c>
      <c r="O39" s="207">
        <v>122.43809210526315789473684211</v>
      </c>
      <c r="P39" s="207">
        <v>140.55796577946768060836501902</v>
      </c>
      <c r="Q39" s="207">
        <v>142.56042582417582417582417582</v>
      </c>
      <c r="R39" s="207">
        <v>137.5721393841166936790923825</v>
      </c>
      <c r="S39" s="207">
        <v>134.3840504201680672268907563</v>
      </c>
      <c r="T39" s="207">
        <v>127.64540777917189460476787953</v>
      </c>
      <c r="U39" s="207">
        <v>131.22871465295629820051413882</v>
      </c>
      <c r="V39" s="207"/>
      <c r="W39" s="207"/>
      <c r="X39" s="207"/>
      <c r="Y39" s="207"/>
      <c r="Z39" s="207"/>
      <c r="AA39" s="207"/>
      <c r="AB39" s="207"/>
      <c r="AC39" s="207"/>
      <c r="AD39" s="207"/>
      <c r="AE39" s="207"/>
      <c r="AF39" s="207"/>
      <c r="AG39" s="298"/>
      <c r="AH39" s="218"/>
      <c r="AI39" s="306">
        <v>133.8333576275446091982910279</v>
      </c>
      <c r="AJ39" s="306">
        <v>135.61280631886366653391742997</v>
      </c>
      <c r="AK39" s="306">
        <v>130.78962761126248864668483197</v>
      </c>
      <c r="AM39" s="244"/>
      <c r="AN39" s="244"/>
      <c r="AO39" s="244"/>
      <c r="AP39" s="244"/>
      <c r="AQ39" s="244"/>
      <c r="AR39" s="244"/>
      <c r="AS39" s="244"/>
      <c r="AT39" s="244"/>
      <c r="AU39" s="244"/>
      <c r="AV39" s="244"/>
      <c r="AW39" s="244"/>
      <c r="AX39" s="244"/>
      <c r="AY39" s="244"/>
      <c r="AZ39" s="244"/>
      <c r="BA39" s="244"/>
      <c r="BB39" s="244"/>
      <c r="BC39" s="244"/>
      <c r="BD39" s="244"/>
      <c r="BE39" s="244"/>
      <c r="BF39" s="244"/>
      <c r="BG39" s="244"/>
      <c r="BH39" s="244"/>
      <c r="BI39" s="244"/>
      <c r="BJ39" s="244"/>
      <c r="BK39" s="244"/>
      <c r="BL39" s="244"/>
      <c r="BM39" s="244"/>
    </row>
    <row r="40" ht="14.25">
      <c r="A40" s="24"/>
      <c r="B40" s="49" t="s">
        <v>92</v>
      </c>
      <c r="C40" s="291">
        <v>67.361729948990204541913544690</v>
      </c>
      <c r="D40" s="292">
        <v>73.069809292697183415851003900</v>
      </c>
      <c r="E40" s="292">
        <v>78.361906269576035985823733880</v>
      </c>
      <c r="F40" s="292">
        <v>75.929908390790324409928655720</v>
      </c>
      <c r="G40" s="292">
        <v>77.206385093375164347249547940</v>
      </c>
      <c r="H40" s="292">
        <v>79.30055637559590315769263615</v>
      </c>
      <c r="I40" s="292">
        <v>72.979533838191157355606769480</v>
      </c>
      <c r="J40" s="292">
        <v>68.468517207718931171534487720</v>
      </c>
      <c r="K40" s="292">
        <v>68.104421328826797286263985850</v>
      </c>
      <c r="L40" s="292">
        <v>60.987210628229571716535365240</v>
      </c>
      <c r="M40" s="292">
        <v>80.10108081949606667808406773</v>
      </c>
      <c r="N40" s="292">
        <v>75.367437332803748765250261490</v>
      </c>
      <c r="O40" s="292">
        <v>73.506535794920438492253520470</v>
      </c>
      <c r="P40" s="292">
        <v>67.755934790466071895643433090</v>
      </c>
      <c r="Q40" s="292">
        <v>71.938306134146300698754051270</v>
      </c>
      <c r="R40" s="292">
        <v>71.735091452249291356813512870</v>
      </c>
      <c r="S40" s="292">
        <v>68.674726278384665484494264330</v>
      </c>
      <c r="T40" s="292">
        <v>81.49137662667266463020216403</v>
      </c>
      <c r="U40" s="292">
        <v>78.341179154900269734591723970</v>
      </c>
      <c r="V40" s="292"/>
      <c r="W40" s="292"/>
      <c r="X40" s="292"/>
      <c r="Y40" s="292"/>
      <c r="Z40" s="292"/>
      <c r="AA40" s="292"/>
      <c r="AB40" s="292"/>
      <c r="AC40" s="292"/>
      <c r="AD40" s="292"/>
      <c r="AE40" s="292"/>
      <c r="AF40" s="292"/>
      <c r="AG40" s="293"/>
      <c r="AH40" s="218"/>
      <c r="AI40" s="304">
        <v>73.132061984201198942734836340</v>
      </c>
      <c r="AJ40" s="304">
        <v>70.025448663909963978769958730</v>
      </c>
      <c r="AK40" s="304">
        <v>78.137894838239763087668975250</v>
      </c>
      <c r="AM40" s="244"/>
      <c r="AN40" s="244"/>
      <c r="AO40" s="244"/>
      <c r="AP40" s="244"/>
      <c r="AQ40" s="244"/>
      <c r="AR40" s="244"/>
      <c r="AS40" s="244"/>
      <c r="AT40" s="244"/>
      <c r="AU40" s="244"/>
      <c r="AV40" s="244"/>
      <c r="AW40" s="244"/>
      <c r="AX40" s="244"/>
      <c r="AY40" s="244"/>
      <c r="AZ40" s="244"/>
      <c r="BA40" s="244"/>
      <c r="BB40" s="244"/>
      <c r="BC40" s="244"/>
      <c r="BD40" s="244"/>
      <c r="BE40" s="244"/>
      <c r="BF40" s="244"/>
      <c r="BG40" s="244"/>
      <c r="BH40" s="244"/>
      <c r="BI40" s="244"/>
      <c r="BJ40" s="244"/>
      <c r="BK40" s="244"/>
      <c r="BL40" s="244"/>
      <c r="BM40" s="244"/>
    </row>
    <row r="41" ht="12" customHeight="1">
      <c r="B41" s="0"/>
      <c r="AI41" s="22"/>
      <c r="AJ41" s="22"/>
      <c r="AK41" s="22"/>
      <c r="AM41" s="244"/>
      <c r="AN41" s="244"/>
      <c r="AO41" s="244"/>
      <c r="AP41" s="244"/>
      <c r="AQ41" s="244"/>
      <c r="AR41" s="244"/>
      <c r="AS41" s="244"/>
      <c r="AT41" s="244"/>
      <c r="AU41" s="244"/>
      <c r="AV41" s="244"/>
      <c r="AW41" s="244"/>
      <c r="AX41" s="244"/>
      <c r="AY41" s="244"/>
      <c r="AZ41" s="244"/>
      <c r="BA41" s="244"/>
      <c r="BB41" s="244"/>
      <c r="BC41" s="244"/>
      <c r="BD41" s="244"/>
      <c r="BE41" s="244"/>
      <c r="BF41" s="244"/>
      <c r="BG41" s="244"/>
      <c r="BH41" s="244"/>
      <c r="BI41" s="244"/>
      <c r="BJ41" s="244"/>
      <c r="BK41" s="244"/>
      <c r="BL41" s="244"/>
      <c r="BM41" s="244"/>
    </row>
    <row r="42" ht="18">
      <c r="B42" s="29" t="s">
        <v>87</v>
      </c>
      <c r="AI42" s="22"/>
      <c r="AJ42" s="22"/>
      <c r="AK42" s="22"/>
      <c r="AM42" s="244"/>
      <c r="AN42" s="244"/>
      <c r="AO42" s="244"/>
      <c r="AP42" s="244"/>
      <c r="AQ42" s="244"/>
      <c r="AR42" s="244"/>
      <c r="AS42" s="244"/>
      <c r="AT42" s="244"/>
      <c r="AU42" s="244"/>
      <c r="AV42" s="244"/>
      <c r="AW42" s="244"/>
      <c r="AX42" s="244"/>
      <c r="AY42" s="244"/>
      <c r="AZ42" s="244"/>
      <c r="BA42" s="244"/>
      <c r="BB42" s="244"/>
      <c r="BC42" s="244"/>
      <c r="BD42" s="244"/>
      <c r="BE42" s="244"/>
      <c r="BF42" s="244"/>
      <c r="BG42" s="244"/>
      <c r="BH42" s="244"/>
      <c r="BI42" s="244"/>
      <c r="BJ42" s="244"/>
      <c r="BK42" s="244"/>
      <c r="BL42" s="244"/>
      <c r="BM42" s="244"/>
    </row>
    <row r="43" ht="14.25">
      <c r="B43" s="46" t="s">
        <v>32</v>
      </c>
      <c r="C43" s="286">
        <v>19.716849635406467071386607380</v>
      </c>
      <c r="D43" s="287">
        <v>6.6807313642396576996801441400</v>
      </c>
      <c r="E43" s="287">
        <v>-6.7821672919743278957032580600</v>
      </c>
      <c r="F43" s="287">
        <v>-4.1614216179826619468993163400</v>
      </c>
      <c r="G43" s="287">
        <v>-8.434746467195389707879087130</v>
      </c>
      <c r="H43" s="287">
        <v>46.450139932265625542975893530</v>
      </c>
      <c r="I43" s="287">
        <v>-3.163549933171006484217210700</v>
      </c>
      <c r="J43" s="287">
        <v>-21.890610793886437194169469480</v>
      </c>
      <c r="K43" s="287">
        <v>-14.905724068090852100110912860</v>
      </c>
      <c r="L43" s="287">
        <v>-19.454684689490645204749984910</v>
      </c>
      <c r="M43" s="287">
        <v>-2.6822807348077659647008002400</v>
      </c>
      <c r="N43" s="287">
        <v>-13.809488511403334634029655280</v>
      </c>
      <c r="O43" s="287">
        <v>-4.6757943683384006330214867700</v>
      </c>
      <c r="P43" s="287">
        <v>-13.696776990908358656642578520</v>
      </c>
      <c r="Q43" s="287">
        <v>-5.3132406523167028311454830300</v>
      </c>
      <c r="R43" s="287">
        <v>-6.3872940589303270506122954900</v>
      </c>
      <c r="S43" s="287">
        <v>-9.183350927102157174977485940</v>
      </c>
      <c r="T43" s="287">
        <v>10.874031007730450769184548360</v>
      </c>
      <c r="U43" s="287">
        <v>-57.056757540108775339709818760</v>
      </c>
      <c r="V43" s="287"/>
      <c r="W43" s="287"/>
      <c r="X43" s="287"/>
      <c r="Y43" s="287"/>
      <c r="Z43" s="287"/>
      <c r="AA43" s="287"/>
      <c r="AB43" s="287"/>
      <c r="AC43" s="287"/>
      <c r="AD43" s="287"/>
      <c r="AE43" s="287"/>
      <c r="AF43" s="287"/>
      <c r="AG43" s="288"/>
      <c r="AH43" s="218"/>
      <c r="AI43" s="302">
        <v>-6.8919098261859867871250873600</v>
      </c>
      <c r="AJ43" s="302">
        <v>-7.9142050225173650866346080500</v>
      </c>
      <c r="AK43" s="302">
        <v>-6.0067827337465788006301904700</v>
      </c>
      <c r="AM43" s="244"/>
      <c r="AN43" s="244"/>
      <c r="AO43" s="244"/>
      <c r="AP43" s="244"/>
      <c r="AQ43" s="244"/>
      <c r="AR43" s="244"/>
      <c r="AS43" s="244"/>
      <c r="AT43" s="244"/>
      <c r="AU43" s="244"/>
      <c r="AV43" s="244"/>
      <c r="AW43" s="244"/>
      <c r="AX43" s="244"/>
      <c r="AY43" s="244"/>
      <c r="AZ43" s="244"/>
      <c r="BA43" s="244"/>
      <c r="BB43" s="244"/>
      <c r="BC43" s="244"/>
      <c r="BD43" s="244"/>
      <c r="BE43" s="244"/>
      <c r="BF43" s="244"/>
      <c r="BG43" s="244"/>
      <c r="BH43" s="244"/>
      <c r="BI43" s="244"/>
      <c r="BJ43" s="244"/>
      <c r="BK43" s="244"/>
      <c r="BL43" s="244"/>
      <c r="BM43" s="244"/>
    </row>
    <row r="44" ht="14.25">
      <c r="B44" s="201" t="s">
        <v>26</v>
      </c>
      <c r="C44" s="289">
        <v>6.8399882712798366061752818200</v>
      </c>
      <c r="D44" s="202">
        <v>14.022244214969755470875694010</v>
      </c>
      <c r="E44" s="202">
        <v>-0.1542006213457564586134268700</v>
      </c>
      <c r="F44" s="202">
        <v>-0.6307235979695881398085866400</v>
      </c>
      <c r="G44" s="202">
        <v>-4.4261870372302117440580355600</v>
      </c>
      <c r="H44" s="202">
        <v>-5.5654105343328736736298575200</v>
      </c>
      <c r="I44" s="202">
        <v>1.0016139612703766073076677200</v>
      </c>
      <c r="J44" s="202">
        <v>-8.448365365839651936764404430</v>
      </c>
      <c r="K44" s="202">
        <v>-4.7960347570798230318512931600</v>
      </c>
      <c r="L44" s="202">
        <v>-0.2650934578030624567905442100</v>
      </c>
      <c r="M44" s="202">
        <v>-4.4011204766475601829531570600</v>
      </c>
      <c r="N44" s="202">
        <v>0.8010295516849091293123813700</v>
      </c>
      <c r="O44" s="202">
        <v>-7.925861901759311712360355770</v>
      </c>
      <c r="P44" s="202">
        <v>0.9956357925684357320870401700</v>
      </c>
      <c r="Q44" s="202">
        <v>-1.4613428808995847373833432700</v>
      </c>
      <c r="R44" s="202">
        <v>-5.0668391405997066112962160100</v>
      </c>
      <c r="S44" s="202">
        <v>-8.386347834859406981721782110</v>
      </c>
      <c r="T44" s="202">
        <v>-6.4894131047748430901016124400</v>
      </c>
      <c r="U44" s="202">
        <v>3.0902178738923472976988808900</v>
      </c>
      <c r="V44" s="202"/>
      <c r="W44" s="202"/>
      <c r="X44" s="202"/>
      <c r="Y44" s="202"/>
      <c r="Z44" s="202"/>
      <c r="AA44" s="202"/>
      <c r="AB44" s="202"/>
      <c r="AC44" s="202"/>
      <c r="AD44" s="202"/>
      <c r="AE44" s="202"/>
      <c r="AF44" s="202"/>
      <c r="AG44" s="290"/>
      <c r="AH44" s="218"/>
      <c r="AI44" s="303">
        <v>-2.8472995565360186714094449100</v>
      </c>
      <c r="AJ44" s="303">
        <v>-2.5316419164274128866915474600</v>
      </c>
      <c r="AK44" s="303">
        <v>-3.0563214983619302489960755800</v>
      </c>
      <c r="AM44" s="244"/>
      <c r="AN44" s="244"/>
      <c r="AO44" s="244"/>
      <c r="AP44" s="244"/>
      <c r="AQ44" s="244"/>
      <c r="AR44" s="244"/>
      <c r="AS44" s="244"/>
      <c r="AT44" s="244"/>
      <c r="AU44" s="244"/>
      <c r="AV44" s="244"/>
      <c r="AW44" s="244"/>
      <c r="AX44" s="244"/>
      <c r="AY44" s="244"/>
      <c r="AZ44" s="244"/>
      <c r="BA44" s="244"/>
      <c r="BB44" s="244"/>
      <c r="BC44" s="244"/>
      <c r="BD44" s="244"/>
      <c r="BE44" s="244"/>
      <c r="BF44" s="244"/>
      <c r="BG44" s="244"/>
      <c r="BH44" s="244"/>
      <c r="BI44" s="244"/>
      <c r="BJ44" s="244"/>
      <c r="BK44" s="244"/>
      <c r="BL44" s="244"/>
      <c r="BM44" s="244"/>
    </row>
    <row r="45" ht="14.25">
      <c r="A45" s="24"/>
      <c r="B45" s="49" t="s">
        <v>92</v>
      </c>
      <c r="C45" s="291">
        <v>12.052473584532215880038767140</v>
      </c>
      <c r="D45" s="292">
        <v>-6.4386672102640460643937148400</v>
      </c>
      <c r="E45" s="292">
        <v>-6.6382028206002818913091595600</v>
      </c>
      <c r="F45" s="292">
        <v>-3.5531083126128853940220319700</v>
      </c>
      <c r="G45" s="292">
        <v>-4.1942026854799243061366486600</v>
      </c>
      <c r="H45" s="292">
        <v>55.081036261012426536190398290</v>
      </c>
      <c r="I45" s="292">
        <v>-4.1238587495177875595532097300</v>
      </c>
      <c r="J45" s="292">
        <v>-14.682692976231283442575882690</v>
      </c>
      <c r="K45" s="292">
        <v>-10.618979246523657126732614560</v>
      </c>
      <c r="L45" s="292">
        <v>-19.240596795048960485457341350</v>
      </c>
      <c r="M45" s="292">
        <v>1.7979705938474493966387023700</v>
      </c>
      <c r="N45" s="292">
        <v>-14.494413527426966939591402340</v>
      </c>
      <c r="O45" s="292">
        <v>3.5298375857744321810700144100</v>
      </c>
      <c r="P45" s="292">
        <v>-14.547571950215638174464245970</v>
      </c>
      <c r="Q45" s="292">
        <v>-3.9090219859506811506140588100</v>
      </c>
      <c r="R45" s="292">
        <v>-1.3909311628870320408738167500</v>
      </c>
      <c r="S45" s="292">
        <v>-0.8699610521875748887334241700</v>
      </c>
      <c r="T45" s="292">
        <v>18.568425981499132447974218780</v>
      </c>
      <c r="U45" s="292">
        <v>-58.344018137202405306869354310</v>
      </c>
      <c r="V45" s="292"/>
      <c r="W45" s="292"/>
      <c r="X45" s="292"/>
      <c r="Y45" s="292"/>
      <c r="Z45" s="292"/>
      <c r="AA45" s="292"/>
      <c r="AB45" s="292"/>
      <c r="AC45" s="292"/>
      <c r="AD45" s="292"/>
      <c r="AE45" s="292"/>
      <c r="AF45" s="292"/>
      <c r="AG45" s="293"/>
      <c r="AH45" s="218"/>
      <c r="AI45" s="304">
        <v>-4.163147551338752241280765400</v>
      </c>
      <c r="AJ45" s="304">
        <v>-5.5223697330248148219498710600</v>
      </c>
      <c r="AK45" s="304">
        <v>-3.0434797616604344387033690600</v>
      </c>
      <c r="AM45" s="244"/>
      <c r="AN45" s="244"/>
      <c r="AO45" s="244"/>
      <c r="AP45" s="244"/>
      <c r="AQ45" s="244"/>
      <c r="AR45" s="244"/>
      <c r="AS45" s="244"/>
      <c r="AT45" s="244"/>
      <c r="AU45" s="244"/>
      <c r="AV45" s="244"/>
      <c r="AW45" s="244"/>
      <c r="AX45" s="244"/>
      <c r="AY45" s="244"/>
      <c r="AZ45" s="244"/>
      <c r="BA45" s="244"/>
      <c r="BB45" s="244"/>
      <c r="BC45" s="244"/>
      <c r="BD45" s="244"/>
      <c r="BE45" s="244"/>
      <c r="BF45" s="244"/>
      <c r="BG45" s="244"/>
      <c r="BH45" s="244"/>
      <c r="BI45" s="244"/>
      <c r="BJ45" s="244"/>
      <c r="BK45" s="244"/>
      <c r="BL45" s="244"/>
      <c r="BM45" s="244"/>
    </row>
    <row r="46" ht="13.5" customHeight="1">
      <c r="B46" s="176"/>
      <c r="C46" s="21"/>
      <c r="D46" s="21"/>
      <c r="E46" s="21"/>
      <c r="F46" s="21"/>
      <c r="G46" s="21"/>
      <c r="H46" s="21"/>
      <c r="I46" s="21"/>
      <c r="J46" s="21"/>
      <c r="K46" s="21"/>
      <c r="L46" s="21"/>
      <c r="M46" s="21"/>
      <c r="N46" s="21"/>
      <c r="O46" s="21"/>
      <c r="P46" s="21"/>
      <c r="Q46" s="21"/>
      <c r="R46" s="21"/>
      <c r="S46" s="21"/>
      <c r="T46" s="21"/>
      <c r="U46" s="21"/>
      <c r="V46" s="21"/>
      <c r="W46" s="21"/>
      <c r="X46" s="21"/>
      <c r="Y46" s="21"/>
      <c r="Z46" s="21"/>
      <c r="AA46" s="21"/>
      <c r="AB46" s="21"/>
      <c r="AC46" s="21"/>
      <c r="AD46" s="21"/>
      <c r="AE46" s="43"/>
      <c r="AF46" s="43"/>
      <c r="AG46" s="43"/>
      <c r="AI46" s="43"/>
      <c r="AJ46" s="43"/>
      <c r="AK46" s="43"/>
      <c r="AM46" s="244"/>
      <c r="AN46" s="244"/>
      <c r="AO46" s="244"/>
      <c r="AP46" s="244"/>
      <c r="AQ46" s="244"/>
      <c r="AR46" s="244"/>
      <c r="AS46" s="244"/>
      <c r="AT46" s="244"/>
      <c r="AU46" s="244"/>
      <c r="AV46" s="244"/>
      <c r="AW46" s="244"/>
      <c r="AX46" s="244"/>
      <c r="AY46" s="244"/>
      <c r="AZ46" s="244"/>
      <c r="BA46" s="244"/>
      <c r="BB46" s="244"/>
      <c r="BC46" s="244"/>
      <c r="BD46" s="244"/>
      <c r="BE46" s="244"/>
      <c r="BF46" s="244"/>
      <c r="BG46" s="244"/>
      <c r="BH46" s="244"/>
      <c r="BI46" s="244"/>
      <c r="BJ46" s="244"/>
      <c r="BK46" s="244"/>
      <c r="BL46" s="244"/>
      <c r="BM46" s="244"/>
    </row>
    <row r="47" ht="18" customHeight="1">
      <c r="A47" s="8"/>
      <c r="B47" s="29"/>
      <c r="X47" s="653"/>
      <c r="Y47" s="653"/>
      <c r="Z47" s="653"/>
      <c r="AA47" s="653"/>
      <c r="AB47" s="653"/>
      <c r="AC47" s="653"/>
      <c r="AD47" s="653"/>
      <c r="AM47" s="244"/>
      <c r="AN47" s="244"/>
      <c r="AO47" s="244"/>
      <c r="AP47" s="244"/>
      <c r="AQ47" s="244"/>
      <c r="AR47" s="244"/>
      <c r="AS47" s="244"/>
      <c r="AT47" s="244"/>
      <c r="AU47" s="244"/>
      <c r="AV47" s="244"/>
      <c r="AW47" s="244"/>
      <c r="AX47" s="244"/>
      <c r="AY47" s="244"/>
      <c r="AZ47" s="244"/>
      <c r="BA47" s="244"/>
      <c r="BB47" s="244"/>
      <c r="BC47" s="244"/>
      <c r="BD47" s="244"/>
      <c r="BE47" s="244"/>
      <c r="BF47" s="244"/>
      <c r="BG47" s="244"/>
      <c r="BH47" s="244"/>
      <c r="BI47" s="244"/>
      <c r="BJ47" s="244"/>
      <c r="BK47" s="244"/>
      <c r="BL47" s="244"/>
      <c r="BM47" s="244"/>
    </row>
    <row r="48" s="41" customFormat="1" ht="18">
      <c r="B48" s="615" t="s">
        <v>13</v>
      </c>
      <c r="C48" s="275" t="s">
        <v>145</v>
      </c>
      <c r="D48" s="276"/>
      <c r="E48" s="276"/>
      <c r="F48" s="276"/>
      <c r="G48" s="276"/>
      <c r="H48" s="276"/>
      <c r="I48" s="276"/>
      <c r="J48" s="276"/>
      <c r="K48" s="276"/>
      <c r="L48" s="276"/>
      <c r="M48" s="276"/>
      <c r="N48" s="276"/>
      <c r="O48" s="276"/>
      <c r="P48" s="276"/>
      <c r="Q48" s="276"/>
      <c r="R48" s="276"/>
      <c r="S48" s="277"/>
      <c r="T48" s="277"/>
      <c r="U48" s="277"/>
      <c r="V48" s="277"/>
      <c r="W48" s="277"/>
      <c r="X48" s="277"/>
      <c r="Y48" s="277"/>
      <c r="Z48" s="277"/>
      <c r="AA48" s="277"/>
      <c r="AB48" s="277"/>
      <c r="AC48" s="277"/>
      <c r="AD48" s="277"/>
      <c r="AE48" s="277"/>
      <c r="AF48" s="277"/>
      <c r="AG48" s="278"/>
      <c r="AH48" s="25"/>
      <c r="AI48" s="307" t="s">
        <v>59</v>
      </c>
      <c r="AJ48" s="307" t="s">
        <v>31</v>
      </c>
      <c r="AK48" s="307" t="s">
        <v>31</v>
      </c>
      <c r="AL48" s="25"/>
      <c r="AM48" s="248"/>
      <c r="AN48" s="248"/>
      <c r="AO48" s="253"/>
      <c r="AP48" s="253"/>
      <c r="AQ48" s="253"/>
      <c r="AR48" s="253"/>
      <c r="AS48" s="253"/>
      <c r="AT48" s="253"/>
      <c r="AU48" s="253"/>
      <c r="AV48" s="253"/>
      <c r="AW48" s="253"/>
      <c r="AX48" s="253"/>
      <c r="AY48" s="253"/>
      <c r="AZ48" s="253"/>
      <c r="BA48" s="253"/>
      <c r="BB48" s="253"/>
      <c r="BC48" s="253"/>
      <c r="BD48" s="253"/>
      <c r="BE48" s="253"/>
      <c r="BF48" s="253"/>
      <c r="BG48" s="253"/>
      <c r="BH48" s="253"/>
      <c r="BI48" s="253"/>
      <c r="BJ48" s="253"/>
      <c r="BK48" s="253"/>
      <c r="BL48" s="253"/>
      <c r="BM48" s="253"/>
    </row>
    <row r="49" s="42" customFormat="1">
      <c r="B49" s="615"/>
      <c r="C49" s="279">
        <v>1</v>
      </c>
      <c r="D49" s="280">
        <v>2</v>
      </c>
      <c r="E49" s="280">
        <v>3</v>
      </c>
      <c r="F49" s="280">
        <v>4</v>
      </c>
      <c r="G49" s="280">
        <v>5</v>
      </c>
      <c r="H49" s="280">
        <v>6</v>
      </c>
      <c r="I49" s="280">
        <v>7</v>
      </c>
      <c r="J49" s="280">
        <v>8</v>
      </c>
      <c r="K49" s="280">
        <v>9</v>
      </c>
      <c r="L49" s="280">
        <v>10</v>
      </c>
      <c r="M49" s="280">
        <v>11</v>
      </c>
      <c r="N49" s="280">
        <v>12</v>
      </c>
      <c r="O49" s="280">
        <v>13</v>
      </c>
      <c r="P49" s="280">
        <v>14</v>
      </c>
      <c r="Q49" s="280">
        <v>15</v>
      </c>
      <c r="R49" s="280">
        <v>16</v>
      </c>
      <c r="S49" s="280">
        <v>17</v>
      </c>
      <c r="T49" s="280">
        <v>18</v>
      </c>
      <c r="U49" s="280">
        <v>19</v>
      </c>
      <c r="V49" s="280">
        <v>20</v>
      </c>
      <c r="W49" s="280">
        <v>21</v>
      </c>
      <c r="X49" s="280">
        <v>22</v>
      </c>
      <c r="Y49" s="280">
        <v>23</v>
      </c>
      <c r="Z49" s="280">
        <v>24</v>
      </c>
      <c r="AA49" s="280">
        <v>25</v>
      </c>
      <c r="AB49" s="280">
        <v>26</v>
      </c>
      <c r="AC49" s="280">
        <v>27</v>
      </c>
      <c r="AD49" s="280">
        <v>28</v>
      </c>
      <c r="AE49" s="280">
        <v>29</v>
      </c>
      <c r="AF49" s="280">
        <v>30</v>
      </c>
      <c r="AG49" s="281">
        <v>31</v>
      </c>
      <c r="AH49" s="25"/>
      <c r="AI49" s="308" t="s">
        <v>31</v>
      </c>
      <c r="AJ49" s="308" t="s">
        <v>88</v>
      </c>
      <c r="AK49" s="308" t="s">
        <v>89</v>
      </c>
      <c r="AL49" s="25"/>
      <c r="AM49" s="248"/>
      <c r="AN49" s="248"/>
      <c r="AO49" s="254"/>
      <c r="AP49" s="254"/>
      <c r="AQ49" s="254"/>
      <c r="AR49" s="254"/>
      <c r="AS49" s="254"/>
      <c r="AT49" s="254"/>
      <c r="AU49" s="254"/>
      <c r="AV49" s="254"/>
      <c r="AW49" s="254"/>
      <c r="AX49" s="254"/>
      <c r="AY49" s="254"/>
      <c r="AZ49" s="254"/>
      <c r="BA49" s="254"/>
      <c r="BB49" s="254"/>
      <c r="BC49" s="254"/>
      <c r="BD49" s="254"/>
      <c r="BE49" s="254"/>
      <c r="BF49" s="254"/>
      <c r="BG49" s="254"/>
      <c r="BH49" s="254"/>
      <c r="BI49" s="254"/>
      <c r="BJ49" s="254"/>
      <c r="BK49" s="254"/>
      <c r="BL49" s="254"/>
      <c r="BM49" s="254"/>
    </row>
    <row r="50" ht="14.25">
      <c r="B50" s="404" t="s">
        <v>32</v>
      </c>
      <c r="C50" s="294">
        <v>22.349462365591397849462365591</v>
      </c>
      <c r="D50" s="295">
        <v>24.865591397849462365591397849</v>
      </c>
      <c r="E50" s="295">
        <v>23.903225806451612903225806452</v>
      </c>
      <c r="F50" s="295">
        <v>38.150537634408602150537634409</v>
      </c>
      <c r="G50" s="295">
        <v>40.150537634408602150537634409</v>
      </c>
      <c r="H50" s="295">
        <v>15.645161290322580645161290323</v>
      </c>
      <c r="I50" s="295">
        <v>23.559139784946236559139784946</v>
      </c>
      <c r="J50" s="295">
        <v>44.440860215053763440860215054</v>
      </c>
      <c r="K50" s="295">
        <v>47.435483870967741935483870968</v>
      </c>
      <c r="L50" s="295">
        <v>32.064516129032258064516129032</v>
      </c>
      <c r="M50" s="295">
        <v>48.193548387096774193548387097</v>
      </c>
      <c r="N50" s="295">
        <v>57.365591397849462365591397849</v>
      </c>
      <c r="O50" s="295">
        <v>28.064516129032258064516129032</v>
      </c>
      <c r="P50" s="295">
        <v>28.161290322580645161290322581</v>
      </c>
      <c r="Q50" s="295">
        <v>39.698924731182795698924731183</v>
      </c>
      <c r="R50" s="295">
        <v>42.44623655913978494623655914</v>
      </c>
      <c r="S50" s="295">
        <v>32.747311827956989247311827957</v>
      </c>
      <c r="T50" s="295">
        <v>55.924731182795698924731182796</v>
      </c>
      <c r="U50" s="295">
        <v>54.166666666666666666666666667</v>
      </c>
      <c r="V50" s="295"/>
      <c r="W50" s="295"/>
      <c r="X50" s="295"/>
      <c r="Y50" s="295"/>
      <c r="Z50" s="295"/>
      <c r="AA50" s="295"/>
      <c r="AB50" s="295"/>
      <c r="AC50" s="295"/>
      <c r="AD50" s="295"/>
      <c r="AE50" s="295"/>
      <c r="AF50" s="295"/>
      <c r="AG50" s="296"/>
      <c r="AH50" s="218"/>
      <c r="AI50" s="305">
        <v>36.807017543859649122807017544</v>
      </c>
      <c r="AJ50" s="305">
        <v>31.183209263854425144747725393</v>
      </c>
      <c r="AK50" s="305">
        <v>48.991935483870967741935483871</v>
      </c>
      <c r="AM50" s="244"/>
      <c r="AN50" s="244"/>
      <c r="AO50" s="244"/>
      <c r="AP50" s="244"/>
      <c r="AQ50" s="244"/>
      <c r="AR50" s="244"/>
      <c r="AS50" s="244"/>
      <c r="AT50" s="244"/>
      <c r="AU50" s="244"/>
      <c r="AV50" s="244"/>
      <c r="AW50" s="244"/>
      <c r="AX50" s="244"/>
      <c r="AY50" s="244"/>
      <c r="AZ50" s="244"/>
      <c r="BA50" s="244"/>
      <c r="BB50" s="244"/>
      <c r="BC50" s="244"/>
      <c r="BD50" s="244"/>
      <c r="BE50" s="244"/>
      <c r="BF50" s="244"/>
      <c r="BG50" s="244"/>
      <c r="BH50" s="244"/>
      <c r="BI50" s="244"/>
      <c r="BJ50" s="244"/>
      <c r="BK50" s="244"/>
      <c r="BL50" s="244"/>
      <c r="BM50" s="244"/>
    </row>
    <row r="51" ht="14.25">
      <c r="B51" s="201" t="s">
        <v>26</v>
      </c>
      <c r="C51" s="297">
        <v>60.814493554327808471454880295</v>
      </c>
      <c r="D51" s="207">
        <v>49.540782688766114180478821363</v>
      </c>
      <c r="E51" s="207">
        <v>50.540184162062615101289134438</v>
      </c>
      <c r="F51" s="207">
        <v>71.831160220994475138121546961</v>
      </c>
      <c r="G51" s="207">
        <v>81.58620626151012891344383057</v>
      </c>
      <c r="H51" s="207">
        <v>40.547882136279926335174953959</v>
      </c>
      <c r="I51" s="207">
        <v>63.708406998158379373848987109</v>
      </c>
      <c r="J51" s="207">
        <v>104.59774401473296500920810313</v>
      </c>
      <c r="K51" s="207">
        <v>111.65190607734806629834254144</v>
      </c>
      <c r="L51" s="207">
        <v>92.43055248618784530386740331</v>
      </c>
      <c r="M51" s="207">
        <v>94.58205340699815837937384899</v>
      </c>
      <c r="N51" s="207">
        <v>94.69688766114180478821362799</v>
      </c>
      <c r="O51" s="207">
        <v>51.410469613259668508287292818</v>
      </c>
      <c r="P51" s="207">
        <v>68.078720073664825046040515654</v>
      </c>
      <c r="Q51" s="207">
        <v>95.56536832412523020257826888</v>
      </c>
      <c r="R51" s="207">
        <v>78.160230202578268876611418048</v>
      </c>
      <c r="S51" s="207">
        <v>73.626620626151012891344383057</v>
      </c>
      <c r="T51" s="207">
        <v>93.67715469613259668508287293</v>
      </c>
      <c r="U51" s="207">
        <v>94.01099447513812154696132597</v>
      </c>
      <c r="V51" s="207"/>
      <c r="W51" s="207"/>
      <c r="X51" s="207"/>
      <c r="Y51" s="207"/>
      <c r="Z51" s="207"/>
      <c r="AA51" s="207"/>
      <c r="AB51" s="207"/>
      <c r="AC51" s="207"/>
      <c r="AD51" s="207"/>
      <c r="AE51" s="207"/>
      <c r="AF51" s="207"/>
      <c r="AG51" s="298"/>
      <c r="AH51" s="218"/>
      <c r="AI51" s="306">
        <v>77.424095667345158476301250363</v>
      </c>
      <c r="AJ51" s="306">
        <v>72.359489304434055815271284885</v>
      </c>
      <c r="AK51" s="306">
        <v>88.3974094536525475751995089</v>
      </c>
      <c r="AM51" s="244"/>
      <c r="AN51" s="244"/>
      <c r="AO51" s="244"/>
      <c r="AP51" s="244"/>
      <c r="AQ51" s="244"/>
      <c r="AR51" s="244"/>
      <c r="AS51" s="244"/>
      <c r="AT51" s="244"/>
      <c r="AU51" s="244"/>
      <c r="AV51" s="244"/>
      <c r="AW51" s="244"/>
      <c r="AX51" s="244"/>
      <c r="AY51" s="244"/>
      <c r="AZ51" s="244"/>
      <c r="BA51" s="244"/>
      <c r="BB51" s="244"/>
      <c r="BC51" s="244"/>
      <c r="BD51" s="244"/>
      <c r="BE51" s="244"/>
      <c r="BF51" s="244"/>
      <c r="BG51" s="244"/>
      <c r="BH51" s="244"/>
      <c r="BI51" s="244"/>
      <c r="BJ51" s="244"/>
      <c r="BK51" s="244"/>
      <c r="BL51" s="244"/>
      <c r="BM51" s="244"/>
    </row>
    <row r="52" ht="14.25">
      <c r="A52" s="24"/>
      <c r="B52" s="49" t="s">
        <v>93</v>
      </c>
      <c r="C52" s="291">
        <v>36.750223605226649518711020590</v>
      </c>
      <c r="D52" s="292">
        <v>50.192165016946704088890845700</v>
      </c>
      <c r="E52" s="292">
        <v>47.295486161636510534296873310</v>
      </c>
      <c r="F52" s="292">
        <v>53.111403904701524409667427710</v>
      </c>
      <c r="G52" s="292">
        <v>49.212409148818799376914859890</v>
      </c>
      <c r="H52" s="292">
        <v>38.584410494565484680725209530</v>
      </c>
      <c r="I52" s="292">
        <v>36.979640356745806068516529470</v>
      </c>
      <c r="J52" s="292">
        <v>42.487398398198832927338267080</v>
      </c>
      <c r="K52" s="292">
        <v>42.485153668694843552050743230</v>
      </c>
      <c r="L52" s="292">
        <v>34.690386746113555293829710330</v>
      </c>
      <c r="M52" s="292">
        <v>50.954220860180625697153391790</v>
      </c>
      <c r="N52" s="292">
        <v>60.578116994878121930715772910</v>
      </c>
      <c r="O52" s="292">
        <v>54.589106732788737002813191600</v>
      </c>
      <c r="P52" s="292">
        <v>41.365775226229383894937017990</v>
      </c>
      <c r="Q52" s="292">
        <v>41.541120415659388693791931430</v>
      </c>
      <c r="R52" s="292">
        <v>54.306693377328117079197174750</v>
      </c>
      <c r="S52" s="292">
        <v>44.477542972145964538007853710</v>
      </c>
      <c r="T52" s="292">
        <v>59.699434044748988146281083980</v>
      </c>
      <c r="U52" s="292">
        <v>57.617374402962403395279799020</v>
      </c>
      <c r="V52" s="292"/>
      <c r="W52" s="292"/>
      <c r="X52" s="292"/>
      <c r="Y52" s="292"/>
      <c r="Z52" s="292"/>
      <c r="AA52" s="292"/>
      <c r="AB52" s="292"/>
      <c r="AC52" s="292"/>
      <c r="AD52" s="292"/>
      <c r="AE52" s="292"/>
      <c r="AF52" s="292"/>
      <c r="AG52" s="293"/>
      <c r="AH52" s="218"/>
      <c r="AI52" s="304">
        <v>47.539486546957578767900476490</v>
      </c>
      <c r="AJ52" s="304">
        <v>43.094844316373929956450469970</v>
      </c>
      <c r="AK52" s="304">
        <v>55.422365640173565304915235790</v>
      </c>
      <c r="AM52" s="244"/>
      <c r="AN52" s="244"/>
      <c r="AO52" s="244"/>
      <c r="AP52" s="244"/>
      <c r="AQ52" s="244"/>
      <c r="AR52" s="244"/>
      <c r="AS52" s="244"/>
      <c r="AT52" s="244"/>
      <c r="AU52" s="244"/>
      <c r="AV52" s="244"/>
      <c r="AW52" s="244"/>
      <c r="AX52" s="244"/>
      <c r="AY52" s="244"/>
      <c r="AZ52" s="244"/>
      <c r="BA52" s="244"/>
      <c r="BB52" s="244"/>
      <c r="BC52" s="244"/>
      <c r="BD52" s="244"/>
      <c r="BE52" s="244"/>
      <c r="BF52" s="244"/>
      <c r="BG52" s="244"/>
      <c r="BH52" s="244"/>
      <c r="BI52" s="244"/>
      <c r="BJ52" s="244"/>
      <c r="BK52" s="244"/>
      <c r="BL52" s="244"/>
      <c r="BM52" s="244"/>
    </row>
    <row r="53" ht="12" customHeight="1">
      <c r="B53" s="0"/>
      <c r="AI53" s="22"/>
      <c r="AJ53" s="22"/>
      <c r="AK53" s="22"/>
      <c r="AM53" s="244"/>
      <c r="AN53" s="244"/>
      <c r="AO53" s="244"/>
      <c r="AP53" s="244"/>
      <c r="AQ53" s="244"/>
      <c r="AR53" s="244"/>
      <c r="AS53" s="244"/>
      <c r="AT53" s="244"/>
      <c r="AU53" s="244"/>
      <c r="AV53" s="244"/>
      <c r="AW53" s="244"/>
      <c r="AX53" s="244"/>
      <c r="AY53" s="244"/>
      <c r="AZ53" s="244"/>
      <c r="BA53" s="244"/>
      <c r="BB53" s="244"/>
      <c r="BC53" s="244"/>
      <c r="BD53" s="244"/>
      <c r="BE53" s="244"/>
      <c r="BF53" s="244"/>
      <c r="BG53" s="244"/>
      <c r="BH53" s="244"/>
      <c r="BI53" s="244"/>
      <c r="BJ53" s="244"/>
      <c r="BK53" s="244"/>
      <c r="BL53" s="244"/>
      <c r="BM53" s="244"/>
    </row>
    <row r="54" ht="18">
      <c r="B54" s="29" t="s">
        <v>87</v>
      </c>
      <c r="AI54" s="22"/>
      <c r="AJ54" s="22"/>
      <c r="AK54" s="22"/>
      <c r="AM54" s="244"/>
      <c r="AN54" s="244"/>
      <c r="AO54" s="244"/>
      <c r="AP54" s="244"/>
      <c r="AQ54" s="244"/>
      <c r="AR54" s="244"/>
      <c r="AS54" s="244"/>
      <c r="AT54" s="244"/>
      <c r="AU54" s="244"/>
      <c r="AV54" s="244"/>
      <c r="AW54" s="244"/>
      <c r="AX54" s="244"/>
      <c r="AY54" s="244"/>
      <c r="AZ54" s="244"/>
      <c r="BA54" s="244"/>
      <c r="BB54" s="244"/>
      <c r="BC54" s="244"/>
      <c r="BD54" s="244"/>
      <c r="BE54" s="244"/>
      <c r="BF54" s="244"/>
      <c r="BG54" s="244"/>
      <c r="BH54" s="244"/>
      <c r="BI54" s="244"/>
      <c r="BJ54" s="244"/>
      <c r="BK54" s="244"/>
      <c r="BL54" s="244"/>
      <c r="BM54" s="244"/>
    </row>
    <row r="55" ht="14.25">
      <c r="B55" s="46" t="s">
        <v>32</v>
      </c>
      <c r="C55" s="286">
        <v>125.06767731414984834712067705</v>
      </c>
      <c r="D55" s="287">
        <v>30.098452883306924934869189400</v>
      </c>
      <c r="E55" s="287">
        <v>12.842639594040374655363600440</v>
      </c>
      <c r="F55" s="287">
        <v>-33.006042296025702861875999830</v>
      </c>
      <c r="G55" s="287">
        <v>-41.801745635886640358268906680</v>
      </c>
      <c r="H55" s="287">
        <v>10.730593607027845541169564770</v>
      </c>
      <c r="I55" s="287">
        <v>-5.3154710457794817760294060700</v>
      </c>
      <c r="J55" s="287">
        <v>-7.1131587818751672276415187300</v>
      </c>
      <c r="K55" s="287">
        <v>-21.110515021505782421392888220</v>
      </c>
      <c r="L55" s="287">
        <v>-39.812291855903163840906835440</v>
      </c>
      <c r="M55" s="287">
        <v>-9.170128685704616790626918600</v>
      </c>
      <c r="N55" s="287">
        <v>7.4846378564228264943943175800</v>
      </c>
      <c r="O55" s="287">
        <v>34.848876259294833956983056140</v>
      </c>
      <c r="P55" s="287">
        <v>-16.724960254432919742898188960</v>
      </c>
      <c r="Q55" s="287">
        <v>17.542184017783810690601292400</v>
      </c>
      <c r="R55" s="287">
        <v>31.386253952417845190942161880</v>
      </c>
      <c r="S55" s="287">
        <v>19.877976776116622969263897570</v>
      </c>
      <c r="T55" s="287">
        <v>907.9457364294204074274600601</v>
      </c>
      <c r="U55" s="287">
        <v>180.56251740466954539416396595</v>
      </c>
      <c r="V55" s="287"/>
      <c r="W55" s="287"/>
      <c r="X55" s="287"/>
      <c r="Y55" s="287"/>
      <c r="Z55" s="287"/>
      <c r="AA55" s="287"/>
      <c r="AB55" s="287"/>
      <c r="AC55" s="287"/>
      <c r="AD55" s="287"/>
      <c r="AE55" s="287"/>
      <c r="AF55" s="287"/>
      <c r="AG55" s="288"/>
      <c r="AH55" s="218"/>
      <c r="AI55" s="302">
        <v>8.259537918595487523957119020</v>
      </c>
      <c r="AJ55" s="302">
        <v>6.9842910712036152544253773300</v>
      </c>
      <c r="AK55" s="302">
        <v>2.9614480701972365837841122800</v>
      </c>
      <c r="AM55" s="244"/>
      <c r="AN55" s="244"/>
      <c r="AO55" s="244"/>
      <c r="AP55" s="244"/>
      <c r="AQ55" s="244"/>
      <c r="AR55" s="244"/>
      <c r="AS55" s="244"/>
      <c r="AT55" s="244"/>
      <c r="AU55" s="244"/>
      <c r="AV55" s="244"/>
      <c r="AW55" s="244"/>
      <c r="AX55" s="244"/>
      <c r="AY55" s="244"/>
      <c r="AZ55" s="244"/>
      <c r="BA55" s="244"/>
      <c r="BB55" s="244"/>
      <c r="BC55" s="244"/>
      <c r="BD55" s="244"/>
      <c r="BE55" s="244"/>
      <c r="BF55" s="244"/>
      <c r="BG55" s="244"/>
      <c r="BH55" s="244"/>
      <c r="BI55" s="244"/>
      <c r="BJ55" s="244"/>
      <c r="BK55" s="244"/>
      <c r="BL55" s="244"/>
      <c r="BM55" s="244"/>
    </row>
    <row r="56" ht="14.25">
      <c r="B56" s="201" t="s">
        <v>26</v>
      </c>
      <c r="C56" s="289">
        <v>68.995327359912288279005906780</v>
      </c>
      <c r="D56" s="202">
        <v>63.714370916580679037370496490</v>
      </c>
      <c r="E56" s="202">
        <v>23.420502009602161614768500190</v>
      </c>
      <c r="F56" s="202">
        <v>-16.938894134087584680835092500</v>
      </c>
      <c r="G56" s="202">
        <v>-16.357694897555333060907565160</v>
      </c>
      <c r="H56" s="202">
        <v>-24.125988593535760987925953610</v>
      </c>
      <c r="I56" s="202">
        <v>-17.273314574487683839981860770</v>
      </c>
      <c r="J56" s="202">
        <v>-5.8326043762856560722272822800</v>
      </c>
      <c r="K56" s="202">
        <v>-5.9253819129878821881981208200</v>
      </c>
      <c r="L56" s="202">
        <v>-20.257772317928424775929376180</v>
      </c>
      <c r="M56" s="202">
        <v>-6.5820835076169180824169154100</v>
      </c>
      <c r="N56" s="202">
        <v>17.245910505790493120828072700</v>
      </c>
      <c r="O56" s="202">
        <v>3.9252647840770250578793193200</v>
      </c>
      <c r="P56" s="202">
        <v>0.0446411053235332343863818500</v>
      </c>
      <c r="Q56" s="202">
        <v>24.541913858884545883072148890</v>
      </c>
      <c r="R56" s="202">
        <v>-0.2150591989434997602831098700</v>
      </c>
      <c r="S56" s="202">
        <v>-6.660748222101874718680455500</v>
      </c>
      <c r="T56" s="202">
        <v>2.7971555247722538450705234700</v>
      </c>
      <c r="U56" s="202">
        <v>13.122975325749892258828853590</v>
      </c>
      <c r="V56" s="202"/>
      <c r="W56" s="202"/>
      <c r="X56" s="202"/>
      <c r="Y56" s="202"/>
      <c r="Z56" s="202"/>
      <c r="AA56" s="202"/>
      <c r="AB56" s="202"/>
      <c r="AC56" s="202"/>
      <c r="AD56" s="202"/>
      <c r="AE56" s="202"/>
      <c r="AF56" s="202"/>
      <c r="AG56" s="290"/>
      <c r="AH56" s="218"/>
      <c r="AI56" s="303">
        <v>2.9665084963489411152045884900</v>
      </c>
      <c r="AJ56" s="303">
        <v>4.2738106514522664084236848500</v>
      </c>
      <c r="AK56" s="303">
        <v>-3.319755407289374057630929800</v>
      </c>
      <c r="AM56" s="244"/>
      <c r="AN56" s="244"/>
      <c r="AO56" s="244"/>
      <c r="AP56" s="244"/>
      <c r="AQ56" s="244"/>
      <c r="AR56" s="244"/>
      <c r="AS56" s="244"/>
      <c r="AT56" s="244"/>
      <c r="AU56" s="244"/>
      <c r="AV56" s="244"/>
      <c r="AW56" s="244"/>
      <c r="AX56" s="244"/>
      <c r="AY56" s="244"/>
      <c r="AZ56" s="244"/>
      <c r="BA56" s="244"/>
      <c r="BB56" s="244"/>
      <c r="BC56" s="244"/>
      <c r="BD56" s="244"/>
      <c r="BE56" s="244"/>
      <c r="BF56" s="244"/>
      <c r="BG56" s="244"/>
      <c r="BH56" s="244"/>
      <c r="BI56" s="244"/>
      <c r="BJ56" s="244"/>
      <c r="BK56" s="244"/>
      <c r="BL56" s="244"/>
      <c r="BM56" s="244"/>
    </row>
    <row r="57" ht="14.25">
      <c r="A57" s="24"/>
      <c r="B57" s="49" t="s">
        <v>93</v>
      </c>
      <c r="C57" s="291">
        <v>33.179822679369586902499422980</v>
      </c>
      <c r="D57" s="292">
        <v>-20.533272580318922721206853240</v>
      </c>
      <c r="E57" s="292">
        <v>-8.570587741521919433619522620</v>
      </c>
      <c r="F57" s="292">
        <v>-19.343768656255235995945021920</v>
      </c>
      <c r="G57" s="292">
        <v>-30.420073558657122831676390580</v>
      </c>
      <c r="H57" s="292">
        <v>45.940080871649876033537897210</v>
      </c>
      <c r="I57" s="292">
        <v>14.454638750661148531493025180</v>
      </c>
      <c r="J57" s="292">
        <v>-1.3598702577806681439805315300</v>
      </c>
      <c r="K57" s="292">
        <v>-16.141583582467868913312465870</v>
      </c>
      <c r="L57" s="292">
        <v>-24.522163609390289583894363160</v>
      </c>
      <c r="M57" s="292">
        <v>-2.7703948829167548967529900900</v>
      </c>
      <c r="N57" s="292">
        <v>-8.325469611111077648002806830</v>
      </c>
      <c r="O57" s="292">
        <v>29.755624428227672844954674460</v>
      </c>
      <c r="P57" s="292">
        <v>-16.762118564813257930899265580</v>
      </c>
      <c r="Q57" s="292">
        <v>-5.6203808213341999729759091700</v>
      </c>
      <c r="R57" s="292">
        <v>31.669421154854017343029930290</v>
      </c>
      <c r="S57" s="292">
        <v>28.432545250485248460143298540</v>
      </c>
      <c r="T57" s="292">
        <v>880.5190924674462281791410656</v>
      </c>
      <c r="U57" s="292">
        <v>148.01550400922818532501284653</v>
      </c>
      <c r="V57" s="292"/>
      <c r="W57" s="292"/>
      <c r="X57" s="292"/>
      <c r="Y57" s="292"/>
      <c r="Z57" s="292"/>
      <c r="AA57" s="292"/>
      <c r="AB57" s="292"/>
      <c r="AC57" s="292"/>
      <c r="AD57" s="292"/>
      <c r="AE57" s="292"/>
      <c r="AF57" s="292"/>
      <c r="AG57" s="293"/>
      <c r="AH57" s="218"/>
      <c r="AI57" s="304">
        <v>5.1405350144762759295637234600</v>
      </c>
      <c r="AJ57" s="304">
        <v>2.5993875191064314237248943800</v>
      </c>
      <c r="AK57" s="304">
        <v>6.4968841399625060602189916700</v>
      </c>
      <c r="AM57" s="244"/>
      <c r="AN57" s="244"/>
      <c r="AO57" s="244"/>
      <c r="AP57" s="244"/>
      <c r="AQ57" s="244"/>
      <c r="AR57" s="244"/>
      <c r="AS57" s="244"/>
      <c r="AT57" s="244"/>
      <c r="AU57" s="244"/>
      <c r="AV57" s="244"/>
      <c r="AW57" s="244"/>
      <c r="AX57" s="244"/>
      <c r="AY57" s="244"/>
      <c r="AZ57" s="244"/>
      <c r="BA57" s="244"/>
      <c r="BB57" s="244"/>
      <c r="BC57" s="244"/>
      <c r="BD57" s="244"/>
      <c r="BE57" s="244"/>
      <c r="BF57" s="244"/>
      <c r="BG57" s="244"/>
      <c r="BH57" s="244"/>
      <c r="BI57" s="244"/>
      <c r="BJ57" s="244"/>
      <c r="BK57" s="244"/>
      <c r="BL57" s="244"/>
      <c r="BM57" s="244"/>
    </row>
    <row r="58" ht="13.5" customHeight="1">
      <c r="A58" s="0"/>
      <c r="B58" s="176"/>
      <c r="C58" s="21"/>
      <c r="D58" s="21"/>
      <c r="E58" s="21"/>
      <c r="F58" s="21"/>
      <c r="G58" s="21"/>
      <c r="H58" s="21"/>
      <c r="I58" s="21"/>
      <c r="J58" s="21"/>
      <c r="K58" s="21"/>
      <c r="L58" s="21"/>
      <c r="M58" s="21"/>
      <c r="N58" s="21"/>
      <c r="O58" s="21"/>
      <c r="P58" s="21"/>
      <c r="Q58" s="21"/>
      <c r="R58" s="21"/>
      <c r="S58" s="21"/>
      <c r="T58" s="21"/>
      <c r="U58" s="21"/>
      <c r="V58" s="21"/>
      <c r="W58" s="21"/>
      <c r="X58" s="21"/>
      <c r="Y58" s="21"/>
      <c r="Z58" s="21"/>
      <c r="AA58" s="21"/>
      <c r="AB58" s="21"/>
      <c r="AC58" s="21"/>
      <c r="AD58" s="21"/>
      <c r="AE58" s="21"/>
      <c r="AF58" s="21"/>
      <c r="AG58" s="21"/>
      <c r="AH58" s="0"/>
      <c r="AI58" s="43"/>
      <c r="AJ58" s="4"/>
      <c r="AM58" s="244"/>
      <c r="AN58" s="244"/>
      <c r="AO58" s="244"/>
      <c r="AP58" s="244"/>
      <c r="AQ58" s="244"/>
      <c r="AR58" s="244"/>
      <c r="AS58" s="244"/>
      <c r="AT58" s="244"/>
      <c r="AU58" s="244"/>
      <c r="AV58" s="244"/>
      <c r="AW58" s="244"/>
      <c r="AX58" s="244"/>
      <c r="AY58" s="244"/>
      <c r="AZ58" s="244"/>
      <c r="BA58" s="244"/>
      <c r="BB58" s="244"/>
      <c r="BC58" s="244"/>
      <c r="BD58" s="244"/>
      <c r="BE58" s="244"/>
      <c r="BF58" s="244"/>
      <c r="BG58" s="244"/>
      <c r="BH58" s="244"/>
      <c r="BI58" s="244"/>
      <c r="BJ58" s="244"/>
      <c r="BK58" s="244"/>
      <c r="BL58" s="244"/>
      <c r="BM58" s="244"/>
    </row>
    <row r="59">
      <c r="A59" s="4"/>
      <c r="U59" s="4"/>
      <c r="V59" s="4"/>
      <c r="W59" s="4"/>
      <c r="X59" s="4"/>
      <c r="Y59" s="4"/>
      <c r="Z59" s="4"/>
      <c r="AA59" s="4"/>
      <c r="AB59" s="4"/>
      <c r="AC59" s="4"/>
      <c r="AD59" s="4"/>
      <c r="AE59" s="4"/>
      <c r="AF59" s="4"/>
      <c r="AG59" s="4"/>
      <c r="AH59" s="4"/>
      <c r="AI59" s="4"/>
      <c r="AJ59" s="4"/>
      <c r="AM59" s="244"/>
      <c r="AN59" s="244"/>
      <c r="AO59" s="244"/>
      <c r="AP59" s="244"/>
      <c r="AQ59" s="244"/>
      <c r="AR59" s="244"/>
      <c r="AS59" s="244"/>
      <c r="AT59" s="244"/>
      <c r="AU59" s="244"/>
      <c r="AV59" s="244"/>
      <c r="AW59" s="244"/>
      <c r="AX59" s="244"/>
      <c r="AY59" s="244"/>
      <c r="AZ59" s="244"/>
      <c r="BA59" s="244"/>
      <c r="BB59" s="244"/>
      <c r="BC59" s="244"/>
      <c r="BD59" s="244"/>
      <c r="BE59" s="244"/>
      <c r="BF59" s="244"/>
      <c r="BG59" s="244"/>
      <c r="BH59" s="244"/>
      <c r="BI59" s="244"/>
      <c r="BJ59" s="244"/>
      <c r="BK59" s="244"/>
      <c r="BL59" s="244"/>
      <c r="BM59" s="244"/>
    </row>
    <row r="60" ht="15">
      <c r="A60" s="9"/>
      <c r="B60" s="654" t="s">
        <v>82</v>
      </c>
      <c r="C60" s="654"/>
      <c r="D60" s="654"/>
      <c r="E60" s="654"/>
      <c r="F60" s="654"/>
      <c r="G60" s="654"/>
      <c r="H60" s="654"/>
      <c r="I60" s="654"/>
      <c r="J60" s="654"/>
      <c r="K60" s="654"/>
      <c r="L60" s="654"/>
      <c r="M60" s="654"/>
      <c r="N60" s="654"/>
      <c r="O60" s="654"/>
      <c r="P60" s="654"/>
      <c r="Q60" s="654"/>
      <c r="R60" s="654"/>
      <c r="S60" s="654"/>
      <c r="T60" s="654"/>
      <c r="U60" s="654"/>
      <c r="V60" s="654"/>
      <c r="W60" s="654"/>
      <c r="X60" s="654"/>
      <c r="Y60" s="654"/>
      <c r="Z60" s="654"/>
      <c r="AA60" s="654"/>
      <c r="AB60" s="654"/>
      <c r="AC60" s="654"/>
      <c r="AD60" s="654"/>
      <c r="AE60" s="654"/>
      <c r="AF60" s="654"/>
      <c r="AG60" s="654"/>
      <c r="AH60" s="654"/>
      <c r="AI60" s="4"/>
      <c r="AJ60" s="4"/>
      <c r="AM60" s="244"/>
      <c r="AN60" s="244"/>
      <c r="AO60" s="244"/>
      <c r="AP60" s="244"/>
      <c r="AQ60" s="244"/>
      <c r="AR60" s="244"/>
      <c r="AS60" s="244"/>
      <c r="AT60" s="244"/>
      <c r="AU60" s="244"/>
      <c r="AV60" s="244"/>
      <c r="AW60" s="244"/>
      <c r="AX60" s="244"/>
      <c r="AY60" s="244"/>
      <c r="AZ60" s="244"/>
      <c r="BA60" s="244"/>
      <c r="BB60" s="244"/>
      <c r="BC60" s="244"/>
      <c r="BD60" s="244"/>
      <c r="BE60" s="244"/>
      <c r="BF60" s="244"/>
      <c r="BG60" s="244"/>
      <c r="BH60" s="244"/>
      <c r="BI60" s="244"/>
      <c r="BJ60" s="244"/>
      <c r="BK60" s="244"/>
      <c r="BL60" s="244"/>
      <c r="BM60" s="244"/>
    </row>
    <row r="61" ht="14.25">
      <c r="A61" s="4"/>
      <c r="B61" s="53"/>
      <c r="C61" s="84">
        <v>100</v>
      </c>
      <c r="D61" s="84">
        <v>100</v>
      </c>
      <c r="E61" s="84">
        <v>100</v>
      </c>
      <c r="F61" s="84">
        <v>100</v>
      </c>
      <c r="G61" s="84">
        <v>100</v>
      </c>
      <c r="H61" s="84">
        <v>100</v>
      </c>
      <c r="I61" s="84">
        <v>100</v>
      </c>
      <c r="J61" s="84">
        <v>100</v>
      </c>
      <c r="K61" s="84">
        <v>100</v>
      </c>
      <c r="L61" s="84">
        <v>100</v>
      </c>
      <c r="M61" s="84">
        <v>100</v>
      </c>
      <c r="N61" s="84">
        <v>100</v>
      </c>
      <c r="O61" s="84">
        <v>100</v>
      </c>
      <c r="P61" s="84">
        <v>100</v>
      </c>
      <c r="Q61" s="84">
        <v>100</v>
      </c>
      <c r="R61" s="84">
        <v>100</v>
      </c>
      <c r="S61" s="84">
        <v>100</v>
      </c>
      <c r="T61" s="84">
        <v>100</v>
      </c>
      <c r="U61" s="84">
        <v>100</v>
      </c>
      <c r="V61" s="84">
        <v>100</v>
      </c>
      <c r="W61" s="84">
        <v>100</v>
      </c>
      <c r="X61" s="84">
        <v>100</v>
      </c>
      <c r="Y61" s="84">
        <v>100</v>
      </c>
      <c r="Z61" s="84">
        <v>100</v>
      </c>
      <c r="AA61" s="84">
        <v>100</v>
      </c>
      <c r="AB61" s="84">
        <v>100</v>
      </c>
      <c r="AC61" s="84">
        <v>100</v>
      </c>
      <c r="AD61" s="84">
        <v>100</v>
      </c>
      <c r="AE61" s="84">
        <v>100</v>
      </c>
      <c r="AF61" s="84">
        <v>100</v>
      </c>
      <c r="AG61" s="84">
        <v>100</v>
      </c>
      <c r="AH61" s="4"/>
      <c r="AI61" s="4"/>
      <c r="AJ61" s="4"/>
      <c r="AM61" s="244"/>
      <c r="AN61" s="244"/>
      <c r="AO61" s="244"/>
      <c r="AP61" s="244"/>
      <c r="AQ61" s="244"/>
      <c r="AR61" s="244"/>
      <c r="AS61" s="244"/>
      <c r="AT61" s="244"/>
      <c r="AU61" s="244"/>
      <c r="AV61" s="244"/>
      <c r="AW61" s="244"/>
      <c r="AX61" s="244"/>
      <c r="AY61" s="244"/>
      <c r="AZ61" s="244"/>
      <c r="BA61" s="244"/>
      <c r="BB61" s="244"/>
      <c r="BC61" s="244"/>
      <c r="BD61" s="244"/>
      <c r="BE61" s="244"/>
      <c r="BF61" s="244"/>
      <c r="BG61" s="244"/>
      <c r="BH61" s="244"/>
      <c r="BI61" s="244"/>
      <c r="BJ61" s="244"/>
      <c r="BK61" s="244"/>
      <c r="BL61" s="244"/>
      <c r="BM61" s="244"/>
    </row>
    <row r="62" ht="26.1" customHeight="1">
      <c r="A62" s="4"/>
      <c r="B62" s="655" t="s">
        <v>114</v>
      </c>
      <c r="C62" s="655"/>
      <c r="D62" s="655"/>
      <c r="E62" s="655"/>
      <c r="F62" s="655"/>
      <c r="G62" s="655"/>
      <c r="H62" s="655"/>
      <c r="I62" s="655"/>
      <c r="J62" s="655"/>
      <c r="K62" s="655"/>
      <c r="L62" s="655"/>
      <c r="M62" s="655"/>
      <c r="N62" s="655"/>
      <c r="O62" s="655"/>
      <c r="P62" s="655"/>
      <c r="Q62" s="655"/>
      <c r="R62" s="655"/>
      <c r="S62" s="655"/>
      <c r="T62" s="655"/>
      <c r="U62" s="655"/>
      <c r="V62" s="655"/>
      <c r="W62" s="655"/>
      <c r="X62" s="655"/>
      <c r="Y62" s="655"/>
      <c r="Z62" s="655"/>
      <c r="AA62" s="655"/>
      <c r="AB62" s="655"/>
      <c r="AC62" s="655"/>
      <c r="AD62" s="655"/>
      <c r="AE62" s="655"/>
      <c r="AF62" s="655"/>
      <c r="AG62" s="655"/>
      <c r="AH62" s="655"/>
      <c r="AI62" s="655"/>
      <c r="AJ62" s="655"/>
      <c r="AK62" s="655"/>
      <c r="AM62" s="244"/>
      <c r="AN62" s="244"/>
      <c r="AO62" s="244"/>
      <c r="AP62" s="244"/>
      <c r="AQ62" s="244"/>
      <c r="AR62" s="244"/>
      <c r="AS62" s="244"/>
      <c r="AT62" s="244"/>
      <c r="AU62" s="244"/>
      <c r="AV62" s="244"/>
      <c r="AW62" s="244"/>
      <c r="AX62" s="244"/>
      <c r="AY62" s="244"/>
      <c r="AZ62" s="244"/>
      <c r="BA62" s="244"/>
      <c r="BB62" s="244"/>
      <c r="BC62" s="244"/>
      <c r="BD62" s="244"/>
      <c r="BE62" s="244"/>
      <c r="BF62" s="244"/>
      <c r="BG62" s="244"/>
      <c r="BH62" s="244"/>
      <c r="BI62" s="244"/>
      <c r="BJ62" s="244"/>
      <c r="BK62" s="244"/>
      <c r="BL62" s="244"/>
      <c r="BM62" s="244"/>
    </row>
    <row r="63">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M63" s="244"/>
      <c r="AN63" s="244"/>
      <c r="AO63" s="244"/>
      <c r="AP63" s="244"/>
      <c r="AQ63" s="244"/>
      <c r="AR63" s="244"/>
      <c r="AS63" s="244"/>
      <c r="AT63" s="244"/>
      <c r="AU63" s="244"/>
      <c r="AV63" s="244"/>
      <c r="AW63" s="244"/>
      <c r="AX63" s="244"/>
      <c r="AY63" s="244"/>
      <c r="AZ63" s="244"/>
      <c r="BA63" s="244"/>
      <c r="BB63" s="244"/>
      <c r="BC63" s="244"/>
      <c r="BD63" s="244"/>
      <c r="BE63" s="244"/>
      <c r="BF63" s="244"/>
      <c r="BG63" s="244"/>
      <c r="BH63" s="244"/>
      <c r="BI63" s="244"/>
      <c r="BJ63" s="244"/>
      <c r="BK63" s="244"/>
      <c r="BL63" s="244"/>
      <c r="BM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c r="BH64" s="244"/>
      <c r="BI64" s="244"/>
      <c r="BJ64" s="244"/>
      <c r="BK64" s="244"/>
      <c r="BL64" s="244"/>
      <c r="BM64" s="244"/>
    </row>
    <row r="65">
      <c r="A65" s="244"/>
      <c r="B65" s="244"/>
      <c r="C65" s="244"/>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c r="AZ65" s="244"/>
      <c r="BA65" s="244"/>
      <c r="BB65" s="244"/>
      <c r="BC65" s="244"/>
      <c r="BD65" s="244"/>
      <c r="BE65" s="244"/>
      <c r="BF65" s="244"/>
      <c r="BG65" s="244"/>
      <c r="BH65" s="244"/>
      <c r="BI65" s="244"/>
      <c r="BJ65" s="244"/>
      <c r="BK65" s="244"/>
      <c r="BL65" s="244"/>
      <c r="BM65" s="244"/>
    </row>
    <row r="66">
      <c r="A66" s="244"/>
      <c r="B66" s="244"/>
      <c r="C66" s="244"/>
      <c r="D66" s="244"/>
      <c r="E66" s="244"/>
      <c r="F66" s="244"/>
      <c r="G66" s="244"/>
      <c r="H66" s="244"/>
      <c r="I66" s="244"/>
      <c r="J66" s="244"/>
      <c r="K66" s="244"/>
      <c r="L66" s="244"/>
      <c r="M66" s="244"/>
      <c r="N66" s="244"/>
      <c r="O66" s="244"/>
      <c r="P66" s="244"/>
      <c r="Q66" s="244"/>
      <c r="R66" s="244"/>
      <c r="S66" s="244"/>
      <c r="T66" s="244"/>
      <c r="U66" s="244"/>
      <c r="V66" s="244"/>
      <c r="W66" s="244"/>
      <c r="X66" s="244"/>
      <c r="Y66" s="244"/>
      <c r="Z66" s="244"/>
      <c r="AA66" s="244"/>
      <c r="AB66" s="244"/>
      <c r="AC66" s="244"/>
      <c r="AD66" s="244"/>
      <c r="AE66" s="244"/>
      <c r="AF66" s="244"/>
      <c r="AG66" s="244"/>
      <c r="AH66" s="244"/>
      <c r="AI66" s="244"/>
      <c r="AJ66" s="244"/>
      <c r="AK66" s="244"/>
      <c r="AL66" s="244"/>
      <c r="AM66" s="244"/>
      <c r="AN66" s="244"/>
      <c r="AO66" s="244"/>
      <c r="AP66" s="244"/>
      <c r="AQ66" s="244"/>
      <c r="AR66" s="244"/>
      <c r="AS66" s="244"/>
      <c r="AT66" s="244"/>
      <c r="AU66" s="244"/>
      <c r="AV66" s="244"/>
      <c r="AW66" s="244"/>
      <c r="AX66" s="244"/>
      <c r="AY66" s="244"/>
      <c r="AZ66" s="244"/>
      <c r="BA66" s="244"/>
      <c r="BB66" s="244"/>
      <c r="BC66" s="244"/>
      <c r="BD66" s="244"/>
      <c r="BE66" s="244"/>
      <c r="BF66" s="244"/>
      <c r="BG66" s="244"/>
      <c r="BH66" s="244"/>
      <c r="BI66" s="244"/>
      <c r="BJ66" s="244"/>
      <c r="BK66" s="244"/>
      <c r="BL66" s="244"/>
      <c r="BM66" s="244"/>
    </row>
    <row r="67">
      <c r="A67" s="244"/>
      <c r="B67" s="244"/>
      <c r="C67" s="244"/>
      <c r="D67" s="244"/>
      <c r="E67" s="244"/>
      <c r="F67" s="244"/>
      <c r="G67" s="244"/>
      <c r="H67" s="244"/>
      <c r="I67" s="244"/>
      <c r="J67" s="244"/>
      <c r="K67" s="244"/>
      <c r="L67" s="244"/>
      <c r="M67" s="244"/>
      <c r="N67" s="244"/>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244"/>
      <c r="AS67" s="244"/>
      <c r="AT67" s="244"/>
      <c r="AU67" s="244"/>
      <c r="AV67" s="244"/>
      <c r="AW67" s="244"/>
      <c r="AX67" s="244"/>
      <c r="AY67" s="244"/>
      <c r="AZ67" s="244"/>
      <c r="BA67" s="244"/>
      <c r="BB67" s="244"/>
      <c r="BC67" s="244"/>
      <c r="BD67" s="244"/>
      <c r="BE67" s="244"/>
      <c r="BF67" s="244"/>
      <c r="BG67" s="244"/>
      <c r="BH67" s="244"/>
      <c r="BI67" s="244"/>
      <c r="BJ67" s="244"/>
      <c r="BK67" s="244"/>
      <c r="BL67" s="244"/>
      <c r="BM67" s="244"/>
    </row>
    <row r="68">
      <c r="A68" s="244"/>
      <c r="B68" s="244"/>
      <c r="C68" s="244"/>
      <c r="D68" s="244"/>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44"/>
      <c r="AQ68" s="244"/>
      <c r="AR68" s="244"/>
      <c r="AS68" s="244"/>
      <c r="AT68" s="244"/>
      <c r="AU68" s="244"/>
      <c r="AV68" s="244"/>
      <c r="AW68" s="244"/>
      <c r="AX68" s="244"/>
      <c r="AY68" s="244"/>
      <c r="AZ68" s="244"/>
      <c r="BA68" s="244"/>
      <c r="BB68" s="244"/>
      <c r="BC68" s="244"/>
      <c r="BD68" s="244"/>
      <c r="BE68" s="244"/>
      <c r="BF68" s="244"/>
      <c r="BG68" s="244"/>
      <c r="BH68" s="244"/>
      <c r="BI68" s="244"/>
      <c r="BJ68" s="244"/>
      <c r="BK68" s="244"/>
      <c r="BL68" s="244"/>
      <c r="BM68" s="244"/>
    </row>
    <row r="69">
      <c r="A69" s="244"/>
      <c r="B69" s="244"/>
      <c r="C69" s="244"/>
      <c r="D69" s="244"/>
      <c r="E69" s="244"/>
      <c r="F69" s="244"/>
      <c r="G69" s="244"/>
      <c r="H69" s="244"/>
      <c r="I69" s="244"/>
      <c r="J69" s="244"/>
      <c r="K69" s="244"/>
      <c r="L69" s="244"/>
      <c r="M69" s="244"/>
      <c r="N69" s="244"/>
      <c r="O69" s="244"/>
      <c r="P69" s="244"/>
      <c r="Q69" s="244"/>
      <c r="R69" s="244"/>
      <c r="S69" s="244"/>
      <c r="T69" s="244"/>
      <c r="U69" s="244"/>
      <c r="V69" s="244"/>
      <c r="W69" s="244"/>
      <c r="X69" s="244"/>
      <c r="Y69" s="244"/>
      <c r="Z69" s="244"/>
      <c r="AA69" s="244"/>
      <c r="AB69" s="244"/>
      <c r="AC69" s="244"/>
      <c r="AD69" s="244"/>
      <c r="AE69" s="244"/>
      <c r="AF69" s="244"/>
      <c r="AG69" s="244"/>
      <c r="AH69" s="244"/>
      <c r="AI69" s="244"/>
      <c r="AJ69" s="244"/>
      <c r="AK69" s="244"/>
      <c r="AL69" s="244"/>
      <c r="AM69" s="244"/>
      <c r="AN69" s="244"/>
      <c r="AO69" s="244"/>
      <c r="AP69" s="244"/>
      <c r="AQ69" s="244"/>
      <c r="AR69" s="244"/>
      <c r="AS69" s="244"/>
      <c r="AT69" s="244"/>
      <c r="AU69" s="244"/>
      <c r="AV69" s="244"/>
      <c r="AW69" s="244"/>
      <c r="AX69" s="244"/>
      <c r="AY69" s="244"/>
      <c r="AZ69" s="244"/>
      <c r="BA69" s="244"/>
      <c r="BB69" s="244"/>
      <c r="BC69" s="244"/>
      <c r="BD69" s="244"/>
      <c r="BE69" s="244"/>
      <c r="BF69" s="244"/>
      <c r="BG69" s="244"/>
      <c r="BH69" s="244"/>
      <c r="BI69" s="244"/>
      <c r="BJ69" s="244"/>
      <c r="BK69" s="244"/>
      <c r="BL69" s="244"/>
      <c r="BM69" s="244"/>
    </row>
    <row r="70" s="25" customFormat="1">
      <c r="A70" s="248"/>
      <c r="B70" s="248"/>
      <c r="C70" s="248"/>
      <c r="D70" s="248"/>
      <c r="E70" s="248"/>
      <c r="F70" s="248"/>
      <c r="G70" s="248"/>
      <c r="H70" s="248"/>
      <c r="I70" s="248"/>
      <c r="J70" s="248"/>
      <c r="K70" s="248"/>
      <c r="L70" s="248"/>
      <c r="M70" s="248"/>
      <c r="N70" s="248"/>
      <c r="O70" s="248"/>
      <c r="P70" s="248"/>
      <c r="Q70" s="248"/>
      <c r="R70" s="248"/>
      <c r="S70" s="248"/>
      <c r="T70" s="248"/>
      <c r="U70" s="248"/>
      <c r="V70" s="248"/>
      <c r="W70" s="248"/>
      <c r="X70" s="248"/>
      <c r="Y70" s="248"/>
      <c r="Z70" s="248"/>
      <c r="AA70" s="248"/>
      <c r="AB70" s="248"/>
      <c r="AC70" s="248"/>
      <c r="AD70" s="248"/>
      <c r="AE70" s="248"/>
      <c r="AF70" s="248"/>
      <c r="AG70" s="248"/>
      <c r="AH70" s="248"/>
      <c r="AI70" s="248"/>
      <c r="AJ70" s="248"/>
      <c r="AK70" s="248"/>
      <c r="AL70" s="248"/>
      <c r="AM70" s="248"/>
      <c r="AN70" s="248"/>
      <c r="AO70" s="248"/>
      <c r="AP70" s="248"/>
      <c r="AQ70" s="248"/>
      <c r="AR70" s="248"/>
      <c r="AS70" s="248"/>
      <c r="AT70" s="248"/>
      <c r="AU70" s="248"/>
      <c r="AV70" s="248"/>
      <c r="AW70" s="248"/>
      <c r="AX70" s="248"/>
      <c r="AY70" s="248"/>
      <c r="AZ70" s="248"/>
      <c r="BA70" s="248"/>
      <c r="BB70" s="248"/>
      <c r="BC70" s="248"/>
      <c r="BD70" s="248"/>
      <c r="BE70" s="248"/>
      <c r="BF70" s="248"/>
      <c r="BG70" s="248"/>
      <c r="BH70" s="248"/>
      <c r="BI70" s="248"/>
      <c r="BJ70" s="248"/>
      <c r="BK70" s="248"/>
      <c r="BL70" s="248"/>
      <c r="BM70" s="248"/>
    </row>
    <row r="71" s="25" customFormat="1" ht="10.5" customHeight="1">
      <c r="A71" s="248"/>
      <c r="B71" s="248"/>
      <c r="C71" s="248"/>
      <c r="D71" s="248"/>
      <c r="E71" s="248"/>
      <c r="F71" s="248"/>
      <c r="G71" s="248"/>
      <c r="H71" s="248"/>
      <c r="I71" s="248"/>
      <c r="J71" s="248"/>
      <c r="K71" s="248"/>
      <c r="L71" s="248"/>
      <c r="M71" s="248"/>
      <c r="N71" s="248"/>
      <c r="O71" s="248"/>
      <c r="P71" s="248"/>
      <c r="Q71" s="248"/>
      <c r="R71" s="248"/>
      <c r="S71" s="248"/>
      <c r="T71" s="248"/>
      <c r="U71" s="248"/>
      <c r="V71" s="248"/>
      <c r="W71" s="248"/>
      <c r="X71" s="248"/>
      <c r="Y71" s="248"/>
      <c r="Z71" s="248"/>
      <c r="AA71" s="248"/>
      <c r="AB71" s="248"/>
      <c r="AC71" s="248"/>
      <c r="AD71" s="248"/>
      <c r="AE71" s="248"/>
      <c r="AF71" s="248"/>
      <c r="AG71" s="248"/>
      <c r="AH71" s="248"/>
      <c r="AI71" s="248"/>
      <c r="AJ71" s="248"/>
      <c r="AK71" s="248"/>
      <c r="AL71" s="248"/>
      <c r="AM71" s="248"/>
      <c r="AN71" s="248"/>
      <c r="AO71" s="248"/>
      <c r="AP71" s="248"/>
      <c r="AQ71" s="248"/>
      <c r="AR71" s="248"/>
      <c r="AS71" s="248"/>
      <c r="AT71" s="248"/>
      <c r="AU71" s="248"/>
      <c r="AV71" s="248"/>
      <c r="AW71" s="248"/>
      <c r="AX71" s="248"/>
      <c r="AY71" s="248"/>
      <c r="AZ71" s="248"/>
      <c r="BA71" s="248"/>
      <c r="BB71" s="248"/>
      <c r="BC71" s="248"/>
      <c r="BD71" s="248"/>
      <c r="BE71" s="248"/>
      <c r="BF71" s="248"/>
      <c r="BG71" s="248"/>
      <c r="BH71" s="248"/>
      <c r="BI71" s="248"/>
      <c r="BJ71" s="248"/>
      <c r="BK71" s="248"/>
      <c r="BL71" s="248"/>
      <c r="BM71" s="248"/>
    </row>
    <row r="72" s="25" customFormat="1">
      <c r="A72" s="248"/>
      <c r="B72" s="248"/>
      <c r="C72" s="248"/>
      <c r="D72" s="248"/>
      <c r="E72" s="248"/>
      <c r="F72" s="248"/>
      <c r="G72" s="248"/>
      <c r="H72" s="248"/>
      <c r="I72" s="248"/>
      <c r="J72" s="248"/>
      <c r="K72" s="248"/>
      <c r="L72" s="248"/>
      <c r="M72" s="248"/>
      <c r="N72" s="248"/>
      <c r="O72" s="248"/>
      <c r="P72" s="248"/>
      <c r="Q72" s="248"/>
      <c r="R72" s="248"/>
      <c r="S72" s="248"/>
      <c r="T72" s="248"/>
      <c r="U72" s="248"/>
      <c r="V72" s="248"/>
      <c r="W72" s="248"/>
      <c r="X72" s="248"/>
      <c r="Y72" s="248"/>
      <c r="Z72" s="248"/>
      <c r="AA72" s="248"/>
      <c r="AB72" s="248"/>
      <c r="AC72" s="248"/>
      <c r="AD72" s="248"/>
      <c r="AE72" s="248"/>
      <c r="AF72" s="248"/>
      <c r="AG72" s="248"/>
      <c r="AH72" s="248"/>
      <c r="AI72" s="248"/>
      <c r="AJ72" s="248"/>
      <c r="AK72" s="248"/>
      <c r="AL72" s="248"/>
      <c r="AM72" s="248"/>
      <c r="AN72" s="248"/>
      <c r="AO72" s="248"/>
      <c r="AP72" s="248"/>
      <c r="AQ72" s="248"/>
      <c r="AR72" s="248"/>
      <c r="AS72" s="248"/>
      <c r="AT72" s="248"/>
      <c r="AU72" s="248"/>
      <c r="AV72" s="248"/>
      <c r="AW72" s="248"/>
      <c r="AX72" s="248"/>
      <c r="AY72" s="248"/>
      <c r="AZ72" s="248"/>
      <c r="BA72" s="248"/>
      <c r="BB72" s="248"/>
      <c r="BC72" s="248"/>
      <c r="BD72" s="248"/>
      <c r="BE72" s="248"/>
      <c r="BF72" s="248"/>
      <c r="BG72" s="248"/>
      <c r="BH72" s="248"/>
      <c r="BI72" s="248"/>
      <c r="BJ72" s="248"/>
      <c r="BK72" s="248"/>
      <c r="BL72" s="248"/>
      <c r="BM72" s="248"/>
    </row>
    <row r="73" s="84" customFormat="1">
      <c r="A73" s="249"/>
      <c r="B73" s="249"/>
      <c r="C73" s="249"/>
      <c r="D73" s="249"/>
      <c r="E73" s="249"/>
      <c r="F73" s="249"/>
      <c r="G73" s="249"/>
      <c r="H73" s="249"/>
      <c r="I73" s="249"/>
      <c r="J73" s="249"/>
      <c r="K73" s="249"/>
      <c r="L73" s="249"/>
      <c r="M73" s="249"/>
      <c r="N73" s="249"/>
      <c r="O73" s="249"/>
      <c r="P73" s="249"/>
      <c r="Q73" s="249"/>
      <c r="R73" s="249"/>
      <c r="S73" s="249"/>
      <c r="T73" s="249"/>
      <c r="U73" s="249"/>
      <c r="V73" s="249"/>
      <c r="W73" s="249"/>
      <c r="X73" s="249"/>
      <c r="Y73" s="249"/>
      <c r="Z73" s="249"/>
      <c r="AA73" s="249"/>
      <c r="AB73" s="249"/>
      <c r="AC73" s="249"/>
      <c r="AD73" s="249"/>
      <c r="AE73" s="249"/>
      <c r="AF73" s="249"/>
      <c r="AG73" s="249"/>
      <c r="AH73" s="249"/>
      <c r="AI73" s="249"/>
      <c r="AJ73" s="249"/>
      <c r="AK73" s="249"/>
      <c r="AL73" s="249"/>
      <c r="AM73" s="249"/>
      <c r="AN73" s="249"/>
      <c r="AO73" s="249"/>
      <c r="AP73" s="249"/>
      <c r="AQ73" s="249"/>
      <c r="AR73" s="249"/>
      <c r="AS73" s="249"/>
      <c r="AT73" s="249"/>
      <c r="AU73" s="249"/>
      <c r="AV73" s="249"/>
      <c r="AW73" s="249"/>
      <c r="AX73" s="249"/>
      <c r="AY73" s="249"/>
      <c r="AZ73" s="249"/>
      <c r="BA73" s="249"/>
      <c r="BB73" s="249"/>
      <c r="BC73" s="249"/>
      <c r="BD73" s="249"/>
      <c r="BE73" s="249"/>
      <c r="BF73" s="249"/>
      <c r="BG73" s="249"/>
      <c r="BH73" s="249"/>
      <c r="BI73" s="249"/>
      <c r="BJ73" s="249"/>
      <c r="BK73" s="249"/>
      <c r="BL73" s="249"/>
      <c r="BM73" s="249"/>
    </row>
    <row r="74" s="84" customFormat="1">
      <c r="A74" s="249"/>
      <c r="B74" s="249"/>
      <c r="C74" s="249"/>
      <c r="D74" s="249"/>
      <c r="E74" s="249"/>
      <c r="F74" s="249"/>
      <c r="G74" s="249"/>
      <c r="H74" s="249"/>
      <c r="I74" s="249"/>
      <c r="J74" s="249"/>
      <c r="K74" s="249"/>
      <c r="L74" s="249"/>
      <c r="M74" s="249"/>
      <c r="N74" s="249"/>
      <c r="O74" s="249"/>
      <c r="P74" s="249"/>
      <c r="Q74" s="249"/>
      <c r="R74" s="249"/>
      <c r="S74" s="249"/>
      <c r="T74" s="249"/>
      <c r="U74" s="249"/>
      <c r="V74" s="249"/>
      <c r="W74" s="249"/>
      <c r="X74" s="249"/>
      <c r="Y74" s="249"/>
      <c r="Z74" s="249"/>
      <c r="AA74" s="249"/>
      <c r="AB74" s="249"/>
      <c r="AC74" s="249"/>
      <c r="AD74" s="249"/>
      <c r="AE74" s="249"/>
      <c r="AF74" s="249"/>
      <c r="AG74" s="249"/>
      <c r="AH74" s="249"/>
      <c r="AI74" s="249"/>
      <c r="AJ74" s="249"/>
      <c r="AK74" s="249"/>
      <c r="AL74" s="249"/>
      <c r="AM74" s="249"/>
      <c r="AN74" s="249"/>
      <c r="AO74" s="249"/>
      <c r="AP74" s="249"/>
      <c r="AQ74" s="249"/>
      <c r="AR74" s="249"/>
      <c r="AS74" s="249"/>
      <c r="AT74" s="249"/>
      <c r="AU74" s="249"/>
      <c r="AV74" s="249"/>
      <c r="AW74" s="249"/>
      <c r="AX74" s="249"/>
      <c r="AY74" s="249"/>
      <c r="AZ74" s="249"/>
      <c r="BA74" s="249"/>
      <c r="BB74" s="249"/>
      <c r="BC74" s="249"/>
      <c r="BD74" s="249"/>
      <c r="BE74" s="249"/>
      <c r="BF74" s="249"/>
      <c r="BG74" s="249"/>
      <c r="BH74" s="249"/>
      <c r="BI74" s="249"/>
      <c r="BJ74" s="249"/>
      <c r="BK74" s="249"/>
      <c r="BL74" s="249"/>
      <c r="BM74" s="249"/>
    </row>
    <row r="75" s="84" customFormat="1">
      <c r="A75" s="249"/>
      <c r="B75" s="249"/>
      <c r="C75" s="249"/>
      <c r="D75" s="249"/>
      <c r="E75" s="249"/>
      <c r="F75" s="249"/>
      <c r="G75" s="249"/>
      <c r="H75" s="249"/>
      <c r="I75" s="249"/>
      <c r="J75" s="249"/>
      <c r="K75" s="249"/>
      <c r="L75" s="249"/>
      <c r="M75" s="249"/>
      <c r="N75" s="249"/>
      <c r="O75" s="249"/>
      <c r="P75" s="249"/>
      <c r="Q75" s="249"/>
      <c r="R75" s="249"/>
      <c r="S75" s="249"/>
      <c r="T75" s="249"/>
      <c r="U75" s="249"/>
      <c r="V75" s="249"/>
      <c r="W75" s="249"/>
      <c r="X75" s="249"/>
      <c r="Y75" s="249"/>
      <c r="Z75" s="249"/>
      <c r="AA75" s="249"/>
      <c r="AB75" s="249"/>
      <c r="AC75" s="249"/>
      <c r="AD75" s="249"/>
      <c r="AE75" s="249"/>
      <c r="AF75" s="249"/>
      <c r="AG75" s="249"/>
      <c r="AH75" s="249"/>
      <c r="AI75" s="249"/>
      <c r="AJ75" s="249"/>
      <c r="AK75" s="249"/>
      <c r="AL75" s="249"/>
      <c r="AM75" s="249"/>
      <c r="AN75" s="249"/>
      <c r="AO75" s="249"/>
      <c r="AP75" s="249"/>
      <c r="AQ75" s="249"/>
      <c r="AR75" s="249"/>
      <c r="AS75" s="249"/>
      <c r="AT75" s="249"/>
      <c r="AU75" s="249"/>
      <c r="AV75" s="249"/>
      <c r="AW75" s="249"/>
      <c r="AX75" s="249"/>
      <c r="AY75" s="249"/>
      <c r="AZ75" s="249"/>
      <c r="BA75" s="249"/>
      <c r="BB75" s="249"/>
      <c r="BC75" s="249"/>
      <c r="BD75" s="249"/>
      <c r="BE75" s="249"/>
      <c r="BF75" s="249"/>
      <c r="BG75" s="249"/>
      <c r="BH75" s="249"/>
      <c r="BI75" s="249"/>
      <c r="BJ75" s="249"/>
      <c r="BK75" s="249"/>
      <c r="BL75" s="249"/>
      <c r="BM75" s="249"/>
    </row>
    <row r="76" s="84" customFormat="1">
      <c r="A76" s="250"/>
      <c r="B76" s="250"/>
      <c r="C76" s="250"/>
      <c r="D76" s="250"/>
      <c r="E76" s="250"/>
      <c r="F76" s="250"/>
      <c r="G76" s="250"/>
      <c r="H76" s="250"/>
      <c r="I76" s="249"/>
      <c r="J76" s="249"/>
      <c r="K76" s="249"/>
      <c r="L76" s="249"/>
      <c r="M76" s="249"/>
      <c r="N76" s="249"/>
      <c r="O76" s="249"/>
      <c r="P76" s="249"/>
      <c r="Q76" s="249"/>
      <c r="R76" s="249"/>
      <c r="S76" s="249"/>
      <c r="T76" s="249"/>
      <c r="U76" s="249"/>
      <c r="V76" s="249"/>
      <c r="W76" s="249"/>
      <c r="X76" s="249"/>
      <c r="Y76" s="249"/>
      <c r="Z76" s="249"/>
      <c r="AA76" s="249"/>
      <c r="AB76" s="249"/>
      <c r="AC76" s="249"/>
      <c r="AD76" s="249"/>
      <c r="AE76" s="249"/>
      <c r="AF76" s="249"/>
      <c r="AG76" s="249"/>
      <c r="AH76" s="249"/>
      <c r="AI76" s="249"/>
      <c r="AJ76" s="249"/>
      <c r="AK76" s="249"/>
      <c r="AL76" s="249"/>
      <c r="AM76" s="249"/>
      <c r="AN76" s="249"/>
      <c r="AO76" s="249"/>
      <c r="AP76" s="249"/>
      <c r="AQ76" s="249"/>
      <c r="AR76" s="249"/>
      <c r="AS76" s="249"/>
      <c r="AT76" s="249"/>
      <c r="AU76" s="249"/>
      <c r="AV76" s="249"/>
      <c r="AW76" s="249"/>
      <c r="AX76" s="249"/>
      <c r="AY76" s="249"/>
      <c r="AZ76" s="249"/>
      <c r="BA76" s="249"/>
      <c r="BB76" s="249"/>
      <c r="BC76" s="249"/>
      <c r="BD76" s="249"/>
      <c r="BE76" s="249"/>
      <c r="BF76" s="249"/>
      <c r="BG76" s="249"/>
      <c r="BH76" s="249"/>
      <c r="BI76" s="249"/>
      <c r="BJ76" s="249"/>
      <c r="BK76" s="249"/>
      <c r="BL76" s="249"/>
      <c r="BM76" s="249"/>
    </row>
    <row r="77" s="84" customFormat="1">
      <c r="A77" s="250"/>
      <c r="B77" s="250"/>
      <c r="C77" s="250"/>
      <c r="D77" s="250"/>
      <c r="E77" s="250"/>
      <c r="F77" s="250"/>
      <c r="G77" s="250"/>
      <c r="H77" s="250"/>
      <c r="I77" s="249"/>
      <c r="J77" s="249"/>
      <c r="K77" s="249"/>
      <c r="L77" s="249"/>
      <c r="M77" s="249"/>
      <c r="N77" s="249"/>
      <c r="O77" s="249"/>
      <c r="P77" s="249"/>
      <c r="Q77" s="249"/>
      <c r="R77" s="249"/>
      <c r="S77" s="249"/>
      <c r="T77" s="249"/>
      <c r="U77" s="249"/>
      <c r="V77" s="249"/>
      <c r="W77" s="249"/>
      <c r="X77" s="249"/>
      <c r="Y77" s="249"/>
      <c r="Z77" s="249"/>
      <c r="AA77" s="249"/>
      <c r="AB77" s="249"/>
      <c r="AC77" s="249"/>
      <c r="AD77" s="249"/>
      <c r="AE77" s="249"/>
      <c r="AF77" s="249"/>
      <c r="AG77" s="249"/>
      <c r="AH77" s="249"/>
      <c r="AI77" s="249"/>
      <c r="AJ77" s="249"/>
      <c r="AK77" s="249"/>
      <c r="AL77" s="249"/>
      <c r="AM77" s="249"/>
      <c r="AN77" s="249"/>
      <c r="AO77" s="249"/>
      <c r="AP77" s="249"/>
      <c r="AQ77" s="249"/>
      <c r="AR77" s="249"/>
      <c r="AS77" s="249"/>
      <c r="AT77" s="249"/>
      <c r="AU77" s="249"/>
      <c r="AV77" s="249"/>
      <c r="AW77" s="249"/>
      <c r="AX77" s="249"/>
      <c r="AY77" s="249"/>
      <c r="AZ77" s="249"/>
      <c r="BA77" s="249"/>
      <c r="BB77" s="249"/>
      <c r="BC77" s="249"/>
      <c r="BD77" s="249"/>
      <c r="BE77" s="249"/>
      <c r="BF77" s="249"/>
      <c r="BG77" s="249"/>
      <c r="BH77" s="249"/>
      <c r="BI77" s="249"/>
      <c r="BJ77" s="249"/>
      <c r="BK77" s="249"/>
      <c r="BL77" s="249"/>
      <c r="BM77" s="249"/>
    </row>
    <row r="78" s="84" customFormat="1">
      <c r="A78" s="250"/>
      <c r="B78" s="250"/>
      <c r="C78" s="250"/>
      <c r="D78" s="250"/>
      <c r="E78" s="250"/>
      <c r="F78" s="250"/>
      <c r="G78" s="250"/>
      <c r="H78" s="250"/>
      <c r="I78" s="249"/>
      <c r="J78" s="249"/>
      <c r="K78" s="249"/>
      <c r="L78" s="249"/>
      <c r="M78" s="249"/>
      <c r="N78" s="249"/>
      <c r="O78" s="249"/>
      <c r="P78" s="249"/>
      <c r="Q78" s="249"/>
      <c r="R78" s="249"/>
      <c r="S78" s="249"/>
      <c r="T78" s="249"/>
      <c r="U78" s="249"/>
      <c r="V78" s="249"/>
      <c r="W78" s="249"/>
      <c r="X78" s="249"/>
      <c r="Y78" s="249"/>
      <c r="Z78" s="249"/>
      <c r="AA78" s="249"/>
      <c r="AB78" s="249"/>
      <c r="AC78" s="249"/>
      <c r="AD78" s="249"/>
      <c r="AE78" s="249"/>
      <c r="AF78" s="249"/>
      <c r="AG78" s="249"/>
      <c r="AH78" s="249"/>
      <c r="AI78" s="249"/>
      <c r="AJ78" s="249"/>
      <c r="AK78" s="249"/>
      <c r="AL78" s="249"/>
      <c r="AM78" s="249"/>
      <c r="AN78" s="249"/>
      <c r="AO78" s="249"/>
      <c r="AP78" s="249"/>
      <c r="AQ78" s="249"/>
      <c r="AR78" s="249"/>
      <c r="AS78" s="249"/>
      <c r="AT78" s="249"/>
      <c r="AU78" s="249"/>
      <c r="AV78" s="249"/>
      <c r="AW78" s="249"/>
      <c r="AX78" s="249"/>
      <c r="AY78" s="249"/>
      <c r="AZ78" s="249"/>
      <c r="BA78" s="249"/>
      <c r="BB78" s="249"/>
      <c r="BC78" s="249"/>
      <c r="BD78" s="249"/>
      <c r="BE78" s="249"/>
      <c r="BF78" s="249"/>
      <c r="BG78" s="249"/>
      <c r="BH78" s="249"/>
      <c r="BI78" s="249"/>
      <c r="BJ78" s="249"/>
      <c r="BK78" s="249"/>
      <c r="BL78" s="249"/>
      <c r="BM78" s="249"/>
    </row>
    <row r="79" s="84" customFormat="1">
      <c r="A79" s="249"/>
      <c r="B79" s="249"/>
      <c r="C79" s="249"/>
      <c r="D79" s="249"/>
      <c r="E79" s="249"/>
      <c r="F79" s="249"/>
      <c r="G79" s="249"/>
      <c r="H79" s="249"/>
      <c r="I79" s="249"/>
      <c r="J79" s="249"/>
      <c r="K79" s="249"/>
      <c r="L79" s="249"/>
      <c r="M79" s="249"/>
      <c r="N79" s="249"/>
      <c r="O79" s="249"/>
      <c r="P79" s="249"/>
      <c r="Q79" s="249"/>
      <c r="R79" s="249"/>
      <c r="S79" s="249"/>
      <c r="T79" s="249"/>
      <c r="U79" s="249"/>
      <c r="V79" s="249"/>
      <c r="W79" s="249"/>
      <c r="X79" s="249"/>
      <c r="Y79" s="249"/>
      <c r="Z79" s="249"/>
      <c r="AA79" s="249"/>
      <c r="AB79" s="249"/>
      <c r="AC79" s="249"/>
      <c r="AD79" s="249"/>
      <c r="AE79" s="249"/>
      <c r="AF79" s="249"/>
      <c r="AG79" s="249"/>
      <c r="AH79" s="249"/>
      <c r="AI79" s="249"/>
      <c r="AJ79" s="249"/>
      <c r="AK79" s="249"/>
      <c r="AL79" s="249"/>
      <c r="AM79" s="249"/>
      <c r="AN79" s="249"/>
      <c r="AO79" s="249"/>
      <c r="AP79" s="249"/>
      <c r="AQ79" s="249"/>
      <c r="AR79" s="249"/>
      <c r="AS79" s="249"/>
      <c r="AT79" s="249"/>
      <c r="AU79" s="249"/>
      <c r="AV79" s="249"/>
      <c r="AW79" s="249"/>
      <c r="AX79" s="249"/>
      <c r="AY79" s="249"/>
      <c r="AZ79" s="249"/>
      <c r="BA79" s="249"/>
      <c r="BB79" s="249"/>
      <c r="BC79" s="249"/>
      <c r="BD79" s="249"/>
      <c r="BE79" s="249"/>
      <c r="BF79" s="249"/>
      <c r="BG79" s="249"/>
      <c r="BH79" s="249"/>
      <c r="BI79" s="249"/>
      <c r="BJ79" s="249"/>
      <c r="BK79" s="249"/>
      <c r="BL79" s="249"/>
      <c r="BM79" s="249"/>
    </row>
    <row r="80">
      <c r="A80" s="244"/>
      <c r="B80" s="244"/>
      <c r="C80" s="244"/>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c r="BH80" s="244"/>
      <c r="BI80" s="244"/>
      <c r="BJ80" s="244"/>
      <c r="BK80" s="244"/>
      <c r="BL80" s="244"/>
      <c r="BM80" s="244"/>
    </row>
    <row r="81">
      <c r="A81" s="244"/>
      <c r="B81" s="244"/>
      <c r="C81" s="244"/>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c r="BH81" s="244"/>
      <c r="BI81" s="244"/>
      <c r="BJ81" s="244"/>
      <c r="BK81" s="244"/>
      <c r="BL81" s="244"/>
      <c r="BM81" s="244"/>
    </row>
    <row r="82">
      <c r="A82" s="244"/>
      <c r="B82" s="244"/>
      <c r="C82" s="244"/>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c r="BH82" s="244"/>
      <c r="BI82" s="244"/>
      <c r="BJ82" s="244"/>
      <c r="BK82" s="244"/>
      <c r="BL82" s="244"/>
      <c r="BM82" s="244"/>
    </row>
    <row r="83">
      <c r="A83" s="244"/>
      <c r="B83" s="244"/>
      <c r="C83" s="244"/>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c r="BH83" s="244"/>
      <c r="BI83" s="244"/>
      <c r="BJ83" s="244"/>
      <c r="BK83" s="244"/>
      <c r="BL83" s="244"/>
      <c r="BM83" s="244"/>
    </row>
    <row r="84">
      <c r="A84" s="244"/>
      <c r="B84" s="244"/>
      <c r="C84" s="244"/>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c r="BH84" s="244"/>
      <c r="BI84" s="244"/>
      <c r="BJ84" s="244"/>
      <c r="BK84" s="244"/>
      <c r="BL84" s="244"/>
      <c r="BM84" s="244"/>
    </row>
    <row r="85">
      <c r="A85" s="244"/>
      <c r="B85" s="244"/>
      <c r="C85" s="244"/>
      <c r="D85" s="244"/>
      <c r="E85" s="244"/>
      <c r="F85" s="244"/>
      <c r="G85" s="244"/>
      <c r="H85" s="244"/>
      <c r="I85" s="244"/>
      <c r="J85" s="244"/>
      <c r="K85" s="244"/>
      <c r="L85" s="244"/>
      <c r="M85" s="244"/>
      <c r="N85" s="244"/>
      <c r="O85" s="244"/>
      <c r="P85" s="244"/>
      <c r="Q85" s="244"/>
      <c r="R85" s="244"/>
      <c r="S85" s="244"/>
      <c r="T85" s="244"/>
      <c r="U85" s="244"/>
      <c r="V85" s="244"/>
      <c r="W85" s="244"/>
      <c r="X85" s="244"/>
      <c r="Y85" s="244"/>
      <c r="Z85" s="244"/>
      <c r="AA85" s="244"/>
      <c r="AB85" s="244"/>
      <c r="AC85" s="244"/>
      <c r="AD85" s="244"/>
      <c r="AE85" s="244"/>
      <c r="AF85" s="244"/>
      <c r="AG85" s="244"/>
      <c r="AH85" s="244"/>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c r="BH85" s="244"/>
      <c r="BI85" s="244"/>
      <c r="BJ85" s="244"/>
      <c r="BK85" s="244"/>
      <c r="BL85" s="244"/>
      <c r="BM85" s="244"/>
    </row>
    <row r="86">
      <c r="A86" s="244"/>
      <c r="B86" s="244"/>
      <c r="C86" s="244"/>
      <c r="D86" s="244"/>
      <c r="E86" s="244"/>
      <c r="F86" s="244"/>
      <c r="G86" s="244"/>
      <c r="H86" s="244"/>
      <c r="I86" s="244"/>
      <c r="J86" s="244"/>
      <c r="K86" s="244"/>
      <c r="L86" s="244"/>
      <c r="M86" s="244"/>
      <c r="N86" s="244"/>
      <c r="O86" s="244"/>
      <c r="P86" s="244"/>
      <c r="Q86" s="244"/>
      <c r="R86" s="244"/>
      <c r="S86" s="244"/>
      <c r="T86" s="244"/>
      <c r="U86" s="244"/>
      <c r="V86" s="244"/>
      <c r="W86" s="244"/>
      <c r="X86" s="244"/>
      <c r="Y86" s="244"/>
      <c r="Z86" s="244"/>
      <c r="AA86" s="244"/>
      <c r="AB86" s="244"/>
      <c r="AC86" s="244"/>
      <c r="AD86" s="244"/>
      <c r="AE86" s="244"/>
      <c r="AF86" s="244"/>
      <c r="AG86" s="244"/>
      <c r="AH86" s="244"/>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c r="BH86" s="244"/>
      <c r="BI86" s="244"/>
      <c r="BJ86" s="244"/>
      <c r="BK86" s="244"/>
      <c r="BL86" s="244"/>
      <c r="BM86" s="244"/>
    </row>
    <row r="87">
      <c r="A87" s="244"/>
      <c r="B87" s="244"/>
      <c r="C87" s="244"/>
      <c r="D87" s="244"/>
      <c r="E87" s="244"/>
      <c r="F87" s="244"/>
      <c r="G87" s="244"/>
      <c r="H87" s="244"/>
      <c r="I87" s="244"/>
      <c r="J87" s="244"/>
      <c r="K87" s="244"/>
      <c r="L87" s="244"/>
      <c r="M87" s="244"/>
      <c r="N87" s="244"/>
      <c r="O87" s="244"/>
      <c r="P87" s="244"/>
      <c r="Q87" s="244"/>
      <c r="R87" s="244"/>
      <c r="S87" s="244"/>
      <c r="T87" s="244"/>
      <c r="U87" s="244"/>
      <c r="V87" s="244"/>
      <c r="W87" s="244"/>
      <c r="X87" s="244"/>
      <c r="Y87" s="244"/>
      <c r="Z87" s="244"/>
      <c r="AA87" s="244"/>
      <c r="AB87" s="244"/>
      <c r="AC87" s="244"/>
      <c r="AD87" s="244"/>
      <c r="AE87" s="244"/>
      <c r="AF87" s="244"/>
      <c r="AG87" s="244"/>
      <c r="AH87" s="244"/>
      <c r="AI87" s="244"/>
      <c r="AJ87" s="244"/>
      <c r="AK87" s="244"/>
      <c r="AL87" s="244"/>
      <c r="AM87" s="244"/>
      <c r="AN87" s="244"/>
      <c r="AO87" s="244"/>
      <c r="AP87" s="244"/>
      <c r="AQ87" s="244"/>
      <c r="AR87" s="244"/>
      <c r="AS87" s="244"/>
      <c r="AT87" s="244"/>
      <c r="AU87" s="244"/>
      <c r="AV87" s="244"/>
      <c r="AW87" s="244"/>
      <c r="AX87" s="244"/>
      <c r="AY87" s="244"/>
      <c r="AZ87" s="244"/>
      <c r="BA87" s="244"/>
      <c r="BB87" s="244"/>
      <c r="BC87" s="244"/>
      <c r="BD87" s="244"/>
      <c r="BE87" s="244"/>
      <c r="BF87" s="244"/>
      <c r="BG87" s="244"/>
      <c r="BH87" s="244"/>
      <c r="BI87" s="244"/>
      <c r="BJ87" s="244"/>
      <c r="BK87" s="244"/>
      <c r="BL87" s="244"/>
      <c r="BM87" s="244"/>
    </row>
    <row r="88">
      <c r="A88" s="244"/>
      <c r="B88" s="244"/>
      <c r="C88" s="244"/>
      <c r="D88" s="244"/>
      <c r="E88" s="244"/>
      <c r="F88" s="244"/>
      <c r="G88" s="244"/>
      <c r="H88" s="244"/>
      <c r="I88" s="244"/>
      <c r="J88" s="244"/>
      <c r="K88" s="244"/>
      <c r="L88" s="244"/>
      <c r="M88" s="244"/>
      <c r="N88" s="244"/>
      <c r="O88" s="244"/>
      <c r="P88" s="244"/>
      <c r="Q88" s="244"/>
      <c r="R88" s="244"/>
      <c r="S88" s="244"/>
      <c r="T88" s="244"/>
      <c r="U88" s="244"/>
      <c r="V88" s="244"/>
      <c r="W88" s="244"/>
      <c r="X88" s="244"/>
      <c r="Y88" s="244"/>
      <c r="Z88" s="244"/>
      <c r="AA88" s="244"/>
      <c r="AB88" s="244"/>
      <c r="AC88" s="244"/>
      <c r="AD88" s="244"/>
      <c r="AE88" s="244"/>
      <c r="AF88" s="244"/>
      <c r="AG88" s="244"/>
      <c r="AH88" s="244"/>
      <c r="AI88" s="244"/>
      <c r="AJ88" s="244"/>
      <c r="AK88" s="244"/>
      <c r="AL88" s="244"/>
      <c r="AM88" s="244"/>
      <c r="AN88" s="244"/>
      <c r="AO88" s="244"/>
      <c r="AP88" s="244"/>
      <c r="AQ88" s="244"/>
      <c r="AR88" s="244"/>
      <c r="AS88" s="244"/>
      <c r="AT88" s="244"/>
      <c r="AU88" s="244"/>
      <c r="AV88" s="244"/>
      <c r="AW88" s="244"/>
      <c r="AX88" s="244"/>
      <c r="AY88" s="244"/>
      <c r="AZ88" s="244"/>
      <c r="BA88" s="244"/>
      <c r="BB88" s="244"/>
      <c r="BC88" s="244"/>
      <c r="BD88" s="244"/>
      <c r="BE88" s="244"/>
      <c r="BF88" s="244"/>
      <c r="BG88" s="244"/>
      <c r="BH88" s="244"/>
      <c r="BI88" s="244"/>
      <c r="BJ88" s="244"/>
      <c r="BK88" s="244"/>
      <c r="BL88" s="244"/>
      <c r="BM88" s="244"/>
    </row>
    <row r="89">
      <c r="A89" s="244"/>
      <c r="B89" s="244"/>
      <c r="C89" s="244"/>
      <c r="D89" s="244"/>
      <c r="E89" s="244"/>
      <c r="F89" s="244"/>
      <c r="G89" s="244"/>
      <c r="H89" s="244"/>
      <c r="I89" s="244"/>
      <c r="J89" s="244"/>
      <c r="K89" s="244"/>
      <c r="L89" s="244"/>
      <c r="M89" s="244"/>
      <c r="N89" s="244"/>
      <c r="O89" s="244"/>
      <c r="P89" s="244"/>
      <c r="Q89" s="244"/>
      <c r="R89" s="244"/>
      <c r="S89" s="244"/>
      <c r="T89" s="244"/>
      <c r="U89" s="244"/>
      <c r="V89" s="244"/>
      <c r="W89" s="244"/>
      <c r="X89" s="244"/>
      <c r="Y89" s="244"/>
      <c r="Z89" s="244"/>
      <c r="AA89" s="244"/>
      <c r="AB89" s="244"/>
      <c r="AC89" s="244"/>
      <c r="AD89" s="244"/>
      <c r="AE89" s="244"/>
      <c r="AF89" s="244"/>
      <c r="AG89" s="244"/>
      <c r="AH89" s="244"/>
      <c r="AI89" s="244"/>
      <c r="AJ89" s="244"/>
      <c r="AK89" s="244"/>
      <c r="AL89" s="244"/>
      <c r="AM89" s="244"/>
      <c r="AN89" s="244"/>
      <c r="AO89" s="244"/>
      <c r="AP89" s="244"/>
      <c r="AQ89" s="244"/>
      <c r="AR89" s="244"/>
      <c r="AS89" s="244"/>
      <c r="AT89" s="244"/>
      <c r="AU89" s="244"/>
      <c r="AV89" s="244"/>
      <c r="AW89" s="244"/>
      <c r="AX89" s="244"/>
      <c r="AY89" s="244"/>
      <c r="AZ89" s="244"/>
      <c r="BA89" s="244"/>
      <c r="BB89" s="244"/>
      <c r="BC89" s="244"/>
      <c r="BD89" s="244"/>
      <c r="BE89" s="244"/>
      <c r="BF89" s="244"/>
      <c r="BG89" s="244"/>
      <c r="BH89" s="244"/>
      <c r="BI89" s="244"/>
      <c r="BJ89" s="244"/>
      <c r="BK89" s="244"/>
      <c r="BL89" s="244"/>
      <c r="BM89" s="244"/>
    </row>
    <row r="90">
      <c r="A90" s="244"/>
      <c r="B90" s="244"/>
      <c r="C90" s="244"/>
      <c r="D90" s="244"/>
      <c r="E90" s="244"/>
      <c r="F90" s="244"/>
      <c r="G90" s="244"/>
      <c r="H90" s="244"/>
      <c r="I90" s="244"/>
      <c r="J90" s="244"/>
      <c r="K90" s="244"/>
      <c r="L90" s="244"/>
      <c r="M90" s="244"/>
      <c r="N90" s="244"/>
      <c r="O90" s="244"/>
      <c r="P90" s="244"/>
      <c r="Q90" s="244"/>
      <c r="R90" s="244"/>
      <c r="S90" s="244"/>
      <c r="T90" s="244"/>
      <c r="U90" s="244"/>
      <c r="V90" s="244"/>
      <c r="W90" s="244"/>
      <c r="X90" s="244"/>
      <c r="Y90" s="244"/>
      <c r="Z90" s="244"/>
      <c r="AA90" s="244"/>
      <c r="AB90" s="244"/>
      <c r="AC90" s="244"/>
      <c r="AD90" s="244"/>
      <c r="AE90" s="244"/>
      <c r="AF90" s="244"/>
      <c r="AG90" s="244"/>
      <c r="AH90" s="244"/>
      <c r="AI90" s="244"/>
      <c r="AJ90" s="244"/>
      <c r="AK90" s="244"/>
      <c r="AL90" s="244"/>
      <c r="AM90" s="244"/>
      <c r="AN90" s="244"/>
      <c r="AO90" s="244"/>
      <c r="AP90" s="244"/>
      <c r="AQ90" s="244"/>
      <c r="AR90" s="244"/>
      <c r="AS90" s="244"/>
      <c r="AT90" s="244"/>
      <c r="AU90" s="244"/>
      <c r="AV90" s="244"/>
      <c r="AW90" s="244"/>
      <c r="AX90" s="244"/>
      <c r="AY90" s="244"/>
      <c r="AZ90" s="244"/>
      <c r="BA90" s="244"/>
      <c r="BB90" s="244"/>
      <c r="BC90" s="244"/>
      <c r="BD90" s="244"/>
      <c r="BE90" s="244"/>
      <c r="BF90" s="244"/>
      <c r="BG90" s="244"/>
      <c r="BH90" s="244"/>
      <c r="BI90" s="244"/>
      <c r="BJ90" s="244"/>
      <c r="BK90" s="244"/>
      <c r="BL90" s="244"/>
      <c r="BM90" s="244"/>
    </row>
    <row r="91">
      <c r="A91" s="244"/>
      <c r="B91" s="244"/>
      <c r="C91" s="244"/>
      <c r="D91" s="244"/>
      <c r="E91" s="244"/>
      <c r="F91" s="244"/>
      <c r="G91" s="244"/>
      <c r="H91" s="244"/>
      <c r="I91" s="244"/>
      <c r="J91" s="244"/>
      <c r="K91" s="244"/>
      <c r="L91" s="244"/>
      <c r="M91" s="244"/>
      <c r="N91" s="244"/>
      <c r="O91" s="244"/>
      <c r="P91" s="244"/>
      <c r="Q91" s="244"/>
      <c r="R91" s="244"/>
      <c r="S91" s="244"/>
      <c r="T91" s="244"/>
      <c r="U91" s="244"/>
      <c r="V91" s="244"/>
      <c r="W91" s="244"/>
      <c r="X91" s="244"/>
      <c r="Y91" s="244"/>
      <c r="Z91" s="244"/>
      <c r="AA91" s="244"/>
      <c r="AB91" s="244"/>
      <c r="AC91" s="244"/>
      <c r="AD91" s="244"/>
      <c r="AE91" s="244"/>
      <c r="AF91" s="244"/>
      <c r="AG91" s="244"/>
      <c r="AH91" s="244"/>
      <c r="AI91" s="244"/>
      <c r="AJ91" s="244"/>
      <c r="AK91" s="244"/>
      <c r="AL91" s="244"/>
      <c r="AM91" s="244"/>
      <c r="AN91" s="244"/>
      <c r="AO91" s="244"/>
      <c r="AP91" s="244"/>
      <c r="AQ91" s="244"/>
      <c r="AR91" s="244"/>
      <c r="AS91" s="244"/>
      <c r="AT91" s="244"/>
      <c r="AU91" s="244"/>
      <c r="AV91" s="244"/>
      <c r="AW91" s="244"/>
      <c r="AX91" s="244"/>
      <c r="AY91" s="244"/>
      <c r="AZ91" s="244"/>
      <c r="BA91" s="244"/>
      <c r="BB91" s="244"/>
      <c r="BC91" s="244"/>
      <c r="BD91" s="244"/>
      <c r="BE91" s="244"/>
      <c r="BF91" s="244"/>
      <c r="BG91" s="244"/>
      <c r="BH91" s="244"/>
      <c r="BI91" s="244"/>
      <c r="BJ91" s="244"/>
      <c r="BK91" s="244"/>
      <c r="BL91" s="244"/>
      <c r="BM91" s="244"/>
    </row>
    <row r="92">
      <c r="A92" s="244"/>
      <c r="B92" s="244"/>
      <c r="C92" s="244"/>
      <c r="D92" s="244"/>
      <c r="E92" s="244"/>
      <c r="F92" s="244"/>
      <c r="G92" s="244"/>
      <c r="H92" s="244"/>
      <c r="I92" s="244"/>
      <c r="J92" s="244"/>
      <c r="K92" s="244"/>
      <c r="L92" s="244"/>
      <c r="M92" s="244"/>
      <c r="N92" s="244"/>
      <c r="O92" s="244"/>
      <c r="P92" s="244"/>
      <c r="Q92" s="244"/>
      <c r="R92" s="244"/>
      <c r="S92" s="244"/>
      <c r="T92" s="244"/>
      <c r="U92" s="244"/>
      <c r="V92" s="244"/>
      <c r="W92" s="244"/>
      <c r="X92" s="244"/>
      <c r="Y92" s="244"/>
      <c r="Z92" s="244"/>
      <c r="AA92" s="244"/>
      <c r="AB92" s="244"/>
      <c r="AC92" s="244"/>
      <c r="AD92" s="244"/>
      <c r="AE92" s="244"/>
      <c r="AF92" s="244"/>
      <c r="AG92" s="244"/>
      <c r="AH92" s="244"/>
      <c r="AI92" s="244"/>
      <c r="AJ92" s="244"/>
      <c r="AK92" s="244"/>
      <c r="AL92" s="244"/>
      <c r="AM92" s="244"/>
      <c r="AN92" s="244"/>
      <c r="AO92" s="244"/>
      <c r="AP92" s="244"/>
      <c r="AQ92" s="244"/>
      <c r="AR92" s="244"/>
      <c r="AS92" s="244"/>
      <c r="AT92" s="244"/>
      <c r="AU92" s="244"/>
      <c r="AV92" s="244"/>
      <c r="AW92" s="244"/>
      <c r="AX92" s="244"/>
      <c r="AY92" s="244"/>
      <c r="AZ92" s="244"/>
      <c r="BA92" s="244"/>
      <c r="BB92" s="244"/>
      <c r="BC92" s="244"/>
      <c r="BD92" s="244"/>
      <c r="BE92" s="244"/>
      <c r="BF92" s="244"/>
      <c r="BG92" s="244"/>
      <c r="BH92" s="244"/>
      <c r="BI92" s="244"/>
      <c r="BJ92" s="244"/>
      <c r="BK92" s="244"/>
      <c r="BL92" s="244"/>
      <c r="BM92" s="244"/>
    </row>
    <row r="93">
      <c r="A93" s="244"/>
      <c r="B93" s="244"/>
      <c r="C93" s="244"/>
      <c r="D93" s="244"/>
      <c r="E93" s="244"/>
      <c r="F93" s="244"/>
      <c r="G93" s="244"/>
      <c r="H93" s="244"/>
      <c r="I93" s="244"/>
      <c r="J93" s="244"/>
      <c r="K93" s="244"/>
      <c r="L93" s="244"/>
      <c r="M93" s="244"/>
      <c r="N93" s="244"/>
      <c r="O93" s="244"/>
      <c r="P93" s="244"/>
      <c r="Q93" s="244"/>
      <c r="R93" s="244"/>
      <c r="S93" s="244"/>
      <c r="T93" s="244"/>
      <c r="U93" s="244"/>
      <c r="V93" s="244"/>
      <c r="W93" s="244"/>
      <c r="X93" s="244"/>
      <c r="Y93" s="244"/>
      <c r="Z93" s="244"/>
      <c r="AA93" s="244"/>
      <c r="AB93" s="244"/>
      <c r="AC93" s="244"/>
      <c r="AD93" s="244"/>
      <c r="AE93" s="244"/>
      <c r="AF93" s="244"/>
      <c r="AG93" s="244"/>
      <c r="AH93" s="244"/>
      <c r="AI93" s="244"/>
      <c r="AJ93" s="244"/>
      <c r="AK93" s="244"/>
      <c r="AL93" s="244"/>
      <c r="AM93" s="244"/>
      <c r="AN93" s="244"/>
      <c r="AO93" s="244"/>
      <c r="AP93" s="244"/>
      <c r="AQ93" s="244"/>
      <c r="AR93" s="244"/>
      <c r="AS93" s="244"/>
      <c r="AT93" s="244"/>
      <c r="AU93" s="244"/>
      <c r="AV93" s="244"/>
      <c r="AW93" s="244"/>
      <c r="AX93" s="244"/>
      <c r="AY93" s="244"/>
      <c r="AZ93" s="244"/>
      <c r="BA93" s="244"/>
      <c r="BB93" s="244"/>
      <c r="BC93" s="244"/>
      <c r="BD93" s="244"/>
      <c r="BE93" s="244"/>
      <c r="BF93" s="244"/>
      <c r="BG93" s="244"/>
      <c r="BH93" s="244"/>
      <c r="BI93" s="244"/>
      <c r="BJ93" s="244"/>
      <c r="BK93" s="244"/>
      <c r="BL93" s="244"/>
      <c r="BM93" s="244"/>
    </row>
    <row r="94">
      <c r="A94" s="244"/>
      <c r="B94" s="244"/>
      <c r="C94" s="244"/>
      <c r="D94" s="244"/>
      <c r="E94" s="244"/>
      <c r="F94" s="244"/>
      <c r="G94" s="244"/>
      <c r="H94" s="244"/>
      <c r="I94" s="244"/>
      <c r="J94" s="244"/>
      <c r="K94" s="244"/>
      <c r="L94" s="244"/>
      <c r="M94" s="244"/>
      <c r="N94" s="244"/>
      <c r="O94" s="244"/>
      <c r="P94" s="244"/>
      <c r="Q94" s="244"/>
      <c r="R94" s="244"/>
      <c r="S94" s="244"/>
      <c r="T94" s="244"/>
      <c r="U94" s="244"/>
      <c r="V94" s="244"/>
      <c r="W94" s="244"/>
      <c r="X94" s="244"/>
      <c r="Y94" s="244"/>
      <c r="Z94" s="244"/>
      <c r="AA94" s="244"/>
      <c r="AB94" s="244"/>
      <c r="AC94" s="244"/>
      <c r="AD94" s="244"/>
      <c r="AE94" s="244"/>
      <c r="AF94" s="244"/>
      <c r="AG94" s="244"/>
      <c r="AH94" s="244"/>
      <c r="AI94" s="244"/>
      <c r="AJ94" s="244"/>
      <c r="AK94" s="244"/>
      <c r="AL94" s="244"/>
      <c r="AM94" s="244"/>
      <c r="AN94" s="244"/>
      <c r="AO94" s="244"/>
      <c r="AP94" s="244"/>
      <c r="AQ94" s="244"/>
      <c r="AR94" s="244"/>
      <c r="AS94" s="244"/>
      <c r="AT94" s="244"/>
      <c r="AU94" s="244"/>
      <c r="AV94" s="244"/>
      <c r="AW94" s="244"/>
      <c r="AX94" s="244"/>
      <c r="AY94" s="244"/>
      <c r="AZ94" s="244"/>
      <c r="BA94" s="244"/>
      <c r="BB94" s="244"/>
      <c r="BC94" s="244"/>
      <c r="BD94" s="244"/>
      <c r="BE94" s="244"/>
      <c r="BF94" s="244"/>
      <c r="BG94" s="244"/>
      <c r="BH94" s="244"/>
      <c r="BI94" s="244"/>
      <c r="BJ94" s="244"/>
      <c r="BK94" s="244"/>
      <c r="BL94" s="244"/>
      <c r="BM94" s="244"/>
    </row>
    <row r="95">
      <c r="A95" s="244"/>
      <c r="B95" s="244"/>
      <c r="C95" s="244"/>
      <c r="D95" s="244"/>
      <c r="E95" s="244"/>
      <c r="F95" s="244"/>
      <c r="G95" s="244"/>
      <c r="H95" s="244"/>
      <c r="I95" s="244"/>
      <c r="J95" s="244"/>
      <c r="K95" s="244"/>
      <c r="L95" s="244"/>
      <c r="M95" s="244"/>
      <c r="N95" s="244"/>
      <c r="O95" s="244"/>
      <c r="P95" s="244"/>
      <c r="Q95" s="244"/>
      <c r="R95" s="244"/>
      <c r="S95" s="244"/>
      <c r="T95" s="244"/>
      <c r="U95" s="244"/>
      <c r="V95" s="244"/>
      <c r="W95" s="244"/>
      <c r="X95" s="244"/>
      <c r="Y95" s="244"/>
      <c r="Z95" s="244"/>
      <c r="AA95" s="244"/>
      <c r="AB95" s="244"/>
      <c r="AC95" s="244"/>
      <c r="AD95" s="244"/>
      <c r="AE95" s="244"/>
      <c r="AF95" s="244"/>
      <c r="AG95" s="244"/>
      <c r="AH95" s="244"/>
      <c r="AI95" s="244"/>
      <c r="AJ95" s="244"/>
      <c r="AK95" s="244"/>
      <c r="AL95" s="244"/>
      <c r="AM95" s="244"/>
      <c r="AN95" s="244"/>
      <c r="AO95" s="244"/>
      <c r="AP95" s="244"/>
      <c r="AQ95" s="244"/>
      <c r="AR95" s="244"/>
      <c r="AS95" s="244"/>
      <c r="AT95" s="244"/>
      <c r="AU95" s="244"/>
      <c r="AV95" s="244"/>
      <c r="AW95" s="244"/>
      <c r="AX95" s="244"/>
      <c r="AY95" s="244"/>
      <c r="AZ95" s="244"/>
      <c r="BA95" s="244"/>
      <c r="BB95" s="244"/>
      <c r="BC95" s="244"/>
      <c r="BD95" s="244"/>
      <c r="BE95" s="244"/>
      <c r="BF95" s="244"/>
      <c r="BG95" s="244"/>
      <c r="BH95" s="244"/>
      <c r="BI95" s="244"/>
      <c r="BJ95" s="244"/>
      <c r="BK95" s="244"/>
      <c r="BL95" s="244"/>
      <c r="BM95" s="244"/>
    </row>
    <row r="96">
      <c r="A96" s="244"/>
      <c r="B96" s="244"/>
      <c r="C96" s="244"/>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c r="BB96" s="244"/>
      <c r="BC96" s="244"/>
      <c r="BD96" s="244"/>
      <c r="BE96" s="244"/>
      <c r="BF96" s="244"/>
      <c r="BG96" s="244"/>
      <c r="BH96" s="244"/>
      <c r="BI96" s="244"/>
      <c r="BJ96" s="244"/>
      <c r="BK96" s="244"/>
      <c r="BL96" s="244"/>
      <c r="BM96" s="244"/>
    </row>
    <row r="97">
      <c r="A97" s="244"/>
      <c r="B97" s="244"/>
      <c r="C97" s="244"/>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c r="BB97" s="244"/>
      <c r="BC97" s="244"/>
      <c r="BD97" s="244"/>
      <c r="BE97" s="244"/>
      <c r="BF97" s="244"/>
      <c r="BG97" s="244"/>
      <c r="BH97" s="244"/>
      <c r="BI97" s="244"/>
      <c r="BJ97" s="244"/>
      <c r="BK97" s="244"/>
      <c r="BL97" s="244"/>
      <c r="BM97" s="244"/>
    </row>
    <row r="98">
      <c r="A98" s="244"/>
      <c r="B98" s="244"/>
      <c r="C98" s="244"/>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c r="BB98" s="244"/>
      <c r="BC98" s="244"/>
      <c r="BD98" s="244"/>
      <c r="BE98" s="244"/>
      <c r="BF98" s="244"/>
      <c r="BG98" s="244"/>
      <c r="BH98" s="244"/>
      <c r="BI98" s="244"/>
      <c r="BJ98" s="244"/>
      <c r="BK98" s="244"/>
      <c r="BL98" s="244"/>
      <c r="BM98" s="244"/>
    </row>
    <row r="99">
      <c r="A99" s="244"/>
      <c r="B99" s="244"/>
      <c r="C99" s="244"/>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c r="BB99" s="244"/>
      <c r="BC99" s="244"/>
      <c r="BD99" s="244"/>
      <c r="BE99" s="244"/>
      <c r="BF99" s="244"/>
      <c r="BG99" s="244"/>
      <c r="BH99" s="244"/>
      <c r="BI99" s="244"/>
      <c r="BJ99" s="244"/>
      <c r="BK99" s="244"/>
      <c r="BL99" s="244"/>
      <c r="BM99" s="244"/>
    </row>
    <row r="100">
      <c r="A100" s="244"/>
      <c r="B100" s="244"/>
      <c r="C100" s="244"/>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c r="BB100" s="244"/>
      <c r="BC100" s="244"/>
      <c r="BD100" s="244"/>
      <c r="BE100" s="244"/>
      <c r="BF100" s="244"/>
      <c r="BG100" s="244"/>
      <c r="BH100" s="244"/>
      <c r="BI100" s="244"/>
      <c r="BJ100" s="244"/>
      <c r="BK100" s="244"/>
      <c r="BL100" s="244"/>
      <c r="BM100" s="244"/>
    </row>
    <row r="101">
      <c r="A101" s="244"/>
      <c r="B101" s="244"/>
      <c r="C101" s="244"/>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c r="BB101" s="244"/>
      <c r="BC101" s="244"/>
      <c r="BD101" s="244"/>
      <c r="BE101" s="244"/>
      <c r="BF101" s="244"/>
      <c r="BG101" s="244"/>
      <c r="BH101" s="244"/>
      <c r="BI101" s="244"/>
      <c r="BJ101" s="244"/>
      <c r="BK101" s="244"/>
      <c r="BL101" s="244"/>
      <c r="BM101" s="244"/>
    </row>
    <row r="102">
      <c r="A102" s="244"/>
      <c r="B102" s="244"/>
      <c r="C102" s="244"/>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c r="BB102" s="244"/>
      <c r="BC102" s="244"/>
      <c r="BD102" s="244"/>
      <c r="BE102" s="244"/>
      <c r="BF102" s="244"/>
      <c r="BG102" s="244"/>
      <c r="BH102" s="244"/>
      <c r="BI102" s="244"/>
      <c r="BJ102" s="244"/>
      <c r="BK102" s="244"/>
      <c r="BL102" s="244"/>
      <c r="BM102" s="244"/>
    </row>
    <row r="103">
      <c r="A103" s="244"/>
      <c r="B103" s="244"/>
      <c r="C103" s="244"/>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c r="BB103" s="244"/>
      <c r="BC103" s="244"/>
      <c r="BD103" s="244"/>
      <c r="BE103" s="244"/>
      <c r="BF103" s="244"/>
      <c r="BG103" s="244"/>
      <c r="BH103" s="244"/>
      <c r="BI103" s="244"/>
      <c r="BJ103" s="244"/>
      <c r="BK103" s="244"/>
      <c r="BL103" s="244"/>
      <c r="BM103" s="244"/>
    </row>
  </sheetData>
  <mergeCells count="8">
    <mergeCell ref="B62:AK62"/>
    <mergeCell ref="T4:AI4"/>
    <mergeCell ref="B48:B49"/>
    <mergeCell ref="X22:AD22"/>
    <mergeCell ref="X35:AD35"/>
    <mergeCell ref="X47:AD47"/>
    <mergeCell ref="B24:B25"/>
    <mergeCell ref="B36:B37"/>
  </mergeCells>
  <phoneticPr fontId="0" type="noConversion"/>
  <printOptions horizontalCentered="1" verticalCentered="1"/>
  <pageMargins left="0.25" right="0.25" top="0.25" bottom="0.25" header="0" footer="0"/>
  <pageSetup scale="45" orientation="landscape" r:id="rId1"/>
  <headerFooter alignWithMargins="0">
    <oddHeader/>
    <oddFooter/>
  </headerFooter>
  <drawing r:id="rId30"/>
</worksheet>
</file>

<file path=xl/worksheets/sheet30.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BG105"/>
  <sheetViews>
    <sheetView showGridLines="0" zoomScale="75" workbookViewId="0"/>
  </sheetViews>
  <sheetFormatPr defaultRowHeight="12.75"/>
  <cols>
    <col min="1" max="1" width="13.28515625" customWidth="1"/>
    <col min="2" max="2" width="3.85546875" customWidth="1"/>
    <col min="3" max="3" width="4.28515625" style="30" customWidth="1"/>
    <col min="4" max="15" width="7.7109375" customWidth="1"/>
    <col min="16" max="16" width="1.42578125" customWidth="1"/>
    <col min="17" max="28" width="7.7109375" customWidth="1"/>
    <col min="29" max="29" width="2.28515625" customWidth="1"/>
    <col min="30" max="32" width="9.140625" customWidth="1"/>
  </cols>
  <sheetData>
    <row r="1" ht="23.25">
      <c r="A1" s="39" t="s">
        <v>123</v>
      </c>
      <c r="B1" s="39"/>
      <c r="AD1" s="244"/>
      <c r="AE1" s="244"/>
      <c r="AF1" s="244"/>
      <c r="AG1" s="244"/>
      <c r="AH1" s="244"/>
      <c r="AI1" s="244"/>
      <c r="AJ1" s="244"/>
      <c r="AK1" s="244"/>
      <c r="AL1" s="244"/>
      <c r="AM1" s="244"/>
      <c r="AN1" s="244"/>
      <c r="AO1" s="244"/>
      <c r="AP1" s="244"/>
      <c r="AQ1" s="244"/>
      <c r="AR1" s="244"/>
      <c r="AS1" s="244"/>
      <c r="AT1" s="244"/>
      <c r="AU1" s="244"/>
      <c r="AV1" s="244"/>
      <c r="AW1" s="244"/>
      <c r="AX1" s="244"/>
      <c r="AY1" s="244"/>
      <c r="AZ1" s="244"/>
      <c r="BA1" s="244"/>
      <c r="BB1" s="244"/>
      <c r="BC1" s="244"/>
      <c r="BD1" s="244"/>
      <c r="BE1" s="244"/>
      <c r="BF1" s="244"/>
      <c r="BG1" s="244"/>
    </row>
    <row r="2" ht="15" customHeight="1">
      <c r="A2" s="10" t="s">
        <v>141</v>
      </c>
      <c r="AA2" s="216"/>
      <c r="AD2" s="244"/>
      <c r="AE2" s="244"/>
      <c r="AF2" s="244"/>
      <c r="AG2" s="244"/>
      <c r="AH2" s="244"/>
      <c r="AI2" s="244"/>
      <c r="AJ2" s="244"/>
      <c r="AK2" s="244"/>
      <c r="AL2" s="244"/>
      <c r="AM2" s="244"/>
      <c r="AN2" s="244"/>
      <c r="AO2" s="244"/>
      <c r="AP2" s="244"/>
      <c r="AQ2" s="244"/>
      <c r="AR2" s="244"/>
      <c r="AS2" s="244"/>
      <c r="AT2" s="244"/>
      <c r="AU2" s="244"/>
      <c r="AV2" s="244"/>
      <c r="AW2" s="244"/>
      <c r="AX2" s="244"/>
      <c r="AY2" s="244"/>
      <c r="AZ2" s="244"/>
      <c r="BA2" s="244"/>
      <c r="BB2" s="244"/>
      <c r="BC2" s="244"/>
      <c r="BD2" s="244"/>
      <c r="BE2" s="244"/>
      <c r="BF2" s="244"/>
      <c r="BG2" s="244"/>
    </row>
    <row r="3" ht="17.1" customHeight="1">
      <c r="A3" s="10" t="s">
        <v>142</v>
      </c>
      <c r="AD3" s="244"/>
      <c r="AE3" s="244"/>
      <c r="AF3" s="244"/>
      <c r="AG3" s="244"/>
      <c r="AH3" s="244"/>
      <c r="AI3" s="244"/>
      <c r="AJ3" s="244"/>
      <c r="AK3" s="244"/>
      <c r="AL3" s="244"/>
      <c r="AM3" s="244"/>
      <c r="AN3" s="244"/>
      <c r="AO3" s="244"/>
      <c r="AP3" s="244"/>
      <c r="AQ3" s="244"/>
      <c r="AR3" s="244"/>
      <c r="AS3" s="244"/>
      <c r="AT3" s="244"/>
      <c r="AU3" s="244"/>
      <c r="AV3" s="244"/>
      <c r="AW3" s="244"/>
      <c r="AX3" s="244"/>
      <c r="AY3" s="244"/>
      <c r="AZ3" s="244"/>
      <c r="BA3" s="244"/>
      <c r="BB3" s="244"/>
      <c r="BC3" s="244"/>
      <c r="BD3" s="244"/>
      <c r="BE3" s="244"/>
      <c r="BF3" s="244"/>
      <c r="BG3" s="244"/>
    </row>
    <row r="4" ht="17.1" customHeight="1">
      <c r="A4" t="s">
        <v>143</v>
      </c>
      <c r="B4" s="442"/>
      <c r="C4" s="211"/>
      <c r="D4" s="212"/>
      <c r="E4" s="212"/>
      <c r="F4" s="212"/>
      <c r="G4" s="212"/>
      <c r="H4" s="212"/>
      <c r="I4" s="212"/>
      <c r="J4" s="212"/>
      <c r="K4" s="212"/>
      <c r="L4" s="212"/>
      <c r="M4" s="212"/>
      <c r="N4" s="212"/>
      <c r="O4" s="212"/>
      <c r="P4" s="212"/>
      <c r="Q4" s="212"/>
      <c r="R4" s="665" t="s">
        <v>146</v>
      </c>
      <c r="S4" s="665"/>
      <c r="T4" s="665"/>
      <c r="U4" s="665"/>
      <c r="V4" s="665"/>
      <c r="W4" s="665"/>
      <c r="X4" s="665"/>
      <c r="Y4" s="665"/>
      <c r="Z4" s="665"/>
      <c r="AA4" s="665"/>
      <c r="AD4" s="244"/>
      <c r="AE4" s="244"/>
      <c r="AF4" s="244"/>
      <c r="AG4" s="244"/>
      <c r="AH4" s="244"/>
      <c r="AI4" s="244"/>
      <c r="AJ4" s="244"/>
      <c r="AK4" s="244"/>
      <c r="AL4" s="244"/>
      <c r="AM4" s="244"/>
      <c r="AN4" s="244"/>
      <c r="AO4" s="244"/>
      <c r="AP4" s="244"/>
      <c r="AQ4" s="244"/>
      <c r="AR4" s="244"/>
      <c r="AS4" s="244"/>
      <c r="AT4" s="244"/>
      <c r="AU4" s="244"/>
      <c r="AV4" s="244"/>
      <c r="AW4" s="244"/>
      <c r="AX4" s="244"/>
      <c r="AY4" s="244"/>
      <c r="AZ4" s="244"/>
      <c r="BA4" s="244"/>
      <c r="BB4" s="244"/>
      <c r="BC4" s="244"/>
      <c r="BD4" s="244"/>
      <c r="BE4" s="244"/>
      <c r="BF4" s="244"/>
      <c r="BG4" s="244"/>
    </row>
    <row r="5" ht="13.5" customHeight="1">
      <c r="B5" s="211"/>
      <c r="C5" s="211"/>
      <c r="D5" s="212"/>
      <c r="E5" s="212"/>
      <c r="F5" s="212"/>
      <c r="G5" s="212"/>
      <c r="H5" s="212"/>
      <c r="I5" s="212"/>
      <c r="J5" s="212"/>
      <c r="K5" s="212"/>
      <c r="L5" s="212"/>
      <c r="M5" s="212"/>
      <c r="N5" s="212"/>
      <c r="O5" s="212"/>
      <c r="P5" s="212"/>
      <c r="Q5" s="212"/>
      <c r="R5" s="212"/>
      <c r="S5" s="212"/>
      <c r="T5" s="212"/>
      <c r="AD5" s="244"/>
      <c r="AE5" s="244"/>
      <c r="AF5" s="244"/>
      <c r="AG5" s="244"/>
      <c r="AH5" s="244"/>
      <c r="AI5" s="244"/>
      <c r="AJ5" s="244"/>
      <c r="AK5" s="244"/>
      <c r="AL5" s="244"/>
      <c r="AM5" s="244"/>
      <c r="AN5" s="244"/>
      <c r="AO5" s="244"/>
      <c r="AP5" s="244"/>
      <c r="AQ5" s="244"/>
      <c r="AR5" s="244"/>
      <c r="AS5" s="244"/>
      <c r="AT5" s="244"/>
      <c r="AU5" s="244"/>
      <c r="AV5" s="244"/>
      <c r="AW5" s="244"/>
      <c r="AX5" s="244"/>
      <c r="AY5" s="244"/>
      <c r="AZ5" s="244"/>
      <c r="BA5" s="244"/>
      <c r="BB5" s="244"/>
      <c r="BC5" s="244"/>
      <c r="BD5" s="244"/>
      <c r="BE5" s="244"/>
      <c r="BF5" s="244"/>
      <c r="BG5" s="244"/>
    </row>
    <row r="6" ht="12.75" customHeight="1">
      <c r="AD6" s="244"/>
      <c r="AE6" s="244"/>
      <c r="AF6" s="244"/>
      <c r="AG6" s="244"/>
      <c r="AH6" s="244"/>
      <c r="AI6" s="244"/>
      <c r="AJ6" s="244"/>
      <c r="AK6" s="244"/>
      <c r="AL6" s="244"/>
      <c r="AM6" s="244"/>
      <c r="AN6" s="244"/>
      <c r="AO6" s="244"/>
      <c r="AP6" s="244"/>
      <c r="AQ6" s="244"/>
      <c r="AR6" s="244"/>
      <c r="AS6" s="244"/>
      <c r="AT6" s="244"/>
      <c r="AU6" s="244"/>
      <c r="AV6" s="244"/>
      <c r="AW6" s="244"/>
      <c r="AX6" s="244"/>
      <c r="AY6" s="244"/>
      <c r="AZ6" s="244"/>
      <c r="BA6" s="244"/>
      <c r="BB6" s="244"/>
      <c r="BC6" s="244"/>
      <c r="BD6" s="244"/>
      <c r="BE6" s="244"/>
      <c r="BF6" s="244"/>
      <c r="BG6" s="244"/>
    </row>
    <row r="7" ht="15.75">
      <c r="D7" s="621" t="s">
        <v>54</v>
      </c>
      <c r="E7" s="621"/>
      <c r="F7" s="621"/>
      <c r="G7" s="621"/>
      <c r="H7" s="621"/>
      <c r="I7" s="621"/>
      <c r="J7" s="621"/>
      <c r="K7" s="621"/>
      <c r="L7" s="621"/>
      <c r="M7" s="621"/>
      <c r="N7" s="621"/>
      <c r="O7" s="621"/>
      <c r="Q7" s="621" t="s">
        <v>86</v>
      </c>
      <c r="R7" s="621"/>
      <c r="S7" s="621"/>
      <c r="T7" s="621"/>
      <c r="U7" s="621"/>
      <c r="V7" s="621"/>
      <c r="W7" s="621"/>
      <c r="X7" s="621"/>
      <c r="Y7" s="621"/>
      <c r="Z7" s="621"/>
      <c r="AA7" s="621"/>
      <c r="AB7" s="621"/>
      <c r="AD7" s="244"/>
      <c r="AE7" s="244"/>
      <c r="AF7" s="244"/>
      <c r="AG7" s="244"/>
      <c r="AH7" s="244"/>
      <c r="AI7" s="244"/>
      <c r="AJ7" s="244"/>
      <c r="AK7" s="244"/>
      <c r="AL7" s="244"/>
      <c r="AM7" s="244"/>
      <c r="AN7" s="244"/>
      <c r="AO7" s="244"/>
      <c r="AP7" s="244"/>
      <c r="AQ7" s="244"/>
      <c r="AR7" s="244"/>
      <c r="AS7" s="244"/>
      <c r="AT7" s="244"/>
      <c r="AU7" s="244"/>
      <c r="AV7" s="244"/>
      <c r="AW7" s="244"/>
      <c r="AX7" s="244"/>
      <c r="AY7" s="244"/>
      <c r="AZ7" s="244"/>
      <c r="BA7" s="244"/>
      <c r="BB7" s="244"/>
      <c r="BC7" s="244"/>
      <c r="BD7" s="244"/>
      <c r="BE7" s="244"/>
      <c r="BF7" s="244"/>
      <c r="BG7" s="244"/>
    </row>
    <row r="8" ht="15.75">
      <c r="D8" s="619" t="s">
        <v>21</v>
      </c>
      <c r="E8" s="619"/>
      <c r="F8" s="619"/>
      <c r="G8" s="619" t="s">
        <v>24</v>
      </c>
      <c r="H8" s="619"/>
      <c r="I8" s="619"/>
      <c r="J8" s="619" t="s">
        <v>25</v>
      </c>
      <c r="K8" s="619"/>
      <c r="L8" s="619"/>
      <c r="M8" s="619" t="s">
        <v>23</v>
      </c>
      <c r="N8" s="619"/>
      <c r="O8" s="619"/>
      <c r="Q8" s="619" t="s">
        <v>21</v>
      </c>
      <c r="R8" s="619"/>
      <c r="S8" s="619"/>
      <c r="T8" s="619" t="s">
        <v>24</v>
      </c>
      <c r="U8" s="619"/>
      <c r="V8" s="619"/>
      <c r="W8" s="619" t="s">
        <v>25</v>
      </c>
      <c r="X8" s="619"/>
      <c r="Y8" s="619"/>
      <c r="Z8" s="619" t="s">
        <v>23</v>
      </c>
      <c r="AA8" s="619"/>
      <c r="AB8" s="619"/>
      <c r="AD8" s="244"/>
      <c r="AE8" s="244"/>
      <c r="AF8" s="244"/>
      <c r="AG8" s="244"/>
      <c r="AH8" s="244"/>
      <c r="AI8" s="244"/>
      <c r="AJ8" s="244"/>
      <c r="AK8" s="244"/>
      <c r="AL8" s="244"/>
      <c r="AM8" s="244"/>
      <c r="AN8" s="244"/>
      <c r="AO8" s="244"/>
      <c r="AP8" s="244"/>
      <c r="AQ8" s="244"/>
      <c r="AR8" s="244"/>
      <c r="AS8" s="244"/>
      <c r="AT8" s="244"/>
      <c r="AU8" s="244"/>
      <c r="AV8" s="244"/>
      <c r="AW8" s="244"/>
      <c r="AX8" s="244"/>
      <c r="AY8" s="244"/>
      <c r="AZ8" s="244"/>
      <c r="BA8" s="244"/>
      <c r="BB8" s="244"/>
      <c r="BC8" s="244"/>
      <c r="BD8" s="244"/>
      <c r="BE8" s="244"/>
      <c r="BF8" s="244"/>
      <c r="BG8" s="244"/>
    </row>
    <row r="9" ht="27" customHeight="1">
      <c r="A9" s="92"/>
      <c r="D9" s="339" t="s">
        <v>63</v>
      </c>
      <c r="E9" s="340" t="s">
        <v>26</v>
      </c>
      <c r="F9" s="341" t="s">
        <v>147</v>
      </c>
      <c r="G9" s="339" t="s">
        <v>63</v>
      </c>
      <c r="H9" s="340" t="s">
        <v>26</v>
      </c>
      <c r="I9" s="341" t="s">
        <v>147</v>
      </c>
      <c r="J9" s="340" t="s">
        <v>63</v>
      </c>
      <c r="K9" s="340" t="s">
        <v>26</v>
      </c>
      <c r="L9" s="341" t="s">
        <v>147</v>
      </c>
      <c r="M9" s="339" t="s">
        <v>63</v>
      </c>
      <c r="N9" s="340" t="s">
        <v>26</v>
      </c>
      <c r="O9" s="341" t="s">
        <v>147</v>
      </c>
      <c r="P9" s="96"/>
      <c r="Q9" s="339" t="s">
        <v>63</v>
      </c>
      <c r="R9" s="340" t="s">
        <v>26</v>
      </c>
      <c r="S9" s="341" t="s">
        <v>147</v>
      </c>
      <c r="T9" s="339" t="s">
        <v>63</v>
      </c>
      <c r="U9" s="340" t="s">
        <v>26</v>
      </c>
      <c r="V9" s="341" t="s">
        <v>147</v>
      </c>
      <c r="W9" s="340" t="s">
        <v>63</v>
      </c>
      <c r="X9" s="340" t="s">
        <v>26</v>
      </c>
      <c r="Y9" s="341" t="s">
        <v>147</v>
      </c>
      <c r="Z9" s="339" t="s">
        <v>63</v>
      </c>
      <c r="AA9" s="340" t="s">
        <v>26</v>
      </c>
      <c r="AB9" s="341" t="s">
        <v>147</v>
      </c>
      <c r="AD9" s="244"/>
      <c r="AE9" s="244"/>
      <c r="AF9" s="244"/>
      <c r="AG9" s="244"/>
      <c r="AH9" s="244"/>
      <c r="AI9" s="244"/>
      <c r="AJ9" s="244"/>
      <c r="AK9" s="244"/>
      <c r="AL9" s="244"/>
      <c r="AM9" s="244"/>
      <c r="AN9" s="244"/>
      <c r="AO9" s="244"/>
      <c r="AP9" s="244"/>
      <c r="AQ9" s="244"/>
      <c r="AR9" s="244"/>
      <c r="AS9" s="244"/>
      <c r="AT9" s="244"/>
      <c r="AU9" s="244"/>
      <c r="AV9" s="244"/>
      <c r="AW9" s="244"/>
      <c r="AX9" s="244"/>
      <c r="AY9" s="244"/>
      <c r="AZ9" s="244"/>
      <c r="BA9" s="244"/>
      <c r="BB9" s="244"/>
      <c r="BC9" s="244"/>
      <c r="BD9" s="244"/>
      <c r="BE9" s="244"/>
      <c r="BF9" s="244"/>
      <c r="BG9" s="244"/>
    </row>
    <row r="10" ht="15.6" customHeight="1">
      <c r="A10" s="92" t="s">
        <v>148</v>
      </c>
      <c r="B10" s="342">
        <v>22</v>
      </c>
      <c r="C10" s="350" t="s">
        <v>49</v>
      </c>
      <c r="D10" s="354">
        <v>19.892473118279569892473118280</v>
      </c>
      <c r="E10" s="355">
        <v>33.874340585026476415777049120</v>
      </c>
      <c r="F10" s="356">
        <v>51.596023024594453165881737310</v>
      </c>
      <c r="G10" s="354">
        <v>2.1505376344086021505376344100</v>
      </c>
      <c r="H10" s="355">
        <v>2.9455948334805631665893086200</v>
      </c>
      <c r="I10" s="356">
        <v>6.5934065934065934065934065900</v>
      </c>
      <c r="J10" s="355">
        <v>1.6129032258064516129032258100</v>
      </c>
      <c r="K10" s="355">
        <v>4.9848527951209530511511376600</v>
      </c>
      <c r="L10" s="356">
        <v>0.3139717425431711145996860300</v>
      </c>
      <c r="M10" s="354">
        <v>23.655913978494623655913978490</v>
      </c>
      <c r="N10" s="355">
        <v>41.804788213627992633517495400</v>
      </c>
      <c r="O10" s="356">
        <v>58.503401360544217687074829930</v>
      </c>
      <c r="P10" s="4"/>
      <c r="Q10" s="354">
        <v>-9.756097561024033313503840760</v>
      </c>
      <c r="R10" s="355">
        <v>25.929903195179615176036098160</v>
      </c>
      <c r="S10" s="356">
        <v>7.2108823133337338001165887700</v>
      </c>
      <c r="T10" s="354">
        <v>0</v>
      </c>
      <c r="U10" s="355">
        <v>-61.977686233170653158353131380</v>
      </c>
      <c r="V10" s="356">
        <v>38.871997569094037782562427090</v>
      </c>
      <c r="W10" s="355">
        <v>0.0000000004000000000016002200</v>
      </c>
      <c r="X10" s="355">
        <v>15.821817320196538710114058550</v>
      </c>
      <c r="Y10" s="356">
        <v>-3.0100334526595899368384312900</v>
      </c>
      <c r="Z10" s="354">
        <v>-0.0000000000227272727272675800</v>
      </c>
      <c r="AA10" s="355">
        <v>7.328605200928880170346900</v>
      </c>
      <c r="AB10" s="356">
        <v>9.974424552356538745821962400</v>
      </c>
      <c r="AD10" s="244"/>
      <c r="AE10" s="244"/>
      <c r="AF10" s="244"/>
      <c r="AG10" s="244"/>
      <c r="AH10" s="244"/>
      <c r="AI10" s="244"/>
      <c r="AJ10" s="244"/>
      <c r="AK10" s="244"/>
      <c r="AL10" s="244"/>
      <c r="AM10" s="244"/>
      <c r="AN10" s="244"/>
      <c r="AO10" s="244"/>
      <c r="AP10" s="244"/>
      <c r="AQ10" s="244"/>
      <c r="AR10" s="244"/>
      <c r="AS10" s="244"/>
      <c r="AT10" s="244"/>
      <c r="AU10" s="244"/>
      <c r="AV10" s="244"/>
      <c r="AW10" s="244"/>
      <c r="AX10" s="244"/>
      <c r="AY10" s="244"/>
      <c r="AZ10" s="244"/>
      <c r="BA10" s="244"/>
      <c r="BB10" s="244"/>
      <c r="BC10" s="244"/>
      <c r="BD10" s="244"/>
      <c r="BE10" s="244"/>
      <c r="BF10" s="244"/>
      <c r="BG10" s="244"/>
    </row>
    <row r="11" ht="15.6" customHeight="1">
      <c r="A11" s="92"/>
      <c r="B11" s="344">
        <v>23</v>
      </c>
      <c r="C11" s="351" t="s">
        <v>47</v>
      </c>
      <c r="D11" s="327">
        <v>37.634408602150537634408602150</v>
      </c>
      <c r="E11" s="171">
        <v>44.945497984172017321188591910</v>
      </c>
      <c r="F11" s="328">
        <v>67.413907413907413907413907410</v>
      </c>
      <c r="G11" s="327">
        <v>15.591397849462365591397849460</v>
      </c>
      <c r="H11" s="171">
        <v>1.3936588522223881339903439400</v>
      </c>
      <c r="I11" s="328">
        <v>11.026091026091026091026091030</v>
      </c>
      <c r="J11" s="171">
        <v>1.6129032258064516129032258100</v>
      </c>
      <c r="K11" s="171">
        <v>5.2262206958339555024637897600</v>
      </c>
      <c r="L11" s="328">
        <v>0.2901602901602901602901602900</v>
      </c>
      <c r="M11" s="327">
        <v>54.838709677419354838709677420</v>
      </c>
      <c r="N11" s="171">
        <v>51.565377532228360957642725600</v>
      </c>
      <c r="O11" s="328">
        <v>78.730158730158730158730158730</v>
      </c>
      <c r="P11" s="4"/>
      <c r="Q11" s="327">
        <v>40.000000000039200000000010970</v>
      </c>
      <c r="R11" s="171">
        <v>19.118489671851731165265377130</v>
      </c>
      <c r="S11" s="328">
        <v>7.266488674663764768872031100</v>
      </c>
      <c r="T11" s="327">
        <v>0</v>
      </c>
      <c r="U11" s="171">
        <v>-83.44721533134283864367967803</v>
      </c>
      <c r="V11" s="328">
        <v>-4.2908308002829513367611219900</v>
      </c>
      <c r="W11" s="171">
        <v>0.0000000004000000000016002200</v>
      </c>
      <c r="X11" s="171">
        <v>11.731296513966661770466152160</v>
      </c>
      <c r="Y11" s="328">
        <v>3.265156259727310253022295600</v>
      </c>
      <c r="Z11" s="327">
        <v>92.45283018877365610537562481</v>
      </c>
      <c r="AA11" s="171">
        <v>1.4492753622548834278513320700</v>
      </c>
      <c r="AB11" s="328">
        <v>5.4678007290365730686269155500</v>
      </c>
      <c r="AD11" s="244"/>
      <c r="AE11" s="244"/>
      <c r="AF11" s="244"/>
      <c r="AG11" s="244"/>
      <c r="AH11" s="244"/>
      <c r="AI11" s="244"/>
      <c r="AJ11" s="244"/>
      <c r="AK11" s="244"/>
      <c r="AL11" s="244"/>
      <c r="AM11" s="244"/>
      <c r="AN11" s="244"/>
      <c r="AO11" s="244"/>
      <c r="AP11" s="244"/>
      <c r="AQ11" s="244"/>
      <c r="AR11" s="244"/>
      <c r="AS11" s="244"/>
      <c r="AT11" s="244"/>
      <c r="AU11" s="244"/>
      <c r="AV11" s="244"/>
      <c r="AW11" s="244"/>
      <c r="AX11" s="244"/>
      <c r="AY11" s="244"/>
      <c r="AZ11" s="244"/>
      <c r="BA11" s="244"/>
      <c r="BB11" s="244"/>
      <c r="BC11" s="244"/>
      <c r="BD11" s="244"/>
      <c r="BE11" s="244"/>
      <c r="BF11" s="244"/>
      <c r="BG11" s="244"/>
    </row>
    <row r="12" ht="15.6" customHeight="1">
      <c r="A12" s="92"/>
      <c r="B12" s="346">
        <v>24</v>
      </c>
      <c r="C12" s="352" t="s">
        <v>48</v>
      </c>
      <c r="D12" s="359">
        <v>38.709677419354838709677419350</v>
      </c>
      <c r="E12" s="170">
        <v>55.010945481079954133222141150</v>
      </c>
      <c r="F12" s="360">
        <v>74.761029733466337655973819150</v>
      </c>
      <c r="G12" s="359">
        <v>17.204301075268817204301075270</v>
      </c>
      <c r="H12" s="170">
        <v>1.0445116230584801417700406500</v>
      </c>
      <c r="I12" s="360">
        <v>10.130729248700582768939990550</v>
      </c>
      <c r="J12" s="170">
        <v>1.075268817204301075268817200</v>
      </c>
      <c r="K12" s="170">
        <v>5.4546718093053962959102123100</v>
      </c>
      <c r="L12" s="360">
        <v>0.1876060971981589401655553800</v>
      </c>
      <c r="M12" s="359">
        <v>56.989247311827956989247311830</v>
      </c>
      <c r="N12" s="170">
        <v>61.510128913443830570902394110</v>
      </c>
      <c r="O12" s="360">
        <v>85.07936507936507936507936508</v>
      </c>
      <c r="P12" s="4"/>
      <c r="Q12" s="359">
        <v>99.99999999976666666666693886</v>
      </c>
      <c r="R12" s="170">
        <v>13.647342291480206094122467660</v>
      </c>
      <c r="S12" s="360">
        <v>13.906278158195132789439390860</v>
      </c>
      <c r="T12" s="359">
        <v>0</v>
      </c>
      <c r="U12" s="170">
        <v>-87.57846721304961780447204874</v>
      </c>
      <c r="V12" s="360">
        <v>-35.512936195084505923894227230</v>
      </c>
      <c r="W12" s="170">
        <v>-33.333333333066666666665600270</v>
      </c>
      <c r="X12" s="170">
        <v>23.407423296956806240377031580</v>
      </c>
      <c r="Y12" s="360">
        <v>-35.114867893521698828784620500</v>
      </c>
      <c r="Z12" s="359">
        <v>171.79487179466272189349128510</v>
      </c>
      <c r="AA12" s="170">
        <v>0.4511278195836146757872244100</v>
      </c>
      <c r="AB12" s="360">
        <v>4.2222222222534888888888982700</v>
      </c>
      <c r="AD12" s="244"/>
      <c r="AE12" s="244"/>
      <c r="AF12" s="244"/>
      <c r="AG12" s="244"/>
      <c r="AH12" s="244"/>
      <c r="AI12" s="244"/>
      <c r="AJ12" s="244"/>
      <c r="AK12" s="244"/>
      <c r="AL12" s="244"/>
      <c r="AM12" s="244"/>
      <c r="AN12" s="244"/>
      <c r="AO12" s="244"/>
      <c r="AP12" s="244"/>
      <c r="AQ12" s="244"/>
      <c r="AR12" s="244"/>
      <c r="AS12" s="244"/>
      <c r="AT12" s="244"/>
      <c r="AU12" s="244"/>
      <c r="AV12" s="244"/>
      <c r="AW12" s="244"/>
      <c r="AX12" s="244"/>
      <c r="AY12" s="244"/>
      <c r="AZ12" s="244"/>
      <c r="BA12" s="244"/>
      <c r="BB12" s="244"/>
      <c r="BC12" s="244"/>
      <c r="BD12" s="244"/>
      <c r="BE12" s="244"/>
      <c r="BF12" s="244"/>
      <c r="BG12" s="244"/>
    </row>
    <row r="13" ht="15.6" customHeight="1">
      <c r="A13" s="92"/>
      <c r="B13" s="344">
        <v>25</v>
      </c>
      <c r="C13" s="351" t="s">
        <v>50</v>
      </c>
      <c r="D13" s="327">
        <v>38.709677419354838709677419350</v>
      </c>
      <c r="E13" s="171">
        <v>56.747978656676662399147641840</v>
      </c>
      <c r="F13" s="328">
        <v>73.033972931474533012008988950</v>
      </c>
      <c r="G13" s="327">
        <v>17.204301075268817204301075270</v>
      </c>
      <c r="H13" s="171">
        <v>9.569266989165084247699406270</v>
      </c>
      <c r="I13" s="328">
        <v>10.312884496100383352145043370</v>
      </c>
      <c r="J13" s="171">
        <v>1.6129032258064516129032258100</v>
      </c>
      <c r="K13" s="171">
        <v>5.2297156801251041818822336600</v>
      </c>
      <c r="L13" s="328">
        <v>0.2812604862572831823312284600</v>
      </c>
      <c r="M13" s="327">
        <v>57.526881720430107526881720430</v>
      </c>
      <c r="N13" s="171">
        <v>71.546961325966850828729281770</v>
      </c>
      <c r="O13" s="328">
        <v>83.62811791383219954648526077</v>
      </c>
      <c r="P13" s="4"/>
      <c r="Q13" s="327">
        <v>71.428571428497959183673500850</v>
      </c>
      <c r="R13" s="171">
        <v>31.198559752872255027164363480</v>
      </c>
      <c r="S13" s="328">
        <v>6.3827387660177693307841400600</v>
      </c>
      <c r="T13" s="327">
        <v>0</v>
      </c>
      <c r="U13" s="171">
        <v>13.017346629477964253136971190</v>
      </c>
      <c r="V13" s="328">
        <v>11.981830279959390026696482300</v>
      </c>
      <c r="W13" s="171">
        <v>0.0000000004000000000016002200</v>
      </c>
      <c r="X13" s="171">
        <v>28.162985233929574981713119390</v>
      </c>
      <c r="Y13" s="328">
        <v>0.7836472432086260980990077700</v>
      </c>
      <c r="Z13" s="327">
        <v>137.77777777774607407407407830</v>
      </c>
      <c r="AA13" s="171">
        <v>28.217821782122360552886996200</v>
      </c>
      <c r="AB13" s="328">
        <v>7.0226349390063613081558064600</v>
      </c>
      <c r="AD13" s="244"/>
      <c r="AE13" s="244"/>
      <c r="AF13" s="244"/>
      <c r="AG13" s="244"/>
      <c r="AH13" s="244"/>
      <c r="AI13" s="244"/>
      <c r="AJ13" s="244"/>
      <c r="AK13" s="244"/>
      <c r="AL13" s="244"/>
      <c r="AM13" s="244"/>
      <c r="AN13" s="244"/>
      <c r="AO13" s="244"/>
      <c r="AP13" s="244"/>
      <c r="AQ13" s="244"/>
      <c r="AR13" s="244"/>
      <c r="AS13" s="244"/>
      <c r="AT13" s="244"/>
      <c r="AU13" s="244"/>
      <c r="AV13" s="244"/>
      <c r="AW13" s="244"/>
      <c r="AX13" s="244"/>
      <c r="AY13" s="244"/>
      <c r="AZ13" s="244"/>
      <c r="BA13" s="244"/>
      <c r="BB13" s="244"/>
      <c r="BC13" s="244"/>
      <c r="BD13" s="244"/>
      <c r="BE13" s="244"/>
      <c r="BF13" s="244"/>
      <c r="BG13" s="244"/>
    </row>
    <row r="14" ht="15.6" customHeight="1">
      <c r="A14" s="92"/>
      <c r="B14" s="346">
        <v>26</v>
      </c>
      <c r="C14" s="352" t="s">
        <v>51</v>
      </c>
      <c r="D14" s="359">
        <v>34.408602150537634408602150540</v>
      </c>
      <c r="E14" s="170">
        <v>40.576400526410467615341646070</v>
      </c>
      <c r="F14" s="360">
        <v>62.888846046740783582888846050</v>
      </c>
      <c r="G14" s="359">
        <v>3.7634408602150537634408602200</v>
      </c>
      <c r="H14" s="170">
        <v>16.858389903522973651073176730</v>
      </c>
      <c r="I14" s="360">
        <v>11.829573934837092731829573930</v>
      </c>
      <c r="J14" s="170">
        <v>1.075268817204301075268817200</v>
      </c>
      <c r="K14" s="170">
        <v>5.9295026557218734910671173300</v>
      </c>
      <c r="L14" s="360">
        <v>0.2022149390570443202022149400</v>
      </c>
      <c r="M14" s="359">
        <v>39.247311827956989247311827960</v>
      </c>
      <c r="N14" s="170">
        <v>63.364293085655314757481940140</v>
      </c>
      <c r="O14" s="360">
        <v>74.920634920634920634920634920</v>
      </c>
      <c r="P14" s="4"/>
      <c r="Q14" s="359">
        <v>120.68965517188109393579201117</v>
      </c>
      <c r="R14" s="170">
        <v>1.6500668430318139196593402600</v>
      </c>
      <c r="S14" s="360">
        <v>7.0629372959188195812985172100</v>
      </c>
      <c r="T14" s="359">
        <v>0</v>
      </c>
      <c r="U14" s="170">
        <v>260.15223857882332201514374720</v>
      </c>
      <c r="V14" s="360">
        <v>113.81458124719360040529963216</v>
      </c>
      <c r="W14" s="170">
        <v>-33.333333333066666666665600270</v>
      </c>
      <c r="X14" s="170">
        <v>20.007170605295927425956806640</v>
      </c>
      <c r="Y14" s="360">
        <v>-42.739114998803896532313926340</v>
      </c>
      <c r="Z14" s="359">
        <v>128.12499999958652343750074944</v>
      </c>
      <c r="AA14" s="170">
        <v>27.906361135630539439702190470</v>
      </c>
      <c r="AB14" s="360">
        <v>15.929824561468185410895696280</v>
      </c>
      <c r="AD14" s="244"/>
      <c r="AE14" s="244"/>
      <c r="AF14" s="244"/>
      <c r="AG14" s="244"/>
      <c r="AH14" s="244"/>
      <c r="AI14" s="244"/>
      <c r="AJ14" s="244"/>
      <c r="AK14" s="244"/>
      <c r="AL14" s="244"/>
      <c r="AM14" s="244"/>
      <c r="AN14" s="244"/>
      <c r="AO14" s="244"/>
      <c r="AP14" s="244"/>
      <c r="AQ14" s="244"/>
      <c r="AR14" s="244"/>
      <c r="AS14" s="244"/>
      <c r="AT14" s="244"/>
      <c r="AU14" s="244"/>
      <c r="AV14" s="244"/>
      <c r="AW14" s="244"/>
      <c r="AX14" s="244"/>
      <c r="AY14" s="244"/>
      <c r="AZ14" s="244"/>
      <c r="BA14" s="244"/>
      <c r="BB14" s="244"/>
      <c r="BC14" s="244"/>
      <c r="BD14" s="244"/>
      <c r="BE14" s="244"/>
      <c r="BF14" s="244"/>
      <c r="BG14" s="244"/>
    </row>
    <row r="15" ht="15.6" customHeight="1">
      <c r="A15" s="92"/>
      <c r="B15" s="344">
        <v>27</v>
      </c>
      <c r="C15" s="351" t="s">
        <v>52</v>
      </c>
      <c r="D15" s="327">
        <v>59.677419354838709677419354840</v>
      </c>
      <c r="E15" s="171">
        <v>45.606672333191670208244793880</v>
      </c>
      <c r="F15" s="328">
        <v>64.48995523267855151428252800</v>
      </c>
      <c r="G15" s="327">
        <v>3.2258064516129032258064516100</v>
      </c>
      <c r="H15" s="171">
        <v>19.642477688057798555036124100</v>
      </c>
      <c r="I15" s="328">
        <v>11.660214437062881358632445950</v>
      </c>
      <c r="J15" s="171">
        <v>2.6881720430107526881720430100</v>
      </c>
      <c r="K15" s="171">
        <v>5.1928389290267743306417339600</v>
      </c>
      <c r="L15" s="328">
        <v>0.4484697860408800522550940800</v>
      </c>
      <c r="M15" s="327">
        <v>65.591397849462365591397849460</v>
      </c>
      <c r="N15" s="171">
        <v>70.441988950276243093922651930</v>
      </c>
      <c r="O15" s="328">
        <v>76.598639455782312925170068030</v>
      </c>
      <c r="P15" s="4"/>
      <c r="Q15" s="327">
        <v>49.999999999845945945946104170</v>
      </c>
      <c r="R15" s="171">
        <v>-14.966597198240605119394675920</v>
      </c>
      <c r="S15" s="328">
        <v>-1.3209256194728103598293544900</v>
      </c>
      <c r="T15" s="327">
        <v>-66.666666666533333333332800030</v>
      </c>
      <c r="U15" s="171">
        <v>141.42463053079923850520573629</v>
      </c>
      <c r="V15" s="328">
        <v>82.55559143369553346341169728</v>
      </c>
      <c r="W15" s="171">
        <v>66.666666667333333333335999950</v>
      </c>
      <c r="X15" s="171">
        <v>27.649804648468562887809929600</v>
      </c>
      <c r="Y15" s="328">
        <v>61.491484729807587294556503240</v>
      </c>
      <c r="Z15" s="327">
        <v>28.421052631589761772853186500</v>
      </c>
      <c r="AA15" s="171">
        <v>6.9930069930048980390239131900</v>
      </c>
      <c r="AB15" s="328">
        <v>6.3602015112894679237860977100</v>
      </c>
      <c r="AD15" s="244"/>
      <c r="AE15" s="244"/>
      <c r="AF15" s="244"/>
      <c r="AG15" s="244"/>
      <c r="AH15" s="244"/>
      <c r="AI15" s="244"/>
      <c r="AJ15" s="244"/>
      <c r="AK15" s="244"/>
      <c r="AL15" s="244"/>
      <c r="AM15" s="244"/>
      <c r="AN15" s="244"/>
      <c r="AO15" s="244"/>
      <c r="AP15" s="244"/>
      <c r="AQ15" s="244"/>
      <c r="AR15" s="244"/>
      <c r="AS15" s="244"/>
      <c r="AT15" s="244"/>
      <c r="AU15" s="244"/>
      <c r="AV15" s="244"/>
      <c r="AW15" s="244"/>
      <c r="AX15" s="244"/>
      <c r="AY15" s="244"/>
      <c r="AZ15" s="244"/>
      <c r="BA15" s="244"/>
      <c r="BB15" s="244"/>
      <c r="BC15" s="244"/>
      <c r="BD15" s="244"/>
      <c r="BE15" s="244"/>
      <c r="BF15" s="244"/>
      <c r="BG15" s="244"/>
    </row>
    <row r="16" ht="15.6" customHeight="1">
      <c r="A16" s="92"/>
      <c r="B16" s="346">
        <v>28</v>
      </c>
      <c r="C16" s="352" t="s">
        <v>53</v>
      </c>
      <c r="D16" s="359">
        <v>53.225806451612903225806451610</v>
      </c>
      <c r="E16" s="170">
        <v>41.492646651081477849477429200</v>
      </c>
      <c r="F16" s="360">
        <v>60.712608684434582935576253260</v>
      </c>
      <c r="G16" s="359">
        <v>3.2258064516129032258064516100</v>
      </c>
      <c r="H16" s="170">
        <v>25.577658894502280866116223480</v>
      </c>
      <c r="I16" s="360">
        <v>11.756753270208209706132769160</v>
      </c>
      <c r="J16" s="170">
        <v>1.075268817204301075268817200</v>
      </c>
      <c r="K16" s="170">
        <v>4.6608178429981934022700673900</v>
      </c>
      <c r="L16" s="360">
        <v>0.1836992698470032766583245200</v>
      </c>
      <c r="M16" s="359">
        <v>57.526881720430107526881720430</v>
      </c>
      <c r="N16" s="170">
        <v>71.731123388581952117863720070</v>
      </c>
      <c r="O16" s="360">
        <v>72.653061224489795918367346940</v>
      </c>
      <c r="P16" s="4"/>
      <c r="Q16" s="359">
        <v>47.761194030031588327021829700</v>
      </c>
      <c r="R16" s="170">
        <v>-10.124487166200814338128567090</v>
      </c>
      <c r="S16" s="360">
        <v>-6.3770241159957859331872735400</v>
      </c>
      <c r="T16" s="359">
        <v>0</v>
      </c>
      <c r="U16" s="170">
        <v>301.90442933994706444149679079</v>
      </c>
      <c r="V16" s="360">
        <v>114.69398084892451238530721796</v>
      </c>
      <c r="W16" s="170">
        <v>-33.333333333066666666665600270</v>
      </c>
      <c r="X16" s="170">
        <v>13.708399365819188422721451510</v>
      </c>
      <c r="Y16" s="360">
        <v>-36.262724440131245717847459990</v>
      </c>
      <c r="Z16" s="359">
        <v>52.857142856941959183673733420</v>
      </c>
      <c r="AA16" s="170">
        <v>26.666666666764292682926904510</v>
      </c>
      <c r="AB16" s="360">
        <v>2.8901734103451501887801473100</v>
      </c>
      <c r="AD16" s="244"/>
      <c r="AE16" s="244"/>
      <c r="AF16" s="244"/>
      <c r="AG16" s="244"/>
      <c r="AH16" s="244"/>
      <c r="AI16" s="244"/>
      <c r="AJ16" s="244"/>
      <c r="AK16" s="244"/>
      <c r="AL16" s="244"/>
      <c r="AM16" s="244"/>
      <c r="AN16" s="244"/>
      <c r="AO16" s="244"/>
      <c r="AP16" s="244"/>
      <c r="AQ16" s="244"/>
      <c r="AR16" s="244"/>
      <c r="AS16" s="244"/>
      <c r="AT16" s="244"/>
      <c r="AU16" s="244"/>
      <c r="AV16" s="244"/>
      <c r="AW16" s="244"/>
      <c r="AX16" s="244"/>
      <c r="AY16" s="244"/>
      <c r="AZ16" s="244"/>
      <c r="BA16" s="244"/>
      <c r="BB16" s="244"/>
      <c r="BC16" s="244"/>
      <c r="BD16" s="244"/>
      <c r="BE16" s="244"/>
      <c r="BF16" s="244"/>
      <c r="BG16" s="244"/>
    </row>
    <row r="17" ht="15.6" customHeight="1">
      <c r="A17" s="92"/>
      <c r="B17" s="344">
        <v>29</v>
      </c>
      <c r="C17" s="351" t="s">
        <v>49</v>
      </c>
      <c r="D17" s="327">
        <v>22.580645161290322580645161290</v>
      </c>
      <c r="E17" s="171">
        <v>24.913106632428086011464736850</v>
      </c>
      <c r="F17" s="328">
        <v>45.966344432509846043680630150</v>
      </c>
      <c r="G17" s="327">
        <v>3.2258064516129032258064516100</v>
      </c>
      <c r="H17" s="171">
        <v>3.6281223251108863123492335200</v>
      </c>
      <c r="I17" s="328">
        <v>9.349087003222341568206229860</v>
      </c>
      <c r="J17" s="171">
        <v>1.075268817204301075268817200</v>
      </c>
      <c r="K17" s="171">
        <v>5.8049957201774180997587736400</v>
      </c>
      <c r="L17" s="328">
        <v>0.1947726459004654493376297900</v>
      </c>
      <c r="M17" s="327">
        <v>26.881720430107526881720430110</v>
      </c>
      <c r="N17" s="171">
        <v>34.346224677716390423572744010</v>
      </c>
      <c r="O17" s="328">
        <v>55.510204081632653061224489800</v>
      </c>
      <c r="P17" s="4"/>
      <c r="Q17" s="327">
        <v>49.999999999603571428572476270</v>
      </c>
      <c r="R17" s="171">
        <v>6.8820077588494926088352260700</v>
      </c>
      <c r="S17" s="328">
        <v>4.9557724694965721764748042200</v>
      </c>
      <c r="T17" s="327">
        <v>0</v>
      </c>
      <c r="U17" s="171">
        <v>126.21628826520289681205582931</v>
      </c>
      <c r="V17" s="328">
        <v>100.85526873017501831954885966</v>
      </c>
      <c r="W17" s="171">
        <v>0.000000000400000000001599600</v>
      </c>
      <c r="X17" s="171">
        <v>35.729772958063880788943758300</v>
      </c>
      <c r="Y17" s="328">
        <v>-7.941335179180932824461864020</v>
      </c>
      <c r="Z17" s="327">
        <v>66.666666666300000000000806680</v>
      </c>
      <c r="AA17" s="171">
        <v>17.665615141929853018738375100</v>
      </c>
      <c r="AB17" s="328">
        <v>14.072693382978144387920426240</v>
      </c>
      <c r="AD17" s="244"/>
      <c r="AE17" s="244"/>
      <c r="AF17" s="244"/>
      <c r="AG17" s="244"/>
      <c r="AH17" s="244"/>
      <c r="AI17" s="244"/>
      <c r="AJ17" s="244"/>
      <c r="AK17" s="244"/>
      <c r="AL17" s="244"/>
      <c r="AM17" s="244"/>
      <c r="AN17" s="244"/>
      <c r="AO17" s="244"/>
      <c r="AP17" s="244"/>
      <c r="AQ17" s="244"/>
      <c r="AR17" s="244"/>
      <c r="AS17" s="244"/>
      <c r="AT17" s="244"/>
      <c r="AU17" s="244"/>
      <c r="AV17" s="244"/>
      <c r="AW17" s="244"/>
      <c r="AX17" s="244"/>
      <c r="AY17" s="244"/>
      <c r="AZ17" s="244"/>
      <c r="BA17" s="244"/>
      <c r="BB17" s="244"/>
      <c r="BC17" s="244"/>
      <c r="BD17" s="244"/>
      <c r="BE17" s="244"/>
      <c r="BF17" s="244"/>
      <c r="BG17" s="244"/>
    </row>
    <row r="18" ht="15.6" customHeight="1">
      <c r="A18" s="92"/>
      <c r="B18" s="346">
        <v>30</v>
      </c>
      <c r="C18" s="352" t="s">
        <v>47</v>
      </c>
      <c r="D18" s="359">
        <v>24.193548387096774193548387100</v>
      </c>
      <c r="E18" s="170">
        <v>33.773131120258348593220957960</v>
      </c>
      <c r="F18" s="360">
        <v>53.580020947093336587250744840</v>
      </c>
      <c r="G18" s="359">
        <v>0</v>
      </c>
      <c r="H18" s="170">
        <v>1.6360686355834494128203924300</v>
      </c>
      <c r="I18" s="360">
        <v>10.388944815594399194655440650</v>
      </c>
      <c r="J18" s="170">
        <v>2.1505376344086021505376344100</v>
      </c>
      <c r="K18" s="170">
        <v>5.843102269940890760072830100</v>
      </c>
      <c r="L18" s="360">
        <v>0.3847757339109036738761274300</v>
      </c>
      <c r="M18" s="359">
        <v>26.344086021505376344086021510</v>
      </c>
      <c r="N18" s="170">
        <v>41.252302025782688766114180480</v>
      </c>
      <c r="O18" s="360">
        <v>64.353741496598639455782312930</v>
      </c>
      <c r="P18" s="4"/>
      <c r="Q18" s="359">
        <v>164.70588235400000000000423533</v>
      </c>
      <c r="R18" s="170">
        <v>31.492897534723775825662556030</v>
      </c>
      <c r="S18" s="360">
        <v>3.1655918251851189344888515200</v>
      </c>
      <c r="T18" s="359">
        <v>0</v>
      </c>
      <c r="U18" s="170">
        <v>0</v>
      </c>
      <c r="V18" s="360">
        <v>171.39724035146098684225288224</v>
      </c>
      <c r="W18" s="170">
        <v>-19.999999999679999999998719950</v>
      </c>
      <c r="X18" s="170">
        <v>40.801802746054122455195119800</v>
      </c>
      <c r="Y18" s="360">
        <v>-25.617052639750824988945281670</v>
      </c>
      <c r="Z18" s="359">
        <v>122.72727272816363636363992731</v>
      </c>
      <c r="AA18" s="170">
        <v>38.271604938486694101509250910</v>
      </c>
      <c r="AB18" s="360">
        <v>14.343271555242108369624732020</v>
      </c>
      <c r="AD18" s="244"/>
      <c r="AE18" s="244"/>
      <c r="AF18" s="244"/>
      <c r="AG18" s="244"/>
      <c r="AH18" s="244"/>
      <c r="AI18" s="244"/>
      <c r="AJ18" s="244"/>
      <c r="AK18" s="244"/>
      <c r="AL18" s="244"/>
      <c r="AM18" s="244"/>
      <c r="AN18" s="244"/>
      <c r="AO18" s="244"/>
      <c r="AP18" s="244"/>
      <c r="AQ18" s="244"/>
      <c r="AR18" s="244"/>
      <c r="AS18" s="244"/>
      <c r="AT18" s="244"/>
      <c r="AU18" s="244"/>
      <c r="AV18" s="244"/>
      <c r="AW18" s="244"/>
      <c r="AX18" s="244"/>
      <c r="AY18" s="244"/>
      <c r="AZ18" s="244"/>
      <c r="BA18" s="244"/>
      <c r="BB18" s="244"/>
      <c r="BC18" s="244"/>
      <c r="BD18" s="244"/>
      <c r="BE18" s="244"/>
      <c r="BF18" s="244"/>
      <c r="BG18" s="244"/>
    </row>
    <row r="19" ht="15.6" customHeight="1">
      <c r="A19" s="92" t="s">
        <v>145</v>
      </c>
      <c r="B19" s="666">
        <v>1</v>
      </c>
      <c r="C19" s="667" t="s">
        <v>48</v>
      </c>
      <c r="D19" s="668">
        <v>23.655913978494623655913978490</v>
      </c>
      <c r="E19" s="669">
        <v>37.916742047863580908378214140</v>
      </c>
      <c r="F19" s="670">
        <v>60.244951471247299313038883200</v>
      </c>
      <c r="G19" s="668">
        <v>0</v>
      </c>
      <c r="H19" s="669">
        <v>3.2666731610467085090295076800</v>
      </c>
      <c r="I19" s="670">
        <v>5.1334122636271814527187472800</v>
      </c>
      <c r="J19" s="669">
        <v>1.6129032258064516129032258100</v>
      </c>
      <c r="K19" s="669">
        <v>5.1333435387876847999035120700</v>
      </c>
      <c r="L19" s="670">
        <v>0.2905705054883310256255894700</v>
      </c>
      <c r="M19" s="668">
        <v>25.268817204301075268817204300</v>
      </c>
      <c r="N19" s="669">
        <v>46.316758747697974217311233890</v>
      </c>
      <c r="O19" s="670">
        <v>65.668934240362811791383219950</v>
      </c>
      <c r="P19" s="4"/>
      <c r="Q19" s="668">
        <v>91.30434782685217391304653909</v>
      </c>
      <c r="R19" s="669">
        <v>50.978956653580226684657104910</v>
      </c>
      <c r="S19" s="670">
        <v>19.579753426887836533186647900</v>
      </c>
      <c r="T19" s="668">
        <v>0</v>
      </c>
      <c r="U19" s="669">
        <v>0</v>
      </c>
      <c r="V19" s="670">
        <v>40.385519743158296411852240760</v>
      </c>
      <c r="W19" s="669">
        <v>50.000000000600000000002400330</v>
      </c>
      <c r="X19" s="669">
        <v>23.165476276656926095158394600</v>
      </c>
      <c r="Y19" s="670">
        <v>43.034303107157319484873764310</v>
      </c>
      <c r="Z19" s="668">
        <v>87.99999999935328000000222471</v>
      </c>
      <c r="AA19" s="669">
        <v>58.176100628936786519520588820</v>
      </c>
      <c r="AB19" s="670">
        <v>21.070234113693141016319731010</v>
      </c>
      <c r="AD19" s="244"/>
      <c r="AE19" s="244"/>
      <c r="AF19" s="244"/>
      <c r="AG19" s="244"/>
      <c r="AH19" s="244"/>
      <c r="AI19" s="244"/>
      <c r="AJ19" s="244"/>
      <c r="AK19" s="244"/>
      <c r="AL19" s="244"/>
      <c r="AM19" s="244"/>
      <c r="AN19" s="244"/>
      <c r="AO19" s="244"/>
      <c r="AP19" s="244"/>
      <c r="AQ19" s="244"/>
      <c r="AR19" s="244"/>
      <c r="AS19" s="244"/>
      <c r="AT19" s="244"/>
      <c r="AU19" s="244"/>
      <c r="AV19" s="244"/>
      <c r="AW19" s="244"/>
      <c r="AX19" s="244"/>
      <c r="AY19" s="244"/>
      <c r="AZ19" s="244"/>
      <c r="BA19" s="244"/>
      <c r="BB19" s="244"/>
      <c r="BC19" s="244"/>
      <c r="BD19" s="244"/>
      <c r="BE19" s="244"/>
      <c r="BF19" s="244"/>
      <c r="BG19" s="244"/>
    </row>
    <row r="20" ht="15.6" customHeight="1">
      <c r="A20" s="92"/>
      <c r="B20" s="346">
        <v>2</v>
      </c>
      <c r="C20" s="352" t="s">
        <v>50</v>
      </c>
      <c r="D20" s="359">
        <v>24.731182795698924731182795700</v>
      </c>
      <c r="E20" s="170">
        <v>32.185332438340131839383143140</v>
      </c>
      <c r="F20" s="360">
        <v>52.037309769268532155130093270</v>
      </c>
      <c r="G20" s="359">
        <v>0</v>
      </c>
      <c r="H20" s="170">
        <v>1.5848837943122034617878062900</v>
      </c>
      <c r="I20" s="360">
        <v>4.7128129602356406480117820300</v>
      </c>
      <c r="J20" s="170">
        <v>2.1505376344086021505376344100</v>
      </c>
      <c r="K20" s="170">
        <v>5.3642220730566886398971905200</v>
      </c>
      <c r="L20" s="360">
        <v>0.3927344133529700540009818400</v>
      </c>
      <c r="M20" s="359">
        <v>26.881720430107526881720430110</v>
      </c>
      <c r="N20" s="170">
        <v>39.134438305709023941068139960</v>
      </c>
      <c r="O20" s="360">
        <v>57.142857142857142857142857140</v>
      </c>
      <c r="P20" s="4"/>
      <c r="Q20" s="359">
        <v>27.777777777628703703703877630</v>
      </c>
      <c r="R20" s="170">
        <v>52.747251366083500302205707150</v>
      </c>
      <c r="S20" s="360">
        <v>23.566670202646011169135681410</v>
      </c>
      <c r="T20" s="359">
        <v>0</v>
      </c>
      <c r="U20" s="170">
        <v>-37.006223513922385499599156990</v>
      </c>
      <c r="V20" s="360">
        <v>74.910305496964303900117526420</v>
      </c>
      <c r="W20" s="170">
        <v>-19.999999999679999999998719950</v>
      </c>
      <c r="X20" s="170">
        <v>46.200940593191877435012932030</v>
      </c>
      <c r="Y20" s="360">
        <v>-21.290362532792730093903406280</v>
      </c>
      <c r="Z20" s="359">
        <v>21.951219512129684711481296280</v>
      </c>
      <c r="AA20" s="170">
        <v>43.581081081265408144631354230</v>
      </c>
      <c r="AB20" s="360">
        <v>26.126126126069312555799067870</v>
      </c>
      <c r="AD20" s="244"/>
      <c r="AE20" s="244"/>
      <c r="AF20" s="244"/>
      <c r="AG20" s="244"/>
      <c r="AH20" s="244"/>
      <c r="AI20" s="244"/>
      <c r="AJ20" s="244"/>
      <c r="AK20" s="244"/>
      <c r="AL20" s="244"/>
      <c r="AM20" s="244"/>
      <c r="AN20" s="244"/>
      <c r="AO20" s="244"/>
      <c r="AP20" s="244"/>
      <c r="AQ20" s="244"/>
      <c r="AR20" s="244"/>
      <c r="AS20" s="244"/>
      <c r="AT20" s="244"/>
      <c r="AU20" s="244"/>
      <c r="AV20" s="244"/>
      <c r="AW20" s="244"/>
      <c r="AX20" s="244"/>
      <c r="AY20" s="244"/>
      <c r="AZ20" s="244"/>
      <c r="BA20" s="244"/>
      <c r="BB20" s="244"/>
      <c r="BC20" s="244"/>
      <c r="BD20" s="244"/>
      <c r="BE20" s="244"/>
      <c r="BF20" s="244"/>
      <c r="BG20" s="244"/>
    </row>
    <row r="21" ht="15.6" customHeight="1">
      <c r="A21" s="92"/>
      <c r="B21" s="344">
        <v>3</v>
      </c>
      <c r="C21" s="351" t="s">
        <v>51</v>
      </c>
      <c r="D21" s="327">
        <v>23.655913978494623655913978490</v>
      </c>
      <c r="E21" s="171">
        <v>30.732044198895027624309392270</v>
      </c>
      <c r="F21" s="328">
        <v>48.769013458741475641396423020</v>
      </c>
      <c r="G21" s="327">
        <v>0</v>
      </c>
      <c r="H21" s="171">
        <v>5.8701657458563535911602209900</v>
      </c>
      <c r="I21" s="328">
        <v>5.5419333475842585956132298900</v>
      </c>
      <c r="J21" s="171">
        <v>1.075268817204301075268817200</v>
      </c>
      <c r="K21" s="171">
        <v>4.3738489871086556169429097600</v>
      </c>
      <c r="L21" s="328">
        <v>0.2015248490030639489313901800</v>
      </c>
      <c r="M21" s="327">
        <v>24.731182795698924731182795700</v>
      </c>
      <c r="N21" s="171">
        <v>40.976058931860036832412523020</v>
      </c>
      <c r="O21" s="328">
        <v>54.512471655328798185941043080</v>
      </c>
      <c r="P21" s="4"/>
      <c r="Q21" s="327">
        <v>25.714285714120489795918584470</v>
      </c>
      <c r="R21" s="171">
        <v>22.980442176961101277245658520</v>
      </c>
      <c r="S21" s="328">
        <v>4.8489210739514743103292114600</v>
      </c>
      <c r="T21" s="327">
        <v>0</v>
      </c>
      <c r="U21" s="171">
        <v>22.451241134654072591293272370</v>
      </c>
      <c r="V21" s="328">
        <v>97.20800201760298962689677710</v>
      </c>
      <c r="W21" s="171">
        <v>-33.333333333066666666665600270</v>
      </c>
      <c r="X21" s="171">
        <v>29.945286195428938214212992210</v>
      </c>
      <c r="Y21" s="328">
        <v>-30.678399286670666162355379860</v>
      </c>
      <c r="Z21" s="327">
        <v>21.052631578839058171745249270</v>
      </c>
      <c r="AA21" s="171">
        <v>23.611111111179097222222259610</v>
      </c>
      <c r="AB21" s="328">
        <v>9.872029250358113392311149220</v>
      </c>
      <c r="AD21" s="244"/>
      <c r="AE21" s="244"/>
      <c r="AF21" s="244"/>
      <c r="AG21" s="244"/>
      <c r="AH21" s="244"/>
      <c r="AI21" s="244"/>
      <c r="AJ21" s="244"/>
      <c r="AK21" s="244"/>
      <c r="AL21" s="244"/>
      <c r="AM21" s="244"/>
      <c r="AN21" s="244"/>
      <c r="AO21" s="244"/>
      <c r="AP21" s="244"/>
      <c r="AQ21" s="244"/>
      <c r="AR21" s="244"/>
      <c r="AS21" s="244"/>
      <c r="AT21" s="244"/>
      <c r="AU21" s="244"/>
      <c r="AV21" s="244"/>
      <c r="AW21" s="244"/>
      <c r="AX21" s="244"/>
      <c r="AY21" s="244"/>
      <c r="AZ21" s="244"/>
      <c r="BA21" s="244"/>
      <c r="BB21" s="244"/>
      <c r="BC21" s="244"/>
      <c r="BD21" s="244"/>
      <c r="BE21" s="244"/>
      <c r="BF21" s="244"/>
      <c r="BG21" s="244"/>
    </row>
    <row r="22" ht="15.6" customHeight="1">
      <c r="A22" s="92"/>
      <c r="B22" s="346">
        <v>4</v>
      </c>
      <c r="C22" s="352" t="s">
        <v>52</v>
      </c>
      <c r="D22" s="359">
        <v>37.096774193548387096774193550</v>
      </c>
      <c r="E22" s="170">
        <v>42.812785487449427937529908210</v>
      </c>
      <c r="F22" s="360">
        <v>63.306933369374239762130017570</v>
      </c>
      <c r="G22" s="359">
        <v>0</v>
      </c>
      <c r="H22" s="170">
        <v>7.952502138890097301373239950</v>
      </c>
      <c r="I22" s="360">
        <v>7.4312744965535883227463170700</v>
      </c>
      <c r="J22" s="170">
        <v>1.6129032258064516129032258100</v>
      </c>
      <c r="K22" s="170">
        <v>4.5754121894984121459955627100</v>
      </c>
      <c r="L22" s="360">
        <v>0.2822002973374780375726449500</v>
      </c>
      <c r="M22" s="359">
        <v>38.709677419354838709677419350</v>
      </c>
      <c r="N22" s="170">
        <v>55.340699815837937384898710870</v>
      </c>
      <c r="O22" s="360">
        <v>71.020408163265306122448979590</v>
      </c>
      <c r="P22" s="4"/>
      <c r="Q22" s="359">
        <v>-22.471910112373488195934854200</v>
      </c>
      <c r="R22" s="170">
        <v>-17.626571148417116385104024620</v>
      </c>
      <c r="S22" s="360">
        <v>-1.3649510994277881664682418300</v>
      </c>
      <c r="T22" s="359">
        <v>-100</v>
      </c>
      <c r="U22" s="170">
        <v>-17.106022119798387334308507970</v>
      </c>
      <c r="V22" s="360">
        <v>-19.181453687573398954532711950</v>
      </c>
      <c r="W22" s="170">
        <v>50.000000000600000000002400330</v>
      </c>
      <c r="X22" s="170">
        <v>-1.3633924464871362671620584400</v>
      </c>
      <c r="Y22" s="360">
        <v>54.987465425270096334419894640</v>
      </c>
      <c r="Z22" s="359">
        <v>-30.097087378613629936846063550</v>
      </c>
      <c r="AA22" s="170">
        <v>-16.411682892870310526325954480</v>
      </c>
      <c r="AB22" s="360">
        <v>-3.4525277434637129573177276300</v>
      </c>
      <c r="AD22" s="244"/>
      <c r="AE22" s="244"/>
      <c r="AF22" s="244"/>
      <c r="AG22" s="244"/>
      <c r="AH22" s="244"/>
      <c r="AI22" s="244"/>
      <c r="AJ22" s="244"/>
      <c r="AK22" s="244"/>
      <c r="AL22" s="244"/>
      <c r="AM22" s="244"/>
      <c r="AN22" s="244"/>
      <c r="AO22" s="244"/>
      <c r="AP22" s="244"/>
      <c r="AQ22" s="244"/>
      <c r="AR22" s="244"/>
      <c r="AS22" s="244"/>
      <c r="AT22" s="244"/>
      <c r="AU22" s="244"/>
      <c r="AV22" s="244"/>
      <c r="AW22" s="244"/>
      <c r="AX22" s="244"/>
      <c r="AY22" s="244"/>
      <c r="AZ22" s="244"/>
      <c r="BA22" s="244"/>
      <c r="BB22" s="244"/>
      <c r="BC22" s="244"/>
      <c r="BD22" s="244"/>
      <c r="BE22" s="244"/>
      <c r="BF22" s="244"/>
      <c r="BG22" s="244"/>
    </row>
    <row r="23" ht="15.6" customHeight="1">
      <c r="A23" s="92"/>
      <c r="B23" s="344">
        <v>5</v>
      </c>
      <c r="C23" s="351" t="s">
        <v>53</v>
      </c>
      <c r="D23" s="327">
        <v>39.784946236559139784946236560</v>
      </c>
      <c r="E23" s="171">
        <v>50.696676344075580887279223990</v>
      </c>
      <c r="F23" s="328">
        <v>66.173555716702924824752235920</v>
      </c>
      <c r="G23" s="327">
        <v>0</v>
      </c>
      <c r="H23" s="171">
        <v>8.004738370117196982201982740</v>
      </c>
      <c r="I23" s="328">
        <v>7.3837724599145918942873257600</v>
      </c>
      <c r="J23" s="171">
        <v>0.537634408602150537634408600</v>
      </c>
      <c r="K23" s="171">
        <v>4.5582537940945149481983512800</v>
      </c>
      <c r="L23" s="328">
        <v>0.0934654741761340746112319700</v>
      </c>
      <c r="M23" s="327">
        <v>40.322580645161290322580645160</v>
      </c>
      <c r="N23" s="171">
        <v>63.259668508287292817679558010</v>
      </c>
      <c r="O23" s="328">
        <v>73.650793650793650793650793650</v>
      </c>
      <c r="P23" s="4"/>
      <c r="Q23" s="327">
        <v>-29.523809523777306122448964860</v>
      </c>
      <c r="R23" s="171">
        <v>-1.83806925724567804950405300</v>
      </c>
      <c r="S23" s="328">
        <v>-0.0160240367517740412296677800</v>
      </c>
      <c r="T23" s="327">
        <v>-100</v>
      </c>
      <c r="U23" s="171">
        <v>-49.551453550328131288064418970</v>
      </c>
      <c r="V23" s="328">
        <v>-24.156922602640620080856515800</v>
      </c>
      <c r="W23" s="171">
        <v>0.000000000400000000001599600</v>
      </c>
      <c r="X23" s="171">
        <v>-4.4493563159390422793493287600</v>
      </c>
      <c r="Y23" s="328">
        <v>4.6442460271182797918456641600</v>
      </c>
      <c r="Z23" s="327">
        <v>-36.440677966148017810973824330</v>
      </c>
      <c r="AA23" s="171">
        <v>-12.484076433088019473406616630</v>
      </c>
      <c r="AB23" s="328">
        <v>-3.1026252983490125939132227600</v>
      </c>
      <c r="AD23" s="244"/>
      <c r="AE23" s="244"/>
      <c r="AF23" s="244"/>
      <c r="AG23" s="244"/>
      <c r="AH23" s="244"/>
      <c r="AI23" s="244"/>
      <c r="AJ23" s="244"/>
      <c r="AK23" s="244"/>
      <c r="AL23" s="244"/>
      <c r="AM23" s="244"/>
      <c r="AN23" s="244"/>
      <c r="AO23" s="244"/>
      <c r="AP23" s="244"/>
      <c r="AQ23" s="244"/>
      <c r="AR23" s="244"/>
      <c r="AS23" s="244"/>
      <c r="AT23" s="244"/>
      <c r="AU23" s="244"/>
      <c r="AV23" s="244"/>
      <c r="AW23" s="244"/>
      <c r="AX23" s="244"/>
      <c r="AY23" s="244"/>
      <c r="AZ23" s="244"/>
      <c r="BA23" s="244"/>
      <c r="BB23" s="244"/>
      <c r="BC23" s="244"/>
      <c r="BD23" s="244"/>
      <c r="BE23" s="244"/>
      <c r="BF23" s="244"/>
      <c r="BG23" s="244"/>
    </row>
    <row r="24" ht="15.6" customHeight="1">
      <c r="A24" s="92"/>
      <c r="B24" s="346">
        <v>6</v>
      </c>
      <c r="C24" s="352" t="s">
        <v>49</v>
      </c>
      <c r="D24" s="359">
        <v>16.666666666666666666666666670</v>
      </c>
      <c r="E24" s="170">
        <v>26.642111724984653161448741560</v>
      </c>
      <c r="F24" s="360">
        <v>51.262396140444920932725810780</v>
      </c>
      <c r="G24" s="359">
        <v>0</v>
      </c>
      <c r="H24" s="170">
        <v>1.7300072548691333221719962100</v>
      </c>
      <c r="I24" s="360">
        <v>2.2069916146571198836007198400</v>
      </c>
      <c r="J24" s="170">
        <v>0</v>
      </c>
      <c r="K24" s="170">
        <v>5.882024666555053295384787100</v>
      </c>
      <c r="L24" s="360">
        <v>0</v>
      </c>
      <c r="M24" s="359">
        <v>16.666666666666666666666666670</v>
      </c>
      <c r="N24" s="170">
        <v>34.254143646408839779005524860</v>
      </c>
      <c r="O24" s="360">
        <v>53.469387755102040816326530610</v>
      </c>
      <c r="P24" s="4"/>
      <c r="Q24" s="359">
        <v>-20.512820512881656804733680760</v>
      </c>
      <c r="R24" s="170">
        <v>2.0865916932371449820615903800</v>
      </c>
      <c r="S24" s="360">
        <v>5.839453270059103375428563500</v>
      </c>
      <c r="T24" s="359">
        <v>0</v>
      </c>
      <c r="U24" s="170">
        <v>-84.46537500146594772488764752</v>
      </c>
      <c r="V24" s="360">
        <v>-50.343776000993266949248560520</v>
      </c>
      <c r="W24" s="170">
        <v>-100</v>
      </c>
      <c r="X24" s="170">
        <v>8.936557802036629569392450920</v>
      </c>
      <c r="Y24" s="360">
        <v>-100</v>
      </c>
      <c r="Z24" s="359">
        <v>-24.390243902479595478881596300</v>
      </c>
      <c r="AA24" s="170">
        <v>-19.654427645795972365407310970</v>
      </c>
      <c r="AB24" s="360">
        <v>0.6831767720254342599149364200</v>
      </c>
      <c r="AD24" s="244"/>
      <c r="AE24" s="244"/>
      <c r="AF24" s="244"/>
      <c r="AG24" s="244"/>
      <c r="AH24" s="244"/>
      <c r="AI24" s="244"/>
      <c r="AJ24" s="244"/>
      <c r="AK24" s="244"/>
      <c r="AL24" s="244"/>
      <c r="AM24" s="244"/>
      <c r="AN24" s="244"/>
      <c r="AO24" s="244"/>
      <c r="AP24" s="244"/>
      <c r="AQ24" s="244"/>
      <c r="AR24" s="244"/>
      <c r="AS24" s="244"/>
      <c r="AT24" s="244"/>
      <c r="AU24" s="244"/>
      <c r="AV24" s="244"/>
      <c r="AW24" s="244"/>
      <c r="AX24" s="244"/>
      <c r="AY24" s="244"/>
      <c r="AZ24" s="244"/>
      <c r="BA24" s="244"/>
      <c r="BB24" s="244"/>
      <c r="BC24" s="244"/>
      <c r="BD24" s="244"/>
      <c r="BE24" s="244"/>
      <c r="BF24" s="244"/>
      <c r="BG24" s="244"/>
    </row>
    <row r="25" ht="15.6" customHeight="1">
      <c r="A25" s="92"/>
      <c r="B25" s="344">
        <v>7</v>
      </c>
      <c r="C25" s="351" t="s">
        <v>47</v>
      </c>
      <c r="D25" s="327">
        <v>23.655913978494623655913978490</v>
      </c>
      <c r="E25" s="171">
        <v>38.865331491712707182320441990</v>
      </c>
      <c r="F25" s="328">
        <v>68.234956006543750276340805590</v>
      </c>
      <c r="G25" s="327">
        <v>0</v>
      </c>
      <c r="H25" s="171">
        <v>3.1512430939226519337016574600</v>
      </c>
      <c r="I25" s="328">
        <v>3.9192390047941182043848179900</v>
      </c>
      <c r="J25" s="171">
        <v>0</v>
      </c>
      <c r="K25" s="171">
        <v>4.6685082872928176795580110500</v>
      </c>
      <c r="L25" s="328">
        <v>0</v>
      </c>
      <c r="M25" s="327">
        <v>23.655913978494623655913978490</v>
      </c>
      <c r="N25" s="171">
        <v>46.685082872928176795580110500</v>
      </c>
      <c r="O25" s="328">
        <v>72.154195011337868480725623580</v>
      </c>
      <c r="P25" s="4"/>
      <c r="Q25" s="327">
        <v>2.3255813953155219037317577200</v>
      </c>
      <c r="R25" s="171">
        <v>-2.8423644186335460859262270800</v>
      </c>
      <c r="S25" s="328">
        <v>9.416575247952807552759801980</v>
      </c>
      <c r="T25" s="327">
        <v>0</v>
      </c>
      <c r="U25" s="171">
        <v>-72.850255307994848458901012690</v>
      </c>
      <c r="V25" s="328">
        <v>-52.635541926225349231834257120</v>
      </c>
      <c r="W25" s="171">
        <v>-100</v>
      </c>
      <c r="X25" s="171">
        <v>-13.368336025338385822144870450</v>
      </c>
      <c r="Y25" s="328">
        <v>-100</v>
      </c>
      <c r="Z25" s="327">
        <v>-2.2222222222352592592592575400</v>
      </c>
      <c r="AA25" s="171">
        <v>-18.093699515384913391498595610</v>
      </c>
      <c r="AB25" s="328">
        <v>1.8565941100774156052600224700</v>
      </c>
      <c r="AD25" s="244"/>
      <c r="AE25" s="244"/>
      <c r="AF25" s="244"/>
      <c r="AG25" s="244"/>
      <c r="AH25" s="244"/>
      <c r="AI25" s="244"/>
      <c r="AJ25" s="244"/>
      <c r="AK25" s="244"/>
      <c r="AL25" s="244"/>
      <c r="AM25" s="244"/>
      <c r="AN25" s="244"/>
      <c r="AO25" s="244"/>
      <c r="AP25" s="244"/>
      <c r="AQ25" s="244"/>
      <c r="AR25" s="244"/>
      <c r="AS25" s="244"/>
      <c r="AT25" s="244"/>
      <c r="AU25" s="244"/>
      <c r="AV25" s="244"/>
      <c r="AW25" s="244"/>
      <c r="AX25" s="244"/>
      <c r="AY25" s="244"/>
      <c r="AZ25" s="244"/>
      <c r="BA25" s="244"/>
      <c r="BB25" s="244"/>
      <c r="BC25" s="244"/>
      <c r="BD25" s="244"/>
      <c r="BE25" s="244"/>
      <c r="BF25" s="244"/>
      <c r="BG25" s="244"/>
    </row>
    <row r="26" ht="15.6" customHeight="1">
      <c r="A26" s="93"/>
      <c r="B26" s="346">
        <v>8</v>
      </c>
      <c r="C26" s="352" t="s">
        <v>48</v>
      </c>
      <c r="D26" s="359">
        <v>47.311827956989247311827956990</v>
      </c>
      <c r="E26" s="170">
        <v>63.573957058259172263208389850</v>
      </c>
      <c r="F26" s="360">
        <v>77.872559958727759181273920500</v>
      </c>
      <c r="G26" s="359">
        <v>0</v>
      </c>
      <c r="H26" s="170">
        <v>7.989545770337777483706619910</v>
      </c>
      <c r="I26" s="360">
        <v>10.789571560546617235959639590</v>
      </c>
      <c r="J26" s="170">
        <v>0</v>
      </c>
      <c r="K26" s="170">
        <v>4.679591094054983954742448800</v>
      </c>
      <c r="L26" s="360">
        <v>0</v>
      </c>
      <c r="M26" s="359">
        <v>47.311827956989247311827956990</v>
      </c>
      <c r="N26" s="170">
        <v>76.243093922651933701657458560</v>
      </c>
      <c r="O26" s="360">
        <v>88.66213151927437641723356009</v>
      </c>
      <c r="P26" s="4"/>
      <c r="Q26" s="359">
        <v>22.222222222079629629629795990</v>
      </c>
      <c r="R26" s="170">
        <v>22.824826537320374739517261640</v>
      </c>
      <c r="S26" s="360">
        <v>7.6177531352964030424863278300</v>
      </c>
      <c r="T26" s="359">
        <v>0</v>
      </c>
      <c r="U26" s="170">
        <v>-53.976709158402913926915690890</v>
      </c>
      <c r="V26" s="360">
        <v>-5.3158262323322470842181422800</v>
      </c>
      <c r="W26" s="170">
        <v>-100</v>
      </c>
      <c r="X26" s="170">
        <v>-6.5125675695661433199410566800</v>
      </c>
      <c r="Y26" s="360">
        <v>-100</v>
      </c>
      <c r="Z26" s="359">
        <v>18.918918918796785975164478980</v>
      </c>
      <c r="AA26" s="170">
        <v>2.8571428571127027506654924200</v>
      </c>
      <c r="AB26" s="360">
        <v>5.6185845488830755988921849200</v>
      </c>
      <c r="AD26" s="244"/>
      <c r="AE26" s="244"/>
      <c r="AF26" s="244"/>
      <c r="AG26" s="244"/>
      <c r="AH26" s="244"/>
      <c r="AI26" s="244"/>
      <c r="AJ26" s="244"/>
      <c r="AK26" s="244"/>
      <c r="AL26" s="244"/>
      <c r="AM26" s="244"/>
      <c r="AN26" s="244"/>
      <c r="AO26" s="244"/>
      <c r="AP26" s="244"/>
      <c r="AQ26" s="244"/>
      <c r="AR26" s="244"/>
      <c r="AS26" s="244"/>
      <c r="AT26" s="244"/>
      <c r="AU26" s="244"/>
      <c r="AV26" s="244"/>
      <c r="AW26" s="244"/>
      <c r="AX26" s="244"/>
      <c r="AY26" s="244"/>
      <c r="AZ26" s="244"/>
      <c r="BA26" s="244"/>
      <c r="BB26" s="244"/>
      <c r="BC26" s="244"/>
      <c r="BD26" s="244"/>
      <c r="BE26" s="244"/>
      <c r="BF26" s="244"/>
      <c r="BG26" s="244"/>
    </row>
    <row r="27" ht="15.6" customHeight="1">
      <c r="A27" s="93"/>
      <c r="B27" s="344">
        <v>9</v>
      </c>
      <c r="C27" s="351" t="s">
        <v>50</v>
      </c>
      <c r="D27" s="327">
        <v>47.849462365591397849462365590</v>
      </c>
      <c r="E27" s="171">
        <v>60.362318840579710144927536230</v>
      </c>
      <c r="F27" s="328">
        <v>75.865648650458777041055522070</v>
      </c>
      <c r="G27" s="327">
        <v>0</v>
      </c>
      <c r="H27" s="171">
        <v>11.894600581845357247711319290</v>
      </c>
      <c r="I27" s="328">
        <v>13.476754977659136791144024420</v>
      </c>
      <c r="J27" s="171">
        <v>0</v>
      </c>
      <c r="K27" s="171">
        <v>4.446579656764619531854698800</v>
      </c>
      <c r="L27" s="328">
        <v>0</v>
      </c>
      <c r="M27" s="327">
        <v>47.849462365591397849462365590</v>
      </c>
      <c r="N27" s="171">
        <v>76.703499079189686924493554330</v>
      </c>
      <c r="O27" s="328">
        <v>89.34240362811791383219954649</v>
      </c>
      <c r="P27" s="4"/>
      <c r="Q27" s="327">
        <v>-4.3010752688172043010752688200</v>
      </c>
      <c r="R27" s="171">
        <v>25.721158029803235370807101930</v>
      </c>
      <c r="S27" s="328">
        <v>10.700194397002411410665574480</v>
      </c>
      <c r="T27" s="327">
        <v>0</v>
      </c>
      <c r="U27" s="171">
        <v>-51.520270410483500735291825080</v>
      </c>
      <c r="V27" s="328">
        <v>-17.817237651052580351311837470</v>
      </c>
      <c r="W27" s="171">
        <v>-100</v>
      </c>
      <c r="X27" s="171">
        <v>-12.404226910383910634436973180</v>
      </c>
      <c r="Y27" s="328">
        <v>-100</v>
      </c>
      <c r="Z27" s="327">
        <v>-7.2916666666550781249999985500</v>
      </c>
      <c r="AA27" s="171">
        <v>-1.1862396204476294204311634600</v>
      </c>
      <c r="AB27" s="328">
        <v>4.84300159663550188195289700</v>
      </c>
      <c r="AD27" s="244"/>
      <c r="AE27" s="244"/>
      <c r="AF27" s="244"/>
      <c r="AG27" s="244"/>
      <c r="AH27" s="244"/>
      <c r="AI27" s="244"/>
      <c r="AJ27" s="244"/>
      <c r="AK27" s="244"/>
      <c r="AL27" s="244"/>
      <c r="AM27" s="244"/>
      <c r="AN27" s="244"/>
      <c r="AO27" s="244"/>
      <c r="AP27" s="244"/>
      <c r="AQ27" s="244"/>
      <c r="AR27" s="244"/>
      <c r="AS27" s="244"/>
      <c r="AT27" s="244"/>
      <c r="AU27" s="244"/>
      <c r="AV27" s="244"/>
      <c r="AW27" s="244"/>
      <c r="AX27" s="244"/>
      <c r="AY27" s="244"/>
      <c r="AZ27" s="244"/>
      <c r="BA27" s="244"/>
      <c r="BB27" s="244"/>
      <c r="BC27" s="244"/>
      <c r="BD27" s="244"/>
      <c r="BE27" s="244"/>
      <c r="BF27" s="244"/>
      <c r="BG27" s="244"/>
    </row>
    <row r="28" ht="15.6" customHeight="1">
      <c r="A28" s="92"/>
      <c r="B28" s="346">
        <v>10</v>
      </c>
      <c r="C28" s="352" t="s">
        <v>51</v>
      </c>
      <c r="D28" s="359">
        <v>36.559139784946236559139784950</v>
      </c>
      <c r="E28" s="170">
        <v>42.500953992666699849020291010</v>
      </c>
      <c r="F28" s="360">
        <v>67.881872749099639855942376950</v>
      </c>
      <c r="G28" s="359">
        <v>0</v>
      </c>
      <c r="H28" s="170">
        <v>17.023542879896471056692051170</v>
      </c>
      <c r="I28" s="360">
        <v>13.614725890356142456982793120</v>
      </c>
      <c r="J28" s="170">
        <v>0</v>
      </c>
      <c r="K28" s="170">
        <v>4.7480629801071790022066265200</v>
      </c>
      <c r="L28" s="360">
        <v>0</v>
      </c>
      <c r="M28" s="359">
        <v>36.559139784946236559139784950</v>
      </c>
      <c r="N28" s="170">
        <v>64.272559852670349907918968690</v>
      </c>
      <c r="O28" s="360">
        <v>81.49659863945578231292517007</v>
      </c>
      <c r="P28" s="4"/>
      <c r="Q28" s="359">
        <v>-10.526315789553739612188294010</v>
      </c>
      <c r="R28" s="170">
        <v>-3.4094760898522044684365948100</v>
      </c>
      <c r="S28" s="360">
        <v>7.2684265877420578977779324900</v>
      </c>
      <c r="T28" s="359">
        <v>-100</v>
      </c>
      <c r="U28" s="170">
        <v>-45.809560471588404797621433750</v>
      </c>
      <c r="V28" s="360">
        <v>-31.051826370119988944353930730</v>
      </c>
      <c r="W28" s="170">
        <v>-100</v>
      </c>
      <c r="X28" s="170">
        <v>-4.4902327192959609244866472400</v>
      </c>
      <c r="Y28" s="360">
        <v>-100</v>
      </c>
      <c r="Z28" s="359">
        <v>-25.274725274731843980195627960</v>
      </c>
      <c r="AA28" s="170">
        <v>-20.045819014899422538704076810</v>
      </c>
      <c r="AB28" s="360">
        <v>-2.1774632553405824566040766700</v>
      </c>
      <c r="AD28" s="244"/>
      <c r="AE28" s="244"/>
      <c r="AF28" s="244"/>
      <c r="AG28" s="244"/>
      <c r="AH28" s="244"/>
      <c r="AI28" s="244"/>
      <c r="AJ28" s="244"/>
      <c r="AK28" s="244"/>
      <c r="AL28" s="244"/>
      <c r="AM28" s="244"/>
      <c r="AN28" s="244"/>
      <c r="AO28" s="244"/>
      <c r="AP28" s="244"/>
      <c r="AQ28" s="244"/>
      <c r="AR28" s="244"/>
      <c r="AS28" s="244"/>
      <c r="AT28" s="244"/>
      <c r="AU28" s="244"/>
      <c r="AV28" s="244"/>
      <c r="AW28" s="244"/>
      <c r="AX28" s="244"/>
      <c r="AY28" s="244"/>
      <c r="AZ28" s="244"/>
      <c r="BA28" s="244"/>
      <c r="BB28" s="244"/>
      <c r="BC28" s="244"/>
      <c r="BD28" s="244"/>
      <c r="BE28" s="244"/>
      <c r="BF28" s="244"/>
      <c r="BG28" s="244"/>
    </row>
    <row r="29" ht="15.6" customHeight="1">
      <c r="A29" s="92"/>
      <c r="B29" s="344">
        <v>11</v>
      </c>
      <c r="C29" s="351" t="s">
        <v>52</v>
      </c>
      <c r="D29" s="327">
        <v>44.086021505376344086021505380</v>
      </c>
      <c r="E29" s="171">
        <v>46.334400440612037658560093630</v>
      </c>
      <c r="F29" s="328">
        <v>64.657673238787040239824743460</v>
      </c>
      <c r="G29" s="327">
        <v>0</v>
      </c>
      <c r="H29" s="171">
        <v>20.347326207810536823806819160</v>
      </c>
      <c r="I29" s="328">
        <v>13.125331488527614435604750380</v>
      </c>
      <c r="J29" s="171">
        <v>1.075268817204301075268817200</v>
      </c>
      <c r="K29" s="171">
        <v>4.3127484896989724789590540600</v>
      </c>
      <c r="L29" s="328">
        <v>0.1761789461547330796725469800</v>
      </c>
      <c r="M29" s="327">
        <v>45.161290322580645161290322580</v>
      </c>
      <c r="N29" s="171">
        <v>70.994475138121546961325966850</v>
      </c>
      <c r="O29" s="328">
        <v>77.959183673469387755102040820</v>
      </c>
      <c r="P29" s="4"/>
      <c r="Q29" s="327">
        <v>17.142857142703183673469590110</v>
      </c>
      <c r="R29" s="171">
        <v>25.419949684896260398277413180</v>
      </c>
      <c r="S29" s="328">
        <v>1.395074308827729972499329200</v>
      </c>
      <c r="T29" s="327">
        <v>-100</v>
      </c>
      <c r="U29" s="171">
        <v>-34.091167888643258626997807890</v>
      </c>
      <c r="V29" s="328">
        <v>0.8900691369995190046323828900</v>
      </c>
      <c r="W29" s="171">
        <v>-33.333333333066666666665600270</v>
      </c>
      <c r="X29" s="171">
        <v>-10.831020386578583102515301130</v>
      </c>
      <c r="Y29" s="328">
        <v>-44.928015947547488270099101170</v>
      </c>
      <c r="Z29" s="327">
        <v>-6.6666666666791111111111094500</v>
      </c>
      <c r="AA29" s="171">
        <v>-2.2813688213499949399297038100</v>
      </c>
      <c r="AB29" s="328">
        <v>1.117647058868437543252615100</v>
      </c>
      <c r="AD29" s="244"/>
      <c r="AE29" s="244"/>
      <c r="AF29" s="244"/>
      <c r="AG29" s="244"/>
      <c r="AH29" s="244"/>
      <c r="AI29" s="244"/>
      <c r="AJ29" s="244"/>
      <c r="AK29" s="244"/>
      <c r="AL29" s="244"/>
      <c r="AM29" s="244"/>
      <c r="AN29" s="244"/>
      <c r="AO29" s="244"/>
      <c r="AP29" s="244"/>
      <c r="AQ29" s="244"/>
      <c r="AR29" s="244"/>
      <c r="AS29" s="244"/>
      <c r="AT29" s="244"/>
      <c r="AU29" s="244"/>
      <c r="AV29" s="244"/>
      <c r="AW29" s="244"/>
      <c r="AX29" s="244"/>
      <c r="AY29" s="244"/>
      <c r="AZ29" s="244"/>
      <c r="BA29" s="244"/>
      <c r="BB29" s="244"/>
      <c r="BC29" s="244"/>
      <c r="BD29" s="244"/>
      <c r="BE29" s="244"/>
      <c r="BF29" s="244"/>
      <c r="BG29" s="244"/>
    </row>
    <row r="30" ht="15.6" customHeight="1">
      <c r="A30" s="92"/>
      <c r="B30" s="346">
        <v>12</v>
      </c>
      <c r="C30" s="352" t="s">
        <v>53</v>
      </c>
      <c r="D30" s="359">
        <v>55.913978494623655913978494620</v>
      </c>
      <c r="E30" s="170">
        <v>49.410105893186003683241252300</v>
      </c>
      <c r="F30" s="360">
        <v>63.926488424827295259188946900</v>
      </c>
      <c r="G30" s="359">
        <v>0</v>
      </c>
      <c r="H30" s="170">
        <v>17.836383517495395948434622470</v>
      </c>
      <c r="I30" s="360">
        <v>12.041554606338659494805674210</v>
      </c>
      <c r="J30" s="170">
        <v>1.075268817204301075268817200</v>
      </c>
      <c r="K30" s="170">
        <v>3.6559046961325966850828729300</v>
      </c>
      <c r="L30" s="360">
        <v>0.1770816853873332278647893300</v>
      </c>
      <c r="M30" s="359">
        <v>56.989247311827956989247311830</v>
      </c>
      <c r="N30" s="170">
        <v>70.902394106813996316758747700</v>
      </c>
      <c r="O30" s="360">
        <v>76.145124716553287981859410430</v>
      </c>
      <c r="P30" s="4"/>
      <c r="Q30" s="359">
        <v>60.000000000182153846154053520</v>
      </c>
      <c r="R30" s="170">
        <v>21.479418429047188809150335800</v>
      </c>
      <c r="S30" s="360">
        <v>8.783085101746788939183378120</v>
      </c>
      <c r="T30" s="359">
        <v>-100</v>
      </c>
      <c r="U30" s="170">
        <v>14.851617572676337372981606990</v>
      </c>
      <c r="V30" s="360">
        <v>-1.3279700273752578843108482400</v>
      </c>
      <c r="W30" s="170">
        <v>0.000000000400000000001599600</v>
      </c>
      <c r="X30" s="170">
        <v>-23.099351711514770023089296910</v>
      </c>
      <c r="Y30" s="360">
        <v>-5.6811478264681836688120230300</v>
      </c>
      <c r="Z30" s="359">
        <v>24.705882352894228373702439820</v>
      </c>
      <c r="AA30" s="170">
        <v>16.314199395767581529923969370</v>
      </c>
      <c r="AB30" s="360">
        <v>7.010834926756059991201444900</v>
      </c>
      <c r="AD30" s="244"/>
      <c r="AE30" s="244"/>
      <c r="AF30" s="244"/>
      <c r="AG30" s="244"/>
      <c r="AH30" s="244"/>
      <c r="AI30" s="244"/>
      <c r="AJ30" s="244"/>
      <c r="AK30" s="244"/>
      <c r="AL30" s="244"/>
      <c r="AM30" s="244"/>
      <c r="AN30" s="244"/>
      <c r="AO30" s="244"/>
      <c r="AP30" s="244"/>
      <c r="AQ30" s="244"/>
      <c r="AR30" s="244"/>
      <c r="AS30" s="244"/>
      <c r="AT30" s="244"/>
      <c r="AU30" s="244"/>
      <c r="AV30" s="244"/>
      <c r="AW30" s="244"/>
      <c r="AX30" s="244"/>
      <c r="AY30" s="244"/>
      <c r="AZ30" s="244"/>
      <c r="BA30" s="244"/>
      <c r="BB30" s="244"/>
      <c r="BC30" s="244"/>
      <c r="BD30" s="244"/>
      <c r="BE30" s="244"/>
      <c r="BF30" s="244"/>
      <c r="BG30" s="244"/>
    </row>
    <row r="31" ht="15.6" customHeight="1">
      <c r="A31" s="92"/>
      <c r="B31" s="344">
        <v>13</v>
      </c>
      <c r="C31" s="351" t="s">
        <v>49</v>
      </c>
      <c r="D31" s="327">
        <v>29.569892473118279569892473120</v>
      </c>
      <c r="E31" s="171">
        <v>29.336279926335174953959484340</v>
      </c>
      <c r="F31" s="328">
        <v>47.749260706071337300573180970</v>
      </c>
      <c r="G31" s="327">
        <v>0</v>
      </c>
      <c r="H31" s="171">
        <v>6.2703499079189686924493554300</v>
      </c>
      <c r="I31" s="328">
        <v>5.884252329435053687545381900</v>
      </c>
      <c r="J31" s="171">
        <v>1.6129032258064516129032258100</v>
      </c>
      <c r="K31" s="171">
        <v>6.3823204419889502762430939200</v>
      </c>
      <c r="L31" s="328">
        <v>0.2893894588246747715186253400</v>
      </c>
      <c r="M31" s="327">
        <v>31.182795698924731182795698920</v>
      </c>
      <c r="N31" s="171">
        <v>41.988950276243093922651933700</v>
      </c>
      <c r="O31" s="328">
        <v>53.922902494331065759637188210</v>
      </c>
      <c r="P31" s="4"/>
      <c r="Q31" s="327">
        <v>48.648648648495982468955598730</v>
      </c>
      <c r="R31" s="171">
        <v>14.676028559140083310615695680</v>
      </c>
      <c r="S31" s="328">
        <v>4.843850766790085164920959500</v>
      </c>
      <c r="T31" s="327">
        <v>-100</v>
      </c>
      <c r="U31" s="171">
        <v>-6.7842784276328181729059266500</v>
      </c>
      <c r="V31" s="328">
        <v>32.934001222492234911258163820</v>
      </c>
      <c r="W31" s="171">
        <v>200.00000000120000000000480066</v>
      </c>
      <c r="X31" s="171">
        <v>30.460396039897819208901749980</v>
      </c>
      <c r="Y31" s="328">
        <v>194.19819929389959014941881657</v>
      </c>
      <c r="Z31" s="327">
        <v>41.463414634070434265318303650</v>
      </c>
      <c r="AA31" s="171">
        <v>12.871287128562562493873349850</v>
      </c>
      <c r="AB31" s="328">
        <v>7.6992753622851845561594308100</v>
      </c>
      <c r="AD31" s="244"/>
      <c r="AE31" s="244"/>
      <c r="AF31" s="244"/>
      <c r="AG31" s="244"/>
      <c r="AH31" s="244"/>
      <c r="AI31" s="244"/>
      <c r="AJ31" s="244"/>
      <c r="AK31" s="244"/>
      <c r="AL31" s="244"/>
      <c r="AM31" s="244"/>
      <c r="AN31" s="244"/>
      <c r="AO31" s="244"/>
      <c r="AP31" s="244"/>
      <c r="AQ31" s="244"/>
      <c r="AR31" s="244"/>
      <c r="AS31" s="244"/>
      <c r="AT31" s="244"/>
      <c r="AU31" s="244"/>
      <c r="AV31" s="244"/>
      <c r="AW31" s="244"/>
      <c r="AX31" s="244"/>
      <c r="AY31" s="244"/>
      <c r="AZ31" s="244"/>
      <c r="BA31" s="244"/>
      <c r="BB31" s="244"/>
      <c r="BC31" s="244"/>
      <c r="BD31" s="244"/>
      <c r="BE31" s="244"/>
      <c r="BF31" s="244"/>
      <c r="BG31" s="244"/>
    </row>
    <row r="32" ht="15.6" customHeight="1">
      <c r="A32" s="92"/>
      <c r="B32" s="346">
        <v>14</v>
      </c>
      <c r="C32" s="352" t="s">
        <v>47</v>
      </c>
      <c r="D32" s="359">
        <v>27.419354838709677419354838710</v>
      </c>
      <c r="E32" s="170">
        <v>38.801216894071202547744777830</v>
      </c>
      <c r="F32" s="360">
        <v>70.206241226649389914696037150</v>
      </c>
      <c r="G32" s="359">
        <v>0</v>
      </c>
      <c r="H32" s="170">
        <v>3.4787297905029354008322904300</v>
      </c>
      <c r="I32" s="360">
        <v>6.9554170874699085983599789100</v>
      </c>
      <c r="J32" s="170">
        <v>2.1505376344086021505376344100</v>
      </c>
      <c r="K32" s="170">
        <v>6.1546757831975010937802061400</v>
      </c>
      <c r="L32" s="360">
        <v>0.4347135679668692873974986800</v>
      </c>
      <c r="M32" s="359">
        <v>29.569892473118279569892473120</v>
      </c>
      <c r="N32" s="170">
        <v>48.434622467771639042357274400</v>
      </c>
      <c r="O32" s="360">
        <v>77.596371882086167800453514740</v>
      </c>
      <c r="P32" s="4"/>
      <c r="Q32" s="359">
        <v>-7.2727272726699504132231050600</v>
      </c>
      <c r="R32" s="170">
        <v>0.7046935768030794315430845900</v>
      </c>
      <c r="S32" s="360">
        <v>12.063375027668905134418266740</v>
      </c>
      <c r="T32" s="359">
        <v>0</v>
      </c>
      <c r="U32" s="170">
        <v>-34.851757394582579018038023710</v>
      </c>
      <c r="V32" s="360">
        <v>124.06366906700200551924940756</v>
      </c>
      <c r="W32" s="170">
        <v>100.00000000080000000000320013</v>
      </c>
      <c r="X32" s="170">
        <v>22.466167590994806786342652180</v>
      </c>
      <c r="Y32" s="360">
        <v>131.06565869184956860114878061</v>
      </c>
      <c r="Z32" s="359">
        <v>-3.5087719297534626038780639500</v>
      </c>
      <c r="AA32" s="170">
        <v>-0.9416195856683541340823694400</v>
      </c>
      <c r="AB32" s="360">
        <v>17.675378266850473436651536630</v>
      </c>
      <c r="AD32" s="244"/>
      <c r="AE32" s="244"/>
      <c r="AF32" s="244"/>
      <c r="AG32" s="244"/>
      <c r="AH32" s="244"/>
      <c r="AI32" s="244"/>
      <c r="AJ32" s="244"/>
      <c r="AK32" s="244"/>
      <c r="AL32" s="244"/>
      <c r="AM32" s="244"/>
      <c r="AN32" s="244"/>
      <c r="AO32" s="244"/>
      <c r="AP32" s="244"/>
      <c r="AQ32" s="244"/>
      <c r="AR32" s="244"/>
      <c r="AS32" s="244"/>
      <c r="AT32" s="244"/>
      <c r="AU32" s="244"/>
      <c r="AV32" s="244"/>
      <c r="AW32" s="244"/>
      <c r="AX32" s="244"/>
      <c r="AY32" s="244"/>
      <c r="AZ32" s="244"/>
      <c r="BA32" s="244"/>
      <c r="BB32" s="244"/>
      <c r="BC32" s="244"/>
      <c r="BD32" s="244"/>
      <c r="BE32" s="244"/>
      <c r="BF32" s="244"/>
      <c r="BG32" s="244"/>
    </row>
    <row r="33" ht="15.6" customHeight="1">
      <c r="A33" s="92"/>
      <c r="B33" s="344">
        <v>15</v>
      </c>
      <c r="C33" s="351" t="s">
        <v>48</v>
      </c>
      <c r="D33" s="327">
        <v>37.096774193548387096774193550</v>
      </c>
      <c r="E33" s="171">
        <v>54.009766450422770698180898350</v>
      </c>
      <c r="F33" s="328">
        <v>75.082143725469764857073390990</v>
      </c>
      <c r="G33" s="327">
        <v>0</v>
      </c>
      <c r="H33" s="171">
        <v>8.084622005052888753158055470</v>
      </c>
      <c r="I33" s="328">
        <v>11.390464281992884681224787510</v>
      </c>
      <c r="J33" s="171">
        <v>1.6129032258064516129032258100</v>
      </c>
      <c r="K33" s="171">
        <v>4.9406023364212097935965894500</v>
      </c>
      <c r="L33" s="328">
        <v>0.2847616070498221170306196900</v>
      </c>
      <c r="M33" s="327">
        <v>38.709677419354838709677419350</v>
      </c>
      <c r="N33" s="171">
        <v>67.034990791896869244935543280</v>
      </c>
      <c r="O33" s="328">
        <v>86.75736961451247165532879819</v>
      </c>
      <c r="P33" s="4"/>
      <c r="Q33" s="327">
        <v>23.214285714369323979591893480</v>
      </c>
      <c r="R33" s="171">
        <v>27.034065000802251257123813490</v>
      </c>
      <c r="S33" s="328">
        <v>7.1814699225478450563283603900</v>
      </c>
      <c r="T33" s="327">
        <v>0</v>
      </c>
      <c r="U33" s="171">
        <v>58.462451143457971966897003650</v>
      </c>
      <c r="V33" s="328">
        <v>74.052279284514986075064022780</v>
      </c>
      <c r="W33" s="171">
        <v>50.000000000600000000002400330</v>
      </c>
      <c r="X33" s="171">
        <v>-8.858198033979363441210794900</v>
      </c>
      <c r="Y33" s="328">
        <v>54.471397850844625389868663120</v>
      </c>
      <c r="Z33" s="327">
        <v>24.137931034581212841855012670</v>
      </c>
      <c r="AA33" s="171">
        <v>26.388888889006061921296404930</v>
      </c>
      <c r="AB33" s="328">
        <v>12.99468399287361373697820300</v>
      </c>
      <c r="AD33" s="244"/>
      <c r="AE33" s="244"/>
      <c r="AF33" s="244"/>
      <c r="AG33" s="244"/>
      <c r="AH33" s="244"/>
      <c r="AI33" s="244"/>
      <c r="AJ33" s="244"/>
      <c r="AK33" s="244"/>
      <c r="AL33" s="244"/>
      <c r="AM33" s="244"/>
      <c r="AN33" s="244"/>
      <c r="AO33" s="244"/>
      <c r="AP33" s="244"/>
      <c r="AQ33" s="244"/>
      <c r="AR33" s="244"/>
      <c r="AS33" s="244"/>
      <c r="AT33" s="244"/>
      <c r="AU33" s="244"/>
      <c r="AV33" s="244"/>
      <c r="AW33" s="244"/>
      <c r="AX33" s="244"/>
      <c r="AY33" s="244"/>
      <c r="AZ33" s="244"/>
      <c r="BA33" s="244"/>
      <c r="BB33" s="244"/>
      <c r="BC33" s="244"/>
      <c r="BD33" s="244"/>
      <c r="BE33" s="244"/>
      <c r="BF33" s="244"/>
      <c r="BG33" s="244"/>
    </row>
    <row r="34" ht="15.6" customHeight="1">
      <c r="A34" s="92"/>
      <c r="B34" s="346">
        <v>16</v>
      </c>
      <c r="C34" s="352" t="s">
        <v>50</v>
      </c>
      <c r="D34" s="359">
        <v>41.397849462365591397849462370</v>
      </c>
      <c r="E34" s="170">
        <v>44.977747084100675260896255370</v>
      </c>
      <c r="F34" s="360">
        <v>70.264550264550264550264550260</v>
      </c>
      <c r="G34" s="359">
        <v>0</v>
      </c>
      <c r="H34" s="170">
        <v>6.7635709900903271069016925400</v>
      </c>
      <c r="I34" s="360">
        <v>8.502758077226162332545311270</v>
      </c>
      <c r="J34" s="170">
        <v>1.6129032258064516129032258100</v>
      </c>
      <c r="K34" s="170">
        <v>5.072678242567745330176269400</v>
      </c>
      <c r="L34" s="360">
        <v>0.2803107058426207362377575100</v>
      </c>
      <c r="M34" s="359">
        <v>43.010752688172043010752688170</v>
      </c>
      <c r="N34" s="170">
        <v>56.813996316758747697974217310</v>
      </c>
      <c r="O34" s="360">
        <v>79.047619047619047619047619050</v>
      </c>
      <c r="P34" s="4"/>
      <c r="Q34" s="359">
        <v>42.592592592671810699588521390</v>
      </c>
      <c r="R34" s="170">
        <v>-4.425366810587649416562270400</v>
      </c>
      <c r="S34" s="360">
        <v>3.442080485777192492825210500</v>
      </c>
      <c r="T34" s="359">
        <v>0</v>
      </c>
      <c r="U34" s="170">
        <v>305.11428166485473173713851900</v>
      </c>
      <c r="V34" s="360">
        <v>15.631257822278697538973349060</v>
      </c>
      <c r="W34" s="170">
        <v>0.0000000004000000000016002200</v>
      </c>
      <c r="X34" s="170">
        <v>-4.6789925509012815696071378700</v>
      </c>
      <c r="Y34" s="360">
        <v>1.6538530149072790592187045900</v>
      </c>
      <c r="Z34" s="359">
        <v>40.350877193085872576177361510</v>
      </c>
      <c r="AA34" s="170">
        <v>5.1107325383931665355850725800</v>
      </c>
      <c r="AB34" s="360">
        <v>4.62184873943425605536335800</v>
      </c>
      <c r="AD34" s="244"/>
      <c r="AE34" s="244"/>
      <c r="AF34" s="244"/>
      <c r="AG34" s="244"/>
      <c r="AH34" s="244"/>
      <c r="AI34" s="244"/>
      <c r="AJ34" s="244"/>
      <c r="AK34" s="244"/>
      <c r="AL34" s="244"/>
      <c r="AM34" s="244"/>
      <c r="AN34" s="244"/>
      <c r="AO34" s="244"/>
      <c r="AP34" s="244"/>
      <c r="AQ34" s="244"/>
      <c r="AR34" s="244"/>
      <c r="AS34" s="244"/>
      <c r="AT34" s="244"/>
      <c r="AU34" s="244"/>
      <c r="AV34" s="244"/>
      <c r="AW34" s="244"/>
      <c r="AX34" s="244"/>
      <c r="AY34" s="244"/>
      <c r="AZ34" s="244"/>
      <c r="BA34" s="244"/>
      <c r="BB34" s="244"/>
      <c r="BC34" s="244"/>
      <c r="BD34" s="244"/>
      <c r="BE34" s="244"/>
      <c r="BF34" s="244"/>
      <c r="BG34" s="244"/>
    </row>
    <row r="35" ht="15.6" customHeight="1">
      <c r="A35" s="92"/>
      <c r="B35" s="344">
        <v>17</v>
      </c>
      <c r="C35" s="351" t="s">
        <v>51</v>
      </c>
      <c r="D35" s="327">
        <v>33.333333333333333333333333330</v>
      </c>
      <c r="E35" s="171">
        <v>37.879626656628173474019862930</v>
      </c>
      <c r="F35" s="328">
        <v>63.858391841585118896043265790</v>
      </c>
      <c r="G35" s="327">
        <v>1.075268817204301075268817200</v>
      </c>
      <c r="H35" s="171">
        <v>11.967766103108611329472942200</v>
      </c>
      <c r="I35" s="328">
        <v>8.102877514642220524573465750</v>
      </c>
      <c r="J35" s="171">
        <v>1.075268817204301075268817200</v>
      </c>
      <c r="K35" s="171">
        <v>4.9408208682558487140025908200</v>
      </c>
      <c r="L35" s="328">
        <v>0.1929256551105290601088920400</v>
      </c>
      <c r="M35" s="327">
        <v>35.483870967741935483870967740</v>
      </c>
      <c r="N35" s="171">
        <v>54.788213627992633517495395950</v>
      </c>
      <c r="O35" s="328">
        <v>72.154195011337868480725623580</v>
      </c>
      <c r="P35" s="4"/>
      <c r="Q35" s="327">
        <v>29.166666666682812500000002010</v>
      </c>
      <c r="R35" s="171">
        <v>-6.7962338984222371122181099300</v>
      </c>
      <c r="S35" s="328">
        <v>2.7862222070216185408335810600</v>
      </c>
      <c r="T35" s="327">
        <v>0</v>
      </c>
      <c r="U35" s="171">
        <v>46.489441514460592364510415630</v>
      </c>
      <c r="V35" s="328">
        <v>36.524064170159388757624013060</v>
      </c>
      <c r="W35" s="171">
        <v>0.000000000400000000001599600</v>
      </c>
      <c r="X35" s="171">
        <v>-0.4644563098314593318627071400</v>
      </c>
      <c r="Y35" s="328">
        <v>0.7677616646837348787209198200</v>
      </c>
      <c r="Z35" s="327">
        <v>32.000000000036960000000010340</v>
      </c>
      <c r="AA35" s="171">
        <v>1.8835616438537600863201383400</v>
      </c>
      <c r="AB35" s="328">
        <v>5.7142857142365448504983617400</v>
      </c>
      <c r="AD35" s="244"/>
      <c r="AE35" s="244"/>
      <c r="AF35" s="244"/>
      <c r="AG35" s="244"/>
      <c r="AH35" s="244"/>
      <c r="AI35" s="244"/>
      <c r="AJ35" s="244"/>
      <c r="AK35" s="244"/>
      <c r="AL35" s="244"/>
      <c r="AM35" s="244"/>
      <c r="AN35" s="244"/>
      <c r="AO35" s="244"/>
      <c r="AP35" s="244"/>
      <c r="AQ35" s="244"/>
      <c r="AR35" s="244"/>
      <c r="AS35" s="244"/>
      <c r="AT35" s="244"/>
      <c r="AU35" s="244"/>
      <c r="AV35" s="244"/>
      <c r="AW35" s="244"/>
      <c r="AX35" s="244"/>
      <c r="AY35" s="244"/>
      <c r="AZ35" s="244"/>
      <c r="BA35" s="244"/>
      <c r="BB35" s="244"/>
      <c r="BC35" s="244"/>
      <c r="BD35" s="244"/>
      <c r="BE35" s="244"/>
      <c r="BF35" s="244"/>
      <c r="BG35" s="244"/>
    </row>
    <row r="36" ht="15.6" customHeight="1">
      <c r="A36" s="92"/>
      <c r="B36" s="346">
        <v>18</v>
      </c>
      <c r="C36" s="352" t="s">
        <v>52</v>
      </c>
      <c r="D36" s="359">
        <v>50.537634408602150537634408600</v>
      </c>
      <c r="E36" s="170">
        <v>44.190974078694627616388443340</v>
      </c>
      <c r="F36" s="360">
        <v>69.194144135463439388975609130</v>
      </c>
      <c r="G36" s="359">
        <v>1.075268817204301075268817200</v>
      </c>
      <c r="H36" s="170">
        <v>23.805256869772998805256869780</v>
      </c>
      <c r="I36" s="360">
        <v>7.4214539451285707861992766900</v>
      </c>
      <c r="J36" s="170">
        <v>2.1505376344086021505376344100</v>
      </c>
      <c r="K36" s="170">
        <v>5.3923510036502372984283517200</v>
      </c>
      <c r="L36" s="360">
        <v>0.4365561144193276933058398100</v>
      </c>
      <c r="M36" s="359">
        <v>53.763440860215053763440860220</v>
      </c>
      <c r="N36" s="170">
        <v>73.388581952117863720073664830</v>
      </c>
      <c r="O36" s="360">
        <v>77.052154195011337868480725620</v>
      </c>
      <c r="P36" s="4"/>
      <c r="Q36" s="359">
        <v>754.54545454887272727274094542</v>
      </c>
      <c r="R36" s="170">
        <v>-9.409816782406931070099229160</v>
      </c>
      <c r="S36" s="360">
        <v>26.961249637767048147429400710</v>
      </c>
      <c r="T36" s="359">
        <v>0</v>
      </c>
      <c r="U36" s="170">
        <v>91.89179649360175050402546604</v>
      </c>
      <c r="V36" s="360">
        <v>-34.613506318830913364592078180</v>
      </c>
      <c r="W36" s="170">
        <v>0</v>
      </c>
      <c r="X36" s="170">
        <v>-3.2239641989393067576142047100</v>
      </c>
      <c r="Y36" s="360">
        <v>0</v>
      </c>
      <c r="Z36" s="359">
        <v>809.0909090945454545454690910</v>
      </c>
      <c r="AA36" s="170">
        <v>9.931034482716164565992882040</v>
      </c>
      <c r="AB36" s="360">
        <v>17.011019283665567441886994560</v>
      </c>
      <c r="AD36" s="244"/>
      <c r="AE36" s="244"/>
      <c r="AF36" s="244"/>
      <c r="AG36" s="244"/>
      <c r="AH36" s="244"/>
      <c r="AI36" s="244"/>
      <c r="AJ36" s="244"/>
      <c r="AK36" s="244"/>
      <c r="AL36" s="244"/>
      <c r="AM36" s="244"/>
      <c r="AN36" s="244"/>
      <c r="AO36" s="244"/>
      <c r="AP36" s="244"/>
      <c r="AQ36" s="244"/>
      <c r="AR36" s="244"/>
      <c r="AS36" s="244"/>
      <c r="AT36" s="244"/>
      <c r="AU36" s="244"/>
      <c r="AV36" s="244"/>
      <c r="AW36" s="244"/>
      <c r="AX36" s="244"/>
      <c r="AY36" s="244"/>
      <c r="AZ36" s="244"/>
      <c r="BA36" s="244"/>
      <c r="BB36" s="244"/>
      <c r="BC36" s="244"/>
      <c r="BD36" s="244"/>
      <c r="BE36" s="244"/>
      <c r="BF36" s="244"/>
      <c r="BG36" s="244"/>
    </row>
    <row r="37" ht="15.6" customHeight="1">
      <c r="A37" s="92"/>
      <c r="B37" s="348">
        <v>19</v>
      </c>
      <c r="C37" s="353" t="s">
        <v>53</v>
      </c>
      <c r="D37" s="329">
        <v>50.537634408602150537634408600</v>
      </c>
      <c r="E37" s="330">
        <v>45.638348576762865257107724940</v>
      </c>
      <c r="F37" s="332">
        <v>69.134168518892705597090321280</v>
      </c>
      <c r="G37" s="329">
        <v>1.075268817204301075268817200</v>
      </c>
      <c r="H37" s="330">
        <v>22.380344013604866616466288190</v>
      </c>
      <c r="I37" s="332">
        <v>6.3700859881906558002739049400</v>
      </c>
      <c r="J37" s="330">
        <v>1.075268817204301075268817200</v>
      </c>
      <c r="K37" s="330">
        <v>3.620349766906669599722487800</v>
      </c>
      <c r="L37" s="332">
        <v>0.1873554702409016411845266200</v>
      </c>
      <c r="M37" s="329">
        <v>52.688172043010752688172043010</v>
      </c>
      <c r="N37" s="330">
        <v>71.639042357274401473296500920</v>
      </c>
      <c r="O37" s="332">
        <v>75.691609977324263038548752830</v>
      </c>
      <c r="P37" s="4"/>
      <c r="Q37" s="329">
        <v>623.07692307981538461539618458</v>
      </c>
      <c r="R37" s="330">
        <v>-4.9645981792315794111031236700</v>
      </c>
      <c r="S37" s="332">
        <v>34.838589882631481703536904560</v>
      </c>
      <c r="T37" s="329">
        <v>0</v>
      </c>
      <c r="U37" s="330">
        <v>89.30256307219347989320169193</v>
      </c>
      <c r="V37" s="332">
        <v>-37.879240433718330553897075820</v>
      </c>
      <c r="W37" s="330">
        <v>0.000000000400000000001599600</v>
      </c>
      <c r="X37" s="330">
        <v>-33.455009643849294729134572990</v>
      </c>
      <c r="Y37" s="332">
        <v>-4.991779497981513986498430400</v>
      </c>
      <c r="Z37" s="329">
        <v>553.33333333594666666667711999</v>
      </c>
      <c r="AA37" s="330">
        <v>9.732016925168512834183166050</v>
      </c>
      <c r="AB37" s="332">
        <v>22.630418809639733339955684030</v>
      </c>
      <c r="AD37" s="244"/>
      <c r="AE37" s="244"/>
      <c r="AF37" s="244"/>
      <c r="AG37" s="244"/>
      <c r="AH37" s="244"/>
      <c r="AI37" s="244"/>
      <c r="AJ37" s="244"/>
      <c r="AK37" s="244"/>
      <c r="AL37" s="244"/>
      <c r="AM37" s="244"/>
      <c r="AN37" s="244"/>
      <c r="AO37" s="244"/>
      <c r="AP37" s="244"/>
      <c r="AQ37" s="244"/>
      <c r="AR37" s="244"/>
      <c r="AS37" s="244"/>
      <c r="AT37" s="244"/>
      <c r="AU37" s="244"/>
      <c r="AV37" s="244"/>
      <c r="AW37" s="244"/>
      <c r="AX37" s="244"/>
      <c r="AY37" s="244"/>
      <c r="AZ37" s="244"/>
      <c r="BA37" s="244"/>
      <c r="BB37" s="244"/>
      <c r="BC37" s="244"/>
      <c r="BD37" s="244"/>
      <c r="BE37" s="244"/>
      <c r="BF37" s="244"/>
      <c r="BG37" s="244"/>
    </row>
    <row r="38" ht="21" customHeight="1">
      <c r="B38" s="54"/>
      <c r="C38"/>
      <c r="D38" s="88"/>
      <c r="E38" s="88"/>
      <c r="F38" s="88"/>
      <c r="G38" s="88"/>
      <c r="H38" s="88"/>
      <c r="I38" s="88"/>
      <c r="J38" s="88"/>
      <c r="K38" s="88"/>
      <c r="L38" s="88"/>
      <c r="M38" s="88"/>
      <c r="N38" s="88"/>
      <c r="O38" s="88"/>
      <c r="P38" s="4"/>
      <c r="Q38" s="4"/>
      <c r="R38" s="4"/>
      <c r="S38" s="4"/>
      <c r="T38" s="4"/>
      <c r="U38" s="4"/>
      <c r="V38" s="4"/>
      <c r="W38" s="4"/>
      <c r="X38" s="4"/>
      <c r="Y38" s="4"/>
      <c r="Z38" s="4"/>
      <c r="AA38" s="4"/>
      <c r="AB38" s="4"/>
      <c r="AD38" s="244"/>
      <c r="AE38" s="244"/>
      <c r="AF38" s="244"/>
      <c r="AG38" s="244"/>
      <c r="AH38" s="244"/>
      <c r="AI38" s="244"/>
      <c r="AJ38" s="244"/>
      <c r="AK38" s="244"/>
      <c r="AL38" s="244"/>
      <c r="AM38" s="244"/>
      <c r="AN38" s="244"/>
      <c r="AO38" s="244"/>
      <c r="AP38" s="244"/>
      <c r="AQ38" s="244"/>
      <c r="AR38" s="244"/>
      <c r="AS38" s="244"/>
      <c r="AT38" s="244"/>
      <c r="AU38" s="244"/>
      <c r="AV38" s="244"/>
      <c r="AW38" s="244"/>
      <c r="AX38" s="244"/>
      <c r="AY38" s="244"/>
      <c r="AZ38" s="244"/>
      <c r="BA38" s="244"/>
      <c r="BB38" s="244"/>
      <c r="BC38" s="244"/>
      <c r="BD38" s="244"/>
      <c r="BE38" s="244"/>
      <c r="BF38" s="244"/>
      <c r="BG38" s="244"/>
    </row>
    <row r="39" ht="15.6" customHeight="1">
      <c r="A39" s="54"/>
      <c r="B39" s="53"/>
      <c r="C39" s="53" t="s">
        <v>14</v>
      </c>
      <c r="D39" s="354">
        <v>22.177419354838709677419354840</v>
      </c>
      <c r="E39" s="355">
        <v>28.691459717193597635662502970</v>
      </c>
      <c r="F39" s="356">
        <v>49.143506075905139360715339800</v>
      </c>
      <c r="G39" s="354">
        <v>1.3440860215053763440860215100</v>
      </c>
      <c r="H39" s="355">
        <v>3.6435185803448878733899734400</v>
      </c>
      <c r="I39" s="356">
        <v>6.0084343851802771364864345500</v>
      </c>
      <c r="J39" s="355">
        <v>1.075268817204301075268817200</v>
      </c>
      <c r="K39" s="355">
        <v>5.7635484059605936806344480800</v>
      </c>
      <c r="L39" s="356">
        <v>0.1995334618170778338639852900</v>
      </c>
      <c r="M39" s="354">
        <v>24.596774193548387096774193550</v>
      </c>
      <c r="N39" s="355">
        <v>38.098526703499079189686924490</v>
      </c>
      <c r="O39" s="356">
        <v>55.351473922902494331065759640</v>
      </c>
      <c r="P39" s="4"/>
      <c r="Q39" s="354">
        <v>13.793103448439096313912243680</v>
      </c>
      <c r="R39" s="355">
        <v>12.639452229706714497758381150</v>
      </c>
      <c r="S39" s="356">
        <v>5.7423923622238169228211086600</v>
      </c>
      <c r="T39" s="354">
        <v>233.33333329333333333813333448</v>
      </c>
      <c r="U39" s="355">
        <v>-46.446435284352226619929930010</v>
      </c>
      <c r="V39" s="356">
        <v>31.522664400131284191762177020</v>
      </c>
      <c r="W39" s="355">
        <v>0.000000000400000000001599600</v>
      </c>
      <c r="X39" s="355">
        <v>22.158105143055132407286119130</v>
      </c>
      <c r="Y39" s="356">
        <v>-7.3640243806128125717206427800</v>
      </c>
      <c r="Z39" s="354">
        <v>17.307692307602071005917229180</v>
      </c>
      <c r="AA39" s="355">
        <v>2.9869321717721836907524655600</v>
      </c>
      <c r="AB39" s="356">
        <v>7.984959079766470325680692920</v>
      </c>
      <c r="AD39" s="244"/>
      <c r="AE39" s="244"/>
      <c r="AF39" s="244"/>
      <c r="AG39" s="244"/>
      <c r="AH39" s="244"/>
      <c r="AI39" s="244"/>
      <c r="AJ39" s="244"/>
      <c r="AK39" s="244"/>
      <c r="AL39" s="244"/>
      <c r="AM39" s="244"/>
      <c r="AN39" s="244"/>
      <c r="AO39" s="244"/>
      <c r="AP39" s="244"/>
      <c r="AQ39" s="244"/>
      <c r="AR39" s="244"/>
      <c r="AS39" s="244"/>
      <c r="AT39" s="244"/>
      <c r="AU39" s="244"/>
      <c r="AV39" s="244"/>
      <c r="AW39" s="244"/>
      <c r="AX39" s="244"/>
      <c r="AY39" s="244"/>
      <c r="AZ39" s="244"/>
      <c r="BA39" s="244"/>
      <c r="BB39" s="244"/>
      <c r="BC39" s="244"/>
      <c r="BD39" s="244"/>
      <c r="BE39" s="244"/>
      <c r="BF39" s="244"/>
      <c r="BG39" s="244"/>
    </row>
    <row r="40" ht="15.6" customHeight="1">
      <c r="A40" s="54"/>
      <c r="C40" s="53" t="s">
        <v>15</v>
      </c>
      <c r="D40" s="327">
        <v>28.225806451612903225806451610</v>
      </c>
      <c r="E40" s="171">
        <v>39.096294372553568911118692420</v>
      </c>
      <c r="F40" s="328">
        <v>64.858781398548472671425373750</v>
      </c>
      <c r="G40" s="327">
        <v>3.8978494623655913978494623700</v>
      </c>
      <c r="H40" s="171">
        <v>2.4149250930578562203361710600</v>
      </c>
      <c r="I40" s="328">
        <v>8.072422983487363022106582150</v>
      </c>
      <c r="J40" s="171">
        <v>1.4784946236559139784946236600</v>
      </c>
      <c r="K40" s="171">
        <v>5.4731267590662912589687092600</v>
      </c>
      <c r="L40" s="328">
        <v>0.277412398009515780390946600</v>
      </c>
      <c r="M40" s="327">
        <v>33.602150537634408602150537630</v>
      </c>
      <c r="N40" s="171">
        <v>46.984346224677716390423572740</v>
      </c>
      <c r="O40" s="328">
        <v>73.208616780045351473922902490</v>
      </c>
      <c r="P40" s="4"/>
      <c r="Q40" s="327">
        <v>27.272727272949421487603693520</v>
      </c>
      <c r="R40" s="171">
        <v>10.170613347730323401543244800</v>
      </c>
      <c r="S40" s="328">
        <v>8.190695743293993424389960250</v>
      </c>
      <c r="T40" s="327">
        <v>0</v>
      </c>
      <c r="U40" s="171">
        <v>-61.918850349178672493327578530</v>
      </c>
      <c r="V40" s="328">
        <v>20.812028286751429695259697880</v>
      </c>
      <c r="W40" s="171">
        <v>-8.333333332966666666665199750</v>
      </c>
      <c r="X40" s="171">
        <v>13.775196575113724597296737030</v>
      </c>
      <c r="Y40" s="328">
        <v>-6.6132835779399619674088886300</v>
      </c>
      <c r="Z40" s="327">
        <v>41.242937853375466819879853970</v>
      </c>
      <c r="AA40" s="171">
        <v>0.7403751233405610576815623300</v>
      </c>
      <c r="AB40" s="328">
        <v>9.385058444896719163204554840</v>
      </c>
      <c r="AD40" s="244"/>
      <c r="AE40" s="244"/>
      <c r="AF40" s="244"/>
      <c r="AG40" s="244"/>
      <c r="AH40" s="244"/>
      <c r="AI40" s="244"/>
      <c r="AJ40" s="244"/>
      <c r="AK40" s="244"/>
      <c r="AL40" s="244"/>
      <c r="AM40" s="244"/>
      <c r="AN40" s="244"/>
      <c r="AO40" s="244"/>
      <c r="AP40" s="244"/>
      <c r="AQ40" s="244"/>
      <c r="AR40" s="244"/>
      <c r="AS40" s="244"/>
      <c r="AT40" s="244"/>
      <c r="AU40" s="244"/>
      <c r="AV40" s="244"/>
      <c r="AW40" s="244"/>
      <c r="AX40" s="244"/>
      <c r="AY40" s="244"/>
      <c r="AZ40" s="244"/>
      <c r="BA40" s="244"/>
      <c r="BB40" s="244"/>
      <c r="BC40" s="244"/>
      <c r="BD40" s="244"/>
      <c r="BE40" s="244"/>
      <c r="BF40" s="244"/>
      <c r="BG40" s="244"/>
    </row>
    <row r="41" ht="15.6" customHeight="1">
      <c r="A41" s="54"/>
      <c r="B41" s="22"/>
      <c r="C41" s="53" t="s">
        <v>16</v>
      </c>
      <c r="D41" s="359">
        <v>36.693548387096774193548387100</v>
      </c>
      <c r="E41" s="170">
        <v>52.627852759406369500747410870</v>
      </c>
      <c r="F41" s="360">
        <v>71.990171222227790251840003460</v>
      </c>
      <c r="G41" s="359">
        <v>4.3010752688172043010752688200</v>
      </c>
      <c r="H41" s="170">
        <v>5.0963381398739637219160559300</v>
      </c>
      <c r="I41" s="360">
        <v>9.361044338716816534710791230</v>
      </c>
      <c r="J41" s="170">
        <v>1.075268817204301075268817200</v>
      </c>
      <c r="K41" s="170">
        <v>5.0520521946423187110381906600</v>
      </c>
      <c r="L41" s="360">
        <v>0.1907345524340780207054411300</v>
      </c>
      <c r="M41" s="359">
        <v>42.069892473118279569892473120</v>
      </c>
      <c r="N41" s="170">
        <v>62.776243093922651933701657460</v>
      </c>
      <c r="O41" s="360">
        <v>81.54195011337868480725623583</v>
      </c>
      <c r="P41" s="4"/>
      <c r="Q41" s="359">
        <v>45.989304812546930138122902310</v>
      </c>
      <c r="R41" s="170">
        <v>25.457715599657428547569073260</v>
      </c>
      <c r="S41" s="360">
        <v>11.428629067338752923723031780</v>
      </c>
      <c r="T41" s="359">
        <v>0</v>
      </c>
      <c r="U41" s="170">
        <v>-33.965120326120121352389394390</v>
      </c>
      <c r="V41" s="360">
        <v>0.3704796503679587650610350500</v>
      </c>
      <c r="W41" s="170">
        <v>-11.111111114429629629505738630</v>
      </c>
      <c r="X41" s="170">
        <v>6.2792064172118262743876713800</v>
      </c>
      <c r="Y41" s="360">
        <v>-11.956930056267742923582230780</v>
      </c>
      <c r="Z41" s="359">
        <v>59.693877551052998750520623070</v>
      </c>
      <c r="AA41" s="170">
        <v>15.355329949158942513334590780</v>
      </c>
      <c r="AB41" s="360">
        <v>9.969418960312244199422087960</v>
      </c>
      <c r="AD41" s="244"/>
      <c r="AE41" s="244"/>
      <c r="AF41" s="244"/>
      <c r="AG41" s="244"/>
      <c r="AH41" s="244"/>
      <c r="AI41" s="244"/>
      <c r="AJ41" s="244"/>
      <c r="AK41" s="244"/>
      <c r="AL41" s="244"/>
      <c r="AM41" s="244"/>
      <c r="AN41" s="244"/>
      <c r="AO41" s="244"/>
      <c r="AP41" s="244"/>
      <c r="AQ41" s="244"/>
      <c r="AR41" s="244"/>
      <c r="AS41" s="244"/>
      <c r="AT41" s="244"/>
      <c r="AU41" s="244"/>
      <c r="AV41" s="244"/>
      <c r="AW41" s="244"/>
      <c r="AX41" s="244"/>
      <c r="AY41" s="244"/>
      <c r="AZ41" s="244"/>
      <c r="BA41" s="244"/>
      <c r="BB41" s="244"/>
      <c r="BC41" s="244"/>
      <c r="BD41" s="244"/>
      <c r="BE41" s="244"/>
      <c r="BF41" s="244"/>
      <c r="BG41" s="244"/>
    </row>
    <row r="42" ht="15.6" customHeight="1">
      <c r="A42" s="54"/>
      <c r="B42" s="22"/>
      <c r="C42" s="53" t="s">
        <v>17</v>
      </c>
      <c r="D42" s="327">
        <v>38.172043010752688172043010750</v>
      </c>
      <c r="E42" s="171">
        <v>48.568344254924294911088644150</v>
      </c>
      <c r="F42" s="328">
        <v>67.800370403938026689614788640</v>
      </c>
      <c r="G42" s="327">
        <v>4.3010752688172043010752688200</v>
      </c>
      <c r="H42" s="171">
        <v>7.453080588853243016025056100</v>
      </c>
      <c r="I42" s="328">
        <v>9.251302627805330780961540270</v>
      </c>
      <c r="J42" s="171">
        <v>1.3440860215053763440860215100</v>
      </c>
      <c r="K42" s="171">
        <v>5.028298913128539420952598100</v>
      </c>
      <c r="L42" s="328">
        <v>0.2385764013632184931424919500</v>
      </c>
      <c r="M42" s="327">
        <v>43.817204301075268817204301080</v>
      </c>
      <c r="N42" s="171">
        <v>61.049723756906077348066298340</v>
      </c>
      <c r="O42" s="328">
        <v>77.290249433106575963718820860</v>
      </c>
      <c r="P42" s="4"/>
      <c r="Q42" s="327">
        <v>26.222222222101048888889005210</v>
      </c>
      <c r="R42" s="171">
        <v>21.879679347496095302270625970</v>
      </c>
      <c r="S42" s="328">
        <v>9.698762454206680075001939910</v>
      </c>
      <c r="T42" s="327">
        <v>0</v>
      </c>
      <c r="U42" s="171">
        <v>-19.832983183635875939708391560</v>
      </c>
      <c r="V42" s="328">
        <v>3.7848374359478644803761666400</v>
      </c>
      <c r="W42" s="171">
        <v>-28.571428571142857142855999750</v>
      </c>
      <c r="X42" s="171">
        <v>10.831631620458350482013925610</v>
      </c>
      <c r="Y42" s="328">
        <v>-28.685090081755816370358411460</v>
      </c>
      <c r="Z42" s="327">
        <v>36.401673640076049088776518140</v>
      </c>
      <c r="AA42" s="171">
        <v>13.722126929678390886436454410</v>
      </c>
      <c r="AB42" s="328">
        <v>8.776128929323726223885966750</v>
      </c>
      <c r="AD42" s="244"/>
      <c r="AE42" s="244"/>
      <c r="AF42" s="244"/>
      <c r="AG42" s="244"/>
      <c r="AH42" s="244"/>
      <c r="AI42" s="244"/>
      <c r="AJ42" s="244"/>
      <c r="AK42" s="244"/>
      <c r="AL42" s="244"/>
      <c r="AM42" s="244"/>
      <c r="AN42" s="244"/>
      <c r="AO42" s="244"/>
      <c r="AP42" s="244"/>
      <c r="AQ42" s="244"/>
      <c r="AR42" s="244"/>
      <c r="AS42" s="244"/>
      <c r="AT42" s="244"/>
      <c r="AU42" s="244"/>
      <c r="AV42" s="244"/>
      <c r="AW42" s="244"/>
      <c r="AX42" s="244"/>
      <c r="AY42" s="244"/>
      <c r="AZ42" s="244"/>
      <c r="BA42" s="244"/>
      <c r="BB42" s="244"/>
      <c r="BC42" s="244"/>
      <c r="BD42" s="244"/>
      <c r="BE42" s="244"/>
      <c r="BF42" s="244"/>
      <c r="BG42" s="244"/>
    </row>
    <row r="43" ht="15.6" customHeight="1">
      <c r="A43" s="54"/>
      <c r="B43" s="22"/>
      <c r="C43" s="53" t="s">
        <v>18</v>
      </c>
      <c r="D43" s="359">
        <v>31.989247311827956989247311830</v>
      </c>
      <c r="E43" s="170">
        <v>37.922256343650092140672798070</v>
      </c>
      <c r="F43" s="360">
        <v>60.849531024041754494067727950</v>
      </c>
      <c r="G43" s="359">
        <v>1.2096774193548387096774193500</v>
      </c>
      <c r="H43" s="170">
        <v>12.929966158096102407099597770</v>
      </c>
      <c r="I43" s="360">
        <v>9.772277671854928577249765670</v>
      </c>
      <c r="J43" s="170">
        <v>0.806451612903225806451612900</v>
      </c>
      <c r="K43" s="170">
        <v>4.9980588727983892060548111100</v>
      </c>
      <c r="L43" s="360">
        <v>0.1491663607926593323106242900</v>
      </c>
      <c r="M43" s="359">
        <v>34.005376344086021505376344090</v>
      </c>
      <c r="N43" s="170">
        <v>55.850281374544583753827206950</v>
      </c>
      <c r="O43" s="360">
        <v>70.770975056689342403628117910</v>
      </c>
      <c r="P43" s="4"/>
      <c r="Q43" s="359">
        <v>26.595744680856450882752376880</v>
      </c>
      <c r="R43" s="170">
        <v>1.43030537846320679873252500</v>
      </c>
      <c r="S43" s="360">
        <v>5.5209531139930012363642042800</v>
      </c>
      <c r="T43" s="359">
        <v>-24.999999999699999999998800300</v>
      </c>
      <c r="U43" s="170">
        <v>5.4242541447638132549283453800</v>
      </c>
      <c r="V43" s="360">
        <v>14.885947226754618334942872540</v>
      </c>
      <c r="W43" s="170">
        <v>-45.454545456171900826397783540</v>
      </c>
      <c r="X43" s="170">
        <v>9.594333147640952670681845110</v>
      </c>
      <c r="Y43" s="360">
        <v>-46.602472337761205859245323110</v>
      </c>
      <c r="Z43" s="359">
        <v>19.905213269987610341187504140</v>
      </c>
      <c r="AA43" s="170">
        <v>3.0206464081159890278708254700</v>
      </c>
      <c r="AB43" s="360">
        <v>6.50059716777151539528860900</v>
      </c>
      <c r="AD43" s="244"/>
      <c r="AE43" s="244"/>
      <c r="AF43" s="244"/>
      <c r="AG43" s="244"/>
      <c r="AH43" s="244"/>
      <c r="AI43" s="244"/>
      <c r="AJ43" s="244"/>
      <c r="AK43" s="244"/>
      <c r="AL43" s="244"/>
      <c r="AM43" s="244"/>
      <c r="AN43" s="244"/>
      <c r="AO43" s="244"/>
      <c r="AP43" s="244"/>
      <c r="AQ43" s="244"/>
      <c r="AR43" s="244"/>
      <c r="AS43" s="244"/>
      <c r="AT43" s="244"/>
      <c r="AU43" s="244"/>
      <c r="AV43" s="244"/>
      <c r="AW43" s="244"/>
      <c r="AX43" s="244"/>
      <c r="AY43" s="244"/>
      <c r="AZ43" s="244"/>
      <c r="BA43" s="244"/>
      <c r="BB43" s="244"/>
      <c r="BC43" s="244"/>
      <c r="BD43" s="244"/>
      <c r="BE43" s="244"/>
      <c r="BF43" s="244"/>
      <c r="BG43" s="244"/>
    </row>
    <row r="44" ht="15.6" customHeight="1">
      <c r="A44" s="54"/>
      <c r="B44" s="22"/>
      <c r="C44" s="53" t="s">
        <v>19</v>
      </c>
      <c r="D44" s="327">
        <v>47.849462365591397849462365590</v>
      </c>
      <c r="E44" s="171">
        <v>44.736208084986940855180809770</v>
      </c>
      <c r="F44" s="328">
        <v>65.412176494075817726303224540</v>
      </c>
      <c r="G44" s="327">
        <v>1.075268817204301075268817200</v>
      </c>
      <c r="H44" s="171">
        <v>17.936890726132857871368263240</v>
      </c>
      <c r="I44" s="328">
        <v>9.909568591818163725795697520</v>
      </c>
      <c r="J44" s="171">
        <v>1.8817204301075268817204301100</v>
      </c>
      <c r="K44" s="171">
        <v>4.8683376529685990635061756100</v>
      </c>
      <c r="L44" s="328">
        <v>0.3358512859881047157015314500</v>
      </c>
      <c r="M44" s="327">
        <v>50.806451612903225806451612900</v>
      </c>
      <c r="N44" s="171">
        <v>67.541436464088397790055248620</v>
      </c>
      <c r="O44" s="328">
        <v>75.657596371882086167800453510</v>
      </c>
      <c r="P44" s="4"/>
      <c r="Q44" s="327">
        <v>45.901639344401021230852053430</v>
      </c>
      <c r="R44" s="171">
        <v>-6.4743975678542688237441655500</v>
      </c>
      <c r="S44" s="328">
        <v>5.5867489196310681429318337700</v>
      </c>
      <c r="T44" s="327">
        <v>-82.97872340432195563603414390</v>
      </c>
      <c r="U44" s="171">
        <v>17.605186409160450315993386820</v>
      </c>
      <c r="V44" s="328">
        <v>-0.7601554334326310300624567100</v>
      </c>
      <c r="W44" s="171">
        <v>75.000000000700000000002800230</v>
      </c>
      <c r="X44" s="171">
        <v>1.8732049239219457475345921200</v>
      </c>
      <c r="Y44" s="328">
        <v>72.299684304018078048460759520</v>
      </c>
      <c r="Z44" s="327">
        <v>26.421404682308072616637406830</v>
      </c>
      <c r="AA44" s="171">
        <v>-0.4748982361438515452833012900</v>
      </c>
      <c r="AB44" s="328">
        <v>4.8883998742190870996953197500</v>
      </c>
      <c r="AD44" s="244"/>
      <c r="AE44" s="244"/>
      <c r="AF44" s="244"/>
      <c r="AG44" s="244"/>
      <c r="AH44" s="244"/>
      <c r="AI44" s="244"/>
      <c r="AJ44" s="244"/>
      <c r="AK44" s="244"/>
      <c r="AL44" s="244"/>
      <c r="AM44" s="244"/>
      <c r="AN44" s="244"/>
      <c r="AO44" s="244"/>
      <c r="AP44" s="244"/>
      <c r="AQ44" s="244"/>
      <c r="AR44" s="244"/>
      <c r="AS44" s="244"/>
      <c r="AT44" s="244"/>
      <c r="AU44" s="244"/>
      <c r="AV44" s="244"/>
      <c r="AW44" s="244"/>
      <c r="AX44" s="244"/>
      <c r="AY44" s="244"/>
      <c r="AZ44" s="244"/>
      <c r="BA44" s="244"/>
      <c r="BB44" s="244"/>
      <c r="BC44" s="244"/>
      <c r="BD44" s="244"/>
      <c r="BE44" s="244"/>
      <c r="BF44" s="244"/>
      <c r="BG44" s="244"/>
    </row>
    <row r="45" ht="15.6" customHeight="1">
      <c r="A45" s="54"/>
      <c r="B45" s="22"/>
      <c r="C45" s="53" t="s">
        <v>20</v>
      </c>
      <c r="D45" s="364">
        <v>49.865591397849462365591397850</v>
      </c>
      <c r="E45" s="365">
        <v>46.809444366276481919276407610</v>
      </c>
      <c r="F45" s="366">
        <v>64.986705336214377154151939340</v>
      </c>
      <c r="G45" s="364">
        <v>1.075268817204301075268817200</v>
      </c>
      <c r="H45" s="365">
        <v>18.449781198929935103304779220</v>
      </c>
      <c r="I45" s="366">
        <v>9.388041581163029223874918520</v>
      </c>
      <c r="J45" s="365">
        <v>0.9408602150537634408602150500</v>
      </c>
      <c r="K45" s="365">
        <v>4.1238315250329936588184448500</v>
      </c>
      <c r="L45" s="366">
        <v>0.1604004749128430550797181100</v>
      </c>
      <c r="M45" s="364">
        <v>51.881720430107526881720430110</v>
      </c>
      <c r="N45" s="365">
        <v>69.383057090239410681399631680</v>
      </c>
      <c r="O45" s="366">
        <v>74.535147392290249433106575960</v>
      </c>
      <c r="P45" s="4"/>
      <c r="Q45" s="364">
        <v>48.400000000151961600000155610</v>
      </c>
      <c r="R45" s="365">
        <v>0.3908120833785083385328054300</v>
      </c>
      <c r="S45" s="366">
        <v>7.8308617982895276794684074100</v>
      </c>
      <c r="T45" s="364">
        <v>-73.333333333226666666666240110</v>
      </c>
      <c r="U45" s="365">
        <v>48.837437826059937163029320950</v>
      </c>
      <c r="V45" s="366">
        <v>-0.3117939449797834432582146600</v>
      </c>
      <c r="W45" s="365">
        <v>-12.499999999649999999998600350</v>
      </c>
      <c r="X45" s="365">
        <v>-13.473717445906464244077435870</v>
      </c>
      <c r="Y45" s="366">
        <v>-15.853032427926172936640135130</v>
      </c>
      <c r="Z45" s="364">
        <v>34.027777777621412037037219470</v>
      </c>
      <c r="AA45" s="365">
        <v>8.769397329493675500013610410</v>
      </c>
      <c r="AB45" s="366">
        <v>6.6688301152219810092361082700</v>
      </c>
      <c r="AD45" s="244"/>
      <c r="AE45" s="244"/>
      <c r="AF45" s="244"/>
      <c r="AG45" s="244"/>
      <c r="AH45" s="244"/>
      <c r="AI45" s="244"/>
      <c r="AJ45" s="244"/>
      <c r="AK45" s="244"/>
      <c r="AL45" s="244"/>
      <c r="AM45" s="244"/>
      <c r="AN45" s="244"/>
      <c r="AO45" s="244"/>
      <c r="AP45" s="244"/>
      <c r="AQ45" s="244"/>
      <c r="AR45" s="244"/>
      <c r="AS45" s="244"/>
      <c r="AT45" s="244"/>
      <c r="AU45" s="244"/>
      <c r="AV45" s="244"/>
      <c r="AW45" s="244"/>
      <c r="AX45" s="244"/>
      <c r="AY45" s="244"/>
      <c r="AZ45" s="244"/>
      <c r="BA45" s="244"/>
      <c r="BB45" s="244"/>
      <c r="BC45" s="244"/>
      <c r="BD45" s="244"/>
      <c r="BE45" s="244"/>
      <c r="BF45" s="244"/>
      <c r="BG45" s="244"/>
    </row>
    <row r="46" ht="20.25" customHeight="1">
      <c r="B46" s="54"/>
      <c r="C46"/>
      <c r="D46" s="88"/>
      <c r="E46" s="88"/>
      <c r="F46" s="88"/>
      <c r="G46" s="88"/>
      <c r="H46" s="88"/>
      <c r="I46" s="88"/>
      <c r="J46" s="88"/>
      <c r="K46" s="88"/>
      <c r="L46" s="88"/>
      <c r="M46" s="88"/>
      <c r="N46" s="88"/>
      <c r="O46" s="88"/>
      <c r="P46" s="4"/>
      <c r="Q46" s="4"/>
      <c r="R46" s="4"/>
      <c r="S46" s="4"/>
      <c r="T46" s="4"/>
      <c r="U46" s="4"/>
      <c r="V46" s="4"/>
      <c r="W46" s="4"/>
      <c r="X46" s="4"/>
      <c r="Y46" s="4"/>
      <c r="Z46" s="4"/>
      <c r="AA46" s="4"/>
      <c r="AB46" s="4"/>
      <c r="AD46" s="244"/>
      <c r="AE46" s="244"/>
      <c r="AF46" s="244"/>
      <c r="AG46" s="244"/>
      <c r="AH46" s="244"/>
      <c r="AI46" s="244"/>
      <c r="AJ46" s="244"/>
      <c r="AK46" s="244"/>
      <c r="AL46" s="244"/>
      <c r="AM46" s="244"/>
      <c r="AN46" s="244"/>
      <c r="AO46" s="244"/>
      <c r="AP46" s="244"/>
      <c r="AQ46" s="244"/>
      <c r="AR46" s="244"/>
      <c r="AS46" s="244"/>
      <c r="AT46" s="244"/>
      <c r="AU46" s="244"/>
      <c r="AV46" s="244"/>
      <c r="AW46" s="244"/>
      <c r="AX46" s="244"/>
      <c r="AY46" s="244"/>
      <c r="AZ46" s="244"/>
      <c r="BA46" s="244"/>
      <c r="BB46" s="244"/>
      <c r="BC46" s="244"/>
      <c r="BD46" s="244"/>
      <c r="BE46" s="244"/>
      <c r="BF46" s="244"/>
      <c r="BG46" s="244"/>
    </row>
    <row r="47" ht="15.6" customHeight="1">
      <c r="A47" s="22"/>
      <c r="B47" s="22"/>
      <c r="C47" s="53" t="s">
        <v>72</v>
      </c>
      <c r="D47" s="354">
        <v>38.556067588325652841781874040</v>
      </c>
      <c r="E47" s="355">
        <v>42.119137095287927115471063870</v>
      </c>
      <c r="F47" s="356">
        <v>66.498414345526002929245193650</v>
      </c>
      <c r="G47" s="354">
        <v>0.4608294930875576036866359400</v>
      </c>
      <c r="H47" s="355">
        <v>11.821519954293085243505356290</v>
      </c>
      <c r="I47" s="356">
        <v>7.80390131772649377296030100</v>
      </c>
      <c r="J47" s="355">
        <v>1.6129032258064516129032258100</v>
      </c>
      <c r="K47" s="355">
        <v>5.2148283489983088722785127500</v>
      </c>
      <c r="L47" s="356">
        <v>0.3008589399221064723976799600</v>
      </c>
      <c r="M47" s="354">
        <v>40.629800307219662058371735790</v>
      </c>
      <c r="N47" s="355">
        <v>59.155485398579321231254932910</v>
      </c>
      <c r="O47" s="356">
        <v>74.603174603174603174603174600</v>
      </c>
      <c r="P47" s="4"/>
      <c r="Q47" s="354">
        <v>83.21167883210341520592466398</v>
      </c>
      <c r="R47" s="355">
        <v>1.2711261351042685734898418500</v>
      </c>
      <c r="S47" s="356">
        <v>12.418145187094748257088731080</v>
      </c>
      <c r="T47" s="354">
        <v>100.00000003800000000721999796</v>
      </c>
      <c r="U47" s="355">
        <v>61.509771920981596091707507050</v>
      </c>
      <c r="V47" s="356">
        <v>11.557392000195973835665501400</v>
      </c>
      <c r="W47" s="355">
        <v>74.999999995275000000127575380</v>
      </c>
      <c r="X47" s="355">
        <v>-0.3623485774079111491563195700</v>
      </c>
      <c r="Y47" s="356">
        <v>85.51079412818647082281206538</v>
      </c>
      <c r="Z47" s="354">
        <v>83.04498269910508015948096106</v>
      </c>
      <c r="AA47" s="355">
        <v>9.256559766844118522044445240</v>
      </c>
      <c r="AB47" s="356">
        <v>12.506106497266368980640364590</v>
      </c>
      <c r="AD47" s="244"/>
      <c r="AE47" s="244"/>
      <c r="AF47" s="244"/>
      <c r="AG47" s="244"/>
      <c r="AH47" s="244"/>
      <c r="AI47" s="244"/>
      <c r="AJ47" s="244"/>
      <c r="AK47" s="244"/>
      <c r="AL47" s="244"/>
      <c r="AM47" s="244"/>
      <c r="AN47" s="244"/>
      <c r="AO47" s="244"/>
      <c r="AP47" s="244"/>
      <c r="AQ47" s="244"/>
      <c r="AR47" s="244"/>
      <c r="AS47" s="244"/>
      <c r="AT47" s="244"/>
      <c r="AU47" s="244"/>
      <c r="AV47" s="244"/>
      <c r="AW47" s="244"/>
      <c r="AX47" s="244"/>
      <c r="AY47" s="244"/>
      <c r="AZ47" s="244"/>
      <c r="BA47" s="244"/>
      <c r="BB47" s="244"/>
      <c r="BC47" s="244"/>
      <c r="BD47" s="244"/>
      <c r="BE47" s="244"/>
      <c r="BF47" s="244"/>
      <c r="BG47" s="244"/>
    </row>
    <row r="48" ht="15.6" customHeight="1">
      <c r="A48" s="22"/>
      <c r="B48" s="22"/>
      <c r="C48" s="53" t="s">
        <v>61</v>
      </c>
      <c r="D48" s="327">
        <v>36.424731182795698924731182800</v>
      </c>
      <c r="E48" s="171">
        <v>42.635979985570192267678180830</v>
      </c>
      <c r="F48" s="328">
        <v>63.577320279278768335445485350</v>
      </c>
      <c r="G48" s="327">
        <v>2.4577572964669738863287250400</v>
      </c>
      <c r="H48" s="171">
        <v>9.703500069326978030491413820</v>
      </c>
      <c r="I48" s="328">
        <v>8.823298882860844143026532840</v>
      </c>
      <c r="J48" s="171">
        <v>1.2288786482334869431643625200</v>
      </c>
      <c r="K48" s="171">
        <v>5.0438934747996749999961968100</v>
      </c>
      <c r="L48" s="328">
        <v>0.2216678479024996044563912600</v>
      </c>
      <c r="M48" s="327">
        <v>40.111367127496159754224270350</v>
      </c>
      <c r="N48" s="171">
        <v>57.383373529696845298165791470</v>
      </c>
      <c r="O48" s="328">
        <v>72.622287010042112082928409460</v>
      </c>
      <c r="P48" s="4"/>
      <c r="Q48" s="327">
        <v>35.113960114070976696617813240</v>
      </c>
      <c r="R48" s="171">
        <v>8.684090148802420276043314400</v>
      </c>
      <c r="S48" s="328">
        <v>7.8312712544608980673801589100</v>
      </c>
      <c r="T48" s="327">
        <v>39.130434785415500945236208460</v>
      </c>
      <c r="U48" s="171">
        <v>-3.0647390124163138734699239900</v>
      </c>
      <c r="V48" s="328">
        <v>7.6020834150304220729366751600</v>
      </c>
      <c r="W48" s="171">
        <v>-8.571428571062857142855679940</v>
      </c>
      <c r="X48" s="171">
        <v>7.2375366043252343996701558900</v>
      </c>
      <c r="Y48" s="328">
        <v>-10.231158076215511115985846430</v>
      </c>
      <c r="Z48" s="327">
        <v>33.397190293578465769244143890</v>
      </c>
      <c r="AA48" s="171">
        <v>6.3777127532561597954549137400</v>
      </c>
      <c r="AB48" s="328">
        <v>7.7372227695545995464602328500</v>
      </c>
      <c r="AD48" s="244"/>
      <c r="AE48" s="244"/>
      <c r="AF48" s="244"/>
      <c r="AG48" s="244"/>
      <c r="AH48" s="244"/>
      <c r="AI48" s="244"/>
      <c r="AJ48" s="244"/>
      <c r="AK48" s="244"/>
      <c r="AL48" s="244"/>
      <c r="AM48" s="244"/>
      <c r="AN48" s="244"/>
      <c r="AO48" s="244"/>
      <c r="AP48" s="244"/>
      <c r="AQ48" s="244"/>
      <c r="AR48" s="244"/>
      <c r="AS48" s="244"/>
      <c r="AT48" s="244"/>
      <c r="AU48" s="244"/>
      <c r="AV48" s="244"/>
      <c r="AW48" s="244"/>
      <c r="AX48" s="244"/>
      <c r="AY48" s="244"/>
      <c r="AZ48" s="244"/>
      <c r="BA48" s="244"/>
      <c r="BB48" s="244"/>
      <c r="BC48" s="244"/>
      <c r="BD48" s="244"/>
      <c r="BE48" s="244"/>
      <c r="BF48" s="244"/>
      <c r="BG48" s="244"/>
    </row>
    <row r="49" ht="15.6" customHeight="1">
      <c r="A49" s="54"/>
      <c r="B49" s="22"/>
      <c r="C49" s="53" t="s">
        <v>31</v>
      </c>
      <c r="D49" s="364">
        <v>36.361063950198075834748160720</v>
      </c>
      <c r="E49" s="365">
        <v>42.992985243454748576205477650</v>
      </c>
      <c r="F49" s="366">
        <v>64.511697861731877630921901830</v>
      </c>
      <c r="G49" s="364">
        <v>0.1697792869269949066213921900</v>
      </c>
      <c r="H49" s="365">
        <v>9.968539589286920019279754600</v>
      </c>
      <c r="I49" s="366">
        <v>8.105509678677901359293785710</v>
      </c>
      <c r="J49" s="365">
        <v>1.075268817204301075268817200</v>
      </c>
      <c r="K49" s="365">
        <v>4.8895946787442284676145060400</v>
      </c>
      <c r="L49" s="366">
        <v>0.1957773026502520397401544400</v>
      </c>
      <c r="M49" s="364">
        <v>37.606112054329371816638370120</v>
      </c>
      <c r="N49" s="365">
        <v>57.851119511485897063099738300</v>
      </c>
      <c r="O49" s="366">
        <v>72.812984843060031029955841990</v>
      </c>
      <c r="P49" s="4"/>
      <c r="Q49" s="364">
        <v>25.488281249886521339416606510</v>
      </c>
      <c r="R49" s="365">
        <v>11.734200921578173018487559440</v>
      </c>
      <c r="S49" s="366">
        <v>9.282167831335949848445461390</v>
      </c>
      <c r="T49" s="364">
        <v>-91.89189189202249817384742139</v>
      </c>
      <c r="U49" s="365">
        <v>-11.757434917531576824285780310</v>
      </c>
      <c r="V49" s="366">
        <v>-1.3459917480437533103455866200</v>
      </c>
      <c r="W49" s="365">
        <v>-15.555555558708148148030451700</v>
      </c>
      <c r="X49" s="365">
        <v>1.6545888838462233906588037600</v>
      </c>
      <c r="Y49" s="366">
        <v>-15.715377966192367138466273360</v>
      </c>
      <c r="Z49" s="364">
        <v>16.272965879238236165361225820</v>
      </c>
      <c r="AA49" s="365">
        <v>5.984196040135788745037263900</v>
      </c>
      <c r="AB49" s="366">
        <v>7.9020904814100629943387098800</v>
      </c>
      <c r="AD49" s="244"/>
      <c r="AE49" s="244"/>
      <c r="AF49" s="244"/>
      <c r="AG49" s="244"/>
      <c r="AH49" s="244"/>
      <c r="AI49" s="244"/>
      <c r="AJ49" s="244"/>
      <c r="AK49" s="244"/>
      <c r="AL49" s="244"/>
      <c r="AM49" s="244"/>
      <c r="AN49" s="244"/>
      <c r="AO49" s="244"/>
      <c r="AP49" s="244"/>
      <c r="AQ49" s="244"/>
      <c r="AR49" s="244"/>
      <c r="AS49" s="244"/>
      <c r="AT49" s="244"/>
      <c r="AU49" s="244"/>
      <c r="AV49" s="244"/>
      <c r="AW49" s="244"/>
      <c r="AX49" s="244"/>
      <c r="AY49" s="244"/>
      <c r="AZ49" s="244"/>
      <c r="BA49" s="244"/>
      <c r="BB49" s="244"/>
      <c r="BC49" s="244"/>
      <c r="BD49" s="244"/>
      <c r="BE49" s="244"/>
      <c r="BF49" s="244"/>
      <c r="BG49" s="244"/>
    </row>
    <row r="50" ht="9.95" customHeight="1">
      <c r="AD50" s="244"/>
      <c r="AE50" s="244"/>
      <c r="AF50" s="244"/>
      <c r="AG50" s="244"/>
      <c r="AH50" s="244"/>
      <c r="AI50" s="244"/>
      <c r="AJ50" s="244"/>
      <c r="AK50" s="244"/>
      <c r="AL50" s="244"/>
      <c r="AM50" s="244"/>
      <c r="AN50" s="244"/>
      <c r="AO50" s="244"/>
      <c r="AP50" s="244"/>
      <c r="AQ50" s="244"/>
      <c r="AR50" s="244"/>
      <c r="AS50" s="244"/>
      <c r="AT50" s="244"/>
      <c r="AU50" s="244"/>
      <c r="AV50" s="244"/>
      <c r="AW50" s="244"/>
      <c r="AX50" s="244"/>
      <c r="AY50" s="244"/>
      <c r="AZ50" s="244"/>
      <c r="BA50" s="244"/>
      <c r="BB50" s="244"/>
      <c r="BC50" s="244"/>
      <c r="BD50" s="244"/>
      <c r="BE50" s="244"/>
      <c r="BF50" s="244"/>
      <c r="BG50" s="244"/>
    </row>
    <row r="51" ht="9.95" customHeight="1">
      <c r="AD51" s="244"/>
      <c r="AE51" s="244"/>
      <c r="AF51" s="244"/>
      <c r="AG51" s="244"/>
      <c r="AH51" s="244"/>
      <c r="AI51" s="244"/>
      <c r="AJ51" s="244"/>
      <c r="AK51" s="244"/>
      <c r="AL51" s="244"/>
      <c r="AM51" s="244"/>
      <c r="AN51" s="244"/>
      <c r="AO51" s="244"/>
      <c r="AP51" s="244"/>
      <c r="AQ51" s="244"/>
      <c r="AR51" s="244"/>
      <c r="AS51" s="244"/>
      <c r="AT51" s="244"/>
      <c r="AU51" s="244"/>
      <c r="AV51" s="244"/>
      <c r="AW51" s="244"/>
      <c r="AX51" s="244"/>
      <c r="AY51" s="244"/>
      <c r="AZ51" s="244"/>
      <c r="BA51" s="244"/>
      <c r="BB51" s="244"/>
      <c r="BC51" s="244"/>
      <c r="BD51" s="244"/>
      <c r="BE51" s="244"/>
      <c r="BF51" s="244"/>
      <c r="BG51" s="244"/>
    </row>
    <row r="52" ht="24.95" customHeight="1">
      <c r="D52" s="655" t="s">
        <v>114</v>
      </c>
      <c r="E52" s="655"/>
      <c r="F52" s="655"/>
      <c r="G52" s="655"/>
      <c r="H52" s="655"/>
      <c r="I52" s="655"/>
      <c r="J52" s="655"/>
      <c r="K52" s="655"/>
      <c r="L52" s="655"/>
      <c r="M52" s="655"/>
      <c r="N52" s="655"/>
      <c r="O52" s="655"/>
      <c r="P52" s="655"/>
      <c r="Q52" s="655"/>
      <c r="R52" s="655"/>
      <c r="S52" s="655"/>
      <c r="T52" s="655"/>
      <c r="U52" s="655"/>
      <c r="V52" s="655"/>
      <c r="W52" s="655"/>
      <c r="X52" s="655"/>
      <c r="Y52" s="655"/>
      <c r="Z52" s="655"/>
      <c r="AA52" s="655"/>
      <c r="AB52" s="655"/>
      <c r="AD52" s="244"/>
      <c r="AE52" s="244"/>
      <c r="AF52" s="244"/>
      <c r="AG52" s="244"/>
      <c r="AH52" s="244"/>
      <c r="AI52" s="244"/>
      <c r="AJ52" s="244"/>
      <c r="AK52" s="244"/>
      <c r="AL52" s="244"/>
      <c r="AM52" s="244"/>
      <c r="AN52" s="244"/>
      <c r="AO52" s="244"/>
      <c r="AP52" s="244"/>
      <c r="AQ52" s="244"/>
      <c r="AR52" s="244"/>
      <c r="AS52" s="244"/>
      <c r="AT52" s="244"/>
      <c r="AU52" s="244"/>
      <c r="AV52" s="244"/>
      <c r="AW52" s="244"/>
      <c r="AX52" s="244"/>
      <c r="AY52" s="244"/>
      <c r="AZ52" s="244"/>
      <c r="BA52" s="244"/>
      <c r="BB52" s="244"/>
      <c r="BC52" s="244"/>
      <c r="BD52" s="244"/>
      <c r="BE52" s="244"/>
      <c r="BF52" s="244"/>
      <c r="BG52" s="244"/>
    </row>
    <row r="53" ht="9.95" customHeight="1">
      <c r="A53" s="53"/>
      <c r="C53"/>
      <c r="Z53" s="80"/>
      <c r="AA53" s="242"/>
      <c r="AD53" s="244"/>
      <c r="AE53" s="244"/>
      <c r="AF53" s="244"/>
      <c r="AG53" s="244"/>
      <c r="AH53" s="244"/>
      <c r="AI53" s="244"/>
      <c r="AJ53" s="244"/>
      <c r="AK53" s="244"/>
      <c r="AL53" s="244"/>
      <c r="AM53" s="244"/>
      <c r="AN53" s="244"/>
      <c r="AO53" s="244"/>
      <c r="AP53" s="244"/>
      <c r="AQ53" s="244"/>
      <c r="AR53" s="244"/>
      <c r="AS53" s="244"/>
      <c r="AT53" s="244"/>
      <c r="AU53" s="244"/>
      <c r="AV53" s="244"/>
      <c r="AW53" s="244"/>
      <c r="AX53" s="244"/>
      <c r="AY53" s="244"/>
      <c r="AZ53" s="244"/>
      <c r="BA53" s="244"/>
      <c r="BB53" s="244"/>
      <c r="BC53" s="244"/>
      <c r="BD53" s="244"/>
      <c r="BE53" s="244"/>
      <c r="BF53" s="244"/>
      <c r="BG53" s="244"/>
    </row>
    <row r="54" ht="9.95" customHeight="1">
      <c r="AD54" s="244"/>
      <c r="AE54" s="244"/>
      <c r="AF54" s="244"/>
      <c r="AG54" s="244"/>
      <c r="AH54" s="244"/>
      <c r="AI54" s="244"/>
      <c r="AJ54" s="244"/>
      <c r="AK54" s="244"/>
      <c r="AL54" s="244"/>
      <c r="AM54" s="244"/>
      <c r="AN54" s="244"/>
      <c r="AO54" s="244"/>
      <c r="AP54" s="244"/>
      <c r="AQ54" s="244"/>
      <c r="AR54" s="244"/>
      <c r="AS54" s="244"/>
      <c r="AT54" s="244"/>
      <c r="AU54" s="244"/>
      <c r="AV54" s="244"/>
      <c r="AW54" s="244"/>
      <c r="AX54" s="244"/>
      <c r="AY54" s="244"/>
      <c r="AZ54" s="244"/>
      <c r="BA54" s="244"/>
      <c r="BB54" s="244"/>
      <c r="BC54" s="244"/>
      <c r="BD54" s="244"/>
      <c r="BE54" s="244"/>
      <c r="BF54" s="244"/>
      <c r="BG54" s="244"/>
    </row>
    <row r="55">
      <c r="A55" s="244"/>
      <c r="B55" s="244"/>
      <c r="C55" s="265"/>
      <c r="D55" s="244"/>
      <c r="E55" s="244"/>
      <c r="F55" s="244"/>
      <c r="G55" s="244"/>
      <c r="H55" s="244"/>
      <c r="I55" s="244"/>
      <c r="J55" s="244"/>
      <c r="K55" s="244"/>
      <c r="L55" s="244"/>
      <c r="M55" s="244"/>
      <c r="N55" s="244"/>
      <c r="O55" s="244"/>
      <c r="P55" s="244"/>
      <c r="Q55" s="244"/>
      <c r="R55" s="244"/>
      <c r="S55" s="244"/>
      <c r="T55" s="244"/>
      <c r="U55" s="244"/>
      <c r="V55" s="244"/>
      <c r="W55" s="244"/>
      <c r="X55" s="244"/>
      <c r="Y55" s="244"/>
      <c r="Z55" s="244"/>
      <c r="AA55" s="244"/>
      <c r="AB55" s="244"/>
      <c r="AC55" s="244"/>
      <c r="AD55" s="244"/>
      <c r="AE55" s="244"/>
      <c r="AF55" s="244"/>
      <c r="AG55" s="244"/>
      <c r="AH55" s="244"/>
      <c r="AI55" s="244"/>
      <c r="AJ55" s="244"/>
      <c r="AK55" s="244"/>
      <c r="AL55" s="244"/>
      <c r="AM55" s="244"/>
      <c r="AN55" s="244"/>
      <c r="AO55" s="244"/>
      <c r="AP55" s="244"/>
      <c r="AQ55" s="244"/>
      <c r="AR55" s="244"/>
      <c r="AS55" s="244"/>
      <c r="AT55" s="244"/>
      <c r="AU55" s="244"/>
      <c r="AV55" s="244"/>
      <c r="AW55" s="244"/>
      <c r="AX55" s="244"/>
      <c r="AY55" s="244"/>
      <c r="AZ55" s="244"/>
      <c r="BA55" s="244"/>
      <c r="BB55" s="244"/>
      <c r="BC55" s="244"/>
      <c r="BD55" s="244"/>
      <c r="BE55" s="244"/>
      <c r="BF55" s="244"/>
      <c r="BG55" s="244"/>
    </row>
    <row r="56">
      <c r="A56" s="244"/>
      <c r="B56" s="244"/>
      <c r="C56" s="265"/>
      <c r="D56" s="244"/>
      <c r="E56" s="244"/>
      <c r="F56" s="244"/>
      <c r="G56" s="244"/>
      <c r="H56" s="244"/>
      <c r="I56" s="244"/>
      <c r="J56" s="244"/>
      <c r="K56" s="244"/>
      <c r="L56" s="244"/>
      <c r="M56" s="244"/>
      <c r="N56" s="244"/>
      <c r="O56" s="244"/>
      <c r="P56" s="244"/>
      <c r="Q56" s="244"/>
      <c r="R56" s="244"/>
      <c r="S56" s="244"/>
      <c r="T56" s="244"/>
      <c r="U56" s="244"/>
      <c r="V56" s="244"/>
      <c r="W56" s="244"/>
      <c r="X56" s="244"/>
      <c r="Y56" s="244"/>
      <c r="Z56" s="244"/>
      <c r="AA56" s="244"/>
      <c r="AB56" s="244"/>
      <c r="AC56" s="244"/>
      <c r="AD56" s="244"/>
      <c r="AE56" s="244"/>
      <c r="AF56" s="244"/>
      <c r="AG56" s="244"/>
      <c r="AH56" s="244"/>
      <c r="AI56" s="244"/>
      <c r="AJ56" s="244"/>
      <c r="AK56" s="244"/>
      <c r="AL56" s="244"/>
      <c r="AM56" s="244"/>
      <c r="AN56" s="244"/>
      <c r="AO56" s="244"/>
      <c r="AP56" s="244"/>
      <c r="AQ56" s="244"/>
      <c r="AR56" s="244"/>
      <c r="AS56" s="244"/>
      <c r="AT56" s="244"/>
      <c r="AU56" s="244"/>
      <c r="AV56" s="244"/>
      <c r="AW56" s="244"/>
      <c r="AX56" s="244"/>
      <c r="AY56" s="244"/>
      <c r="AZ56" s="244"/>
      <c r="BA56" s="244"/>
      <c r="BB56" s="244"/>
      <c r="BC56" s="244"/>
      <c r="BD56" s="244"/>
      <c r="BE56" s="244"/>
      <c r="BF56" s="244"/>
      <c r="BG56" s="244"/>
    </row>
    <row r="57">
      <c r="A57" s="244"/>
      <c r="B57" s="244"/>
      <c r="C57" s="265"/>
      <c r="D57" s="244"/>
      <c r="E57" s="244"/>
      <c r="F57" s="244"/>
      <c r="G57" s="244"/>
      <c r="H57" s="244"/>
      <c r="I57" s="244"/>
      <c r="J57" s="244"/>
      <c r="K57" s="244"/>
      <c r="L57" s="244"/>
      <c r="M57" s="244"/>
      <c r="N57" s="244"/>
      <c r="O57" s="244"/>
      <c r="P57" s="244"/>
      <c r="Q57" s="244"/>
      <c r="R57" s="244"/>
      <c r="S57" s="244"/>
      <c r="T57" s="244"/>
      <c r="U57" s="244"/>
      <c r="V57" s="244"/>
      <c r="W57" s="244"/>
      <c r="X57" s="244"/>
      <c r="Y57" s="244"/>
      <c r="Z57" s="244"/>
      <c r="AA57" s="244"/>
      <c r="AB57" s="244"/>
      <c r="AC57" s="244"/>
      <c r="AD57" s="244"/>
      <c r="AE57" s="244"/>
      <c r="AF57" s="244"/>
      <c r="AG57" s="244"/>
      <c r="AH57" s="244"/>
      <c r="AI57" s="244"/>
      <c r="AJ57" s="244"/>
      <c r="AK57" s="244"/>
      <c r="AL57" s="244"/>
      <c r="AM57" s="244"/>
      <c r="AN57" s="244"/>
      <c r="AO57" s="244"/>
      <c r="AP57" s="244"/>
      <c r="AQ57" s="244"/>
      <c r="AR57" s="244"/>
      <c r="AS57" s="244"/>
      <c r="AT57" s="244"/>
      <c r="AU57" s="244"/>
      <c r="AV57" s="244"/>
      <c r="AW57" s="244"/>
      <c r="AX57" s="244"/>
      <c r="AY57" s="244"/>
      <c r="AZ57" s="244"/>
      <c r="BA57" s="244"/>
      <c r="BB57" s="244"/>
      <c r="BC57" s="244"/>
      <c r="BD57" s="244"/>
      <c r="BE57" s="244"/>
      <c r="BF57" s="244"/>
      <c r="BG57" s="244"/>
    </row>
    <row r="58">
      <c r="A58" s="244"/>
      <c r="B58" s="244"/>
      <c r="C58" s="265"/>
      <c r="D58" s="244"/>
      <c r="E58" s="244"/>
      <c r="F58" s="244"/>
      <c r="G58" s="244"/>
      <c r="H58" s="244"/>
      <c r="I58" s="244"/>
      <c r="J58" s="244"/>
      <c r="K58" s="244"/>
      <c r="L58" s="244"/>
      <c r="M58" s="244"/>
      <c r="N58" s="244"/>
      <c r="O58" s="244"/>
      <c r="P58" s="244"/>
      <c r="Q58" s="244"/>
      <c r="R58" s="244"/>
      <c r="S58" s="244"/>
      <c r="T58" s="244"/>
      <c r="U58" s="244"/>
      <c r="V58" s="244"/>
      <c r="W58" s="244"/>
      <c r="X58" s="244"/>
      <c r="Y58" s="244"/>
      <c r="Z58" s="244"/>
      <c r="AA58" s="244"/>
      <c r="AB58" s="244"/>
      <c r="AC58" s="244"/>
      <c r="AD58" s="244"/>
      <c r="AE58" s="244"/>
      <c r="AF58" s="244"/>
      <c r="AG58" s="244"/>
      <c r="AH58" s="244"/>
      <c r="AI58" s="244"/>
      <c r="AJ58" s="244"/>
      <c r="AK58" s="244"/>
      <c r="AL58" s="244"/>
      <c r="AM58" s="244"/>
      <c r="AN58" s="244"/>
      <c r="AO58" s="244"/>
      <c r="AP58" s="244"/>
      <c r="AQ58" s="244"/>
      <c r="AR58" s="244"/>
      <c r="AS58" s="244"/>
      <c r="AT58" s="244"/>
      <c r="AU58" s="244"/>
      <c r="AV58" s="244"/>
      <c r="AW58" s="244"/>
      <c r="AX58" s="244"/>
      <c r="AY58" s="244"/>
      <c r="AZ58" s="244"/>
      <c r="BA58" s="244"/>
      <c r="BB58" s="244"/>
      <c r="BC58" s="244"/>
      <c r="BD58" s="244"/>
      <c r="BE58" s="244"/>
      <c r="BF58" s="244"/>
      <c r="BG58" s="244"/>
    </row>
    <row r="59">
      <c r="A59" s="244"/>
      <c r="B59" s="244"/>
      <c r="C59" s="265"/>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4"/>
      <c r="AC59" s="244"/>
      <c r="AD59" s="244"/>
      <c r="AE59" s="244"/>
      <c r="AF59" s="244"/>
      <c r="AG59" s="244"/>
      <c r="AH59" s="244"/>
      <c r="AI59" s="244"/>
      <c r="AJ59" s="244"/>
      <c r="AK59" s="244"/>
      <c r="AL59" s="244"/>
      <c r="AM59" s="244"/>
      <c r="AN59" s="244"/>
      <c r="AO59" s="244"/>
      <c r="AP59" s="244"/>
      <c r="AQ59" s="244"/>
      <c r="AR59" s="244"/>
      <c r="AS59" s="244"/>
      <c r="AT59" s="244"/>
      <c r="AU59" s="244"/>
      <c r="AV59" s="244"/>
      <c r="AW59" s="244"/>
      <c r="AX59" s="244"/>
      <c r="AY59" s="244"/>
      <c r="AZ59" s="244"/>
      <c r="BA59" s="244"/>
      <c r="BB59" s="244"/>
      <c r="BC59" s="244"/>
      <c r="BD59" s="244"/>
      <c r="BE59" s="244"/>
      <c r="BF59" s="244"/>
      <c r="BG59" s="244"/>
    </row>
    <row r="60">
      <c r="A60" s="244"/>
      <c r="B60" s="244"/>
      <c r="C60" s="265"/>
      <c r="D60" s="244"/>
      <c r="E60" s="244"/>
      <c r="F60" s="244"/>
      <c r="G60" s="244"/>
      <c r="H60" s="244"/>
      <c r="I60" s="244"/>
      <c r="J60" s="244"/>
      <c r="K60" s="244"/>
      <c r="L60" s="244"/>
      <c r="M60" s="244"/>
      <c r="N60" s="244"/>
      <c r="O60" s="244"/>
      <c r="P60" s="244"/>
      <c r="Q60" s="244"/>
      <c r="R60" s="244"/>
      <c r="S60" s="244"/>
      <c r="T60" s="244"/>
      <c r="U60" s="244"/>
      <c r="V60" s="244"/>
      <c r="W60" s="244"/>
      <c r="X60" s="244"/>
      <c r="Y60" s="244"/>
      <c r="Z60" s="244"/>
      <c r="AA60" s="244"/>
      <c r="AB60" s="244"/>
      <c r="AC60" s="244"/>
      <c r="AD60" s="244"/>
      <c r="AE60" s="244"/>
      <c r="AF60" s="244"/>
      <c r="AG60" s="244"/>
      <c r="AH60" s="244"/>
      <c r="AI60" s="244"/>
      <c r="AJ60" s="244"/>
      <c r="AK60" s="244"/>
      <c r="AL60" s="244"/>
      <c r="AM60" s="244"/>
      <c r="AN60" s="244"/>
      <c r="AO60" s="244"/>
      <c r="AP60" s="244"/>
      <c r="AQ60" s="244"/>
      <c r="AR60" s="244"/>
      <c r="AS60" s="244"/>
      <c r="AT60" s="244"/>
      <c r="AU60" s="244"/>
      <c r="AV60" s="244"/>
      <c r="AW60" s="244"/>
      <c r="AX60" s="244"/>
      <c r="AY60" s="244"/>
      <c r="AZ60" s="244"/>
      <c r="BA60" s="244"/>
      <c r="BB60" s="244"/>
      <c r="BC60" s="244"/>
      <c r="BD60" s="244"/>
      <c r="BE60" s="244"/>
      <c r="BF60" s="244"/>
      <c r="BG60" s="244"/>
    </row>
    <row r="61">
      <c r="A61" s="244"/>
      <c r="B61" s="244"/>
      <c r="C61" s="265"/>
      <c r="D61" s="244"/>
      <c r="E61" s="244"/>
      <c r="F61" s="244"/>
      <c r="G61" s="244"/>
      <c r="H61" s="244"/>
      <c r="I61" s="244"/>
      <c r="J61" s="244"/>
      <c r="K61" s="244"/>
      <c r="L61" s="244"/>
      <c r="M61" s="244"/>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244"/>
      <c r="AW61" s="244"/>
      <c r="AX61" s="244"/>
      <c r="AY61" s="244"/>
      <c r="AZ61" s="244"/>
      <c r="BA61" s="244"/>
      <c r="BB61" s="244"/>
      <c r="BC61" s="244"/>
      <c r="BD61" s="244"/>
      <c r="BE61" s="244"/>
      <c r="BF61" s="244"/>
      <c r="BG61" s="244"/>
    </row>
    <row r="62">
      <c r="A62" s="244"/>
      <c r="B62" s="244"/>
      <c r="C62" s="265"/>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c r="BB62" s="244"/>
      <c r="BC62" s="244"/>
      <c r="BD62" s="244"/>
      <c r="BE62" s="244"/>
      <c r="BF62" s="244"/>
      <c r="BG62" s="244"/>
    </row>
    <row r="63">
      <c r="A63" s="244"/>
      <c r="B63" s="244"/>
      <c r="C63" s="265"/>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c r="BB63" s="244"/>
      <c r="BC63" s="244"/>
      <c r="BD63" s="244"/>
      <c r="BE63" s="244"/>
      <c r="BF63" s="244"/>
      <c r="BG63" s="244"/>
    </row>
    <row r="64">
      <c r="A64" s="244"/>
      <c r="B64" s="244"/>
      <c r="C64" s="265"/>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row>
    <row r="65">
      <c r="A65" s="244"/>
      <c r="B65" s="244"/>
      <c r="C65" s="265"/>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c r="AZ65" s="244"/>
      <c r="BA65" s="244"/>
      <c r="BB65" s="244"/>
      <c r="BC65" s="244"/>
      <c r="BD65" s="244"/>
      <c r="BE65" s="244"/>
      <c r="BF65" s="244"/>
      <c r="BG65" s="244"/>
    </row>
    <row r="66">
      <c r="A66" s="244"/>
      <c r="B66" s="244"/>
      <c r="C66" s="265"/>
      <c r="D66" s="244"/>
      <c r="E66" s="244"/>
      <c r="F66" s="244"/>
      <c r="G66" s="244"/>
      <c r="H66" s="244"/>
      <c r="I66" s="244"/>
      <c r="J66" s="244"/>
      <c r="K66" s="244"/>
      <c r="L66" s="244"/>
      <c r="M66" s="244"/>
      <c r="N66" s="244"/>
      <c r="O66" s="244"/>
      <c r="P66" s="244"/>
      <c r="Q66" s="244"/>
      <c r="R66" s="244"/>
      <c r="S66" s="244"/>
      <c r="T66" s="244"/>
      <c r="U66" s="244"/>
      <c r="V66" s="244"/>
      <c r="W66" s="244"/>
      <c r="X66" s="244"/>
      <c r="Y66" s="244"/>
      <c r="Z66" s="244"/>
      <c r="AA66" s="244"/>
      <c r="AB66" s="244"/>
      <c r="AC66" s="244"/>
      <c r="AD66" s="244"/>
      <c r="AE66" s="244"/>
      <c r="AF66" s="244"/>
      <c r="AG66" s="244"/>
      <c r="AH66" s="244"/>
      <c r="AI66" s="244"/>
      <c r="AJ66" s="244"/>
      <c r="AK66" s="244"/>
      <c r="AL66" s="244"/>
      <c r="AM66" s="244"/>
      <c r="AN66" s="244"/>
      <c r="AO66" s="244"/>
      <c r="AP66" s="244"/>
      <c r="AQ66" s="244"/>
      <c r="AR66" s="244"/>
      <c r="AS66" s="244"/>
      <c r="AT66" s="244"/>
      <c r="AU66" s="244"/>
      <c r="AV66" s="244"/>
      <c r="AW66" s="244"/>
      <c r="AX66" s="244"/>
      <c r="AY66" s="244"/>
      <c r="AZ66" s="244"/>
      <c r="BA66" s="244"/>
      <c r="BB66" s="244"/>
      <c r="BC66" s="244"/>
      <c r="BD66" s="244"/>
      <c r="BE66" s="244"/>
      <c r="BF66" s="244"/>
      <c r="BG66" s="244"/>
    </row>
    <row r="67">
      <c r="A67" s="244"/>
      <c r="B67" s="244"/>
      <c r="C67" s="265"/>
      <c r="D67" s="244"/>
      <c r="E67" s="244"/>
      <c r="F67" s="244"/>
      <c r="G67" s="244"/>
      <c r="H67" s="244"/>
      <c r="I67" s="244"/>
      <c r="J67" s="244"/>
      <c r="K67" s="244"/>
      <c r="L67" s="244"/>
      <c r="M67" s="244"/>
      <c r="N67" s="244"/>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244"/>
      <c r="AS67" s="244"/>
      <c r="AT67" s="244"/>
      <c r="AU67" s="244"/>
      <c r="AV67" s="244"/>
      <c r="AW67" s="244"/>
      <c r="AX67" s="244"/>
      <c r="AY67" s="244"/>
      <c r="AZ67" s="244"/>
      <c r="BA67" s="244"/>
      <c r="BB67" s="244"/>
      <c r="BC67" s="244"/>
      <c r="BD67" s="244"/>
      <c r="BE67" s="244"/>
      <c r="BF67" s="244"/>
      <c r="BG67" s="244"/>
    </row>
    <row r="68">
      <c r="A68" s="244"/>
      <c r="B68" s="244"/>
      <c r="C68" s="265"/>
      <c r="D68" s="244"/>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44"/>
      <c r="AQ68" s="244"/>
      <c r="AR68" s="244"/>
      <c r="AS68" s="244"/>
      <c r="AT68" s="244"/>
      <c r="AU68" s="244"/>
      <c r="AV68" s="244"/>
      <c r="AW68" s="244"/>
      <c r="AX68" s="244"/>
      <c r="AY68" s="244"/>
      <c r="AZ68" s="244"/>
      <c r="BA68" s="244"/>
      <c r="BB68" s="244"/>
      <c r="BC68" s="244"/>
      <c r="BD68" s="244"/>
      <c r="BE68" s="244"/>
      <c r="BF68" s="244"/>
      <c r="BG68" s="244"/>
    </row>
    <row r="69">
      <c r="A69" s="244"/>
      <c r="B69" s="244"/>
      <c r="C69" s="265"/>
      <c r="D69" s="244"/>
      <c r="E69" s="244"/>
      <c r="F69" s="244"/>
      <c r="G69" s="244"/>
      <c r="H69" s="244"/>
      <c r="I69" s="244"/>
      <c r="J69" s="244"/>
      <c r="K69" s="244"/>
      <c r="L69" s="244"/>
      <c r="M69" s="244"/>
      <c r="N69" s="244"/>
      <c r="O69" s="244"/>
      <c r="P69" s="244"/>
      <c r="Q69" s="244"/>
      <c r="R69" s="244"/>
      <c r="S69" s="244"/>
      <c r="T69" s="244"/>
      <c r="U69" s="244"/>
      <c r="V69" s="244"/>
      <c r="W69" s="244"/>
      <c r="X69" s="244"/>
      <c r="Y69" s="244"/>
      <c r="Z69" s="244"/>
      <c r="AA69" s="244"/>
      <c r="AB69" s="244"/>
      <c r="AC69" s="244"/>
      <c r="AD69" s="244"/>
      <c r="AE69" s="244"/>
      <c r="AF69" s="244"/>
      <c r="AG69" s="244"/>
      <c r="AH69" s="244"/>
      <c r="AI69" s="244"/>
      <c r="AJ69" s="244"/>
      <c r="AK69" s="244"/>
      <c r="AL69" s="244"/>
      <c r="AM69" s="244"/>
      <c r="AN69" s="244"/>
      <c r="AO69" s="244"/>
      <c r="AP69" s="244"/>
      <c r="AQ69" s="244"/>
      <c r="AR69" s="244"/>
      <c r="AS69" s="244"/>
      <c r="AT69" s="244"/>
      <c r="AU69" s="244"/>
      <c r="AV69" s="244"/>
      <c r="AW69" s="244"/>
      <c r="AX69" s="244"/>
      <c r="AY69" s="244"/>
      <c r="AZ69" s="244"/>
      <c r="BA69" s="244"/>
      <c r="BB69" s="244"/>
      <c r="BC69" s="244"/>
      <c r="BD69" s="244"/>
      <c r="BE69" s="244"/>
      <c r="BF69" s="244"/>
      <c r="BG69" s="244"/>
    </row>
    <row r="70">
      <c r="A70" s="244"/>
      <c r="B70" s="244"/>
      <c r="C70" s="265"/>
      <c r="D70" s="244"/>
      <c r="E70" s="244"/>
      <c r="F70" s="244"/>
      <c r="G70" s="244"/>
      <c r="H70" s="244"/>
      <c r="I70" s="244"/>
      <c r="J70" s="244"/>
      <c r="K70" s="244"/>
      <c r="L70" s="244"/>
      <c r="M70" s="244"/>
      <c r="N70" s="244"/>
      <c r="O70" s="244"/>
      <c r="P70" s="244"/>
      <c r="Q70" s="244"/>
      <c r="R70" s="244"/>
      <c r="S70" s="244"/>
      <c r="T70" s="244"/>
      <c r="U70" s="244"/>
      <c r="V70" s="244"/>
      <c r="W70" s="244"/>
      <c r="X70" s="244"/>
      <c r="Y70" s="244"/>
      <c r="Z70" s="244"/>
      <c r="AA70" s="244"/>
      <c r="AB70" s="244"/>
      <c r="AC70" s="244"/>
      <c r="AD70" s="244"/>
      <c r="AE70" s="244"/>
      <c r="AF70" s="244"/>
      <c r="AG70" s="244"/>
      <c r="AH70" s="244"/>
      <c r="AI70" s="244"/>
      <c r="AJ70" s="244"/>
      <c r="AK70" s="244"/>
      <c r="AL70" s="244"/>
      <c r="AM70" s="244"/>
      <c r="AN70" s="244"/>
      <c r="AO70" s="244"/>
      <c r="AP70" s="244"/>
      <c r="AQ70" s="244"/>
      <c r="AR70" s="244"/>
      <c r="AS70" s="244"/>
      <c r="AT70" s="244"/>
      <c r="AU70" s="244"/>
      <c r="AV70" s="244"/>
      <c r="AW70" s="244"/>
      <c r="AX70" s="244"/>
      <c r="AY70" s="244"/>
      <c r="AZ70" s="244"/>
      <c r="BA70" s="244"/>
      <c r="BB70" s="244"/>
      <c r="BC70" s="244"/>
      <c r="BD70" s="244"/>
      <c r="BE70" s="244"/>
      <c r="BF70" s="244"/>
      <c r="BG70" s="244"/>
    </row>
    <row r="71">
      <c r="A71" s="244"/>
      <c r="B71" s="244"/>
      <c r="C71" s="265"/>
      <c r="D71" s="244"/>
      <c r="E71" s="244"/>
      <c r="F71" s="244"/>
      <c r="G71" s="244"/>
      <c r="H71" s="244"/>
      <c r="I71" s="244"/>
      <c r="J71" s="244"/>
      <c r="K71" s="244"/>
      <c r="L71" s="244"/>
      <c r="M71" s="244"/>
      <c r="N71" s="244"/>
      <c r="O71" s="244"/>
      <c r="P71" s="244"/>
      <c r="Q71" s="244"/>
      <c r="R71" s="244"/>
      <c r="S71" s="244"/>
      <c r="T71" s="244"/>
      <c r="U71" s="244"/>
      <c r="V71" s="244"/>
      <c r="W71" s="244"/>
      <c r="X71" s="244"/>
      <c r="Y71" s="244"/>
      <c r="Z71" s="244"/>
      <c r="AA71" s="244"/>
      <c r="AB71" s="244"/>
      <c r="AC71" s="244"/>
      <c r="AD71" s="244"/>
      <c r="AE71" s="244"/>
      <c r="AF71" s="244"/>
      <c r="AG71" s="244"/>
      <c r="AH71" s="244"/>
      <c r="AI71" s="244"/>
      <c r="AJ71" s="244"/>
      <c r="AK71" s="244"/>
      <c r="AL71" s="244"/>
      <c r="AM71" s="244"/>
      <c r="AN71" s="244"/>
      <c r="AO71" s="244"/>
      <c r="AP71" s="244"/>
      <c r="AQ71" s="244"/>
      <c r="AR71" s="244"/>
      <c r="AS71" s="244"/>
      <c r="AT71" s="244"/>
      <c r="AU71" s="244"/>
      <c r="AV71" s="244"/>
      <c r="AW71" s="244"/>
      <c r="AX71" s="244"/>
      <c r="AY71" s="244"/>
      <c r="AZ71" s="244"/>
      <c r="BA71" s="244"/>
      <c r="BB71" s="244"/>
      <c r="BC71" s="244"/>
      <c r="BD71" s="244"/>
      <c r="BE71" s="244"/>
      <c r="BF71" s="244"/>
      <c r="BG71" s="244"/>
    </row>
    <row r="72">
      <c r="A72" s="244"/>
      <c r="B72" s="244"/>
      <c r="C72" s="265"/>
      <c r="D72" s="244"/>
      <c r="E72" s="244"/>
      <c r="F72" s="244"/>
      <c r="G72" s="244"/>
      <c r="H72" s="244"/>
      <c r="I72" s="244"/>
      <c r="J72" s="244"/>
      <c r="K72" s="244"/>
      <c r="L72" s="244"/>
      <c r="M72" s="244"/>
      <c r="N72" s="244"/>
      <c r="O72" s="244"/>
      <c r="P72" s="244"/>
      <c r="Q72" s="244"/>
      <c r="R72" s="244"/>
      <c r="S72" s="244"/>
      <c r="T72" s="244"/>
      <c r="U72" s="244"/>
      <c r="V72" s="244"/>
      <c r="W72" s="244"/>
      <c r="X72" s="244"/>
      <c r="Y72" s="244"/>
      <c r="Z72" s="244"/>
      <c r="AA72" s="244"/>
      <c r="AB72" s="244"/>
      <c r="AC72" s="244"/>
      <c r="AD72" s="244"/>
      <c r="AE72" s="244"/>
      <c r="AF72" s="244"/>
      <c r="AG72" s="244"/>
      <c r="AH72" s="244"/>
      <c r="AI72" s="244"/>
      <c r="AJ72" s="244"/>
      <c r="AK72" s="244"/>
      <c r="AL72" s="244"/>
      <c r="AM72" s="244"/>
      <c r="AN72" s="244"/>
      <c r="AO72" s="244"/>
      <c r="AP72" s="244"/>
      <c r="AQ72" s="244"/>
      <c r="AR72" s="244"/>
      <c r="AS72" s="244"/>
      <c r="AT72" s="244"/>
      <c r="AU72" s="244"/>
      <c r="AV72" s="244"/>
      <c r="AW72" s="244"/>
      <c r="AX72" s="244"/>
      <c r="AY72" s="244"/>
      <c r="AZ72" s="244"/>
      <c r="BA72" s="244"/>
      <c r="BB72" s="244"/>
      <c r="BC72" s="244"/>
      <c r="BD72" s="244"/>
      <c r="BE72" s="244"/>
      <c r="BF72" s="244"/>
      <c r="BG72" s="244"/>
    </row>
    <row r="73">
      <c r="A73" s="244"/>
      <c r="B73" s="244"/>
      <c r="C73" s="265"/>
      <c r="D73" s="244"/>
      <c r="E73" s="244"/>
      <c r="F73" s="244"/>
      <c r="G73" s="244"/>
      <c r="H73" s="244"/>
      <c r="I73" s="244"/>
      <c r="J73" s="244"/>
      <c r="K73" s="244"/>
      <c r="L73" s="244"/>
      <c r="M73" s="244"/>
      <c r="N73" s="244"/>
      <c r="O73" s="244"/>
      <c r="P73" s="244"/>
      <c r="Q73" s="244"/>
      <c r="R73" s="244"/>
      <c r="S73" s="244"/>
      <c r="T73" s="244"/>
      <c r="U73" s="244"/>
      <c r="V73" s="244"/>
      <c r="W73" s="244"/>
      <c r="X73" s="244"/>
      <c r="Y73" s="244"/>
      <c r="Z73" s="244"/>
      <c r="AA73" s="244"/>
      <c r="AB73" s="244"/>
      <c r="AC73" s="244"/>
      <c r="AD73" s="244"/>
      <c r="AE73" s="244"/>
      <c r="AF73" s="244"/>
      <c r="AG73" s="244"/>
      <c r="AH73" s="244"/>
      <c r="AI73" s="244"/>
      <c r="AJ73" s="244"/>
      <c r="AK73" s="244"/>
      <c r="AL73" s="244"/>
      <c r="AM73" s="244"/>
      <c r="AN73" s="244"/>
      <c r="AO73" s="244"/>
      <c r="AP73" s="244"/>
      <c r="AQ73" s="244"/>
      <c r="AR73" s="244"/>
      <c r="AS73" s="244"/>
      <c r="AT73" s="244"/>
      <c r="AU73" s="244"/>
      <c r="AV73" s="244"/>
      <c r="AW73" s="244"/>
      <c r="AX73" s="244"/>
      <c r="AY73" s="244"/>
      <c r="AZ73" s="244"/>
      <c r="BA73" s="244"/>
      <c r="BB73" s="244"/>
      <c r="BC73" s="244"/>
      <c r="BD73" s="244"/>
      <c r="BE73" s="244"/>
      <c r="BF73" s="244"/>
      <c r="BG73" s="244"/>
    </row>
    <row r="74">
      <c r="A74" s="244"/>
      <c r="B74" s="244"/>
      <c r="C74" s="265"/>
      <c r="D74" s="244"/>
      <c r="E74" s="244"/>
      <c r="F74" s="244"/>
      <c r="G74" s="244"/>
      <c r="H74" s="244"/>
      <c r="I74" s="244"/>
      <c r="J74" s="244"/>
      <c r="K74" s="244"/>
      <c r="L74" s="244"/>
      <c r="M74" s="244"/>
      <c r="N74" s="244"/>
      <c r="O74" s="244"/>
      <c r="P74" s="244"/>
      <c r="Q74" s="244"/>
      <c r="R74" s="244"/>
      <c r="S74" s="244"/>
      <c r="T74" s="244"/>
      <c r="U74" s="244"/>
      <c r="V74" s="244"/>
      <c r="W74" s="244"/>
      <c r="X74" s="244"/>
      <c r="Y74" s="244"/>
      <c r="Z74" s="244"/>
      <c r="AA74" s="244"/>
      <c r="AB74" s="244"/>
      <c r="AC74" s="244"/>
      <c r="AD74" s="244"/>
      <c r="AE74" s="244"/>
      <c r="AF74" s="244"/>
      <c r="AG74" s="244"/>
      <c r="AH74" s="244"/>
      <c r="AI74" s="244"/>
      <c r="AJ74" s="244"/>
      <c r="AK74" s="244"/>
      <c r="AL74" s="244"/>
      <c r="AM74" s="244"/>
      <c r="AN74" s="244"/>
      <c r="AO74" s="244"/>
      <c r="AP74" s="244"/>
      <c r="AQ74" s="244"/>
      <c r="AR74" s="244"/>
      <c r="AS74" s="244"/>
      <c r="AT74" s="244"/>
      <c r="AU74" s="244"/>
      <c r="AV74" s="244"/>
      <c r="AW74" s="244"/>
      <c r="AX74" s="244"/>
      <c r="AY74" s="244"/>
      <c r="AZ74" s="244"/>
      <c r="BA74" s="244"/>
      <c r="BB74" s="244"/>
      <c r="BC74" s="244"/>
      <c r="BD74" s="244"/>
      <c r="BE74" s="244"/>
      <c r="BF74" s="244"/>
      <c r="BG74" s="244"/>
    </row>
    <row r="75">
      <c r="A75" s="244"/>
      <c r="B75" s="244"/>
      <c r="C75" s="265"/>
      <c r="D75" s="244"/>
      <c r="E75" s="244"/>
      <c r="F75" s="244"/>
      <c r="G75" s="244"/>
      <c r="H75" s="244"/>
      <c r="I75" s="244"/>
      <c r="J75" s="244"/>
      <c r="K75" s="244"/>
      <c r="L75" s="244"/>
      <c r="M75" s="244"/>
      <c r="N75" s="244"/>
      <c r="O75" s="244"/>
      <c r="P75" s="244"/>
      <c r="Q75" s="244"/>
      <c r="R75" s="244"/>
      <c r="S75" s="244"/>
      <c r="T75" s="244"/>
      <c r="U75" s="244"/>
      <c r="V75" s="244"/>
      <c r="W75" s="244"/>
      <c r="X75" s="244"/>
      <c r="Y75" s="244"/>
      <c r="Z75" s="244"/>
      <c r="AA75" s="244"/>
      <c r="AB75" s="244"/>
      <c r="AC75" s="244"/>
      <c r="AD75" s="244"/>
      <c r="AE75" s="244"/>
      <c r="AF75" s="244"/>
      <c r="AG75" s="244"/>
      <c r="AH75" s="244"/>
      <c r="AI75" s="244"/>
      <c r="AJ75" s="244"/>
      <c r="AK75" s="244"/>
      <c r="AL75" s="244"/>
      <c r="AM75" s="244"/>
      <c r="AN75" s="244"/>
      <c r="AO75" s="244"/>
      <c r="AP75" s="244"/>
      <c r="AQ75" s="244"/>
      <c r="AR75" s="244"/>
      <c r="AS75" s="244"/>
      <c r="AT75" s="244"/>
      <c r="AU75" s="244"/>
      <c r="AV75" s="244"/>
      <c r="AW75" s="244"/>
      <c r="AX75" s="244"/>
      <c r="AY75" s="244"/>
      <c r="AZ75" s="244"/>
      <c r="BA75" s="244"/>
      <c r="BB75" s="244"/>
      <c r="BC75" s="244"/>
      <c r="BD75" s="244"/>
      <c r="BE75" s="244"/>
      <c r="BF75" s="244"/>
      <c r="BG75" s="244"/>
    </row>
    <row r="76">
      <c r="A76" s="244"/>
      <c r="B76" s="244"/>
      <c r="C76" s="265"/>
      <c r="D76" s="244"/>
      <c r="E76" s="244"/>
      <c r="F76" s="244"/>
      <c r="G76" s="244"/>
      <c r="H76" s="244"/>
      <c r="I76" s="244"/>
      <c r="J76" s="244"/>
      <c r="K76" s="244"/>
      <c r="L76" s="244"/>
      <c r="M76" s="244"/>
      <c r="N76" s="244"/>
      <c r="O76" s="244"/>
      <c r="P76" s="244"/>
      <c r="Q76" s="244"/>
      <c r="R76" s="244"/>
      <c r="S76" s="244"/>
      <c r="T76" s="244"/>
      <c r="U76" s="244"/>
      <c r="V76" s="244"/>
      <c r="W76" s="244"/>
      <c r="X76" s="244"/>
      <c r="Y76" s="244"/>
      <c r="Z76" s="244"/>
      <c r="AA76" s="244"/>
      <c r="AB76" s="244"/>
      <c r="AC76" s="244"/>
      <c r="AD76" s="244"/>
      <c r="AE76" s="244"/>
      <c r="AF76" s="244"/>
      <c r="AG76" s="244"/>
      <c r="AH76" s="244"/>
      <c r="AI76" s="244"/>
      <c r="AJ76" s="244"/>
      <c r="AK76" s="244"/>
      <c r="AL76" s="244"/>
      <c r="AM76" s="244"/>
      <c r="AN76" s="244"/>
      <c r="AO76" s="244"/>
      <c r="AP76" s="244"/>
      <c r="AQ76" s="244"/>
      <c r="AR76" s="244"/>
      <c r="AS76" s="244"/>
      <c r="AT76" s="244"/>
      <c r="AU76" s="244"/>
      <c r="AV76" s="244"/>
      <c r="AW76" s="244"/>
      <c r="AX76" s="244"/>
      <c r="AY76" s="244"/>
      <c r="AZ76" s="244"/>
      <c r="BA76" s="244"/>
      <c r="BB76" s="244"/>
      <c r="BC76" s="244"/>
      <c r="BD76" s="244"/>
      <c r="BE76" s="244"/>
      <c r="BF76" s="244"/>
      <c r="BG76" s="244"/>
    </row>
    <row r="77">
      <c r="A77" s="244"/>
      <c r="B77" s="244"/>
      <c r="C77" s="265"/>
      <c r="D77" s="244"/>
      <c r="E77" s="244"/>
      <c r="F77" s="244"/>
      <c r="G77" s="244"/>
      <c r="H77" s="244"/>
      <c r="I77" s="244"/>
      <c r="J77" s="244"/>
      <c r="K77" s="244"/>
      <c r="L77" s="244"/>
      <c r="M77" s="244"/>
      <c r="N77" s="244"/>
      <c r="O77" s="244"/>
      <c r="P77" s="244"/>
      <c r="Q77" s="244"/>
      <c r="R77" s="244"/>
      <c r="S77" s="244"/>
      <c r="T77" s="244"/>
      <c r="U77" s="244"/>
      <c r="V77" s="244"/>
      <c r="W77" s="244"/>
      <c r="X77" s="244"/>
      <c r="Y77" s="244"/>
      <c r="Z77" s="244"/>
      <c r="AA77" s="244"/>
      <c r="AB77" s="244"/>
      <c r="AC77" s="244"/>
      <c r="AD77" s="244"/>
      <c r="AE77" s="244"/>
      <c r="AF77" s="244"/>
      <c r="AG77" s="244"/>
      <c r="AH77" s="244"/>
      <c r="AI77" s="244"/>
      <c r="AJ77" s="244"/>
      <c r="AK77" s="244"/>
      <c r="AL77" s="244"/>
      <c r="AM77" s="244"/>
      <c r="AN77" s="244"/>
      <c r="AO77" s="244"/>
      <c r="AP77" s="244"/>
      <c r="AQ77" s="244"/>
      <c r="AR77" s="244"/>
      <c r="AS77" s="244"/>
      <c r="AT77" s="244"/>
      <c r="AU77" s="244"/>
      <c r="AV77" s="244"/>
      <c r="AW77" s="244"/>
      <c r="AX77" s="244"/>
      <c r="AY77" s="244"/>
      <c r="AZ77" s="244"/>
      <c r="BA77" s="244"/>
      <c r="BB77" s="244"/>
      <c r="BC77" s="244"/>
      <c r="BD77" s="244"/>
      <c r="BE77" s="244"/>
      <c r="BF77" s="244"/>
      <c r="BG77" s="244"/>
    </row>
    <row r="78">
      <c r="A78" s="244"/>
      <c r="B78" s="244"/>
      <c r="C78" s="265"/>
      <c r="D78" s="244"/>
      <c r="E78" s="244"/>
      <c r="F78" s="244"/>
      <c r="G78" s="244"/>
      <c r="H78" s="244"/>
      <c r="I78" s="244"/>
      <c r="J78" s="244"/>
      <c r="K78" s="244"/>
      <c r="L78" s="244"/>
      <c r="M78" s="244"/>
      <c r="N78" s="244"/>
      <c r="O78" s="244"/>
      <c r="P78" s="244"/>
      <c r="Q78" s="244"/>
      <c r="R78" s="244"/>
      <c r="S78" s="244"/>
      <c r="T78" s="244"/>
      <c r="U78" s="244"/>
      <c r="V78" s="244"/>
      <c r="W78" s="244"/>
      <c r="X78" s="244"/>
      <c r="Y78" s="244"/>
      <c r="Z78" s="244"/>
      <c r="AA78" s="244"/>
      <c r="AB78" s="244"/>
      <c r="AC78" s="244"/>
      <c r="AD78" s="244"/>
      <c r="AE78" s="244"/>
      <c r="AF78" s="244"/>
      <c r="AG78" s="244"/>
      <c r="AH78" s="244"/>
      <c r="AI78" s="244"/>
      <c r="AJ78" s="244"/>
      <c r="AK78" s="244"/>
      <c r="AL78" s="244"/>
      <c r="AM78" s="244"/>
      <c r="AN78" s="244"/>
      <c r="AO78" s="244"/>
      <c r="AP78" s="244"/>
      <c r="AQ78" s="244"/>
      <c r="AR78" s="244"/>
      <c r="AS78" s="244"/>
      <c r="AT78" s="244"/>
      <c r="AU78" s="244"/>
      <c r="AV78" s="244"/>
      <c r="AW78" s="244"/>
      <c r="AX78" s="244"/>
      <c r="AY78" s="244"/>
      <c r="AZ78" s="244"/>
      <c r="BA78" s="244"/>
      <c r="BB78" s="244"/>
      <c r="BC78" s="244"/>
      <c r="BD78" s="244"/>
      <c r="BE78" s="244"/>
      <c r="BF78" s="244"/>
      <c r="BG78" s="244"/>
    </row>
    <row r="79">
      <c r="A79" s="244"/>
      <c r="B79" s="244"/>
      <c r="C79" s="265"/>
      <c r="D79" s="244"/>
      <c r="E79" s="244"/>
      <c r="F79" s="244"/>
      <c r="G79" s="244"/>
      <c r="H79" s="244"/>
      <c r="I79" s="244"/>
      <c r="J79" s="244"/>
      <c r="K79" s="244"/>
      <c r="L79" s="244"/>
      <c r="M79" s="244"/>
      <c r="N79" s="244"/>
      <c r="O79" s="244"/>
      <c r="P79" s="244"/>
      <c r="Q79" s="244"/>
      <c r="R79" s="244"/>
      <c r="S79" s="244"/>
      <c r="T79" s="244"/>
      <c r="U79" s="244"/>
      <c r="V79" s="244"/>
      <c r="W79" s="244"/>
      <c r="X79" s="244"/>
      <c r="Y79" s="244"/>
      <c r="Z79" s="244"/>
      <c r="AA79" s="244"/>
      <c r="AB79" s="244"/>
      <c r="AC79" s="244"/>
      <c r="AD79" s="244"/>
      <c r="AE79" s="244"/>
      <c r="AF79" s="244"/>
      <c r="AG79" s="244"/>
      <c r="AH79" s="244"/>
      <c r="AI79" s="244"/>
      <c r="AJ79" s="244"/>
      <c r="AK79" s="244"/>
      <c r="AL79" s="244"/>
      <c r="AM79" s="244"/>
      <c r="AN79" s="244"/>
      <c r="AO79" s="244"/>
      <c r="AP79" s="244"/>
      <c r="AQ79" s="244"/>
      <c r="AR79" s="244"/>
      <c r="AS79" s="244"/>
      <c r="AT79" s="244"/>
      <c r="AU79" s="244"/>
      <c r="AV79" s="244"/>
      <c r="AW79" s="244"/>
      <c r="AX79" s="244"/>
      <c r="AY79" s="244"/>
      <c r="AZ79" s="244"/>
      <c r="BA79" s="244"/>
      <c r="BB79" s="244"/>
      <c r="BC79" s="244"/>
      <c r="BD79" s="244"/>
      <c r="BE79" s="244"/>
      <c r="BF79" s="244"/>
      <c r="BG79" s="244"/>
    </row>
    <row r="80">
      <c r="A80" s="244"/>
      <c r="B80" s="244"/>
      <c r="C80" s="265"/>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row>
    <row r="81">
      <c r="A81" s="244"/>
      <c r="B81" s="244"/>
      <c r="C81" s="265"/>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row>
    <row r="82">
      <c r="A82" s="244"/>
      <c r="B82" s="244"/>
      <c r="C82" s="265"/>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row>
    <row r="83">
      <c r="A83" s="244"/>
      <c r="B83" s="244"/>
      <c r="C83" s="265"/>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row>
    <row r="84">
      <c r="A84" s="244"/>
      <c r="B84" s="244"/>
      <c r="C84" s="265"/>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row>
    <row r="85">
      <c r="A85" s="244"/>
      <c r="B85" s="244"/>
      <c r="C85" s="265"/>
      <c r="D85" s="244"/>
      <c r="E85" s="244"/>
      <c r="F85" s="244"/>
      <c r="G85" s="244"/>
      <c r="H85" s="244"/>
      <c r="I85" s="244"/>
      <c r="J85" s="244"/>
      <c r="K85" s="244"/>
      <c r="L85" s="244"/>
      <c r="M85" s="244"/>
      <c r="N85" s="244"/>
      <c r="O85" s="244"/>
      <c r="P85" s="244"/>
      <c r="Q85" s="244"/>
      <c r="R85" s="244"/>
      <c r="S85" s="244"/>
      <c r="T85" s="244"/>
      <c r="U85" s="244"/>
      <c r="V85" s="244"/>
      <c r="W85" s="244"/>
      <c r="X85" s="244"/>
      <c r="Y85" s="244"/>
      <c r="Z85" s="244"/>
      <c r="AA85" s="244"/>
      <c r="AB85" s="244"/>
      <c r="AC85" s="244"/>
      <c r="AD85" s="244"/>
      <c r="AE85" s="244"/>
      <c r="AF85" s="244"/>
      <c r="AG85" s="244"/>
      <c r="AH85" s="244"/>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row>
    <row r="86">
      <c r="A86" s="244"/>
      <c r="B86" s="244"/>
      <c r="C86" s="265"/>
      <c r="D86" s="244"/>
      <c r="E86" s="244"/>
      <c r="F86" s="244"/>
      <c r="G86" s="244"/>
      <c r="H86" s="244"/>
      <c r="I86" s="244"/>
      <c r="J86" s="244"/>
      <c r="K86" s="244"/>
      <c r="L86" s="244"/>
      <c r="M86" s="244"/>
      <c r="N86" s="244"/>
      <c r="O86" s="244"/>
      <c r="P86" s="244"/>
      <c r="Q86" s="244"/>
      <c r="R86" s="244"/>
      <c r="S86" s="244"/>
      <c r="T86" s="244"/>
      <c r="U86" s="244"/>
      <c r="V86" s="244"/>
      <c r="W86" s="244"/>
      <c r="X86" s="244"/>
      <c r="Y86" s="244"/>
      <c r="Z86" s="244"/>
      <c r="AA86" s="244"/>
      <c r="AB86" s="244"/>
      <c r="AC86" s="244"/>
      <c r="AD86" s="244"/>
      <c r="AE86" s="244"/>
      <c r="AF86" s="244"/>
      <c r="AG86" s="244"/>
      <c r="AH86" s="244"/>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row>
    <row r="87">
      <c r="A87" s="244"/>
      <c r="B87" s="244"/>
      <c r="C87" s="265"/>
      <c r="D87" s="244"/>
      <c r="E87" s="244"/>
      <c r="F87" s="244"/>
      <c r="G87" s="244"/>
      <c r="H87" s="244"/>
      <c r="I87" s="244"/>
      <c r="J87" s="244"/>
      <c r="K87" s="244"/>
      <c r="L87" s="244"/>
      <c r="M87" s="244"/>
      <c r="N87" s="244"/>
      <c r="O87" s="244"/>
      <c r="P87" s="244"/>
      <c r="Q87" s="244"/>
      <c r="R87" s="244"/>
      <c r="S87" s="244"/>
      <c r="T87" s="244"/>
      <c r="U87" s="244"/>
      <c r="V87" s="244"/>
      <c r="W87" s="244"/>
      <c r="X87" s="244"/>
      <c r="Y87" s="244"/>
      <c r="Z87" s="244"/>
      <c r="AA87" s="244"/>
      <c r="AB87" s="244"/>
      <c r="AC87" s="244"/>
      <c r="AD87" s="244"/>
      <c r="AE87" s="244"/>
      <c r="AF87" s="244"/>
      <c r="AG87" s="244"/>
      <c r="AH87" s="244"/>
      <c r="AI87" s="244"/>
      <c r="AJ87" s="244"/>
      <c r="AK87" s="244"/>
      <c r="AL87" s="244"/>
      <c r="AM87" s="244"/>
      <c r="AN87" s="244"/>
      <c r="AO87" s="244"/>
      <c r="AP87" s="244"/>
      <c r="AQ87" s="244"/>
      <c r="AR87" s="244"/>
      <c r="AS87" s="244"/>
      <c r="AT87" s="244"/>
      <c r="AU87" s="244"/>
      <c r="AV87" s="244"/>
      <c r="AW87" s="244"/>
      <c r="AX87" s="244"/>
      <c r="AY87" s="244"/>
      <c r="AZ87" s="244"/>
      <c r="BA87" s="244"/>
      <c r="BB87" s="244"/>
      <c r="BC87" s="244"/>
      <c r="BD87" s="244"/>
      <c r="BE87" s="244"/>
      <c r="BF87" s="244"/>
      <c r="BG87" s="244"/>
    </row>
    <row r="88">
      <c r="A88" s="244"/>
      <c r="B88" s="244"/>
      <c r="C88" s="265"/>
      <c r="D88" s="244"/>
      <c r="E88" s="244"/>
      <c r="F88" s="244"/>
      <c r="G88" s="244"/>
      <c r="H88" s="244"/>
      <c r="I88" s="244"/>
      <c r="J88" s="244"/>
      <c r="K88" s="244"/>
      <c r="L88" s="244"/>
      <c r="M88" s="244"/>
      <c r="N88" s="244"/>
      <c r="O88" s="244"/>
      <c r="P88" s="244"/>
      <c r="Q88" s="244"/>
      <c r="R88" s="244"/>
      <c r="S88" s="244"/>
      <c r="T88" s="244"/>
      <c r="U88" s="244"/>
      <c r="V88" s="244"/>
      <c r="W88" s="244"/>
      <c r="X88" s="244"/>
      <c r="Y88" s="244"/>
      <c r="Z88" s="244"/>
      <c r="AA88" s="244"/>
      <c r="AB88" s="244"/>
      <c r="AC88" s="244"/>
      <c r="AD88" s="244"/>
      <c r="AE88" s="244"/>
      <c r="AF88" s="244"/>
      <c r="AG88" s="244"/>
      <c r="AH88" s="244"/>
      <c r="AI88" s="244"/>
      <c r="AJ88" s="244"/>
      <c r="AK88" s="244"/>
      <c r="AL88" s="244"/>
      <c r="AM88" s="244"/>
      <c r="AN88" s="244"/>
      <c r="AO88" s="244"/>
      <c r="AP88" s="244"/>
      <c r="AQ88" s="244"/>
      <c r="AR88" s="244"/>
      <c r="AS88" s="244"/>
      <c r="AT88" s="244"/>
      <c r="AU88" s="244"/>
      <c r="AV88" s="244"/>
      <c r="AW88" s="244"/>
      <c r="AX88" s="244"/>
      <c r="AY88" s="244"/>
      <c r="AZ88" s="244"/>
      <c r="BA88" s="244"/>
      <c r="BB88" s="244"/>
      <c r="BC88" s="244"/>
      <c r="BD88" s="244"/>
      <c r="BE88" s="244"/>
      <c r="BF88" s="244"/>
      <c r="BG88" s="244"/>
    </row>
    <row r="89">
      <c r="A89" s="244"/>
      <c r="B89" s="244"/>
      <c r="C89" s="265"/>
      <c r="D89" s="244"/>
      <c r="E89" s="244"/>
      <c r="F89" s="244"/>
      <c r="G89" s="244"/>
      <c r="H89" s="244"/>
      <c r="I89" s="244"/>
      <c r="J89" s="244"/>
      <c r="K89" s="244"/>
      <c r="L89" s="244"/>
      <c r="M89" s="244"/>
      <c r="N89" s="244"/>
      <c r="O89" s="244"/>
      <c r="P89" s="244"/>
      <c r="Q89" s="244"/>
      <c r="R89" s="244"/>
      <c r="S89" s="244"/>
      <c r="T89" s="244"/>
      <c r="U89" s="244"/>
      <c r="V89" s="244"/>
      <c r="W89" s="244"/>
      <c r="X89" s="244"/>
      <c r="Y89" s="244"/>
      <c r="Z89" s="244"/>
      <c r="AA89" s="244"/>
      <c r="AB89" s="244"/>
      <c r="AC89" s="244"/>
      <c r="AD89" s="244"/>
      <c r="AE89" s="244"/>
      <c r="AF89" s="244"/>
      <c r="AG89" s="244"/>
      <c r="AH89" s="244"/>
      <c r="AI89" s="244"/>
      <c r="AJ89" s="244"/>
      <c r="AK89" s="244"/>
      <c r="AL89" s="244"/>
      <c r="AM89" s="244"/>
      <c r="AN89" s="244"/>
      <c r="AO89" s="244"/>
      <c r="AP89" s="244"/>
      <c r="AQ89" s="244"/>
      <c r="AR89" s="244"/>
      <c r="AS89" s="244"/>
      <c r="AT89" s="244"/>
      <c r="AU89" s="244"/>
      <c r="AV89" s="244"/>
      <c r="AW89" s="244"/>
      <c r="AX89" s="244"/>
      <c r="AY89" s="244"/>
      <c r="AZ89" s="244"/>
      <c r="BA89" s="244"/>
      <c r="BB89" s="244"/>
      <c r="BC89" s="244"/>
      <c r="BD89" s="244"/>
      <c r="BE89" s="244"/>
      <c r="BF89" s="244"/>
      <c r="BG89" s="244"/>
    </row>
    <row r="90">
      <c r="A90" s="244"/>
      <c r="B90" s="244"/>
      <c r="C90" s="265"/>
      <c r="D90" s="244"/>
      <c r="E90" s="244"/>
      <c r="F90" s="244"/>
      <c r="G90" s="244"/>
      <c r="H90" s="244"/>
      <c r="I90" s="244"/>
      <c r="J90" s="244"/>
      <c r="K90" s="244"/>
      <c r="L90" s="244"/>
      <c r="M90" s="244"/>
      <c r="N90" s="244"/>
      <c r="O90" s="244"/>
      <c r="P90" s="244"/>
      <c r="Q90" s="244"/>
      <c r="R90" s="244"/>
      <c r="S90" s="244"/>
      <c r="T90" s="244"/>
      <c r="U90" s="244"/>
      <c r="V90" s="244"/>
      <c r="W90" s="244"/>
      <c r="X90" s="244"/>
      <c r="Y90" s="244"/>
      <c r="Z90" s="244"/>
      <c r="AA90" s="244"/>
      <c r="AB90" s="244"/>
      <c r="AC90" s="244"/>
      <c r="AD90" s="244"/>
      <c r="AE90" s="244"/>
      <c r="AF90" s="244"/>
      <c r="AG90" s="244"/>
      <c r="AH90" s="244"/>
      <c r="AI90" s="244"/>
      <c r="AJ90" s="244"/>
      <c r="AK90" s="244"/>
      <c r="AL90" s="244"/>
      <c r="AM90" s="244"/>
      <c r="AN90" s="244"/>
      <c r="AO90" s="244"/>
      <c r="AP90" s="244"/>
      <c r="AQ90" s="244"/>
      <c r="AR90" s="244"/>
      <c r="AS90" s="244"/>
      <c r="AT90" s="244"/>
      <c r="AU90" s="244"/>
      <c r="AV90" s="244"/>
      <c r="AW90" s="244"/>
      <c r="AX90" s="244"/>
      <c r="AY90" s="244"/>
      <c r="AZ90" s="244"/>
      <c r="BA90" s="244"/>
      <c r="BB90" s="244"/>
      <c r="BC90" s="244"/>
      <c r="BD90" s="244"/>
      <c r="BE90" s="244"/>
      <c r="BF90" s="244"/>
      <c r="BG90" s="244"/>
    </row>
    <row r="91">
      <c r="A91" s="244"/>
      <c r="B91" s="244"/>
      <c r="C91" s="265"/>
      <c r="D91" s="244"/>
      <c r="E91" s="244"/>
      <c r="F91" s="244"/>
      <c r="G91" s="244"/>
      <c r="H91" s="244"/>
      <c r="I91" s="244"/>
      <c r="J91" s="244"/>
      <c r="K91" s="244"/>
      <c r="L91" s="244"/>
      <c r="M91" s="244"/>
      <c r="N91" s="244"/>
      <c r="O91" s="244"/>
      <c r="P91" s="244"/>
      <c r="Q91" s="244"/>
      <c r="R91" s="244"/>
      <c r="S91" s="244"/>
      <c r="T91" s="244"/>
      <c r="U91" s="244"/>
      <c r="V91" s="244"/>
      <c r="W91" s="244"/>
      <c r="X91" s="244"/>
      <c r="Y91" s="244"/>
      <c r="Z91" s="244"/>
      <c r="AA91" s="244"/>
      <c r="AB91" s="244"/>
      <c r="AC91" s="244"/>
      <c r="AD91" s="244"/>
      <c r="AE91" s="244"/>
      <c r="AF91" s="244"/>
      <c r="AG91" s="244"/>
      <c r="AH91" s="244"/>
      <c r="AI91" s="244"/>
      <c r="AJ91" s="244"/>
      <c r="AK91" s="244"/>
      <c r="AL91" s="244"/>
      <c r="AM91" s="244"/>
      <c r="AN91" s="244"/>
      <c r="AO91" s="244"/>
      <c r="AP91" s="244"/>
      <c r="AQ91" s="244"/>
      <c r="AR91" s="244"/>
      <c r="AS91" s="244"/>
      <c r="AT91" s="244"/>
      <c r="AU91" s="244"/>
      <c r="AV91" s="244"/>
      <c r="AW91" s="244"/>
      <c r="AX91" s="244"/>
      <c r="AY91" s="244"/>
      <c r="AZ91" s="244"/>
      <c r="BA91" s="244"/>
      <c r="BB91" s="244"/>
      <c r="BC91" s="244"/>
      <c r="BD91" s="244"/>
      <c r="BE91" s="244"/>
      <c r="BF91" s="244"/>
      <c r="BG91" s="244"/>
    </row>
    <row r="92">
      <c r="A92" s="244"/>
      <c r="B92" s="244"/>
      <c r="C92" s="265"/>
      <c r="D92" s="244"/>
      <c r="E92" s="244"/>
      <c r="F92" s="244"/>
      <c r="G92" s="244"/>
      <c r="H92" s="244"/>
      <c r="I92" s="244"/>
      <c r="J92" s="244"/>
      <c r="K92" s="244"/>
      <c r="L92" s="244"/>
      <c r="M92" s="244"/>
      <c r="N92" s="244"/>
      <c r="O92" s="244"/>
      <c r="P92" s="244"/>
      <c r="Q92" s="244"/>
      <c r="R92" s="244"/>
      <c r="S92" s="244"/>
      <c r="T92" s="244"/>
      <c r="U92" s="244"/>
      <c r="V92" s="244"/>
      <c r="W92" s="244"/>
      <c r="X92" s="244"/>
      <c r="Y92" s="244"/>
      <c r="Z92" s="244"/>
      <c r="AA92" s="244"/>
      <c r="AB92" s="244"/>
      <c r="AC92" s="244"/>
      <c r="AD92" s="244"/>
      <c r="AE92" s="244"/>
      <c r="AF92" s="244"/>
      <c r="AG92" s="244"/>
      <c r="AH92" s="244"/>
      <c r="AI92" s="244"/>
      <c r="AJ92" s="244"/>
      <c r="AK92" s="244"/>
      <c r="AL92" s="244"/>
      <c r="AM92" s="244"/>
      <c r="AN92" s="244"/>
      <c r="AO92" s="244"/>
      <c r="AP92" s="244"/>
      <c r="AQ92" s="244"/>
      <c r="AR92" s="244"/>
      <c r="AS92" s="244"/>
      <c r="AT92" s="244"/>
      <c r="AU92" s="244"/>
      <c r="AV92" s="244"/>
      <c r="AW92" s="244"/>
      <c r="AX92" s="244"/>
      <c r="AY92" s="244"/>
      <c r="AZ92" s="244"/>
      <c r="BA92" s="244"/>
      <c r="BB92" s="244"/>
      <c r="BC92" s="244"/>
      <c r="BD92" s="244"/>
      <c r="BE92" s="244"/>
      <c r="BF92" s="244"/>
      <c r="BG92" s="244"/>
    </row>
    <row r="93">
      <c r="A93" s="244"/>
      <c r="B93" s="244"/>
      <c r="C93" s="265"/>
      <c r="D93" s="244"/>
      <c r="E93" s="244"/>
      <c r="F93" s="244"/>
      <c r="G93" s="244"/>
      <c r="H93" s="244"/>
      <c r="I93" s="244"/>
      <c r="J93" s="244"/>
      <c r="K93" s="244"/>
      <c r="L93" s="244"/>
      <c r="M93" s="244"/>
      <c r="N93" s="244"/>
      <c r="O93" s="244"/>
      <c r="P93" s="244"/>
      <c r="Q93" s="244"/>
      <c r="R93" s="244"/>
      <c r="S93" s="244"/>
      <c r="T93" s="244"/>
      <c r="U93" s="244"/>
      <c r="V93" s="244"/>
      <c r="W93" s="244"/>
      <c r="X93" s="244"/>
      <c r="Y93" s="244"/>
      <c r="Z93" s="244"/>
      <c r="AA93" s="244"/>
      <c r="AB93" s="244"/>
      <c r="AC93" s="244"/>
      <c r="AD93" s="244"/>
      <c r="AE93" s="244"/>
      <c r="AF93" s="244"/>
      <c r="AG93" s="244"/>
      <c r="AH93" s="244"/>
      <c r="AI93" s="244"/>
      <c r="AJ93" s="244"/>
      <c r="AK93" s="244"/>
      <c r="AL93" s="244"/>
      <c r="AM93" s="244"/>
      <c r="AN93" s="244"/>
      <c r="AO93" s="244"/>
      <c r="AP93" s="244"/>
      <c r="AQ93" s="244"/>
      <c r="AR93" s="244"/>
      <c r="AS93" s="244"/>
      <c r="AT93" s="244"/>
      <c r="AU93" s="244"/>
      <c r="AV93" s="244"/>
      <c r="AW93" s="244"/>
      <c r="AX93" s="244"/>
      <c r="AY93" s="244"/>
      <c r="AZ93" s="244"/>
      <c r="BA93" s="244"/>
      <c r="BB93" s="244"/>
      <c r="BC93" s="244"/>
      <c r="BD93" s="244"/>
      <c r="BE93" s="244"/>
      <c r="BF93" s="244"/>
      <c r="BG93" s="244"/>
    </row>
    <row r="94">
      <c r="A94" s="244"/>
      <c r="B94" s="244"/>
      <c r="C94" s="265"/>
      <c r="D94" s="244"/>
      <c r="E94" s="244"/>
      <c r="F94" s="244"/>
      <c r="G94" s="244"/>
      <c r="H94" s="244"/>
      <c r="I94" s="244"/>
      <c r="J94" s="244"/>
      <c r="K94" s="244"/>
      <c r="L94" s="244"/>
      <c r="M94" s="244"/>
      <c r="N94" s="244"/>
      <c r="O94" s="244"/>
      <c r="P94" s="244"/>
      <c r="Q94" s="244"/>
      <c r="R94" s="244"/>
      <c r="S94" s="244"/>
      <c r="T94" s="244"/>
      <c r="U94" s="244"/>
      <c r="V94" s="244"/>
      <c r="W94" s="244"/>
      <c r="X94" s="244"/>
      <c r="Y94" s="244"/>
      <c r="Z94" s="244"/>
      <c r="AA94" s="244"/>
      <c r="AB94" s="244"/>
      <c r="AC94" s="244"/>
      <c r="AD94" s="244"/>
      <c r="AE94" s="244"/>
      <c r="AF94" s="244"/>
      <c r="AG94" s="244"/>
      <c r="AH94" s="244"/>
      <c r="AI94" s="244"/>
      <c r="AJ94" s="244"/>
      <c r="AK94" s="244"/>
      <c r="AL94" s="244"/>
      <c r="AM94" s="244"/>
      <c r="AN94" s="244"/>
      <c r="AO94" s="244"/>
      <c r="AP94" s="244"/>
      <c r="AQ94" s="244"/>
      <c r="AR94" s="244"/>
      <c r="AS94" s="244"/>
      <c r="AT94" s="244"/>
      <c r="AU94" s="244"/>
      <c r="AV94" s="244"/>
      <c r="AW94" s="244"/>
      <c r="AX94" s="244"/>
      <c r="AY94" s="244"/>
      <c r="AZ94" s="244"/>
      <c r="BA94" s="244"/>
      <c r="BB94" s="244"/>
      <c r="BC94" s="244"/>
      <c r="BD94" s="244"/>
      <c r="BE94" s="244"/>
      <c r="BF94" s="244"/>
      <c r="BG94" s="244"/>
    </row>
    <row r="95">
      <c r="A95" s="244"/>
      <c r="B95" s="244"/>
      <c r="C95" s="265"/>
      <c r="D95" s="244"/>
      <c r="E95" s="244"/>
      <c r="F95" s="244"/>
      <c r="G95" s="244"/>
      <c r="H95" s="244"/>
      <c r="I95" s="244"/>
      <c r="J95" s="244"/>
      <c r="K95" s="244"/>
      <c r="L95" s="244"/>
      <c r="M95" s="244"/>
      <c r="N95" s="244"/>
      <c r="O95" s="244"/>
      <c r="P95" s="244"/>
      <c r="Q95" s="244"/>
      <c r="R95" s="244"/>
      <c r="S95" s="244"/>
      <c r="T95" s="244"/>
      <c r="U95" s="244"/>
      <c r="V95" s="244"/>
      <c r="W95" s="244"/>
      <c r="X95" s="244"/>
      <c r="Y95" s="244"/>
      <c r="Z95" s="244"/>
      <c r="AA95" s="244"/>
      <c r="AB95" s="244"/>
      <c r="AC95" s="244"/>
      <c r="AD95" s="244"/>
      <c r="AE95" s="244"/>
      <c r="AF95" s="244"/>
      <c r="AG95" s="244"/>
      <c r="AH95" s="244"/>
      <c r="AI95" s="244"/>
      <c r="AJ95" s="244"/>
      <c r="AK95" s="244"/>
      <c r="AL95" s="244"/>
      <c r="AM95" s="244"/>
      <c r="AN95" s="244"/>
      <c r="AO95" s="244"/>
      <c r="AP95" s="244"/>
      <c r="AQ95" s="244"/>
      <c r="AR95" s="244"/>
      <c r="AS95" s="244"/>
      <c r="AT95" s="244"/>
      <c r="AU95" s="244"/>
      <c r="AV95" s="244"/>
      <c r="AW95" s="244"/>
      <c r="AX95" s="244"/>
      <c r="AY95" s="244"/>
      <c r="AZ95" s="244"/>
      <c r="BA95" s="244"/>
      <c r="BB95" s="244"/>
      <c r="BC95" s="244"/>
      <c r="BD95" s="244"/>
      <c r="BE95" s="244"/>
      <c r="BF95" s="244"/>
      <c r="BG95" s="244"/>
    </row>
    <row r="96">
      <c r="A96" s="244"/>
      <c r="B96" s="244"/>
      <c r="C96" s="265"/>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c r="BB96" s="244"/>
      <c r="BC96" s="244"/>
      <c r="BD96" s="244"/>
      <c r="BE96" s="244"/>
      <c r="BF96" s="244"/>
      <c r="BG96" s="244"/>
    </row>
    <row r="97">
      <c r="A97" s="244"/>
      <c r="B97" s="244"/>
      <c r="C97" s="265"/>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c r="BB97" s="244"/>
      <c r="BC97" s="244"/>
      <c r="BD97" s="244"/>
      <c r="BE97" s="244"/>
      <c r="BF97" s="244"/>
      <c r="BG97" s="244"/>
    </row>
    <row r="98">
      <c r="A98" s="244"/>
      <c r="B98" s="244"/>
      <c r="C98" s="265"/>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c r="BB98" s="244"/>
      <c r="BC98" s="244"/>
      <c r="BD98" s="244"/>
      <c r="BE98" s="244"/>
      <c r="BF98" s="244"/>
      <c r="BG98" s="244"/>
    </row>
    <row r="99">
      <c r="A99" s="244"/>
      <c r="B99" s="244"/>
      <c r="C99" s="265"/>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c r="BB99" s="244"/>
      <c r="BC99" s="244"/>
      <c r="BD99" s="244"/>
      <c r="BE99" s="244"/>
      <c r="BF99" s="244"/>
      <c r="BG99" s="244"/>
    </row>
    <row r="100">
      <c r="A100" s="244"/>
      <c r="B100" s="244"/>
      <c r="C100" s="265"/>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c r="BB100" s="244"/>
      <c r="BC100" s="244"/>
      <c r="BD100" s="244"/>
      <c r="BE100" s="244"/>
      <c r="BF100" s="244"/>
      <c r="BG100" s="244"/>
    </row>
    <row r="101">
      <c r="A101" s="244"/>
      <c r="B101" s="244"/>
      <c r="C101" s="265"/>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c r="BB101" s="244"/>
      <c r="BC101" s="244"/>
      <c r="BD101" s="244"/>
      <c r="BE101" s="244"/>
      <c r="BF101" s="244"/>
      <c r="BG101" s="244"/>
    </row>
    <row r="102">
      <c r="A102" s="244"/>
      <c r="B102" s="244"/>
      <c r="C102" s="265"/>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c r="BB102" s="244"/>
      <c r="BC102" s="244"/>
      <c r="BD102" s="244"/>
      <c r="BE102" s="244"/>
      <c r="BF102" s="244"/>
      <c r="BG102" s="244"/>
    </row>
    <row r="103">
      <c r="A103" s="244"/>
      <c r="B103" s="244"/>
      <c r="C103" s="265"/>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c r="BB103" s="244"/>
      <c r="BC103" s="244"/>
      <c r="BD103" s="244"/>
      <c r="BE103" s="244"/>
      <c r="BF103" s="244"/>
      <c r="BG103" s="244"/>
    </row>
    <row r="104">
      <c r="A104" s="244"/>
      <c r="B104" s="244"/>
      <c r="C104" s="265"/>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c r="AZ104" s="244"/>
      <c r="BA104" s="244"/>
      <c r="BB104" s="244"/>
      <c r="BC104" s="244"/>
      <c r="BD104" s="244"/>
      <c r="BE104" s="244"/>
      <c r="BF104" s="244"/>
      <c r="BG104" s="244"/>
    </row>
    <row r="105">
      <c r="A105" s="244"/>
      <c r="B105" s="244"/>
      <c r="C105" s="265"/>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c r="AZ105" s="244"/>
      <c r="BA105" s="244"/>
      <c r="BB105" s="244"/>
      <c r="BC105" s="244"/>
      <c r="BD105" s="244"/>
      <c r="BE105" s="244"/>
      <c r="BF105" s="244"/>
      <c r="BG105" s="244"/>
    </row>
  </sheetData>
  <mergeCells count="12">
    <mergeCell ref="D8:F8"/>
    <mergeCell ref="M8:O8"/>
    <mergeCell ref="D52:AB52"/>
    <mergeCell ref="R4:AA4"/>
    <mergeCell ref="J8:L8"/>
    <mergeCell ref="G8:I8"/>
    <mergeCell ref="Q7:AB7"/>
    <mergeCell ref="D7:O7"/>
    <mergeCell ref="Q8:S8"/>
    <mergeCell ref="T8:V8"/>
    <mergeCell ref="W8:Y8"/>
    <mergeCell ref="Z8:AB8"/>
  </mergeCells>
  <phoneticPr fontId="0" type="noConversion"/>
  <printOptions horizontalCentered="1" verticalCentered="1"/>
  <pageMargins left="0.25" right="0.25" top="0.25" bottom="0.25" header="0.17" footer="0.28"/>
  <pageSetup scale="67" orientation="landscape" r:id="rId1"/>
  <headerFooter alignWithMargins="0">
    <oddHeader/>
    <oddFooter/>
  </headerFooter>
  <drawing r:id="rId34"/>
</worksheet>
</file>

<file path=xl/worksheets/sheet34.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BA105"/>
  <sheetViews>
    <sheetView showGridLines="0" zoomScaleNormal="100" workbookViewId="0"/>
  </sheetViews>
  <sheetFormatPr defaultRowHeight="12.75"/>
  <cols>
    <col min="1" max="1" width="13.28515625" customWidth="1"/>
    <col min="2" max="2" width="3.85546875" customWidth="1"/>
    <col min="3" max="3" width="4.28515625" style="30" customWidth="1"/>
    <col min="4" max="15" width="7.7109375" customWidth="1"/>
    <col min="16" max="16" width="1.42578125" customWidth="1"/>
    <col min="17" max="28" width="7.7109375" customWidth="1"/>
    <col min="29" max="29" width="2.28515625" customWidth="1"/>
    <col min="30" max="32" width="9.140625" customWidth="1"/>
  </cols>
  <sheetData>
    <row r="1" ht="23.25">
      <c r="A1" s="39" t="s">
        <v>127</v>
      </c>
      <c r="B1" s="39"/>
      <c r="AD1" s="244"/>
      <c r="AE1" s="244"/>
      <c r="AF1" s="244"/>
      <c r="AG1" s="244"/>
      <c r="AH1" s="244"/>
      <c r="AI1" s="244"/>
      <c r="AJ1" s="244"/>
      <c r="AK1" s="244"/>
      <c r="AL1" s="244"/>
      <c r="AM1" s="244"/>
      <c r="AN1" s="244"/>
      <c r="AO1" s="244"/>
      <c r="AP1" s="244"/>
      <c r="AQ1" s="244"/>
      <c r="AR1" s="244"/>
      <c r="AS1" s="244"/>
      <c r="AT1" s="244"/>
      <c r="AU1" s="244"/>
      <c r="AV1" s="244"/>
      <c r="AW1" s="244"/>
      <c r="AX1" s="244"/>
      <c r="AY1" s="244"/>
      <c r="AZ1" s="244"/>
      <c r="BA1" s="244"/>
    </row>
    <row r="2" ht="15" customHeight="1">
      <c r="A2" s="10" t="s">
        <v>141</v>
      </c>
      <c r="AA2" s="216"/>
      <c r="AD2" s="244"/>
      <c r="AE2" s="244"/>
      <c r="AF2" s="244"/>
      <c r="AG2" s="244"/>
      <c r="AH2" s="244"/>
      <c r="AI2" s="244"/>
      <c r="AJ2" s="244"/>
      <c r="AK2" s="244"/>
      <c r="AL2" s="244"/>
      <c r="AM2" s="244"/>
      <c r="AN2" s="244"/>
      <c r="AO2" s="244"/>
      <c r="AP2" s="244"/>
      <c r="AQ2" s="244"/>
      <c r="AR2" s="244"/>
      <c r="AS2" s="244"/>
      <c r="AT2" s="244"/>
      <c r="AU2" s="244"/>
      <c r="AV2" s="244"/>
      <c r="AW2" s="244"/>
      <c r="AX2" s="244"/>
      <c r="AY2" s="244"/>
      <c r="AZ2" s="244"/>
      <c r="BA2" s="244"/>
    </row>
    <row r="3" ht="17.1" customHeight="1">
      <c r="A3" s="10" t="s">
        <v>142</v>
      </c>
      <c r="AD3" s="244"/>
      <c r="AE3" s="244"/>
      <c r="AF3" s="244"/>
      <c r="AG3" s="244"/>
      <c r="AH3" s="244"/>
      <c r="AI3" s="244"/>
      <c r="AJ3" s="244"/>
      <c r="AK3" s="244"/>
      <c r="AL3" s="244"/>
      <c r="AM3" s="244"/>
      <c r="AN3" s="244"/>
      <c r="AO3" s="244"/>
      <c r="AP3" s="244"/>
      <c r="AQ3" s="244"/>
      <c r="AR3" s="244"/>
      <c r="AS3" s="244"/>
      <c r="AT3" s="244"/>
      <c r="AU3" s="244"/>
      <c r="AV3" s="244"/>
      <c r="AW3" s="244"/>
      <c r="AX3" s="244"/>
      <c r="AY3" s="244"/>
      <c r="AZ3" s="244"/>
      <c r="BA3" s="244"/>
    </row>
    <row r="4" ht="17.1" customHeight="1">
      <c r="A4" t="s">
        <v>143</v>
      </c>
      <c r="B4" s="442"/>
      <c r="C4" s="211"/>
      <c r="D4" s="212"/>
      <c r="E4" s="212"/>
      <c r="F4" s="212"/>
      <c r="G4" s="212"/>
      <c r="H4" s="212"/>
      <c r="I4" s="212"/>
      <c r="J4" s="212"/>
      <c r="K4" s="212"/>
      <c r="L4" s="212"/>
      <c r="M4" s="212"/>
      <c r="N4" s="212"/>
      <c r="O4" s="212"/>
      <c r="P4" s="212"/>
      <c r="Q4" s="212"/>
      <c r="R4" s="675" t="s">
        <v>146</v>
      </c>
      <c r="S4" s="675"/>
      <c r="T4" s="675"/>
      <c r="U4" s="675"/>
      <c r="V4" s="675"/>
      <c r="W4" s="675"/>
      <c r="X4" s="675"/>
      <c r="Y4" s="675"/>
      <c r="Z4" s="675"/>
      <c r="AA4" s="675"/>
      <c r="AD4" s="244"/>
      <c r="AE4" s="244"/>
      <c r="AF4" s="244"/>
      <c r="AG4" s="244"/>
      <c r="AH4" s="244"/>
      <c r="AI4" s="244"/>
      <c r="AJ4" s="244"/>
      <c r="AK4" s="244"/>
      <c r="AL4" s="244"/>
      <c r="AM4" s="244"/>
      <c r="AN4" s="244"/>
      <c r="AO4" s="244"/>
      <c r="AP4" s="244"/>
      <c r="AQ4" s="244"/>
      <c r="AR4" s="244"/>
      <c r="AS4" s="244"/>
      <c r="AT4" s="244"/>
      <c r="AU4" s="244"/>
      <c r="AV4" s="244"/>
      <c r="AW4" s="244"/>
      <c r="AX4" s="244"/>
      <c r="AY4" s="244"/>
      <c r="AZ4" s="244"/>
      <c r="BA4" s="244"/>
    </row>
    <row r="5" ht="13.5" customHeight="1">
      <c r="B5" s="211"/>
      <c r="C5" s="211"/>
      <c r="D5" s="212"/>
      <c r="E5" s="212"/>
      <c r="F5" s="212"/>
      <c r="G5" s="212"/>
      <c r="H5" s="212"/>
      <c r="I5" s="212"/>
      <c r="J5" s="212"/>
      <c r="K5" s="212"/>
      <c r="L5" s="212"/>
      <c r="M5" s="212"/>
      <c r="N5" s="212"/>
      <c r="O5" s="212"/>
      <c r="P5" s="212"/>
      <c r="Q5" s="212"/>
      <c r="R5" s="212"/>
      <c r="S5" s="212"/>
      <c r="T5" s="212"/>
      <c r="AD5" s="244"/>
      <c r="AE5" s="244"/>
      <c r="AF5" s="244"/>
      <c r="AG5" s="244"/>
      <c r="AH5" s="244"/>
      <c r="AI5" s="244"/>
      <c r="AJ5" s="244"/>
      <c r="AK5" s="244"/>
      <c r="AL5" s="244"/>
      <c r="AM5" s="244"/>
      <c r="AN5" s="244"/>
      <c r="AO5" s="244"/>
      <c r="AP5" s="244"/>
      <c r="AQ5" s="244"/>
      <c r="AR5" s="244"/>
      <c r="AS5" s="244"/>
      <c r="AT5" s="244"/>
      <c r="AU5" s="244"/>
      <c r="AV5" s="244"/>
      <c r="AW5" s="244"/>
      <c r="AX5" s="244"/>
      <c r="AY5" s="244"/>
      <c r="AZ5" s="244"/>
      <c r="BA5" s="244"/>
    </row>
    <row r="6" ht="12.75" customHeight="1">
      <c r="AD6" s="244"/>
      <c r="AE6" s="244"/>
      <c r="AF6" s="244"/>
      <c r="AG6" s="244"/>
      <c r="AH6" s="244"/>
      <c r="AI6" s="244"/>
      <c r="AJ6" s="244"/>
      <c r="AK6" s="244"/>
      <c r="AL6" s="244"/>
      <c r="AM6" s="244"/>
      <c r="AN6" s="244"/>
      <c r="AO6" s="244"/>
      <c r="AP6" s="244"/>
      <c r="AQ6" s="244"/>
      <c r="AR6" s="244"/>
      <c r="AS6" s="244"/>
      <c r="AT6" s="244"/>
      <c r="AU6" s="244"/>
      <c r="AV6" s="244"/>
      <c r="AW6" s="244"/>
      <c r="AX6" s="244"/>
      <c r="AY6" s="244"/>
      <c r="AZ6" s="244"/>
      <c r="BA6" s="244"/>
    </row>
    <row r="7" ht="15.75">
      <c r="D7" s="621" t="s">
        <v>12</v>
      </c>
      <c r="E7" s="621"/>
      <c r="F7" s="621"/>
      <c r="G7" s="621"/>
      <c r="H7" s="621"/>
      <c r="I7" s="621"/>
      <c r="J7" s="621"/>
      <c r="K7" s="621"/>
      <c r="L7" s="621"/>
      <c r="M7" s="621"/>
      <c r="N7" s="621"/>
      <c r="O7" s="621"/>
      <c r="Q7" s="621" t="s">
        <v>86</v>
      </c>
      <c r="R7" s="621"/>
      <c r="S7" s="621"/>
      <c r="T7" s="621"/>
      <c r="U7" s="621"/>
      <c r="V7" s="621"/>
      <c r="W7" s="621"/>
      <c r="X7" s="621"/>
      <c r="Y7" s="621"/>
      <c r="Z7" s="621"/>
      <c r="AA7" s="621"/>
      <c r="AB7" s="621"/>
      <c r="AD7" s="244"/>
      <c r="AE7" s="244"/>
      <c r="AF7" s="244"/>
      <c r="AG7" s="244"/>
      <c r="AH7" s="244"/>
      <c r="AI7" s="244"/>
      <c r="AJ7" s="244"/>
      <c r="AK7" s="244"/>
      <c r="AL7" s="244"/>
      <c r="AM7" s="244"/>
      <c r="AN7" s="244"/>
      <c r="AO7" s="244"/>
      <c r="AP7" s="244"/>
      <c r="AQ7" s="244"/>
      <c r="AR7" s="244"/>
      <c r="AS7" s="244"/>
      <c r="AT7" s="244"/>
      <c r="AU7" s="244"/>
      <c r="AV7" s="244"/>
      <c r="AW7" s="244"/>
      <c r="AX7" s="244"/>
      <c r="AY7" s="244"/>
      <c r="AZ7" s="244"/>
      <c r="BA7" s="244"/>
    </row>
    <row r="8" ht="15.75">
      <c r="D8" s="676" t="s">
        <v>21</v>
      </c>
      <c r="E8" s="676"/>
      <c r="F8" s="676"/>
      <c r="G8" s="676" t="s">
        <v>24</v>
      </c>
      <c r="H8" s="676"/>
      <c r="I8" s="676"/>
      <c r="J8" s="676" t="s">
        <v>25</v>
      </c>
      <c r="K8" s="676"/>
      <c r="L8" s="676"/>
      <c r="M8" s="676" t="s">
        <v>23</v>
      </c>
      <c r="N8" s="676"/>
      <c r="O8" s="676"/>
      <c r="Q8" s="676" t="s">
        <v>21</v>
      </c>
      <c r="R8" s="676"/>
      <c r="S8" s="676"/>
      <c r="T8" s="676" t="s">
        <v>24</v>
      </c>
      <c r="U8" s="676"/>
      <c r="V8" s="676"/>
      <c r="W8" s="676" t="s">
        <v>25</v>
      </c>
      <c r="X8" s="676"/>
      <c r="Y8" s="676"/>
      <c r="Z8" s="676" t="s">
        <v>23</v>
      </c>
      <c r="AA8" s="676"/>
      <c r="AB8" s="676"/>
      <c r="AD8" s="244"/>
      <c r="AE8" s="244"/>
      <c r="AF8" s="244"/>
      <c r="AG8" s="244"/>
      <c r="AH8" s="244"/>
      <c r="AI8" s="244"/>
      <c r="AJ8" s="244"/>
      <c r="AK8" s="244"/>
      <c r="AL8" s="244"/>
      <c r="AM8" s="244"/>
      <c r="AN8" s="244"/>
      <c r="AO8" s="244"/>
      <c r="AP8" s="244"/>
      <c r="AQ8" s="244"/>
      <c r="AR8" s="244"/>
      <c r="AS8" s="244"/>
      <c r="AT8" s="244"/>
      <c r="AU8" s="244"/>
      <c r="AV8" s="244"/>
      <c r="AW8" s="244"/>
      <c r="AX8" s="244"/>
      <c r="AY8" s="244"/>
      <c r="AZ8" s="244"/>
      <c r="BA8" s="244"/>
    </row>
    <row r="9" ht="27" customHeight="1">
      <c r="A9" s="92"/>
      <c r="D9" s="339" t="s">
        <v>63</v>
      </c>
      <c r="E9" s="340" t="s">
        <v>26</v>
      </c>
      <c r="F9" s="341" t="s">
        <v>147</v>
      </c>
      <c r="G9" s="339" t="s">
        <v>63</v>
      </c>
      <c r="H9" s="340" t="s">
        <v>26</v>
      </c>
      <c r="I9" s="341" t="s">
        <v>147</v>
      </c>
      <c r="J9" s="339" t="s">
        <v>63</v>
      </c>
      <c r="K9" s="340" t="s">
        <v>26</v>
      </c>
      <c r="L9" s="341" t="s">
        <v>147</v>
      </c>
      <c r="M9" s="339" t="s">
        <v>63</v>
      </c>
      <c r="N9" s="340" t="s">
        <v>26</v>
      </c>
      <c r="O9" s="341" t="s">
        <v>147</v>
      </c>
      <c r="P9" s="96"/>
      <c r="Q9" s="339" t="s">
        <v>63</v>
      </c>
      <c r="R9" s="340" t="s">
        <v>26</v>
      </c>
      <c r="S9" s="341" t="s">
        <v>147</v>
      </c>
      <c r="T9" s="339" t="s">
        <v>63</v>
      </c>
      <c r="U9" s="340" t="s">
        <v>26</v>
      </c>
      <c r="V9" s="341" t="s">
        <v>147</v>
      </c>
      <c r="W9" s="339" t="s">
        <v>63</v>
      </c>
      <c r="X9" s="340" t="s">
        <v>26</v>
      </c>
      <c r="Y9" s="341" t="s">
        <v>147</v>
      </c>
      <c r="Z9" s="339" t="s">
        <v>63</v>
      </c>
      <c r="AA9" s="340" t="s">
        <v>26</v>
      </c>
      <c r="AB9" s="341" t="s">
        <v>147</v>
      </c>
      <c r="AD9" s="244"/>
      <c r="AE9" s="244"/>
      <c r="AF9" s="244"/>
      <c r="AG9" s="244"/>
      <c r="AH9" s="244"/>
      <c r="AI9" s="244"/>
      <c r="AJ9" s="244"/>
      <c r="AK9" s="244"/>
      <c r="AL9" s="244"/>
      <c r="AM9" s="244"/>
      <c r="AN9" s="244"/>
      <c r="AO9" s="244"/>
      <c r="AP9" s="244"/>
      <c r="AQ9" s="244"/>
      <c r="AR9" s="244"/>
      <c r="AS9" s="244"/>
      <c r="AT9" s="244"/>
      <c r="AU9" s="244"/>
      <c r="AV9" s="244"/>
      <c r="AW9" s="244"/>
      <c r="AX9" s="244"/>
      <c r="AY9" s="244"/>
      <c r="AZ9" s="244"/>
      <c r="BA9" s="244"/>
    </row>
    <row r="10" ht="15.6" customHeight="1">
      <c r="A10" s="92" t="s">
        <v>148</v>
      </c>
      <c r="B10" s="342">
        <v>22</v>
      </c>
      <c r="C10" s="343" t="s">
        <v>49</v>
      </c>
      <c r="D10" s="374">
        <v>86.97297297297297297297297297</v>
      </c>
      <c r="E10" s="382">
        <v>134.52317138883421005431682955</v>
      </c>
      <c r="F10" s="375">
        <v>119.71049372868093382257978744</v>
      </c>
      <c r="G10" s="374">
        <v>97.5</v>
      </c>
      <c r="H10" s="382">
        <v>163.25281773537679505307559333</v>
      </c>
      <c r="I10" s="375">
        <v>107.32554544914095475893228702</v>
      </c>
      <c r="J10" s="374">
        <v>91</v>
      </c>
      <c r="K10" s="382">
        <v>121.46229555981796321386680773</v>
      </c>
      <c r="L10" s="375">
        <v>84.18352059925093632958801498</v>
      </c>
      <c r="M10" s="374">
        <v>88.20454545454545454545454545</v>
      </c>
      <c r="N10" s="382">
        <v>134.99008810572687224669603523</v>
      </c>
      <c r="O10" s="375">
        <v>118.12403100775193798449612403</v>
      </c>
      <c r="P10" s="4"/>
      <c r="Q10" s="354">
        <v>-35.142017244595283306240205340</v>
      </c>
      <c r="R10" s="355">
        <v>9.074699282479713891266015040</v>
      </c>
      <c r="S10" s="356">
        <v>2.1985575009969718771603564200</v>
      </c>
      <c r="T10" s="354">
        <v>0</v>
      </c>
      <c r="U10" s="355">
        <v>0.8495265391693222568726686400</v>
      </c>
      <c r="V10" s="356">
        <v>7.6950684001646361402947987500</v>
      </c>
      <c r="W10" s="354">
        <v>-24.793388429752066115702479340</v>
      </c>
      <c r="X10" s="355">
        <v>1.694459255094566674254652400</v>
      </c>
      <c r="Y10" s="356">
        <v>-27.013996904356350564343975150</v>
      </c>
      <c r="Z10" s="354">
        <v>-33.782630950327173735181821250</v>
      </c>
      <c r="AA10" s="355">
        <v>3.3869844483780306738405392700</v>
      </c>
      <c r="AB10" s="356">
        <v>2.2149268367369020326490219900</v>
      </c>
      <c r="AD10" s="244"/>
      <c r="AE10" s="244"/>
      <c r="AF10" s="244"/>
      <c r="AG10" s="244"/>
      <c r="AH10" s="244"/>
      <c r="AI10" s="244"/>
      <c r="AJ10" s="244"/>
      <c r="AK10" s="244"/>
      <c r="AL10" s="244"/>
      <c r="AM10" s="244"/>
      <c r="AN10" s="244"/>
      <c r="AO10" s="244"/>
      <c r="AP10" s="244"/>
      <c r="AQ10" s="244"/>
      <c r="AR10" s="244"/>
      <c r="AS10" s="244"/>
      <c r="AT10" s="244"/>
      <c r="AU10" s="244"/>
      <c r="AV10" s="244"/>
      <c r="AW10" s="244"/>
      <c r="AX10" s="244"/>
      <c r="AY10" s="244"/>
      <c r="AZ10" s="244"/>
      <c r="BA10" s="244"/>
    </row>
    <row r="11" ht="15.6" customHeight="1">
      <c r="A11" s="92"/>
      <c r="B11" s="344">
        <v>23</v>
      </c>
      <c r="C11" s="345" t="s">
        <v>47</v>
      </c>
      <c r="D11" s="370">
        <v>97.18571428571428571428571429</v>
      </c>
      <c r="E11" s="172">
        <v>144.44160951172603195792669007</v>
      </c>
      <c r="F11" s="371">
        <v>134.2094575444218613000854188</v>
      </c>
      <c r="G11" s="370">
        <v>102.89655172413793103448275862</v>
      </c>
      <c r="H11" s="172">
        <v>112.89484585232328944851504087</v>
      </c>
      <c r="I11" s="371">
        <v>110.5699816993484118626496826</v>
      </c>
      <c r="J11" s="370">
        <v>96</v>
      </c>
      <c r="K11" s="172">
        <v>119.67157549567943845175026406</v>
      </c>
      <c r="L11" s="371">
        <v>90.5611345395651114672083615</v>
      </c>
      <c r="M11" s="370">
        <v>98.77450980392156862745098039</v>
      </c>
      <c r="N11" s="172">
        <v>141.07851785714285714285714285</v>
      </c>
      <c r="O11" s="371">
        <v>130.73790322580645161290322581</v>
      </c>
      <c r="P11" s="4"/>
      <c r="Q11" s="327">
        <v>6.306841266368722067693846300</v>
      </c>
      <c r="R11" s="171">
        <v>-4.5965875589318140284728378500</v>
      </c>
      <c r="S11" s="328">
        <v>0.6882773461146921617593833600</v>
      </c>
      <c r="T11" s="327">
        <v>0</v>
      </c>
      <c r="U11" s="171">
        <v>-24.138771015999249596465741450</v>
      </c>
      <c r="V11" s="328">
        <v>-12.285650114379069436022788440</v>
      </c>
      <c r="W11" s="327">
        <v>28.00</v>
      </c>
      <c r="X11" s="171">
        <v>2.7573315549255255860924972900</v>
      </c>
      <c r="Y11" s="328">
        <v>28.380139263744459570598267900</v>
      </c>
      <c r="Z11" s="327">
        <v>9.154483311299355138403182830</v>
      </c>
      <c r="AA11" s="171">
        <v>-4.5202907656743841643115945200</v>
      </c>
      <c r="AB11" s="328">
        <v>-0.9105277339517407362556927900</v>
      </c>
      <c r="AD11" s="244"/>
      <c r="AE11" s="244"/>
      <c r="AF11" s="244"/>
      <c r="AG11" s="244"/>
      <c r="AH11" s="244"/>
      <c r="AI11" s="244"/>
      <c r="AJ11" s="244"/>
      <c r="AK11" s="244"/>
      <c r="AL11" s="244"/>
      <c r="AM11" s="244"/>
      <c r="AN11" s="244"/>
      <c r="AO11" s="244"/>
      <c r="AP11" s="244"/>
      <c r="AQ11" s="244"/>
      <c r="AR11" s="244"/>
      <c r="AS11" s="244"/>
      <c r="AT11" s="244"/>
      <c r="AU11" s="244"/>
      <c r="AV11" s="244"/>
      <c r="AW11" s="244"/>
      <c r="AX11" s="244"/>
      <c r="AY11" s="244"/>
      <c r="AZ11" s="244"/>
      <c r="BA11" s="244"/>
    </row>
    <row r="12" ht="15.6" customHeight="1">
      <c r="A12" s="92"/>
      <c r="B12" s="346">
        <v>24</v>
      </c>
      <c r="C12" s="347" t="s">
        <v>48</v>
      </c>
      <c r="D12" s="378">
        <v>98.22222222222222222222222222</v>
      </c>
      <c r="E12" s="173">
        <v>146.19641371125030923708506896</v>
      </c>
      <c r="F12" s="379">
        <v>145.26799971777356831564479622</v>
      </c>
      <c r="G12" s="378">
        <v>102.8125</v>
      </c>
      <c r="H12" s="173">
        <v>153.23952004230880620712312709</v>
      </c>
      <c r="I12" s="379">
        <v>114.36374838645857134108202683</v>
      </c>
      <c r="J12" s="378">
        <v>96</v>
      </c>
      <c r="K12" s="173">
        <v>120.55773790562592504542158884</v>
      </c>
      <c r="L12" s="379">
        <v>89.59674650678573882910219542</v>
      </c>
      <c r="M12" s="378">
        <v>99.56603773584905660377358491</v>
      </c>
      <c r="N12" s="173">
        <v>144.04239520958083832335329341</v>
      </c>
      <c r="O12" s="379">
        <v>141.46535181236673773987206823</v>
      </c>
      <c r="P12" s="4"/>
      <c r="Q12" s="359">
        <v>-20.717488789244778700557018410</v>
      </c>
      <c r="R12" s="170">
        <v>-5.042947267921802016689929500</v>
      </c>
      <c r="S12" s="360">
        <v>5.2331524675230153459088124900</v>
      </c>
      <c r="T12" s="359">
        <v>0</v>
      </c>
      <c r="U12" s="170">
        <v>10.956772393560166481294554740</v>
      </c>
      <c r="V12" s="360">
        <v>-10.953305652638815923003050110</v>
      </c>
      <c r="W12" s="359">
        <v>-11.384615384588118343195257880</v>
      </c>
      <c r="X12" s="170">
        <v>0.7527029192179701022684697700</v>
      </c>
      <c r="Y12" s="360">
        <v>-11.552156677108944771261875610</v>
      </c>
      <c r="Z12" s="359">
        <v>-18.848997456669662266357370900</v>
      </c>
      <c r="AA12" s="170">
        <v>-3.5262939726882847072279276700</v>
      </c>
      <c r="AB12" s="360">
        <v>3.9697990168994687838500471300</v>
      </c>
      <c r="AD12" s="244"/>
      <c r="AE12" s="244"/>
      <c r="AF12" s="244"/>
      <c r="AG12" s="244"/>
      <c r="AH12" s="244"/>
      <c r="AI12" s="244"/>
      <c r="AJ12" s="244"/>
      <c r="AK12" s="244"/>
      <c r="AL12" s="244"/>
      <c r="AM12" s="244"/>
      <c r="AN12" s="244"/>
      <c r="AO12" s="244"/>
      <c r="AP12" s="244"/>
      <c r="AQ12" s="244"/>
      <c r="AR12" s="244"/>
      <c r="AS12" s="244"/>
      <c r="AT12" s="244"/>
      <c r="AU12" s="244"/>
      <c r="AV12" s="244"/>
      <c r="AW12" s="244"/>
      <c r="AX12" s="244"/>
      <c r="AY12" s="244"/>
      <c r="AZ12" s="244"/>
      <c r="BA12" s="244"/>
    </row>
    <row r="13" ht="15.6" customHeight="1">
      <c r="A13" s="92"/>
      <c r="B13" s="344">
        <v>25</v>
      </c>
      <c r="C13" s="345" t="s">
        <v>50</v>
      </c>
      <c r="D13" s="370">
        <v>94.65277777777777777777777778</v>
      </c>
      <c r="E13" s="172">
        <v>143.38603778887184868031071851</v>
      </c>
      <c r="F13" s="371">
        <v>144.44717411391140125504737413</v>
      </c>
      <c r="G13" s="370">
        <v>106.4375</v>
      </c>
      <c r="H13" s="172">
        <v>174.24800580930720697582612564</v>
      </c>
      <c r="I13" s="371">
        <v>111.16538551690287251034039868</v>
      </c>
      <c r="J13" s="370">
        <v>99.33333333333333333333333333</v>
      </c>
      <c r="K13" s="172">
        <v>122.9838533698684613191658648</v>
      </c>
      <c r="L13" s="371">
        <v>93.27807651779235552370240795</v>
      </c>
      <c r="M13" s="370">
        <v>98.30841121495327102803738318</v>
      </c>
      <c r="N13" s="172">
        <v>146.02247104247104247104247105</v>
      </c>
      <c r="O13" s="371">
        <v>140.17082429501084598698481562</v>
      </c>
      <c r="P13" s="4"/>
      <c r="Q13" s="327">
        <v>-17.299424450467962095646548570</v>
      </c>
      <c r="R13" s="171">
        <v>-0.3970461068429663425022113900</v>
      </c>
      <c r="S13" s="328">
        <v>5.7789158493942677185410418800</v>
      </c>
      <c r="T13" s="327">
        <v>0</v>
      </c>
      <c r="U13" s="171">
        <v>55.992995931925464674833573650</v>
      </c>
      <c r="V13" s="328">
        <v>-4.8351078115658379539032851900</v>
      </c>
      <c r="W13" s="327">
        <v>8.759124087630933986893295960</v>
      </c>
      <c r="X13" s="171">
        <v>0.4881171723856742766290391700</v>
      </c>
      <c r="Y13" s="328">
        <v>6.5313887520665345147516435800</v>
      </c>
      <c r="Z13" s="327">
        <v>-12.932916656694892114182271820</v>
      </c>
      <c r="AA13" s="171">
        <v>6.2090461497177291185998630500</v>
      </c>
      <c r="AB13" s="328">
        <v>4.5629744605801120984480290400</v>
      </c>
      <c r="AD13" s="244"/>
      <c r="AE13" s="244"/>
      <c r="AF13" s="244"/>
      <c r="AG13" s="244"/>
      <c r="AH13" s="244"/>
      <c r="AI13" s="244"/>
      <c r="AJ13" s="244"/>
      <c r="AK13" s="244"/>
      <c r="AL13" s="244"/>
      <c r="AM13" s="244"/>
      <c r="AN13" s="244"/>
      <c r="AO13" s="244"/>
      <c r="AP13" s="244"/>
      <c r="AQ13" s="244"/>
      <c r="AR13" s="244"/>
      <c r="AS13" s="244"/>
      <c r="AT13" s="244"/>
      <c r="AU13" s="244"/>
      <c r="AV13" s="244"/>
      <c r="AW13" s="244"/>
      <c r="AX13" s="244"/>
      <c r="AY13" s="244"/>
      <c r="AZ13" s="244"/>
      <c r="BA13" s="244"/>
    </row>
    <row r="14" ht="15.6" customHeight="1">
      <c r="A14" s="92"/>
      <c r="B14" s="346">
        <v>26</v>
      </c>
      <c r="C14" s="347" t="s">
        <v>51</v>
      </c>
      <c r="D14" s="378">
        <v>96.890625</v>
      </c>
      <c r="E14" s="173">
        <v>148.43125925568668561108929443</v>
      </c>
      <c r="F14" s="379">
        <v>130.42966649403133083819290987</v>
      </c>
      <c r="G14" s="378">
        <v>124.42857142857142857142857143</v>
      </c>
      <c r="H14" s="173">
        <v>177.7709783189494784207762529</v>
      </c>
      <c r="I14" s="379">
        <v>123.16730113080314621783530375</v>
      </c>
      <c r="J14" s="378">
        <v>104</v>
      </c>
      <c r="K14" s="173">
        <v>121.09902214344545006515966221</v>
      </c>
      <c r="L14" s="379">
        <v>98.92407393792822991278019643</v>
      </c>
      <c r="M14" s="378">
        <v>99.72602739726027397260273973</v>
      </c>
      <c r="N14" s="173">
        <v>153.67954397394136807817589578</v>
      </c>
      <c r="O14" s="379">
        <v>129.1979418886198547215496368</v>
      </c>
      <c r="P14" s="4"/>
      <c r="Q14" s="359">
        <v>-6.1827003339211410015579562100</v>
      </c>
      <c r="R14" s="170">
        <v>16.234296238319514063570576560</v>
      </c>
      <c r="S14" s="360">
        <v>6.8499069421570843735824103700</v>
      </c>
      <c r="T14" s="359">
        <v>0</v>
      </c>
      <c r="U14" s="170">
        <v>35.246145916823695377569508160</v>
      </c>
      <c r="V14" s="360">
        <v>17.102422261678392942360335620</v>
      </c>
      <c r="W14" s="359">
        <v>27.346938775458225739275323170</v>
      </c>
      <c r="X14" s="170">
        <v>2.0697228667869304003915168100</v>
      </c>
      <c r="Y14" s="360">
        <v>27.149140814248905078130875710</v>
      </c>
      <c r="Z14" s="359">
        <v>-1.5051581261626923727380348300</v>
      </c>
      <c r="AA14" s="170">
        <v>20.864390246486163599996187490</v>
      </c>
      <c r="AB14" s="360">
        <v>7.3247759681434054054467233100</v>
      </c>
      <c r="AD14" s="244"/>
      <c r="AE14" s="244"/>
      <c r="AF14" s="244"/>
      <c r="AG14" s="244"/>
      <c r="AH14" s="244"/>
      <c r="AI14" s="244"/>
      <c r="AJ14" s="244"/>
      <c r="AK14" s="244"/>
      <c r="AL14" s="244"/>
      <c r="AM14" s="244"/>
      <c r="AN14" s="244"/>
      <c r="AO14" s="244"/>
      <c r="AP14" s="244"/>
      <c r="AQ14" s="244"/>
      <c r="AR14" s="244"/>
      <c r="AS14" s="244"/>
      <c r="AT14" s="244"/>
      <c r="AU14" s="244"/>
      <c r="AV14" s="244"/>
      <c r="AW14" s="244"/>
      <c r="AX14" s="244"/>
      <c r="AY14" s="244"/>
      <c r="AZ14" s="244"/>
      <c r="BA14" s="244"/>
    </row>
    <row r="15" ht="15.6" customHeight="1">
      <c r="A15" s="92"/>
      <c r="B15" s="344">
        <v>27</v>
      </c>
      <c r="C15" s="345" t="s">
        <v>52</v>
      </c>
      <c r="D15" s="370">
        <v>111.58558558558558558558558559</v>
      </c>
      <c r="E15" s="172">
        <v>137.77625944940028717361429028</v>
      </c>
      <c r="F15" s="371">
        <v>122.23945679668091664730017866</v>
      </c>
      <c r="G15" s="370">
        <v>122.66666666666666666666666667</v>
      </c>
      <c r="H15" s="172">
        <v>149.31724353781205672367321144</v>
      </c>
      <c r="I15" s="371">
        <v>120.02758209812895037318629353</v>
      </c>
      <c r="J15" s="370">
        <v>101</v>
      </c>
      <c r="K15" s="172">
        <v>122.22821276641615162360404317</v>
      </c>
      <c r="L15" s="371">
        <v>96.47763409540453739822075506</v>
      </c>
      <c r="M15" s="370">
        <v>111.69672131147540983606557377</v>
      </c>
      <c r="N15" s="172">
        <v>139.84824836601307189542483661</v>
      </c>
      <c r="O15" s="371">
        <v>121.75192421551213735938425104</v>
      </c>
      <c r="P15" s="4"/>
      <c r="Q15" s="327">
        <v>4.0752877909576788100179584800</v>
      </c>
      <c r="R15" s="171">
        <v>11.739345553955568810683652180</v>
      </c>
      <c r="S15" s="328">
        <v>-1.3855935538102334928106753600</v>
      </c>
      <c r="T15" s="327">
        <v>-6.4010173802776088114013471400</v>
      </c>
      <c r="U15" s="171">
        <v>-0.2803192306834654543606821400</v>
      </c>
      <c r="V15" s="328">
        <v>4.320390375134585415357181700</v>
      </c>
      <c r="W15" s="327">
        <v>7.4468085106382978723404255300</v>
      </c>
      <c r="X15" s="171">
        <v>0.4967174677137901464342416200</v>
      </c>
      <c r="Y15" s="328">
        <v>1.1889711783401389392153157600</v>
      </c>
      <c r="Z15" s="327">
        <v>0.3422082703419271990749350300</v>
      </c>
      <c r="AA15" s="171">
        <v>10.582870585768144215974433380</v>
      </c>
      <c r="AB15" s="328">
        <v>-1.060790802024321715602191800</v>
      </c>
      <c r="AD15" s="244"/>
      <c r="AE15" s="244"/>
      <c r="AF15" s="244"/>
      <c r="AG15" s="244"/>
      <c r="AH15" s="244"/>
      <c r="AI15" s="244"/>
      <c r="AJ15" s="244"/>
      <c r="AK15" s="244"/>
      <c r="AL15" s="244"/>
      <c r="AM15" s="244"/>
      <c r="AN15" s="244"/>
      <c r="AO15" s="244"/>
      <c r="AP15" s="244"/>
      <c r="AQ15" s="244"/>
      <c r="AR15" s="244"/>
      <c r="AS15" s="244"/>
      <c r="AT15" s="244"/>
      <c r="AU15" s="244"/>
      <c r="AV15" s="244"/>
      <c r="AW15" s="244"/>
      <c r="AX15" s="244"/>
      <c r="AY15" s="244"/>
      <c r="AZ15" s="244"/>
      <c r="BA15" s="244"/>
    </row>
    <row r="16" ht="15.6" customHeight="1">
      <c r="A16" s="92"/>
      <c r="B16" s="346">
        <v>28</v>
      </c>
      <c r="C16" s="347" t="s">
        <v>53</v>
      </c>
      <c r="D16" s="378">
        <v>98.71717171717171717171717172</v>
      </c>
      <c r="E16" s="173">
        <v>133.71886879856863902622309225</v>
      </c>
      <c r="F16" s="379">
        <v>121.28989061365990082524487365</v>
      </c>
      <c r="G16" s="378">
        <v>119</v>
      </c>
      <c r="H16" s="173">
        <v>138.64225430449241810319255261</v>
      </c>
      <c r="I16" s="379">
        <v>121.84083591838413959222711119</v>
      </c>
      <c r="J16" s="378">
        <v>98</v>
      </c>
      <c r="K16" s="173">
        <v>125.09906374460933152076716272</v>
      </c>
      <c r="L16" s="379">
        <v>96.051498602325958210463605</v>
      </c>
      <c r="M16" s="378">
        <v>99.84112149532710280373831776</v>
      </c>
      <c r="N16" s="173">
        <v>134.91435173299101412066752247</v>
      </c>
      <c r="O16" s="379">
        <v>121.31523096129837702871410737</v>
      </c>
      <c r="P16" s="4"/>
      <c r="Q16" s="359">
        <v>-5.8364108050695116124291790600</v>
      </c>
      <c r="R16" s="170">
        <v>11.093948466175264771998161090</v>
      </c>
      <c r="S16" s="360">
        <v>-0.7097295953372912253029875300</v>
      </c>
      <c r="T16" s="359">
        <v>0</v>
      </c>
      <c r="U16" s="170">
        <v>-1.1731393038412348820418692200</v>
      </c>
      <c r="V16" s="360">
        <v>9.411732255954290482806853730</v>
      </c>
      <c r="W16" s="359">
        <v>1.0309278350515463917525773200</v>
      </c>
      <c r="X16" s="170">
        <v>3.2570134332558886351944465800</v>
      </c>
      <c r="Y16" s="360">
        <v>-2.2963044021096269486860036100</v>
      </c>
      <c r="Z16" s="359">
        <v>-4.4582569422707150203461074100</v>
      </c>
      <c r="AA16" s="170">
        <v>9.989176790200001697678788800</v>
      </c>
      <c r="AB16" s="360">
        <v>0.0767258159381802667331661500</v>
      </c>
      <c r="AD16" s="244"/>
      <c r="AE16" s="244"/>
      <c r="AF16" s="244"/>
      <c r="AG16" s="244"/>
      <c r="AH16" s="244"/>
      <c r="AI16" s="244"/>
      <c r="AJ16" s="244"/>
      <c r="AK16" s="244"/>
      <c r="AL16" s="244"/>
      <c r="AM16" s="244"/>
      <c r="AN16" s="244"/>
      <c r="AO16" s="244"/>
      <c r="AP16" s="244"/>
      <c r="AQ16" s="244"/>
      <c r="AR16" s="244"/>
      <c r="AS16" s="244"/>
      <c r="AT16" s="244"/>
      <c r="AU16" s="244"/>
      <c r="AV16" s="244"/>
      <c r="AW16" s="244"/>
      <c r="AX16" s="244"/>
      <c r="AY16" s="244"/>
      <c r="AZ16" s="244"/>
      <c r="BA16" s="244"/>
    </row>
    <row r="17" ht="15.6" customHeight="1">
      <c r="A17" s="92"/>
      <c r="B17" s="344">
        <v>29</v>
      </c>
      <c r="C17" s="345" t="s">
        <v>49</v>
      </c>
      <c r="D17" s="370">
        <v>90.66666666666666666666666667</v>
      </c>
      <c r="E17" s="172">
        <v>121.98082137408656381673461745</v>
      </c>
      <c r="F17" s="371">
        <v>115.58549509147741371224389665</v>
      </c>
      <c r="G17" s="370">
        <v>117</v>
      </c>
      <c r="H17" s="172">
        <v>157.85464552445842037331421799</v>
      </c>
      <c r="I17" s="371">
        <v>116.64837114219873558225954345</v>
      </c>
      <c r="J17" s="370">
        <v>96.5</v>
      </c>
      <c r="K17" s="172">
        <v>117.66045597851021478286189493</v>
      </c>
      <c r="L17" s="371">
        <v>92.12536319363419321688426347</v>
      </c>
      <c r="M17" s="370">
        <v>94.060000000</v>
      </c>
      <c r="N17" s="172">
        <v>125.0401072386058981233243968</v>
      </c>
      <c r="O17" s="371">
        <v>115.68218954248366013071895425</v>
      </c>
      <c r="P17" s="4"/>
      <c r="Q17" s="327">
        <v>22.109988776655443322109988780</v>
      </c>
      <c r="R17" s="171">
        <v>3.4970418608828769019065462900</v>
      </c>
      <c r="S17" s="328">
        <v>0.128169795471897855839074300</v>
      </c>
      <c r="T17" s="327">
        <v>0</v>
      </c>
      <c r="U17" s="171">
        <v>-7.1637983063690625619092320600</v>
      </c>
      <c r="V17" s="328">
        <v>11.925175545109004524447267060</v>
      </c>
      <c r="W17" s="327">
        <v>12.865497076023391812865497080</v>
      </c>
      <c r="X17" s="171">
        <v>-2.9115741495089087966659429400</v>
      </c>
      <c r="Y17" s="328">
        <v>5.5008280376371833778494114300</v>
      </c>
      <c r="Z17" s="327">
        <v>25.413333333333333333333333330</v>
      </c>
      <c r="AA17" s="171">
        <v>3.1565378696030993573061553600</v>
      </c>
      <c r="AB17" s="328">
        <v>1.2603721419771962086149282700</v>
      </c>
      <c r="AD17" s="244"/>
      <c r="AE17" s="244"/>
      <c r="AF17" s="244"/>
      <c r="AG17" s="244"/>
      <c r="AH17" s="244"/>
      <c r="AI17" s="244"/>
      <c r="AJ17" s="244"/>
      <c r="AK17" s="244"/>
      <c r="AL17" s="244"/>
      <c r="AM17" s="244"/>
      <c r="AN17" s="244"/>
      <c r="AO17" s="244"/>
      <c r="AP17" s="244"/>
      <c r="AQ17" s="244"/>
      <c r="AR17" s="244"/>
      <c r="AS17" s="244"/>
      <c r="AT17" s="244"/>
      <c r="AU17" s="244"/>
      <c r="AV17" s="244"/>
      <c r="AW17" s="244"/>
      <c r="AX17" s="244"/>
      <c r="AY17" s="244"/>
      <c r="AZ17" s="244"/>
      <c r="BA17" s="244"/>
    </row>
    <row r="18" ht="15.6" customHeight="1">
      <c r="A18" s="92"/>
      <c r="B18" s="346">
        <v>30</v>
      </c>
      <c r="C18" s="347" t="s">
        <v>47</v>
      </c>
      <c r="D18" s="378">
        <v>94.86666666666666666666666667</v>
      </c>
      <c r="E18" s="173">
        <v>131.58927295840966629351187326</v>
      </c>
      <c r="F18" s="379">
        <v>124.74291455561182520671503298</v>
      </c>
      <c r="G18" s="378">
        <v>0</v>
      </c>
      <c r="H18" s="173">
        <v>138.56190135861026092118529093</v>
      </c>
      <c r="I18" s="379">
        <v>121.251040761763905360992011</v>
      </c>
      <c r="J18" s="378">
        <v>98</v>
      </c>
      <c r="K18" s="173">
        <v>117.02153197355268433699806248</v>
      </c>
      <c r="L18" s="379">
        <v>92.53161838795220811455328029</v>
      </c>
      <c r="M18" s="378">
        <v>95.12244897959183673469387755</v>
      </c>
      <c r="N18" s="173">
        <v>129.80238839285714285714285714</v>
      </c>
      <c r="O18" s="379">
        <v>123.98661028893587033121916843</v>
      </c>
      <c r="P18" s="4"/>
      <c r="Q18" s="359">
        <v>20.263484961435665875726143980</v>
      </c>
      <c r="R18" s="170">
        <v>5.6581338415685209001691993900</v>
      </c>
      <c r="S18" s="360">
        <v>6.7666993205151503551150491700</v>
      </c>
      <c r="T18" s="359">
        <v>0</v>
      </c>
      <c r="U18" s="170">
        <v>0</v>
      </c>
      <c r="V18" s="360">
        <v>25.705502033252272723574832640</v>
      </c>
      <c r="W18" s="359">
        <v>12.385321100917431192660550460</v>
      </c>
      <c r="X18" s="170">
        <v>2.3624071373917953888727667100</v>
      </c>
      <c r="Y18" s="360">
        <v>7.0095671887449803709089341600</v>
      </c>
      <c r="Z18" s="359">
        <v>17.765553041740405260636789450</v>
      </c>
      <c r="AA18" s="170">
        <v>5.4269594954797372740275818800</v>
      </c>
      <c r="AB18" s="360">
        <v>7.6537720870422118973816154600</v>
      </c>
      <c r="AD18" s="244"/>
      <c r="AE18" s="244"/>
      <c r="AF18" s="244"/>
      <c r="AG18" s="244"/>
      <c r="AH18" s="244"/>
      <c r="AI18" s="244"/>
      <c r="AJ18" s="244"/>
      <c r="AK18" s="244"/>
      <c r="AL18" s="244"/>
      <c r="AM18" s="244"/>
      <c r="AN18" s="244"/>
      <c r="AO18" s="244"/>
      <c r="AP18" s="244"/>
      <c r="AQ18" s="244"/>
      <c r="AR18" s="244"/>
      <c r="AS18" s="244"/>
      <c r="AT18" s="244"/>
      <c r="AU18" s="244"/>
      <c r="AV18" s="244"/>
      <c r="AW18" s="244"/>
      <c r="AX18" s="244"/>
      <c r="AY18" s="244"/>
      <c r="AZ18" s="244"/>
      <c r="BA18" s="244"/>
    </row>
    <row r="19" ht="15.6" customHeight="1">
      <c r="A19" s="92" t="s">
        <v>145</v>
      </c>
      <c r="B19" s="666">
        <v>1</v>
      </c>
      <c r="C19" s="677" t="s">
        <v>48</v>
      </c>
      <c r="D19" s="678">
        <v>87.93181818181818181818181818</v>
      </c>
      <c r="E19" s="679">
        <v>126.41524539287126783526060074</v>
      </c>
      <c r="F19" s="680">
        <v>122.54102176350957933446939854</v>
      </c>
      <c r="G19" s="678">
        <v>0</v>
      </c>
      <c r="H19" s="679">
        <v>206.16374007675097100539694381</v>
      </c>
      <c r="I19" s="680">
        <v>137.27553665727719225965521137</v>
      </c>
      <c r="J19" s="678">
        <v>96</v>
      </c>
      <c r="K19" s="679">
        <v>119.75149214528324665600771435</v>
      </c>
      <c r="L19" s="680">
        <v>92.69514671695107554308237763</v>
      </c>
      <c r="M19" s="678">
        <v>88.44680851063829787234042553</v>
      </c>
      <c r="N19" s="679">
        <v>131.30127236580516898608349899</v>
      </c>
      <c r="O19" s="680">
        <v>123.56077348066298342541436464</v>
      </c>
      <c r="P19" s="4"/>
      <c r="Q19" s="668">
        <v>18.687313273643566175918110930</v>
      </c>
      <c r="R19" s="669">
        <v>2.3632813389943948033232078400</v>
      </c>
      <c r="S19" s="670">
        <v>5.0400404194201066067724668500</v>
      </c>
      <c r="T19" s="668">
        <v>0</v>
      </c>
      <c r="U19" s="669">
        <v>0</v>
      </c>
      <c r="V19" s="670">
        <v>48.841881476242958182369858890</v>
      </c>
      <c r="W19" s="668">
        <v>34.265734265734265734265734270</v>
      </c>
      <c r="X19" s="669">
        <v>0.4025961949450990515830923900</v>
      </c>
      <c r="Y19" s="670">
        <v>33.226149811592214316445341060</v>
      </c>
      <c r="Z19" s="668">
        <v>19.716849635406467071386607380</v>
      </c>
      <c r="AA19" s="669">
        <v>6.8399882712798366061752818200</v>
      </c>
      <c r="AB19" s="670">
        <v>7.5959147575648396018364142300</v>
      </c>
      <c r="AD19" s="244"/>
      <c r="AE19" s="244"/>
      <c r="AF19" s="244"/>
      <c r="AG19" s="244"/>
      <c r="AH19" s="244"/>
      <c r="AI19" s="244"/>
      <c r="AJ19" s="244"/>
      <c r="AK19" s="244"/>
      <c r="AL19" s="244"/>
      <c r="AM19" s="244"/>
      <c r="AN19" s="244"/>
      <c r="AO19" s="244"/>
      <c r="AP19" s="244"/>
      <c r="AQ19" s="244"/>
      <c r="AR19" s="244"/>
      <c r="AS19" s="244"/>
      <c r="AT19" s="244"/>
      <c r="AU19" s="244"/>
      <c r="AV19" s="244"/>
      <c r="AW19" s="244"/>
      <c r="AX19" s="244"/>
      <c r="AY19" s="244"/>
      <c r="AZ19" s="244"/>
      <c r="BA19" s="244"/>
    </row>
    <row r="20" ht="15.6" customHeight="1">
      <c r="A20" s="92"/>
      <c r="B20" s="346">
        <v>2</v>
      </c>
      <c r="C20" s="347" t="s">
        <v>50</v>
      </c>
      <c r="D20" s="378">
        <v>91.56521739130434782608695652</v>
      </c>
      <c r="E20" s="173">
        <v>120.46510674192655492217570571</v>
      </c>
      <c r="F20" s="379">
        <v>123.05277165655162800062987735</v>
      </c>
      <c r="G20" s="378">
        <v>0</v>
      </c>
      <c r="H20" s="173">
        <v>277.70109379311021016457253795</v>
      </c>
      <c r="I20" s="379">
        <v>110.43264936330942282508844283</v>
      </c>
      <c r="J20" s="378">
        <v>103.25</v>
      </c>
      <c r="K20" s="173">
        <v>118.70216953737468591297446785</v>
      </c>
      <c r="L20" s="379">
        <v>100.18382029005335887262279383</v>
      </c>
      <c r="M20" s="378">
        <v>92.500000000</v>
      </c>
      <c r="N20" s="173">
        <v>126.59127058823529411764705883</v>
      </c>
      <c r="O20" s="379">
        <v>121.8547619047619047619047619</v>
      </c>
      <c r="P20" s="4"/>
      <c r="Q20" s="359">
        <v>6.9895432031236740103073001900</v>
      </c>
      <c r="R20" s="170">
        <v>8.378834085617431032641082190</v>
      </c>
      <c r="S20" s="360">
        <v>8.754930783303875032508361910</v>
      </c>
      <c r="T20" s="359">
        <v>0</v>
      </c>
      <c r="U20" s="170">
        <v>160.92175402457591760116399598</v>
      </c>
      <c r="V20" s="360">
        <v>31.584757561205948778522000770</v>
      </c>
      <c r="W20" s="359">
        <v>8.913502109704641350210970460</v>
      </c>
      <c r="X20" s="170">
        <v>4.6441335944302435704969995400</v>
      </c>
      <c r="Y20" s="360">
        <v>4.7474193861807687911941996200</v>
      </c>
      <c r="Z20" s="359">
        <v>6.6807313642396576996801441400</v>
      </c>
      <c r="AA20" s="170">
        <v>14.022244214969755470875694010</v>
      </c>
      <c r="AB20" s="360">
        <v>9.565642538927044229543371870</v>
      </c>
      <c r="AD20" s="244"/>
      <c r="AE20" s="244"/>
      <c r="AF20" s="244"/>
      <c r="AG20" s="244"/>
      <c r="AH20" s="244"/>
      <c r="AI20" s="244"/>
      <c r="AJ20" s="244"/>
      <c r="AK20" s="244"/>
      <c r="AL20" s="244"/>
      <c r="AM20" s="244"/>
      <c r="AN20" s="244"/>
      <c r="AO20" s="244"/>
      <c r="AP20" s="244"/>
      <c r="AQ20" s="244"/>
      <c r="AR20" s="244"/>
      <c r="AS20" s="244"/>
      <c r="AT20" s="244"/>
      <c r="AU20" s="244"/>
      <c r="AV20" s="244"/>
      <c r="AW20" s="244"/>
      <c r="AX20" s="244"/>
      <c r="AY20" s="244"/>
      <c r="AZ20" s="244"/>
      <c r="BA20" s="244"/>
    </row>
    <row r="21" ht="15.6" customHeight="1">
      <c r="A21" s="92"/>
      <c r="B21" s="344">
        <v>3</v>
      </c>
      <c r="C21" s="345" t="s">
        <v>51</v>
      </c>
      <c r="D21" s="370">
        <v>96.47727272727272727272727273</v>
      </c>
      <c r="E21" s="172">
        <v>117.22364831815565535863654022</v>
      </c>
      <c r="F21" s="371">
        <v>113.68347565800410647553340524</v>
      </c>
      <c r="G21" s="370">
        <v>0</v>
      </c>
      <c r="H21" s="172">
        <v>157.09444821477862172124272554</v>
      </c>
      <c r="I21" s="371">
        <v>101.27628029406497339123614514</v>
      </c>
      <c r="J21" s="370">
        <v>100.5</v>
      </c>
      <c r="K21" s="172">
        <v>121.02055368680869240685959884</v>
      </c>
      <c r="L21" s="371">
        <v>96.26906953146072922099016204</v>
      </c>
      <c r="M21" s="370">
        <v>96.65217391304347826086956522</v>
      </c>
      <c r="N21" s="172">
        <v>123.34076404494382022471910112</v>
      </c>
      <c r="O21" s="371">
        <v>112.35773710482529118136439268</v>
      </c>
      <c r="P21" s="4"/>
      <c r="Q21" s="327">
        <v>-7.6141027235671246081343305900</v>
      </c>
      <c r="R21" s="171">
        <v>-2.7057829973726747830016062600</v>
      </c>
      <c r="S21" s="328">
        <v>0.1488942716180357904761686700</v>
      </c>
      <c r="T21" s="327">
        <v>0</v>
      </c>
      <c r="U21" s="171">
        <v>14.509558911676449262293192650</v>
      </c>
      <c r="V21" s="328">
        <v>17.577660135315979758173754720</v>
      </c>
      <c r="W21" s="327">
        <v>5.7894736842105263157894736800</v>
      </c>
      <c r="X21" s="171">
        <v>-4.486608467207000577884946800</v>
      </c>
      <c r="Y21" s="328">
        <v>0.1215115467940676882224514600</v>
      </c>
      <c r="Z21" s="327">
        <v>-6.7821672919743278957032580600</v>
      </c>
      <c r="AA21" s="171">
        <v>-0.1542006213457564586134268700</v>
      </c>
      <c r="AB21" s="328">
        <v>0.4431914433464021588080917600</v>
      </c>
      <c r="AD21" s="244"/>
      <c r="AE21" s="244"/>
      <c r="AF21" s="244"/>
      <c r="AG21" s="244"/>
      <c r="AH21" s="244"/>
      <c r="AI21" s="244"/>
      <c r="AJ21" s="244"/>
      <c r="AK21" s="244"/>
      <c r="AL21" s="244"/>
      <c r="AM21" s="244"/>
      <c r="AN21" s="244"/>
      <c r="AO21" s="244"/>
      <c r="AP21" s="244"/>
      <c r="AQ21" s="244"/>
      <c r="AR21" s="244"/>
      <c r="AS21" s="244"/>
      <c r="AT21" s="244"/>
      <c r="AU21" s="244"/>
      <c r="AV21" s="244"/>
      <c r="AW21" s="244"/>
      <c r="AX21" s="244"/>
      <c r="AY21" s="244"/>
      <c r="AZ21" s="244"/>
      <c r="BA21" s="244"/>
    </row>
    <row r="22" ht="15.6" customHeight="1">
      <c r="A22" s="92"/>
      <c r="B22" s="346">
        <v>4</v>
      </c>
      <c r="C22" s="347" t="s">
        <v>52</v>
      </c>
      <c r="D22" s="378">
        <v>98.52173913043478260869565217</v>
      </c>
      <c r="E22" s="173">
        <v>130.08341822295046024866170017</v>
      </c>
      <c r="F22" s="379">
        <v>124.03143053566069210142153655</v>
      </c>
      <c r="G22" s="378">
        <v>0</v>
      </c>
      <c r="H22" s="173">
        <v>132.43023952093458154900623915</v>
      </c>
      <c r="I22" s="379">
        <v>121.44311057325629783910372501</v>
      </c>
      <c r="J22" s="378">
        <v>99.33333333333333333333333333</v>
      </c>
      <c r="K22" s="173">
        <v>122.55306319486170058586072099</v>
      </c>
      <c r="L22" s="379">
        <v>103.28433615532674989083414234</v>
      </c>
      <c r="M22" s="378">
        <v>98.55555555555555555555555556</v>
      </c>
      <c r="N22" s="173">
        <v>129.79806988352745424292845257</v>
      </c>
      <c r="O22" s="379">
        <v>123.67816091954022988505747126</v>
      </c>
      <c r="P22" s="4"/>
      <c r="Q22" s="359">
        <v>-4.316512629731833371668697600</v>
      </c>
      <c r="R22" s="170">
        <v>-3.2731209112013026592202675400</v>
      </c>
      <c r="S22" s="360">
        <v>1.0717473459332933958531903800</v>
      </c>
      <c r="T22" s="359">
        <v>-100</v>
      </c>
      <c r="U22" s="170">
        <v>15.625420261206917447508306030</v>
      </c>
      <c r="V22" s="360">
        <v>2.7837719172303624733225641900</v>
      </c>
      <c r="W22" s="359">
        <v>10.986964618249534450651769080</v>
      </c>
      <c r="X22" s="170">
        <v>1.6127706961500491221849702500</v>
      </c>
      <c r="Y22" s="360">
        <v>13.307368146554316439913219810</v>
      </c>
      <c r="Z22" s="359">
        <v>-4.1614216179826619468993163400</v>
      </c>
      <c r="AA22" s="170">
        <v>-0.6307235979695881398085866400</v>
      </c>
      <c r="AB22" s="360">
        <v>1.3192202852474704225908716500</v>
      </c>
      <c r="AD22" s="244"/>
      <c r="AE22" s="244"/>
      <c r="AF22" s="244"/>
      <c r="AG22" s="244"/>
      <c r="AH22" s="244"/>
      <c r="AI22" s="244"/>
      <c r="AJ22" s="244"/>
      <c r="AK22" s="244"/>
      <c r="AL22" s="244"/>
      <c r="AM22" s="244"/>
      <c r="AN22" s="244"/>
      <c r="AO22" s="244"/>
      <c r="AP22" s="244"/>
      <c r="AQ22" s="244"/>
      <c r="AR22" s="244"/>
      <c r="AS22" s="244"/>
      <c r="AT22" s="244"/>
      <c r="AU22" s="244"/>
      <c r="AV22" s="244"/>
      <c r="AW22" s="244"/>
      <c r="AX22" s="244"/>
      <c r="AY22" s="244"/>
      <c r="AZ22" s="244"/>
      <c r="BA22" s="244"/>
    </row>
    <row r="23" ht="15.6" customHeight="1">
      <c r="A23" s="92"/>
      <c r="B23" s="344">
        <v>5</v>
      </c>
      <c r="C23" s="345" t="s">
        <v>53</v>
      </c>
      <c r="D23" s="370">
        <v>99.56756756756756756756756757</v>
      </c>
      <c r="E23" s="172">
        <v>128.72282830465258671685089605</v>
      </c>
      <c r="F23" s="371">
        <v>123.7587282488572175664693319</v>
      </c>
      <c r="G23" s="370">
        <v>0</v>
      </c>
      <c r="H23" s="172">
        <v>133.42482688855151173465779484</v>
      </c>
      <c r="I23" s="371">
        <v>116.98793808757783364099749719</v>
      </c>
      <c r="J23" s="370">
        <v>100</v>
      </c>
      <c r="K23" s="172">
        <v>123.90056712214871578782166826</v>
      </c>
      <c r="L23" s="371">
        <v>99.59102488058888855214226593</v>
      </c>
      <c r="M23" s="370">
        <v>99.57333333333333333333333333</v>
      </c>
      <c r="N23" s="172">
        <v>128.97033478893740902474526929</v>
      </c>
      <c r="O23" s="371">
        <v>123.0492610837438423645320197</v>
      </c>
      <c r="P23" s="4"/>
      <c r="Q23" s="327">
        <v>-8.757247385272237544765736840</v>
      </c>
      <c r="R23" s="171">
        <v>-8.903784412986416955146150880</v>
      </c>
      <c r="S23" s="328">
        <v>0.5883478334974137999944833200</v>
      </c>
      <c r="T23" s="327">
        <v>-100</v>
      </c>
      <c r="U23" s="171">
        <v>12.915497336914765774664715040</v>
      </c>
      <c r="V23" s="328">
        <v>-2.0408135831562420131593300600</v>
      </c>
      <c r="W23" s="327">
        <v>8.695652173913043478260869570</v>
      </c>
      <c r="X23" s="171">
        <v>1.6508158639466254633041713500</v>
      </c>
      <c r="Y23" s="328">
        <v>7.3085468234761905626345196500</v>
      </c>
      <c r="Z23" s="327">
        <v>-8.434746467195389707879087130</v>
      </c>
      <c r="AA23" s="171">
        <v>-4.4261870372302117440580355600</v>
      </c>
      <c r="AB23" s="328">
        <v>0.418051913769670661536245700</v>
      </c>
      <c r="AD23" s="244"/>
      <c r="AE23" s="244"/>
      <c r="AF23" s="244"/>
      <c r="AG23" s="244"/>
      <c r="AH23" s="244"/>
      <c r="AI23" s="244"/>
      <c r="AJ23" s="244"/>
      <c r="AK23" s="244"/>
      <c r="AL23" s="244"/>
      <c r="AM23" s="244"/>
      <c r="AN23" s="244"/>
      <c r="AO23" s="244"/>
      <c r="AP23" s="244"/>
      <c r="AQ23" s="244"/>
      <c r="AR23" s="244"/>
      <c r="AS23" s="244"/>
      <c r="AT23" s="244"/>
      <c r="AU23" s="244"/>
      <c r="AV23" s="244"/>
      <c r="AW23" s="244"/>
      <c r="AX23" s="244"/>
      <c r="AY23" s="244"/>
      <c r="AZ23" s="244"/>
      <c r="BA23" s="244"/>
    </row>
    <row r="24" ht="15.6" customHeight="1">
      <c r="A24" s="92"/>
      <c r="B24" s="346">
        <v>6</v>
      </c>
      <c r="C24" s="347" t="s">
        <v>49</v>
      </c>
      <c r="D24" s="378">
        <v>93.87096774193548387096774194</v>
      </c>
      <c r="E24" s="173">
        <v>117.54313992213433934738586388</v>
      </c>
      <c r="F24" s="379">
        <v>113.98816982153109544449735121</v>
      </c>
      <c r="G24" s="378">
        <v>0</v>
      </c>
      <c r="H24" s="173">
        <v>147.55280375482155515808646381</v>
      </c>
      <c r="I24" s="379">
        <v>75.190581995218692985161744001</v>
      </c>
      <c r="J24" s="378">
        <v>0</v>
      </c>
      <c r="K24" s="173">
        <v>113.55330251208347424722303798</v>
      </c>
      <c r="L24" s="379">
        <v>0</v>
      </c>
      <c r="M24" s="378">
        <v>93.87096774193548387096774194</v>
      </c>
      <c r="N24" s="173">
        <v>118.37365591397849462365591398</v>
      </c>
      <c r="O24" s="379">
        <v>112.3867684478371501272264631</v>
      </c>
      <c r="P24" s="4"/>
      <c r="Q24" s="359">
        <v>45.913421360597080328634105130</v>
      </c>
      <c r="R24" s="170">
        <v>-10.277830574170496948393078290</v>
      </c>
      <c r="S24" s="360">
        <v>-1.5628946252211358454458675900</v>
      </c>
      <c r="T24" s="359">
        <v>0</v>
      </c>
      <c r="U24" s="170">
        <v>27.735149434263270869089543120</v>
      </c>
      <c r="V24" s="360">
        <v>-21.158145843541952396018084940</v>
      </c>
      <c r="W24" s="359">
        <v>-100</v>
      </c>
      <c r="X24" s="170">
        <v>-4.0026845592349165958209284200</v>
      </c>
      <c r="Y24" s="360">
        <v>-100</v>
      </c>
      <c r="Z24" s="359">
        <v>46.450139932265625542975893530</v>
      </c>
      <c r="AA24" s="170">
        <v>-5.5654105343328736736298575200</v>
      </c>
      <c r="AB24" s="360">
        <v>-1.2797849746639116520959506800</v>
      </c>
      <c r="AD24" s="244"/>
      <c r="AE24" s="244"/>
      <c r="AF24" s="244"/>
      <c r="AG24" s="244"/>
      <c r="AH24" s="244"/>
      <c r="AI24" s="244"/>
      <c r="AJ24" s="244"/>
      <c r="AK24" s="244"/>
      <c r="AL24" s="244"/>
      <c r="AM24" s="244"/>
      <c r="AN24" s="244"/>
      <c r="AO24" s="244"/>
      <c r="AP24" s="244"/>
      <c r="AQ24" s="244"/>
      <c r="AR24" s="244"/>
      <c r="AS24" s="244"/>
      <c r="AT24" s="244"/>
      <c r="AU24" s="244"/>
      <c r="AV24" s="244"/>
      <c r="AW24" s="244"/>
      <c r="AX24" s="244"/>
      <c r="AY24" s="244"/>
      <c r="AZ24" s="244"/>
      <c r="BA24" s="244"/>
    </row>
    <row r="25" ht="15.6" customHeight="1">
      <c r="A25" s="92"/>
      <c r="B25" s="344">
        <v>7</v>
      </c>
      <c r="C25" s="345" t="s">
        <v>47</v>
      </c>
      <c r="D25" s="370">
        <v>99.59090909090909090909090909</v>
      </c>
      <c r="E25" s="172">
        <v>137.10868339150276688058316952</v>
      </c>
      <c r="F25" s="371">
        <v>128.834008057582926744256405</v>
      </c>
      <c r="G25" s="370">
        <v>0</v>
      </c>
      <c r="H25" s="172">
        <v>151.11713255071590843822842939</v>
      </c>
      <c r="I25" s="371">
        <v>105.98137390581310980634647616</v>
      </c>
      <c r="J25" s="370">
        <v>0</v>
      </c>
      <c r="K25" s="172">
        <v>121.20776365100819990992869501</v>
      </c>
      <c r="L25" s="371">
        <v>0</v>
      </c>
      <c r="M25" s="370">
        <v>99.59090909090909090909090909</v>
      </c>
      <c r="N25" s="172">
        <v>136.46416173570019723865877711</v>
      </c>
      <c r="O25" s="371">
        <v>127.59270898805782526712759271</v>
      </c>
      <c r="P25" s="4"/>
      <c r="Q25" s="327">
        <v>-3.8309209317669497970484738500</v>
      </c>
      <c r="R25" s="171">
        <v>-1.9319148032328171646708564900</v>
      </c>
      <c r="S25" s="328">
        <v>0.7222494679268093383411326600</v>
      </c>
      <c r="T25" s="327">
        <v>0</v>
      </c>
      <c r="U25" s="171">
        <v>20.162365473435274925770911230</v>
      </c>
      <c r="V25" s="328">
        <v>-9.466158969731060162291993880</v>
      </c>
      <c r="W25" s="327">
        <v>-100</v>
      </c>
      <c r="X25" s="171">
        <v>0.6961081933512415442361088300</v>
      </c>
      <c r="Y25" s="328">
        <v>-100</v>
      </c>
      <c r="Z25" s="327">
        <v>-3.163549933171006484217210700</v>
      </c>
      <c r="AA25" s="171">
        <v>1.0016139612703766073076677200</v>
      </c>
      <c r="AB25" s="328">
        <v>0.8495106488695004049033611100</v>
      </c>
      <c r="AD25" s="244"/>
      <c r="AE25" s="244"/>
      <c r="AF25" s="244"/>
      <c r="AG25" s="244"/>
      <c r="AH25" s="244"/>
      <c r="AI25" s="244"/>
      <c r="AJ25" s="244"/>
      <c r="AK25" s="244"/>
      <c r="AL25" s="244"/>
      <c r="AM25" s="244"/>
      <c r="AN25" s="244"/>
      <c r="AO25" s="244"/>
      <c r="AP25" s="244"/>
      <c r="AQ25" s="244"/>
      <c r="AR25" s="244"/>
      <c r="AS25" s="244"/>
      <c r="AT25" s="244"/>
      <c r="AU25" s="244"/>
      <c r="AV25" s="244"/>
      <c r="AW25" s="244"/>
      <c r="AX25" s="244"/>
      <c r="AY25" s="244"/>
      <c r="AZ25" s="244"/>
      <c r="BA25" s="244"/>
    </row>
    <row r="26" ht="15.6" customHeight="1">
      <c r="A26" s="92"/>
      <c r="B26" s="346">
        <v>8</v>
      </c>
      <c r="C26" s="347" t="s">
        <v>48</v>
      </c>
      <c r="D26" s="378">
        <v>93.93181818181818181818181818</v>
      </c>
      <c r="E26" s="173">
        <v>138.17161509148091314408256727</v>
      </c>
      <c r="F26" s="379">
        <v>148.74820802015662094279615591</v>
      </c>
      <c r="G26" s="378">
        <v>0</v>
      </c>
      <c r="H26" s="173">
        <v>138.51743528244300114624127303</v>
      </c>
      <c r="I26" s="379">
        <v>127.25795732722276894105111802</v>
      </c>
      <c r="J26" s="378">
        <v>0</v>
      </c>
      <c r="K26" s="173">
        <v>121.58470181745529737143726028</v>
      </c>
      <c r="L26" s="379">
        <v>0</v>
      </c>
      <c r="M26" s="378">
        <v>93.93181818181818181818181818</v>
      </c>
      <c r="N26" s="173">
        <v>137.18979468599033816425120773</v>
      </c>
      <c r="O26" s="379">
        <v>146.13299232736572890025575448</v>
      </c>
      <c r="P26" s="4"/>
      <c r="Q26" s="359">
        <v>-22.272257107319242215890428670</v>
      </c>
      <c r="R26" s="170">
        <v>-13.822228724891278260765748630</v>
      </c>
      <c r="S26" s="360">
        <v>5.4245099465806853865496175200</v>
      </c>
      <c r="T26" s="359">
        <v>0</v>
      </c>
      <c r="U26" s="170">
        <v>8.548608911121615431138370630</v>
      </c>
      <c r="V26" s="360">
        <v>2.116509648011680050941150100</v>
      </c>
      <c r="W26" s="359">
        <v>-100</v>
      </c>
      <c r="X26" s="170">
        <v>2.5353693953919556590399949700</v>
      </c>
      <c r="Y26" s="360">
        <v>-100</v>
      </c>
      <c r="Z26" s="359">
        <v>-21.890610793886437194169469480</v>
      </c>
      <c r="AA26" s="170">
        <v>-8.448365365839651936764404430</v>
      </c>
      <c r="AB26" s="360">
        <v>5.3236386566177624247385047800</v>
      </c>
      <c r="AD26" s="244"/>
      <c r="AE26" s="244"/>
      <c r="AF26" s="244"/>
      <c r="AG26" s="244"/>
      <c r="AH26" s="244"/>
      <c r="AI26" s="244"/>
      <c r="AJ26" s="244"/>
      <c r="AK26" s="244"/>
      <c r="AL26" s="244"/>
      <c r="AM26" s="244"/>
      <c r="AN26" s="244"/>
      <c r="AO26" s="244"/>
      <c r="AP26" s="244"/>
      <c r="AQ26" s="244"/>
      <c r="AR26" s="244"/>
      <c r="AS26" s="244"/>
      <c r="AT26" s="244"/>
      <c r="AU26" s="244"/>
      <c r="AV26" s="244"/>
      <c r="AW26" s="244"/>
      <c r="AX26" s="244"/>
      <c r="AY26" s="244"/>
      <c r="AZ26" s="244"/>
      <c r="BA26" s="244"/>
    </row>
    <row r="27" ht="15.6" customHeight="1">
      <c r="A27" s="92"/>
      <c r="B27" s="344">
        <v>9</v>
      </c>
      <c r="C27" s="345" t="s">
        <v>50</v>
      </c>
      <c r="D27" s="370">
        <v>99.13483146067415730337078652</v>
      </c>
      <c r="E27" s="172">
        <v>148.90940152382935567059377662</v>
      </c>
      <c r="F27" s="371">
        <v>153.19667860495308842158622731</v>
      </c>
      <c r="G27" s="370">
        <v>0</v>
      </c>
      <c r="H27" s="172">
        <v>136.5347098184191157340618881</v>
      </c>
      <c r="I27" s="371">
        <v>132.78542910913756958087210757</v>
      </c>
      <c r="J27" s="370">
        <v>0</v>
      </c>
      <c r="K27" s="172">
        <v>124.28608917519554225510274343</v>
      </c>
      <c r="L27" s="371">
        <v>0</v>
      </c>
      <c r="M27" s="370">
        <v>99.13483146067415730337078652</v>
      </c>
      <c r="N27" s="172">
        <v>145.56298919567827130852340936</v>
      </c>
      <c r="O27" s="371">
        <v>150.11776649746192893401015228</v>
      </c>
      <c r="P27" s="4"/>
      <c r="Q27" s="327">
        <v>-15.510086823265067663838325430</v>
      </c>
      <c r="R27" s="171">
        <v>-11.693608867535119393506982460</v>
      </c>
      <c r="S27" s="328">
        <v>5.8746157690312472242690138300</v>
      </c>
      <c r="T27" s="327">
        <v>0</v>
      </c>
      <c r="U27" s="171">
        <v>6.1357279750238998993283790800</v>
      </c>
      <c r="V27" s="328">
        <v>-2.1676047373750114861905448300</v>
      </c>
      <c r="W27" s="327">
        <v>-100</v>
      </c>
      <c r="X27" s="171">
        <v>2.4406908704381816248412758500</v>
      </c>
      <c r="Y27" s="328">
        <v>-100</v>
      </c>
      <c r="Z27" s="327">
        <v>-14.905724068090852100110912860</v>
      </c>
      <c r="AA27" s="171">
        <v>-4.7960347570798230318512931600</v>
      </c>
      <c r="AB27" s="328">
        <v>5.1437657484681363497406862400</v>
      </c>
      <c r="AD27" s="244"/>
      <c r="AE27" s="244"/>
      <c r="AF27" s="244"/>
      <c r="AG27" s="244"/>
      <c r="AH27" s="244"/>
      <c r="AI27" s="244"/>
      <c r="AJ27" s="244"/>
      <c r="AK27" s="244"/>
      <c r="AL27" s="244"/>
      <c r="AM27" s="244"/>
      <c r="AN27" s="244"/>
      <c r="AO27" s="244"/>
      <c r="AP27" s="244"/>
      <c r="AQ27" s="244"/>
      <c r="AR27" s="244"/>
      <c r="AS27" s="244"/>
      <c r="AT27" s="244"/>
      <c r="AU27" s="244"/>
      <c r="AV27" s="244"/>
      <c r="AW27" s="244"/>
      <c r="AX27" s="244"/>
      <c r="AY27" s="244"/>
      <c r="AZ27" s="244"/>
      <c r="BA27" s="244"/>
    </row>
    <row r="28" ht="15.6" customHeight="1">
      <c r="A28" s="92"/>
      <c r="B28" s="346">
        <v>10</v>
      </c>
      <c r="C28" s="347" t="s">
        <v>51</v>
      </c>
      <c r="D28" s="378">
        <v>87.70588235294117647058823529</v>
      </c>
      <c r="E28" s="173">
        <v>143.08289774543110122401872456</v>
      </c>
      <c r="F28" s="379">
        <v>136.97572292533834555104614788</v>
      </c>
      <c r="G28" s="378">
        <v>0</v>
      </c>
      <c r="H28" s="173">
        <v>151.39344889227948442883232562</v>
      </c>
      <c r="I28" s="379">
        <v>132.07448697532754542272022681</v>
      </c>
      <c r="J28" s="378">
        <v>0</v>
      </c>
      <c r="K28" s="173">
        <v>123.13289185486993306811271918</v>
      </c>
      <c r="L28" s="379">
        <v>0</v>
      </c>
      <c r="M28" s="378">
        <v>87.70588235294117647058823529</v>
      </c>
      <c r="N28" s="173">
        <v>143.81028653295128939828080228</v>
      </c>
      <c r="O28" s="379">
        <v>136.15692821368948247078464107</v>
      </c>
      <c r="P28" s="4"/>
      <c r="Q28" s="359">
        <v>-22.084780142342554890398433750</v>
      </c>
      <c r="R28" s="170">
        <v>-7.6246967255562420127761596200</v>
      </c>
      <c r="S28" s="360">
        <v>0.9535248960770325377416288400</v>
      </c>
      <c r="T28" s="359">
        <v>-100</v>
      </c>
      <c r="U28" s="170">
        <v>13.523687344027287454232652530</v>
      </c>
      <c r="V28" s="360">
        <v>7.3785593361321492853909709800</v>
      </c>
      <c r="W28" s="359">
        <v>-100</v>
      </c>
      <c r="X28" s="170">
        <v>4.3995548865338511955662021300</v>
      </c>
      <c r="Y28" s="360">
        <v>-100</v>
      </c>
      <c r="Z28" s="359">
        <v>-19.454684689490645204749984910</v>
      </c>
      <c r="AA28" s="170">
        <v>-0.2650934578030624567905442100</v>
      </c>
      <c r="AB28" s="360">
        <v>2.7567795606403051476280798600</v>
      </c>
      <c r="AD28" s="244"/>
      <c r="AE28" s="244"/>
      <c r="AF28" s="244"/>
      <c r="AG28" s="244"/>
      <c r="AH28" s="244"/>
      <c r="AI28" s="244"/>
      <c r="AJ28" s="244"/>
      <c r="AK28" s="244"/>
      <c r="AL28" s="244"/>
      <c r="AM28" s="244"/>
      <c r="AN28" s="244"/>
      <c r="AO28" s="244"/>
      <c r="AP28" s="244"/>
      <c r="AQ28" s="244"/>
      <c r="AR28" s="244"/>
      <c r="AS28" s="244"/>
      <c r="AT28" s="244"/>
      <c r="AU28" s="244"/>
      <c r="AV28" s="244"/>
      <c r="AW28" s="244"/>
      <c r="AX28" s="244"/>
      <c r="AY28" s="244"/>
      <c r="AZ28" s="244"/>
      <c r="BA28" s="244"/>
    </row>
    <row r="29" ht="15.6" customHeight="1">
      <c r="A29" s="92"/>
      <c r="B29" s="344">
        <v>11</v>
      </c>
      <c r="C29" s="345" t="s">
        <v>52</v>
      </c>
      <c r="D29" s="370">
        <v>106.82926829268292682926829268</v>
      </c>
      <c r="E29" s="172">
        <v>131.36649912128299496929564324</v>
      </c>
      <c r="F29" s="371">
        <v>127.00196084646340720067127759</v>
      </c>
      <c r="G29" s="370">
        <v>0</v>
      </c>
      <c r="H29" s="172">
        <v>139.41427654416211814499352386</v>
      </c>
      <c r="I29" s="371">
        <v>122.53222064703395741028827223</v>
      </c>
      <c r="J29" s="370">
        <v>102</v>
      </c>
      <c r="K29" s="172">
        <v>123.9834885665514326928946915</v>
      </c>
      <c r="L29" s="371">
        <v>97.45890147548786292241789624</v>
      </c>
      <c r="M29" s="370">
        <v>106.71428571428571428571428571</v>
      </c>
      <c r="N29" s="172">
        <v>133.2245265888456549935149157</v>
      </c>
      <c r="O29" s="371">
        <v>126.18266433973240255962769052</v>
      </c>
      <c r="P29" s="4"/>
      <c r="Q29" s="327">
        <v>-3.992184099502824054862107700</v>
      </c>
      <c r="R29" s="171">
        <v>-9.408567126388434629227708480</v>
      </c>
      <c r="S29" s="328">
        <v>-2.0501758349132749366381323200</v>
      </c>
      <c r="T29" s="327">
        <v>-100</v>
      </c>
      <c r="U29" s="171">
        <v>3.0961585747109220009815620200</v>
      </c>
      <c r="V29" s="328">
        <v>18.349928664652939794582928760</v>
      </c>
      <c r="W29" s="327">
        <v>15.909090909090909090909090910</v>
      </c>
      <c r="X29" s="171">
        <v>1.1693993017712585819638217200</v>
      </c>
      <c r="Y29" s="328">
        <v>6.4425798413630179056087550800</v>
      </c>
      <c r="Z29" s="327">
        <v>-2.6822807348077659647008002400</v>
      </c>
      <c r="AA29" s="171">
        <v>-4.4011204766475601829531570600</v>
      </c>
      <c r="AB29" s="328">
        <v>0.8706564864334742275075185200</v>
      </c>
      <c r="AD29" s="244"/>
      <c r="AE29" s="244"/>
      <c r="AF29" s="244"/>
      <c r="AG29" s="244"/>
      <c r="AH29" s="244"/>
      <c r="AI29" s="244"/>
      <c r="AJ29" s="244"/>
      <c r="AK29" s="244"/>
      <c r="AL29" s="244"/>
      <c r="AM29" s="244"/>
      <c r="AN29" s="244"/>
      <c r="AO29" s="244"/>
      <c r="AP29" s="244"/>
      <c r="AQ29" s="244"/>
      <c r="AR29" s="244"/>
      <c r="AS29" s="244"/>
      <c r="AT29" s="244"/>
      <c r="AU29" s="244"/>
      <c r="AV29" s="244"/>
      <c r="AW29" s="244"/>
      <c r="AX29" s="244"/>
      <c r="AY29" s="244"/>
      <c r="AZ29" s="244"/>
      <c r="BA29" s="244"/>
    </row>
    <row r="30" ht="15.6" customHeight="1">
      <c r="A30" s="92"/>
      <c r="B30" s="346">
        <v>12</v>
      </c>
      <c r="C30" s="347" t="s">
        <v>53</v>
      </c>
      <c r="D30" s="378">
        <v>100.73076923076923076923076923</v>
      </c>
      <c r="E30" s="173">
        <v>131.77690996858033362663826503</v>
      </c>
      <c r="F30" s="379">
        <v>126.57971069188037377272858717</v>
      </c>
      <c r="G30" s="378">
        <v>0</v>
      </c>
      <c r="H30" s="173">
        <v>137.54979187198111746585392481</v>
      </c>
      <c r="I30" s="379">
        <v>122.35752043198096053372321897</v>
      </c>
      <c r="J30" s="378">
        <v>97</v>
      </c>
      <c r="K30" s="173">
        <v>138.18381268085961014159685038</v>
      </c>
      <c r="L30" s="379">
        <v>96.54527241693240213893634216</v>
      </c>
      <c r="M30" s="378">
        <v>100.66037735849056603773584906</v>
      </c>
      <c r="N30" s="173">
        <v>133.55950649350649350649350649</v>
      </c>
      <c r="O30" s="379">
        <v>125.84216795711733174508636093</v>
      </c>
      <c r="P30" s="4"/>
      <c r="Q30" s="359">
        <v>-14.856957087131673799929315240</v>
      </c>
      <c r="R30" s="170">
        <v>-0.6998984091342461654706389400</v>
      </c>
      <c r="S30" s="360">
        <v>1.851714691678356576913062800</v>
      </c>
      <c r="T30" s="359">
        <v>-100</v>
      </c>
      <c r="U30" s="170">
        <v>2.1967764474933925210711788700</v>
      </c>
      <c r="V30" s="360">
        <v>15.727788114079242023456520580</v>
      </c>
      <c r="W30" s="359">
        <v>-1.5228426395939086294416243700</v>
      </c>
      <c r="X30" s="170">
        <v>11.547444325039250784990976040</v>
      </c>
      <c r="Y30" s="360">
        <v>-4.4214511890711971288130833100</v>
      </c>
      <c r="Z30" s="359">
        <v>-13.809488511403334634029655280</v>
      </c>
      <c r="AA30" s="170">
        <v>0.8010295516849091293123813700</v>
      </c>
      <c r="AB30" s="360">
        <v>3.9711232061594492877757543500</v>
      </c>
      <c r="AD30" s="244"/>
      <c r="AE30" s="244"/>
      <c r="AF30" s="244"/>
      <c r="AG30" s="244"/>
      <c r="AH30" s="244"/>
      <c r="AI30" s="244"/>
      <c r="AJ30" s="244"/>
      <c r="AK30" s="244"/>
      <c r="AL30" s="244"/>
      <c r="AM30" s="244"/>
      <c r="AN30" s="244"/>
      <c r="AO30" s="244"/>
      <c r="AP30" s="244"/>
      <c r="AQ30" s="244"/>
      <c r="AR30" s="244"/>
      <c r="AS30" s="244"/>
      <c r="AT30" s="244"/>
      <c r="AU30" s="244"/>
      <c r="AV30" s="244"/>
      <c r="AW30" s="244"/>
      <c r="AX30" s="244"/>
      <c r="AY30" s="244"/>
      <c r="AZ30" s="244"/>
      <c r="BA30" s="244"/>
    </row>
    <row r="31" ht="15.6" customHeight="1">
      <c r="A31" s="92"/>
      <c r="B31" s="344">
        <v>13</v>
      </c>
      <c r="C31" s="345" t="s">
        <v>49</v>
      </c>
      <c r="D31" s="370">
        <v>89.70909090909090909090909091</v>
      </c>
      <c r="E31" s="172">
        <v>119.35878195138110438259188882</v>
      </c>
      <c r="F31" s="371">
        <v>116.18156787574606567913879953</v>
      </c>
      <c r="G31" s="370">
        <v>0</v>
      </c>
      <c r="H31" s="172">
        <v>139.44476928336862295488065089</v>
      </c>
      <c r="I31" s="371">
        <v>104.6289612154106454417115259</v>
      </c>
      <c r="J31" s="370">
        <v>95.33333333333333333333333333</v>
      </c>
      <c r="K31" s="172">
        <v>119.88379979549459608445481535</v>
      </c>
      <c r="L31" s="371">
        <v>90.80022172631219819808482718</v>
      </c>
      <c r="M31" s="370">
        <v>90.000000000</v>
      </c>
      <c r="N31" s="172">
        <v>122.43809210526315789473684211</v>
      </c>
      <c r="O31" s="371">
        <v>114.784693019343986543313709</v>
      </c>
      <c r="P31" s="4"/>
      <c r="Q31" s="327">
        <v>-6.3949136029984741237113822600</v>
      </c>
      <c r="R31" s="171">
        <v>-13.134411004306908783891118900</v>
      </c>
      <c r="S31" s="328">
        <v>3.2713390922312325800664011600</v>
      </c>
      <c r="T31" s="327">
        <v>-100</v>
      </c>
      <c r="U31" s="171">
        <v>13.459761613136779974706824260</v>
      </c>
      <c r="V31" s="328">
        <v>6.9827479561926349232274209400</v>
      </c>
      <c r="W31" s="327">
        <v>20.675105485232067510548523200</v>
      </c>
      <c r="X31" s="171">
        <v>-3.0643437024471105959160096500</v>
      </c>
      <c r="Y31" s="328">
        <v>16.869767228689647892512575210</v>
      </c>
      <c r="Z31" s="327">
        <v>-4.6757943683384006330214867700</v>
      </c>
      <c r="AA31" s="171">
        <v>-7.925861901759311712360355770</v>
      </c>
      <c r="AB31" s="328">
        <v>3.285734971082340424036131900</v>
      </c>
      <c r="AD31" s="244"/>
      <c r="AE31" s="244"/>
      <c r="AF31" s="244"/>
      <c r="AG31" s="244"/>
      <c r="AH31" s="244"/>
      <c r="AI31" s="244"/>
      <c r="AJ31" s="244"/>
      <c r="AK31" s="244"/>
      <c r="AL31" s="244"/>
      <c r="AM31" s="244"/>
      <c r="AN31" s="244"/>
      <c r="AO31" s="244"/>
      <c r="AP31" s="244"/>
      <c r="AQ31" s="244"/>
      <c r="AR31" s="244"/>
      <c r="AS31" s="244"/>
      <c r="AT31" s="244"/>
      <c r="AU31" s="244"/>
      <c r="AV31" s="244"/>
      <c r="AW31" s="244"/>
      <c r="AX31" s="244"/>
      <c r="AY31" s="244"/>
      <c r="AZ31" s="244"/>
      <c r="BA31" s="244"/>
    </row>
    <row r="32" ht="15.6" customHeight="1">
      <c r="A32" s="92"/>
      <c r="B32" s="346">
        <v>14</v>
      </c>
      <c r="C32" s="347" t="s">
        <v>47</v>
      </c>
      <c r="D32" s="378">
        <v>95.03921568627450980392156863</v>
      </c>
      <c r="E32" s="173">
        <v>143.06673277256972026542035851</v>
      </c>
      <c r="F32" s="379">
        <v>135.14886005737262699454224927</v>
      </c>
      <c r="G32" s="378">
        <v>0</v>
      </c>
      <c r="H32" s="173">
        <v>144.07507608901187620215467667</v>
      </c>
      <c r="I32" s="379">
        <v>111.51393974374015607006033857</v>
      </c>
      <c r="J32" s="378">
        <v>97.75</v>
      </c>
      <c r="K32" s="173">
        <v>122.75389412625592873913502871</v>
      </c>
      <c r="L32" s="379">
        <v>91.86610574622575933293356309</v>
      </c>
      <c r="M32" s="378">
        <v>95.23636363636363636363636364</v>
      </c>
      <c r="N32" s="173">
        <v>140.55796577946768060836501902</v>
      </c>
      <c r="O32" s="379">
        <v>132.78784336645236703682057276</v>
      </c>
      <c r="P32" s="4"/>
      <c r="Q32" s="359">
        <v>-14.449151182560952643866227990</v>
      </c>
      <c r="R32" s="170">
        <v>-0.6817199289512271885955996600</v>
      </c>
      <c r="S32" s="360">
        <v>6.5464480132500297487123675200</v>
      </c>
      <c r="T32" s="359">
        <v>0</v>
      </c>
      <c r="U32" s="170">
        <v>18.067702864904764209994590210</v>
      </c>
      <c r="V32" s="360">
        <v>24.512599078716399658302069660</v>
      </c>
      <c r="W32" s="359">
        <v>8.611111111111111111111111110</v>
      </c>
      <c r="X32" s="170">
        <v>2.2925701318782163716705864500</v>
      </c>
      <c r="Y32" s="360">
        <v>5.6828272497648295368560527400</v>
      </c>
      <c r="Z32" s="359">
        <v>-13.696776990908358656642578520</v>
      </c>
      <c r="AA32" s="170">
        <v>0.9956357925684357320870401700</v>
      </c>
      <c r="AB32" s="360">
        <v>6.250735632604293223041366200</v>
      </c>
      <c r="AD32" s="244"/>
      <c r="AE32" s="244"/>
      <c r="AF32" s="244"/>
      <c r="AG32" s="244"/>
      <c r="AH32" s="244"/>
      <c r="AI32" s="244"/>
      <c r="AJ32" s="244"/>
      <c r="AK32" s="244"/>
      <c r="AL32" s="244"/>
      <c r="AM32" s="244"/>
      <c r="AN32" s="244"/>
      <c r="AO32" s="244"/>
      <c r="AP32" s="244"/>
      <c r="AQ32" s="244"/>
      <c r="AR32" s="244"/>
      <c r="AS32" s="244"/>
      <c r="AT32" s="244"/>
      <c r="AU32" s="244"/>
      <c r="AV32" s="244"/>
      <c r="AW32" s="244"/>
      <c r="AX32" s="244"/>
      <c r="AY32" s="244"/>
      <c r="AZ32" s="244"/>
      <c r="BA32" s="244"/>
    </row>
    <row r="33" ht="15.6" customHeight="1">
      <c r="A33" s="92"/>
      <c r="B33" s="344">
        <v>15</v>
      </c>
      <c r="C33" s="345" t="s">
        <v>48</v>
      </c>
      <c r="D33" s="370">
        <v>102.57971014492753623188405797</v>
      </c>
      <c r="E33" s="172">
        <v>145.82718675838057597503264436</v>
      </c>
      <c r="F33" s="371">
        <v>148.63679366316092427646399948</v>
      </c>
      <c r="G33" s="370">
        <v>0</v>
      </c>
      <c r="H33" s="172">
        <v>130.33896996417560933689965948</v>
      </c>
      <c r="I33" s="371">
        <v>114.94553331411679945229788964</v>
      </c>
      <c r="J33" s="370">
        <v>102</v>
      </c>
      <c r="K33" s="172">
        <v>126.8475352007105935618080807</v>
      </c>
      <c r="L33" s="371">
        <v>95.236805507668694597991347</v>
      </c>
      <c r="M33" s="370">
        <v>102.55555555555555555555555556</v>
      </c>
      <c r="N33" s="172">
        <v>142.56042582417582417582417582</v>
      </c>
      <c r="O33" s="371">
        <v>144.03815995818086774699424987</v>
      </c>
      <c r="P33" s="4"/>
      <c r="Q33" s="327">
        <v>-6.5940850712611947378151696400</v>
      </c>
      <c r="R33" s="171">
        <v>-2.2176764767334119409855798400</v>
      </c>
      <c r="S33" s="328">
        <v>8.064711208370654974369850820</v>
      </c>
      <c r="T33" s="327">
        <v>0</v>
      </c>
      <c r="U33" s="171">
        <v>-6.0447342604552884398459366900</v>
      </c>
      <c r="V33" s="328">
        <v>0.3837578599418921380605574100</v>
      </c>
      <c r="W33" s="327">
        <v>54.545454545454545454545454550</v>
      </c>
      <c r="X33" s="171">
        <v>10.019783192820266113573415060</v>
      </c>
      <c r="Y33" s="328">
        <v>49.979048533372915170565924450</v>
      </c>
      <c r="Z33" s="327">
        <v>-5.3132406523167028311454830300</v>
      </c>
      <c r="AA33" s="171">
        <v>-1.4613428808995847373833432700</v>
      </c>
      <c r="AB33" s="328">
        <v>6.377506601972927148957718900</v>
      </c>
      <c r="AD33" s="244"/>
      <c r="AE33" s="244"/>
      <c r="AF33" s="244"/>
      <c r="AG33" s="244"/>
      <c r="AH33" s="244"/>
      <c r="AI33" s="244"/>
      <c r="AJ33" s="244"/>
      <c r="AK33" s="244"/>
      <c r="AL33" s="244"/>
      <c r="AM33" s="244"/>
      <c r="AN33" s="244"/>
      <c r="AO33" s="244"/>
      <c r="AP33" s="244"/>
      <c r="AQ33" s="244"/>
      <c r="AR33" s="244"/>
      <c r="AS33" s="244"/>
      <c r="AT33" s="244"/>
      <c r="AU33" s="244"/>
      <c r="AV33" s="244"/>
      <c r="AW33" s="244"/>
      <c r="AX33" s="244"/>
      <c r="AY33" s="244"/>
      <c r="AZ33" s="244"/>
      <c r="BA33" s="244"/>
    </row>
    <row r="34" ht="15.6" customHeight="1">
      <c r="A34" s="92"/>
      <c r="B34" s="346">
        <v>16</v>
      </c>
      <c r="C34" s="347" t="s">
        <v>50</v>
      </c>
      <c r="D34" s="378">
        <v>98.7012987012987012987012987</v>
      </c>
      <c r="E34" s="173">
        <v>140.41292557053393178035175232</v>
      </c>
      <c r="F34" s="379">
        <v>146.4039920943094245730102037</v>
      </c>
      <c r="G34" s="378">
        <v>0</v>
      </c>
      <c r="H34" s="173">
        <v>128.75708560357251133587645929</v>
      </c>
      <c r="I34" s="379">
        <v>108.01336513910449526833317335</v>
      </c>
      <c r="J34" s="378">
        <v>98.33333333333333333333333333</v>
      </c>
      <c r="K34" s="173">
        <v>124.13724023860942563888053436</v>
      </c>
      <c r="L34" s="379">
        <v>93.74777844032525623919832004</v>
      </c>
      <c r="M34" s="378">
        <v>98.687500000</v>
      </c>
      <c r="N34" s="173">
        <v>137.5721393841166936790923825</v>
      </c>
      <c r="O34" s="379">
        <v>142.08777969018932874354561102</v>
      </c>
      <c r="P34" s="4"/>
      <c r="Q34" s="359">
        <v>-7.3871393593599775833031942700</v>
      </c>
      <c r="R34" s="170">
        <v>-4.4059743492205057324648692200</v>
      </c>
      <c r="S34" s="360">
        <v>9.805743509591077071358598540</v>
      </c>
      <c r="T34" s="359">
        <v>0</v>
      </c>
      <c r="U34" s="170">
        <v>-24.397056008869243065835018360</v>
      </c>
      <c r="V34" s="360">
        <v>-11.890724315495811502312722370</v>
      </c>
      <c r="W34" s="359">
        <v>16.141732283418841837683693370</v>
      </c>
      <c r="X34" s="170">
        <v>3.8557238447955899058537387400</v>
      </c>
      <c r="Y34" s="360">
        <v>13.940969989558544512402118840</v>
      </c>
      <c r="Z34" s="359">
        <v>-6.3872940589303270506122954900</v>
      </c>
      <c r="AA34" s="170">
        <v>-5.0668391405997066112962160100</v>
      </c>
      <c r="AB34" s="360">
        <v>7.5620426415267272739598156200</v>
      </c>
      <c r="AD34" s="244"/>
      <c r="AE34" s="244"/>
      <c r="AF34" s="244"/>
      <c r="AG34" s="244"/>
      <c r="AH34" s="244"/>
      <c r="AI34" s="244"/>
      <c r="AJ34" s="244"/>
      <c r="AK34" s="244"/>
      <c r="AL34" s="244"/>
      <c r="AM34" s="244"/>
      <c r="AN34" s="244"/>
      <c r="AO34" s="244"/>
      <c r="AP34" s="244"/>
      <c r="AQ34" s="244"/>
      <c r="AR34" s="244"/>
      <c r="AS34" s="244"/>
      <c r="AT34" s="244"/>
      <c r="AU34" s="244"/>
      <c r="AV34" s="244"/>
      <c r="AW34" s="244"/>
      <c r="AX34" s="244"/>
      <c r="AY34" s="244"/>
      <c r="AZ34" s="244"/>
      <c r="BA34" s="244"/>
    </row>
    <row r="35" ht="15.6" customHeight="1">
      <c r="A35" s="92"/>
      <c r="B35" s="344">
        <v>17</v>
      </c>
      <c r="C35" s="345" t="s">
        <v>51</v>
      </c>
      <c r="D35" s="370">
        <v>90.82258064516129032258064516</v>
      </c>
      <c r="E35" s="172">
        <v>135.39496920505156545924209521</v>
      </c>
      <c r="F35" s="371">
        <v>130.63308482183104072864000905</v>
      </c>
      <c r="G35" s="370">
        <v>132</v>
      </c>
      <c r="H35" s="172">
        <v>134.16045018748865815575908441</v>
      </c>
      <c r="I35" s="371">
        <v>109.12588744951455314608547558</v>
      </c>
      <c r="J35" s="370">
        <v>98</v>
      </c>
      <c r="K35" s="172">
        <v>127.17528252188470497338276322</v>
      </c>
      <c r="L35" s="371">
        <v>94.5306014400088184256104004</v>
      </c>
      <c r="M35" s="370">
        <v>92.28787878787878787878787879</v>
      </c>
      <c r="N35" s="172">
        <v>134.3840504201680672268907563</v>
      </c>
      <c r="O35" s="371">
        <v>128.12130735386549340037712131</v>
      </c>
      <c r="P35" s="4"/>
      <c r="Q35" s="327">
        <v>-9.403909580886493443809830260</v>
      </c>
      <c r="R35" s="171">
        <v>-7.987538332718463024046296160</v>
      </c>
      <c r="S35" s="328">
        <v>4.1346719881650097772486190300</v>
      </c>
      <c r="T35" s="327">
        <v>0</v>
      </c>
      <c r="U35" s="171">
        <v>-16.679677710942042412918953120</v>
      </c>
      <c r="V35" s="328">
        <v>-3.4701158647720731427319922200</v>
      </c>
      <c r="W35" s="327">
        <v>-27.137546468401486988847583640</v>
      </c>
      <c r="X35" s="171">
        <v>6.5945757524217695118548529200</v>
      </c>
      <c r="Y35" s="328">
        <v>-28.142972574234914562923871630</v>
      </c>
      <c r="Z35" s="327">
        <v>-9.183350927102157174977485940</v>
      </c>
      <c r="AA35" s="171">
        <v>-8.386347834859406981721782110</v>
      </c>
      <c r="AB35" s="328">
        <v>3.0035083160088662407322263100</v>
      </c>
      <c r="AD35" s="244"/>
      <c r="AE35" s="244"/>
      <c r="AF35" s="244"/>
      <c r="AG35" s="244"/>
      <c r="AH35" s="244"/>
      <c r="AI35" s="244"/>
      <c r="AJ35" s="244"/>
      <c r="AK35" s="244"/>
      <c r="AL35" s="244"/>
      <c r="AM35" s="244"/>
      <c r="AN35" s="244"/>
      <c r="AO35" s="244"/>
      <c r="AP35" s="244"/>
      <c r="AQ35" s="244"/>
      <c r="AR35" s="244"/>
      <c r="AS35" s="244"/>
      <c r="AT35" s="244"/>
      <c r="AU35" s="244"/>
      <c r="AV35" s="244"/>
      <c r="AW35" s="244"/>
      <c r="AX35" s="244"/>
      <c r="AY35" s="244"/>
      <c r="AZ35" s="244"/>
      <c r="BA35" s="244"/>
    </row>
    <row r="36" ht="15.6" customHeight="1">
      <c r="A36" s="92"/>
      <c r="B36" s="346">
        <v>18</v>
      </c>
      <c r="C36" s="347" t="s">
        <v>52</v>
      </c>
      <c r="D36" s="378">
        <v>103.52127659574468085106382979</v>
      </c>
      <c r="E36" s="173">
        <v>129.04881279628071097958536497</v>
      </c>
      <c r="F36" s="379">
        <v>124.09837344665909771647557193</v>
      </c>
      <c r="G36" s="378">
        <v>135</v>
      </c>
      <c r="H36" s="173">
        <v>127.56576052311830401714011758</v>
      </c>
      <c r="I36" s="379">
        <v>110.75019018266051194639456424</v>
      </c>
      <c r="J36" s="378">
        <v>100.25</v>
      </c>
      <c r="K36" s="173">
        <v>116.4959460132484212979861674</v>
      </c>
      <c r="L36" s="379">
        <v>97.73256265051090096292190866</v>
      </c>
      <c r="M36" s="378">
        <v>104.020000000</v>
      </c>
      <c r="N36" s="173">
        <v>127.64540777917189460476787953</v>
      </c>
      <c r="O36" s="379">
        <v>122.66333137139493819894055327</v>
      </c>
      <c r="P36" s="4"/>
      <c r="Q36" s="359">
        <v>10.342445983815000433113807920</v>
      </c>
      <c r="R36" s="170">
        <v>-5.2141734268812760783728174300</v>
      </c>
      <c r="S36" s="360">
        <v>-0.1658600761073409005988844200</v>
      </c>
      <c r="T36" s="359">
        <v>0</v>
      </c>
      <c r="U36" s="170">
        <v>-12.179931022900731624659925520</v>
      </c>
      <c r="V36" s="360">
        <v>-15.896853254281192872049217320</v>
      </c>
      <c r="W36" s="359">
        <v>0</v>
      </c>
      <c r="X36" s="170">
        <v>-3.023959893114756252996710900</v>
      </c>
      <c r="Y36" s="360">
        <v>0</v>
      </c>
      <c r="Z36" s="359">
        <v>10.874031007730450769184548360</v>
      </c>
      <c r="AA36" s="170">
        <v>-6.4894131047748430901016124400</v>
      </c>
      <c r="AB36" s="360">
        <v>-2.3197940345329095904035783800</v>
      </c>
      <c r="AD36" s="244"/>
      <c r="AE36" s="244"/>
      <c r="AF36" s="244"/>
      <c r="AG36" s="244"/>
      <c r="AH36" s="244"/>
      <c r="AI36" s="244"/>
      <c r="AJ36" s="244"/>
      <c r="AK36" s="244"/>
      <c r="AL36" s="244"/>
      <c r="AM36" s="244"/>
      <c r="AN36" s="244"/>
      <c r="AO36" s="244"/>
      <c r="AP36" s="244"/>
      <c r="AQ36" s="244"/>
      <c r="AR36" s="244"/>
      <c r="AS36" s="244"/>
      <c r="AT36" s="244"/>
      <c r="AU36" s="244"/>
      <c r="AV36" s="244"/>
      <c r="AW36" s="244"/>
      <c r="AX36" s="244"/>
      <c r="AY36" s="244"/>
      <c r="AZ36" s="244"/>
      <c r="BA36" s="244"/>
    </row>
    <row r="37" ht="15.6" customHeight="1">
      <c r="A37" s="92"/>
      <c r="B37" s="348">
        <v>19</v>
      </c>
      <c r="C37" s="349" t="s">
        <v>53</v>
      </c>
      <c r="D37" s="380">
        <v>102.1595744680851063829787234</v>
      </c>
      <c r="E37" s="383">
        <v>128.55922841036640941130498509</v>
      </c>
      <c r="F37" s="381">
        <v>125.85110750848267623421368961</v>
      </c>
      <c r="G37" s="380">
        <v>135.5</v>
      </c>
      <c r="H37" s="383">
        <v>135.60255145476266045362340237</v>
      </c>
      <c r="I37" s="381">
        <v>114.81309114208316414318152539</v>
      </c>
      <c r="J37" s="380">
        <v>100.5</v>
      </c>
      <c r="K37" s="383">
        <v>137.8421561483773841604146899</v>
      </c>
      <c r="L37" s="381">
        <v>99.92774641683600913837271326</v>
      </c>
      <c r="M37" s="380">
        <v>102.80612244897959183673469388</v>
      </c>
      <c r="N37" s="383">
        <v>131.22871465295629820051413882</v>
      </c>
      <c r="O37" s="381">
        <v>124.85799880167765128819652487</v>
      </c>
      <c r="P37" s="4"/>
      <c r="Q37" s="329">
        <v>-58.536544861530149550764897160</v>
      </c>
      <c r="R37" s="330">
        <v>3.1792735902660779944708794900</v>
      </c>
      <c r="S37" s="332">
        <v>0.2633833796178306441886434500</v>
      </c>
      <c r="T37" s="329">
        <v>0</v>
      </c>
      <c r="U37" s="330">
        <v>-3.5353466469066875447509465400</v>
      </c>
      <c r="V37" s="332">
        <v>-9.919622327937803428474123590</v>
      </c>
      <c r="W37" s="329">
        <v>-48.195876288659793814432989690</v>
      </c>
      <c r="X37" s="330">
        <v>12.754643725284566912996231050</v>
      </c>
      <c r="Y37" s="332">
        <v>-46.269884333456925640958334050</v>
      </c>
      <c r="Z37" s="329">
        <v>-57.056757540108775339709818760</v>
      </c>
      <c r="AA37" s="330">
        <v>3.0902178738923472976988808900</v>
      </c>
      <c r="AB37" s="332">
        <v>-0.9340793259490143664755015400</v>
      </c>
      <c r="AD37" s="244"/>
      <c r="AE37" s="244"/>
      <c r="AF37" s="244"/>
      <c r="AG37" s="244"/>
      <c r="AH37" s="244"/>
      <c r="AI37" s="244"/>
      <c r="AJ37" s="244"/>
      <c r="AK37" s="244"/>
      <c r="AL37" s="244"/>
      <c r="AM37" s="244"/>
      <c r="AN37" s="244"/>
      <c r="AO37" s="244"/>
      <c r="AP37" s="244"/>
      <c r="AQ37" s="244"/>
      <c r="AR37" s="244"/>
      <c r="AS37" s="244"/>
      <c r="AT37" s="244"/>
      <c r="AU37" s="244"/>
      <c r="AV37" s="244"/>
      <c r="AW37" s="244"/>
      <c r="AX37" s="244"/>
      <c r="AY37" s="244"/>
      <c r="AZ37" s="244"/>
      <c r="BA37" s="244"/>
    </row>
    <row r="38" ht="21" customHeight="1">
      <c r="B38" s="54"/>
      <c r="C38"/>
      <c r="D38" s="169"/>
      <c r="E38" s="169"/>
      <c r="F38" s="169"/>
      <c r="G38" s="169"/>
      <c r="H38" s="169"/>
      <c r="I38" s="169"/>
      <c r="J38" s="169"/>
      <c r="K38" s="169"/>
      <c r="L38" s="169"/>
      <c r="M38" s="169"/>
      <c r="N38" s="169"/>
      <c r="O38" s="169"/>
      <c r="P38" s="4"/>
      <c r="Q38" s="4"/>
      <c r="R38" s="4"/>
      <c r="S38" s="4"/>
      <c r="T38" s="4"/>
      <c r="U38" s="4"/>
      <c r="V38" s="4"/>
      <c r="W38" s="4"/>
      <c r="X38" s="4"/>
      <c r="Y38" s="4"/>
      <c r="Z38" s="4"/>
      <c r="AA38" s="4"/>
      <c r="AB38" s="4"/>
      <c r="AD38" s="244"/>
      <c r="AE38" s="244"/>
      <c r="AF38" s="244"/>
      <c r="AG38" s="244"/>
      <c r="AH38" s="244"/>
      <c r="AI38" s="244"/>
      <c r="AJ38" s="244"/>
      <c r="AK38" s="244"/>
      <c r="AL38" s="244"/>
      <c r="AM38" s="244"/>
      <c r="AN38" s="244"/>
      <c r="AO38" s="244"/>
      <c r="AP38" s="244"/>
      <c r="AQ38" s="244"/>
      <c r="AR38" s="244"/>
      <c r="AS38" s="244"/>
      <c r="AT38" s="244"/>
      <c r="AU38" s="244"/>
      <c r="AV38" s="244"/>
      <c r="AW38" s="244"/>
      <c r="AX38" s="244"/>
      <c r="AY38" s="244"/>
      <c r="AZ38" s="244"/>
      <c r="BA38" s="244"/>
    </row>
    <row r="39" ht="15.6" customHeight="1">
      <c r="A39" s="54"/>
      <c r="B39" s="53"/>
      <c r="C39" s="53" t="s">
        <v>14</v>
      </c>
      <c r="D39" s="374">
        <v>90.12121212121212121212121212</v>
      </c>
      <c r="E39" s="382">
        <v>123.98240782938757112245474301</v>
      </c>
      <c r="F39" s="375">
        <v>116.39645085864458080704879728</v>
      </c>
      <c r="G39" s="374">
        <v>109.2</v>
      </c>
      <c r="H39" s="382">
        <v>149.80214105450218986966126314</v>
      </c>
      <c r="I39" s="375">
        <v>107.34097923594504606354056925</v>
      </c>
      <c r="J39" s="374">
        <v>94</v>
      </c>
      <c r="K39" s="382">
        <v>118.05011720474598869907143358</v>
      </c>
      <c r="L39" s="375">
        <v>88.52070948761316763375509868</v>
      </c>
      <c r="M39" s="374">
        <v>91.33333333333333333333333333</v>
      </c>
      <c r="N39" s="382">
        <v>125.55421752265861027190332326</v>
      </c>
      <c r="O39" s="375">
        <v>115.31298648095043015157722245</v>
      </c>
      <c r="P39" s="4"/>
      <c r="Q39" s="354">
        <v>-4.1404360505980945918864884800</v>
      </c>
      <c r="R39" s="355">
        <v>-2.8196081699544048115996572900</v>
      </c>
      <c r="S39" s="356">
        <v>0.9933610179772004678344372800</v>
      </c>
      <c r="T39" s="354">
        <v>33.170731707317073170731707320</v>
      </c>
      <c r="U39" s="355">
        <v>11.999902252576363438530878880</v>
      </c>
      <c r="V39" s="356">
        <v>8.068921598881824104268095160</v>
      </c>
      <c r="W39" s="354">
        <v>2.7322404371584699453551912600</v>
      </c>
      <c r="X39" s="355">
        <v>-2.1174512029829085537784263700</v>
      </c>
      <c r="Y39" s="356">
        <v>-0.774947424201154746099670400</v>
      </c>
      <c r="Z39" s="354">
        <v>-2.4777549623064914329725261300</v>
      </c>
      <c r="AA39" s="355">
        <v>-1.7765803951964081642932000400</v>
      </c>
      <c r="AB39" s="356">
        <v>1.3982568751582728609731234300</v>
      </c>
      <c r="AD39" s="244"/>
      <c r="AE39" s="244"/>
      <c r="AF39" s="244"/>
      <c r="AG39" s="244"/>
      <c r="AH39" s="244"/>
      <c r="AI39" s="244"/>
      <c r="AJ39" s="244"/>
      <c r="AK39" s="244"/>
      <c r="AL39" s="244"/>
      <c r="AM39" s="244"/>
      <c r="AN39" s="244"/>
      <c r="AO39" s="244"/>
      <c r="AP39" s="244"/>
      <c r="AQ39" s="244"/>
      <c r="AR39" s="244"/>
      <c r="AS39" s="244"/>
      <c r="AT39" s="244"/>
      <c r="AU39" s="244"/>
      <c r="AV39" s="244"/>
      <c r="AW39" s="244"/>
      <c r="AX39" s="244"/>
      <c r="AY39" s="244"/>
      <c r="AZ39" s="244"/>
      <c r="BA39" s="244"/>
    </row>
    <row r="40" ht="15.6" customHeight="1">
      <c r="A40" s="54"/>
      <c r="C40" s="53" t="s">
        <v>15</v>
      </c>
      <c r="D40" s="370">
        <v>96.67142857142857142857142857</v>
      </c>
      <c r="E40" s="172">
        <v>139.50247682000715588271731967</v>
      </c>
      <c r="F40" s="371">
        <v>131.09477055050388621570694669</v>
      </c>
      <c r="G40" s="370">
        <v>102.89655172413793103448275862</v>
      </c>
      <c r="H40" s="172">
        <v>140.9400612144624317880929475</v>
      </c>
      <c r="I40" s="371">
        <v>113.65290688317670905898650287</v>
      </c>
      <c r="J40" s="370">
        <v>97.36363636363636363636363636</v>
      </c>
      <c r="K40" s="172">
        <v>120.1584043284149986335571613</v>
      </c>
      <c r="L40" s="371">
        <v>91.75564050593033976544532983</v>
      </c>
      <c r="M40" s="370">
        <v>97.424000000</v>
      </c>
      <c r="N40" s="172">
        <v>137.32300832925036746692797648</v>
      </c>
      <c r="O40" s="371">
        <v>129.02245624903205823137680037</v>
      </c>
      <c r="P40" s="4"/>
      <c r="Q40" s="327">
        <v>-3.1818773032880495742223495300</v>
      </c>
      <c r="R40" s="171">
        <v>-1.2574132735216995529792419100</v>
      </c>
      <c r="S40" s="328">
        <v>3.514308922710329344143342800</v>
      </c>
      <c r="T40" s="327">
        <v>0</v>
      </c>
      <c r="U40" s="171">
        <v>6.2672869443725696784761173800</v>
      </c>
      <c r="V40" s="328">
        <v>-0.9940382647247262402511534400</v>
      </c>
      <c r="W40" s="327">
        <v>14.996420901887438774877567580</v>
      </c>
      <c r="X40" s="171">
        <v>1.8127337148465288004579639600</v>
      </c>
      <c r="Y40" s="328">
        <v>11.418754913187478770555734470</v>
      </c>
      <c r="Z40" s="327">
        <v>-1.411880395584129036839658400</v>
      </c>
      <c r="AA40" s="171">
        <v>-0.2763583838362084491170312800</v>
      </c>
      <c r="AB40" s="328">
        <v>3.0000648113342347315150457800</v>
      </c>
      <c r="AD40" s="244"/>
      <c r="AE40" s="244"/>
      <c r="AF40" s="244"/>
      <c r="AG40" s="244"/>
      <c r="AH40" s="244"/>
      <c r="AI40" s="244"/>
      <c r="AJ40" s="244"/>
      <c r="AK40" s="244"/>
      <c r="AL40" s="244"/>
      <c r="AM40" s="244"/>
      <c r="AN40" s="244"/>
      <c r="AO40" s="244"/>
      <c r="AP40" s="244"/>
      <c r="AQ40" s="244"/>
      <c r="AR40" s="244"/>
      <c r="AS40" s="244"/>
      <c r="AT40" s="244"/>
      <c r="AU40" s="244"/>
      <c r="AV40" s="244"/>
      <c r="AW40" s="244"/>
      <c r="AX40" s="244"/>
      <c r="AY40" s="244"/>
      <c r="AZ40" s="244"/>
      <c r="BA40" s="244"/>
    </row>
    <row r="41" ht="15.6" customHeight="1">
      <c r="A41" s="54"/>
      <c r="B41" s="22"/>
      <c r="C41" s="53" t="s">
        <v>16</v>
      </c>
      <c r="D41" s="378">
        <v>96.28205128205128205128205128</v>
      </c>
      <c r="E41" s="173">
        <v>140.11528245774958255918300222</v>
      </c>
      <c r="F41" s="379">
        <v>142.33274943045201061511790477</v>
      </c>
      <c r="G41" s="378">
        <v>102.8125</v>
      </c>
      <c r="H41" s="173">
        <v>146.86833114192901956503896987</v>
      </c>
      <c r="I41" s="379">
        <v>121.3972970986223261792568001</v>
      </c>
      <c r="J41" s="378">
        <v>98.25</v>
      </c>
      <c r="K41" s="173">
        <v>122.12850661010191885119954718</v>
      </c>
      <c r="L41" s="379">
        <v>92.88190898552224779196479502</v>
      </c>
      <c r="M41" s="378">
        <v>97.000000000</v>
      </c>
      <c r="N41" s="173">
        <v>139.21598826549321598826549321</v>
      </c>
      <c r="O41" s="379">
        <v>139.81368186874304783092324805</v>
      </c>
      <c r="P41" s="4"/>
      <c r="Q41" s="359">
        <v>-14.324322675511820963004244970</v>
      </c>
      <c r="R41" s="170">
        <v>-6.6793839259851417099323255300</v>
      </c>
      <c r="S41" s="360">
        <v>5.7496375843013347239954665100</v>
      </c>
      <c r="T41" s="359">
        <v>0</v>
      </c>
      <c r="U41" s="170">
        <v>11.006953694719410816989801210</v>
      </c>
      <c r="V41" s="360">
        <v>0.1000656766001041109555868500</v>
      </c>
      <c r="W41" s="359">
        <v>10.808270676650072078692988690</v>
      </c>
      <c r="X41" s="170">
        <v>3.4592807662531677588961898600</v>
      </c>
      <c r="Y41" s="360">
        <v>10.925583997270783177332776940</v>
      </c>
      <c r="Z41" s="359">
        <v>-12.840966396161786356685323920</v>
      </c>
      <c r="AA41" s="170">
        <v>-3.8632312712023087397968289400</v>
      </c>
      <c r="AB41" s="360">
        <v>5.3049089644388895303461719300</v>
      </c>
      <c r="AD41" s="244"/>
      <c r="AE41" s="244"/>
      <c r="AF41" s="244"/>
      <c r="AG41" s="244"/>
      <c r="AH41" s="244"/>
      <c r="AI41" s="244"/>
      <c r="AJ41" s="244"/>
      <c r="AK41" s="244"/>
      <c r="AL41" s="244"/>
      <c r="AM41" s="244"/>
      <c r="AN41" s="244"/>
      <c r="AO41" s="244"/>
      <c r="AP41" s="244"/>
      <c r="AQ41" s="244"/>
      <c r="AR41" s="244"/>
      <c r="AS41" s="244"/>
      <c r="AT41" s="244"/>
      <c r="AU41" s="244"/>
      <c r="AV41" s="244"/>
      <c r="AW41" s="244"/>
      <c r="AX41" s="244"/>
      <c r="AY41" s="244"/>
      <c r="AZ41" s="244"/>
      <c r="BA41" s="244"/>
    </row>
    <row r="42" ht="15.6" customHeight="1">
      <c r="A42" s="54"/>
      <c r="B42" s="22"/>
      <c r="C42" s="53" t="s">
        <v>17</v>
      </c>
      <c r="D42" s="370">
        <v>96.6549295774647887323943662</v>
      </c>
      <c r="E42" s="172">
        <v>140.61654543555414882240742652</v>
      </c>
      <c r="F42" s="371">
        <v>143.29664434092554922890441806</v>
      </c>
      <c r="G42" s="370">
        <v>106.4375</v>
      </c>
      <c r="H42" s="172">
        <v>154.38022996232032810587218035</v>
      </c>
      <c r="I42" s="371">
        <v>118.22152467470288627964449302</v>
      </c>
      <c r="J42" s="370">
        <v>100.6</v>
      </c>
      <c r="K42" s="172">
        <v>122.42070828814229052676653866</v>
      </c>
      <c r="L42" s="371">
        <v>96.25802936555556431889344731</v>
      </c>
      <c r="M42" s="370">
        <v>97.73619631901840490797546012</v>
      </c>
      <c r="N42" s="172">
        <v>140.79816365007541478129713424</v>
      </c>
      <c r="O42" s="371">
        <v>140.15006601144198327710136424</v>
      </c>
      <c r="P42" s="4"/>
      <c r="Q42" s="327">
        <v>-11.434090185558053724191343750</v>
      </c>
      <c r="R42" s="171">
        <v>-4.9350299484373416688564881500</v>
      </c>
      <c r="S42" s="328">
        <v>6.9868565396211126721683830500</v>
      </c>
      <c r="T42" s="327">
        <v>0</v>
      </c>
      <c r="U42" s="171">
        <v>23.353472218300231546773790760</v>
      </c>
      <c r="V42" s="328">
        <v>-4.8276172971474501175467245500</v>
      </c>
      <c r="W42" s="327">
        <v>10.549450549450549450549450550</v>
      </c>
      <c r="X42" s="171">
        <v>2.4943064941371263887978077700</v>
      </c>
      <c r="Y42" s="328">
        <v>8.022908733747782572532898230</v>
      </c>
      <c r="Z42" s="327">
        <v>-9.563084439009631354723273570</v>
      </c>
      <c r="AA42" s="171">
        <v>-0.543492575997329350000344400</v>
      </c>
      <c r="AB42" s="328">
        <v>5.7672024177675876092999132200</v>
      </c>
      <c r="AD42" s="244"/>
      <c r="AE42" s="244"/>
      <c r="AF42" s="244"/>
      <c r="AG42" s="244"/>
      <c r="AH42" s="244"/>
      <c r="AI42" s="244"/>
      <c r="AJ42" s="244"/>
      <c r="AK42" s="244"/>
      <c r="AL42" s="244"/>
      <c r="AM42" s="244"/>
      <c r="AN42" s="244"/>
      <c r="AO42" s="244"/>
      <c r="AP42" s="244"/>
      <c r="AQ42" s="244"/>
      <c r="AR42" s="244"/>
      <c r="AS42" s="244"/>
      <c r="AT42" s="244"/>
      <c r="AU42" s="244"/>
      <c r="AV42" s="244"/>
      <c r="AW42" s="244"/>
      <c r="AX42" s="244"/>
      <c r="AY42" s="244"/>
      <c r="AZ42" s="244"/>
      <c r="BA42" s="244"/>
    </row>
    <row r="43" ht="15.6" customHeight="1">
      <c r="A43" s="54"/>
      <c r="B43" s="22"/>
      <c r="C43" s="53" t="s">
        <v>18</v>
      </c>
      <c r="D43" s="378">
        <v>92.60924369747899159663865546</v>
      </c>
      <c r="E43" s="173">
        <v>137.35469032715719293219636182</v>
      </c>
      <c r="F43" s="379">
        <v>128.95329246429524125820824477</v>
      </c>
      <c r="G43" s="378">
        <v>126.11111111111111111111111111</v>
      </c>
      <c r="H43" s="173">
        <v>156.65077102343937046121166967</v>
      </c>
      <c r="I43" s="379">
        <v>120.25535102883632885174239299</v>
      </c>
      <c r="J43" s="378">
        <v>100.83333333333333333333333333</v>
      </c>
      <c r="K43" s="173">
        <v>123.06655831015732397051122018</v>
      </c>
      <c r="L43" s="379">
        <v>96.60675702639459729778074003</v>
      </c>
      <c r="M43" s="378">
        <v>93.9960474308300395256916996</v>
      </c>
      <c r="N43" s="173">
        <v>140.54329996350374278050436296</v>
      </c>
      <c r="O43" s="379">
        <v>127.68407561678949054790131368</v>
      </c>
      <c r="P43" s="4"/>
      <c r="Q43" s="359">
        <v>-13.021242867916362814483577770</v>
      </c>
      <c r="R43" s="170">
        <v>-1.735337451216121138637863100</v>
      </c>
      <c r="S43" s="360">
        <v>3.1724655907297745746382527400</v>
      </c>
      <c r="T43" s="359">
        <v>39.221097822804987831152212810</v>
      </c>
      <c r="U43" s="170">
        <v>13.386854604813748846549122040</v>
      </c>
      <c r="V43" s="360">
        <v>4.2788653299355628098058443600</v>
      </c>
      <c r="W43" s="359">
        <v>4.0494058786644106248393998300</v>
      </c>
      <c r="X43" s="170">
        <v>2.4521440780760113749549620200</v>
      </c>
      <c r="Y43" s="360">
        <v>3.2202087618872435638763655100</v>
      </c>
      <c r="Z43" s="359">
        <v>-10.540523193938268348012342120</v>
      </c>
      <c r="AA43" s="170">
        <v>2.0210770167476868937789347600</v>
      </c>
      <c r="AB43" s="360">
        <v>3.2886699069304181226668640600</v>
      </c>
      <c r="AD43" s="244"/>
      <c r="AE43" s="244"/>
      <c r="AF43" s="244"/>
      <c r="AG43" s="244"/>
      <c r="AH43" s="244"/>
      <c r="AI43" s="244"/>
      <c r="AJ43" s="244"/>
      <c r="AK43" s="244"/>
      <c r="AL43" s="244"/>
      <c r="AM43" s="244"/>
      <c r="AN43" s="244"/>
      <c r="AO43" s="244"/>
      <c r="AP43" s="244"/>
      <c r="AQ43" s="244"/>
      <c r="AR43" s="244"/>
      <c r="AS43" s="244"/>
      <c r="AT43" s="244"/>
      <c r="AU43" s="244"/>
      <c r="AV43" s="244"/>
      <c r="AW43" s="244"/>
      <c r="AX43" s="244"/>
      <c r="AY43" s="244"/>
      <c r="AZ43" s="244"/>
      <c r="BA43" s="244"/>
    </row>
    <row r="44" ht="15.6" customHeight="1">
      <c r="A44" s="54"/>
      <c r="B44" s="22"/>
      <c r="C44" s="53" t="s">
        <v>19</v>
      </c>
      <c r="D44" s="370">
        <v>105.82865168539325842696629213</v>
      </c>
      <c r="E44" s="172">
        <v>132.12078050331388000900619474</v>
      </c>
      <c r="F44" s="371">
        <v>124.34152314287072929437155756</v>
      </c>
      <c r="G44" s="370">
        <v>125.75</v>
      </c>
      <c r="H44" s="172">
        <v>137.4200801873616140691123347</v>
      </c>
      <c r="I44" s="371">
        <v>119.38531536557677379283708663</v>
      </c>
      <c r="J44" s="370">
        <v>100.57142857142857142857142857</v>
      </c>
      <c r="K44" s="172">
        <v>121.10596076422621018759723809</v>
      </c>
      <c r="L44" s="371">
        <v>98.44396476184526698837724057</v>
      </c>
      <c r="M44" s="370">
        <v>106.05555555555555555555555556</v>
      </c>
      <c r="N44" s="172">
        <v>132.73416837082481254260395364</v>
      </c>
      <c r="O44" s="371">
        <v>123.57740146860482541585493781</v>
      </c>
      <c r="P44" s="4"/>
      <c r="Q44" s="327">
        <v>-0.3735058789784079992530210800</v>
      </c>
      <c r="R44" s="171">
        <v>-1.2596464700388894992424739900</v>
      </c>
      <c r="S44" s="328">
        <v>-0.6695699886775762158008294200</v>
      </c>
      <c r="T44" s="327">
        <v>8.944700460823468495827051240</v>
      </c>
      <c r="U44" s="171">
        <v>1.0828135381803719550767896900</v>
      </c>
      <c r="V44" s="328">
        <v>2.2647292048405471071764660500</v>
      </c>
      <c r="W44" s="327">
        <v>10.975369458128078817733990150</v>
      </c>
      <c r="X44" s="171">
        <v>-0.0577536959573821027383313600</v>
      </c>
      <c r="Y44" s="328">
        <v>6.0669868945391133838914478400</v>
      </c>
      <c r="Z44" s="327">
        <v>-1.1144720247240032018741043500</v>
      </c>
      <c r="AA44" s="171">
        <v>-0.4977857006937658394949549100</v>
      </c>
      <c r="AB44" s="328">
        <v>-0.2797511249294920803381788500</v>
      </c>
      <c r="AD44" s="244"/>
      <c r="AE44" s="244"/>
      <c r="AF44" s="244"/>
      <c r="AG44" s="244"/>
      <c r="AH44" s="244"/>
      <c r="AI44" s="244"/>
      <c r="AJ44" s="244"/>
      <c r="AK44" s="244"/>
      <c r="AL44" s="244"/>
      <c r="AM44" s="244"/>
      <c r="AN44" s="244"/>
      <c r="AO44" s="244"/>
      <c r="AP44" s="244"/>
      <c r="AQ44" s="244"/>
      <c r="AR44" s="244"/>
      <c r="AS44" s="244"/>
      <c r="AT44" s="244"/>
      <c r="AU44" s="244"/>
      <c r="AV44" s="244"/>
      <c r="AW44" s="244"/>
      <c r="AX44" s="244"/>
      <c r="AY44" s="244"/>
      <c r="AZ44" s="244"/>
      <c r="BA44" s="244"/>
    </row>
    <row r="45" ht="15.6" customHeight="1">
      <c r="A45" s="54"/>
      <c r="B45" s="22"/>
      <c r="C45" s="53" t="s">
        <v>20</v>
      </c>
      <c r="D45" s="384">
        <v>100.32345013477088948787061995</v>
      </c>
      <c r="E45" s="385">
        <v>130.59603475388247415229401728</v>
      </c>
      <c r="F45" s="386">
        <v>124.43233074829885067288397266</v>
      </c>
      <c r="G45" s="384">
        <v>123.125</v>
      </c>
      <c r="H45" s="385">
        <v>136.89048128295116322636905331</v>
      </c>
      <c r="I45" s="386">
        <v>119.86016863931884388641763159</v>
      </c>
      <c r="J45" s="384">
        <v>98.71428571428571428571428571</v>
      </c>
      <c r="K45" s="385">
        <v>130.46470455604842894733457809</v>
      </c>
      <c r="L45" s="386">
        <v>97.83531195126875020256928273</v>
      </c>
      <c r="M45" s="384">
        <v>100.7668393782383419689119171</v>
      </c>
      <c r="N45" s="385">
        <v>132.26199734571997345719973457</v>
      </c>
      <c r="O45" s="386">
        <v>123.7992090051718892607240645</v>
      </c>
      <c r="P45" s="4"/>
      <c r="Q45" s="364">
        <v>-14.618340310833285542237770260</v>
      </c>
      <c r="R45" s="365">
        <v>0.50135391077193824700712900</v>
      </c>
      <c r="S45" s="366">
        <v>0.6485846272242499388176432300</v>
      </c>
      <c r="T45" s="364">
        <v>11.190547862766764162511368680</v>
      </c>
      <c r="U45" s="365">
        <v>4.1054934933629802029790772400</v>
      </c>
      <c r="V45" s="366">
        <v>3.3261457076988297013592457600</v>
      </c>
      <c r="W45" s="364">
        <v>-18.417945690672963400236127510</v>
      </c>
      <c r="X45" s="365">
        <v>6.6499839456898476394449895100</v>
      </c>
      <c r="Y45" s="366">
        <v>-19.147428759426901737161505730</v>
      </c>
      <c r="Z45" s="364">
        <v>-13.795188650125052603565043450</v>
      </c>
      <c r="AA45" s="365">
        <v>1.9939280985103765582492672700</v>
      </c>
      <c r="AB45" s="366">
        <v>0.9821303439592744692654343200</v>
      </c>
      <c r="AD45" s="244"/>
      <c r="AE45" s="244"/>
      <c r="AF45" s="244"/>
      <c r="AG45" s="244"/>
      <c r="AH45" s="244"/>
      <c r="AI45" s="244"/>
      <c r="AJ45" s="244"/>
      <c r="AK45" s="244"/>
      <c r="AL45" s="244"/>
      <c r="AM45" s="244"/>
      <c r="AN45" s="244"/>
      <c r="AO45" s="244"/>
      <c r="AP45" s="244"/>
      <c r="AQ45" s="244"/>
      <c r="AR45" s="244"/>
      <c r="AS45" s="244"/>
      <c r="AT45" s="244"/>
      <c r="AU45" s="244"/>
      <c r="AV45" s="244"/>
      <c r="AW45" s="244"/>
      <c r="AX45" s="244"/>
      <c r="AY45" s="244"/>
      <c r="AZ45" s="244"/>
      <c r="BA45" s="244"/>
    </row>
    <row r="46" ht="20.25" customHeight="1">
      <c r="B46" s="54"/>
      <c r="C46"/>
      <c r="D46" s="169"/>
      <c r="E46" s="169"/>
      <c r="F46" s="169"/>
      <c r="G46" s="169"/>
      <c r="H46" s="169"/>
      <c r="I46" s="169"/>
      <c r="J46" s="169"/>
      <c r="K46" s="169"/>
      <c r="L46" s="169"/>
      <c r="M46" s="169"/>
      <c r="N46" s="169"/>
      <c r="O46" s="169"/>
      <c r="P46" s="4"/>
      <c r="Q46" s="4"/>
      <c r="R46" s="4"/>
      <c r="S46" s="4"/>
      <c r="T46" s="4"/>
      <c r="U46" s="4"/>
      <c r="V46" s="4"/>
      <c r="W46" s="4"/>
      <c r="X46" s="4"/>
      <c r="Y46" s="4"/>
      <c r="Z46" s="4"/>
      <c r="AA46" s="4"/>
      <c r="AB46" s="4"/>
      <c r="AD46" s="244"/>
      <c r="AE46" s="244"/>
      <c r="AF46" s="244"/>
      <c r="AG46" s="244"/>
      <c r="AH46" s="244"/>
      <c r="AI46" s="244"/>
      <c r="AJ46" s="244"/>
      <c r="AK46" s="244"/>
      <c r="AL46" s="244"/>
      <c r="AM46" s="244"/>
      <c r="AN46" s="244"/>
      <c r="AO46" s="244"/>
      <c r="AP46" s="244"/>
      <c r="AQ46" s="244"/>
      <c r="AR46" s="244"/>
      <c r="AS46" s="244"/>
      <c r="AT46" s="244"/>
      <c r="AU46" s="244"/>
      <c r="AV46" s="244"/>
      <c r="AW46" s="244"/>
      <c r="AX46" s="244"/>
      <c r="AY46" s="244"/>
      <c r="AZ46" s="244"/>
      <c r="BA46" s="244"/>
    </row>
    <row r="47" ht="15.6" customHeight="1">
      <c r="A47" s="22"/>
      <c r="B47" s="22"/>
      <c r="C47" s="53" t="s">
        <v>72</v>
      </c>
      <c r="D47" s="374">
        <v>98.45418326693227091633466135</v>
      </c>
      <c r="E47" s="382">
        <v>135.47621810636198824260936358</v>
      </c>
      <c r="F47" s="375">
        <v>133.43469261409197783273154603</v>
      </c>
      <c r="G47" s="374">
        <v>134.16666666666666666666666667</v>
      </c>
      <c r="H47" s="382">
        <v>132.65556770843409110100394622</v>
      </c>
      <c r="I47" s="375">
        <v>110.86971260203326528577196308</v>
      </c>
      <c r="J47" s="374">
        <v>98.85714285714285714285714286</v>
      </c>
      <c r="K47" s="382">
        <v>124.16880117776845940582301926</v>
      </c>
      <c r="L47" s="375">
        <v>94.60318482452799314741706194</v>
      </c>
      <c r="M47" s="374">
        <v>98.87523629489603024574669187</v>
      </c>
      <c r="N47" s="382">
        <v>133.91574382921947965310206804</v>
      </c>
      <c r="O47" s="375">
        <v>130.91767260095527572731220148</v>
      </c>
      <c r="P47" s="4"/>
      <c r="Q47" s="354">
        <v>-11.864720938530178626482037900</v>
      </c>
      <c r="R47" s="355">
        <v>-3.6213563436653766955384053800</v>
      </c>
      <c r="S47" s="356">
        <v>4.7096717706180591653710309600</v>
      </c>
      <c r="T47" s="354">
        <v>63.617886178861788617886178870</v>
      </c>
      <c r="U47" s="355">
        <v>-6.2500040831946104845357685800</v>
      </c>
      <c r="V47" s="356">
        <v>-6.9458355861323008632872651500</v>
      </c>
      <c r="W47" s="354">
        <v>-8.887425938117182356813693220</v>
      </c>
      <c r="X47" s="355">
        <v>3.4859856121447216248534965900</v>
      </c>
      <c r="Y47" s="356">
        <v>-10.689071628991735934295420610</v>
      </c>
      <c r="Z47" s="354">
        <v>-11.136511726537918741744851890</v>
      </c>
      <c r="AA47" s="355">
        <v>-3.4516522057961925224053282700</v>
      </c>
      <c r="AB47" s="356">
        <v>3.4872356962068317951985866700</v>
      </c>
      <c r="AD47" s="244"/>
      <c r="AE47" s="244"/>
      <c r="AF47" s="244"/>
      <c r="AG47" s="244"/>
      <c r="AH47" s="244"/>
      <c r="AI47" s="244"/>
      <c r="AJ47" s="244"/>
      <c r="AK47" s="244"/>
      <c r="AL47" s="244"/>
      <c r="AM47" s="244"/>
      <c r="AN47" s="244"/>
      <c r="AO47" s="244"/>
      <c r="AP47" s="244"/>
      <c r="AQ47" s="244"/>
      <c r="AR47" s="244"/>
      <c r="AS47" s="244"/>
      <c r="AT47" s="244"/>
      <c r="AU47" s="244"/>
      <c r="AV47" s="244"/>
      <c r="AW47" s="244"/>
      <c r="AX47" s="244"/>
      <c r="AY47" s="244"/>
      <c r="AZ47" s="244"/>
      <c r="BA47" s="244"/>
    </row>
    <row r="48" ht="15.6" customHeight="1">
      <c r="A48" s="22"/>
      <c r="B48" s="22"/>
      <c r="C48" s="53" t="s">
        <v>61</v>
      </c>
      <c r="D48" s="370">
        <v>97.96626251976805482340537691</v>
      </c>
      <c r="E48" s="172">
        <v>135.52355057531770115204406504</v>
      </c>
      <c r="F48" s="371">
        <v>130.89021886190724801978945541</v>
      </c>
      <c r="G48" s="370">
        <v>108.578125</v>
      </c>
      <c r="H48" s="172">
        <v>144.29613814243417945269538073</v>
      </c>
      <c r="I48" s="371">
        <v>117.80485390895431280075228956</v>
      </c>
      <c r="J48" s="370">
        <v>98.734375</v>
      </c>
      <c r="K48" s="172">
        <v>122.16442212378107022796292405</v>
      </c>
      <c r="L48" s="371">
        <v>94.71282750658214180811062986</v>
      </c>
      <c r="M48" s="370">
        <v>98.64001914791766395404499761</v>
      </c>
      <c r="N48" s="172">
        <v>135.83274785927998423014898145</v>
      </c>
      <c r="O48" s="371">
        <v>129.18997702790106385351383902</v>
      </c>
      <c r="P48" s="4"/>
      <c r="Q48" s="327">
        <v>-8.903599903457340159962753670</v>
      </c>
      <c r="R48" s="171">
        <v>-2.4276005349279078772798360600</v>
      </c>
      <c r="S48" s="328">
        <v>3.2201735924149108604119280500</v>
      </c>
      <c r="T48" s="327">
        <v>-0.9009176587262262268912192900</v>
      </c>
      <c r="U48" s="171">
        <v>8.331194794160721583814768560</v>
      </c>
      <c r="V48" s="328">
        <v>0.9512897039253802464027157400</v>
      </c>
      <c r="W48" s="327">
        <v>5.0525345797393300706155554500</v>
      </c>
      <c r="X48" s="171">
        <v>1.8354476468227828216569574500</v>
      </c>
      <c r="Y48" s="328">
        <v>3.0084735324708610957587995800</v>
      </c>
      <c r="Z48" s="327">
        <v>-7.8592570143626849577211932500</v>
      </c>
      <c r="AA48" s="171">
        <v>-0.2604785458024788618752474500</v>
      </c>
      <c r="AB48" s="328">
        <v>2.9820706776824863146444156700</v>
      </c>
      <c r="AD48" s="244"/>
      <c r="AE48" s="244"/>
      <c r="AF48" s="244"/>
      <c r="AG48" s="244"/>
      <c r="AH48" s="244"/>
      <c r="AI48" s="244"/>
      <c r="AJ48" s="244"/>
      <c r="AK48" s="244"/>
      <c r="AL48" s="244"/>
      <c r="AM48" s="244"/>
      <c r="AN48" s="244"/>
      <c r="AO48" s="244"/>
      <c r="AP48" s="244"/>
      <c r="AQ48" s="244"/>
      <c r="AR48" s="244"/>
      <c r="AS48" s="244"/>
      <c r="AT48" s="244"/>
      <c r="AU48" s="244"/>
      <c r="AV48" s="244"/>
      <c r="AW48" s="244"/>
      <c r="AX48" s="244"/>
      <c r="AY48" s="244"/>
      <c r="AZ48" s="244"/>
      <c r="BA48" s="244"/>
    </row>
    <row r="49" ht="15.6" customHeight="1">
      <c r="A49" s="54"/>
      <c r="B49" s="22"/>
      <c r="C49" s="53" t="s">
        <v>31</v>
      </c>
      <c r="D49" s="384">
        <v>97.66303501945525291828793774</v>
      </c>
      <c r="E49" s="385">
        <v>133.70980852077156238539944469</v>
      </c>
      <c r="F49" s="386">
        <v>131.29050304754271930636249004</v>
      </c>
      <c r="G49" s="384">
        <v>134.16666666666666666666666667</v>
      </c>
      <c r="H49" s="385">
        <v>139.72285061381363492931967653</v>
      </c>
      <c r="I49" s="386">
        <v>118.39189121739211451539081382</v>
      </c>
      <c r="J49" s="384">
        <v>99.31578947368421052631578947</v>
      </c>
      <c r="K49" s="385">
        <v>122.91263667244312344963247336</v>
      </c>
      <c r="L49" s="386">
        <v>96.14522820521052268344117915</v>
      </c>
      <c r="M49" s="384">
        <v>97.87509405568096313017306245</v>
      </c>
      <c r="N49" s="385">
        <v>133.8333576275446091982910279</v>
      </c>
      <c r="O49" s="386">
        <v>129.76013768234715620390099984</v>
      </c>
      <c r="P49" s="4"/>
      <c r="Q49" s="364">
        <v>-7.7571341579990416739747011600</v>
      </c>
      <c r="R49" s="365">
        <v>-5.8785409805981832166914120200</v>
      </c>
      <c r="S49" s="366">
        <v>3.5496180198770359576589522100</v>
      </c>
      <c r="T49" s="364">
        <v>28.588697491735964471740732300</v>
      </c>
      <c r="U49" s="365">
        <v>6.8815157843143736600198252500</v>
      </c>
      <c r="V49" s="366">
        <v>2.3608722111350523493177516400</v>
      </c>
      <c r="W49" s="364">
        <v>11.312840007892966428002228040</v>
      </c>
      <c r="X49" s="365">
        <v>2.5780949243696867951146319500</v>
      </c>
      <c r="Y49" s="366">
        <v>9.528829571061166460334585980</v>
      </c>
      <c r="Z49" s="364">
        <v>-6.8919098261859867871250873600</v>
      </c>
      <c r="AA49" s="365">
        <v>-2.8472995565360186714094449100</v>
      </c>
      <c r="AB49" s="366">
        <v>3.5589912651488699231604401500</v>
      </c>
      <c r="AD49" s="244"/>
      <c r="AE49" s="244"/>
      <c r="AF49" s="244"/>
      <c r="AG49" s="244"/>
      <c r="AH49" s="244"/>
      <c r="AI49" s="244"/>
      <c r="AJ49" s="244"/>
      <c r="AK49" s="244"/>
      <c r="AL49" s="244"/>
      <c r="AM49" s="244"/>
      <c r="AN49" s="244"/>
      <c r="AO49" s="244"/>
      <c r="AP49" s="244"/>
      <c r="AQ49" s="244"/>
      <c r="AR49" s="244"/>
      <c r="AS49" s="244"/>
      <c r="AT49" s="244"/>
      <c r="AU49" s="244"/>
      <c r="AV49" s="244"/>
      <c r="AW49" s="244"/>
      <c r="AX49" s="244"/>
      <c r="AY49" s="244"/>
      <c r="AZ49" s="244"/>
      <c r="BA49" s="244"/>
    </row>
    <row r="50" ht="9.95" customHeight="1">
      <c r="AD50" s="244"/>
      <c r="AE50" s="244"/>
      <c r="AF50" s="244"/>
      <c r="AG50" s="244"/>
      <c r="AH50" s="244"/>
      <c r="AI50" s="244"/>
      <c r="AJ50" s="244"/>
      <c r="AK50" s="244"/>
      <c r="AL50" s="244"/>
      <c r="AM50" s="244"/>
      <c r="AN50" s="244"/>
      <c r="AO50" s="244"/>
      <c r="AP50" s="244"/>
      <c r="AQ50" s="244"/>
      <c r="AR50" s="244"/>
      <c r="AS50" s="244"/>
      <c r="AT50" s="244"/>
      <c r="AU50" s="244"/>
      <c r="AV50" s="244"/>
      <c r="AW50" s="244"/>
      <c r="AX50" s="244"/>
      <c r="AY50" s="244"/>
      <c r="AZ50" s="244"/>
      <c r="BA50" s="244"/>
    </row>
    <row r="51" ht="9.95" customHeight="1">
      <c r="AD51" s="244"/>
      <c r="AE51" s="244"/>
      <c r="AF51" s="244"/>
      <c r="AG51" s="244"/>
      <c r="AH51" s="244"/>
      <c r="AI51" s="244"/>
      <c r="AJ51" s="244"/>
      <c r="AK51" s="244"/>
      <c r="AL51" s="244"/>
      <c r="AM51" s="244"/>
      <c r="AN51" s="244"/>
      <c r="AO51" s="244"/>
      <c r="AP51" s="244"/>
      <c r="AQ51" s="244"/>
      <c r="AR51" s="244"/>
      <c r="AS51" s="244"/>
      <c r="AT51" s="244"/>
      <c r="AU51" s="244"/>
      <c r="AV51" s="244"/>
      <c r="AW51" s="244"/>
      <c r="AX51" s="244"/>
      <c r="AY51" s="244"/>
      <c r="AZ51" s="244"/>
      <c r="BA51" s="244"/>
    </row>
    <row r="52" ht="24.75" customHeight="1">
      <c r="D52" s="655" t="s">
        <v>114</v>
      </c>
      <c r="E52" s="655"/>
      <c r="F52" s="655"/>
      <c r="G52" s="655"/>
      <c r="H52" s="655"/>
      <c r="I52" s="655"/>
      <c r="J52" s="655"/>
      <c r="K52" s="655"/>
      <c r="L52" s="655"/>
      <c r="M52" s="655"/>
      <c r="N52" s="655"/>
      <c r="O52" s="655"/>
      <c r="P52" s="655"/>
      <c r="Q52" s="655"/>
      <c r="R52" s="655"/>
      <c r="S52" s="655"/>
      <c r="T52" s="655"/>
      <c r="U52" s="655"/>
      <c r="V52" s="655"/>
      <c r="W52" s="655"/>
      <c r="X52" s="655"/>
      <c r="Y52" s="655"/>
      <c r="Z52" s="655"/>
      <c r="AA52" s="655"/>
      <c r="AB52" s="655"/>
      <c r="AD52" s="244"/>
      <c r="AE52" s="244"/>
      <c r="AF52" s="244"/>
      <c r="AG52" s="244"/>
      <c r="AH52" s="244"/>
      <c r="AI52" s="244"/>
      <c r="AJ52" s="244"/>
      <c r="AK52" s="244"/>
      <c r="AL52" s="244"/>
      <c r="AM52" s="244"/>
      <c r="AN52" s="244"/>
      <c r="AO52" s="244"/>
      <c r="AP52" s="244"/>
      <c r="AQ52" s="244"/>
      <c r="AR52" s="244"/>
      <c r="AS52" s="244"/>
      <c r="AT52" s="244"/>
      <c r="AU52" s="244"/>
      <c r="AV52" s="244"/>
      <c r="AW52" s="244"/>
      <c r="AX52" s="244"/>
      <c r="AY52" s="244"/>
      <c r="AZ52" s="244"/>
      <c r="BA52" s="244"/>
    </row>
    <row r="53" ht="9.95" customHeight="1">
      <c r="A53" s="53"/>
      <c r="C53"/>
      <c r="Z53" s="80"/>
      <c r="AA53" s="242"/>
      <c r="AD53" s="244"/>
      <c r="AE53" s="244"/>
      <c r="AF53" s="244"/>
      <c r="AG53" s="244"/>
      <c r="AH53" s="244"/>
      <c r="AI53" s="244"/>
      <c r="AJ53" s="244"/>
      <c r="AK53" s="244"/>
      <c r="AL53" s="244"/>
      <c r="AM53" s="244"/>
      <c r="AN53" s="244"/>
      <c r="AO53" s="244"/>
      <c r="AP53" s="244"/>
      <c r="AQ53" s="244"/>
      <c r="AR53" s="244"/>
      <c r="AS53" s="244"/>
      <c r="AT53" s="244"/>
      <c r="AU53" s="244"/>
      <c r="AV53" s="244"/>
      <c r="AW53" s="244"/>
      <c r="AX53" s="244"/>
      <c r="AY53" s="244"/>
      <c r="AZ53" s="244"/>
      <c r="BA53" s="244"/>
    </row>
    <row r="54" ht="9.95" customHeight="1">
      <c r="AD54" s="244"/>
      <c r="AE54" s="244"/>
      <c r="AF54" s="244"/>
      <c r="AG54" s="244"/>
      <c r="AH54" s="244"/>
      <c r="AI54" s="244"/>
      <c r="AJ54" s="244"/>
      <c r="AK54" s="244"/>
      <c r="AL54" s="244"/>
      <c r="AM54" s="244"/>
      <c r="AN54" s="244"/>
      <c r="AO54" s="244"/>
      <c r="AP54" s="244"/>
      <c r="AQ54" s="244"/>
      <c r="AR54" s="244"/>
      <c r="AS54" s="244"/>
      <c r="AT54" s="244"/>
      <c r="AU54" s="244"/>
      <c r="AV54" s="244"/>
      <c r="AW54" s="244"/>
      <c r="AX54" s="244"/>
      <c r="AY54" s="244"/>
      <c r="AZ54" s="244"/>
      <c r="BA54" s="244"/>
    </row>
    <row r="55">
      <c r="A55" s="244"/>
      <c r="B55" s="244"/>
      <c r="C55" s="265"/>
      <c r="D55" s="244"/>
      <c r="E55" s="244"/>
      <c r="F55" s="244"/>
      <c r="G55" s="244"/>
      <c r="H55" s="244"/>
      <c r="I55" s="244"/>
      <c r="J55" s="244"/>
      <c r="K55" s="244"/>
      <c r="L55" s="244"/>
      <c r="M55" s="244"/>
      <c r="N55" s="244"/>
      <c r="O55" s="244"/>
      <c r="P55" s="244"/>
      <c r="Q55" s="244"/>
      <c r="R55" s="244"/>
      <c r="S55" s="244"/>
      <c r="T55" s="244"/>
      <c r="U55" s="244"/>
      <c r="V55" s="244"/>
      <c r="W55" s="244"/>
      <c r="X55" s="244"/>
      <c r="Y55" s="244"/>
      <c r="Z55" s="244"/>
      <c r="AA55" s="244"/>
      <c r="AB55" s="244"/>
      <c r="AC55" s="244"/>
      <c r="AD55" s="244"/>
      <c r="AE55" s="244"/>
      <c r="AF55" s="244"/>
      <c r="AG55" s="244"/>
      <c r="AH55" s="244"/>
      <c r="AI55" s="244"/>
      <c r="AJ55" s="244"/>
      <c r="AK55" s="244"/>
      <c r="AL55" s="244"/>
      <c r="AM55" s="244"/>
      <c r="AN55" s="244"/>
      <c r="AO55" s="244"/>
      <c r="AP55" s="244"/>
      <c r="AQ55" s="244"/>
      <c r="AR55" s="244"/>
      <c r="AS55" s="244"/>
      <c r="AT55" s="244"/>
      <c r="AU55" s="244"/>
      <c r="AV55" s="244"/>
      <c r="AW55" s="244"/>
      <c r="AX55" s="244"/>
      <c r="AY55" s="244"/>
      <c r="AZ55" s="244"/>
      <c r="BA55" s="244"/>
    </row>
    <row r="56">
      <c r="A56" s="244"/>
      <c r="B56" s="244"/>
      <c r="C56" s="265"/>
      <c r="D56" s="244"/>
      <c r="E56" s="244"/>
      <c r="F56" s="244"/>
      <c r="G56" s="244"/>
      <c r="H56" s="244"/>
      <c r="I56" s="244"/>
      <c r="J56" s="244"/>
      <c r="K56" s="244"/>
      <c r="L56" s="244"/>
      <c r="M56" s="244"/>
      <c r="N56" s="244"/>
      <c r="O56" s="244"/>
      <c r="P56" s="244"/>
      <c r="Q56" s="244"/>
      <c r="R56" s="244"/>
      <c r="S56" s="244"/>
      <c r="T56" s="244"/>
      <c r="U56" s="244"/>
      <c r="V56" s="244"/>
      <c r="W56" s="244"/>
      <c r="X56" s="244"/>
      <c r="Y56" s="244"/>
      <c r="Z56" s="244"/>
      <c r="AA56" s="244"/>
      <c r="AB56" s="244"/>
      <c r="AC56" s="244"/>
      <c r="AD56" s="244"/>
      <c r="AE56" s="244"/>
      <c r="AF56" s="244"/>
      <c r="AG56" s="244"/>
      <c r="AH56" s="244"/>
      <c r="AI56" s="244"/>
      <c r="AJ56" s="244"/>
      <c r="AK56" s="244"/>
      <c r="AL56" s="244"/>
      <c r="AM56" s="244"/>
      <c r="AN56" s="244"/>
      <c r="AO56" s="244"/>
      <c r="AP56" s="244"/>
      <c r="AQ56" s="244"/>
      <c r="AR56" s="244"/>
      <c r="AS56" s="244"/>
      <c r="AT56" s="244"/>
      <c r="AU56" s="244"/>
      <c r="AV56" s="244"/>
      <c r="AW56" s="244"/>
      <c r="AX56" s="244"/>
      <c r="AY56" s="244"/>
      <c r="AZ56" s="244"/>
      <c r="BA56" s="244"/>
    </row>
    <row r="57">
      <c r="A57" s="244"/>
      <c r="B57" s="244"/>
      <c r="C57" s="265"/>
      <c r="D57" s="244"/>
      <c r="E57" s="244"/>
      <c r="F57" s="244"/>
      <c r="G57" s="244"/>
      <c r="H57" s="244"/>
      <c r="I57" s="244"/>
      <c r="J57" s="244"/>
      <c r="K57" s="244"/>
      <c r="L57" s="244"/>
      <c r="M57" s="244"/>
      <c r="N57" s="244"/>
      <c r="O57" s="244"/>
      <c r="P57" s="244"/>
      <c r="Q57" s="244"/>
      <c r="R57" s="244"/>
      <c r="S57" s="244"/>
      <c r="T57" s="244"/>
      <c r="U57" s="244"/>
      <c r="V57" s="244"/>
      <c r="W57" s="244"/>
      <c r="X57" s="244"/>
      <c r="Y57" s="244"/>
      <c r="Z57" s="244"/>
      <c r="AA57" s="244"/>
      <c r="AB57" s="244"/>
      <c r="AC57" s="244"/>
      <c r="AD57" s="244"/>
      <c r="AE57" s="244"/>
      <c r="AF57" s="244"/>
      <c r="AG57" s="244"/>
      <c r="AH57" s="244"/>
      <c r="AI57" s="244"/>
      <c r="AJ57" s="244"/>
      <c r="AK57" s="244"/>
      <c r="AL57" s="244"/>
      <c r="AM57" s="244"/>
      <c r="AN57" s="244"/>
      <c r="AO57" s="244"/>
      <c r="AP57" s="244"/>
      <c r="AQ57" s="244"/>
      <c r="AR57" s="244"/>
      <c r="AS57" s="244"/>
      <c r="AT57" s="244"/>
      <c r="AU57" s="244"/>
      <c r="AV57" s="244"/>
      <c r="AW57" s="244"/>
      <c r="AX57" s="244"/>
      <c r="AY57" s="244"/>
      <c r="AZ57" s="244"/>
      <c r="BA57" s="244"/>
    </row>
    <row r="58">
      <c r="A58" s="244"/>
      <c r="B58" s="244"/>
      <c r="C58" s="265"/>
      <c r="D58" s="244"/>
      <c r="E58" s="244"/>
      <c r="F58" s="244"/>
      <c r="G58" s="244"/>
      <c r="H58" s="244"/>
      <c r="I58" s="244"/>
      <c r="J58" s="244"/>
      <c r="K58" s="244"/>
      <c r="L58" s="244"/>
      <c r="M58" s="244"/>
      <c r="N58" s="244"/>
      <c r="O58" s="244"/>
      <c r="P58" s="244"/>
      <c r="Q58" s="244"/>
      <c r="R58" s="244"/>
      <c r="S58" s="244"/>
      <c r="T58" s="244"/>
      <c r="U58" s="244"/>
      <c r="V58" s="244"/>
      <c r="W58" s="244"/>
      <c r="X58" s="244"/>
      <c r="Y58" s="244"/>
      <c r="Z58" s="244"/>
      <c r="AA58" s="244"/>
      <c r="AB58" s="244"/>
      <c r="AC58" s="244"/>
      <c r="AD58" s="244"/>
      <c r="AE58" s="244"/>
      <c r="AF58" s="244"/>
      <c r="AG58" s="244"/>
      <c r="AH58" s="244"/>
      <c r="AI58" s="244"/>
      <c r="AJ58" s="244"/>
      <c r="AK58" s="244"/>
      <c r="AL58" s="244"/>
      <c r="AM58" s="244"/>
      <c r="AN58" s="244"/>
      <c r="AO58" s="244"/>
      <c r="AP58" s="244"/>
      <c r="AQ58" s="244"/>
      <c r="AR58" s="244"/>
      <c r="AS58" s="244"/>
      <c r="AT58" s="244"/>
      <c r="AU58" s="244"/>
      <c r="AV58" s="244"/>
      <c r="AW58" s="244"/>
      <c r="AX58" s="244"/>
      <c r="AY58" s="244"/>
      <c r="AZ58" s="244"/>
      <c r="BA58" s="244"/>
    </row>
    <row r="59">
      <c r="A59" s="244"/>
      <c r="B59" s="244"/>
      <c r="C59" s="265"/>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4"/>
      <c r="AC59" s="244"/>
      <c r="AD59" s="244"/>
      <c r="AE59" s="244"/>
      <c r="AF59" s="244"/>
      <c r="AG59" s="244"/>
      <c r="AH59" s="244"/>
      <c r="AI59" s="244"/>
      <c r="AJ59" s="244"/>
      <c r="AK59" s="244"/>
      <c r="AL59" s="244"/>
      <c r="AM59" s="244"/>
      <c r="AN59" s="244"/>
      <c r="AO59" s="244"/>
      <c r="AP59" s="244"/>
      <c r="AQ59" s="244"/>
      <c r="AR59" s="244"/>
      <c r="AS59" s="244"/>
      <c r="AT59" s="244"/>
      <c r="AU59" s="244"/>
      <c r="AV59" s="244"/>
      <c r="AW59" s="244"/>
      <c r="AX59" s="244"/>
      <c r="AY59" s="244"/>
      <c r="AZ59" s="244"/>
      <c r="BA59" s="244"/>
    </row>
    <row r="60">
      <c r="A60" s="244"/>
      <c r="B60" s="244"/>
      <c r="C60" s="265"/>
      <c r="D60" s="244"/>
      <c r="E60" s="244"/>
      <c r="F60" s="244"/>
      <c r="G60" s="244"/>
      <c r="H60" s="244"/>
      <c r="I60" s="244"/>
      <c r="J60" s="244"/>
      <c r="K60" s="244"/>
      <c r="L60" s="244"/>
      <c r="M60" s="244"/>
      <c r="N60" s="244"/>
      <c r="O60" s="244"/>
      <c r="P60" s="244"/>
      <c r="Q60" s="244"/>
      <c r="R60" s="244"/>
      <c r="S60" s="244"/>
      <c r="T60" s="244"/>
      <c r="U60" s="244"/>
      <c r="V60" s="244"/>
      <c r="W60" s="244"/>
      <c r="X60" s="244"/>
      <c r="Y60" s="244"/>
      <c r="Z60" s="244"/>
      <c r="AA60" s="244"/>
      <c r="AB60" s="244"/>
      <c r="AC60" s="244"/>
      <c r="AD60" s="244"/>
      <c r="AE60" s="244"/>
      <c r="AF60" s="244"/>
      <c r="AG60" s="244"/>
      <c r="AH60" s="244"/>
      <c r="AI60" s="244"/>
      <c r="AJ60" s="244"/>
      <c r="AK60" s="244"/>
      <c r="AL60" s="244"/>
      <c r="AM60" s="244"/>
      <c r="AN60" s="244"/>
      <c r="AO60" s="244"/>
      <c r="AP60" s="244"/>
      <c r="AQ60" s="244"/>
      <c r="AR60" s="244"/>
      <c r="AS60" s="244"/>
      <c r="AT60" s="244"/>
      <c r="AU60" s="244"/>
      <c r="AV60" s="244"/>
      <c r="AW60" s="244"/>
      <c r="AX60" s="244"/>
      <c r="AY60" s="244"/>
      <c r="AZ60" s="244"/>
      <c r="BA60" s="244"/>
    </row>
    <row r="61">
      <c r="A61" s="244"/>
      <c r="B61" s="244"/>
      <c r="C61" s="265"/>
      <c r="D61" s="244"/>
      <c r="E61" s="244"/>
      <c r="F61" s="244"/>
      <c r="G61" s="244"/>
      <c r="H61" s="244"/>
      <c r="I61" s="244"/>
      <c r="J61" s="244"/>
      <c r="K61" s="244"/>
      <c r="L61" s="244"/>
      <c r="M61" s="244"/>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244"/>
      <c r="AW61" s="244"/>
      <c r="AX61" s="244"/>
      <c r="AY61" s="244"/>
      <c r="AZ61" s="244"/>
      <c r="BA61" s="244"/>
    </row>
    <row r="62">
      <c r="A62" s="244"/>
      <c r="B62" s="244"/>
      <c r="C62" s="265"/>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row>
    <row r="63">
      <c r="A63" s="244"/>
      <c r="B63" s="244"/>
      <c r="C63" s="265"/>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row>
    <row r="64">
      <c r="A64" s="244"/>
      <c r="B64" s="244"/>
      <c r="C64" s="265"/>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row>
    <row r="65">
      <c r="A65" s="244"/>
      <c r="B65" s="244"/>
      <c r="C65" s="265"/>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c r="AZ65" s="244"/>
      <c r="BA65" s="244"/>
    </row>
    <row r="66">
      <c r="A66" s="244"/>
      <c r="B66" s="244"/>
      <c r="C66" s="265"/>
      <c r="D66" s="244"/>
      <c r="E66" s="244"/>
      <c r="F66" s="244"/>
      <c r="G66" s="244"/>
      <c r="H66" s="244"/>
      <c r="I66" s="244"/>
      <c r="J66" s="244"/>
      <c r="K66" s="244"/>
      <c r="L66" s="244"/>
      <c r="M66" s="244"/>
      <c r="N66" s="244"/>
      <c r="O66" s="244"/>
      <c r="P66" s="244"/>
      <c r="Q66" s="244"/>
      <c r="R66" s="244"/>
      <c r="S66" s="244"/>
      <c r="T66" s="244"/>
      <c r="U66" s="244"/>
      <c r="V66" s="244"/>
      <c r="W66" s="244"/>
      <c r="X66" s="244"/>
      <c r="Y66" s="244"/>
      <c r="Z66" s="244"/>
      <c r="AA66" s="244"/>
      <c r="AB66" s="244"/>
      <c r="AC66" s="244"/>
      <c r="AD66" s="244"/>
      <c r="AE66" s="244"/>
      <c r="AF66" s="244"/>
      <c r="AG66" s="244"/>
      <c r="AH66" s="244"/>
      <c r="AI66" s="244"/>
      <c r="AJ66" s="244"/>
      <c r="AK66" s="244"/>
      <c r="AL66" s="244"/>
      <c r="AM66" s="244"/>
      <c r="AN66" s="244"/>
      <c r="AO66" s="244"/>
      <c r="AP66" s="244"/>
      <c r="AQ66" s="244"/>
      <c r="AR66" s="244"/>
      <c r="AS66" s="244"/>
      <c r="AT66" s="244"/>
      <c r="AU66" s="244"/>
      <c r="AV66" s="244"/>
      <c r="AW66" s="244"/>
      <c r="AX66" s="244"/>
      <c r="AY66" s="244"/>
      <c r="AZ66" s="244"/>
      <c r="BA66" s="244"/>
    </row>
    <row r="67">
      <c r="A67" s="244"/>
      <c r="B67" s="244"/>
      <c r="C67" s="265"/>
      <c r="D67" s="244"/>
      <c r="E67" s="244"/>
      <c r="F67" s="244"/>
      <c r="G67" s="244"/>
      <c r="H67" s="244"/>
      <c r="I67" s="244"/>
      <c r="J67" s="244"/>
      <c r="K67" s="244"/>
      <c r="L67" s="244"/>
      <c r="M67" s="244"/>
      <c r="N67" s="244"/>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244"/>
      <c r="AS67" s="244"/>
      <c r="AT67" s="244"/>
      <c r="AU67" s="244"/>
      <c r="AV67" s="244"/>
      <c r="AW67" s="244"/>
      <c r="AX67" s="244"/>
      <c r="AY67" s="244"/>
      <c r="AZ67" s="244"/>
      <c r="BA67" s="244"/>
    </row>
    <row r="68">
      <c r="A68" s="244"/>
      <c r="B68" s="244"/>
      <c r="C68" s="265"/>
      <c r="D68" s="244"/>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44"/>
      <c r="AQ68" s="244"/>
      <c r="AR68" s="244"/>
      <c r="AS68" s="244"/>
      <c r="AT68" s="244"/>
      <c r="AU68" s="244"/>
      <c r="AV68" s="244"/>
      <c r="AW68" s="244"/>
      <c r="AX68" s="244"/>
      <c r="AY68" s="244"/>
      <c r="AZ68" s="244"/>
      <c r="BA68" s="244"/>
    </row>
    <row r="69">
      <c r="A69" s="244"/>
      <c r="B69" s="244"/>
      <c r="C69" s="265"/>
      <c r="D69" s="244"/>
      <c r="E69" s="244"/>
      <c r="F69" s="244"/>
      <c r="G69" s="244"/>
      <c r="H69" s="244"/>
      <c r="I69" s="244"/>
      <c r="J69" s="244"/>
      <c r="K69" s="244"/>
      <c r="L69" s="244"/>
      <c r="M69" s="244"/>
      <c r="N69" s="244"/>
      <c r="O69" s="244"/>
      <c r="P69" s="244"/>
      <c r="Q69" s="244"/>
      <c r="R69" s="244"/>
      <c r="S69" s="244"/>
      <c r="T69" s="244"/>
      <c r="U69" s="244"/>
      <c r="V69" s="244"/>
      <c r="W69" s="244"/>
      <c r="X69" s="244"/>
      <c r="Y69" s="244"/>
      <c r="Z69" s="244"/>
      <c r="AA69" s="244"/>
      <c r="AB69" s="244"/>
      <c r="AC69" s="244"/>
      <c r="AD69" s="244"/>
      <c r="AE69" s="244"/>
      <c r="AF69" s="244"/>
      <c r="AG69" s="244"/>
      <c r="AH69" s="244"/>
      <c r="AI69" s="244"/>
      <c r="AJ69" s="244"/>
      <c r="AK69" s="244"/>
      <c r="AL69" s="244"/>
      <c r="AM69" s="244"/>
      <c r="AN69" s="244"/>
      <c r="AO69" s="244"/>
      <c r="AP69" s="244"/>
      <c r="AQ69" s="244"/>
      <c r="AR69" s="244"/>
      <c r="AS69" s="244"/>
      <c r="AT69" s="244"/>
      <c r="AU69" s="244"/>
      <c r="AV69" s="244"/>
      <c r="AW69" s="244"/>
      <c r="AX69" s="244"/>
      <c r="AY69" s="244"/>
      <c r="AZ69" s="244"/>
      <c r="BA69" s="244"/>
    </row>
    <row r="70">
      <c r="A70" s="244"/>
      <c r="B70" s="244"/>
      <c r="C70" s="265"/>
      <c r="D70" s="244"/>
      <c r="E70" s="244"/>
      <c r="F70" s="244"/>
      <c r="G70" s="244"/>
      <c r="H70" s="244"/>
      <c r="I70" s="244"/>
      <c r="J70" s="244"/>
      <c r="K70" s="244"/>
      <c r="L70" s="244"/>
      <c r="M70" s="244"/>
      <c r="N70" s="244"/>
      <c r="O70" s="244"/>
      <c r="P70" s="244"/>
      <c r="Q70" s="244"/>
      <c r="R70" s="244"/>
      <c r="S70" s="244"/>
      <c r="T70" s="244"/>
      <c r="U70" s="244"/>
      <c r="V70" s="244"/>
      <c r="W70" s="244"/>
      <c r="X70" s="244"/>
      <c r="Y70" s="244"/>
      <c r="Z70" s="244"/>
      <c r="AA70" s="244"/>
      <c r="AB70" s="244"/>
      <c r="AC70" s="244"/>
      <c r="AD70" s="244"/>
      <c r="AE70" s="244"/>
      <c r="AF70" s="244"/>
      <c r="AG70" s="244"/>
      <c r="AH70" s="244"/>
      <c r="AI70" s="244"/>
      <c r="AJ70" s="244"/>
      <c r="AK70" s="244"/>
      <c r="AL70" s="244"/>
      <c r="AM70" s="244"/>
      <c r="AN70" s="244"/>
      <c r="AO70" s="244"/>
      <c r="AP70" s="244"/>
      <c r="AQ70" s="244"/>
      <c r="AR70" s="244"/>
      <c r="AS70" s="244"/>
      <c r="AT70" s="244"/>
      <c r="AU70" s="244"/>
      <c r="AV70" s="244"/>
      <c r="AW70" s="244"/>
      <c r="AX70" s="244"/>
      <c r="AY70" s="244"/>
      <c r="AZ70" s="244"/>
      <c r="BA70" s="244"/>
    </row>
    <row r="71">
      <c r="A71" s="244"/>
      <c r="B71" s="244"/>
      <c r="C71" s="265"/>
      <c r="D71" s="244"/>
      <c r="E71" s="244"/>
      <c r="F71" s="244"/>
      <c r="G71" s="244"/>
      <c r="H71" s="244"/>
      <c r="I71" s="244"/>
      <c r="J71" s="244"/>
      <c r="K71" s="244"/>
      <c r="L71" s="244"/>
      <c r="M71" s="244"/>
      <c r="N71" s="244"/>
      <c r="O71" s="244"/>
      <c r="P71" s="244"/>
      <c r="Q71" s="244"/>
      <c r="R71" s="244"/>
      <c r="S71" s="244"/>
      <c r="T71" s="244"/>
      <c r="U71" s="244"/>
      <c r="V71" s="244"/>
      <c r="W71" s="244"/>
      <c r="X71" s="244"/>
      <c r="Y71" s="244"/>
      <c r="Z71" s="244"/>
      <c r="AA71" s="244"/>
      <c r="AB71" s="244"/>
      <c r="AC71" s="244"/>
      <c r="AD71" s="244"/>
      <c r="AE71" s="244"/>
      <c r="AF71" s="244"/>
      <c r="AG71" s="244"/>
      <c r="AH71" s="244"/>
      <c r="AI71" s="244"/>
      <c r="AJ71" s="244"/>
      <c r="AK71" s="244"/>
      <c r="AL71" s="244"/>
      <c r="AM71" s="244"/>
      <c r="AN71" s="244"/>
      <c r="AO71" s="244"/>
      <c r="AP71" s="244"/>
      <c r="AQ71" s="244"/>
      <c r="AR71" s="244"/>
      <c r="AS71" s="244"/>
      <c r="AT71" s="244"/>
      <c r="AU71" s="244"/>
      <c r="AV71" s="244"/>
      <c r="AW71" s="244"/>
      <c r="AX71" s="244"/>
      <c r="AY71" s="244"/>
      <c r="AZ71" s="244"/>
      <c r="BA71" s="244"/>
    </row>
    <row r="72">
      <c r="A72" s="244"/>
      <c r="B72" s="244"/>
      <c r="C72" s="265"/>
      <c r="D72" s="244"/>
      <c r="E72" s="244"/>
      <c r="F72" s="244"/>
      <c r="G72" s="244"/>
      <c r="H72" s="244"/>
      <c r="I72" s="244"/>
      <c r="J72" s="244"/>
      <c r="K72" s="244"/>
      <c r="L72" s="244"/>
      <c r="M72" s="244"/>
      <c r="N72" s="244"/>
      <c r="O72" s="244"/>
      <c r="P72" s="244"/>
      <c r="Q72" s="244"/>
      <c r="R72" s="244"/>
      <c r="S72" s="244"/>
      <c r="T72" s="244"/>
      <c r="U72" s="244"/>
      <c r="V72" s="244"/>
      <c r="W72" s="244"/>
      <c r="X72" s="244"/>
      <c r="Y72" s="244"/>
      <c r="Z72" s="244"/>
      <c r="AA72" s="244"/>
      <c r="AB72" s="244"/>
      <c r="AC72" s="244"/>
      <c r="AD72" s="244"/>
      <c r="AE72" s="244"/>
      <c r="AF72" s="244"/>
      <c r="AG72" s="244"/>
      <c r="AH72" s="244"/>
      <c r="AI72" s="244"/>
      <c r="AJ72" s="244"/>
      <c r="AK72" s="244"/>
      <c r="AL72" s="244"/>
      <c r="AM72" s="244"/>
      <c r="AN72" s="244"/>
      <c r="AO72" s="244"/>
      <c r="AP72" s="244"/>
      <c r="AQ72" s="244"/>
      <c r="AR72" s="244"/>
      <c r="AS72" s="244"/>
      <c r="AT72" s="244"/>
      <c r="AU72" s="244"/>
      <c r="AV72" s="244"/>
      <c r="AW72" s="244"/>
      <c r="AX72" s="244"/>
      <c r="AY72" s="244"/>
      <c r="AZ72" s="244"/>
      <c r="BA72" s="244"/>
    </row>
    <row r="73">
      <c r="A73" s="244"/>
      <c r="B73" s="244"/>
      <c r="C73" s="265"/>
      <c r="D73" s="244"/>
      <c r="E73" s="244"/>
      <c r="F73" s="244"/>
      <c r="G73" s="244"/>
      <c r="H73" s="244"/>
      <c r="I73" s="244"/>
      <c r="J73" s="244"/>
      <c r="K73" s="244"/>
      <c r="L73" s="244"/>
      <c r="M73" s="244"/>
      <c r="N73" s="244"/>
      <c r="O73" s="244"/>
      <c r="P73" s="244"/>
      <c r="Q73" s="244"/>
      <c r="R73" s="244"/>
      <c r="S73" s="244"/>
      <c r="T73" s="244"/>
      <c r="U73" s="244"/>
      <c r="V73" s="244"/>
      <c r="W73" s="244"/>
      <c r="X73" s="244"/>
      <c r="Y73" s="244"/>
      <c r="Z73" s="244"/>
      <c r="AA73" s="244"/>
      <c r="AB73" s="244"/>
      <c r="AC73" s="244"/>
      <c r="AD73" s="244"/>
      <c r="AE73" s="244"/>
      <c r="AF73" s="244"/>
      <c r="AG73" s="244"/>
      <c r="AH73" s="244"/>
      <c r="AI73" s="244"/>
      <c r="AJ73" s="244"/>
      <c r="AK73" s="244"/>
      <c r="AL73" s="244"/>
      <c r="AM73" s="244"/>
      <c r="AN73" s="244"/>
      <c r="AO73" s="244"/>
      <c r="AP73" s="244"/>
      <c r="AQ73" s="244"/>
      <c r="AR73" s="244"/>
      <c r="AS73" s="244"/>
      <c r="AT73" s="244"/>
      <c r="AU73" s="244"/>
      <c r="AV73" s="244"/>
      <c r="AW73" s="244"/>
      <c r="AX73" s="244"/>
      <c r="AY73" s="244"/>
      <c r="AZ73" s="244"/>
      <c r="BA73" s="244"/>
    </row>
    <row r="74">
      <c r="A74" s="244"/>
      <c r="B74" s="244"/>
      <c r="C74" s="265"/>
      <c r="D74" s="244"/>
      <c r="E74" s="244"/>
      <c r="F74" s="244"/>
      <c r="G74" s="244"/>
      <c r="H74" s="244"/>
      <c r="I74" s="244"/>
      <c r="J74" s="244"/>
      <c r="K74" s="244"/>
      <c r="L74" s="244"/>
      <c r="M74" s="244"/>
      <c r="N74" s="244"/>
      <c r="O74" s="244"/>
      <c r="P74" s="244"/>
      <c r="Q74" s="244"/>
      <c r="R74" s="244"/>
      <c r="S74" s="244"/>
      <c r="T74" s="244"/>
      <c r="U74" s="244"/>
      <c r="V74" s="244"/>
      <c r="W74" s="244"/>
      <c r="X74" s="244"/>
      <c r="Y74" s="244"/>
      <c r="Z74" s="244"/>
      <c r="AA74" s="244"/>
      <c r="AB74" s="244"/>
      <c r="AC74" s="244"/>
      <c r="AD74" s="244"/>
      <c r="AE74" s="244"/>
      <c r="AF74" s="244"/>
      <c r="AG74" s="244"/>
      <c r="AH74" s="244"/>
      <c r="AI74" s="244"/>
      <c r="AJ74" s="244"/>
      <c r="AK74" s="244"/>
      <c r="AL74" s="244"/>
      <c r="AM74" s="244"/>
      <c r="AN74" s="244"/>
      <c r="AO74" s="244"/>
      <c r="AP74" s="244"/>
      <c r="AQ74" s="244"/>
      <c r="AR74" s="244"/>
      <c r="AS74" s="244"/>
      <c r="AT74" s="244"/>
      <c r="AU74" s="244"/>
      <c r="AV74" s="244"/>
      <c r="AW74" s="244"/>
      <c r="AX74" s="244"/>
      <c r="AY74" s="244"/>
      <c r="AZ74" s="244"/>
      <c r="BA74" s="244"/>
    </row>
    <row r="75">
      <c r="A75" s="244"/>
      <c r="B75" s="244"/>
      <c r="C75" s="265"/>
      <c r="D75" s="244"/>
      <c r="E75" s="244"/>
      <c r="F75" s="244"/>
      <c r="G75" s="244"/>
      <c r="H75" s="244"/>
      <c r="I75" s="244"/>
      <c r="J75" s="244"/>
      <c r="K75" s="244"/>
      <c r="L75" s="244"/>
      <c r="M75" s="244"/>
      <c r="N75" s="244"/>
      <c r="O75" s="244"/>
      <c r="P75" s="244"/>
      <c r="Q75" s="244"/>
      <c r="R75" s="244"/>
      <c r="S75" s="244"/>
      <c r="T75" s="244"/>
      <c r="U75" s="244"/>
      <c r="V75" s="244"/>
      <c r="W75" s="244"/>
      <c r="X75" s="244"/>
      <c r="Y75" s="244"/>
      <c r="Z75" s="244"/>
      <c r="AA75" s="244"/>
      <c r="AB75" s="244"/>
      <c r="AC75" s="244"/>
      <c r="AD75" s="244"/>
      <c r="AE75" s="244"/>
      <c r="AF75" s="244"/>
      <c r="AG75" s="244"/>
      <c r="AH75" s="244"/>
      <c r="AI75" s="244"/>
      <c r="AJ75" s="244"/>
      <c r="AK75" s="244"/>
      <c r="AL75" s="244"/>
      <c r="AM75" s="244"/>
      <c r="AN75" s="244"/>
      <c r="AO75" s="244"/>
      <c r="AP75" s="244"/>
      <c r="AQ75" s="244"/>
      <c r="AR75" s="244"/>
      <c r="AS75" s="244"/>
      <c r="AT75" s="244"/>
      <c r="AU75" s="244"/>
      <c r="AV75" s="244"/>
      <c r="AW75" s="244"/>
      <c r="AX75" s="244"/>
      <c r="AY75" s="244"/>
      <c r="AZ75" s="244"/>
      <c r="BA75" s="244"/>
    </row>
    <row r="76">
      <c r="A76" s="244"/>
      <c r="B76" s="244"/>
      <c r="C76" s="265"/>
      <c r="D76" s="244"/>
      <c r="E76" s="244"/>
      <c r="F76" s="244"/>
      <c r="G76" s="244"/>
      <c r="H76" s="244"/>
      <c r="I76" s="244"/>
      <c r="J76" s="244"/>
      <c r="K76" s="244"/>
      <c r="L76" s="244"/>
      <c r="M76" s="244"/>
      <c r="N76" s="244"/>
      <c r="O76" s="244"/>
      <c r="P76" s="244"/>
      <c r="Q76" s="244"/>
      <c r="R76" s="244"/>
      <c r="S76" s="244"/>
      <c r="T76" s="244"/>
      <c r="U76" s="244"/>
      <c r="V76" s="244"/>
      <c r="W76" s="244"/>
      <c r="X76" s="244"/>
      <c r="Y76" s="244"/>
      <c r="Z76" s="244"/>
      <c r="AA76" s="244"/>
      <c r="AB76" s="244"/>
      <c r="AC76" s="244"/>
      <c r="AD76" s="244"/>
      <c r="AE76" s="244"/>
      <c r="AF76" s="244"/>
      <c r="AG76" s="244"/>
      <c r="AH76" s="244"/>
      <c r="AI76" s="244"/>
      <c r="AJ76" s="244"/>
      <c r="AK76" s="244"/>
      <c r="AL76" s="244"/>
      <c r="AM76" s="244"/>
      <c r="AN76" s="244"/>
      <c r="AO76" s="244"/>
      <c r="AP76" s="244"/>
      <c r="AQ76" s="244"/>
      <c r="AR76" s="244"/>
      <c r="AS76" s="244"/>
      <c r="AT76" s="244"/>
      <c r="AU76" s="244"/>
      <c r="AV76" s="244"/>
      <c r="AW76" s="244"/>
      <c r="AX76" s="244"/>
      <c r="AY76" s="244"/>
      <c r="AZ76" s="244"/>
      <c r="BA76" s="244"/>
    </row>
    <row r="77">
      <c r="A77" s="244"/>
      <c r="B77" s="244"/>
      <c r="C77" s="265"/>
      <c r="D77" s="244"/>
      <c r="E77" s="244"/>
      <c r="F77" s="244"/>
      <c r="G77" s="244"/>
      <c r="H77" s="244"/>
      <c r="I77" s="244"/>
      <c r="J77" s="244"/>
      <c r="K77" s="244"/>
      <c r="L77" s="244"/>
      <c r="M77" s="244"/>
      <c r="N77" s="244"/>
      <c r="O77" s="244"/>
      <c r="P77" s="244"/>
      <c r="Q77" s="244"/>
      <c r="R77" s="244"/>
      <c r="S77" s="244"/>
      <c r="T77" s="244"/>
      <c r="U77" s="244"/>
      <c r="V77" s="244"/>
      <c r="W77" s="244"/>
      <c r="X77" s="244"/>
      <c r="Y77" s="244"/>
      <c r="Z77" s="244"/>
      <c r="AA77" s="244"/>
      <c r="AB77" s="244"/>
      <c r="AC77" s="244"/>
      <c r="AD77" s="244"/>
      <c r="AE77" s="244"/>
      <c r="AF77" s="244"/>
      <c r="AG77" s="244"/>
      <c r="AH77" s="244"/>
      <c r="AI77" s="244"/>
      <c r="AJ77" s="244"/>
      <c r="AK77" s="244"/>
      <c r="AL77" s="244"/>
      <c r="AM77" s="244"/>
      <c r="AN77" s="244"/>
      <c r="AO77" s="244"/>
      <c r="AP77" s="244"/>
      <c r="AQ77" s="244"/>
      <c r="AR77" s="244"/>
      <c r="AS77" s="244"/>
      <c r="AT77" s="244"/>
      <c r="AU77" s="244"/>
      <c r="AV77" s="244"/>
      <c r="AW77" s="244"/>
      <c r="AX77" s="244"/>
      <c r="AY77" s="244"/>
      <c r="AZ77" s="244"/>
      <c r="BA77" s="244"/>
    </row>
    <row r="78">
      <c r="A78" s="244"/>
      <c r="B78" s="244"/>
      <c r="C78" s="265"/>
      <c r="D78" s="244"/>
      <c r="E78" s="244"/>
      <c r="F78" s="244"/>
      <c r="G78" s="244"/>
      <c r="H78" s="244"/>
      <c r="I78" s="244"/>
      <c r="J78" s="244"/>
      <c r="K78" s="244"/>
      <c r="L78" s="244"/>
      <c r="M78" s="244"/>
      <c r="N78" s="244"/>
      <c r="O78" s="244"/>
      <c r="P78" s="244"/>
      <c r="Q78" s="244"/>
      <c r="R78" s="244"/>
      <c r="S78" s="244"/>
      <c r="T78" s="244"/>
      <c r="U78" s="244"/>
      <c r="V78" s="244"/>
      <c r="W78" s="244"/>
      <c r="X78" s="244"/>
      <c r="Y78" s="244"/>
      <c r="Z78" s="244"/>
      <c r="AA78" s="244"/>
      <c r="AB78" s="244"/>
      <c r="AC78" s="244"/>
      <c r="AD78" s="244"/>
      <c r="AE78" s="244"/>
      <c r="AF78" s="244"/>
      <c r="AG78" s="244"/>
      <c r="AH78" s="244"/>
      <c r="AI78" s="244"/>
      <c r="AJ78" s="244"/>
      <c r="AK78" s="244"/>
      <c r="AL78" s="244"/>
      <c r="AM78" s="244"/>
      <c r="AN78" s="244"/>
      <c r="AO78" s="244"/>
      <c r="AP78" s="244"/>
      <c r="AQ78" s="244"/>
      <c r="AR78" s="244"/>
      <c r="AS78" s="244"/>
      <c r="AT78" s="244"/>
      <c r="AU78" s="244"/>
      <c r="AV78" s="244"/>
      <c r="AW78" s="244"/>
      <c r="AX78" s="244"/>
      <c r="AY78" s="244"/>
      <c r="AZ78" s="244"/>
      <c r="BA78" s="244"/>
    </row>
    <row r="79">
      <c r="A79" s="244"/>
      <c r="B79" s="244"/>
      <c r="C79" s="265"/>
      <c r="D79" s="244"/>
      <c r="E79" s="244"/>
      <c r="F79" s="244"/>
      <c r="G79" s="244"/>
      <c r="H79" s="244"/>
      <c r="I79" s="244"/>
      <c r="J79" s="244"/>
      <c r="K79" s="244"/>
      <c r="L79" s="244"/>
      <c r="M79" s="244"/>
      <c r="N79" s="244"/>
      <c r="O79" s="244"/>
      <c r="P79" s="244"/>
      <c r="Q79" s="244"/>
      <c r="R79" s="244"/>
      <c r="S79" s="244"/>
      <c r="T79" s="244"/>
      <c r="U79" s="244"/>
      <c r="V79" s="244"/>
      <c r="W79" s="244"/>
      <c r="X79" s="244"/>
      <c r="Y79" s="244"/>
      <c r="Z79" s="244"/>
      <c r="AA79" s="244"/>
      <c r="AB79" s="244"/>
      <c r="AC79" s="244"/>
      <c r="AD79" s="244"/>
      <c r="AE79" s="244"/>
      <c r="AF79" s="244"/>
      <c r="AG79" s="244"/>
      <c r="AH79" s="244"/>
      <c r="AI79" s="244"/>
      <c r="AJ79" s="244"/>
      <c r="AK79" s="244"/>
      <c r="AL79" s="244"/>
      <c r="AM79" s="244"/>
      <c r="AN79" s="244"/>
      <c r="AO79" s="244"/>
      <c r="AP79" s="244"/>
      <c r="AQ79" s="244"/>
      <c r="AR79" s="244"/>
      <c r="AS79" s="244"/>
      <c r="AT79" s="244"/>
      <c r="AU79" s="244"/>
      <c r="AV79" s="244"/>
      <c r="AW79" s="244"/>
      <c r="AX79" s="244"/>
      <c r="AY79" s="244"/>
      <c r="AZ79" s="244"/>
      <c r="BA79" s="244"/>
    </row>
    <row r="80">
      <c r="A80" s="244"/>
      <c r="B80" s="244"/>
      <c r="C80" s="265"/>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c r="AW80" s="244"/>
      <c r="AX80" s="244"/>
      <c r="AY80" s="244"/>
      <c r="AZ80" s="244"/>
      <c r="BA80" s="244"/>
    </row>
    <row r="81">
      <c r="A81" s="244"/>
      <c r="B81" s="244"/>
      <c r="C81" s="265"/>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c r="AW81" s="244"/>
      <c r="AX81" s="244"/>
      <c r="AY81" s="244"/>
      <c r="AZ81" s="244"/>
      <c r="BA81" s="244"/>
    </row>
    <row r="82">
      <c r="A82" s="244"/>
      <c r="B82" s="244"/>
      <c r="C82" s="265"/>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c r="AW82" s="244"/>
      <c r="AX82" s="244"/>
      <c r="AY82" s="244"/>
      <c r="AZ82" s="244"/>
      <c r="BA82" s="244"/>
    </row>
    <row r="83">
      <c r="A83" s="244"/>
      <c r="B83" s="244"/>
      <c r="C83" s="265"/>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c r="AW83" s="244"/>
      <c r="AX83" s="244"/>
      <c r="AY83" s="244"/>
      <c r="AZ83" s="244"/>
      <c r="BA83" s="244"/>
    </row>
    <row r="84">
      <c r="A84" s="244"/>
      <c r="B84" s="244"/>
      <c r="C84" s="265"/>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c r="AW84" s="244"/>
      <c r="AX84" s="244"/>
      <c r="AY84" s="244"/>
      <c r="AZ84" s="244"/>
      <c r="BA84" s="244"/>
    </row>
    <row r="85">
      <c r="A85" s="244"/>
      <c r="B85" s="244"/>
      <c r="C85" s="265"/>
      <c r="D85" s="244"/>
      <c r="E85" s="244"/>
      <c r="F85" s="244"/>
      <c r="G85" s="244"/>
      <c r="H85" s="244"/>
      <c r="I85" s="244"/>
      <c r="J85" s="244"/>
      <c r="K85" s="244"/>
      <c r="L85" s="244"/>
      <c r="M85" s="244"/>
      <c r="N85" s="244"/>
      <c r="O85" s="244"/>
      <c r="P85" s="244"/>
      <c r="Q85" s="244"/>
      <c r="R85" s="244"/>
      <c r="S85" s="244"/>
      <c r="T85" s="244"/>
      <c r="U85" s="244"/>
      <c r="V85" s="244"/>
      <c r="W85" s="244"/>
      <c r="X85" s="244"/>
      <c r="Y85" s="244"/>
      <c r="Z85" s="244"/>
      <c r="AA85" s="244"/>
      <c r="AB85" s="244"/>
      <c r="AC85" s="244"/>
      <c r="AD85" s="244"/>
      <c r="AE85" s="244"/>
      <c r="AF85" s="244"/>
      <c r="AG85" s="244"/>
      <c r="AH85" s="244"/>
      <c r="AI85" s="244"/>
      <c r="AJ85" s="244"/>
      <c r="AK85" s="244"/>
      <c r="AL85" s="244"/>
      <c r="AM85" s="244"/>
      <c r="AN85" s="244"/>
      <c r="AO85" s="244"/>
      <c r="AP85" s="244"/>
      <c r="AQ85" s="244"/>
      <c r="AR85" s="244"/>
      <c r="AS85" s="244"/>
      <c r="AT85" s="244"/>
      <c r="AU85" s="244"/>
      <c r="AV85" s="244"/>
      <c r="AW85" s="244"/>
      <c r="AX85" s="244"/>
      <c r="AY85" s="244"/>
      <c r="AZ85" s="244"/>
      <c r="BA85" s="244"/>
    </row>
    <row r="86">
      <c r="A86" s="244"/>
      <c r="B86" s="244"/>
      <c r="C86" s="265"/>
      <c r="D86" s="244"/>
      <c r="E86" s="244"/>
      <c r="F86" s="244"/>
      <c r="G86" s="244"/>
      <c r="H86" s="244"/>
      <c r="I86" s="244"/>
      <c r="J86" s="244"/>
      <c r="K86" s="244"/>
      <c r="L86" s="244"/>
      <c r="M86" s="244"/>
      <c r="N86" s="244"/>
      <c r="O86" s="244"/>
      <c r="P86" s="244"/>
      <c r="Q86" s="244"/>
      <c r="R86" s="244"/>
      <c r="S86" s="244"/>
      <c r="T86" s="244"/>
      <c r="U86" s="244"/>
      <c r="V86" s="244"/>
      <c r="W86" s="244"/>
      <c r="X86" s="244"/>
      <c r="Y86" s="244"/>
      <c r="Z86" s="244"/>
      <c r="AA86" s="244"/>
      <c r="AB86" s="244"/>
      <c r="AC86" s="244"/>
      <c r="AD86" s="244"/>
      <c r="AE86" s="244"/>
      <c r="AF86" s="244"/>
      <c r="AG86" s="244"/>
      <c r="AH86" s="244"/>
      <c r="AI86" s="244"/>
      <c r="AJ86" s="244"/>
      <c r="AK86" s="244"/>
      <c r="AL86" s="244"/>
      <c r="AM86" s="244"/>
      <c r="AN86" s="244"/>
      <c r="AO86" s="244"/>
      <c r="AP86" s="244"/>
      <c r="AQ86" s="244"/>
      <c r="AR86" s="244"/>
      <c r="AS86" s="244"/>
      <c r="AT86" s="244"/>
      <c r="AU86" s="244"/>
      <c r="AV86" s="244"/>
      <c r="AW86" s="244"/>
      <c r="AX86" s="244"/>
      <c r="AY86" s="244"/>
      <c r="AZ86" s="244"/>
      <c r="BA86" s="244"/>
    </row>
    <row r="87">
      <c r="A87" s="244"/>
      <c r="B87" s="244"/>
      <c r="C87" s="265"/>
      <c r="D87" s="244"/>
      <c r="E87" s="244"/>
      <c r="F87" s="244"/>
      <c r="G87" s="244"/>
      <c r="H87" s="244"/>
      <c r="I87" s="244"/>
      <c r="J87" s="244"/>
      <c r="K87" s="244"/>
      <c r="L87" s="244"/>
      <c r="M87" s="244"/>
      <c r="N87" s="244"/>
      <c r="O87" s="244"/>
      <c r="P87" s="244"/>
      <c r="Q87" s="244"/>
      <c r="R87" s="244"/>
      <c r="S87" s="244"/>
      <c r="T87" s="244"/>
      <c r="U87" s="244"/>
      <c r="V87" s="244"/>
      <c r="W87" s="244"/>
      <c r="X87" s="244"/>
      <c r="Y87" s="244"/>
      <c r="Z87" s="244"/>
      <c r="AA87" s="244"/>
      <c r="AB87" s="244"/>
      <c r="AC87" s="244"/>
      <c r="AD87" s="244"/>
      <c r="AE87" s="244"/>
      <c r="AF87" s="244"/>
      <c r="AG87" s="244"/>
      <c r="AH87" s="244"/>
      <c r="AI87" s="244"/>
      <c r="AJ87" s="244"/>
      <c r="AK87" s="244"/>
      <c r="AL87" s="244"/>
      <c r="AM87" s="244"/>
      <c r="AN87" s="244"/>
      <c r="AO87" s="244"/>
      <c r="AP87" s="244"/>
      <c r="AQ87" s="244"/>
      <c r="AR87" s="244"/>
      <c r="AS87" s="244"/>
      <c r="AT87" s="244"/>
      <c r="AU87" s="244"/>
      <c r="AV87" s="244"/>
      <c r="AW87" s="244"/>
      <c r="AX87" s="244"/>
      <c r="AY87" s="244"/>
      <c r="AZ87" s="244"/>
      <c r="BA87" s="244"/>
    </row>
    <row r="88">
      <c r="A88" s="244"/>
      <c r="B88" s="244"/>
      <c r="C88" s="265"/>
      <c r="D88" s="244"/>
      <c r="E88" s="244"/>
      <c r="F88" s="244"/>
      <c r="G88" s="244"/>
      <c r="H88" s="244"/>
      <c r="I88" s="244"/>
      <c r="J88" s="244"/>
      <c r="K88" s="244"/>
      <c r="L88" s="244"/>
      <c r="M88" s="244"/>
      <c r="N88" s="244"/>
      <c r="O88" s="244"/>
      <c r="P88" s="244"/>
      <c r="Q88" s="244"/>
      <c r="R88" s="244"/>
      <c r="S88" s="244"/>
      <c r="T88" s="244"/>
      <c r="U88" s="244"/>
      <c r="V88" s="244"/>
      <c r="W88" s="244"/>
      <c r="X88" s="244"/>
      <c r="Y88" s="244"/>
      <c r="Z88" s="244"/>
      <c r="AA88" s="244"/>
      <c r="AB88" s="244"/>
      <c r="AC88" s="244"/>
      <c r="AD88" s="244"/>
      <c r="AE88" s="244"/>
      <c r="AF88" s="244"/>
      <c r="AG88" s="244"/>
      <c r="AH88" s="244"/>
      <c r="AI88" s="244"/>
      <c r="AJ88" s="244"/>
      <c r="AK88" s="244"/>
      <c r="AL88" s="244"/>
      <c r="AM88" s="244"/>
      <c r="AN88" s="244"/>
      <c r="AO88" s="244"/>
      <c r="AP88" s="244"/>
      <c r="AQ88" s="244"/>
      <c r="AR88" s="244"/>
      <c r="AS88" s="244"/>
      <c r="AT88" s="244"/>
      <c r="AU88" s="244"/>
      <c r="AV88" s="244"/>
      <c r="AW88" s="244"/>
      <c r="AX88" s="244"/>
      <c r="AY88" s="244"/>
      <c r="AZ88" s="244"/>
      <c r="BA88" s="244"/>
    </row>
    <row r="89">
      <c r="A89" s="244"/>
      <c r="B89" s="244"/>
      <c r="C89" s="265"/>
      <c r="D89" s="244"/>
      <c r="E89" s="244"/>
      <c r="F89" s="244"/>
      <c r="G89" s="244"/>
      <c r="H89" s="244"/>
      <c r="I89" s="244"/>
      <c r="J89" s="244"/>
      <c r="K89" s="244"/>
      <c r="L89" s="244"/>
      <c r="M89" s="244"/>
      <c r="N89" s="244"/>
      <c r="O89" s="244"/>
      <c r="P89" s="244"/>
      <c r="Q89" s="244"/>
      <c r="R89" s="244"/>
      <c r="S89" s="244"/>
      <c r="T89" s="244"/>
      <c r="U89" s="244"/>
      <c r="V89" s="244"/>
      <c r="W89" s="244"/>
      <c r="X89" s="244"/>
      <c r="Y89" s="244"/>
      <c r="Z89" s="244"/>
      <c r="AA89" s="244"/>
      <c r="AB89" s="244"/>
      <c r="AC89" s="244"/>
      <c r="AD89" s="244"/>
      <c r="AE89" s="244"/>
      <c r="AF89" s="244"/>
      <c r="AG89" s="244"/>
      <c r="AH89" s="244"/>
      <c r="AI89" s="244"/>
      <c r="AJ89" s="244"/>
      <c r="AK89" s="244"/>
      <c r="AL89" s="244"/>
      <c r="AM89" s="244"/>
      <c r="AN89" s="244"/>
      <c r="AO89" s="244"/>
      <c r="AP89" s="244"/>
      <c r="AQ89" s="244"/>
      <c r="AR89" s="244"/>
      <c r="AS89" s="244"/>
      <c r="AT89" s="244"/>
      <c r="AU89" s="244"/>
      <c r="AV89" s="244"/>
      <c r="AW89" s="244"/>
      <c r="AX89" s="244"/>
      <c r="AY89" s="244"/>
      <c r="AZ89" s="244"/>
      <c r="BA89" s="244"/>
    </row>
    <row r="90">
      <c r="A90" s="244"/>
      <c r="B90" s="244"/>
      <c r="C90" s="265"/>
      <c r="D90" s="244"/>
      <c r="E90" s="244"/>
      <c r="F90" s="244"/>
      <c r="G90" s="244"/>
      <c r="H90" s="244"/>
      <c r="I90" s="244"/>
      <c r="J90" s="244"/>
      <c r="K90" s="244"/>
      <c r="L90" s="244"/>
      <c r="M90" s="244"/>
      <c r="N90" s="244"/>
      <c r="O90" s="244"/>
      <c r="P90" s="244"/>
      <c r="Q90" s="244"/>
      <c r="R90" s="244"/>
      <c r="S90" s="244"/>
      <c r="T90" s="244"/>
      <c r="U90" s="244"/>
      <c r="V90" s="244"/>
      <c r="W90" s="244"/>
      <c r="X90" s="244"/>
      <c r="Y90" s="244"/>
      <c r="Z90" s="244"/>
      <c r="AA90" s="244"/>
      <c r="AB90" s="244"/>
      <c r="AC90" s="244"/>
      <c r="AD90" s="244"/>
      <c r="AE90" s="244"/>
      <c r="AF90" s="244"/>
      <c r="AG90" s="244"/>
      <c r="AH90" s="244"/>
      <c r="AI90" s="244"/>
      <c r="AJ90" s="244"/>
      <c r="AK90" s="244"/>
      <c r="AL90" s="244"/>
      <c r="AM90" s="244"/>
      <c r="AN90" s="244"/>
      <c r="AO90" s="244"/>
      <c r="AP90" s="244"/>
      <c r="AQ90" s="244"/>
      <c r="AR90" s="244"/>
      <c r="AS90" s="244"/>
      <c r="AT90" s="244"/>
      <c r="AU90" s="244"/>
      <c r="AV90" s="244"/>
      <c r="AW90" s="244"/>
      <c r="AX90" s="244"/>
      <c r="AY90" s="244"/>
      <c r="AZ90" s="244"/>
      <c r="BA90" s="244"/>
    </row>
    <row r="91">
      <c r="A91" s="244"/>
      <c r="B91" s="244"/>
      <c r="C91" s="265"/>
      <c r="D91" s="244"/>
      <c r="E91" s="244"/>
      <c r="F91" s="244"/>
      <c r="G91" s="244"/>
      <c r="H91" s="244"/>
      <c r="I91" s="244"/>
      <c r="J91" s="244"/>
      <c r="K91" s="244"/>
      <c r="L91" s="244"/>
      <c r="M91" s="244"/>
      <c r="N91" s="244"/>
      <c r="O91" s="244"/>
      <c r="P91" s="244"/>
      <c r="Q91" s="244"/>
      <c r="R91" s="244"/>
      <c r="S91" s="244"/>
      <c r="T91" s="244"/>
      <c r="U91" s="244"/>
      <c r="V91" s="244"/>
      <c r="W91" s="244"/>
      <c r="X91" s="244"/>
      <c r="Y91" s="244"/>
      <c r="Z91" s="244"/>
      <c r="AA91" s="244"/>
      <c r="AB91" s="244"/>
      <c r="AC91" s="244"/>
      <c r="AD91" s="244"/>
      <c r="AE91" s="244"/>
      <c r="AF91" s="244"/>
      <c r="AG91" s="244"/>
      <c r="AH91" s="244"/>
      <c r="AI91" s="244"/>
      <c r="AJ91" s="244"/>
      <c r="AK91" s="244"/>
      <c r="AL91" s="244"/>
      <c r="AM91" s="244"/>
      <c r="AN91" s="244"/>
      <c r="AO91" s="244"/>
      <c r="AP91" s="244"/>
      <c r="AQ91" s="244"/>
      <c r="AR91" s="244"/>
      <c r="AS91" s="244"/>
      <c r="AT91" s="244"/>
      <c r="AU91" s="244"/>
      <c r="AV91" s="244"/>
      <c r="AW91" s="244"/>
      <c r="AX91" s="244"/>
      <c r="AY91" s="244"/>
      <c r="AZ91" s="244"/>
      <c r="BA91" s="244"/>
    </row>
    <row r="92">
      <c r="A92" s="244"/>
      <c r="B92" s="244"/>
      <c r="C92" s="265"/>
      <c r="D92" s="244"/>
      <c r="E92" s="244"/>
      <c r="F92" s="244"/>
      <c r="G92" s="244"/>
      <c r="H92" s="244"/>
      <c r="I92" s="244"/>
      <c r="J92" s="244"/>
      <c r="K92" s="244"/>
      <c r="L92" s="244"/>
      <c r="M92" s="244"/>
      <c r="N92" s="244"/>
      <c r="O92" s="244"/>
      <c r="P92" s="244"/>
      <c r="Q92" s="244"/>
      <c r="R92" s="244"/>
      <c r="S92" s="244"/>
      <c r="T92" s="244"/>
      <c r="U92" s="244"/>
      <c r="V92" s="244"/>
      <c r="W92" s="244"/>
      <c r="X92" s="244"/>
      <c r="Y92" s="244"/>
      <c r="Z92" s="244"/>
      <c r="AA92" s="244"/>
      <c r="AB92" s="244"/>
      <c r="AC92" s="244"/>
      <c r="AD92" s="244"/>
      <c r="AE92" s="244"/>
      <c r="AF92" s="244"/>
      <c r="AG92" s="244"/>
      <c r="AH92" s="244"/>
      <c r="AI92" s="244"/>
      <c r="AJ92" s="244"/>
      <c r="AK92" s="244"/>
      <c r="AL92" s="244"/>
      <c r="AM92" s="244"/>
      <c r="AN92" s="244"/>
      <c r="AO92" s="244"/>
      <c r="AP92" s="244"/>
      <c r="AQ92" s="244"/>
      <c r="AR92" s="244"/>
      <c r="AS92" s="244"/>
      <c r="AT92" s="244"/>
      <c r="AU92" s="244"/>
      <c r="AV92" s="244"/>
      <c r="AW92" s="244"/>
      <c r="AX92" s="244"/>
      <c r="AY92" s="244"/>
      <c r="AZ92" s="244"/>
      <c r="BA92" s="244"/>
    </row>
    <row r="93">
      <c r="A93" s="244"/>
      <c r="B93" s="244"/>
      <c r="C93" s="265"/>
      <c r="D93" s="244"/>
      <c r="E93" s="244"/>
      <c r="F93" s="244"/>
      <c r="G93" s="244"/>
      <c r="H93" s="244"/>
      <c r="I93" s="244"/>
      <c r="J93" s="244"/>
      <c r="K93" s="244"/>
      <c r="L93" s="244"/>
      <c r="M93" s="244"/>
      <c r="N93" s="244"/>
      <c r="O93" s="244"/>
      <c r="P93" s="244"/>
      <c r="Q93" s="244"/>
      <c r="R93" s="244"/>
      <c r="S93" s="244"/>
      <c r="T93" s="244"/>
      <c r="U93" s="244"/>
      <c r="V93" s="244"/>
      <c r="W93" s="244"/>
      <c r="X93" s="244"/>
      <c r="Y93" s="244"/>
      <c r="Z93" s="244"/>
      <c r="AA93" s="244"/>
      <c r="AB93" s="244"/>
      <c r="AC93" s="244"/>
      <c r="AD93" s="244"/>
      <c r="AE93" s="244"/>
      <c r="AF93" s="244"/>
      <c r="AG93" s="244"/>
      <c r="AH93" s="244"/>
      <c r="AI93" s="244"/>
      <c r="AJ93" s="244"/>
      <c r="AK93" s="244"/>
      <c r="AL93" s="244"/>
      <c r="AM93" s="244"/>
      <c r="AN93" s="244"/>
      <c r="AO93" s="244"/>
      <c r="AP93" s="244"/>
      <c r="AQ93" s="244"/>
      <c r="AR93" s="244"/>
      <c r="AS93" s="244"/>
      <c r="AT93" s="244"/>
      <c r="AU93" s="244"/>
      <c r="AV93" s="244"/>
      <c r="AW93" s="244"/>
      <c r="AX93" s="244"/>
      <c r="AY93" s="244"/>
      <c r="AZ93" s="244"/>
      <c r="BA93" s="244"/>
    </row>
    <row r="94">
      <c r="A94" s="244"/>
      <c r="B94" s="244"/>
      <c r="C94" s="265"/>
      <c r="D94" s="244"/>
      <c r="E94" s="244"/>
      <c r="F94" s="244"/>
      <c r="G94" s="244"/>
      <c r="H94" s="244"/>
      <c r="I94" s="244"/>
      <c r="J94" s="244"/>
      <c r="K94" s="244"/>
      <c r="L94" s="244"/>
      <c r="M94" s="244"/>
      <c r="N94" s="244"/>
      <c r="O94" s="244"/>
      <c r="P94" s="244"/>
      <c r="Q94" s="244"/>
      <c r="R94" s="244"/>
      <c r="S94" s="244"/>
      <c r="T94" s="244"/>
      <c r="U94" s="244"/>
      <c r="V94" s="244"/>
      <c r="W94" s="244"/>
      <c r="X94" s="244"/>
      <c r="Y94" s="244"/>
      <c r="Z94" s="244"/>
      <c r="AA94" s="244"/>
      <c r="AB94" s="244"/>
      <c r="AC94" s="244"/>
      <c r="AD94" s="244"/>
      <c r="AE94" s="244"/>
      <c r="AF94" s="244"/>
      <c r="AG94" s="244"/>
      <c r="AH94" s="244"/>
      <c r="AI94" s="244"/>
      <c r="AJ94" s="244"/>
      <c r="AK94" s="244"/>
      <c r="AL94" s="244"/>
      <c r="AM94" s="244"/>
      <c r="AN94" s="244"/>
      <c r="AO94" s="244"/>
      <c r="AP94" s="244"/>
      <c r="AQ94" s="244"/>
      <c r="AR94" s="244"/>
      <c r="AS94" s="244"/>
      <c r="AT94" s="244"/>
      <c r="AU94" s="244"/>
      <c r="AV94" s="244"/>
      <c r="AW94" s="244"/>
      <c r="AX94" s="244"/>
      <c r="AY94" s="244"/>
      <c r="AZ94" s="244"/>
      <c r="BA94" s="244"/>
    </row>
    <row r="95">
      <c r="A95" s="244"/>
      <c r="B95" s="244"/>
      <c r="C95" s="265"/>
      <c r="D95" s="244"/>
      <c r="E95" s="244"/>
      <c r="F95" s="244"/>
      <c r="G95" s="244"/>
      <c r="H95" s="244"/>
      <c r="I95" s="244"/>
      <c r="J95" s="244"/>
      <c r="K95" s="244"/>
      <c r="L95" s="244"/>
      <c r="M95" s="244"/>
      <c r="N95" s="244"/>
      <c r="O95" s="244"/>
      <c r="P95" s="244"/>
      <c r="Q95" s="244"/>
      <c r="R95" s="244"/>
      <c r="S95" s="244"/>
      <c r="T95" s="244"/>
      <c r="U95" s="244"/>
      <c r="V95" s="244"/>
      <c r="W95" s="244"/>
      <c r="X95" s="244"/>
      <c r="Y95" s="244"/>
      <c r="Z95" s="244"/>
      <c r="AA95" s="244"/>
      <c r="AB95" s="244"/>
      <c r="AC95" s="244"/>
      <c r="AD95" s="244"/>
      <c r="AE95" s="244"/>
      <c r="AF95" s="244"/>
      <c r="AG95" s="244"/>
      <c r="AH95" s="244"/>
      <c r="AI95" s="244"/>
      <c r="AJ95" s="244"/>
      <c r="AK95" s="244"/>
      <c r="AL95" s="244"/>
      <c r="AM95" s="244"/>
      <c r="AN95" s="244"/>
      <c r="AO95" s="244"/>
      <c r="AP95" s="244"/>
      <c r="AQ95" s="244"/>
      <c r="AR95" s="244"/>
      <c r="AS95" s="244"/>
      <c r="AT95" s="244"/>
      <c r="AU95" s="244"/>
      <c r="AV95" s="244"/>
      <c r="AW95" s="244"/>
      <c r="AX95" s="244"/>
      <c r="AY95" s="244"/>
      <c r="AZ95" s="244"/>
      <c r="BA95" s="244"/>
    </row>
    <row r="96">
      <c r="A96" s="244"/>
      <c r="B96" s="244"/>
      <c r="C96" s="265"/>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row>
    <row r="97">
      <c r="A97" s="244"/>
      <c r="B97" s="244"/>
      <c r="C97" s="265"/>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row>
    <row r="98">
      <c r="A98" s="244"/>
      <c r="B98" s="244"/>
      <c r="C98" s="265"/>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row>
    <row r="99">
      <c r="A99" s="244"/>
      <c r="B99" s="244"/>
      <c r="C99" s="265"/>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row>
    <row r="100">
      <c r="A100" s="244"/>
      <c r="B100" s="244"/>
      <c r="C100" s="265"/>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row>
    <row r="101">
      <c r="A101" s="244"/>
      <c r="B101" s="244"/>
      <c r="C101" s="265"/>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row>
    <row r="102">
      <c r="A102" s="244"/>
      <c r="B102" s="244"/>
      <c r="C102" s="265"/>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row>
    <row r="103">
      <c r="A103" s="244"/>
      <c r="B103" s="244"/>
      <c r="C103" s="265"/>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row>
    <row r="104">
      <c r="A104" s="244"/>
      <c r="B104" s="244"/>
      <c r="C104" s="265"/>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c r="AZ104" s="244"/>
      <c r="BA104" s="244"/>
    </row>
    <row r="105">
      <c r="A105" s="244"/>
      <c r="B105" s="244"/>
      <c r="C105" s="265"/>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c r="AZ105" s="244"/>
      <c r="BA105" s="244"/>
    </row>
  </sheetData>
  <mergeCells count="12">
    <mergeCell ref="Q8:S8"/>
    <mergeCell ref="T8:V8"/>
    <mergeCell ref="D52:AB52"/>
    <mergeCell ref="R4:AA4"/>
    <mergeCell ref="D7:O7"/>
    <mergeCell ref="Q7:AB7"/>
    <mergeCell ref="W8:Y8"/>
    <mergeCell ref="Z8:AB8"/>
    <mergeCell ref="D8:F8"/>
    <mergeCell ref="G8:I8"/>
    <mergeCell ref="J8:L8"/>
    <mergeCell ref="M8:O8"/>
  </mergeCells>
  <phoneticPr fontId="0" type="noConversion"/>
  <printOptions horizontalCentered="1" verticalCentered="1"/>
  <pageMargins left="0.25" right="0.25" top="0.25" bottom="0.25" header="0.17" footer="0.28"/>
  <pageSetup scale="67" orientation="landscape" r:id="rId1"/>
  <headerFooter alignWithMargins="0">
    <oddHeader/>
    <oddFooter/>
  </headerFooter>
  <drawing r:id="rId38"/>
</worksheet>
</file>

<file path=xl/worksheets/sheet38.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AY105"/>
  <sheetViews>
    <sheetView showGridLines="0" zoomScaleNormal="100" workbookViewId="0"/>
  </sheetViews>
  <sheetFormatPr defaultRowHeight="12.75"/>
  <cols>
    <col min="1" max="1" width="13.28515625" customWidth="1"/>
    <col min="2" max="2" width="3.85546875" customWidth="1"/>
    <col min="3" max="3" width="4.28515625" style="30" customWidth="1"/>
    <col min="4" max="15" width="7.7109375" customWidth="1"/>
    <col min="16" max="16" width="1.42578125" customWidth="1"/>
    <col min="17" max="28" width="7.7109375" customWidth="1"/>
    <col min="29" max="29" width="2.28515625" customWidth="1"/>
    <col min="30" max="32" width="9.140625" customWidth="1"/>
  </cols>
  <sheetData>
    <row r="1" ht="23.25">
      <c r="A1" s="39" t="s">
        <v>131</v>
      </c>
      <c r="B1" s="39"/>
      <c r="AD1" s="244"/>
      <c r="AE1" s="244"/>
      <c r="AF1" s="244"/>
      <c r="AG1" s="244"/>
      <c r="AH1" s="244"/>
      <c r="AI1" s="244"/>
      <c r="AJ1" s="244"/>
      <c r="AK1" s="244"/>
      <c r="AL1" s="244"/>
      <c r="AM1" s="244"/>
      <c r="AN1" s="244"/>
      <c r="AO1" s="244"/>
      <c r="AP1" s="244"/>
      <c r="AQ1" s="244"/>
      <c r="AR1" s="244"/>
      <c r="AS1" s="244"/>
      <c r="AT1" s="244"/>
      <c r="AU1" s="244"/>
      <c r="AV1" s="244"/>
      <c r="AW1" s="244"/>
      <c r="AX1" s="244"/>
      <c r="AY1" s="244"/>
    </row>
    <row r="2" ht="15" customHeight="1">
      <c r="A2" s="10" t="s">
        <v>141</v>
      </c>
      <c r="AA2" s="216"/>
      <c r="AD2" s="244"/>
      <c r="AE2" s="244"/>
      <c r="AF2" s="244"/>
      <c r="AG2" s="244"/>
      <c r="AH2" s="244"/>
      <c r="AI2" s="244"/>
      <c r="AJ2" s="244"/>
      <c r="AK2" s="244"/>
      <c r="AL2" s="244"/>
      <c r="AM2" s="244"/>
      <c r="AN2" s="244"/>
      <c r="AO2" s="244"/>
      <c r="AP2" s="244"/>
      <c r="AQ2" s="244"/>
      <c r="AR2" s="244"/>
      <c r="AS2" s="244"/>
      <c r="AT2" s="244"/>
      <c r="AU2" s="244"/>
      <c r="AV2" s="244"/>
      <c r="AW2" s="244"/>
      <c r="AX2" s="244"/>
      <c r="AY2" s="244"/>
    </row>
    <row r="3" ht="17.1" customHeight="1">
      <c r="A3" s="10" t="s">
        <v>142</v>
      </c>
      <c r="AD3" s="244"/>
      <c r="AE3" s="244"/>
      <c r="AF3" s="244"/>
      <c r="AG3" s="244"/>
      <c r="AH3" s="244"/>
      <c r="AI3" s="244"/>
      <c r="AJ3" s="244"/>
      <c r="AK3" s="244"/>
      <c r="AL3" s="244"/>
      <c r="AM3" s="244"/>
      <c r="AN3" s="244"/>
      <c r="AO3" s="244"/>
      <c r="AP3" s="244"/>
      <c r="AQ3" s="244"/>
      <c r="AR3" s="244"/>
      <c r="AS3" s="244"/>
      <c r="AT3" s="244"/>
      <c r="AU3" s="244"/>
      <c r="AV3" s="244"/>
      <c r="AW3" s="244"/>
      <c r="AX3" s="244"/>
      <c r="AY3" s="244"/>
    </row>
    <row r="4" ht="17.1" customHeight="1">
      <c r="A4" t="s">
        <v>143</v>
      </c>
      <c r="B4" s="442"/>
      <c r="C4" s="211"/>
      <c r="D4" s="212"/>
      <c r="E4" s="212"/>
      <c r="F4" s="212"/>
      <c r="G4" s="212"/>
      <c r="H4" s="212"/>
      <c r="I4" s="212"/>
      <c r="J4" s="212"/>
      <c r="K4" s="212"/>
      <c r="L4" s="212"/>
      <c r="M4" s="212"/>
      <c r="N4" s="212"/>
      <c r="O4" s="212"/>
      <c r="P4" s="212"/>
      <c r="Q4" s="212"/>
      <c r="R4" s="675" t="s">
        <v>146</v>
      </c>
      <c r="S4" s="675"/>
      <c r="T4" s="675"/>
      <c r="U4" s="675"/>
      <c r="V4" s="675"/>
      <c r="W4" s="675"/>
      <c r="X4" s="675"/>
      <c r="Y4" s="675"/>
      <c r="Z4" s="675"/>
      <c r="AA4" s="675"/>
      <c r="AD4" s="244"/>
      <c r="AE4" s="244"/>
      <c r="AF4" s="244"/>
      <c r="AG4" s="244"/>
      <c r="AH4" s="244"/>
      <c r="AI4" s="244"/>
      <c r="AJ4" s="244"/>
      <c r="AK4" s="244"/>
      <c r="AL4" s="244"/>
      <c r="AM4" s="244"/>
      <c r="AN4" s="244"/>
      <c r="AO4" s="244"/>
      <c r="AP4" s="244"/>
      <c r="AQ4" s="244"/>
      <c r="AR4" s="244"/>
      <c r="AS4" s="244"/>
      <c r="AT4" s="244"/>
      <c r="AU4" s="244"/>
      <c r="AV4" s="244"/>
      <c r="AW4" s="244"/>
      <c r="AX4" s="244"/>
      <c r="AY4" s="244"/>
    </row>
    <row r="5" ht="13.5" customHeight="1">
      <c r="B5" s="211"/>
      <c r="C5" s="211"/>
      <c r="D5" s="212"/>
      <c r="E5" s="212"/>
      <c r="F5" s="212"/>
      <c r="G5" s="212"/>
      <c r="H5" s="212"/>
      <c r="I5" s="212"/>
      <c r="J5" s="212"/>
      <c r="K5" s="212"/>
      <c r="L5" s="212"/>
      <c r="M5" s="212"/>
      <c r="N5" s="212"/>
      <c r="O5" s="212"/>
      <c r="P5" s="212"/>
      <c r="Q5" s="212"/>
      <c r="R5" s="212"/>
      <c r="S5" s="212"/>
      <c r="T5" s="212"/>
      <c r="AD5" s="244"/>
      <c r="AE5" s="244"/>
      <c r="AF5" s="244"/>
      <c r="AG5" s="244"/>
      <c r="AH5" s="244"/>
      <c r="AI5" s="244"/>
      <c r="AJ5" s="244"/>
      <c r="AK5" s="244"/>
      <c r="AL5" s="244"/>
      <c r="AM5" s="244"/>
      <c r="AN5" s="244"/>
      <c r="AO5" s="244"/>
      <c r="AP5" s="244"/>
      <c r="AQ5" s="244"/>
      <c r="AR5" s="244"/>
      <c r="AS5" s="244"/>
      <c r="AT5" s="244"/>
      <c r="AU5" s="244"/>
      <c r="AV5" s="244"/>
      <c r="AW5" s="244"/>
      <c r="AX5" s="244"/>
      <c r="AY5" s="244"/>
    </row>
    <row r="6" ht="12.75" customHeight="1">
      <c r="AD6" s="244"/>
      <c r="AE6" s="244"/>
      <c r="AF6" s="244"/>
      <c r="AG6" s="244"/>
      <c r="AH6" s="244"/>
      <c r="AI6" s="244"/>
      <c r="AJ6" s="244"/>
      <c r="AK6" s="244"/>
      <c r="AL6" s="244"/>
      <c r="AM6" s="244"/>
      <c r="AN6" s="244"/>
      <c r="AO6" s="244"/>
      <c r="AP6" s="244"/>
      <c r="AQ6" s="244"/>
      <c r="AR6" s="244"/>
      <c r="AS6" s="244"/>
      <c r="AT6" s="244"/>
      <c r="AU6" s="244"/>
      <c r="AV6" s="244"/>
      <c r="AW6" s="244"/>
      <c r="AX6" s="244"/>
      <c r="AY6" s="244"/>
    </row>
    <row r="7" ht="15.75">
      <c r="D7" s="621" t="s">
        <v>13</v>
      </c>
      <c r="E7" s="621"/>
      <c r="F7" s="621"/>
      <c r="G7" s="621"/>
      <c r="H7" s="621"/>
      <c r="I7" s="621"/>
      <c r="J7" s="621"/>
      <c r="K7" s="621"/>
      <c r="L7" s="621"/>
      <c r="M7" s="621"/>
      <c r="N7" s="621"/>
      <c r="O7" s="621"/>
      <c r="Q7" s="621" t="s">
        <v>86</v>
      </c>
      <c r="R7" s="621"/>
      <c r="S7" s="621"/>
      <c r="T7" s="621"/>
      <c r="U7" s="621"/>
      <c r="V7" s="621"/>
      <c r="W7" s="621"/>
      <c r="X7" s="621"/>
      <c r="Y7" s="621"/>
      <c r="Z7" s="621"/>
      <c r="AA7" s="621"/>
      <c r="AB7" s="621"/>
      <c r="AD7" s="244"/>
      <c r="AE7" s="244"/>
      <c r="AF7" s="244"/>
      <c r="AG7" s="244"/>
      <c r="AH7" s="244"/>
      <c r="AI7" s="244"/>
      <c r="AJ7" s="244"/>
      <c r="AK7" s="244"/>
      <c r="AL7" s="244"/>
      <c r="AM7" s="244"/>
      <c r="AN7" s="244"/>
      <c r="AO7" s="244"/>
      <c r="AP7" s="244"/>
      <c r="AQ7" s="244"/>
      <c r="AR7" s="244"/>
      <c r="AS7" s="244"/>
      <c r="AT7" s="244"/>
      <c r="AU7" s="244"/>
      <c r="AV7" s="244"/>
      <c r="AW7" s="244"/>
      <c r="AX7" s="244"/>
      <c r="AY7" s="244"/>
    </row>
    <row r="8" ht="15.75">
      <c r="D8" s="619" t="s">
        <v>21</v>
      </c>
      <c r="E8" s="619"/>
      <c r="F8" s="619"/>
      <c r="G8" s="619" t="s">
        <v>24</v>
      </c>
      <c r="H8" s="619"/>
      <c r="I8" s="619"/>
      <c r="J8" s="619" t="s">
        <v>25</v>
      </c>
      <c r="K8" s="619"/>
      <c r="L8" s="619"/>
      <c r="M8" s="619" t="s">
        <v>23</v>
      </c>
      <c r="N8" s="619"/>
      <c r="O8" s="619"/>
      <c r="Q8" s="619" t="s">
        <v>21</v>
      </c>
      <c r="R8" s="619"/>
      <c r="S8" s="619"/>
      <c r="T8" s="619" t="s">
        <v>24</v>
      </c>
      <c r="U8" s="619"/>
      <c r="V8" s="619"/>
      <c r="W8" s="619" t="s">
        <v>25</v>
      </c>
      <c r="X8" s="619"/>
      <c r="Y8" s="619"/>
      <c r="Z8" s="619" t="s">
        <v>23</v>
      </c>
      <c r="AA8" s="619"/>
      <c r="AB8" s="619"/>
      <c r="AD8" s="244"/>
      <c r="AE8" s="244"/>
      <c r="AF8" s="244"/>
      <c r="AG8" s="244"/>
      <c r="AH8" s="244"/>
      <c r="AI8" s="244"/>
      <c r="AJ8" s="244"/>
      <c r="AK8" s="244"/>
      <c r="AL8" s="244"/>
      <c r="AM8" s="244"/>
      <c r="AN8" s="244"/>
      <c r="AO8" s="244"/>
      <c r="AP8" s="244"/>
      <c r="AQ8" s="244"/>
      <c r="AR8" s="244"/>
      <c r="AS8" s="244"/>
      <c r="AT8" s="244"/>
      <c r="AU8" s="244"/>
      <c r="AV8" s="244"/>
      <c r="AW8" s="244"/>
      <c r="AX8" s="244"/>
      <c r="AY8" s="244"/>
    </row>
    <row r="9" ht="27" customHeight="1">
      <c r="A9" s="92"/>
      <c r="D9" s="339" t="s">
        <v>63</v>
      </c>
      <c r="E9" s="340" t="s">
        <v>26</v>
      </c>
      <c r="F9" s="341" t="s">
        <v>147</v>
      </c>
      <c r="G9" s="339" t="s">
        <v>63</v>
      </c>
      <c r="H9" s="340" t="s">
        <v>26</v>
      </c>
      <c r="I9" s="341" t="s">
        <v>147</v>
      </c>
      <c r="J9" s="339" t="s">
        <v>63</v>
      </c>
      <c r="K9" s="340" t="s">
        <v>26</v>
      </c>
      <c r="L9" s="341" t="s">
        <v>147</v>
      </c>
      <c r="M9" s="339" t="s">
        <v>63</v>
      </c>
      <c r="N9" s="340" t="s">
        <v>26</v>
      </c>
      <c r="O9" s="341" t="s">
        <v>147</v>
      </c>
      <c r="P9" s="96"/>
      <c r="Q9" s="339" t="s">
        <v>63</v>
      </c>
      <c r="R9" s="340" t="s">
        <v>26</v>
      </c>
      <c r="S9" s="341" t="s">
        <v>147</v>
      </c>
      <c r="T9" s="339" t="s">
        <v>63</v>
      </c>
      <c r="U9" s="340" t="s">
        <v>26</v>
      </c>
      <c r="V9" s="341" t="s">
        <v>147</v>
      </c>
      <c r="W9" s="339" t="s">
        <v>63</v>
      </c>
      <c r="X9" s="340" t="s">
        <v>26</v>
      </c>
      <c r="Y9" s="341" t="s">
        <v>147</v>
      </c>
      <c r="Z9" s="339" t="s">
        <v>63</v>
      </c>
      <c r="AA9" s="340" t="s">
        <v>26</v>
      </c>
      <c r="AB9" s="341" t="s">
        <v>147</v>
      </c>
      <c r="AD9" s="244"/>
      <c r="AE9" s="244"/>
      <c r="AF9" s="244"/>
      <c r="AG9" s="244"/>
      <c r="AH9" s="244"/>
      <c r="AI9" s="244"/>
      <c r="AJ9" s="244"/>
      <c r="AK9" s="244"/>
      <c r="AL9" s="244"/>
      <c r="AM9" s="244"/>
      <c r="AN9" s="244"/>
      <c r="AO9" s="244"/>
      <c r="AP9" s="244"/>
      <c r="AQ9" s="244"/>
      <c r="AR9" s="244"/>
      <c r="AS9" s="244"/>
      <c r="AT9" s="244"/>
      <c r="AU9" s="244"/>
      <c r="AV9" s="244"/>
      <c r="AW9" s="244"/>
      <c r="AX9" s="244"/>
      <c r="AY9" s="244"/>
    </row>
    <row r="10" ht="15.6" customHeight="1">
      <c r="A10" s="92" t="s">
        <v>148</v>
      </c>
      <c r="B10" s="342">
        <v>22</v>
      </c>
      <c r="C10" s="343" t="s">
        <v>49</v>
      </c>
      <c r="D10" s="374">
        <v>17.301075268817204301075268817</v>
      </c>
      <c r="E10" s="382">
        <v>45.56883724203259188896697646</v>
      </c>
      <c r="F10" s="375">
        <v>61.765853907105913526459272848</v>
      </c>
      <c r="G10" s="374">
        <v>2.0967741935483870967741935484</v>
      </c>
      <c r="H10" s="382">
        <v>4.8087665647246993986197934384</v>
      </c>
      <c r="I10" s="375">
        <v>7.0764095900532497643252057379</v>
      </c>
      <c r="J10" s="374">
        <v>1.4677419354838709677419354839</v>
      </c>
      <c r="K10" s="382">
        <v>6.0547166352316589886563240235</v>
      </c>
      <c r="L10" s="375">
        <v>0.2643124665596575708935259497</v>
      </c>
      <c r="M10" s="374">
        <v>20.865591397849462365591397849</v>
      </c>
      <c r="N10" s="382">
        <v>56.432320441988950276243093923</v>
      </c>
      <c r="O10" s="375">
        <v>69.106575963718820861678004535</v>
      </c>
      <c r="P10" s="4"/>
      <c r="Q10" s="354">
        <v>-41.469625318206009235674167280</v>
      </c>
      <c r="R10" s="355">
        <v>37.357663216629216723319575500</v>
      </c>
      <c r="S10" s="356">
        <v>9.567975208194143274285209280</v>
      </c>
      <c r="T10" s="354">
        <v>0</v>
      </c>
      <c r="U10" s="355">
        <v>-61.654676586985765089256587520</v>
      </c>
      <c r="V10" s="356">
        <v>49.558292768871079924013196190</v>
      </c>
      <c r="W10" s="354">
        <v>-24.793388428757598524677786430</v>
      </c>
      <c r="X10" s="355">
        <v>17.784370822113263299357445490</v>
      </c>
      <c r="Y10" s="356">
        <v>-29.210900009077350976450861290</v>
      </c>
      <c r="Z10" s="354">
        <v>-33.782630950408519078494774900</v>
      </c>
      <c r="AA10" s="355">
        <v>10.963808367810927824451201940</v>
      </c>
      <c r="AB10" s="356">
        <v>12.410277595345868498009832090</v>
      </c>
      <c r="AD10" s="244"/>
      <c r="AE10" s="244"/>
      <c r="AF10" s="244"/>
      <c r="AG10" s="244"/>
      <c r="AH10" s="244"/>
      <c r="AI10" s="244"/>
      <c r="AJ10" s="244"/>
      <c r="AK10" s="244"/>
      <c r="AL10" s="244"/>
      <c r="AM10" s="244"/>
      <c r="AN10" s="244"/>
      <c r="AO10" s="244"/>
      <c r="AP10" s="244"/>
      <c r="AQ10" s="244"/>
      <c r="AR10" s="244"/>
      <c r="AS10" s="244"/>
      <c r="AT10" s="244"/>
      <c r="AU10" s="244"/>
      <c r="AV10" s="244"/>
      <c r="AW10" s="244"/>
      <c r="AX10" s="244"/>
      <c r="AY10" s="244"/>
    </row>
    <row r="11" ht="15.6" customHeight="1">
      <c r="A11" s="92"/>
      <c r="B11" s="344">
        <v>23</v>
      </c>
      <c r="C11" s="345" t="s">
        <v>47</v>
      </c>
      <c r="D11" s="370">
        <v>36.575268817204301075268817204</v>
      </c>
      <c r="E11" s="172">
        <v>64.9200006913984405246168937</v>
      </c>
      <c r="F11" s="371">
        <v>90.47583944970393220579370989</v>
      </c>
      <c r="G11" s="370">
        <v>16.043010752688172043010752688</v>
      </c>
      <c r="H11" s="172">
        <v>1.5733690129237231121190688092</v>
      </c>
      <c r="I11" s="371">
        <v>12.191546829702345073050317173</v>
      </c>
      <c r="J11" s="370">
        <v>1.5483870967741935483870967742</v>
      </c>
      <c r="K11" s="172">
        <v>6.254300645585755331956486848</v>
      </c>
      <c r="L11" s="371">
        <v>0.2627724507524528798861316679</v>
      </c>
      <c r="M11" s="370">
        <v>54.166666666666666666666666667</v>
      </c>
      <c r="N11" s="172">
        <v>72.747670349907918968692449355</v>
      </c>
      <c r="O11" s="371">
        <v>102.93015873015873015873015873</v>
      </c>
      <c r="P11" s="4"/>
      <c r="Q11" s="327">
        <v>48.829577772942258512845844190</v>
      </c>
      <c r="R11" s="171">
        <v>13.643103995089067002002495290</v>
      </c>
      <c r="S11" s="328">
        <v>8.004779616181554492066282390</v>
      </c>
      <c r="T11" s="327">
        <v>0</v>
      </c>
      <c r="U11" s="171">
        <v>-87.44285411921755168497968976</v>
      </c>
      <c r="V11" s="328">
        <v>-16.049324455141176714717244930</v>
      </c>
      <c r="W11" s="327">
        <v>27.999999995221333333511736890</v>
      </c>
      <c r="X11" s="171">
        <v>14.812098808443820189601233840</v>
      </c>
      <c r="Y11" s="328">
        <v>32.571951361787366340683181630</v>
      </c>
      <c r="Z11" s="327">
        <v>110.07089241000906197199414744</v>
      </c>
      <c r="AA11" s="171">
        <v>-3.1365268637034090146237648700</v>
      </c>
      <c r="AB11" s="328">
        <v>4.5074871530885899480709389200</v>
      </c>
      <c r="AD11" s="244"/>
      <c r="AE11" s="244"/>
      <c r="AF11" s="244"/>
      <c r="AG11" s="244"/>
      <c r="AH11" s="244"/>
      <c r="AI11" s="244"/>
      <c r="AJ11" s="244"/>
      <c r="AK11" s="244"/>
      <c r="AL11" s="244"/>
      <c r="AM11" s="244"/>
      <c r="AN11" s="244"/>
      <c r="AO11" s="244"/>
      <c r="AP11" s="244"/>
      <c r="AQ11" s="244"/>
      <c r="AR11" s="244"/>
      <c r="AS11" s="244"/>
      <c r="AT11" s="244"/>
      <c r="AU11" s="244"/>
      <c r="AV11" s="244"/>
      <c r="AW11" s="244"/>
      <c r="AX11" s="244"/>
      <c r="AY11" s="244"/>
    </row>
    <row r="12" ht="15.6" customHeight="1">
      <c r="A12" s="92"/>
      <c r="B12" s="346">
        <v>24</v>
      </c>
      <c r="C12" s="347" t="s">
        <v>48</v>
      </c>
      <c r="D12" s="378">
        <v>38.021505376344086021505376344</v>
      </c>
      <c r="E12" s="173">
        <v>80.42402944199000645324146002</v>
      </c>
      <c r="F12" s="379">
        <v>108.60385246221649287883819288</v>
      </c>
      <c r="G12" s="378">
        <v>17.688172043010752688172043011</v>
      </c>
      <c r="H12" s="173">
        <v>1.6006045979609446869544185693</v>
      </c>
      <c r="I12" s="379">
        <v>11.585881707697299273363357956</v>
      </c>
      <c r="J12" s="378">
        <v>1.0322580645161290322580645161</v>
      </c>
      <c r="K12" s="173">
        <v>6.5760289434744632244450053919</v>
      </c>
      <c r="L12" s="379">
        <v>0.1680889593379085280705580118</v>
      </c>
      <c r="M12" s="378">
        <v>56.741935483870967741935483871</v>
      </c>
      <c r="N12" s="173">
        <v>88.60066298342541436464088398</v>
      </c>
      <c r="O12" s="379">
        <v>120.35782312925170068027210884</v>
      </c>
      <c r="P12" s="4"/>
      <c r="Q12" s="359">
        <v>58.565022421233131573126880790</v>
      </c>
      <c r="R12" s="170">
        <v>7.9161667484505654011900719600</v>
      </c>
      <c r="S12" s="360">
        <v>19.867167364210241103166571250</v>
      </c>
      <c r="T12" s="359">
        <v>0</v>
      </c>
      <c r="U12" s="170">
        <v>-86.21746813772332271584791623</v>
      </c>
      <c r="V12" s="360">
        <v>-42.576401399852058892409698440</v>
      </c>
      <c r="W12" s="359">
        <v>-40.923076924531124260319233870</v>
      </c>
      <c r="X12" s="170">
        <v>24.336314576304076530869204750</v>
      </c>
      <c r="Y12" s="360">
        <v>-42.610500026443572314354817360</v>
      </c>
      <c r="Z12" s="359">
        <v>120.56426332299464038285792835</v>
      </c>
      <c r="AA12" s="170">
        <v>-3.0910742462838357585429393700</v>
      </c>
      <c r="AB12" s="360">
        <v>8.359634975376842899776526920</v>
      </c>
      <c r="AD12" s="244"/>
      <c r="AE12" s="244"/>
      <c r="AF12" s="244"/>
      <c r="AG12" s="244"/>
      <c r="AH12" s="244"/>
      <c r="AI12" s="244"/>
      <c r="AJ12" s="244"/>
      <c r="AK12" s="244"/>
      <c r="AL12" s="244"/>
      <c r="AM12" s="244"/>
      <c r="AN12" s="244"/>
      <c r="AO12" s="244"/>
      <c r="AP12" s="244"/>
      <c r="AQ12" s="244"/>
      <c r="AR12" s="244"/>
      <c r="AS12" s="244"/>
      <c r="AT12" s="244"/>
      <c r="AU12" s="244"/>
      <c r="AV12" s="244"/>
      <c r="AW12" s="244"/>
      <c r="AX12" s="244"/>
      <c r="AY12" s="244"/>
    </row>
    <row r="13" ht="15.6" customHeight="1">
      <c r="A13" s="92"/>
      <c r="B13" s="344">
        <v>25</v>
      </c>
      <c r="C13" s="345" t="s">
        <v>50</v>
      </c>
      <c r="D13" s="370">
        <v>36.639784946236559139784946237</v>
      </c>
      <c r="E13" s="172">
        <v>81.3686781210833304356402688</v>
      </c>
      <c r="F13" s="371">
        <v>105.49551004263394142401870586</v>
      </c>
      <c r="G13" s="370">
        <v>18.311827956989247311827956989</v>
      </c>
      <c r="H13" s="172">
        <v>16.674256899188492856257147189</v>
      </c>
      <c r="I13" s="371">
        <v>11.464357808002897338904368623</v>
      </c>
      <c r="J13" s="370">
        <v>1.6021505376344086021505376344</v>
      </c>
      <c r="K13" s="172">
        <v>6.4317058637060772605887718664</v>
      </c>
      <c r="L13" s="371">
        <v>0.2623543715853834592991477384</v>
      </c>
      <c r="M13" s="370">
        <v>56.55376344086021505376344086</v>
      </c>
      <c r="N13" s="172">
        <v>104.47464088397790055248618785</v>
      </c>
      <c r="O13" s="371">
        <v>117.22222222222222222222222222</v>
      </c>
      <c r="P13" s="4"/>
      <c r="Q13" s="327">
        <v>41.772415227822295072857878570</v>
      </c>
      <c r="R13" s="171">
        <v>30.677640979343777280080383050</v>
      </c>
      <c r="S13" s="328">
        <v>12.530507717599878916056142210</v>
      </c>
      <c r="T13" s="327">
        <v>0</v>
      </c>
      <c r="U13" s="171">
        <v>76.299144930991469878848713020</v>
      </c>
      <c r="V13" s="328">
        <v>6.5673880566725787669386399900</v>
      </c>
      <c r="W13" s="327">
        <v>8.759124085368426661028966460</v>
      </c>
      <c r="X13" s="171">
        <v>28.788570772034287937477322680</v>
      </c>
      <c r="Y13" s="328">
        <v>7.3662190687777035216127836400</v>
      </c>
      <c r="Z13" s="327">
        <v>107.02617594942878952777654548</v>
      </c>
      <c r="AA13" s="171">
        <v>36.178925508913195999070476060</v>
      </c>
      <c r="AB13" s="328">
        <v>11.906050438384807969144861540</v>
      </c>
      <c r="AD13" s="244"/>
      <c r="AE13" s="244"/>
      <c r="AF13" s="244"/>
      <c r="AG13" s="244"/>
      <c r="AH13" s="244"/>
      <c r="AI13" s="244"/>
      <c r="AJ13" s="244"/>
      <c r="AK13" s="244"/>
      <c r="AL13" s="244"/>
      <c r="AM13" s="244"/>
      <c r="AN13" s="244"/>
      <c r="AO13" s="244"/>
      <c r="AP13" s="244"/>
      <c r="AQ13" s="244"/>
      <c r="AR13" s="244"/>
      <c r="AS13" s="244"/>
      <c r="AT13" s="244"/>
      <c r="AU13" s="244"/>
      <c r="AV13" s="244"/>
      <c r="AW13" s="244"/>
      <c r="AX13" s="244"/>
      <c r="AY13" s="244"/>
    </row>
    <row r="14" ht="15.6" customHeight="1">
      <c r="A14" s="92"/>
      <c r="B14" s="346">
        <v>26</v>
      </c>
      <c r="C14" s="347" t="s">
        <v>51</v>
      </c>
      <c r="D14" s="378">
        <v>33.338709677419354838709677419</v>
      </c>
      <c r="E14" s="173">
        <v>60.228062261982138235498396238</v>
      </c>
      <c r="F14" s="379">
        <v>82.0257121607088109864405185</v>
      </c>
      <c r="G14" s="378">
        <v>4.6827956989247311827956989247</v>
      </c>
      <c r="H14" s="173">
        <v>29.969324660315793381622423182</v>
      </c>
      <c r="I14" s="379">
        <v>14.570166950811800755593549716</v>
      </c>
      <c r="J14" s="378">
        <v>1.1182795698924731182795698925</v>
      </c>
      <c r="K14" s="173">
        <v>7.1805697340488176088853725343</v>
      </c>
      <c r="L14" s="379">
        <v>0.2000392558263270334761358641</v>
      </c>
      <c r="M14" s="378">
        <v>39.139784946236559139784946237</v>
      </c>
      <c r="N14" s="173">
        <v>97.37795665634674922600619195</v>
      </c>
      <c r="O14" s="379">
        <v>96.79591836734693877551020408</v>
      </c>
      <c r="P14" s="4"/>
      <c r="Q14" s="359">
        <v>107.04507512565111468474262675</v>
      </c>
      <c r="R14" s="170">
        <v>18.152239820853816996432874760</v>
      </c>
      <c r="S14" s="360">
        <v>14.396648870206885127212599080</v>
      </c>
      <c r="T14" s="359">
        <v>0</v>
      </c>
      <c r="U14" s="170">
        <v>387.09202211123048773190419091</v>
      </c>
      <c r="V14" s="360">
        <v>150.38205378819430075482363810</v>
      </c>
      <c r="W14" s="359">
        <v>-15.102040817920533111173736930</v>
      </c>
      <c r="X14" s="170">
        <v>22.490986457777020770776473950</v>
      </c>
      <c r="Y14" s="360">
        <v>-27.193276695293303756242011740</v>
      </c>
      <c r="Z14" s="359">
        <v>124.69135802481618655692736702</v>
      </c>
      <c r="AA14" s="170">
        <v>54.593243473268367194861744290</v>
      </c>
      <c r="AB14" s="360">
        <v>24.421424490835874594976663490</v>
      </c>
      <c r="AD14" s="244"/>
      <c r="AE14" s="244"/>
      <c r="AF14" s="244"/>
      <c r="AG14" s="244"/>
      <c r="AH14" s="244"/>
      <c r="AI14" s="244"/>
      <c r="AJ14" s="244"/>
      <c r="AK14" s="244"/>
      <c r="AL14" s="244"/>
      <c r="AM14" s="244"/>
      <c r="AN14" s="244"/>
      <c r="AO14" s="244"/>
      <c r="AP14" s="244"/>
      <c r="AQ14" s="244"/>
      <c r="AR14" s="244"/>
      <c r="AS14" s="244"/>
      <c r="AT14" s="244"/>
      <c r="AU14" s="244"/>
      <c r="AV14" s="244"/>
      <c r="AW14" s="244"/>
      <c r="AX14" s="244"/>
      <c r="AY14" s="244"/>
    </row>
    <row r="15" ht="15.6" customHeight="1">
      <c r="A15" s="92"/>
      <c r="B15" s="344">
        <v>27</v>
      </c>
      <c r="C15" s="345" t="s">
        <v>52</v>
      </c>
      <c r="D15" s="370">
        <v>66.591397849462365591397849462</v>
      </c>
      <c r="E15" s="172">
        <v>62.835167200016014948229849232</v>
      </c>
      <c r="F15" s="371">
        <v>78.832170964848962092875735506</v>
      </c>
      <c r="G15" s="370">
        <v>3.9569892473118279569892473118</v>
      </c>
      <c r="H15" s="172">
        <v>29.329606246337658294506040122</v>
      </c>
      <c r="I15" s="371">
        <v>13.995473456263534352647811537</v>
      </c>
      <c r="J15" s="370">
        <v>2.7150537634408602150537634409</v>
      </c>
      <c r="K15" s="172">
        <v>6.3471142147881315454777386415</v>
      </c>
      <c r="L15" s="371">
        <v>0.4326730392049638719367704209</v>
      </c>
      <c r="M15" s="370">
        <v>73.263440860215053763440860215</v>
      </c>
      <c r="N15" s="172">
        <v>98.51188766114180478821362799</v>
      </c>
      <c r="O15" s="371">
        <v>93.26031746031746031746031746</v>
      </c>
      <c r="P15" s="4"/>
      <c r="Q15" s="327">
        <v>56.112931686393230031297404430</v>
      </c>
      <c r="R15" s="171">
        <v>-4.9842322071739822547807446100</v>
      </c>
      <c r="S15" s="328">
        <v>-2.6882165129945737973230389800</v>
      </c>
      <c r="T15" s="327">
        <v>-68.800339126687783620170734970</v>
      </c>
      <c r="U15" s="171">
        <v>140.74787086403218857206818940</v>
      </c>
      <c r="V15" s="328">
        <v>90.44270563480367452611622144</v>
      </c>
      <c r="W15" s="327">
        <v>79.078014179443941451774245590</v>
      </c>
      <c r="X15" s="171">
        <v>28.283863527168993846410537650</v>
      </c>
      <c r="Y15" s="328">
        <v>63.411571911187238574582152480</v>
      </c>
      <c r="Z15" s="327">
        <v>28.860520094511469107858444620</v>
      </c>
      <c r="AA15" s="171">
        <v>18.315938458918018369734401540</v>
      </c>
      <c r="AB15" s="328">
        <v>5.2319422767405798476081834600</v>
      </c>
      <c r="AD15" s="244"/>
      <c r="AE15" s="244"/>
      <c r="AF15" s="244"/>
      <c r="AG15" s="244"/>
      <c r="AH15" s="244"/>
      <c r="AI15" s="244"/>
      <c r="AJ15" s="244"/>
      <c r="AK15" s="244"/>
      <c r="AL15" s="244"/>
      <c r="AM15" s="244"/>
      <c r="AN15" s="244"/>
      <c r="AO15" s="244"/>
      <c r="AP15" s="244"/>
      <c r="AQ15" s="244"/>
      <c r="AR15" s="244"/>
      <c r="AS15" s="244"/>
      <c r="AT15" s="244"/>
      <c r="AU15" s="244"/>
      <c r="AV15" s="244"/>
      <c r="AW15" s="244"/>
      <c r="AX15" s="244"/>
      <c r="AY15" s="244"/>
    </row>
    <row r="16" ht="15.6" customHeight="1">
      <c r="A16" s="92"/>
      <c r="B16" s="346">
        <v>28</v>
      </c>
      <c r="C16" s="347" t="s">
        <v>53</v>
      </c>
      <c r="D16" s="378">
        <v>52.543010752688172043010752688</v>
      </c>
      <c r="E16" s="173">
        <v>55.483497736413325595493053692</v>
      </c>
      <c r="F16" s="379">
        <v>73.638256662050087005839476476</v>
      </c>
      <c r="G16" s="378">
        <v>3.8387096774193548387096774194</v>
      </c>
      <c r="H16" s="173">
        <v>35.461442889651476336250557676</v>
      </c>
      <c r="I16" s="379">
        <v>14.324526461283646309085902636</v>
      </c>
      <c r="J16" s="378">
        <v>1.0537634408602150537634408602</v>
      </c>
      <c r="K16" s="173">
        <v>5.8306394844324356373171621091</v>
      </c>
      <c r="L16" s="379">
        <v>0.1764459016095773426709927675</v>
      </c>
      <c r="M16" s="378">
        <v>57.435483870967741935483870968</v>
      </c>
      <c r="N16" s="173">
        <v>96.77558011049723756906077348</v>
      </c>
      <c r="O16" s="379">
        <v>88.13922902494331065759637188</v>
      </c>
      <c r="P16" s="4"/>
      <c r="Q16" s="359">
        <v>39.137243735818562682582615600</v>
      </c>
      <c r="R16" s="170">
        <v>-0.1537440886438229991921150900</v>
      </c>
      <c r="S16" s="360">
        <v>-7.0414940839219376594136321600</v>
      </c>
      <c r="T16" s="359">
        <v>0</v>
      </c>
      <c r="U16" s="170">
        <v>297.18953051890889501481133666</v>
      </c>
      <c r="V16" s="360">
        <v>134.90040349370410804279080539</v>
      </c>
      <c r="W16" s="359">
        <v>-32.646048108576894462719798510</v>
      </c>
      <c r="X16" s="170">
        <v>17.411897207331290459224715190</v>
      </c>
      <c r="Y16" s="360">
        <v>-37.726326303453066695395561040</v>
      </c>
      <c r="Z16" s="359">
        <v>46.042378674133311405650358600</v>
      </c>
      <c r="AA16" s="170">
        <v>39.319623934292119097490357160</v>
      </c>
      <c r="AB16" s="360">
        <v>2.9691167354597269169836836700</v>
      </c>
      <c r="AD16" s="244"/>
      <c r="AE16" s="244"/>
      <c r="AF16" s="244"/>
      <c r="AG16" s="244"/>
      <c r="AH16" s="244"/>
      <c r="AI16" s="244"/>
      <c r="AJ16" s="244"/>
      <c r="AK16" s="244"/>
      <c r="AL16" s="244"/>
      <c r="AM16" s="244"/>
      <c r="AN16" s="244"/>
      <c r="AO16" s="244"/>
      <c r="AP16" s="244"/>
      <c r="AQ16" s="244"/>
      <c r="AR16" s="244"/>
      <c r="AS16" s="244"/>
      <c r="AT16" s="244"/>
      <c r="AU16" s="244"/>
      <c r="AV16" s="244"/>
      <c r="AW16" s="244"/>
      <c r="AX16" s="244"/>
      <c r="AY16" s="244"/>
    </row>
    <row r="17" ht="15.6" customHeight="1">
      <c r="A17" s="92"/>
      <c r="B17" s="344">
        <v>29</v>
      </c>
      <c r="C17" s="345" t="s">
        <v>49</v>
      </c>
      <c r="D17" s="370">
        <v>20.47311827956989247311827957</v>
      </c>
      <c r="E17" s="172">
        <v>30.389212100037816092620076693</v>
      </c>
      <c r="F17" s="371">
        <v>53.130426787770269538248193442</v>
      </c>
      <c r="G17" s="370">
        <v>3.7741935483870967741935483871</v>
      </c>
      <c r="H17" s="172">
        <v>5.7271596354975284802005878241</v>
      </c>
      <c r="I17" s="371">
        <v>10.905557705925862454435951302</v>
      </c>
      <c r="J17" s="370">
        <v>1.0376344086021505376344086022</v>
      </c>
      <c r="K17" s="172">
        <v>6.8301844338937530330725214853</v>
      </c>
      <c r="L17" s="371">
        <v>0.1794350074376548553884176131</v>
      </c>
      <c r="M17" s="370">
        <v>25.284946236559139784946236559</v>
      </c>
      <c r="N17" s="172">
        <v>42.946556169429097605893186004</v>
      </c>
      <c r="O17" s="371">
        <v>64.215419501133786848072562358</v>
      </c>
      <c r="P17" s="4"/>
      <c r="Q17" s="327">
        <v>83.16498316561750258720175374</v>
      </c>
      <c r="R17" s="171">
        <v>10.619716311764593867397053510</v>
      </c>
      <c r="S17" s="328">
        <v>5.0902940683300181041817178700</v>
      </c>
      <c r="T17" s="327">
        <v>0</v>
      </c>
      <c r="U17" s="171">
        <v>110.01060963965947497885735313</v>
      </c>
      <c r="V17" s="328">
        <v>124.80761211893654710940640211</v>
      </c>
      <c r="W17" s="327">
        <v>12.865497077211449676836143920</v>
      </c>
      <c r="X17" s="171">
        <v>31.777899977931606947743684540</v>
      </c>
      <c r="Y17" s="328">
        <v>-2.8773463366639633288768687900</v>
      </c>
      <c r="Z17" s="327">
        <v>109.02222222305831111111445547</v>
      </c>
      <c r="AA17" s="171">
        <v>21.379774843344562689951624170</v>
      </c>
      <c r="AB17" s="328">
        <v>15.510433831989638474949410450</v>
      </c>
      <c r="AD17" s="244"/>
      <c r="AE17" s="244"/>
      <c r="AF17" s="244"/>
      <c r="AG17" s="244"/>
      <c r="AH17" s="244"/>
      <c r="AI17" s="244"/>
      <c r="AJ17" s="244"/>
      <c r="AK17" s="244"/>
      <c r="AL17" s="244"/>
      <c r="AM17" s="244"/>
      <c r="AN17" s="244"/>
      <c r="AO17" s="244"/>
      <c r="AP17" s="244"/>
      <c r="AQ17" s="244"/>
      <c r="AR17" s="244"/>
      <c r="AS17" s="244"/>
      <c r="AT17" s="244"/>
      <c r="AU17" s="244"/>
      <c r="AV17" s="244"/>
      <c r="AW17" s="244"/>
      <c r="AX17" s="244"/>
      <c r="AY17" s="244"/>
    </row>
    <row r="18" ht="15.6" customHeight="1">
      <c r="A18" s="92"/>
      <c r="B18" s="346">
        <v>30</v>
      </c>
      <c r="C18" s="347" t="s">
        <v>47</v>
      </c>
      <c r="D18" s="378">
        <v>22.951612903225806451612903226</v>
      </c>
      <c r="E18" s="173">
        <v>44.441817696438358699579946826</v>
      </c>
      <c r="F18" s="379">
        <v>66.837279748911558689050261442</v>
      </c>
      <c r="G18" s="378">
        <v>0</v>
      </c>
      <c r="H18" s="173">
        <v>2.2669678089962999506927575392</v>
      </c>
      <c r="I18" s="379">
        <v>12.596703713073522958341551284</v>
      </c>
      <c r="J18" s="378">
        <v>2.1075268817204301075268817204</v>
      </c>
      <c r="K18" s="173">
        <v>6.8376877910662621600403711405</v>
      </c>
      <c r="L18" s="379">
        <v>0.3560392137518798038553528087</v>
      </c>
      <c r="M18" s="378">
        <v>25.059139784946236559139784946</v>
      </c>
      <c r="N18" s="173">
        <v>53.546473296500920810313075506</v>
      </c>
      <c r="O18" s="379">
        <v>79.79002267573696145124716553</v>
      </c>
      <c r="P18" s="4"/>
      <c r="Q18" s="359">
        <v>218.34451901366585088761014680</v>
      </c>
      <c r="R18" s="170">
        <v>38.932941669684844516843847910</v>
      </c>
      <c r="S18" s="360">
        <v>10.146497226326117299843416260</v>
      </c>
      <c r="T18" s="359">
        <v>0</v>
      </c>
      <c r="U18" s="170">
        <v>0</v>
      </c>
      <c r="V18" s="360">
        <v>241.16126348487635007256786222</v>
      </c>
      <c r="W18" s="359">
        <v>-10.091743119059843447520779460</v>
      </c>
      <c r="X18" s="170">
        <v>44.128114584391732340860148150</v>
      </c>
      <c r="Y18" s="360">
        <v>-20.403129966821245790986719530</v>
      </c>
      <c r="Z18" s="359">
        <v>162.29600450087732671170146752</v>
      </c>
      <c r="AA18" s="170">
        <v>45.775548932071794979317623560</v>
      </c>
      <c r="AB18" s="360">
        <v>23.094844956950898029672455190</v>
      </c>
      <c r="AD18" s="244"/>
      <c r="AE18" s="244"/>
      <c r="AF18" s="244"/>
      <c r="AG18" s="244"/>
      <c r="AH18" s="244"/>
      <c r="AI18" s="244"/>
      <c r="AJ18" s="244"/>
      <c r="AK18" s="244"/>
      <c r="AL18" s="244"/>
      <c r="AM18" s="244"/>
      <c r="AN18" s="244"/>
      <c r="AO18" s="244"/>
      <c r="AP18" s="244"/>
      <c r="AQ18" s="244"/>
      <c r="AR18" s="244"/>
      <c r="AS18" s="244"/>
      <c r="AT18" s="244"/>
      <c r="AU18" s="244"/>
      <c r="AV18" s="244"/>
      <c r="AW18" s="244"/>
      <c r="AX18" s="244"/>
      <c r="AY18" s="244"/>
    </row>
    <row r="19" ht="15.6" customHeight="1">
      <c r="A19" s="92" t="s">
        <v>145</v>
      </c>
      <c r="B19" s="666">
        <v>1</v>
      </c>
      <c r="C19" s="677" t="s">
        <v>48</v>
      </c>
      <c r="D19" s="678">
        <v>20.801075268817204301075268817</v>
      </c>
      <c r="E19" s="679">
        <v>47.932542504788748276366549092</v>
      </c>
      <c r="F19" s="680">
        <v>73.824779093796937561499321474</v>
      </c>
      <c r="G19" s="678">
        <v>0</v>
      </c>
      <c r="H19" s="679">
        <v>6.7346955648973207797895137956</v>
      </c>
      <c r="I19" s="680">
        <v>7.0469192337246943743937949696</v>
      </c>
      <c r="J19" s="678">
        <v>1.5483870967741935483870967742</v>
      </c>
      <c r="K19" s="679">
        <v>6.1472554846417394152988174064</v>
      </c>
      <c r="L19" s="680">
        <v>0.2693447563785948214764980692</v>
      </c>
      <c r="M19" s="678">
        <v>22.349462365591397849462365591</v>
      </c>
      <c r="N19" s="679">
        <v>60.814493554327808471454880295</v>
      </c>
      <c r="O19" s="680">
        <v>81.14104308390022675736961451</v>
      </c>
      <c r="P19" s="4"/>
      <c r="Q19" s="668">
        <v>127.05399060984894696819515480</v>
      </c>
      <c r="R19" s="669">
        <v>54.547014162069607155824277330</v>
      </c>
      <c r="S19" s="670">
        <v>25.606621333075434520957985680</v>
      </c>
      <c r="T19" s="668">
        <v>0</v>
      </c>
      <c r="U19" s="669">
        <v>0</v>
      </c>
      <c r="V19" s="670">
        <v>108.95244890551584863682732937</v>
      </c>
      <c r="W19" s="668">
        <v>101.39860139888307496699144486</v>
      </c>
      <c r="X19" s="669">
        <v>23.661335797591794411550524510</v>
      </c>
      <c r="Y19" s="670">
        <v>90.55909498892958264479515995</v>
      </c>
      <c r="Z19" s="668">
        <v>125.06767731414984834712067705</v>
      </c>
      <c r="AA19" s="669">
        <v>68.995327359912288279005906780</v>
      </c>
      <c r="AB19" s="670">
        <v>30.266625893832104287968885990</v>
      </c>
      <c r="AD19" s="244"/>
      <c r="AE19" s="244"/>
      <c r="AF19" s="244"/>
      <c r="AG19" s="244"/>
      <c r="AH19" s="244"/>
      <c r="AI19" s="244"/>
      <c r="AJ19" s="244"/>
      <c r="AK19" s="244"/>
      <c r="AL19" s="244"/>
      <c r="AM19" s="244"/>
      <c r="AN19" s="244"/>
      <c r="AO19" s="244"/>
      <c r="AP19" s="244"/>
      <c r="AQ19" s="244"/>
      <c r="AR19" s="244"/>
      <c r="AS19" s="244"/>
      <c r="AT19" s="244"/>
      <c r="AU19" s="244"/>
      <c r="AV19" s="244"/>
      <c r="AW19" s="244"/>
      <c r="AX19" s="244"/>
      <c r="AY19" s="244"/>
    </row>
    <row r="20" ht="15.6" customHeight="1">
      <c r="A20" s="92"/>
      <c r="B20" s="346">
        <v>2</v>
      </c>
      <c r="C20" s="347" t="s">
        <v>50</v>
      </c>
      <c r="D20" s="378">
        <v>22.645161290322580645161290323</v>
      </c>
      <c r="E20" s="173">
        <v>38.77209507709035261087908464</v>
      </c>
      <c r="F20" s="379">
        <v>64.033351966590439705776961215</v>
      </c>
      <c r="G20" s="378">
        <v>0</v>
      </c>
      <c r="H20" s="173">
        <v>4.4012396321547360377023438265</v>
      </c>
      <c r="I20" s="379">
        <v>5.2044842115256281743782476735</v>
      </c>
      <c r="J20" s="378">
        <v>2.2204301075268817204301075269</v>
      </c>
      <c r="K20" s="173">
        <v>6.3674479795210255318973928979</v>
      </c>
      <c r="L20" s="379">
        <v>0.3934563388907348409332264853</v>
      </c>
      <c r="M20" s="378">
        <v>24.865591397849462365591397849</v>
      </c>
      <c r="N20" s="173">
        <v>49.540782688766114180478821363</v>
      </c>
      <c r="O20" s="379">
        <v>69.631292517006802721088435374</v>
      </c>
      <c r="P20" s="4"/>
      <c r="Q20" s="359">
        <v>36.708860759759900410437701850</v>
      </c>
      <c r="R20" s="170">
        <v>65.545690128773330681067848530</v>
      </c>
      <c r="S20" s="360">
        <v>34.384846650117370637259436290</v>
      </c>
      <c r="T20" s="359">
        <v>0</v>
      </c>
      <c r="U20" s="170">
        <v>64.364466533557373940232736690</v>
      </c>
      <c r="V20" s="360">
        <v>130.15530143257792627311597038</v>
      </c>
      <c r="W20" s="359">
        <v>-12.869198313118624152103440090</v>
      </c>
      <c r="X20" s="170">
        <v>52.990707590440713371760326570</v>
      </c>
      <c r="Y20" s="360">
        <v>-17.553685942422977748401654900</v>
      </c>
      <c r="Z20" s="359">
        <v>30.098452883306924934869189400</v>
      </c>
      <c r="AA20" s="170">
        <v>63.714370916580679037370496490</v>
      </c>
      <c r="AB20" s="360">
        <v>38.190900499639414797218554950</v>
      </c>
      <c r="AD20" s="244"/>
      <c r="AE20" s="244"/>
      <c r="AF20" s="244"/>
      <c r="AG20" s="244"/>
      <c r="AH20" s="244"/>
      <c r="AI20" s="244"/>
      <c r="AJ20" s="244"/>
      <c r="AK20" s="244"/>
      <c r="AL20" s="244"/>
      <c r="AM20" s="244"/>
      <c r="AN20" s="244"/>
      <c r="AO20" s="244"/>
      <c r="AP20" s="244"/>
      <c r="AQ20" s="244"/>
      <c r="AR20" s="244"/>
      <c r="AS20" s="244"/>
      <c r="AT20" s="244"/>
      <c r="AU20" s="244"/>
      <c r="AV20" s="244"/>
      <c r="AW20" s="244"/>
      <c r="AX20" s="244"/>
      <c r="AY20" s="244"/>
    </row>
    <row r="21" ht="15.6" customHeight="1">
      <c r="A21" s="92"/>
      <c r="B21" s="344">
        <v>3</v>
      </c>
      <c r="C21" s="345" t="s">
        <v>51</v>
      </c>
      <c r="D21" s="370">
        <v>22.822580645161290322580645161</v>
      </c>
      <c r="E21" s="172">
        <v>36.025223412692863697923522375</v>
      </c>
      <c r="F21" s="371">
        <v>55.442309544017112021542468259</v>
      </c>
      <c r="G21" s="370">
        <v>0</v>
      </c>
      <c r="H21" s="172">
        <v>9.22170448774598262866411027</v>
      </c>
      <c r="I21" s="371">
        <v>5.6126639508096917951510150054</v>
      </c>
      <c r="J21" s="370">
        <v>1.0806451612903225806451612903</v>
      </c>
      <c r="K21" s="172">
        <v>5.293256261623768774701501791</v>
      </c>
      <c r="L21" s="371">
        <v>0.1940060970099308771840677586</v>
      </c>
      <c r="M21" s="370">
        <v>23.903225806451612903225806452</v>
      </c>
      <c r="N21" s="172">
        <v>50.540184162062615101289134438</v>
      </c>
      <c r="O21" s="371">
        <v>61.24897959183673469387755102</v>
      </c>
      <c r="P21" s="4"/>
      <c r="Q21" s="327">
        <v>16.142270861883947368913547010</v>
      </c>
      <c r="R21" s="171">
        <v>19.652858282140242121712453530</v>
      </c>
      <c r="S21" s="328">
        <v>5.0050351112723633453963693500</v>
      </c>
      <c r="T21" s="327">
        <v>0</v>
      </c>
      <c r="U21" s="171">
        <v>40.218376105587997265626710880</v>
      </c>
      <c r="V21" s="328">
        <v>131.87255437825744136347251292</v>
      </c>
      <c r="W21" s="327">
        <v>-29.473684209783933517997725620</v>
      </c>
      <c r="X21" s="171">
        <v>24.115149981942424181448169950</v>
      </c>
      <c r="Y21" s="328">
        <v>-30.594165537696086191952018270</v>
      </c>
      <c r="Z21" s="327">
        <v>12.842639594040374655363600440</v>
      </c>
      <c r="AA21" s="171">
        <v>23.420502009602161614768500190</v>
      </c>
      <c r="AB21" s="328">
        <v>10.358972682835778382945733240</v>
      </c>
      <c r="AD21" s="244"/>
      <c r="AE21" s="244"/>
      <c r="AF21" s="244"/>
      <c r="AG21" s="244"/>
      <c r="AH21" s="244"/>
      <c r="AI21" s="244"/>
      <c r="AJ21" s="244"/>
      <c r="AK21" s="244"/>
      <c r="AL21" s="244"/>
      <c r="AM21" s="244"/>
      <c r="AN21" s="244"/>
      <c r="AO21" s="244"/>
      <c r="AP21" s="244"/>
      <c r="AQ21" s="244"/>
      <c r="AR21" s="244"/>
      <c r="AS21" s="244"/>
      <c r="AT21" s="244"/>
      <c r="AU21" s="244"/>
      <c r="AV21" s="244"/>
      <c r="AW21" s="244"/>
      <c r="AX21" s="244"/>
      <c r="AY21" s="244"/>
    </row>
    <row r="22" ht="15.6" customHeight="1">
      <c r="A22" s="92"/>
      <c r="B22" s="346">
        <v>4</v>
      </c>
      <c r="C22" s="347" t="s">
        <v>52</v>
      </c>
      <c r="D22" s="378">
        <v>36.548387096774193548387096774</v>
      </c>
      <c r="E22" s="173">
        <v>55.69233479853347917212655151</v>
      </c>
      <c r="F22" s="379">
        <v>78.520495086292409063174292599</v>
      </c>
      <c r="G22" s="378">
        <v>0</v>
      </c>
      <c r="H22" s="173">
        <v>10.531517630439601543444031283</v>
      </c>
      <c r="I22" s="379">
        <v>9.024770903851769536944559016</v>
      </c>
      <c r="J22" s="378">
        <v>1.6021505376344086021505376344</v>
      </c>
      <c r="K22" s="173">
        <v>5.6073077920213944225509641669</v>
      </c>
      <c r="L22" s="379">
        <v>0.2914687037333724202893116492</v>
      </c>
      <c r="M22" s="378">
        <v>38.150537634408602150537634409</v>
      </c>
      <c r="N22" s="173">
        <v>71.831160220994475138121546961</v>
      </c>
      <c r="O22" s="379">
        <v>87.83673469387755102040816327</v>
      </c>
      <c r="P22" s="4"/>
      <c r="Q22" s="359">
        <v>-25.818419903970445622433521830</v>
      </c>
      <c r="R22" s="170">
        <v>-20.322753073414759751975945090</v>
      </c>
      <c r="S22" s="360">
        <v>-0.3078325808144595870953478900</v>
      </c>
      <c r="T22" s="359">
        <v>-100</v>
      </c>
      <c r="U22" s="170">
        <v>-4.1534897042825703897860393400</v>
      </c>
      <c r="V22" s="360">
        <v>-16.931649691220962710364779530</v>
      </c>
      <c r="W22" s="359">
        <v>66.480446927002278330889380380</v>
      </c>
      <c r="X22" s="170">
        <v>0.2273898552374072717626452400</v>
      </c>
      <c r="Y22" s="360">
        <v>75.612217966716559582319041050</v>
      </c>
      <c r="Z22" s="359">
        <v>-33.006042296025702861875999830</v>
      </c>
      <c r="AA22" s="170">
        <v>-16.938894134087584680835092500</v>
      </c>
      <c r="AB22" s="360">
        <v>-2.1788539046511791305522824100</v>
      </c>
      <c r="AD22" s="244"/>
      <c r="AE22" s="244"/>
      <c r="AF22" s="244"/>
      <c r="AG22" s="244"/>
      <c r="AH22" s="244"/>
      <c r="AI22" s="244"/>
      <c r="AJ22" s="244"/>
      <c r="AK22" s="244"/>
      <c r="AL22" s="244"/>
      <c r="AM22" s="244"/>
      <c r="AN22" s="244"/>
      <c r="AO22" s="244"/>
      <c r="AP22" s="244"/>
      <c r="AQ22" s="244"/>
      <c r="AR22" s="244"/>
      <c r="AS22" s="244"/>
      <c r="AT22" s="244"/>
      <c r="AU22" s="244"/>
      <c r="AV22" s="244"/>
      <c r="AW22" s="244"/>
      <c r="AX22" s="244"/>
      <c r="AY22" s="244"/>
    </row>
    <row r="23" ht="15.6" customHeight="1">
      <c r="A23" s="92"/>
      <c r="B23" s="344">
        <v>5</v>
      </c>
      <c r="C23" s="345" t="s">
        <v>53</v>
      </c>
      <c r="D23" s="370">
        <v>39.612903225806451612903225806</v>
      </c>
      <c r="E23" s="172">
        <v>65.258195646549834037229402985</v>
      </c>
      <c r="F23" s="371">
        <v>81.89555099204049282329379816</v>
      </c>
      <c r="G23" s="370">
        <v>0</v>
      </c>
      <c r="H23" s="172">
        <v>10.680308313210329867660807083</v>
      </c>
      <c r="I23" s="371">
        <v>8.638123153932505579615672099</v>
      </c>
      <c r="J23" s="370">
        <v>0.5376344086021505376344086022</v>
      </c>
      <c r="K23" s="172">
        <v>5.6477023017499650085536204995</v>
      </c>
      <c r="L23" s="371">
        <v>0.0930832236415140687458585356</v>
      </c>
      <c r="M23" s="370">
        <v>40.150537634408602150537634409</v>
      </c>
      <c r="N23" s="172">
        <v>81.58620626151012891344383057</v>
      </c>
      <c r="O23" s="371">
        <v>90.6267573696145124716553288</v>
      </c>
      <c r="P23" s="4"/>
      <c r="Q23" s="327">
        <v>-35.695583871494890184742325650</v>
      </c>
      <c r="R23" s="171">
        <v>-10.578195946244589599293875020</v>
      </c>
      <c r="S23" s="328">
        <v>0.5722295196601476716960721100</v>
      </c>
      <c r="T23" s="327">
        <v>-100</v>
      </c>
      <c r="U23" s="171">
        <v>-43.035772876870030551245117330</v>
      </c>
      <c r="V23" s="328">
        <v>-25.704738427971462749388959350</v>
      </c>
      <c r="W23" s="327">
        <v>8.695652176984877126740876970</v>
      </c>
      <c r="X23" s="171">
        <v>-2.8719911333643398522577576700</v>
      </c>
      <c r="Y23" s="328">
        <v>12.292219800815301522962645920</v>
      </c>
      <c r="Z23" s="327">
        <v>-41.801745635886640358268906680</v>
      </c>
      <c r="AA23" s="171">
        <v>-16.357694897555333060907565160</v>
      </c>
      <c r="AB23" s="328">
        <v>-2.6975439689476053963005399800</v>
      </c>
      <c r="AD23" s="244"/>
      <c r="AE23" s="244"/>
      <c r="AF23" s="244"/>
      <c r="AG23" s="244"/>
      <c r="AH23" s="244"/>
      <c r="AI23" s="244"/>
      <c r="AJ23" s="244"/>
      <c r="AK23" s="244"/>
      <c r="AL23" s="244"/>
      <c r="AM23" s="244"/>
      <c r="AN23" s="244"/>
      <c r="AO23" s="244"/>
      <c r="AP23" s="244"/>
      <c r="AQ23" s="244"/>
      <c r="AR23" s="244"/>
      <c r="AS23" s="244"/>
      <c r="AT23" s="244"/>
      <c r="AU23" s="244"/>
      <c r="AV23" s="244"/>
      <c r="AW23" s="244"/>
      <c r="AX23" s="244"/>
      <c r="AY23" s="244"/>
    </row>
    <row r="24" ht="15.6" customHeight="1">
      <c r="A24" s="92"/>
      <c r="B24" s="346">
        <v>6</v>
      </c>
      <c r="C24" s="347" t="s">
        <v>49</v>
      </c>
      <c r="D24" s="378">
        <v>15.645161290322580645161290323</v>
      </c>
      <c r="E24" s="173">
        <v>31.315974663110069537609247958</v>
      </c>
      <c r="F24" s="379">
        <v>58.433067167156358388406763315</v>
      </c>
      <c r="G24" s="378">
        <v>0</v>
      </c>
      <c r="H24" s="173">
        <v>2.5526742097212278642227135321</v>
      </c>
      <c r="I24" s="379">
        <v>1.6594498396463627000286108374</v>
      </c>
      <c r="J24" s="378">
        <v>0</v>
      </c>
      <c r="K24" s="173">
        <v>6.6792332634486289333429924679</v>
      </c>
      <c r="L24" s="379">
        <v>0</v>
      </c>
      <c r="M24" s="378">
        <v>15.645161290322580645161290323</v>
      </c>
      <c r="N24" s="173">
        <v>40.547882136279926335174953959</v>
      </c>
      <c r="O24" s="379">
        <v>60.09251700680272108843537415</v>
      </c>
      <c r="P24" s="4"/>
      <c r="Q24" s="359">
        <v>15.982463132962578241646634280</v>
      </c>
      <c r="R24" s="170">
        <v>-8.405695239819262608843043680</v>
      </c>
      <c r="S24" s="360">
        <v>4.1852941435755015662293116600</v>
      </c>
      <c r="T24" s="359">
        <v>0</v>
      </c>
      <c r="U24" s="170">
        <v>-80.15682354402505647029375707</v>
      </c>
      <c r="V24" s="360">
        <v>-60.850112294785104054892186990</v>
      </c>
      <c r="W24" s="359">
        <v>-100</v>
      </c>
      <c r="X24" s="170">
        <v>4.5761710239245455372177632800</v>
      </c>
      <c r="Y24" s="360">
        <v>-100</v>
      </c>
      <c r="Z24" s="359">
        <v>10.730593607027845541169564770</v>
      </c>
      <c r="AA24" s="170">
        <v>-24.125988593535760987925953610</v>
      </c>
      <c r="AB24" s="360">
        <v>-0.6053513964237559873417132400</v>
      </c>
      <c r="AD24" s="244"/>
      <c r="AE24" s="244"/>
      <c r="AF24" s="244"/>
      <c r="AG24" s="244"/>
      <c r="AH24" s="244"/>
      <c r="AI24" s="244"/>
      <c r="AJ24" s="244"/>
      <c r="AK24" s="244"/>
      <c r="AL24" s="244"/>
      <c r="AM24" s="244"/>
      <c r="AN24" s="244"/>
      <c r="AO24" s="244"/>
      <c r="AP24" s="244"/>
      <c r="AQ24" s="244"/>
      <c r="AR24" s="244"/>
      <c r="AS24" s="244"/>
      <c r="AT24" s="244"/>
      <c r="AU24" s="244"/>
      <c r="AV24" s="244"/>
      <c r="AW24" s="244"/>
      <c r="AX24" s="244"/>
      <c r="AY24" s="244"/>
    </row>
    <row r="25" ht="15.6" customHeight="1">
      <c r="A25" s="92"/>
      <c r="B25" s="344">
        <v>7</v>
      </c>
      <c r="C25" s="345" t="s">
        <v>47</v>
      </c>
      <c r="D25" s="370">
        <v>23.559139784946236559139784946</v>
      </c>
      <c r="E25" s="172">
        <v>53.28774430403039510869184414</v>
      </c>
      <c r="F25" s="371">
        <v>87.90982871955874048574460898</v>
      </c>
      <c r="G25" s="370">
        <v>0</v>
      </c>
      <c r="H25" s="172">
        <v>4.7620682032383749323455547192</v>
      </c>
      <c r="I25" s="371">
        <v>4.1536633439333230063188830776</v>
      </c>
      <c r="J25" s="370">
        <v>0</v>
      </c>
      <c r="K25" s="172">
        <v>5.6585944908896093328115882483</v>
      </c>
      <c r="L25" s="371">
        <v>0</v>
      </c>
      <c r="M25" s="370">
        <v>23.559139784946236559139784946</v>
      </c>
      <c r="N25" s="172">
        <v>63.708406998158379373848987109</v>
      </c>
      <c r="O25" s="371">
        <v>92.06349206349206349206349206</v>
      </c>
      <c r="P25" s="4"/>
      <c r="Q25" s="327">
        <v>-1.5944307210523889278686165400</v>
      </c>
      <c r="R25" s="171">
        <v>-4.719367162866146092461170800</v>
      </c>
      <c r="S25" s="328">
        <v>10.206835880531821290497719110</v>
      </c>
      <c r="T25" s="327">
        <v>0</v>
      </c>
      <c r="U25" s="171">
        <v>-67.376224558261414766092995670</v>
      </c>
      <c r="V25" s="328">
        <v>-57.119136822684236445181293610</v>
      </c>
      <c r="W25" s="327">
        <v>-100</v>
      </c>
      <c r="X25" s="171">
        <v>-12.765285914217851414164279600</v>
      </c>
      <c r="Y25" s="328">
        <v>-100</v>
      </c>
      <c r="Z25" s="327">
        <v>-5.3154710457794817760294060700</v>
      </c>
      <c r="AA25" s="171">
        <v>-17.273314574487683839981860770</v>
      </c>
      <c r="AB25" s="328">
        <v>2.7218767236036392573193852500</v>
      </c>
      <c r="AD25" s="244"/>
      <c r="AE25" s="244"/>
      <c r="AF25" s="244"/>
      <c r="AG25" s="244"/>
      <c r="AH25" s="244"/>
      <c r="AI25" s="244"/>
      <c r="AJ25" s="244"/>
      <c r="AK25" s="244"/>
      <c r="AL25" s="244"/>
      <c r="AM25" s="244"/>
      <c r="AN25" s="244"/>
      <c r="AO25" s="244"/>
      <c r="AP25" s="244"/>
      <c r="AQ25" s="244"/>
      <c r="AR25" s="244"/>
      <c r="AS25" s="244"/>
      <c r="AT25" s="244"/>
      <c r="AU25" s="244"/>
      <c r="AV25" s="244"/>
      <c r="AW25" s="244"/>
      <c r="AX25" s="244"/>
      <c r="AY25" s="244"/>
    </row>
    <row r="26" ht="15.6" customHeight="1">
      <c r="A26" s="92"/>
      <c r="B26" s="346">
        <v>8</v>
      </c>
      <c r="C26" s="347" t="s">
        <v>48</v>
      </c>
      <c r="D26" s="378">
        <v>44.440860215053763440860215054</v>
      </c>
      <c r="E26" s="173">
        <v>87.84116324496122564042950521</v>
      </c>
      <c r="F26" s="379">
        <v>115.83403747802955811003284137</v>
      </c>
      <c r="G26" s="378">
        <v>0</v>
      </c>
      <c r="H26" s="173">
        <v>11.06691389178879305813255283</v>
      </c>
      <c r="I26" s="379">
        <v>13.730588372310577944388927334</v>
      </c>
      <c r="J26" s="378">
        <v>0</v>
      </c>
      <c r="K26" s="173">
        <v>5.6896668779829463106460450812</v>
      </c>
      <c r="L26" s="379">
        <v>0</v>
      </c>
      <c r="M26" s="378">
        <v>44.440860215053763440860215054</v>
      </c>
      <c r="N26" s="173">
        <v>104.59774401473296500920810313</v>
      </c>
      <c r="O26" s="379">
        <v>129.56462585034013605442176871</v>
      </c>
      <c r="P26" s="4"/>
      <c r="Q26" s="359">
        <v>-4.9994253534622460491015617500</v>
      </c>
      <c r="R26" s="170">
        <v>5.847698082449100505186917900</v>
      </c>
      <c r="S26" s="360">
        <v>13.455488858408696030259158250</v>
      </c>
      <c r="T26" s="359">
        <v>0</v>
      </c>
      <c r="U26" s="170">
        <v>-50.042358016241097648493580820</v>
      </c>
      <c r="V26" s="360">
        <v>-3.31182655959250185556050800</v>
      </c>
      <c r="W26" s="359">
        <v>-100</v>
      </c>
      <c r="X26" s="170">
        <v>-4.1423158204188387871046123800</v>
      </c>
      <c r="Y26" s="360">
        <v>-100</v>
      </c>
      <c r="Z26" s="359">
        <v>-7.1131587818751672276415187300</v>
      </c>
      <c r="AA26" s="170">
        <v>-5.8326043762856560722272822800</v>
      </c>
      <c r="AB26" s="360">
        <v>11.241336344519722119206533450</v>
      </c>
      <c r="AD26" s="244"/>
      <c r="AE26" s="244"/>
      <c r="AF26" s="244"/>
      <c r="AG26" s="244"/>
      <c r="AH26" s="244"/>
      <c r="AI26" s="244"/>
      <c r="AJ26" s="244"/>
      <c r="AK26" s="244"/>
      <c r="AL26" s="244"/>
      <c r="AM26" s="244"/>
      <c r="AN26" s="244"/>
      <c r="AO26" s="244"/>
      <c r="AP26" s="244"/>
      <c r="AQ26" s="244"/>
      <c r="AR26" s="244"/>
      <c r="AS26" s="244"/>
      <c r="AT26" s="244"/>
      <c r="AU26" s="244"/>
      <c r="AV26" s="244"/>
      <c r="AW26" s="244"/>
      <c r="AX26" s="244"/>
      <c r="AY26" s="244"/>
    </row>
    <row r="27" ht="15.6" customHeight="1">
      <c r="A27" s="92"/>
      <c r="B27" s="344">
        <v>9</v>
      </c>
      <c r="C27" s="345" t="s">
        <v>50</v>
      </c>
      <c r="D27" s="370">
        <v>47.435483870967741935483870968</v>
      </c>
      <c r="E27" s="172">
        <v>89.88516773141293715478595356</v>
      </c>
      <c r="F27" s="371">
        <v>116.22365393460626274834357979</v>
      </c>
      <c r="G27" s="370">
        <v>0</v>
      </c>
      <c r="H27" s="172">
        <v>16.240258388482550250210412026</v>
      </c>
      <c r="I27" s="371">
        <v>17.895166927071741786803812502</v>
      </c>
      <c r="J27" s="370">
        <v>0</v>
      </c>
      <c r="K27" s="172">
        <v>5.5264799574525788933461758494</v>
      </c>
      <c r="L27" s="371">
        <v>0</v>
      </c>
      <c r="M27" s="370">
        <v>47.435483870967741935483870968</v>
      </c>
      <c r="N27" s="172">
        <v>111.65190607734806629834254144</v>
      </c>
      <c r="O27" s="371">
        <v>134.11882086167800453514739229</v>
      </c>
      <c r="P27" s="4"/>
      <c r="Q27" s="327">
        <v>-19.144061583623653484070888320</v>
      </c>
      <c r="R27" s="171">
        <v>11.019817546009950868011783580</v>
      </c>
      <c r="S27" s="328">
        <v>17.203405473289696796748440290</v>
      </c>
      <c r="T27" s="327">
        <v>0</v>
      </c>
      <c r="U27" s="171">
        <v>-48.545686079779754437992693570</v>
      </c>
      <c r="V27" s="328">
        <v>-19.598635101039835793218250420</v>
      </c>
      <c r="W27" s="327">
        <v>-100</v>
      </c>
      <c r="X27" s="171">
        <v>-10.266284872928428844099633950</v>
      </c>
      <c r="Y27" s="328">
        <v>-100</v>
      </c>
      <c r="Z27" s="327">
        <v>-21.110515021505782421392888220</v>
      </c>
      <c r="AA27" s="171">
        <v>-5.9253819129878821881981208200</v>
      </c>
      <c r="AB27" s="328">
        <v>10.235880002430016830083879200</v>
      </c>
      <c r="AD27" s="244"/>
      <c r="AE27" s="244"/>
      <c r="AF27" s="244"/>
      <c r="AG27" s="244"/>
      <c r="AH27" s="244"/>
      <c r="AI27" s="244"/>
      <c r="AJ27" s="244"/>
      <c r="AK27" s="244"/>
      <c r="AL27" s="244"/>
      <c r="AM27" s="244"/>
      <c r="AN27" s="244"/>
      <c r="AO27" s="244"/>
      <c r="AP27" s="244"/>
      <c r="AQ27" s="244"/>
      <c r="AR27" s="244"/>
      <c r="AS27" s="244"/>
      <c r="AT27" s="244"/>
      <c r="AU27" s="244"/>
      <c r="AV27" s="244"/>
      <c r="AW27" s="244"/>
      <c r="AX27" s="244"/>
      <c r="AY27" s="244"/>
    </row>
    <row r="28" ht="15.6" customHeight="1">
      <c r="A28" s="92"/>
      <c r="B28" s="346">
        <v>10</v>
      </c>
      <c r="C28" s="347" t="s">
        <v>51</v>
      </c>
      <c r="D28" s="378">
        <v>32.064516129032258064516129032</v>
      </c>
      <c r="E28" s="173">
        <v>60.811596542160011076521793495</v>
      </c>
      <c r="F28" s="379">
        <v>92.98168593333747841766188547</v>
      </c>
      <c r="G28" s="378">
        <v>0</v>
      </c>
      <c r="H28" s="173">
        <v>25.772528689531347003309557517</v>
      </c>
      <c r="I28" s="379">
        <v>17.981579372784970561929951263</v>
      </c>
      <c r="J28" s="378">
        <v>0</v>
      </c>
      <c r="K28" s="173">
        <v>5.8464272544964872240360522912</v>
      </c>
      <c r="L28" s="379">
        <v>0</v>
      </c>
      <c r="M28" s="378">
        <v>32.064516129032258064516129032</v>
      </c>
      <c r="N28" s="173">
        <v>92.43055248618784530386740331</v>
      </c>
      <c r="O28" s="379">
        <v>110.96326530612244897959183673</v>
      </c>
      <c r="P28" s="4"/>
      <c r="Q28" s="359">
        <v>-30.286382232591320233057245760</v>
      </c>
      <c r="R28" s="170">
        <v>-10.774210603686431262544277690</v>
      </c>
      <c r="S28" s="360">
        <v>8.291257740910528749875556010</v>
      </c>
      <c r="T28" s="359">
        <v>-100</v>
      </c>
      <c r="U28" s="170">
        <v>-38.481014859453838917753340020</v>
      </c>
      <c r="V28" s="360">
        <v>-25.964444467641158981142854860</v>
      </c>
      <c r="W28" s="359">
        <v>-100</v>
      </c>
      <c r="X28" s="170">
        <v>-0.2882280874879811989016739400</v>
      </c>
      <c r="Y28" s="360">
        <v>-100</v>
      </c>
      <c r="Z28" s="359">
        <v>-39.812291855903163840906835440</v>
      </c>
      <c r="AA28" s="170">
        <v>-20.257772317928424775929376180</v>
      </c>
      <c r="AB28" s="360">
        <v>0.519288443400814765244390800</v>
      </c>
      <c r="AD28" s="244"/>
      <c r="AE28" s="244"/>
      <c r="AF28" s="244"/>
      <c r="AG28" s="244"/>
      <c r="AH28" s="244"/>
      <c r="AI28" s="244"/>
      <c r="AJ28" s="244"/>
      <c r="AK28" s="244"/>
      <c r="AL28" s="244"/>
      <c r="AM28" s="244"/>
      <c r="AN28" s="244"/>
      <c r="AO28" s="244"/>
      <c r="AP28" s="244"/>
      <c r="AQ28" s="244"/>
      <c r="AR28" s="244"/>
      <c r="AS28" s="244"/>
      <c r="AT28" s="244"/>
      <c r="AU28" s="244"/>
      <c r="AV28" s="244"/>
      <c r="AW28" s="244"/>
      <c r="AX28" s="244"/>
      <c r="AY28" s="244"/>
    </row>
    <row r="29" ht="15.6" customHeight="1">
      <c r="A29" s="92"/>
      <c r="B29" s="344">
        <v>11</v>
      </c>
      <c r="C29" s="345" t="s">
        <v>52</v>
      </c>
      <c r="D29" s="370">
        <v>47.096774193548387096774193548</v>
      </c>
      <c r="E29" s="172">
        <v>60.8678797476683566000527648</v>
      </c>
      <c r="F29" s="371">
        <v>82.11651285095856524427952999</v>
      </c>
      <c r="G29" s="370">
        <v>0</v>
      </c>
      <c r="H29" s="172">
        <v>28.367077628699756642916876458</v>
      </c>
      <c r="I29" s="371">
        <v>16.082760140177283034425891569</v>
      </c>
      <c r="J29" s="370">
        <v>1.0967741935483870967741935484</v>
      </c>
      <c r="K29" s="172">
        <v>5.3470960306300451364042077284</v>
      </c>
      <c r="L29" s="371">
        <v>0.1717020655534941249226963513</v>
      </c>
      <c r="M29" s="370">
        <v>48.193548387096774193548387097</v>
      </c>
      <c r="N29" s="172">
        <v>94.58205340699815837937384899</v>
      </c>
      <c r="O29" s="371">
        <v>98.37097505668934240362811791</v>
      </c>
      <c r="P29" s="4"/>
      <c r="Q29" s="327">
        <v>12.466298626325570059636063970</v>
      </c>
      <c r="R29" s="171">
        <v>13.619729528998246508713206530</v>
      </c>
      <c r="S29" s="328">
        <v>-0.6837030023457631203422651800</v>
      </c>
      <c r="T29" s="327">
        <v>-100</v>
      </c>
      <c r="U29" s="171">
        <v>-32.050525931778566751575742930</v>
      </c>
      <c r="V29" s="328">
        <v>19.403324853385089956648157280</v>
      </c>
      <c r="W29" s="327">
        <v>-22.727272726745867768591449100</v>
      </c>
      <c r="X29" s="171">
        <v>-9.788278960769014026411328400</v>
      </c>
      <c r="Y29" s="328">
        <v>-41.379959402114377672826787820</v>
      </c>
      <c r="Z29" s="327">
        <v>-9.170128685704616790626918600</v>
      </c>
      <c r="AA29" s="171">
        <v>-6.5820835076169180824169154100</v>
      </c>
      <c r="AB29" s="328">
        <v>1.9980344119043773242408593100</v>
      </c>
      <c r="AD29" s="244"/>
      <c r="AE29" s="244"/>
      <c r="AF29" s="244"/>
      <c r="AG29" s="244"/>
      <c r="AH29" s="244"/>
      <c r="AI29" s="244"/>
      <c r="AJ29" s="244"/>
      <c r="AK29" s="244"/>
      <c r="AL29" s="244"/>
      <c r="AM29" s="244"/>
      <c r="AN29" s="244"/>
      <c r="AO29" s="244"/>
      <c r="AP29" s="244"/>
      <c r="AQ29" s="244"/>
      <c r="AR29" s="244"/>
      <c r="AS29" s="244"/>
      <c r="AT29" s="244"/>
      <c r="AU29" s="244"/>
      <c r="AV29" s="244"/>
      <c r="AW29" s="244"/>
      <c r="AX29" s="244"/>
      <c r="AY29" s="244"/>
    </row>
    <row r="30" ht="15.6" customHeight="1">
      <c r="A30" s="92"/>
      <c r="B30" s="346">
        <v>12</v>
      </c>
      <c r="C30" s="347" t="s">
        <v>53</v>
      </c>
      <c r="D30" s="378">
        <v>56.322580645161290322580645161</v>
      </c>
      <c r="E30" s="173">
        <v>65.111110758243925779897722399</v>
      </c>
      <c r="F30" s="379">
        <v>80.91796410362478539340028321</v>
      </c>
      <c r="G30" s="378">
        <v>0</v>
      </c>
      <c r="H30" s="173">
        <v>24.533908405803261873046027651</v>
      </c>
      <c r="I30" s="379">
        <v>14.733747637778969810743286775</v>
      </c>
      <c r="J30" s="378">
        <v>1.0430107526881720430107526882</v>
      </c>
      <c r="K30" s="173">
        <v>5.0518684970946171352698779469</v>
      </c>
      <c r="L30" s="379">
        <v>0.1709639955576960430219628946</v>
      </c>
      <c r="M30" s="378">
        <v>57.365591397849462365591397849</v>
      </c>
      <c r="N30" s="173">
        <v>94.69688766114180478821362799</v>
      </c>
      <c r="O30" s="379">
        <v>95.82267573696145124716553288</v>
      </c>
      <c r="P30" s="4"/>
      <c r="Q30" s="359">
        <v>36.228868660615894521282264750</v>
      </c>
      <c r="R30" s="170">
        <v>20.629185911915571989539784200</v>
      </c>
      <c r="S30" s="360">
        <v>10.797437470618227180600793420</v>
      </c>
      <c r="T30" s="359">
        <v>-100</v>
      </c>
      <c r="U30" s="170">
        <v>17.374650857145668534737754280</v>
      </c>
      <c r="V30" s="360">
        <v>14.190957774849323160885401350</v>
      </c>
      <c r="W30" s="359">
        <v>-1.5228426352949058206270872600</v>
      </c>
      <c r="X30" s="170">
        <v>-14.219292165453289774922474740</v>
      </c>
      <c r="Y30" s="360">
        <v>-9.851409832708768981309839550</v>
      </c>
      <c r="Z30" s="359">
        <v>7.4846378564228264943943175800</v>
      </c>
      <c r="AA30" s="170">
        <v>17.245910505790493120828072700</v>
      </c>
      <c r="AB30" s="360">
        <v>11.260367025602546537867994700</v>
      </c>
      <c r="AD30" s="244"/>
      <c r="AE30" s="244"/>
      <c r="AF30" s="244"/>
      <c r="AG30" s="244"/>
      <c r="AH30" s="244"/>
      <c r="AI30" s="244"/>
      <c r="AJ30" s="244"/>
      <c r="AK30" s="244"/>
      <c r="AL30" s="244"/>
      <c r="AM30" s="244"/>
      <c r="AN30" s="244"/>
      <c r="AO30" s="244"/>
      <c r="AP30" s="244"/>
      <c r="AQ30" s="244"/>
      <c r="AR30" s="244"/>
      <c r="AS30" s="244"/>
      <c r="AT30" s="244"/>
      <c r="AU30" s="244"/>
      <c r="AV30" s="244"/>
      <c r="AW30" s="244"/>
      <c r="AX30" s="244"/>
      <c r="AY30" s="244"/>
    </row>
    <row r="31" ht="15.6" customHeight="1">
      <c r="A31" s="92"/>
      <c r="B31" s="344">
        <v>13</v>
      </c>
      <c r="C31" s="345" t="s">
        <v>49</v>
      </c>
      <c r="D31" s="370">
        <v>26.52688172043010752688172043</v>
      </c>
      <c r="E31" s="172">
        <v>35.015426389921186747199553443</v>
      </c>
      <c r="F31" s="371">
        <v>55.475839737391215837956130082</v>
      </c>
      <c r="G31" s="370">
        <v>0</v>
      </c>
      <c r="H31" s="172">
        <v>8.743674962357522788890932599</v>
      </c>
      <c r="I31" s="371">
        <v>6.1566320875814997653259142395</v>
      </c>
      <c r="J31" s="370">
        <v>1.5376344086021505376344086022</v>
      </c>
      <c r="K31" s="172">
        <v>7.6513682609809589721968067781</v>
      </c>
      <c r="L31" s="371">
        <v>0.2627662702653796348131937729</v>
      </c>
      <c r="M31" s="370">
        <v>28.064516129032258064516129032</v>
      </c>
      <c r="N31" s="172">
        <v>51.410469613259668508287292818</v>
      </c>
      <c r="O31" s="371">
        <v>61.895238095238095238095238095</v>
      </c>
      <c r="P31" s="4"/>
      <c r="Q31" s="327">
        <v>39.142695995723309694296204130</v>
      </c>
      <c r="R31" s="171">
        <v>-0.385992355440212438181301600</v>
      </c>
      <c r="S31" s="328">
        <v>8.273648642731475696611933230</v>
      </c>
      <c r="T31" s="327">
        <v>-100</v>
      </c>
      <c r="U31" s="171">
        <v>5.7623354814933651473587593900</v>
      </c>
      <c r="V31" s="328">
        <v>42.216447475137065645580449650</v>
      </c>
      <c r="W31" s="327">
        <v>262.02531645203012337770096079</v>
      </c>
      <c r="X31" s="171">
        <v>26.462641109580168127898815040</v>
      </c>
      <c r="Y31" s="328">
        <v>243.82875069746578756670422217</v>
      </c>
      <c r="Z31" s="327">
        <v>34.848876259294833956983056140</v>
      </c>
      <c r="AA31" s="171">
        <v>3.9252647840770250578793193200</v>
      </c>
      <c r="AB31" s="328">
        <v>11.237988116584320331030118180</v>
      </c>
      <c r="AD31" s="244"/>
      <c r="AE31" s="244"/>
      <c r="AF31" s="244"/>
      <c r="AG31" s="244"/>
      <c r="AH31" s="244"/>
      <c r="AI31" s="244"/>
      <c r="AJ31" s="244"/>
      <c r="AK31" s="244"/>
      <c r="AL31" s="244"/>
      <c r="AM31" s="244"/>
      <c r="AN31" s="244"/>
      <c r="AO31" s="244"/>
      <c r="AP31" s="244"/>
      <c r="AQ31" s="244"/>
      <c r="AR31" s="244"/>
      <c r="AS31" s="244"/>
      <c r="AT31" s="244"/>
      <c r="AU31" s="244"/>
      <c r="AV31" s="244"/>
      <c r="AW31" s="244"/>
      <c r="AX31" s="244"/>
      <c r="AY31" s="244"/>
    </row>
    <row r="32" ht="15.6" customHeight="1">
      <c r="A32" s="92"/>
      <c r="B32" s="346">
        <v>14</v>
      </c>
      <c r="C32" s="347" t="s">
        <v>47</v>
      </c>
      <c r="D32" s="378">
        <v>26.059139784946236559139784946</v>
      </c>
      <c r="E32" s="173">
        <v>55.511633286346024056264108458</v>
      </c>
      <c r="F32" s="379">
        <v>94.8829347069458315725207641</v>
      </c>
      <c r="G32" s="378">
        <v>0</v>
      </c>
      <c r="H32" s="173">
        <v>5.01198259259822761550997466</v>
      </c>
      <c r="I32" s="379">
        <v>7.7562596198470004194032453075</v>
      </c>
      <c r="J32" s="378">
        <v>2.1021505376344086021505376344</v>
      </c>
      <c r="K32" s="173">
        <v>7.5551041947205733742664325331</v>
      </c>
      <c r="L32" s="379">
        <v>0.3993544260416351282573964861</v>
      </c>
      <c r="M32" s="378">
        <v>28.161290322580645161290322581</v>
      </c>
      <c r="N32" s="173">
        <v>68.078720073664825046040515654</v>
      </c>
      <c r="O32" s="379">
        <v>103.0385487528344671201814059</v>
      </c>
      <c r="P32" s="4"/>
      <c r="Q32" s="359">
        <v>-20.671031096583785000040174460</v>
      </c>
      <c r="R32" s="170">
        <v>0.0181696112112427052445784500</v>
      </c>
      <c r="S32" s="360">
        <v>19.399545615613723215663163750</v>
      </c>
      <c r="T32" s="359">
        <v>0</v>
      </c>
      <c r="U32" s="170">
        <v>-23.080966498252402467007685660</v>
      </c>
      <c r="V32" s="360">
        <v>178.98749794584571649464352477</v>
      </c>
      <c r="W32" s="359">
        <v>117.22222221860185185191219136</v>
      </c>
      <c r="X32" s="170">
        <v>25.273790370740399758122859730</v>
      </c>
      <c r="Y32" s="360">
        <v>144.19672101391326767400101750</v>
      </c>
      <c r="Z32" s="359">
        <v>-16.724960254432919742898188960</v>
      </c>
      <c r="AA32" s="170">
        <v>0.0446411053235332343863818500</v>
      </c>
      <c r="AB32" s="360">
        <v>25.030955067003963100323776360</v>
      </c>
      <c r="AD32" s="244"/>
      <c r="AE32" s="244"/>
      <c r="AF32" s="244"/>
      <c r="AG32" s="244"/>
      <c r="AH32" s="244"/>
      <c r="AI32" s="244"/>
      <c r="AJ32" s="244"/>
      <c r="AK32" s="244"/>
      <c r="AL32" s="244"/>
      <c r="AM32" s="244"/>
      <c r="AN32" s="244"/>
      <c r="AO32" s="244"/>
      <c r="AP32" s="244"/>
      <c r="AQ32" s="244"/>
      <c r="AR32" s="244"/>
      <c r="AS32" s="244"/>
      <c r="AT32" s="244"/>
      <c r="AU32" s="244"/>
      <c r="AV32" s="244"/>
      <c r="AW32" s="244"/>
      <c r="AX32" s="244"/>
      <c r="AY32" s="244"/>
    </row>
    <row r="33" ht="15.6" customHeight="1">
      <c r="A33" s="92"/>
      <c r="B33" s="344">
        <v>15</v>
      </c>
      <c r="C33" s="345" t="s">
        <v>48</v>
      </c>
      <c r="D33" s="370">
        <v>38.05376344086021505376344086</v>
      </c>
      <c r="E33" s="172">
        <v>78.760922989423189501875909641</v>
      </c>
      <c r="F33" s="371">
        <v>111.59969104710442096460333542</v>
      </c>
      <c r="G33" s="370">
        <v>0</v>
      </c>
      <c r="H33" s="172">
        <v>10.537413046883016585386929354</v>
      </c>
      <c r="I33" s="371">
        <v>13.092829915890706164262395265</v>
      </c>
      <c r="J33" s="370">
        <v>1.6451612903225806451612903226</v>
      </c>
      <c r="K33" s="172">
        <v>6.2670322878190241153154298826</v>
      </c>
      <c r="L33" s="371">
        <v>0.2711978578665508756694167028</v>
      </c>
      <c r="M33" s="370">
        <v>39.698924731182795698924731183</v>
      </c>
      <c r="N33" s="172">
        <v>95.56536832412523020257826888</v>
      </c>
      <c r="O33" s="371">
        <v>124.96371882086167800453514739</v>
      </c>
      <c r="P33" s="4"/>
      <c r="Q33" s="327">
        <v>15.089430894421225461035207700</v>
      </c>
      <c r="R33" s="171">
        <v>24.216860423954837935789898120</v>
      </c>
      <c r="S33" s="328">
        <v>15.825345940675156488629194830</v>
      </c>
      <c r="T33" s="327">
        <v>0</v>
      </c>
      <c r="U33" s="171">
        <v>48.883817071055565892656423890</v>
      </c>
      <c r="V33" s="328">
        <v>74.720218588464172154823678150</v>
      </c>
      <c r="W33" s="327">
        <v>131.81818180342975206705447033</v>
      </c>
      <c r="X33" s="171">
        <v>0.2740129211997275019469880600</v>
      </c>
      <c r="Y33" s="328">
        <v>131.67473274408581603779664285</v>
      </c>
      <c r="Z33" s="327">
        <v>17.542184017783810690601292400</v>
      </c>
      <c r="AA33" s="171">
        <v>24.541913858884545883072148890</v>
      </c>
      <c r="AB33" s="328">
        <v>20.200927424506774604274951930</v>
      </c>
      <c r="AD33" s="244"/>
      <c r="AE33" s="244"/>
      <c r="AF33" s="244"/>
      <c r="AG33" s="244"/>
      <c r="AH33" s="244"/>
      <c r="AI33" s="244"/>
      <c r="AJ33" s="244"/>
      <c r="AK33" s="244"/>
      <c r="AL33" s="244"/>
      <c r="AM33" s="244"/>
      <c r="AN33" s="244"/>
      <c r="AO33" s="244"/>
      <c r="AP33" s="244"/>
      <c r="AQ33" s="244"/>
      <c r="AR33" s="244"/>
      <c r="AS33" s="244"/>
      <c r="AT33" s="244"/>
      <c r="AU33" s="244"/>
      <c r="AV33" s="244"/>
      <c r="AW33" s="244"/>
      <c r="AX33" s="244"/>
      <c r="AY33" s="244"/>
    </row>
    <row r="34" ht="15.6" customHeight="1">
      <c r="A34" s="92"/>
      <c r="B34" s="346">
        <v>16</v>
      </c>
      <c r="C34" s="347" t="s">
        <v>50</v>
      </c>
      <c r="D34" s="378">
        <v>40.860215053763440860215053763</v>
      </c>
      <c r="E34" s="173">
        <v>63.15457053650127694371790947</v>
      </c>
      <c r="F34" s="379">
        <v>102.87010661441424118145902143</v>
      </c>
      <c r="G34" s="378">
        <v>0</v>
      </c>
      <c r="H34" s="173">
        <v>8.708576889568999330684444377</v>
      </c>
      <c r="I34" s="379">
        <v>9.184115128848995302957564543</v>
      </c>
      <c r="J34" s="378">
        <v>1.5860215053763440860215053763</v>
      </c>
      <c r="K34" s="173">
        <v>6.2970827765079926022090642017</v>
      </c>
      <c r="L34" s="379">
        <v>0.2627850594578519509575636799</v>
      </c>
      <c r="M34" s="378">
        <v>42.44623655913978494623655914</v>
      </c>
      <c r="N34" s="173">
        <v>78.160230202578268876611418048</v>
      </c>
      <c r="O34" s="379">
        <v>112.31700680272108843537414966</v>
      </c>
      <c r="P34" s="4"/>
      <c r="Q34" s="359">
        <v>32.059079061488148031289522490</v>
      </c>
      <c r="R34" s="170">
        <v>-8.636360633213721207394545720</v>
      </c>
      <c r="S34" s="360">
        <v>13.585345579205780109168107800</v>
      </c>
      <c r="T34" s="359">
        <v>0</v>
      </c>
      <c r="U34" s="170">
        <v>206.27832346018564766708211257</v>
      </c>
      <c r="V34" s="360">
        <v>1.8818637322204584628204666400</v>
      </c>
      <c r="W34" s="359">
        <v>16.141732287671275342703054060</v>
      </c>
      <c r="X34" s="170">
        <v>-1.0036777373129147948434235200</v>
      </c>
      <c r="Y34" s="360">
        <v>15.825386158350468171104775440</v>
      </c>
      <c r="Z34" s="359">
        <v>31.386253952417845190942161880</v>
      </c>
      <c r="AA34" s="170">
        <v>-0.2150591989434997602831098700</v>
      </c>
      <c r="AB34" s="360">
        <v>12.533397553535074528701866350</v>
      </c>
      <c r="AD34" s="244"/>
      <c r="AE34" s="244"/>
      <c r="AF34" s="244"/>
      <c r="AG34" s="244"/>
      <c r="AH34" s="244"/>
      <c r="AI34" s="244"/>
      <c r="AJ34" s="244"/>
      <c r="AK34" s="244"/>
      <c r="AL34" s="244"/>
      <c r="AM34" s="244"/>
      <c r="AN34" s="244"/>
      <c r="AO34" s="244"/>
      <c r="AP34" s="244"/>
      <c r="AQ34" s="244"/>
      <c r="AR34" s="244"/>
      <c r="AS34" s="244"/>
      <c r="AT34" s="244"/>
      <c r="AU34" s="244"/>
      <c r="AV34" s="244"/>
      <c r="AW34" s="244"/>
      <c r="AX34" s="244"/>
      <c r="AY34" s="244"/>
    </row>
    <row r="35" ht="15.6" customHeight="1">
      <c r="A35" s="92"/>
      <c r="B35" s="344">
        <v>17</v>
      </c>
      <c r="C35" s="345" t="s">
        <v>51</v>
      </c>
      <c r="D35" s="370">
        <v>30.274193548387096774193548387</v>
      </c>
      <c r="E35" s="172">
        <v>51.287108846730219369947853523</v>
      </c>
      <c r="F35" s="371">
        <v>83.42018718027512156323999928</v>
      </c>
      <c r="G35" s="370">
        <v>1.4193548387096774193548387097</v>
      </c>
      <c r="H35" s="172">
        <v>16.056008881316181026309996456</v>
      </c>
      <c r="I35" s="371">
        <v>8.84233699680049167585546176</v>
      </c>
      <c r="J35" s="370">
        <v>1.0537634408602150537634408602</v>
      </c>
      <c r="K35" s="172">
        <v>6.2835028981046124950865330759</v>
      </c>
      <c r="L35" s="371">
        <v>0.1823737821080602302922940655</v>
      </c>
      <c r="M35" s="370">
        <v>32.747311827956989247311827957</v>
      </c>
      <c r="N35" s="172">
        <v>73.626620626151012891344383057</v>
      </c>
      <c r="O35" s="371">
        <v>92.4448979591836734693877551</v>
      </c>
      <c r="P35" s="4"/>
      <c r="Q35" s="327">
        <v>17.019950124848780480221114290</v>
      </c>
      <c r="R35" s="171">
        <v>-14.240920443170220344534122510</v>
      </c>
      <c r="S35" s="328">
        <v>7.0360953443395499061583960900</v>
      </c>
      <c r="T35" s="327">
        <v>0</v>
      </c>
      <c r="U35" s="171">
        <v>22.055474789509684346111976370</v>
      </c>
      <c r="V35" s="328">
        <v>31.786520961543349711463428830</v>
      </c>
      <c r="W35" s="327">
        <v>-27.137546466397092356324678380</v>
      </c>
      <c r="X35" s="171">
        <v>6.0994905197889592159443192500</v>
      </c>
      <c r="Y35" s="328">
        <v>-27.591281863327162612645336250</v>
      </c>
      <c r="Z35" s="327">
        <v>19.877976776116622969263897570</v>
      </c>
      <c r="AA35" s="171">
        <v>-6.660748222101874718680455500</v>
      </c>
      <c r="AB35" s="328">
        <v>8.889423076889048978365395250</v>
      </c>
      <c r="AD35" s="244"/>
      <c r="AE35" s="244"/>
      <c r="AF35" s="244"/>
      <c r="AG35" s="244"/>
      <c r="AH35" s="244"/>
      <c r="AI35" s="244"/>
      <c r="AJ35" s="244"/>
      <c r="AK35" s="244"/>
      <c r="AL35" s="244"/>
      <c r="AM35" s="244"/>
      <c r="AN35" s="244"/>
      <c r="AO35" s="244"/>
      <c r="AP35" s="244"/>
      <c r="AQ35" s="244"/>
      <c r="AR35" s="244"/>
      <c r="AS35" s="244"/>
      <c r="AT35" s="244"/>
      <c r="AU35" s="244"/>
      <c r="AV35" s="244"/>
      <c r="AW35" s="244"/>
      <c r="AX35" s="244"/>
      <c r="AY35" s="244"/>
    </row>
    <row r="36" ht="15.6" customHeight="1">
      <c r="A36" s="92"/>
      <c r="B36" s="346">
        <v>18</v>
      </c>
      <c r="C36" s="347" t="s">
        <v>52</v>
      </c>
      <c r="D36" s="378">
        <v>52.317204301075268817204301075</v>
      </c>
      <c r="E36" s="173">
        <v>57.027927411667564629407057668</v>
      </c>
      <c r="F36" s="379">
        <v>85.86880739244698415965846737</v>
      </c>
      <c r="G36" s="378">
        <v>1.4516129032258064516129032258</v>
      </c>
      <c r="H36" s="173">
        <v>30.367356970407792204797094901</v>
      </c>
      <c r="I36" s="379">
        <v>8.219274358548453660037936441</v>
      </c>
      <c r="J36" s="378">
        <v>2.1559139784946236559139784946</v>
      </c>
      <c r="K36" s="173">
        <v>6.2818703140572398508787203586</v>
      </c>
      <c r="L36" s="379">
        <v>0.4266574780295054909611925583</v>
      </c>
      <c r="M36" s="378">
        <v>55.924731182795698924731182796</v>
      </c>
      <c r="N36" s="173">
        <v>93.67715469613259668508287293</v>
      </c>
      <c r="O36" s="379">
        <v>94.51473922902494331065759637</v>
      </c>
      <c r="P36" s="4"/>
      <c r="Q36" s="359">
        <v>842.9263565847615828375902562</v>
      </c>
      <c r="R36" s="170">
        <v>-14.133346043100167633390430800</v>
      </c>
      <c r="S36" s="360">
        <v>26.750671612535639110536464800</v>
      </c>
      <c r="T36" s="359">
        <v>0</v>
      </c>
      <c r="U36" s="170">
        <v>68.519508041848093542103238180</v>
      </c>
      <c r="V36" s="360">
        <v>-45.007901267667725863706184420</v>
      </c>
      <c r="W36" s="359">
        <v>0</v>
      </c>
      <c r="X36" s="170">
        <v>-6.1504327087862235893020454400</v>
      </c>
      <c r="Y36" s="360">
        <v>0</v>
      </c>
      <c r="Z36" s="359">
        <v>907.9457364294204074274600601</v>
      </c>
      <c r="AA36" s="170">
        <v>2.7971555247722538450705234700</v>
      </c>
      <c r="AB36" s="360">
        <v>14.296604638667334548818023790</v>
      </c>
      <c r="AD36" s="244"/>
      <c r="AE36" s="244"/>
      <c r="AF36" s="244"/>
      <c r="AG36" s="244"/>
      <c r="AH36" s="244"/>
      <c r="AI36" s="244"/>
      <c r="AJ36" s="244"/>
      <c r="AK36" s="244"/>
      <c r="AL36" s="244"/>
      <c r="AM36" s="244"/>
      <c r="AN36" s="244"/>
      <c r="AO36" s="244"/>
      <c r="AP36" s="244"/>
      <c r="AQ36" s="244"/>
      <c r="AR36" s="244"/>
      <c r="AS36" s="244"/>
      <c r="AT36" s="244"/>
      <c r="AU36" s="244"/>
      <c r="AV36" s="244"/>
      <c r="AW36" s="244"/>
      <c r="AX36" s="244"/>
      <c r="AY36" s="244"/>
    </row>
    <row r="37" ht="15.6" customHeight="1">
      <c r="A37" s="92"/>
      <c r="B37" s="348">
        <v>19</v>
      </c>
      <c r="C37" s="349" t="s">
        <v>53</v>
      </c>
      <c r="D37" s="380">
        <v>51.629032258064516129032258065</v>
      </c>
      <c r="E37" s="383">
        <v>58.672308789519779334295087716</v>
      </c>
      <c r="F37" s="381">
        <v>87.00611674780724441332601098</v>
      </c>
      <c r="G37" s="380">
        <v>1.4569892473118279569892473118</v>
      </c>
      <c r="H37" s="383">
        <v>30.348317506801434047018404131</v>
      </c>
      <c r="I37" s="381">
        <v>7.3136926314504066281279931297</v>
      </c>
      <c r="J37" s="380">
        <v>1.0806451612903225806451612903</v>
      </c>
      <c r="K37" s="383">
        <v>4.9903681788169081656478341196</v>
      </c>
      <c r="L37" s="381">
        <v>0.1872200992003988451673110824</v>
      </c>
      <c r="M37" s="380">
        <v>54.166666666666666666666666667</v>
      </c>
      <c r="N37" s="383">
        <v>94.01099447513812154696132597</v>
      </c>
      <c r="O37" s="381">
        <v>94.50702947845804988662131519</v>
      </c>
      <c r="P37" s="4"/>
      <c r="Q37" s="329">
        <v>199.81267561707744719890271222</v>
      </c>
      <c r="R37" s="330">
        <v>-1.943162747768924727504839800</v>
      </c>
      <c r="S37" s="332">
        <v>35.193732317692597080230230220</v>
      </c>
      <c r="T37" s="329">
        <v>0</v>
      </c>
      <c r="U37" s="330">
        <v>82.61006125597147285563448470</v>
      </c>
      <c r="V37" s="332">
        <v>-44.041385169922906842837966030</v>
      </c>
      <c r="W37" s="329">
        <v>-48.195876289247263258575546500</v>
      </c>
      <c r="X37" s="330">
        <v>-24.967433206953075095943585570</v>
      </c>
      <c r="Y37" s="332">
        <v>-48.951973222665991038043737910</v>
      </c>
      <c r="Z37" s="329">
        <v>180.56251740466954539416396595</v>
      </c>
      <c r="AA37" s="330">
        <v>13.122975325749892258828853590</v>
      </c>
      <c r="AB37" s="332">
        <v>21.484953420331233844673466750</v>
      </c>
      <c r="AD37" s="244"/>
      <c r="AE37" s="244"/>
      <c r="AF37" s="244"/>
      <c r="AG37" s="244"/>
      <c r="AH37" s="244"/>
      <c r="AI37" s="244"/>
      <c r="AJ37" s="244"/>
      <c r="AK37" s="244"/>
      <c r="AL37" s="244"/>
      <c r="AM37" s="244"/>
      <c r="AN37" s="244"/>
      <c r="AO37" s="244"/>
      <c r="AP37" s="244"/>
      <c r="AQ37" s="244"/>
      <c r="AR37" s="244"/>
      <c r="AS37" s="244"/>
      <c r="AT37" s="244"/>
      <c r="AU37" s="244"/>
      <c r="AV37" s="244"/>
      <c r="AW37" s="244"/>
      <c r="AX37" s="244"/>
      <c r="AY37" s="244"/>
    </row>
    <row r="38" ht="21" customHeight="1">
      <c r="B38" s="54"/>
      <c r="C38"/>
      <c r="D38" s="169"/>
      <c r="E38" s="169"/>
      <c r="F38" s="169"/>
      <c r="G38" s="169"/>
      <c r="H38" s="169"/>
      <c r="I38" s="169"/>
      <c r="J38" s="169"/>
      <c r="K38" s="169"/>
      <c r="L38" s="169"/>
      <c r="M38" s="169"/>
      <c r="N38" s="169"/>
      <c r="O38" s="169"/>
      <c r="P38" s="4"/>
      <c r="Q38" s="4"/>
      <c r="R38" s="4"/>
      <c r="S38" s="4"/>
      <c r="T38" s="4"/>
      <c r="U38" s="4"/>
      <c r="V38" s="4"/>
      <c r="W38" s="4"/>
      <c r="X38" s="4"/>
      <c r="Y38" s="4"/>
      <c r="Z38" s="4"/>
      <c r="AA38" s="4"/>
      <c r="AB38" s="4"/>
      <c r="AD38" s="244"/>
      <c r="AE38" s="244"/>
      <c r="AF38" s="244"/>
      <c r="AG38" s="244"/>
      <c r="AH38" s="244"/>
      <c r="AI38" s="244"/>
      <c r="AJ38" s="244"/>
      <c r="AK38" s="244"/>
      <c r="AL38" s="244"/>
      <c r="AM38" s="244"/>
      <c r="AN38" s="244"/>
      <c r="AO38" s="244"/>
      <c r="AP38" s="244"/>
      <c r="AQ38" s="244"/>
      <c r="AR38" s="244"/>
      <c r="AS38" s="244"/>
      <c r="AT38" s="244"/>
      <c r="AU38" s="244"/>
      <c r="AV38" s="244"/>
      <c r="AW38" s="244"/>
      <c r="AX38" s="244"/>
      <c r="AY38" s="244"/>
    </row>
    <row r="39" ht="15.6" customHeight="1">
      <c r="A39" s="54"/>
      <c r="B39" s="53"/>
      <c r="C39" s="53" t="s">
        <v>14</v>
      </c>
      <c r="D39" s="374">
        <v>19.986559139784946236559139785</v>
      </c>
      <c r="E39" s="382">
        <v>35.572362598775416066598963637</v>
      </c>
      <c r="F39" s="375">
        <v>57.201296899855939322767589922</v>
      </c>
      <c r="G39" s="374">
        <v>1.4677419354838709677419354839</v>
      </c>
      <c r="H39" s="382">
        <v>5.4580688430752446329835068483</v>
      </c>
      <c r="I39" s="375">
        <v>6.4495123058017436710289205293</v>
      </c>
      <c r="J39" s="374">
        <v>1.010752688172043010752688172</v>
      </c>
      <c r="K39" s="382">
        <v>6.8038756483887499818171611885</v>
      </c>
      <c r="L39" s="375">
        <v>0.1766284360656730152737843339</v>
      </c>
      <c r="M39" s="374">
        <v>22.465053763440860215053763441</v>
      </c>
      <c r="N39" s="382">
        <v>47.834307090239410681399631676</v>
      </c>
      <c r="O39" s="375">
        <v>63.827437641723356009070294785</v>
      </c>
      <c r="P39" s="4"/>
      <c r="Q39" s="354">
        <v>9.081572769722597616214201090</v>
      </c>
      <c r="R39" s="355">
        <v>9.463461032027385257403224260</v>
      </c>
      <c r="S39" s="356">
        <v>6.7927960674341470067258476100</v>
      </c>
      <c r="T39" s="354">
        <v>343.90243901139797739478835189</v>
      </c>
      <c r="U39" s="355">
        <v>-40.020059865257609184771855780</v>
      </c>
      <c r="V39" s="356">
        <v>42.135125075115533052726224370</v>
      </c>
      <c r="W39" s="354">
        <v>2.7322404415372211772895646100</v>
      </c>
      <c r="X39" s="355">
        <v>19.571466876575541593553655560</v>
      </c>
      <c r="Y39" s="356">
        <v>-8.081904477874027859093880260</v>
      </c>
      <c r="Z39" s="354">
        <v>14.401095140277267265114761750</v>
      </c>
      <c r="AA39" s="355">
        <v>1.1572865251422832613808995200</v>
      </c>
      <c r="AB39" s="356">
        <v>9.494866194269578899015309700</v>
      </c>
      <c r="AD39" s="244"/>
      <c r="AE39" s="244"/>
      <c r="AF39" s="244"/>
      <c r="AG39" s="244"/>
      <c r="AH39" s="244"/>
      <c r="AI39" s="244"/>
      <c r="AJ39" s="244"/>
      <c r="AK39" s="244"/>
      <c r="AL39" s="244"/>
      <c r="AM39" s="244"/>
      <c r="AN39" s="244"/>
      <c r="AO39" s="244"/>
      <c r="AP39" s="244"/>
      <c r="AQ39" s="244"/>
      <c r="AR39" s="244"/>
      <c r="AS39" s="244"/>
      <c r="AT39" s="244"/>
      <c r="AU39" s="244"/>
      <c r="AV39" s="244"/>
      <c r="AW39" s="244"/>
      <c r="AX39" s="244"/>
      <c r="AY39" s="244"/>
    </row>
    <row r="40" ht="15.6" customHeight="1">
      <c r="A40" s="54"/>
      <c r="C40" s="53" t="s">
        <v>15</v>
      </c>
      <c r="D40" s="370">
        <v>27.286290322580645161290322581</v>
      </c>
      <c r="E40" s="172">
        <v>54.540298994553304597288198283</v>
      </c>
      <c r="F40" s="371">
        <v>85.0264706562800157382773361</v>
      </c>
      <c r="G40" s="370">
        <v>4.010752688172043010752688172</v>
      </c>
      <c r="H40" s="172">
        <v>3.4035969044391564026668389321</v>
      </c>
      <c r="I40" s="371">
        <v>9.174543376639047864278499211</v>
      </c>
      <c r="J40" s="370">
        <v>1.4395161290322580645161290323</v>
      </c>
      <c r="K40" s="172">
        <v>6.5764217805655500497687196927</v>
      </c>
      <c r="L40" s="371">
        <v>0.2545415226364919529997202407</v>
      </c>
      <c r="M40" s="370">
        <v>32.736559139784946236559139785</v>
      </c>
      <c r="N40" s="172">
        <v>64.520317679558011049723756906</v>
      </c>
      <c r="O40" s="371">
        <v>94.45555555555555555555555556</v>
      </c>
      <c r="P40" s="4"/>
      <c r="Q40" s="327">
        <v>23.223065250385346188297439050</v>
      </c>
      <c r="R40" s="171">
        <v>8.785313431872952932293744360</v>
      </c>
      <c r="S40" s="328">
        <v>11.992851017400187306975594460</v>
      </c>
      <c r="T40" s="327">
        <v>0</v>
      </c>
      <c r="U40" s="171">
        <v>-59.532195428568299872749061460</v>
      </c>
      <c r="V40" s="328">
        <v>19.611110495962063280671000310</v>
      </c>
      <c r="W40" s="327">
        <v>5.4133858305897761796906533100</v>
      </c>
      <c r="X40" s="171">
        <v>15.837637922585717527375458810</v>
      </c>
      <c r="Y40" s="328">
        <v>4.050316677881884695941157300</v>
      </c>
      <c r="Z40" s="327">
        <v>39.248756503051606298135481160</v>
      </c>
      <c r="AA40" s="171">
        <v>0.4619706508348074673079329200</v>
      </c>
      <c r="AB40" s="328">
        <v>12.666681092127082449609079020</v>
      </c>
      <c r="AD40" s="244"/>
      <c r="AE40" s="244"/>
      <c r="AF40" s="244"/>
      <c r="AG40" s="244"/>
      <c r="AH40" s="244"/>
      <c r="AI40" s="244"/>
      <c r="AJ40" s="244"/>
      <c r="AK40" s="244"/>
      <c r="AL40" s="244"/>
      <c r="AM40" s="244"/>
      <c r="AN40" s="244"/>
      <c r="AO40" s="244"/>
      <c r="AP40" s="244"/>
      <c r="AQ40" s="244"/>
      <c r="AR40" s="244"/>
      <c r="AS40" s="244"/>
      <c r="AT40" s="244"/>
      <c r="AU40" s="244"/>
      <c r="AV40" s="244"/>
      <c r="AW40" s="244"/>
      <c r="AX40" s="244"/>
      <c r="AY40" s="244"/>
    </row>
    <row r="41" ht="15.6" customHeight="1">
      <c r="A41" s="54"/>
      <c r="B41" s="22"/>
      <c r="C41" s="53" t="s">
        <v>16</v>
      </c>
      <c r="D41" s="378">
        <v>35.329301075268817204301075269</v>
      </c>
      <c r="E41" s="173">
        <v>73.73966454529079246797835599</v>
      </c>
      <c r="F41" s="379">
        <v>102.46559002028685237874342279</v>
      </c>
      <c r="G41" s="378">
        <v>4.4220430107526881720430107527</v>
      </c>
      <c r="H41" s="173">
        <v>7.484906775382518777565853637</v>
      </c>
      <c r="I41" s="379">
        <v>11.364054807405819439102118881</v>
      </c>
      <c r="J41" s="378">
        <v>1.0564516129032258064516129032</v>
      </c>
      <c r="K41" s="173">
        <v>6.1699958984795432664263244406</v>
      </c>
      <c r="L41" s="379">
        <v>0.1771578933957635563041181959</v>
      </c>
      <c r="M41" s="378">
        <v>40.807795698924731182795698925</v>
      </c>
      <c r="N41" s="173">
        <v>87.39456721915285451197053407</v>
      </c>
      <c r="O41" s="379">
        <v>114.00680272108843537414965986</v>
      </c>
      <c r="P41" s="4"/>
      <c r="Q41" s="359">
        <v>25.077325719881134494361401950</v>
      </c>
      <c r="R41" s="170">
        <v>17.077913109792192416045539140</v>
      </c>
      <c r="S41" s="360">
        <v>17.835371403859080077466003090</v>
      </c>
      <c r="T41" s="359">
        <v>0</v>
      </c>
      <c r="U41" s="170">
        <v>-26.696691698178522557020326830</v>
      </c>
      <c r="V41" s="360">
        <v>0.4709160496025047689763801100</v>
      </c>
      <c r="W41" s="359">
        <v>-1.5037594020509921418808664500</v>
      </c>
      <c r="X41" s="170">
        <v>9.955702563426327624424794040</v>
      </c>
      <c r="Y41" s="360">
        <v>-2.3377104765469856824371164800</v>
      </c>
      <c r="Z41" s="359">
        <v>39.187640397912526918032595700</v>
      </c>
      <c r="AA41" s="170">
        <v>10.898886769581514055354321050</v>
      </c>
      <c r="AB41" s="360">
        <v>15.803196524736809640025689120</v>
      </c>
      <c r="AD41" s="244"/>
      <c r="AE41" s="244"/>
      <c r="AF41" s="244"/>
      <c r="AG41" s="244"/>
      <c r="AH41" s="244"/>
      <c r="AI41" s="244"/>
      <c r="AJ41" s="244"/>
      <c r="AK41" s="244"/>
      <c r="AL41" s="244"/>
      <c r="AM41" s="244"/>
      <c r="AN41" s="244"/>
      <c r="AO41" s="244"/>
      <c r="AP41" s="244"/>
      <c r="AQ41" s="244"/>
      <c r="AR41" s="244"/>
      <c r="AS41" s="244"/>
      <c r="AT41" s="244"/>
      <c r="AU41" s="244"/>
      <c r="AV41" s="244"/>
      <c r="AW41" s="244"/>
      <c r="AX41" s="244"/>
      <c r="AY41" s="244"/>
    </row>
    <row r="42" ht="15.6" customHeight="1">
      <c r="A42" s="54"/>
      <c r="B42" s="22"/>
      <c r="C42" s="53" t="s">
        <v>17</v>
      </c>
      <c r="D42" s="370">
        <v>36.895161290322580645161290323</v>
      </c>
      <c r="E42" s="172">
        <v>68.295127866521974286255804118</v>
      </c>
      <c r="F42" s="371">
        <v>97.15565563956122126489956707</v>
      </c>
      <c r="G42" s="370">
        <v>4.5779569892473118279569892473</v>
      </c>
      <c r="H42" s="172">
        <v>11.506082952348694618713586855</v>
      </c>
      <c r="I42" s="371">
        <v>10.937031018862315650760998336</v>
      </c>
      <c r="J42" s="370">
        <v>1.3521505376344086021505376344</v>
      </c>
      <c r="K42" s="172">
        <v>6.1556791442969185720103512037</v>
      </c>
      <c r="L42" s="371">
        <v>0.2296489424834925627974844759</v>
      </c>
      <c r="M42" s="370">
        <v>42.825268817204301075268817204</v>
      </c>
      <c r="N42" s="172">
        <v>85.95688996316758747697974218</v>
      </c>
      <c r="O42" s="371">
        <v>108.32233560090702947845804989</v>
      </c>
      <c r="P42" s="4"/>
      <c r="Q42" s="327">
        <v>11.789859498963500212145280540</v>
      </c>
      <c r="R42" s="171">
        <v>15.864880670843407703557400920</v>
      </c>
      <c r="S42" s="328">
        <v>17.363257612522879123086952820</v>
      </c>
      <c r="T42" s="327">
        <v>0</v>
      </c>
      <c r="U42" s="171">
        <v>-1.1112011835827832647014862600</v>
      </c>
      <c r="V42" s="328">
        <v>-1.2254973280931395084713404900</v>
      </c>
      <c r="W42" s="327">
        <v>-21.036106750491634402825128250</v>
      </c>
      <c r="X42" s="171">
        <v>13.596112204439359236575950770</v>
      </c>
      <c r="Y42" s="328">
        <v>-22.963559959895834553688811800</v>
      </c>
      <c r="Z42" s="327">
        <v>23.3574664135872852584466900</v>
      </c>
      <c r="AA42" s="171">
        <v>13.104055612532179418589140680</v>
      </c>
      <c r="AB42" s="328">
        <v>15.049468466887531255433470430</v>
      </c>
      <c r="AD42" s="244"/>
      <c r="AE42" s="244"/>
      <c r="AF42" s="244"/>
      <c r="AG42" s="244"/>
      <c r="AH42" s="244"/>
      <c r="AI42" s="244"/>
      <c r="AJ42" s="244"/>
      <c r="AK42" s="244"/>
      <c r="AL42" s="244"/>
      <c r="AM42" s="244"/>
      <c r="AN42" s="244"/>
      <c r="AO42" s="244"/>
      <c r="AP42" s="244"/>
      <c r="AQ42" s="244"/>
      <c r="AR42" s="244"/>
      <c r="AS42" s="244"/>
      <c r="AT42" s="244"/>
      <c r="AU42" s="244"/>
      <c r="AV42" s="244"/>
      <c r="AW42" s="244"/>
      <c r="AX42" s="244"/>
      <c r="AY42" s="244"/>
    </row>
    <row r="43" ht="15.6" customHeight="1">
      <c r="A43" s="54"/>
      <c r="B43" s="22"/>
      <c r="C43" s="53" t="s">
        <v>18</v>
      </c>
      <c r="D43" s="378">
        <v>29.625</v>
      </c>
      <c r="E43" s="173">
        <v>52.087997765891308094972891409</v>
      </c>
      <c r="F43" s="379">
        <v>78.467473704584630747221217878</v>
      </c>
      <c r="G43" s="378">
        <v>1.5255376344086021505376344086</v>
      </c>
      <c r="H43" s="173">
        <v>20.254891679727326009976521855</v>
      </c>
      <c r="I43" s="379">
        <v>11.751686817801738697132494437</v>
      </c>
      <c r="J43" s="378">
        <v>0.8131720430107526881720430108</v>
      </c>
      <c r="K43" s="173">
        <v>6.1509390370684215256773649229</v>
      </c>
      <c r="L43" s="379">
        <v>0.1441047837360795352381244221</v>
      </c>
      <c r="M43" s="378">
        <v>31.963709677419354838709677419</v>
      </c>
      <c r="N43" s="173">
        <v>78.493828482687055630626778188</v>
      </c>
      <c r="O43" s="379">
        <v>90.36326530612244897959183673</v>
      </c>
      <c r="P43" s="4"/>
      <c r="Q43" s="359">
        <v>10.111405305380315326666952770</v>
      </c>
      <c r="R43" s="170">
        <v>-0.3298526975490603925724935700</v>
      </c>
      <c r="S43" s="360">
        <v>8.868569042523452142931727300</v>
      </c>
      <c r="T43" s="359">
        <v>4.415823365374684000707824800</v>
      </c>
      <c r="U43" s="170">
        <v>19.537245765730843768656954780</v>
      </c>
      <c r="V43" s="360">
        <v>19.801762191338547578415323910</v>
      </c>
      <c r="W43" s="359">
        <v>-43.245778610652647585774867460</v>
      </c>
      <c r="X43" s="170">
        <v>12.281744097449836814721433370</v>
      </c>
      <c r="Y43" s="360">
        <v>-44.882960474369544768674597970</v>
      </c>
      <c r="Z43" s="359">
        <v>7.266576454575574277495360800</v>
      </c>
      <c r="AA43" s="170">
        <v>5.1027730150930249279223628100</v>
      </c>
      <c r="AB43" s="360">
        <v>10.003050257499783232055024660</v>
      </c>
      <c r="AD43" s="244"/>
      <c r="AE43" s="244"/>
      <c r="AF43" s="244"/>
      <c r="AG43" s="244"/>
      <c r="AH43" s="244"/>
      <c r="AI43" s="244"/>
      <c r="AJ43" s="244"/>
      <c r="AK43" s="244"/>
      <c r="AL43" s="244"/>
      <c r="AM43" s="244"/>
      <c r="AN43" s="244"/>
      <c r="AO43" s="244"/>
      <c r="AP43" s="244"/>
      <c r="AQ43" s="244"/>
      <c r="AR43" s="244"/>
      <c r="AS43" s="244"/>
      <c r="AT43" s="244"/>
      <c r="AU43" s="244"/>
      <c r="AV43" s="244"/>
      <c r="AW43" s="244"/>
      <c r="AX43" s="244"/>
      <c r="AY43" s="244"/>
    </row>
    <row r="44" ht="15.6" customHeight="1">
      <c r="A44" s="54"/>
      <c r="B44" s="22"/>
      <c r="C44" s="53" t="s">
        <v>19</v>
      </c>
      <c r="D44" s="370">
        <v>50.638440860215053763440860215</v>
      </c>
      <c r="E44" s="172">
        <v>59.105827289471353837454055803</v>
      </c>
      <c r="F44" s="371">
        <v>81.33449657363673013999700637</v>
      </c>
      <c r="G44" s="370">
        <v>1.3521505376344086021505376344</v>
      </c>
      <c r="H44" s="172">
        <v>24.648889618971202171416010691</v>
      </c>
      <c r="I44" s="371">
        <v>11.830569714710260146014049641</v>
      </c>
      <c r="J44" s="370">
        <v>1.8924731182795698924731182796</v>
      </c>
      <c r="K44" s="172">
        <v>5.8958470878742027388279077238</v>
      </c>
      <c r="L44" s="371">
        <v>0.3306253216303339770274927449</v>
      </c>
      <c r="M44" s="370">
        <v>53.883064516129032258064516129</v>
      </c>
      <c r="N44" s="172">
        <v>89.65056399631675874769797422</v>
      </c>
      <c r="O44" s="371">
        <v>93.49569160997732426303854875</v>
      </c>
      <c r="P44" s="4"/>
      <c r="Q44" s="327">
        <v>45.356688143823736614027156990</v>
      </c>
      <c r="R44" s="171">
        <v>-7.6524895173896020660310352500</v>
      </c>
      <c r="S44" s="328">
        <v>4.8797717368769636367590648400</v>
      </c>
      <c r="T44" s="327">
        <v>-81.45622119824145358788638008</v>
      </c>
      <c r="U44" s="171">
        <v>18.878631289775508825074783500</v>
      </c>
      <c r="V44" s="328">
        <v>1.487358309438490196828904900</v>
      </c>
      <c r="W44" s="327">
        <v>94.20689655000975980976543109</v>
      </c>
      <c r="X44" s="171">
        <v>1.814369381494776376258055500</v>
      </c>
      <c r="Y44" s="328">
        <v>82.75308354664182130755605430</v>
      </c>
      <c r="Z44" s="327">
        <v>25.012473493925418464557954680</v>
      </c>
      <c r="AA44" s="171">
        <v>-0.9703199612365476729176947900</v>
      </c>
      <c r="AB44" s="328">
        <v>4.5949733956121226504745153100</v>
      </c>
      <c r="AD44" s="244"/>
      <c r="AE44" s="244"/>
      <c r="AF44" s="244"/>
      <c r="AG44" s="244"/>
      <c r="AH44" s="244"/>
      <c r="AI44" s="244"/>
      <c r="AJ44" s="244"/>
      <c r="AK44" s="244"/>
      <c r="AL44" s="244"/>
      <c r="AM44" s="244"/>
      <c r="AN44" s="244"/>
      <c r="AO44" s="244"/>
      <c r="AP44" s="244"/>
      <c r="AQ44" s="244"/>
      <c r="AR44" s="244"/>
      <c r="AS44" s="244"/>
      <c r="AT44" s="244"/>
      <c r="AU44" s="244"/>
      <c r="AV44" s="244"/>
      <c r="AW44" s="244"/>
      <c r="AX44" s="244"/>
      <c r="AY44" s="244"/>
    </row>
    <row r="45" ht="15.6" customHeight="1">
      <c r="A45" s="54"/>
      <c r="B45" s="22"/>
      <c r="C45" s="53" t="s">
        <v>20</v>
      </c>
      <c r="D45" s="384">
        <v>50.02688172043010752688172043</v>
      </c>
      <c r="E45" s="385">
        <v>61.131278232681716186728816699</v>
      </c>
      <c r="F45" s="386">
        <v>80.86447212638065240896489221</v>
      </c>
      <c r="G45" s="384">
        <v>1.3239247311827956989247311828</v>
      </c>
      <c r="H45" s="385">
        <v>25.255994278866625530993949134</v>
      </c>
      <c r="I45" s="386">
        <v>11.25252247111138208189321366</v>
      </c>
      <c r="J45" s="384">
        <v>0.9287634408602150537634408602</v>
      </c>
      <c r="K45" s="385">
        <v>5.3801446155234814866971236687</v>
      </c>
      <c r="L45" s="386">
        <v>0.15692830500229657490153132</v>
      </c>
      <c r="M45" s="384">
        <v>52.279569892473118279569892473</v>
      </c>
      <c r="N45" s="385">
        <v>91.7674171270718232044198895</v>
      </c>
      <c r="O45" s="386">
        <v>92.27392290249433106575963719</v>
      </c>
      <c r="P45" s="4"/>
      <c r="Q45" s="364">
        <v>26.706382978788968068809449950</v>
      </c>
      <c r="R45" s="365">
        <v>0.8941253458311173402254777500</v>
      </c>
      <c r="S45" s="366">
        <v>8.530236191305827146986107590</v>
      </c>
      <c r="T45" s="364">
        <v>-70.349187236333117186027852730</v>
      </c>
      <c r="U45" s="365">
        <v>54.947949150702348861023094690</v>
      </c>
      <c r="V45" s="366">
        <v>3.0039810412079350548408121500</v>
      </c>
      <c r="W45" s="364">
        <v>-28.615702478394918379879602230</v>
      </c>
      <c r="X45" s="365">
        <v>-7.7197335461646413242586273300</v>
      </c>
      <c r="Y45" s="366">
        <v>-31.965013099268905683150510300</v>
      </c>
      <c r="Z45" s="364">
        <v>15.538392989697055865503188690</v>
      </c>
      <c r="AA45" s="365">
        <v>10.938180905348994886526514740</v>
      </c>
      <c r="AB45" s="366">
        <v>7.7164570632457664674035514800</v>
      </c>
      <c r="AD45" s="244"/>
      <c r="AE45" s="244"/>
      <c r="AF45" s="244"/>
      <c r="AG45" s="244"/>
      <c r="AH45" s="244"/>
      <c r="AI45" s="244"/>
      <c r="AJ45" s="244"/>
      <c r="AK45" s="244"/>
      <c r="AL45" s="244"/>
      <c r="AM45" s="244"/>
      <c r="AN45" s="244"/>
      <c r="AO45" s="244"/>
      <c r="AP45" s="244"/>
      <c r="AQ45" s="244"/>
      <c r="AR45" s="244"/>
      <c r="AS45" s="244"/>
      <c r="AT45" s="244"/>
      <c r="AU45" s="244"/>
      <c r="AV45" s="244"/>
      <c r="AW45" s="244"/>
      <c r="AX45" s="244"/>
      <c r="AY45" s="244"/>
    </row>
    <row r="46" ht="20.25" customHeight="1">
      <c r="B46" s="54"/>
      <c r="C46"/>
      <c r="D46" s="169"/>
      <c r="E46" s="169"/>
      <c r="F46" s="169"/>
      <c r="G46" s="169"/>
      <c r="H46" s="169"/>
      <c r="I46" s="169"/>
      <c r="J46" s="169"/>
      <c r="K46" s="169"/>
      <c r="L46" s="169"/>
      <c r="M46" s="169"/>
      <c r="N46" s="169"/>
      <c r="O46" s="169"/>
      <c r="P46" s="4"/>
      <c r="Q46" s="4"/>
      <c r="R46" s="4"/>
      <c r="S46" s="4"/>
      <c r="T46" s="4"/>
      <c r="U46" s="4"/>
      <c r="V46" s="4"/>
      <c r="W46" s="4"/>
      <c r="X46" s="4"/>
      <c r="Y46" s="4"/>
      <c r="Z46" s="4"/>
      <c r="AA46" s="4"/>
      <c r="AB46" s="4"/>
      <c r="AD46" s="244"/>
      <c r="AE46" s="244"/>
      <c r="AF46" s="244"/>
      <c r="AG46" s="244"/>
      <c r="AH46" s="244"/>
      <c r="AI46" s="244"/>
      <c r="AJ46" s="244"/>
      <c r="AK46" s="244"/>
      <c r="AL46" s="244"/>
      <c r="AM46" s="244"/>
      <c r="AN46" s="244"/>
      <c r="AO46" s="244"/>
      <c r="AP46" s="244"/>
      <c r="AQ46" s="244"/>
      <c r="AR46" s="244"/>
      <c r="AS46" s="244"/>
      <c r="AT46" s="244"/>
      <c r="AU46" s="244"/>
      <c r="AV46" s="244"/>
      <c r="AW46" s="244"/>
      <c r="AX46" s="244"/>
      <c r="AY46" s="244"/>
    </row>
    <row r="47" ht="15.6" customHeight="1">
      <c r="A47" s="22"/>
      <c r="B47" s="22"/>
      <c r="C47" s="53" t="s">
        <v>72</v>
      </c>
      <c r="D47" s="374">
        <v>37.960061443932411674347158218</v>
      </c>
      <c r="E47" s="382">
        <v>57.061414035729891511815354274</v>
      </c>
      <c r="F47" s="375">
        <v>88.73195477519786567039481837</v>
      </c>
      <c r="G47" s="374">
        <v>0.6182795698924731182795698925</v>
      </c>
      <c r="H47" s="382">
        <v>15.68190440713331051408539664</v>
      </c>
      <c r="I47" s="375">
        <v>8.652162962709650516567215812</v>
      </c>
      <c r="J47" s="374">
        <v>1.5944700460829493087557603687</v>
      </c>
      <c r="K47" s="382">
        <v>6.4751898444296156536572601355</v>
      </c>
      <c r="L47" s="375">
        <v>0.2846221389956260223026240497</v>
      </c>
      <c r="M47" s="374">
        <v>40.172811059907834101382488479</v>
      </c>
      <c r="N47" s="382">
        <v>79.21850828729281767955801105</v>
      </c>
      <c r="O47" s="375">
        <v>97.66873987690314220926465824</v>
      </c>
      <c r="P47" s="4"/>
      <c r="Q47" s="354">
        <v>61.474124411963822447397506820</v>
      </c>
      <c r="R47" s="355">
        <v>-2.3962622155508244653904653200</v>
      </c>
      <c r="S47" s="356">
        <v>17.712670835969661755833137410</v>
      </c>
      <c r="T47" s="354">
        <v>227.23577229866151101601393868</v>
      </c>
      <c r="U47" s="355">
        <v>51.415404580917768524849599820</v>
      </c>
      <c r="V47" s="356">
        <v>3.8087989680863164093349572800</v>
      </c>
      <c r="W47" s="354">
        <v>59.447004608294930875576036870</v>
      </c>
      <c r="X47" s="355">
        <v>3.1110056155503012640198481100</v>
      </c>
      <c r="Y47" s="356">
        <v>65.681412485995397968563841840</v>
      </c>
      <c r="Z47" s="354">
        <v>62.660156735731333697874761110</v>
      </c>
      <c r="AA47" s="355">
        <v>5.485403311531345906772335400</v>
      </c>
      <c r="AB47" s="356">
        <v>16.429459603477753072331737570</v>
      </c>
      <c r="AD47" s="244"/>
      <c r="AE47" s="244"/>
      <c r="AF47" s="244"/>
      <c r="AG47" s="244"/>
      <c r="AH47" s="244"/>
      <c r="AI47" s="244"/>
      <c r="AJ47" s="244"/>
      <c r="AK47" s="244"/>
      <c r="AL47" s="244"/>
      <c r="AM47" s="244"/>
      <c r="AN47" s="244"/>
      <c r="AO47" s="244"/>
      <c r="AP47" s="244"/>
      <c r="AQ47" s="244"/>
      <c r="AR47" s="244"/>
      <c r="AS47" s="244"/>
      <c r="AT47" s="244"/>
      <c r="AU47" s="244"/>
      <c r="AV47" s="244"/>
      <c r="AW47" s="244"/>
      <c r="AX47" s="244"/>
      <c r="AY47" s="244"/>
    </row>
    <row r="48" ht="15.6" customHeight="1">
      <c r="A48" s="22"/>
      <c r="B48" s="22"/>
      <c r="C48" s="53" t="s">
        <v>61</v>
      </c>
      <c r="D48" s="370">
        <v>35.683947772657450076804915515</v>
      </c>
      <c r="E48" s="172">
        <v>57.781793899026552219611012276</v>
      </c>
      <c r="F48" s="371">
        <v>83.21649366008372028583871891</v>
      </c>
      <c r="G48" s="370">
        <v>2.6685867895545314900153609831</v>
      </c>
      <c r="H48" s="172">
        <v>14.001775864687252592045181136</v>
      </c>
      <c r="I48" s="371">
        <v>10.394274358904615364315756385</v>
      </c>
      <c r="J48" s="370">
        <v>1.2133256528417818740399385561</v>
      </c>
      <c r="K48" s="172">
        <v>6.1618433160281239458892789769</v>
      </c>
      <c r="L48" s="371">
        <v>0.2099478864214473106488936762</v>
      </c>
      <c r="M48" s="370">
        <v>39.565860215053763440860215054</v>
      </c>
      <c r="N48" s="172">
        <v>77.945413079741928757545472392</v>
      </c>
      <c r="O48" s="371">
        <v>93.82071590540978296080336897</v>
      </c>
      <c r="P48" s="4"/>
      <c r="Q48" s="327">
        <v>23.083953691656064799805329110</v>
      </c>
      <c r="R48" s="171">
        <v>6.0456745950160411939877341800</v>
      </c>
      <c r="S48" s="328">
        <v>11.303625375645265231029317200</v>
      </c>
      <c r="T48" s="327">
        <v>37.876984124686177248715547840</v>
      </c>
      <c r="U48" s="171">
        <v>5.0111264042905247922835527900</v>
      </c>
      <c r="V48" s="328">
        <v>8.625690955942422302106327990</v>
      </c>
      <c r="W48" s="327">
        <v>-3.9519683822557576036924437800</v>
      </c>
      <c r="X48" s="171">
        <v>9.205825445534800067435531730</v>
      </c>
      <c r="Y48" s="328">
        <v>-7.5304861968751401403381167300</v>
      </c>
      <c r="Z48" s="327">
        <v>22.913162258563371778818094940</v>
      </c>
      <c r="AA48" s="171">
        <v>6.1006216340815523681369980900</v>
      </c>
      <c r="AB48" s="328">
        <v>10.950022898676776372592536300</v>
      </c>
      <c r="AD48" s="244"/>
      <c r="AE48" s="244"/>
      <c r="AF48" s="244"/>
      <c r="AG48" s="244"/>
      <c r="AH48" s="244"/>
      <c r="AI48" s="244"/>
      <c r="AJ48" s="244"/>
      <c r="AK48" s="244"/>
      <c r="AL48" s="244"/>
      <c r="AM48" s="244"/>
      <c r="AN48" s="244"/>
      <c r="AO48" s="244"/>
      <c r="AP48" s="244"/>
      <c r="AQ48" s="244"/>
      <c r="AR48" s="244"/>
      <c r="AS48" s="244"/>
      <c r="AT48" s="244"/>
      <c r="AU48" s="244"/>
      <c r="AV48" s="244"/>
      <c r="AW48" s="244"/>
      <c r="AX48" s="244"/>
      <c r="AY48" s="244"/>
    </row>
    <row r="49" ht="15.6" customHeight="1">
      <c r="A49" s="54"/>
      <c r="B49" s="22"/>
      <c r="C49" s="53" t="s">
        <v>31</v>
      </c>
      <c r="D49" s="384">
        <v>35.511318619128466327108092813</v>
      </c>
      <c r="E49" s="385">
        <v>57.485838246386917856590601163</v>
      </c>
      <c r="F49" s="386">
        <v>84.6977326471786420871536875</v>
      </c>
      <c r="G49" s="384">
        <v>0.2277872099603848330503678551</v>
      </c>
      <c r="H49" s="385">
        <v>13.928327678718234530528540919</v>
      </c>
      <c r="I49" s="386">
        <v>9.596266201395530101110166464</v>
      </c>
      <c r="J49" s="384">
        <v>1.0679117147707979626485568761</v>
      </c>
      <c r="K49" s="385">
        <v>6.0099297422400060891821082795</v>
      </c>
      <c r="L49" s="386">
        <v>0.1882305344070904922469468469</v>
      </c>
      <c r="M49" s="384">
        <v>36.807017543859649122807017544</v>
      </c>
      <c r="N49" s="385">
        <v>77.424095667345158476301250363</v>
      </c>
      <c r="O49" s="386">
        <v>94.48222938298126268051080081</v>
      </c>
      <c r="P49" s="4"/>
      <c r="Q49" s="364">
        <v>15.753986920769768342898839550</v>
      </c>
      <c r="R49" s="365">
        <v>5.1658601310135014991045743300</v>
      </c>
      <c r="S49" s="366">
        <v>13.161267353248688192894456200</v>
      </c>
      <c r="T49" s="364">
        <v>-89.57388939269833493869149379</v>
      </c>
      <c r="U49" s="365">
        <v>-5.6850088728854198257910870200</v>
      </c>
      <c r="V49" s="366">
        <v>0.9831033180867500075624334900</v>
      </c>
      <c r="W49" s="364">
        <v>-6.0024906583860957275434686600</v>
      </c>
      <c r="X49" s="365">
        <v>4.2753406794567271202210534800</v>
      </c>
      <c r="Y49" s="366">
        <v>-7.6840399562044224636988714700</v>
      </c>
      <c r="Z49" s="364">
        <v>8.259537918595487523957119020</v>
      </c>
      <c r="AA49" s="365">
        <v>2.9665084963489411152045884900</v>
      </c>
      <c r="AB49" s="366">
        <v>11.742316456536107713912217380</v>
      </c>
      <c r="AD49" s="244"/>
      <c r="AE49" s="244"/>
      <c r="AF49" s="244"/>
      <c r="AG49" s="244"/>
      <c r="AH49" s="244"/>
      <c r="AI49" s="244"/>
      <c r="AJ49" s="244"/>
      <c r="AK49" s="244"/>
      <c r="AL49" s="244"/>
      <c r="AM49" s="244"/>
      <c r="AN49" s="244"/>
      <c r="AO49" s="244"/>
      <c r="AP49" s="244"/>
      <c r="AQ49" s="244"/>
      <c r="AR49" s="244"/>
      <c r="AS49" s="244"/>
      <c r="AT49" s="244"/>
      <c r="AU49" s="244"/>
      <c r="AV49" s="244"/>
      <c r="AW49" s="244"/>
      <c r="AX49" s="244"/>
      <c r="AY49" s="244"/>
    </row>
    <row r="50" ht="9.95" customHeight="1">
      <c r="AD50" s="244"/>
      <c r="AE50" s="244"/>
      <c r="AF50" s="244"/>
      <c r="AG50" s="244"/>
      <c r="AH50" s="244"/>
      <c r="AI50" s="244"/>
      <c r="AJ50" s="244"/>
      <c r="AK50" s="244"/>
      <c r="AL50" s="244"/>
      <c r="AM50" s="244"/>
      <c r="AN50" s="244"/>
      <c r="AO50" s="244"/>
      <c r="AP50" s="244"/>
      <c r="AQ50" s="244"/>
      <c r="AR50" s="244"/>
      <c r="AS50" s="244"/>
      <c r="AT50" s="244"/>
      <c r="AU50" s="244"/>
      <c r="AV50" s="244"/>
      <c r="AW50" s="244"/>
      <c r="AX50" s="244"/>
      <c r="AY50" s="244"/>
    </row>
    <row r="51" ht="9.95" customHeight="1">
      <c r="AD51" s="244"/>
      <c r="AE51" s="244"/>
      <c r="AF51" s="244"/>
      <c r="AG51" s="244"/>
      <c r="AH51" s="244"/>
      <c r="AI51" s="244"/>
      <c r="AJ51" s="244"/>
      <c r="AK51" s="244"/>
      <c r="AL51" s="244"/>
      <c r="AM51" s="244"/>
      <c r="AN51" s="244"/>
      <c r="AO51" s="244"/>
      <c r="AP51" s="244"/>
      <c r="AQ51" s="244"/>
      <c r="AR51" s="244"/>
      <c r="AS51" s="244"/>
      <c r="AT51" s="244"/>
      <c r="AU51" s="244"/>
      <c r="AV51" s="244"/>
      <c r="AW51" s="244"/>
      <c r="AX51" s="244"/>
      <c r="AY51" s="244"/>
    </row>
    <row r="52" ht="24.95" customHeight="1">
      <c r="D52" s="655" t="s">
        <v>114</v>
      </c>
      <c r="E52" s="655"/>
      <c r="F52" s="655"/>
      <c r="G52" s="655"/>
      <c r="H52" s="655"/>
      <c r="I52" s="655"/>
      <c r="J52" s="655"/>
      <c r="K52" s="655"/>
      <c r="L52" s="655"/>
      <c r="M52" s="655"/>
      <c r="N52" s="655"/>
      <c r="O52" s="655"/>
      <c r="P52" s="655"/>
      <c r="Q52" s="655"/>
      <c r="R52" s="655"/>
      <c r="S52" s="655"/>
      <c r="T52" s="655"/>
      <c r="U52" s="655"/>
      <c r="V52" s="655"/>
      <c r="W52" s="655"/>
      <c r="X52" s="655"/>
      <c r="Y52" s="655"/>
      <c r="Z52" s="655"/>
      <c r="AA52" s="655"/>
      <c r="AB52" s="655"/>
      <c r="AD52" s="244"/>
      <c r="AE52" s="244"/>
      <c r="AF52" s="244"/>
      <c r="AG52" s="244"/>
      <c r="AH52" s="244"/>
      <c r="AI52" s="244"/>
      <c r="AJ52" s="244"/>
      <c r="AK52" s="244"/>
      <c r="AL52" s="244"/>
      <c r="AM52" s="244"/>
      <c r="AN52" s="244"/>
      <c r="AO52" s="244"/>
      <c r="AP52" s="244"/>
      <c r="AQ52" s="244"/>
      <c r="AR52" s="244"/>
      <c r="AS52" s="244"/>
      <c r="AT52" s="244"/>
      <c r="AU52" s="244"/>
      <c r="AV52" s="244"/>
      <c r="AW52" s="244"/>
      <c r="AX52" s="244"/>
      <c r="AY52" s="244"/>
    </row>
    <row r="53" ht="9.95" customHeight="1">
      <c r="A53" s="53"/>
      <c r="C53"/>
      <c r="Z53" s="80"/>
      <c r="AA53" s="242"/>
      <c r="AD53" s="244"/>
      <c r="AE53" s="244"/>
      <c r="AF53" s="244"/>
      <c r="AG53" s="244"/>
      <c r="AH53" s="244"/>
      <c r="AI53" s="244"/>
      <c r="AJ53" s="244"/>
      <c r="AK53" s="244"/>
      <c r="AL53" s="244"/>
      <c r="AM53" s="244"/>
      <c r="AN53" s="244"/>
      <c r="AO53" s="244"/>
      <c r="AP53" s="244"/>
      <c r="AQ53" s="244"/>
      <c r="AR53" s="244"/>
      <c r="AS53" s="244"/>
      <c r="AT53" s="244"/>
      <c r="AU53" s="244"/>
      <c r="AV53" s="244"/>
      <c r="AW53" s="244"/>
      <c r="AX53" s="244"/>
      <c r="AY53" s="244"/>
    </row>
    <row r="54" ht="9.95" customHeight="1">
      <c r="AD54" s="244"/>
      <c r="AE54" s="244"/>
      <c r="AF54" s="244"/>
      <c r="AG54" s="244"/>
      <c r="AH54" s="244"/>
      <c r="AI54" s="244"/>
      <c r="AJ54" s="244"/>
      <c r="AK54" s="244"/>
      <c r="AL54" s="244"/>
      <c r="AM54" s="244"/>
      <c r="AN54" s="244"/>
      <c r="AO54" s="244"/>
      <c r="AP54" s="244"/>
      <c r="AQ54" s="244"/>
      <c r="AR54" s="244"/>
      <c r="AS54" s="244"/>
      <c r="AT54" s="244"/>
      <c r="AU54" s="244"/>
      <c r="AV54" s="244"/>
      <c r="AW54" s="244"/>
      <c r="AX54" s="244"/>
      <c r="AY54" s="244"/>
    </row>
    <row r="55">
      <c r="A55" s="244"/>
      <c r="B55" s="244"/>
      <c r="C55" s="265"/>
      <c r="D55" s="244"/>
      <c r="E55" s="244"/>
      <c r="F55" s="244"/>
      <c r="G55" s="244"/>
      <c r="H55" s="244"/>
      <c r="I55" s="244"/>
      <c r="J55" s="244"/>
      <c r="K55" s="244"/>
      <c r="L55" s="244"/>
      <c r="M55" s="244"/>
      <c r="N55" s="244"/>
      <c r="O55" s="244"/>
      <c r="P55" s="244"/>
      <c r="Q55" s="244"/>
      <c r="R55" s="244"/>
      <c r="S55" s="244"/>
      <c r="T55" s="244"/>
      <c r="U55" s="244"/>
      <c r="V55" s="244"/>
      <c r="W55" s="244"/>
      <c r="X55" s="244"/>
      <c r="Y55" s="244"/>
      <c r="Z55" s="244"/>
      <c r="AA55" s="244"/>
      <c r="AB55" s="244"/>
      <c r="AC55" s="244"/>
      <c r="AD55" s="244"/>
      <c r="AE55" s="244"/>
      <c r="AF55" s="244"/>
      <c r="AG55" s="244"/>
      <c r="AH55" s="244"/>
      <c r="AI55" s="244"/>
      <c r="AJ55" s="244"/>
      <c r="AK55" s="244"/>
      <c r="AL55" s="244"/>
      <c r="AM55" s="244"/>
      <c r="AN55" s="244"/>
      <c r="AO55" s="244"/>
      <c r="AP55" s="244"/>
      <c r="AQ55" s="244"/>
      <c r="AR55" s="244"/>
      <c r="AS55" s="244"/>
      <c r="AT55" s="244"/>
      <c r="AU55" s="244"/>
      <c r="AV55" s="244"/>
      <c r="AW55" s="244"/>
      <c r="AX55" s="244"/>
      <c r="AY55" s="244"/>
    </row>
    <row r="56">
      <c r="A56" s="244"/>
      <c r="B56" s="244"/>
      <c r="C56" s="265"/>
      <c r="D56" s="244"/>
      <c r="E56" s="244"/>
      <c r="F56" s="244"/>
      <c r="G56" s="244"/>
      <c r="H56" s="244"/>
      <c r="I56" s="244"/>
      <c r="J56" s="244"/>
      <c r="K56" s="244"/>
      <c r="L56" s="244"/>
      <c r="M56" s="244"/>
      <c r="N56" s="244"/>
      <c r="O56" s="244"/>
      <c r="P56" s="244"/>
      <c r="Q56" s="244"/>
      <c r="R56" s="244"/>
      <c r="S56" s="244"/>
      <c r="T56" s="244"/>
      <c r="U56" s="244"/>
      <c r="V56" s="244"/>
      <c r="W56" s="244"/>
      <c r="X56" s="244"/>
      <c r="Y56" s="244"/>
      <c r="Z56" s="244"/>
      <c r="AA56" s="244"/>
      <c r="AB56" s="244"/>
      <c r="AC56" s="244"/>
      <c r="AD56" s="244"/>
      <c r="AE56" s="244"/>
      <c r="AF56" s="244"/>
      <c r="AG56" s="244"/>
      <c r="AH56" s="244"/>
      <c r="AI56" s="244"/>
      <c r="AJ56" s="244"/>
      <c r="AK56" s="244"/>
      <c r="AL56" s="244"/>
      <c r="AM56" s="244"/>
      <c r="AN56" s="244"/>
      <c r="AO56" s="244"/>
      <c r="AP56" s="244"/>
      <c r="AQ56" s="244"/>
      <c r="AR56" s="244"/>
      <c r="AS56" s="244"/>
      <c r="AT56" s="244"/>
      <c r="AU56" s="244"/>
      <c r="AV56" s="244"/>
      <c r="AW56" s="244"/>
      <c r="AX56" s="244"/>
      <c r="AY56" s="244"/>
    </row>
    <row r="57">
      <c r="A57" s="244"/>
      <c r="B57" s="244"/>
      <c r="C57" s="265"/>
      <c r="D57" s="244"/>
      <c r="E57" s="244"/>
      <c r="F57" s="244"/>
      <c r="G57" s="244"/>
      <c r="H57" s="244"/>
      <c r="I57" s="244"/>
      <c r="J57" s="244"/>
      <c r="K57" s="244"/>
      <c r="L57" s="244"/>
      <c r="M57" s="244"/>
      <c r="N57" s="244"/>
      <c r="O57" s="244"/>
      <c r="P57" s="244"/>
      <c r="Q57" s="244"/>
      <c r="R57" s="244"/>
      <c r="S57" s="244"/>
      <c r="T57" s="244"/>
      <c r="U57" s="244"/>
      <c r="V57" s="244"/>
      <c r="W57" s="244"/>
      <c r="X57" s="244"/>
      <c r="Y57" s="244"/>
      <c r="Z57" s="244"/>
      <c r="AA57" s="244"/>
      <c r="AB57" s="244"/>
      <c r="AC57" s="244"/>
      <c r="AD57" s="244"/>
      <c r="AE57" s="244"/>
      <c r="AF57" s="244"/>
      <c r="AG57" s="244"/>
      <c r="AH57" s="244"/>
      <c r="AI57" s="244"/>
      <c r="AJ57" s="244"/>
      <c r="AK57" s="244"/>
      <c r="AL57" s="244"/>
      <c r="AM57" s="244"/>
      <c r="AN57" s="244"/>
      <c r="AO57" s="244"/>
      <c r="AP57" s="244"/>
      <c r="AQ57" s="244"/>
      <c r="AR57" s="244"/>
      <c r="AS57" s="244"/>
      <c r="AT57" s="244"/>
      <c r="AU57" s="244"/>
      <c r="AV57" s="244"/>
      <c r="AW57" s="244"/>
      <c r="AX57" s="244"/>
      <c r="AY57" s="244"/>
    </row>
    <row r="58">
      <c r="A58" s="244"/>
      <c r="B58" s="244"/>
      <c r="C58" s="265"/>
      <c r="D58" s="244"/>
      <c r="E58" s="244"/>
      <c r="F58" s="244"/>
      <c r="G58" s="244"/>
      <c r="H58" s="244"/>
      <c r="I58" s="244"/>
      <c r="J58" s="244"/>
      <c r="K58" s="244"/>
      <c r="L58" s="244"/>
      <c r="M58" s="244"/>
      <c r="N58" s="244"/>
      <c r="O58" s="244"/>
      <c r="P58" s="244"/>
      <c r="Q58" s="244"/>
      <c r="R58" s="244"/>
      <c r="S58" s="244"/>
      <c r="T58" s="244"/>
      <c r="U58" s="244"/>
      <c r="V58" s="244"/>
      <c r="W58" s="244"/>
      <c r="X58" s="244"/>
      <c r="Y58" s="244"/>
      <c r="Z58" s="244"/>
      <c r="AA58" s="244"/>
      <c r="AB58" s="244"/>
      <c r="AC58" s="244"/>
      <c r="AD58" s="244"/>
      <c r="AE58" s="244"/>
      <c r="AF58" s="244"/>
      <c r="AG58" s="244"/>
      <c r="AH58" s="244"/>
      <c r="AI58" s="244"/>
      <c r="AJ58" s="244"/>
      <c r="AK58" s="244"/>
      <c r="AL58" s="244"/>
      <c r="AM58" s="244"/>
      <c r="AN58" s="244"/>
      <c r="AO58" s="244"/>
      <c r="AP58" s="244"/>
      <c r="AQ58" s="244"/>
      <c r="AR58" s="244"/>
      <c r="AS58" s="244"/>
      <c r="AT58" s="244"/>
      <c r="AU58" s="244"/>
      <c r="AV58" s="244"/>
      <c r="AW58" s="244"/>
      <c r="AX58" s="244"/>
      <c r="AY58" s="244"/>
    </row>
    <row r="59">
      <c r="A59" s="244"/>
      <c r="B59" s="244"/>
      <c r="C59" s="265"/>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4"/>
      <c r="AC59" s="244"/>
      <c r="AD59" s="244"/>
      <c r="AE59" s="244"/>
      <c r="AF59" s="244"/>
      <c r="AG59" s="244"/>
      <c r="AH59" s="244"/>
      <c r="AI59" s="244"/>
      <c r="AJ59" s="244"/>
      <c r="AK59" s="244"/>
      <c r="AL59" s="244"/>
      <c r="AM59" s="244"/>
      <c r="AN59" s="244"/>
      <c r="AO59" s="244"/>
      <c r="AP59" s="244"/>
      <c r="AQ59" s="244"/>
      <c r="AR59" s="244"/>
      <c r="AS59" s="244"/>
      <c r="AT59" s="244"/>
      <c r="AU59" s="244"/>
      <c r="AV59" s="244"/>
      <c r="AW59" s="244"/>
      <c r="AX59" s="244"/>
      <c r="AY59" s="244"/>
    </row>
    <row r="60">
      <c r="A60" s="244"/>
      <c r="B60" s="244"/>
      <c r="C60" s="265"/>
      <c r="D60" s="244"/>
      <c r="E60" s="244"/>
      <c r="F60" s="244"/>
      <c r="G60" s="244"/>
      <c r="H60" s="244"/>
      <c r="I60" s="244"/>
      <c r="J60" s="244"/>
      <c r="K60" s="244"/>
      <c r="L60" s="244"/>
      <c r="M60" s="244"/>
      <c r="N60" s="244"/>
      <c r="O60" s="244"/>
      <c r="P60" s="244"/>
      <c r="Q60" s="244"/>
      <c r="R60" s="244"/>
      <c r="S60" s="244"/>
      <c r="T60" s="244"/>
      <c r="U60" s="244"/>
      <c r="V60" s="244"/>
      <c r="W60" s="244"/>
      <c r="X60" s="244"/>
      <c r="Y60" s="244"/>
      <c r="Z60" s="244"/>
      <c r="AA60" s="244"/>
      <c r="AB60" s="244"/>
      <c r="AC60" s="244"/>
      <c r="AD60" s="244"/>
      <c r="AE60" s="244"/>
      <c r="AF60" s="244"/>
      <c r="AG60" s="244"/>
      <c r="AH60" s="244"/>
      <c r="AI60" s="244"/>
      <c r="AJ60" s="244"/>
      <c r="AK60" s="244"/>
      <c r="AL60" s="244"/>
      <c r="AM60" s="244"/>
      <c r="AN60" s="244"/>
      <c r="AO60" s="244"/>
      <c r="AP60" s="244"/>
      <c r="AQ60" s="244"/>
      <c r="AR60" s="244"/>
      <c r="AS60" s="244"/>
      <c r="AT60" s="244"/>
      <c r="AU60" s="244"/>
      <c r="AV60" s="244"/>
      <c r="AW60" s="244"/>
      <c r="AX60" s="244"/>
      <c r="AY60" s="244"/>
    </row>
    <row r="61">
      <c r="A61" s="244"/>
      <c r="B61" s="244"/>
      <c r="C61" s="265"/>
      <c r="D61" s="244"/>
      <c r="E61" s="244"/>
      <c r="F61" s="244"/>
      <c r="G61" s="244"/>
      <c r="H61" s="244"/>
      <c r="I61" s="244"/>
      <c r="J61" s="244"/>
      <c r="K61" s="244"/>
      <c r="L61" s="244"/>
      <c r="M61" s="244"/>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244"/>
      <c r="AW61" s="244"/>
      <c r="AX61" s="244"/>
      <c r="AY61" s="244"/>
    </row>
    <row r="62">
      <c r="A62" s="244"/>
      <c r="B62" s="244"/>
      <c r="C62" s="265"/>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row>
    <row r="63">
      <c r="A63" s="244"/>
      <c r="B63" s="244"/>
      <c r="C63" s="265"/>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row>
    <row r="64">
      <c r="A64" s="244"/>
      <c r="B64" s="244"/>
      <c r="C64" s="265"/>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row>
    <row r="65">
      <c r="A65" s="244"/>
      <c r="B65" s="244"/>
      <c r="C65" s="265"/>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row>
    <row r="66">
      <c r="A66" s="244"/>
      <c r="B66" s="244"/>
      <c r="C66" s="265"/>
      <c r="D66" s="244"/>
      <c r="E66" s="244"/>
      <c r="F66" s="244"/>
      <c r="G66" s="244"/>
      <c r="H66" s="244"/>
      <c r="I66" s="244"/>
      <c r="J66" s="244"/>
      <c r="K66" s="244"/>
      <c r="L66" s="244"/>
      <c r="M66" s="244"/>
      <c r="N66" s="244"/>
      <c r="O66" s="244"/>
      <c r="P66" s="244"/>
      <c r="Q66" s="244"/>
      <c r="R66" s="244"/>
      <c r="S66" s="244"/>
      <c r="T66" s="244"/>
      <c r="U66" s="244"/>
      <c r="V66" s="244"/>
      <c r="W66" s="244"/>
      <c r="X66" s="244"/>
      <c r="Y66" s="244"/>
      <c r="Z66" s="244"/>
      <c r="AA66" s="244"/>
      <c r="AB66" s="244"/>
      <c r="AC66" s="244"/>
      <c r="AD66" s="244"/>
      <c r="AE66" s="244"/>
      <c r="AF66" s="244"/>
      <c r="AG66" s="244"/>
      <c r="AH66" s="244"/>
      <c r="AI66" s="244"/>
      <c r="AJ66" s="244"/>
      <c r="AK66" s="244"/>
      <c r="AL66" s="244"/>
      <c r="AM66" s="244"/>
      <c r="AN66" s="244"/>
      <c r="AO66" s="244"/>
      <c r="AP66" s="244"/>
      <c r="AQ66" s="244"/>
      <c r="AR66" s="244"/>
      <c r="AS66" s="244"/>
      <c r="AT66" s="244"/>
      <c r="AU66" s="244"/>
      <c r="AV66" s="244"/>
      <c r="AW66" s="244"/>
      <c r="AX66" s="244"/>
      <c r="AY66" s="244"/>
    </row>
    <row r="67">
      <c r="A67" s="244"/>
      <c r="B67" s="244"/>
      <c r="C67" s="265"/>
      <c r="D67" s="244"/>
      <c r="E67" s="244"/>
      <c r="F67" s="244"/>
      <c r="G67" s="244"/>
      <c r="H67" s="244"/>
      <c r="I67" s="244"/>
      <c r="J67" s="244"/>
      <c r="K67" s="244"/>
      <c r="L67" s="244"/>
      <c r="M67" s="244"/>
      <c r="N67" s="244"/>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244"/>
      <c r="AS67" s="244"/>
      <c r="AT67" s="244"/>
      <c r="AU67" s="244"/>
      <c r="AV67" s="244"/>
      <c r="AW67" s="244"/>
      <c r="AX67" s="244"/>
      <c r="AY67" s="244"/>
    </row>
    <row r="68">
      <c r="A68" s="244"/>
      <c r="B68" s="244"/>
      <c r="C68" s="265"/>
      <c r="D68" s="244"/>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44"/>
      <c r="AQ68" s="244"/>
      <c r="AR68" s="244"/>
      <c r="AS68" s="244"/>
      <c r="AT68" s="244"/>
      <c r="AU68" s="244"/>
      <c r="AV68" s="244"/>
      <c r="AW68" s="244"/>
      <c r="AX68" s="244"/>
      <c r="AY68" s="244"/>
    </row>
    <row r="69">
      <c r="A69" s="244"/>
      <c r="B69" s="244"/>
      <c r="C69" s="265"/>
      <c r="D69" s="244"/>
      <c r="E69" s="244"/>
      <c r="F69" s="244"/>
      <c r="G69" s="244"/>
      <c r="H69" s="244"/>
      <c r="I69" s="244"/>
      <c r="J69" s="244"/>
      <c r="K69" s="244"/>
      <c r="L69" s="244"/>
      <c r="M69" s="244"/>
      <c r="N69" s="244"/>
      <c r="O69" s="244"/>
      <c r="P69" s="244"/>
      <c r="Q69" s="244"/>
      <c r="R69" s="244"/>
      <c r="S69" s="244"/>
      <c r="T69" s="244"/>
      <c r="U69" s="244"/>
      <c r="V69" s="244"/>
      <c r="W69" s="244"/>
      <c r="X69" s="244"/>
      <c r="Y69" s="244"/>
      <c r="Z69" s="244"/>
      <c r="AA69" s="244"/>
      <c r="AB69" s="244"/>
      <c r="AC69" s="244"/>
      <c r="AD69" s="244"/>
      <c r="AE69" s="244"/>
      <c r="AF69" s="244"/>
      <c r="AG69" s="244"/>
      <c r="AH69" s="244"/>
      <c r="AI69" s="244"/>
      <c r="AJ69" s="244"/>
      <c r="AK69" s="244"/>
      <c r="AL69" s="244"/>
      <c r="AM69" s="244"/>
      <c r="AN69" s="244"/>
      <c r="AO69" s="244"/>
      <c r="AP69" s="244"/>
      <c r="AQ69" s="244"/>
      <c r="AR69" s="244"/>
      <c r="AS69" s="244"/>
      <c r="AT69" s="244"/>
      <c r="AU69" s="244"/>
      <c r="AV69" s="244"/>
      <c r="AW69" s="244"/>
      <c r="AX69" s="244"/>
      <c r="AY69" s="244"/>
    </row>
    <row r="70">
      <c r="A70" s="244"/>
      <c r="B70" s="244"/>
      <c r="C70" s="265"/>
      <c r="D70" s="244"/>
      <c r="E70" s="244"/>
      <c r="F70" s="244"/>
      <c r="G70" s="244"/>
      <c r="H70" s="244"/>
      <c r="I70" s="244"/>
      <c r="J70" s="244"/>
      <c r="K70" s="244"/>
      <c r="L70" s="244"/>
      <c r="M70" s="244"/>
      <c r="N70" s="244"/>
      <c r="O70" s="244"/>
      <c r="P70" s="244"/>
      <c r="Q70" s="244"/>
      <c r="R70" s="244"/>
      <c r="S70" s="244"/>
      <c r="T70" s="244"/>
      <c r="U70" s="244"/>
      <c r="V70" s="244"/>
      <c r="W70" s="244"/>
      <c r="X70" s="244"/>
      <c r="Y70" s="244"/>
      <c r="Z70" s="244"/>
      <c r="AA70" s="244"/>
      <c r="AB70" s="244"/>
      <c r="AC70" s="244"/>
      <c r="AD70" s="244"/>
      <c r="AE70" s="244"/>
      <c r="AF70" s="244"/>
      <c r="AG70" s="244"/>
      <c r="AH70" s="244"/>
      <c r="AI70" s="244"/>
      <c r="AJ70" s="244"/>
      <c r="AK70" s="244"/>
      <c r="AL70" s="244"/>
      <c r="AM70" s="244"/>
      <c r="AN70" s="244"/>
      <c r="AO70" s="244"/>
      <c r="AP70" s="244"/>
      <c r="AQ70" s="244"/>
      <c r="AR70" s="244"/>
      <c r="AS70" s="244"/>
      <c r="AT70" s="244"/>
      <c r="AU70" s="244"/>
      <c r="AV70" s="244"/>
      <c r="AW70" s="244"/>
      <c r="AX70" s="244"/>
      <c r="AY70" s="244"/>
    </row>
    <row r="71">
      <c r="A71" s="244"/>
      <c r="B71" s="244"/>
      <c r="C71" s="265"/>
      <c r="D71" s="244"/>
      <c r="E71" s="244"/>
      <c r="F71" s="244"/>
      <c r="G71" s="244"/>
      <c r="H71" s="244"/>
      <c r="I71" s="244"/>
      <c r="J71" s="244"/>
      <c r="K71" s="244"/>
      <c r="L71" s="244"/>
      <c r="M71" s="244"/>
      <c r="N71" s="244"/>
      <c r="O71" s="244"/>
      <c r="P71" s="244"/>
      <c r="Q71" s="244"/>
      <c r="R71" s="244"/>
      <c r="S71" s="244"/>
      <c r="T71" s="244"/>
      <c r="U71" s="244"/>
      <c r="V71" s="244"/>
      <c r="W71" s="244"/>
      <c r="X71" s="244"/>
      <c r="Y71" s="244"/>
      <c r="Z71" s="244"/>
      <c r="AA71" s="244"/>
      <c r="AB71" s="244"/>
      <c r="AC71" s="244"/>
      <c r="AD71" s="244"/>
      <c r="AE71" s="244"/>
      <c r="AF71" s="244"/>
      <c r="AG71" s="244"/>
      <c r="AH71" s="244"/>
      <c r="AI71" s="244"/>
      <c r="AJ71" s="244"/>
      <c r="AK71" s="244"/>
      <c r="AL71" s="244"/>
      <c r="AM71" s="244"/>
      <c r="AN71" s="244"/>
      <c r="AO71" s="244"/>
      <c r="AP71" s="244"/>
      <c r="AQ71" s="244"/>
      <c r="AR71" s="244"/>
      <c r="AS71" s="244"/>
      <c r="AT71" s="244"/>
      <c r="AU71" s="244"/>
      <c r="AV71" s="244"/>
      <c r="AW71" s="244"/>
      <c r="AX71" s="244"/>
      <c r="AY71" s="244"/>
    </row>
    <row r="72">
      <c r="A72" s="244"/>
      <c r="B72" s="244"/>
      <c r="C72" s="265"/>
      <c r="D72" s="244"/>
      <c r="E72" s="244"/>
      <c r="F72" s="244"/>
      <c r="G72" s="244"/>
      <c r="H72" s="244"/>
      <c r="I72" s="244"/>
      <c r="J72" s="244"/>
      <c r="K72" s="244"/>
      <c r="L72" s="244"/>
      <c r="M72" s="244"/>
      <c r="N72" s="244"/>
      <c r="O72" s="244"/>
      <c r="P72" s="244"/>
      <c r="Q72" s="244"/>
      <c r="R72" s="244"/>
      <c r="S72" s="244"/>
      <c r="T72" s="244"/>
      <c r="U72" s="244"/>
      <c r="V72" s="244"/>
      <c r="W72" s="244"/>
      <c r="X72" s="244"/>
      <c r="Y72" s="244"/>
      <c r="Z72" s="244"/>
      <c r="AA72" s="244"/>
      <c r="AB72" s="244"/>
      <c r="AC72" s="244"/>
      <c r="AD72" s="244"/>
      <c r="AE72" s="244"/>
      <c r="AF72" s="244"/>
      <c r="AG72" s="244"/>
      <c r="AH72" s="244"/>
      <c r="AI72" s="244"/>
      <c r="AJ72" s="244"/>
      <c r="AK72" s="244"/>
      <c r="AL72" s="244"/>
      <c r="AM72" s="244"/>
      <c r="AN72" s="244"/>
      <c r="AO72" s="244"/>
      <c r="AP72" s="244"/>
      <c r="AQ72" s="244"/>
      <c r="AR72" s="244"/>
      <c r="AS72" s="244"/>
      <c r="AT72" s="244"/>
      <c r="AU72" s="244"/>
      <c r="AV72" s="244"/>
      <c r="AW72" s="244"/>
      <c r="AX72" s="244"/>
      <c r="AY72" s="244"/>
    </row>
    <row r="73">
      <c r="A73" s="244"/>
      <c r="B73" s="244"/>
      <c r="C73" s="265"/>
      <c r="D73" s="244"/>
      <c r="E73" s="244"/>
      <c r="F73" s="244"/>
      <c r="G73" s="244"/>
      <c r="H73" s="244"/>
      <c r="I73" s="244"/>
      <c r="J73" s="244"/>
      <c r="K73" s="244"/>
      <c r="L73" s="244"/>
      <c r="M73" s="244"/>
      <c r="N73" s="244"/>
      <c r="O73" s="244"/>
      <c r="P73" s="244"/>
      <c r="Q73" s="244"/>
      <c r="R73" s="244"/>
      <c r="S73" s="244"/>
      <c r="T73" s="244"/>
      <c r="U73" s="244"/>
      <c r="V73" s="244"/>
      <c r="W73" s="244"/>
      <c r="X73" s="244"/>
      <c r="Y73" s="244"/>
      <c r="Z73" s="244"/>
      <c r="AA73" s="244"/>
      <c r="AB73" s="244"/>
      <c r="AC73" s="244"/>
      <c r="AD73" s="244"/>
      <c r="AE73" s="244"/>
      <c r="AF73" s="244"/>
      <c r="AG73" s="244"/>
      <c r="AH73" s="244"/>
      <c r="AI73" s="244"/>
      <c r="AJ73" s="244"/>
      <c r="AK73" s="244"/>
      <c r="AL73" s="244"/>
      <c r="AM73" s="244"/>
      <c r="AN73" s="244"/>
      <c r="AO73" s="244"/>
      <c r="AP73" s="244"/>
      <c r="AQ73" s="244"/>
      <c r="AR73" s="244"/>
      <c r="AS73" s="244"/>
      <c r="AT73" s="244"/>
      <c r="AU73" s="244"/>
      <c r="AV73" s="244"/>
      <c r="AW73" s="244"/>
      <c r="AX73" s="244"/>
      <c r="AY73" s="244"/>
    </row>
    <row r="74">
      <c r="A74" s="244"/>
      <c r="B74" s="244"/>
      <c r="C74" s="265"/>
      <c r="D74" s="244"/>
      <c r="E74" s="244"/>
      <c r="F74" s="244"/>
      <c r="G74" s="244"/>
      <c r="H74" s="244"/>
      <c r="I74" s="244"/>
      <c r="J74" s="244"/>
      <c r="K74" s="244"/>
      <c r="L74" s="244"/>
      <c r="M74" s="244"/>
      <c r="N74" s="244"/>
      <c r="O74" s="244"/>
      <c r="P74" s="244"/>
      <c r="Q74" s="244"/>
      <c r="R74" s="244"/>
      <c r="S74" s="244"/>
      <c r="T74" s="244"/>
      <c r="U74" s="244"/>
      <c r="V74" s="244"/>
      <c r="W74" s="244"/>
      <c r="X74" s="244"/>
      <c r="Y74" s="244"/>
      <c r="Z74" s="244"/>
      <c r="AA74" s="244"/>
      <c r="AB74" s="244"/>
      <c r="AC74" s="244"/>
      <c r="AD74" s="244"/>
      <c r="AE74" s="244"/>
      <c r="AF74" s="244"/>
      <c r="AG74" s="244"/>
      <c r="AH74" s="244"/>
      <c r="AI74" s="244"/>
      <c r="AJ74" s="244"/>
      <c r="AK74" s="244"/>
      <c r="AL74" s="244"/>
      <c r="AM74" s="244"/>
      <c r="AN74" s="244"/>
      <c r="AO74" s="244"/>
      <c r="AP74" s="244"/>
      <c r="AQ74" s="244"/>
      <c r="AR74" s="244"/>
      <c r="AS74" s="244"/>
      <c r="AT74" s="244"/>
      <c r="AU74" s="244"/>
      <c r="AV74" s="244"/>
      <c r="AW74" s="244"/>
      <c r="AX74" s="244"/>
      <c r="AY74" s="244"/>
    </row>
    <row r="75">
      <c r="A75" s="244"/>
      <c r="B75" s="244"/>
      <c r="C75" s="265"/>
      <c r="D75" s="244"/>
      <c r="E75" s="244"/>
      <c r="F75" s="244"/>
      <c r="G75" s="244"/>
      <c r="H75" s="244"/>
      <c r="I75" s="244"/>
      <c r="J75" s="244"/>
      <c r="K75" s="244"/>
      <c r="L75" s="244"/>
      <c r="M75" s="244"/>
      <c r="N75" s="244"/>
      <c r="O75" s="244"/>
      <c r="P75" s="244"/>
      <c r="Q75" s="244"/>
      <c r="R75" s="244"/>
      <c r="S75" s="244"/>
      <c r="T75" s="244"/>
      <c r="U75" s="244"/>
      <c r="V75" s="244"/>
      <c r="W75" s="244"/>
      <c r="X75" s="244"/>
      <c r="Y75" s="244"/>
      <c r="Z75" s="244"/>
      <c r="AA75" s="244"/>
      <c r="AB75" s="244"/>
      <c r="AC75" s="244"/>
      <c r="AD75" s="244"/>
      <c r="AE75" s="244"/>
      <c r="AF75" s="244"/>
      <c r="AG75" s="244"/>
      <c r="AH75" s="244"/>
      <c r="AI75" s="244"/>
      <c r="AJ75" s="244"/>
      <c r="AK75" s="244"/>
      <c r="AL75" s="244"/>
      <c r="AM75" s="244"/>
      <c r="AN75" s="244"/>
      <c r="AO75" s="244"/>
      <c r="AP75" s="244"/>
      <c r="AQ75" s="244"/>
      <c r="AR75" s="244"/>
      <c r="AS75" s="244"/>
      <c r="AT75" s="244"/>
      <c r="AU75" s="244"/>
      <c r="AV75" s="244"/>
      <c r="AW75" s="244"/>
      <c r="AX75" s="244"/>
      <c r="AY75" s="244"/>
    </row>
    <row r="76">
      <c r="A76" s="244"/>
      <c r="B76" s="244"/>
      <c r="C76" s="265"/>
      <c r="D76" s="244"/>
      <c r="E76" s="244"/>
      <c r="F76" s="244"/>
      <c r="G76" s="244"/>
      <c r="H76" s="244"/>
      <c r="I76" s="244"/>
      <c r="J76" s="244"/>
      <c r="K76" s="244"/>
      <c r="L76" s="244"/>
      <c r="M76" s="244"/>
      <c r="N76" s="244"/>
      <c r="O76" s="244"/>
      <c r="P76" s="244"/>
      <c r="Q76" s="244"/>
      <c r="R76" s="244"/>
      <c r="S76" s="244"/>
      <c r="T76" s="244"/>
      <c r="U76" s="244"/>
      <c r="V76" s="244"/>
      <c r="W76" s="244"/>
      <c r="X76" s="244"/>
      <c r="Y76" s="244"/>
      <c r="Z76" s="244"/>
      <c r="AA76" s="244"/>
      <c r="AB76" s="244"/>
      <c r="AC76" s="244"/>
      <c r="AD76" s="244"/>
      <c r="AE76" s="244"/>
      <c r="AF76" s="244"/>
      <c r="AG76" s="244"/>
      <c r="AH76" s="244"/>
      <c r="AI76" s="244"/>
      <c r="AJ76" s="244"/>
      <c r="AK76" s="244"/>
      <c r="AL76" s="244"/>
      <c r="AM76" s="244"/>
      <c r="AN76" s="244"/>
      <c r="AO76" s="244"/>
      <c r="AP76" s="244"/>
      <c r="AQ76" s="244"/>
      <c r="AR76" s="244"/>
      <c r="AS76" s="244"/>
      <c r="AT76" s="244"/>
      <c r="AU76" s="244"/>
      <c r="AV76" s="244"/>
      <c r="AW76" s="244"/>
      <c r="AX76" s="244"/>
      <c r="AY76" s="244"/>
    </row>
    <row r="77">
      <c r="A77" s="244"/>
      <c r="B77" s="244"/>
      <c r="C77" s="265"/>
      <c r="D77" s="244"/>
      <c r="E77" s="244"/>
      <c r="F77" s="244"/>
      <c r="G77" s="244"/>
      <c r="H77" s="244"/>
      <c r="I77" s="244"/>
      <c r="J77" s="244"/>
      <c r="K77" s="244"/>
      <c r="L77" s="244"/>
      <c r="M77" s="244"/>
      <c r="N77" s="244"/>
      <c r="O77" s="244"/>
      <c r="P77" s="244"/>
      <c r="Q77" s="244"/>
      <c r="R77" s="244"/>
      <c r="S77" s="244"/>
      <c r="T77" s="244"/>
      <c r="U77" s="244"/>
      <c r="V77" s="244"/>
      <c r="W77" s="244"/>
      <c r="X77" s="244"/>
      <c r="Y77" s="244"/>
      <c r="Z77" s="244"/>
      <c r="AA77" s="244"/>
      <c r="AB77" s="244"/>
      <c r="AC77" s="244"/>
      <c r="AD77" s="244"/>
      <c r="AE77" s="244"/>
      <c r="AF77" s="244"/>
      <c r="AG77" s="244"/>
      <c r="AH77" s="244"/>
      <c r="AI77" s="244"/>
      <c r="AJ77" s="244"/>
      <c r="AK77" s="244"/>
      <c r="AL77" s="244"/>
      <c r="AM77" s="244"/>
      <c r="AN77" s="244"/>
      <c r="AO77" s="244"/>
      <c r="AP77" s="244"/>
      <c r="AQ77" s="244"/>
      <c r="AR77" s="244"/>
      <c r="AS77" s="244"/>
      <c r="AT77" s="244"/>
      <c r="AU77" s="244"/>
      <c r="AV77" s="244"/>
      <c r="AW77" s="244"/>
      <c r="AX77" s="244"/>
      <c r="AY77" s="244"/>
    </row>
    <row r="78">
      <c r="A78" s="244"/>
      <c r="B78" s="244"/>
      <c r="C78" s="265"/>
      <c r="D78" s="244"/>
      <c r="E78" s="244"/>
      <c r="F78" s="244"/>
      <c r="G78" s="244"/>
      <c r="H78" s="244"/>
      <c r="I78" s="244"/>
      <c r="J78" s="244"/>
      <c r="K78" s="244"/>
      <c r="L78" s="244"/>
      <c r="M78" s="244"/>
      <c r="N78" s="244"/>
      <c r="O78" s="244"/>
      <c r="P78" s="244"/>
      <c r="Q78" s="244"/>
      <c r="R78" s="244"/>
      <c r="S78" s="244"/>
      <c r="T78" s="244"/>
      <c r="U78" s="244"/>
      <c r="V78" s="244"/>
      <c r="W78" s="244"/>
      <c r="X78" s="244"/>
      <c r="Y78" s="244"/>
      <c r="Z78" s="244"/>
      <c r="AA78" s="244"/>
      <c r="AB78" s="244"/>
      <c r="AC78" s="244"/>
      <c r="AD78" s="244"/>
      <c r="AE78" s="244"/>
      <c r="AF78" s="244"/>
      <c r="AG78" s="244"/>
      <c r="AH78" s="244"/>
      <c r="AI78" s="244"/>
      <c r="AJ78" s="244"/>
      <c r="AK78" s="244"/>
      <c r="AL78" s="244"/>
      <c r="AM78" s="244"/>
      <c r="AN78" s="244"/>
      <c r="AO78" s="244"/>
      <c r="AP78" s="244"/>
      <c r="AQ78" s="244"/>
      <c r="AR78" s="244"/>
      <c r="AS78" s="244"/>
      <c r="AT78" s="244"/>
      <c r="AU78" s="244"/>
      <c r="AV78" s="244"/>
      <c r="AW78" s="244"/>
      <c r="AX78" s="244"/>
      <c r="AY78" s="244"/>
    </row>
    <row r="79">
      <c r="A79" s="244"/>
      <c r="B79" s="244"/>
      <c r="C79" s="265"/>
      <c r="D79" s="244"/>
      <c r="E79" s="244"/>
      <c r="F79" s="244"/>
      <c r="G79" s="244"/>
      <c r="H79" s="244"/>
      <c r="I79" s="244"/>
      <c r="J79" s="244"/>
      <c r="K79" s="244"/>
      <c r="L79" s="244"/>
      <c r="M79" s="244"/>
      <c r="N79" s="244"/>
      <c r="O79" s="244"/>
      <c r="P79" s="244"/>
      <c r="Q79" s="244"/>
      <c r="R79" s="244"/>
      <c r="S79" s="244"/>
      <c r="T79" s="244"/>
      <c r="U79" s="244"/>
      <c r="V79" s="244"/>
      <c r="W79" s="244"/>
      <c r="X79" s="244"/>
      <c r="Y79" s="244"/>
      <c r="Z79" s="244"/>
      <c r="AA79" s="244"/>
      <c r="AB79" s="244"/>
      <c r="AC79" s="244"/>
      <c r="AD79" s="244"/>
      <c r="AE79" s="244"/>
      <c r="AF79" s="244"/>
      <c r="AG79" s="244"/>
      <c r="AH79" s="244"/>
      <c r="AI79" s="244"/>
      <c r="AJ79" s="244"/>
      <c r="AK79" s="244"/>
      <c r="AL79" s="244"/>
      <c r="AM79" s="244"/>
      <c r="AN79" s="244"/>
      <c r="AO79" s="244"/>
      <c r="AP79" s="244"/>
      <c r="AQ79" s="244"/>
      <c r="AR79" s="244"/>
      <c r="AS79" s="244"/>
      <c r="AT79" s="244"/>
      <c r="AU79" s="244"/>
      <c r="AV79" s="244"/>
      <c r="AW79" s="244"/>
      <c r="AX79" s="244"/>
      <c r="AY79" s="244"/>
    </row>
    <row r="80">
      <c r="A80" s="244"/>
      <c r="B80" s="244"/>
      <c r="C80" s="265"/>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c r="AW80" s="244"/>
      <c r="AX80" s="244"/>
      <c r="AY80" s="244"/>
    </row>
    <row r="81">
      <c r="A81" s="244"/>
      <c r="B81" s="244"/>
      <c r="C81" s="265"/>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c r="AW81" s="244"/>
      <c r="AX81" s="244"/>
      <c r="AY81" s="244"/>
    </row>
    <row r="82">
      <c r="A82" s="244"/>
      <c r="B82" s="244"/>
      <c r="C82" s="265"/>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c r="AW82" s="244"/>
      <c r="AX82" s="244"/>
      <c r="AY82" s="244"/>
    </row>
    <row r="83">
      <c r="A83" s="244"/>
      <c r="B83" s="244"/>
      <c r="C83" s="265"/>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c r="AW83" s="244"/>
      <c r="AX83" s="244"/>
      <c r="AY83" s="244"/>
    </row>
    <row r="84">
      <c r="A84" s="244"/>
      <c r="B84" s="244"/>
      <c r="C84" s="265"/>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c r="AW84" s="244"/>
      <c r="AX84" s="244"/>
      <c r="AY84" s="244"/>
    </row>
    <row r="85">
      <c r="A85" s="244"/>
      <c r="B85" s="244"/>
      <c r="C85" s="265"/>
      <c r="D85" s="244"/>
      <c r="E85" s="244"/>
      <c r="F85" s="244"/>
      <c r="G85" s="244"/>
      <c r="H85" s="244"/>
      <c r="I85" s="244"/>
      <c r="J85" s="244"/>
      <c r="K85" s="244"/>
      <c r="L85" s="244"/>
      <c r="M85" s="244"/>
      <c r="N85" s="244"/>
      <c r="O85" s="244"/>
      <c r="P85" s="244"/>
      <c r="Q85" s="244"/>
      <c r="R85" s="244"/>
      <c r="S85" s="244"/>
      <c r="T85" s="244"/>
      <c r="U85" s="244"/>
      <c r="V85" s="244"/>
      <c r="W85" s="244"/>
      <c r="X85" s="244"/>
      <c r="Y85" s="244"/>
      <c r="Z85" s="244"/>
      <c r="AA85" s="244"/>
      <c r="AB85" s="244"/>
      <c r="AC85" s="244"/>
      <c r="AD85" s="244"/>
      <c r="AE85" s="244"/>
      <c r="AF85" s="244"/>
      <c r="AG85" s="244"/>
      <c r="AH85" s="244"/>
      <c r="AI85" s="244"/>
      <c r="AJ85" s="244"/>
      <c r="AK85" s="244"/>
      <c r="AL85" s="244"/>
      <c r="AM85" s="244"/>
      <c r="AN85" s="244"/>
      <c r="AO85" s="244"/>
      <c r="AP85" s="244"/>
      <c r="AQ85" s="244"/>
      <c r="AR85" s="244"/>
      <c r="AS85" s="244"/>
      <c r="AT85" s="244"/>
      <c r="AU85" s="244"/>
      <c r="AV85" s="244"/>
      <c r="AW85" s="244"/>
      <c r="AX85" s="244"/>
      <c r="AY85" s="244"/>
    </row>
    <row r="86">
      <c r="A86" s="244"/>
      <c r="B86" s="244"/>
      <c r="C86" s="265"/>
      <c r="D86" s="244"/>
      <c r="E86" s="244"/>
      <c r="F86" s="244"/>
      <c r="G86" s="244"/>
      <c r="H86" s="244"/>
      <c r="I86" s="244"/>
      <c r="J86" s="244"/>
      <c r="K86" s="244"/>
      <c r="L86" s="244"/>
      <c r="M86" s="244"/>
      <c r="N86" s="244"/>
      <c r="O86" s="244"/>
      <c r="P86" s="244"/>
      <c r="Q86" s="244"/>
      <c r="R86" s="244"/>
      <c r="S86" s="244"/>
      <c r="T86" s="244"/>
      <c r="U86" s="244"/>
      <c r="V86" s="244"/>
      <c r="W86" s="244"/>
      <c r="X86" s="244"/>
      <c r="Y86" s="244"/>
      <c r="Z86" s="244"/>
      <c r="AA86" s="244"/>
      <c r="AB86" s="244"/>
      <c r="AC86" s="244"/>
      <c r="AD86" s="244"/>
      <c r="AE86" s="244"/>
      <c r="AF86" s="244"/>
      <c r="AG86" s="244"/>
      <c r="AH86" s="244"/>
      <c r="AI86" s="244"/>
      <c r="AJ86" s="244"/>
      <c r="AK86" s="244"/>
      <c r="AL86" s="244"/>
      <c r="AM86" s="244"/>
      <c r="AN86" s="244"/>
      <c r="AO86" s="244"/>
      <c r="AP86" s="244"/>
      <c r="AQ86" s="244"/>
      <c r="AR86" s="244"/>
      <c r="AS86" s="244"/>
      <c r="AT86" s="244"/>
      <c r="AU86" s="244"/>
      <c r="AV86" s="244"/>
      <c r="AW86" s="244"/>
      <c r="AX86" s="244"/>
      <c r="AY86" s="244"/>
    </row>
    <row r="87">
      <c r="A87" s="244"/>
      <c r="B87" s="244"/>
      <c r="C87" s="265"/>
      <c r="D87" s="244"/>
      <c r="E87" s="244"/>
      <c r="F87" s="244"/>
      <c r="G87" s="244"/>
      <c r="H87" s="244"/>
      <c r="I87" s="244"/>
      <c r="J87" s="244"/>
      <c r="K87" s="244"/>
      <c r="L87" s="244"/>
      <c r="M87" s="244"/>
      <c r="N87" s="244"/>
      <c r="O87" s="244"/>
      <c r="P87" s="244"/>
      <c r="Q87" s="244"/>
      <c r="R87" s="244"/>
      <c r="S87" s="244"/>
      <c r="T87" s="244"/>
      <c r="U87" s="244"/>
      <c r="V87" s="244"/>
      <c r="W87" s="244"/>
      <c r="X87" s="244"/>
      <c r="Y87" s="244"/>
      <c r="Z87" s="244"/>
      <c r="AA87" s="244"/>
      <c r="AB87" s="244"/>
      <c r="AC87" s="244"/>
      <c r="AD87" s="244"/>
      <c r="AE87" s="244"/>
      <c r="AF87" s="244"/>
      <c r="AG87" s="244"/>
      <c r="AH87" s="244"/>
      <c r="AI87" s="244"/>
      <c r="AJ87" s="244"/>
      <c r="AK87" s="244"/>
      <c r="AL87" s="244"/>
      <c r="AM87" s="244"/>
      <c r="AN87" s="244"/>
      <c r="AO87" s="244"/>
      <c r="AP87" s="244"/>
      <c r="AQ87" s="244"/>
      <c r="AR87" s="244"/>
      <c r="AS87" s="244"/>
      <c r="AT87" s="244"/>
      <c r="AU87" s="244"/>
      <c r="AV87" s="244"/>
      <c r="AW87" s="244"/>
      <c r="AX87" s="244"/>
      <c r="AY87" s="244"/>
    </row>
    <row r="88">
      <c r="A88" s="244"/>
      <c r="B88" s="244"/>
      <c r="C88" s="265"/>
      <c r="D88" s="244"/>
      <c r="E88" s="244"/>
      <c r="F88" s="244"/>
      <c r="G88" s="244"/>
      <c r="H88" s="244"/>
      <c r="I88" s="244"/>
      <c r="J88" s="244"/>
      <c r="K88" s="244"/>
      <c r="L88" s="244"/>
      <c r="M88" s="244"/>
      <c r="N88" s="244"/>
      <c r="O88" s="244"/>
      <c r="P88" s="244"/>
      <c r="Q88" s="244"/>
      <c r="R88" s="244"/>
      <c r="S88" s="244"/>
      <c r="T88" s="244"/>
      <c r="U88" s="244"/>
      <c r="V88" s="244"/>
      <c r="W88" s="244"/>
      <c r="X88" s="244"/>
      <c r="Y88" s="244"/>
      <c r="Z88" s="244"/>
      <c r="AA88" s="244"/>
      <c r="AB88" s="244"/>
      <c r="AC88" s="244"/>
      <c r="AD88" s="244"/>
      <c r="AE88" s="244"/>
      <c r="AF88" s="244"/>
      <c r="AG88" s="244"/>
      <c r="AH88" s="244"/>
      <c r="AI88" s="244"/>
      <c r="AJ88" s="244"/>
      <c r="AK88" s="244"/>
      <c r="AL88" s="244"/>
      <c r="AM88" s="244"/>
      <c r="AN88" s="244"/>
      <c r="AO88" s="244"/>
      <c r="AP88" s="244"/>
      <c r="AQ88" s="244"/>
      <c r="AR88" s="244"/>
      <c r="AS88" s="244"/>
      <c r="AT88" s="244"/>
      <c r="AU88" s="244"/>
      <c r="AV88" s="244"/>
      <c r="AW88" s="244"/>
      <c r="AX88" s="244"/>
      <c r="AY88" s="244"/>
    </row>
    <row r="89">
      <c r="A89" s="244"/>
      <c r="B89" s="244"/>
      <c r="C89" s="265"/>
      <c r="D89" s="244"/>
      <c r="E89" s="244"/>
      <c r="F89" s="244"/>
      <c r="G89" s="244"/>
      <c r="H89" s="244"/>
      <c r="I89" s="244"/>
      <c r="J89" s="244"/>
      <c r="K89" s="244"/>
      <c r="L89" s="244"/>
      <c r="M89" s="244"/>
      <c r="N89" s="244"/>
      <c r="O89" s="244"/>
      <c r="P89" s="244"/>
      <c r="Q89" s="244"/>
      <c r="R89" s="244"/>
      <c r="S89" s="244"/>
      <c r="T89" s="244"/>
      <c r="U89" s="244"/>
      <c r="V89" s="244"/>
      <c r="W89" s="244"/>
      <c r="X89" s="244"/>
      <c r="Y89" s="244"/>
      <c r="Z89" s="244"/>
      <c r="AA89" s="244"/>
      <c r="AB89" s="244"/>
      <c r="AC89" s="244"/>
      <c r="AD89" s="244"/>
      <c r="AE89" s="244"/>
      <c r="AF89" s="244"/>
      <c r="AG89" s="244"/>
      <c r="AH89" s="244"/>
      <c r="AI89" s="244"/>
      <c r="AJ89" s="244"/>
      <c r="AK89" s="244"/>
      <c r="AL89" s="244"/>
      <c r="AM89" s="244"/>
      <c r="AN89" s="244"/>
      <c r="AO89" s="244"/>
      <c r="AP89" s="244"/>
      <c r="AQ89" s="244"/>
      <c r="AR89" s="244"/>
      <c r="AS89" s="244"/>
      <c r="AT89" s="244"/>
      <c r="AU89" s="244"/>
      <c r="AV89" s="244"/>
      <c r="AW89" s="244"/>
      <c r="AX89" s="244"/>
      <c r="AY89" s="244"/>
    </row>
    <row r="90">
      <c r="A90" s="244"/>
      <c r="B90" s="244"/>
      <c r="C90" s="265"/>
      <c r="D90" s="244"/>
      <c r="E90" s="244"/>
      <c r="F90" s="244"/>
      <c r="G90" s="244"/>
      <c r="H90" s="244"/>
      <c r="I90" s="244"/>
      <c r="J90" s="244"/>
      <c r="K90" s="244"/>
      <c r="L90" s="244"/>
      <c r="M90" s="244"/>
      <c r="N90" s="244"/>
      <c r="O90" s="244"/>
      <c r="P90" s="244"/>
      <c r="Q90" s="244"/>
      <c r="R90" s="244"/>
      <c r="S90" s="244"/>
      <c r="T90" s="244"/>
      <c r="U90" s="244"/>
      <c r="V90" s="244"/>
      <c r="W90" s="244"/>
      <c r="X90" s="244"/>
      <c r="Y90" s="244"/>
      <c r="Z90" s="244"/>
      <c r="AA90" s="244"/>
      <c r="AB90" s="244"/>
      <c r="AC90" s="244"/>
      <c r="AD90" s="244"/>
      <c r="AE90" s="244"/>
      <c r="AF90" s="244"/>
      <c r="AG90" s="244"/>
      <c r="AH90" s="244"/>
      <c r="AI90" s="244"/>
      <c r="AJ90" s="244"/>
      <c r="AK90" s="244"/>
      <c r="AL90" s="244"/>
      <c r="AM90" s="244"/>
      <c r="AN90" s="244"/>
      <c r="AO90" s="244"/>
      <c r="AP90" s="244"/>
      <c r="AQ90" s="244"/>
      <c r="AR90" s="244"/>
      <c r="AS90" s="244"/>
      <c r="AT90" s="244"/>
      <c r="AU90" s="244"/>
      <c r="AV90" s="244"/>
      <c r="AW90" s="244"/>
      <c r="AX90" s="244"/>
      <c r="AY90" s="244"/>
    </row>
    <row r="91">
      <c r="A91" s="244"/>
      <c r="B91" s="244"/>
      <c r="C91" s="265"/>
      <c r="D91" s="244"/>
      <c r="E91" s="244"/>
      <c r="F91" s="244"/>
      <c r="G91" s="244"/>
      <c r="H91" s="244"/>
      <c r="I91" s="244"/>
      <c r="J91" s="244"/>
      <c r="K91" s="244"/>
      <c r="L91" s="244"/>
      <c r="M91" s="244"/>
      <c r="N91" s="244"/>
      <c r="O91" s="244"/>
      <c r="P91" s="244"/>
      <c r="Q91" s="244"/>
      <c r="R91" s="244"/>
      <c r="S91" s="244"/>
      <c r="T91" s="244"/>
      <c r="U91" s="244"/>
      <c r="V91" s="244"/>
      <c r="W91" s="244"/>
      <c r="X91" s="244"/>
      <c r="Y91" s="244"/>
      <c r="Z91" s="244"/>
      <c r="AA91" s="244"/>
      <c r="AB91" s="244"/>
      <c r="AC91" s="244"/>
      <c r="AD91" s="244"/>
      <c r="AE91" s="244"/>
      <c r="AF91" s="244"/>
      <c r="AG91" s="244"/>
      <c r="AH91" s="244"/>
      <c r="AI91" s="244"/>
      <c r="AJ91" s="244"/>
      <c r="AK91" s="244"/>
      <c r="AL91" s="244"/>
      <c r="AM91" s="244"/>
      <c r="AN91" s="244"/>
      <c r="AO91" s="244"/>
      <c r="AP91" s="244"/>
      <c r="AQ91" s="244"/>
      <c r="AR91" s="244"/>
      <c r="AS91" s="244"/>
      <c r="AT91" s="244"/>
      <c r="AU91" s="244"/>
      <c r="AV91" s="244"/>
      <c r="AW91" s="244"/>
      <c r="AX91" s="244"/>
      <c r="AY91" s="244"/>
    </row>
    <row r="92">
      <c r="A92" s="244"/>
      <c r="B92" s="244"/>
      <c r="C92" s="265"/>
      <c r="D92" s="244"/>
      <c r="E92" s="244"/>
      <c r="F92" s="244"/>
      <c r="G92" s="244"/>
      <c r="H92" s="244"/>
      <c r="I92" s="244"/>
      <c r="J92" s="244"/>
      <c r="K92" s="244"/>
      <c r="L92" s="244"/>
      <c r="M92" s="244"/>
      <c r="N92" s="244"/>
      <c r="O92" s="244"/>
      <c r="P92" s="244"/>
      <c r="Q92" s="244"/>
      <c r="R92" s="244"/>
      <c r="S92" s="244"/>
      <c r="T92" s="244"/>
      <c r="U92" s="244"/>
      <c r="V92" s="244"/>
      <c r="W92" s="244"/>
      <c r="X92" s="244"/>
      <c r="Y92" s="244"/>
      <c r="Z92" s="244"/>
      <c r="AA92" s="244"/>
      <c r="AB92" s="244"/>
      <c r="AC92" s="244"/>
      <c r="AD92" s="244"/>
      <c r="AE92" s="244"/>
      <c r="AF92" s="244"/>
      <c r="AG92" s="244"/>
      <c r="AH92" s="244"/>
      <c r="AI92" s="244"/>
      <c r="AJ92" s="244"/>
      <c r="AK92" s="244"/>
      <c r="AL92" s="244"/>
      <c r="AM92" s="244"/>
      <c r="AN92" s="244"/>
      <c r="AO92" s="244"/>
      <c r="AP92" s="244"/>
      <c r="AQ92" s="244"/>
      <c r="AR92" s="244"/>
      <c r="AS92" s="244"/>
      <c r="AT92" s="244"/>
      <c r="AU92" s="244"/>
      <c r="AV92" s="244"/>
      <c r="AW92" s="244"/>
      <c r="AX92" s="244"/>
      <c r="AY92" s="244"/>
    </row>
    <row r="93">
      <c r="A93" s="244"/>
      <c r="B93" s="244"/>
      <c r="C93" s="265"/>
      <c r="D93" s="244"/>
      <c r="E93" s="244"/>
      <c r="F93" s="244"/>
      <c r="G93" s="244"/>
      <c r="H93" s="244"/>
      <c r="I93" s="244"/>
      <c r="J93" s="244"/>
      <c r="K93" s="244"/>
      <c r="L93" s="244"/>
      <c r="M93" s="244"/>
      <c r="N93" s="244"/>
      <c r="O93" s="244"/>
      <c r="P93" s="244"/>
      <c r="Q93" s="244"/>
      <c r="R93" s="244"/>
      <c r="S93" s="244"/>
      <c r="T93" s="244"/>
      <c r="U93" s="244"/>
      <c r="V93" s="244"/>
      <c r="W93" s="244"/>
      <c r="X93" s="244"/>
      <c r="Y93" s="244"/>
      <c r="Z93" s="244"/>
      <c r="AA93" s="244"/>
      <c r="AB93" s="244"/>
      <c r="AC93" s="244"/>
      <c r="AD93" s="244"/>
      <c r="AE93" s="244"/>
      <c r="AF93" s="244"/>
      <c r="AG93" s="244"/>
      <c r="AH93" s="244"/>
      <c r="AI93" s="244"/>
      <c r="AJ93" s="244"/>
      <c r="AK93" s="244"/>
      <c r="AL93" s="244"/>
      <c r="AM93" s="244"/>
      <c r="AN93" s="244"/>
      <c r="AO93" s="244"/>
      <c r="AP93" s="244"/>
      <c r="AQ93" s="244"/>
      <c r="AR93" s="244"/>
      <c r="AS93" s="244"/>
      <c r="AT93" s="244"/>
      <c r="AU93" s="244"/>
      <c r="AV93" s="244"/>
      <c r="AW93" s="244"/>
      <c r="AX93" s="244"/>
      <c r="AY93" s="244"/>
    </row>
    <row r="94">
      <c r="A94" s="244"/>
      <c r="B94" s="244"/>
      <c r="C94" s="265"/>
      <c r="D94" s="244"/>
      <c r="E94" s="244"/>
      <c r="F94" s="244"/>
      <c r="G94" s="244"/>
      <c r="H94" s="244"/>
      <c r="I94" s="244"/>
      <c r="J94" s="244"/>
      <c r="K94" s="244"/>
      <c r="L94" s="244"/>
      <c r="M94" s="244"/>
      <c r="N94" s="244"/>
      <c r="O94" s="244"/>
      <c r="P94" s="244"/>
      <c r="Q94" s="244"/>
      <c r="R94" s="244"/>
      <c r="S94" s="244"/>
      <c r="T94" s="244"/>
      <c r="U94" s="244"/>
      <c r="V94" s="244"/>
      <c r="W94" s="244"/>
      <c r="X94" s="244"/>
      <c r="Y94" s="244"/>
      <c r="Z94" s="244"/>
      <c r="AA94" s="244"/>
      <c r="AB94" s="244"/>
      <c r="AC94" s="244"/>
      <c r="AD94" s="244"/>
      <c r="AE94" s="244"/>
      <c r="AF94" s="244"/>
      <c r="AG94" s="244"/>
      <c r="AH94" s="244"/>
      <c r="AI94" s="244"/>
      <c r="AJ94" s="244"/>
      <c r="AK94" s="244"/>
      <c r="AL94" s="244"/>
      <c r="AM94" s="244"/>
      <c r="AN94" s="244"/>
      <c r="AO94" s="244"/>
      <c r="AP94" s="244"/>
      <c r="AQ94" s="244"/>
      <c r="AR94" s="244"/>
      <c r="AS94" s="244"/>
      <c r="AT94" s="244"/>
      <c r="AU94" s="244"/>
      <c r="AV94" s="244"/>
      <c r="AW94" s="244"/>
      <c r="AX94" s="244"/>
      <c r="AY94" s="244"/>
    </row>
    <row r="95">
      <c r="A95" s="244"/>
      <c r="B95" s="244"/>
      <c r="C95" s="265"/>
      <c r="D95" s="244"/>
      <c r="E95" s="244"/>
      <c r="F95" s="244"/>
      <c r="G95" s="244"/>
      <c r="H95" s="244"/>
      <c r="I95" s="244"/>
      <c r="J95" s="244"/>
      <c r="K95" s="244"/>
      <c r="L95" s="244"/>
      <c r="M95" s="244"/>
      <c r="N95" s="244"/>
      <c r="O95" s="244"/>
      <c r="P95" s="244"/>
      <c r="Q95" s="244"/>
      <c r="R95" s="244"/>
      <c r="S95" s="244"/>
      <c r="T95" s="244"/>
      <c r="U95" s="244"/>
      <c r="V95" s="244"/>
      <c r="W95" s="244"/>
      <c r="X95" s="244"/>
      <c r="Y95" s="244"/>
      <c r="Z95" s="244"/>
      <c r="AA95" s="244"/>
      <c r="AB95" s="244"/>
      <c r="AC95" s="244"/>
      <c r="AD95" s="244"/>
      <c r="AE95" s="244"/>
      <c r="AF95" s="244"/>
      <c r="AG95" s="244"/>
      <c r="AH95" s="244"/>
      <c r="AI95" s="244"/>
      <c r="AJ95" s="244"/>
      <c r="AK95" s="244"/>
      <c r="AL95" s="244"/>
      <c r="AM95" s="244"/>
      <c r="AN95" s="244"/>
      <c r="AO95" s="244"/>
      <c r="AP95" s="244"/>
      <c r="AQ95" s="244"/>
      <c r="AR95" s="244"/>
      <c r="AS95" s="244"/>
      <c r="AT95" s="244"/>
      <c r="AU95" s="244"/>
      <c r="AV95" s="244"/>
      <c r="AW95" s="244"/>
      <c r="AX95" s="244"/>
      <c r="AY95" s="244"/>
    </row>
    <row r="96">
      <c r="A96" s="244"/>
      <c r="B96" s="244"/>
      <c r="C96" s="265"/>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row>
    <row r="97">
      <c r="A97" s="244"/>
      <c r="B97" s="244"/>
      <c r="C97" s="265"/>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row>
    <row r="98">
      <c r="A98" s="244"/>
      <c r="B98" s="244"/>
      <c r="C98" s="265"/>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row>
    <row r="99">
      <c r="A99" s="244"/>
      <c r="B99" s="244"/>
      <c r="C99" s="265"/>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row>
    <row r="100">
      <c r="A100" s="244"/>
      <c r="B100" s="244"/>
      <c r="C100" s="265"/>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row>
    <row r="101">
      <c r="A101" s="244"/>
      <c r="B101" s="244"/>
      <c r="C101" s="265"/>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row>
    <row r="102">
      <c r="A102" s="244"/>
      <c r="B102" s="244"/>
      <c r="C102" s="265"/>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row>
    <row r="103">
      <c r="A103" s="244"/>
      <c r="B103" s="244"/>
      <c r="C103" s="265"/>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row>
    <row r="104">
      <c r="A104" s="244"/>
      <c r="B104" s="244"/>
      <c r="C104" s="265"/>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row>
    <row r="105">
      <c r="A105" s="244"/>
      <c r="B105" s="244"/>
      <c r="C105" s="265"/>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row>
  </sheetData>
  <mergeCells count="12">
    <mergeCell ref="Q8:S8"/>
    <mergeCell ref="T8:V8"/>
    <mergeCell ref="D52:AB52"/>
    <mergeCell ref="R4:AA4"/>
    <mergeCell ref="D7:O7"/>
    <mergeCell ref="Q7:AB7"/>
    <mergeCell ref="W8:Y8"/>
    <mergeCell ref="Z8:AB8"/>
    <mergeCell ref="D8:F8"/>
    <mergeCell ref="G8:I8"/>
    <mergeCell ref="J8:L8"/>
    <mergeCell ref="M8:O8"/>
  </mergeCells>
  <phoneticPr fontId="0" type="noConversion"/>
  <printOptions horizontalCentered="1" verticalCentered="1"/>
  <pageMargins left="0.25" right="0.25" top="0.25" bottom="0.25" header="0.25" footer="0.25"/>
  <pageSetup scale="67" orientation="landscape" r:id="rId1"/>
  <headerFooter alignWithMargins="0">
    <oddHeader/>
    <oddFooter/>
  </headerFooter>
  <drawing r:id="rId42"/>
</worksheet>
</file>

<file path=xl/worksheets/sheet4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AY105"/>
  <sheetViews>
    <sheetView showGridLines="0" zoomScale="75" workbookViewId="0"/>
  </sheetViews>
  <sheetFormatPr defaultRowHeight="12.75"/>
  <cols>
    <col min="1" max="1" width="13.28515625" customWidth="1"/>
    <col min="2" max="2" width="3.85546875" customWidth="1"/>
    <col min="3" max="3" width="4.28515625" style="30" customWidth="1"/>
    <col min="4" max="15" width="8.7109375" customWidth="1"/>
    <col min="16" max="16" width="1.42578125" customWidth="1"/>
    <col min="17" max="25" width="8.7109375" customWidth="1"/>
    <col min="26" max="28" width="7.42578125" hidden="1" customWidth="1"/>
    <col min="29" max="29" width="2.28515625" customWidth="1"/>
    <col min="30" max="32" width="9.140625" customWidth="1"/>
  </cols>
  <sheetData>
    <row r="1" ht="23.25">
      <c r="A1" s="39" t="s">
        <v>133</v>
      </c>
      <c r="B1" s="39"/>
      <c r="AD1" s="244"/>
      <c r="AE1" s="244"/>
      <c r="AF1" s="244"/>
      <c r="AG1" s="244"/>
      <c r="AH1" s="244"/>
      <c r="AI1" s="244"/>
      <c r="AJ1" s="244"/>
      <c r="AK1" s="244"/>
      <c r="AL1" s="244"/>
      <c r="AM1" s="244"/>
      <c r="AN1" s="244"/>
      <c r="AO1" s="244"/>
      <c r="AP1" s="244"/>
      <c r="AQ1" s="244"/>
      <c r="AR1" s="244"/>
      <c r="AS1" s="244"/>
      <c r="AT1" s="244"/>
      <c r="AU1" s="244"/>
      <c r="AV1" s="244"/>
      <c r="AW1" s="244"/>
      <c r="AX1" s="244"/>
      <c r="AY1" s="244"/>
    </row>
    <row r="2" ht="15" customHeight="1">
      <c r="A2" s="10" t="s">
        <v>141</v>
      </c>
      <c r="X2" s="216"/>
      <c r="AD2" s="244"/>
      <c r="AE2" s="244"/>
      <c r="AF2" s="244"/>
      <c r="AG2" s="244"/>
      <c r="AH2" s="244"/>
      <c r="AI2" s="244"/>
      <c r="AJ2" s="244"/>
      <c r="AK2" s="244"/>
      <c r="AL2" s="244"/>
      <c r="AM2" s="244"/>
      <c r="AN2" s="244"/>
      <c r="AO2" s="244"/>
      <c r="AP2" s="244"/>
      <c r="AQ2" s="244"/>
      <c r="AR2" s="244"/>
      <c r="AS2" s="244"/>
      <c r="AT2" s="244"/>
      <c r="AU2" s="244"/>
      <c r="AV2" s="244"/>
      <c r="AW2" s="244"/>
      <c r="AX2" s="244"/>
      <c r="AY2" s="244"/>
    </row>
    <row r="3" ht="17.1" customHeight="1">
      <c r="A3" s="10" t="s">
        <v>142</v>
      </c>
      <c r="AD3" s="244"/>
      <c r="AE3" s="244"/>
      <c r="AF3" s="244"/>
      <c r="AG3" s="244"/>
      <c r="AH3" s="244"/>
      <c r="AI3" s="244"/>
      <c r="AJ3" s="244"/>
      <c r="AK3" s="244"/>
      <c r="AL3" s="244"/>
      <c r="AM3" s="244"/>
      <c r="AN3" s="244"/>
      <c r="AO3" s="244"/>
      <c r="AP3" s="244"/>
      <c r="AQ3" s="244"/>
      <c r="AR3" s="244"/>
      <c r="AS3" s="244"/>
      <c r="AT3" s="244"/>
      <c r="AU3" s="244"/>
      <c r="AV3" s="244"/>
      <c r="AW3" s="244"/>
      <c r="AX3" s="244"/>
      <c r="AY3" s="244"/>
    </row>
    <row r="4" ht="17.1" customHeight="1">
      <c r="A4" t="s">
        <v>143</v>
      </c>
      <c r="B4" s="443"/>
      <c r="C4" s="211"/>
      <c r="D4" s="212"/>
      <c r="E4" s="212"/>
      <c r="F4" s="212"/>
      <c r="G4" s="212"/>
      <c r="H4" s="212"/>
      <c r="I4" s="212"/>
      <c r="J4" s="212"/>
      <c r="K4" s="212"/>
      <c r="L4" s="212"/>
      <c r="M4" s="212"/>
      <c r="N4" s="212"/>
      <c r="O4" s="212"/>
      <c r="P4" s="212"/>
      <c r="Q4" s="665" t="s">
        <v>146</v>
      </c>
      <c r="R4" s="665"/>
      <c r="S4" s="665"/>
      <c r="T4" s="665"/>
      <c r="U4" s="665"/>
      <c r="V4" s="665"/>
      <c r="W4" s="665"/>
      <c r="X4" s="665"/>
      <c r="AD4" s="244"/>
      <c r="AE4" s="244"/>
      <c r="AF4" s="244"/>
      <c r="AG4" s="244"/>
      <c r="AH4" s="244"/>
      <c r="AI4" s="244"/>
      <c r="AJ4" s="244"/>
      <c r="AK4" s="244"/>
      <c r="AL4" s="244"/>
      <c r="AM4" s="244"/>
      <c r="AN4" s="244"/>
      <c r="AO4" s="244"/>
      <c r="AP4" s="244"/>
      <c r="AQ4" s="244"/>
      <c r="AR4" s="244"/>
      <c r="AS4" s="244"/>
      <c r="AT4" s="244"/>
      <c r="AU4" s="244"/>
      <c r="AV4" s="244"/>
      <c r="AW4" s="244"/>
      <c r="AX4" s="244"/>
      <c r="AY4" s="244"/>
    </row>
    <row r="5" ht="13.5" customHeight="1">
      <c r="B5" s="211"/>
      <c r="C5" s="211"/>
      <c r="D5" s="212"/>
      <c r="E5" s="212"/>
      <c r="F5" s="212"/>
      <c r="G5" s="212"/>
      <c r="H5" s="212"/>
      <c r="I5" s="212"/>
      <c r="J5" s="212"/>
      <c r="K5" s="212"/>
      <c r="L5" s="212"/>
      <c r="M5" s="212"/>
      <c r="N5" s="212"/>
      <c r="O5" s="212"/>
      <c r="P5" s="212"/>
      <c r="Q5" s="212"/>
      <c r="R5" s="212"/>
      <c r="S5" s="212"/>
      <c r="T5" s="212"/>
      <c r="AD5" s="244"/>
      <c r="AE5" s="244"/>
      <c r="AF5" s="244"/>
      <c r="AG5" s="244"/>
      <c r="AH5" s="244"/>
      <c r="AI5" s="244"/>
      <c r="AJ5" s="244"/>
      <c r="AK5" s="244"/>
      <c r="AL5" s="244"/>
      <c r="AM5" s="244"/>
      <c r="AN5" s="244"/>
      <c r="AO5" s="244"/>
      <c r="AP5" s="244"/>
      <c r="AQ5" s="244"/>
      <c r="AR5" s="244"/>
      <c r="AS5" s="244"/>
      <c r="AT5" s="244"/>
      <c r="AU5" s="244"/>
      <c r="AV5" s="244"/>
      <c r="AW5" s="244"/>
      <c r="AX5" s="244"/>
      <c r="AY5" s="244"/>
    </row>
    <row r="6" ht="12.75" customHeight="1">
      <c r="AD6" s="244"/>
      <c r="AE6" s="244"/>
      <c r="AF6" s="244"/>
      <c r="AG6" s="244"/>
      <c r="AH6" s="244"/>
      <c r="AI6" s="244"/>
      <c r="AJ6" s="244"/>
      <c r="AK6" s="244"/>
      <c r="AL6" s="244"/>
      <c r="AM6" s="244"/>
      <c r="AN6" s="244"/>
      <c r="AO6" s="244"/>
      <c r="AP6" s="244"/>
      <c r="AQ6" s="244"/>
      <c r="AR6" s="244"/>
      <c r="AS6" s="244"/>
      <c r="AT6" s="244"/>
      <c r="AU6" s="244"/>
      <c r="AV6" s="244"/>
      <c r="AW6" s="244"/>
      <c r="AX6" s="244"/>
      <c r="AY6" s="244"/>
    </row>
    <row r="7" ht="15.75">
      <c r="D7" s="621" t="s">
        <v>83</v>
      </c>
      <c r="E7" s="621"/>
      <c r="F7" s="621"/>
      <c r="G7" s="621"/>
      <c r="H7" s="621"/>
      <c r="I7" s="621"/>
      <c r="J7" s="621"/>
      <c r="K7" s="621"/>
      <c r="L7" s="621"/>
      <c r="M7" s="621"/>
      <c r="N7" s="621"/>
      <c r="O7" s="621"/>
      <c r="Q7" s="621" t="s">
        <v>62</v>
      </c>
      <c r="R7" s="621"/>
      <c r="S7" s="621"/>
      <c r="T7" s="621"/>
      <c r="U7" s="621"/>
      <c r="V7" s="621"/>
      <c r="W7" s="621"/>
      <c r="X7" s="621"/>
      <c r="Y7" s="621"/>
      <c r="Z7" s="621"/>
      <c r="AA7" s="621"/>
      <c r="AB7" s="621"/>
      <c r="AD7" s="244"/>
      <c r="AE7" s="244"/>
      <c r="AF7" s="244"/>
      <c r="AG7" s="244"/>
      <c r="AH7" s="244"/>
      <c r="AI7" s="244"/>
      <c r="AJ7" s="244"/>
      <c r="AK7" s="244"/>
      <c r="AL7" s="244"/>
      <c r="AM7" s="244"/>
      <c r="AN7" s="244"/>
      <c r="AO7" s="244"/>
      <c r="AP7" s="244"/>
      <c r="AQ7" s="244"/>
      <c r="AR7" s="244"/>
      <c r="AS7" s="244"/>
      <c r="AT7" s="244"/>
      <c r="AU7" s="244"/>
      <c r="AV7" s="244"/>
      <c r="AW7" s="244"/>
      <c r="AX7" s="244"/>
      <c r="AY7" s="244"/>
    </row>
    <row r="8" ht="15" customHeight="1">
      <c r="D8" s="681" t="s">
        <v>33</v>
      </c>
      <c r="E8" s="681"/>
      <c r="F8" s="681"/>
      <c r="G8" s="681" t="s">
        <v>30</v>
      </c>
      <c r="H8" s="681"/>
      <c r="I8" s="681"/>
      <c r="J8" s="681" t="s">
        <v>29</v>
      </c>
      <c r="K8" s="681"/>
      <c r="L8" s="681"/>
      <c r="M8" s="681" t="s">
        <v>94</v>
      </c>
      <c r="N8" s="681"/>
      <c r="O8" s="681"/>
      <c r="Q8" s="681" t="s">
        <v>33</v>
      </c>
      <c r="R8" s="681"/>
      <c r="S8" s="681"/>
      <c r="T8" s="681" t="s">
        <v>30</v>
      </c>
      <c r="U8" s="681"/>
      <c r="V8" s="681"/>
      <c r="W8" s="681" t="s">
        <v>29</v>
      </c>
      <c r="X8" s="681"/>
      <c r="Y8" s="681"/>
      <c r="Z8" s="682" t="s">
        <v>23</v>
      </c>
      <c r="AA8" s="682"/>
      <c r="AB8" s="682"/>
      <c r="AD8" s="244"/>
      <c r="AE8" s="244"/>
      <c r="AF8" s="244"/>
      <c r="AG8" s="244"/>
      <c r="AH8" s="244"/>
      <c r="AI8" s="244"/>
      <c r="AJ8" s="244"/>
      <c r="AK8" s="244"/>
      <c r="AL8" s="244"/>
      <c r="AM8" s="244"/>
      <c r="AN8" s="244"/>
      <c r="AO8" s="244"/>
      <c r="AP8" s="244"/>
      <c r="AQ8" s="244"/>
      <c r="AR8" s="244"/>
      <c r="AS8" s="244"/>
      <c r="AT8" s="244"/>
      <c r="AU8" s="244"/>
      <c r="AV8" s="244"/>
      <c r="AW8" s="244"/>
      <c r="AX8" s="244"/>
      <c r="AY8" s="244"/>
    </row>
    <row r="9" ht="27" customHeight="1">
      <c r="A9" s="92"/>
      <c r="D9" s="339" t="s">
        <v>63</v>
      </c>
      <c r="E9" s="340" t="s">
        <v>26</v>
      </c>
      <c r="F9" s="341" t="s">
        <v>147</v>
      </c>
      <c r="G9" s="339" t="s">
        <v>63</v>
      </c>
      <c r="H9" s="340" t="s">
        <v>26</v>
      </c>
      <c r="I9" s="341" t="s">
        <v>147</v>
      </c>
      <c r="J9" s="339" t="s">
        <v>63</v>
      </c>
      <c r="K9" s="340" t="s">
        <v>26</v>
      </c>
      <c r="L9" s="341" t="s">
        <v>147</v>
      </c>
      <c r="M9" s="339" t="s">
        <v>63</v>
      </c>
      <c r="N9" s="340" t="s">
        <v>26</v>
      </c>
      <c r="O9" s="341" t="s">
        <v>147</v>
      </c>
      <c r="P9" s="96"/>
      <c r="Q9" s="339" t="s">
        <v>63</v>
      </c>
      <c r="R9" s="340" t="s">
        <v>26</v>
      </c>
      <c r="S9" s="341" t="s">
        <v>147</v>
      </c>
      <c r="T9" s="339" t="s">
        <v>63</v>
      </c>
      <c r="U9" s="340" t="s">
        <v>26</v>
      </c>
      <c r="V9" s="341" t="s">
        <v>147</v>
      </c>
      <c r="W9" s="339" t="s">
        <v>63</v>
      </c>
      <c r="X9" s="340" t="s">
        <v>26</v>
      </c>
      <c r="Y9" s="341" t="s">
        <v>147</v>
      </c>
      <c r="Z9" s="94" t="s">
        <v>63</v>
      </c>
      <c r="AA9" s="94" t="s">
        <v>26</v>
      </c>
      <c r="AB9" s="95" t="s">
        <v>147</v>
      </c>
      <c r="AD9" s="244"/>
      <c r="AE9" s="244"/>
      <c r="AF9" s="244"/>
      <c r="AG9" s="244"/>
      <c r="AH9" s="244"/>
      <c r="AI9" s="244"/>
      <c r="AJ9" s="244"/>
      <c r="AK9" s="244"/>
      <c r="AL9" s="244"/>
      <c r="AM9" s="244"/>
      <c r="AN9" s="244"/>
      <c r="AO9" s="244"/>
      <c r="AP9" s="244"/>
      <c r="AQ9" s="244"/>
      <c r="AR9" s="244"/>
      <c r="AS9" s="244"/>
      <c r="AT9" s="244"/>
      <c r="AU9" s="244"/>
      <c r="AV9" s="244"/>
      <c r="AW9" s="244"/>
      <c r="AX9" s="244"/>
      <c r="AY9" s="244"/>
    </row>
    <row r="10" ht="15.6" customHeight="1">
      <c r="A10" s="92" t="s">
        <v>148</v>
      </c>
      <c r="B10" s="342">
        <v>22</v>
      </c>
      <c r="C10" s="343" t="s">
        <v>49</v>
      </c>
      <c r="D10" s="374">
        <v>88.20454545454545454545454545</v>
      </c>
      <c r="E10" s="382">
        <v>134.99008810572687224669603523</v>
      </c>
      <c r="F10" s="375">
        <v>118.12403100775193798449612403</v>
      </c>
      <c r="G10" s="374"/>
      <c r="H10" s="382"/>
      <c r="I10" s="375"/>
      <c r="J10" s="374"/>
      <c r="K10" s="382"/>
      <c r="L10" s="375"/>
      <c r="M10" s="374"/>
      <c r="N10" s="382"/>
      <c r="O10" s="375"/>
      <c r="P10" s="4"/>
      <c r="Q10" s="354"/>
      <c r="R10" s="355"/>
      <c r="S10" s="356"/>
      <c r="T10" s="354"/>
      <c r="U10" s="355"/>
      <c r="V10" s="356"/>
      <c r="W10" s="354"/>
      <c r="X10" s="355"/>
      <c r="Y10" s="356"/>
      <c r="Z10" s="35"/>
      <c r="AA10" s="35"/>
      <c r="AB10" s="31"/>
      <c r="AD10" s="244"/>
      <c r="AE10" s="244"/>
      <c r="AF10" s="244"/>
      <c r="AG10" s="244"/>
      <c r="AH10" s="244"/>
      <c r="AI10" s="244"/>
      <c r="AJ10" s="244"/>
      <c r="AK10" s="244"/>
      <c r="AL10" s="244"/>
      <c r="AM10" s="244"/>
      <c r="AN10" s="244"/>
      <c r="AO10" s="244"/>
      <c r="AP10" s="244"/>
      <c r="AQ10" s="244"/>
      <c r="AR10" s="244"/>
      <c r="AS10" s="244"/>
      <c r="AT10" s="244"/>
      <c r="AU10" s="244"/>
      <c r="AV10" s="244"/>
      <c r="AW10" s="244"/>
      <c r="AX10" s="244"/>
      <c r="AY10" s="244"/>
    </row>
    <row r="11" ht="15.6" customHeight="1">
      <c r="A11" s="92"/>
      <c r="B11" s="344">
        <v>23</v>
      </c>
      <c r="C11" s="345" t="s">
        <v>47</v>
      </c>
      <c r="D11" s="370">
        <v>98.77450980392156862745098039</v>
      </c>
      <c r="E11" s="172">
        <v>141.07851785714285714285714285</v>
      </c>
      <c r="F11" s="371">
        <v>130.73790322580645161290322581</v>
      </c>
      <c r="G11" s="370"/>
      <c r="H11" s="172"/>
      <c r="I11" s="371"/>
      <c r="J11" s="370"/>
      <c r="K11" s="172"/>
      <c r="L11" s="371"/>
      <c r="M11" s="370"/>
      <c r="N11" s="172"/>
      <c r="O11" s="371"/>
      <c r="P11" s="4"/>
      <c r="Q11" s="327"/>
      <c r="R11" s="171"/>
      <c r="S11" s="328"/>
      <c r="T11" s="327"/>
      <c r="U11" s="171"/>
      <c r="V11" s="328"/>
      <c r="W11" s="327"/>
      <c r="X11" s="171"/>
      <c r="Y11" s="328"/>
      <c r="Z11" s="36"/>
      <c r="AA11" s="36"/>
      <c r="AB11" s="32"/>
      <c r="AD11" s="244"/>
      <c r="AE11" s="244"/>
      <c r="AF11" s="244"/>
      <c r="AG11" s="244"/>
      <c r="AH11" s="244"/>
      <c r="AI11" s="244"/>
      <c r="AJ11" s="244"/>
      <c r="AK11" s="244"/>
      <c r="AL11" s="244"/>
      <c r="AM11" s="244"/>
      <c r="AN11" s="244"/>
      <c r="AO11" s="244"/>
      <c r="AP11" s="244"/>
      <c r="AQ11" s="244"/>
      <c r="AR11" s="244"/>
      <c r="AS11" s="244"/>
      <c r="AT11" s="244"/>
      <c r="AU11" s="244"/>
      <c r="AV11" s="244"/>
      <c r="AW11" s="244"/>
      <c r="AX11" s="244"/>
      <c r="AY11" s="244"/>
    </row>
    <row r="12" ht="15.6" customHeight="1">
      <c r="A12" s="92"/>
      <c r="B12" s="346">
        <v>24</v>
      </c>
      <c r="C12" s="347" t="s">
        <v>48</v>
      </c>
      <c r="D12" s="378">
        <v>99.56603773584905660377358491</v>
      </c>
      <c r="E12" s="173">
        <v>144.04239520958083832335329341</v>
      </c>
      <c r="F12" s="379">
        <v>141.46535181236673773987206823</v>
      </c>
      <c r="G12" s="378"/>
      <c r="H12" s="173"/>
      <c r="I12" s="379"/>
      <c r="J12" s="378"/>
      <c r="K12" s="173"/>
      <c r="L12" s="379"/>
      <c r="M12" s="378"/>
      <c r="N12" s="173"/>
      <c r="O12" s="379"/>
      <c r="P12" s="4"/>
      <c r="Q12" s="359"/>
      <c r="R12" s="170"/>
      <c r="S12" s="360"/>
      <c r="T12" s="359"/>
      <c r="U12" s="170"/>
      <c r="V12" s="360"/>
      <c r="W12" s="359"/>
      <c r="X12" s="170"/>
      <c r="Y12" s="360"/>
      <c r="Z12" s="35"/>
      <c r="AA12" s="35"/>
      <c r="AB12" s="31"/>
      <c r="AD12" s="244"/>
      <c r="AE12" s="244"/>
      <c r="AF12" s="244"/>
      <c r="AG12" s="244"/>
      <c r="AH12" s="244"/>
      <c r="AI12" s="244"/>
      <c r="AJ12" s="244"/>
      <c r="AK12" s="244"/>
      <c r="AL12" s="244"/>
      <c r="AM12" s="244"/>
      <c r="AN12" s="244"/>
      <c r="AO12" s="244"/>
      <c r="AP12" s="244"/>
      <c r="AQ12" s="244"/>
      <c r="AR12" s="244"/>
      <c r="AS12" s="244"/>
      <c r="AT12" s="244"/>
      <c r="AU12" s="244"/>
      <c r="AV12" s="244"/>
      <c r="AW12" s="244"/>
      <c r="AX12" s="244"/>
      <c r="AY12" s="244"/>
    </row>
    <row r="13" ht="15.6" customHeight="1">
      <c r="A13" s="92"/>
      <c r="B13" s="344">
        <v>25</v>
      </c>
      <c r="C13" s="345" t="s">
        <v>50</v>
      </c>
      <c r="D13" s="370">
        <v>98.30841121495327102803738318</v>
      </c>
      <c r="E13" s="172">
        <v>146.02247104247104247104247105</v>
      </c>
      <c r="F13" s="371">
        <v>140.17082429501084598698481562</v>
      </c>
      <c r="G13" s="370"/>
      <c r="H13" s="172"/>
      <c r="I13" s="371"/>
      <c r="J13" s="370"/>
      <c r="K13" s="172"/>
      <c r="L13" s="371"/>
      <c r="M13" s="370"/>
      <c r="N13" s="172"/>
      <c r="O13" s="371"/>
      <c r="P13" s="4"/>
      <c r="Q13" s="327"/>
      <c r="R13" s="171"/>
      <c r="S13" s="328"/>
      <c r="T13" s="327"/>
      <c r="U13" s="171"/>
      <c r="V13" s="328"/>
      <c r="W13" s="327"/>
      <c r="X13" s="171"/>
      <c r="Y13" s="328"/>
      <c r="Z13" s="36"/>
      <c r="AA13" s="36"/>
      <c r="AB13" s="32"/>
      <c r="AD13" s="244"/>
      <c r="AE13" s="244"/>
      <c r="AF13" s="244"/>
      <c r="AG13" s="244"/>
      <c r="AH13" s="244"/>
      <c r="AI13" s="244"/>
      <c r="AJ13" s="244"/>
      <c r="AK13" s="244"/>
      <c r="AL13" s="244"/>
      <c r="AM13" s="244"/>
      <c r="AN13" s="244"/>
      <c r="AO13" s="244"/>
      <c r="AP13" s="244"/>
      <c r="AQ13" s="244"/>
      <c r="AR13" s="244"/>
      <c r="AS13" s="244"/>
      <c r="AT13" s="244"/>
      <c r="AU13" s="244"/>
      <c r="AV13" s="244"/>
      <c r="AW13" s="244"/>
      <c r="AX13" s="244"/>
      <c r="AY13" s="244"/>
    </row>
    <row r="14" ht="15.6" customHeight="1">
      <c r="A14" s="92"/>
      <c r="B14" s="346">
        <v>26</v>
      </c>
      <c r="C14" s="347" t="s">
        <v>51</v>
      </c>
      <c r="D14" s="378">
        <v>99.72602739726027397260273973</v>
      </c>
      <c r="E14" s="173">
        <v>153.67954397394136807817589578</v>
      </c>
      <c r="F14" s="379">
        <v>129.1979418886198547215496368</v>
      </c>
      <c r="G14" s="378"/>
      <c r="H14" s="173"/>
      <c r="I14" s="379"/>
      <c r="J14" s="378"/>
      <c r="K14" s="173"/>
      <c r="L14" s="379"/>
      <c r="M14" s="378"/>
      <c r="N14" s="173"/>
      <c r="O14" s="379"/>
      <c r="P14" s="4"/>
      <c r="Q14" s="359"/>
      <c r="R14" s="170"/>
      <c r="S14" s="360"/>
      <c r="T14" s="359"/>
      <c r="U14" s="170"/>
      <c r="V14" s="360"/>
      <c r="W14" s="359"/>
      <c r="X14" s="170"/>
      <c r="Y14" s="360"/>
      <c r="Z14" s="35"/>
      <c r="AA14" s="35"/>
      <c r="AB14" s="31"/>
      <c r="AD14" s="244"/>
      <c r="AE14" s="244"/>
      <c r="AF14" s="244"/>
      <c r="AG14" s="244"/>
      <c r="AH14" s="244"/>
      <c r="AI14" s="244"/>
      <c r="AJ14" s="244"/>
      <c r="AK14" s="244"/>
      <c r="AL14" s="244"/>
      <c r="AM14" s="244"/>
      <c r="AN14" s="244"/>
      <c r="AO14" s="244"/>
      <c r="AP14" s="244"/>
      <c r="AQ14" s="244"/>
      <c r="AR14" s="244"/>
      <c r="AS14" s="244"/>
      <c r="AT14" s="244"/>
      <c r="AU14" s="244"/>
      <c r="AV14" s="244"/>
      <c r="AW14" s="244"/>
      <c r="AX14" s="244"/>
      <c r="AY14" s="244"/>
    </row>
    <row r="15" ht="15.6" customHeight="1">
      <c r="A15" s="92"/>
      <c r="B15" s="344">
        <v>27</v>
      </c>
      <c r="C15" s="345" t="s">
        <v>52</v>
      </c>
      <c r="D15" s="370">
        <v>111.69672131147540983606557377</v>
      </c>
      <c r="E15" s="172">
        <v>139.84824836601307189542483661</v>
      </c>
      <c r="F15" s="371">
        <v>121.75192421551213735938425104</v>
      </c>
      <c r="G15" s="370"/>
      <c r="H15" s="172"/>
      <c r="I15" s="371"/>
      <c r="J15" s="370"/>
      <c r="K15" s="172"/>
      <c r="L15" s="371"/>
      <c r="M15" s="370"/>
      <c r="N15" s="172"/>
      <c r="O15" s="371"/>
      <c r="P15" s="4"/>
      <c r="Q15" s="327"/>
      <c r="R15" s="171"/>
      <c r="S15" s="328"/>
      <c r="T15" s="327"/>
      <c r="U15" s="171"/>
      <c r="V15" s="328"/>
      <c r="W15" s="327"/>
      <c r="X15" s="171"/>
      <c r="Y15" s="328"/>
      <c r="Z15" s="36"/>
      <c r="AA15" s="36"/>
      <c r="AB15" s="32"/>
      <c r="AD15" s="244"/>
      <c r="AE15" s="244"/>
      <c r="AF15" s="244"/>
      <c r="AG15" s="244"/>
      <c r="AH15" s="244"/>
      <c r="AI15" s="244"/>
      <c r="AJ15" s="244"/>
      <c r="AK15" s="244"/>
      <c r="AL15" s="244"/>
      <c r="AM15" s="244"/>
      <c r="AN15" s="244"/>
      <c r="AO15" s="244"/>
      <c r="AP15" s="244"/>
      <c r="AQ15" s="244"/>
      <c r="AR15" s="244"/>
      <c r="AS15" s="244"/>
      <c r="AT15" s="244"/>
      <c r="AU15" s="244"/>
      <c r="AV15" s="244"/>
      <c r="AW15" s="244"/>
      <c r="AX15" s="244"/>
      <c r="AY15" s="244"/>
    </row>
    <row r="16" ht="15.6" customHeight="1">
      <c r="A16" s="92"/>
      <c r="B16" s="346">
        <v>28</v>
      </c>
      <c r="C16" s="347" t="s">
        <v>53</v>
      </c>
      <c r="D16" s="378">
        <v>99.84112149532710280373831776</v>
      </c>
      <c r="E16" s="173">
        <v>134.91435173299101412066752247</v>
      </c>
      <c r="F16" s="379">
        <v>121.31523096129837702871410737</v>
      </c>
      <c r="G16" s="378"/>
      <c r="H16" s="173"/>
      <c r="I16" s="379"/>
      <c r="J16" s="378"/>
      <c r="K16" s="173"/>
      <c r="L16" s="379"/>
      <c r="M16" s="378"/>
      <c r="N16" s="173"/>
      <c r="O16" s="379"/>
      <c r="P16" s="4"/>
      <c r="Q16" s="359"/>
      <c r="R16" s="170"/>
      <c r="S16" s="360"/>
      <c r="T16" s="359"/>
      <c r="U16" s="170"/>
      <c r="V16" s="360"/>
      <c r="W16" s="359"/>
      <c r="X16" s="170"/>
      <c r="Y16" s="360"/>
      <c r="Z16" s="35"/>
      <c r="AA16" s="35"/>
      <c r="AB16" s="31"/>
      <c r="AD16" s="244"/>
      <c r="AE16" s="244"/>
      <c r="AF16" s="244"/>
      <c r="AG16" s="244"/>
      <c r="AH16" s="244"/>
      <c r="AI16" s="244"/>
      <c r="AJ16" s="244"/>
      <c r="AK16" s="244"/>
      <c r="AL16" s="244"/>
      <c r="AM16" s="244"/>
      <c r="AN16" s="244"/>
      <c r="AO16" s="244"/>
      <c r="AP16" s="244"/>
      <c r="AQ16" s="244"/>
      <c r="AR16" s="244"/>
      <c r="AS16" s="244"/>
      <c r="AT16" s="244"/>
      <c r="AU16" s="244"/>
      <c r="AV16" s="244"/>
      <c r="AW16" s="244"/>
      <c r="AX16" s="244"/>
      <c r="AY16" s="244"/>
    </row>
    <row r="17" ht="15.6" customHeight="1">
      <c r="A17" s="92"/>
      <c r="B17" s="344">
        <v>29</v>
      </c>
      <c r="C17" s="345" t="s">
        <v>49</v>
      </c>
      <c r="D17" s="370">
        <v>94.060000000</v>
      </c>
      <c r="E17" s="172">
        <v>125.0401072386058981233243968</v>
      </c>
      <c r="F17" s="371">
        <v>115.68218954248366013071895425</v>
      </c>
      <c r="G17" s="370"/>
      <c r="H17" s="172"/>
      <c r="I17" s="371"/>
      <c r="J17" s="370"/>
      <c r="K17" s="172"/>
      <c r="L17" s="371"/>
      <c r="M17" s="370"/>
      <c r="N17" s="172"/>
      <c r="O17" s="371"/>
      <c r="P17" s="4"/>
      <c r="Q17" s="327"/>
      <c r="R17" s="171"/>
      <c r="S17" s="328"/>
      <c r="T17" s="327"/>
      <c r="U17" s="171"/>
      <c r="V17" s="328"/>
      <c r="W17" s="327"/>
      <c r="X17" s="171"/>
      <c r="Y17" s="328"/>
      <c r="Z17" s="36"/>
      <c r="AA17" s="36"/>
      <c r="AB17" s="32"/>
      <c r="AD17" s="244"/>
      <c r="AE17" s="244"/>
      <c r="AF17" s="244"/>
      <c r="AG17" s="244"/>
      <c r="AH17" s="244"/>
      <c r="AI17" s="244"/>
      <c r="AJ17" s="244"/>
      <c r="AK17" s="244"/>
      <c r="AL17" s="244"/>
      <c r="AM17" s="244"/>
      <c r="AN17" s="244"/>
      <c r="AO17" s="244"/>
      <c r="AP17" s="244"/>
      <c r="AQ17" s="244"/>
      <c r="AR17" s="244"/>
      <c r="AS17" s="244"/>
      <c r="AT17" s="244"/>
      <c r="AU17" s="244"/>
      <c r="AV17" s="244"/>
      <c r="AW17" s="244"/>
      <c r="AX17" s="244"/>
      <c r="AY17" s="244"/>
    </row>
    <row r="18" ht="15.6" customHeight="1">
      <c r="A18" s="92"/>
      <c r="B18" s="346">
        <v>30</v>
      </c>
      <c r="C18" s="347" t="s">
        <v>47</v>
      </c>
      <c r="D18" s="378">
        <v>95.12244897959183673469387755</v>
      </c>
      <c r="E18" s="173">
        <v>129.80238839285714285714285714</v>
      </c>
      <c r="F18" s="379">
        <v>123.98661028893587033121916843</v>
      </c>
      <c r="G18" s="378"/>
      <c r="H18" s="173"/>
      <c r="I18" s="379"/>
      <c r="J18" s="378"/>
      <c r="K18" s="173"/>
      <c r="L18" s="379"/>
      <c r="M18" s="378"/>
      <c r="N18" s="173"/>
      <c r="O18" s="379"/>
      <c r="P18" s="4"/>
      <c r="Q18" s="359"/>
      <c r="R18" s="170"/>
      <c r="S18" s="360"/>
      <c r="T18" s="359"/>
      <c r="U18" s="170"/>
      <c r="V18" s="360"/>
      <c r="W18" s="359"/>
      <c r="X18" s="170"/>
      <c r="Y18" s="360"/>
      <c r="Z18" s="35"/>
      <c r="AA18" s="35"/>
      <c r="AB18" s="31"/>
      <c r="AD18" s="244"/>
      <c r="AE18" s="244"/>
      <c r="AF18" s="244"/>
      <c r="AG18" s="244"/>
      <c r="AH18" s="244"/>
      <c r="AI18" s="244"/>
      <c r="AJ18" s="244"/>
      <c r="AK18" s="244"/>
      <c r="AL18" s="244"/>
      <c r="AM18" s="244"/>
      <c r="AN18" s="244"/>
      <c r="AO18" s="244"/>
      <c r="AP18" s="244"/>
      <c r="AQ18" s="244"/>
      <c r="AR18" s="244"/>
      <c r="AS18" s="244"/>
      <c r="AT18" s="244"/>
      <c r="AU18" s="244"/>
      <c r="AV18" s="244"/>
      <c r="AW18" s="244"/>
      <c r="AX18" s="244"/>
      <c r="AY18" s="244"/>
    </row>
    <row r="19" ht="15.6" customHeight="1">
      <c r="A19" s="92" t="s">
        <v>145</v>
      </c>
      <c r="B19" s="666">
        <v>1</v>
      </c>
      <c r="C19" s="677" t="s">
        <v>48</v>
      </c>
      <c r="D19" s="678">
        <v>88.44680851063829787234042553</v>
      </c>
      <c r="E19" s="679">
        <v>131.30127236580516898608349899</v>
      </c>
      <c r="F19" s="680">
        <v>123.56077348066298342541436464</v>
      </c>
      <c r="G19" s="678"/>
      <c r="H19" s="679"/>
      <c r="I19" s="680"/>
      <c r="J19" s="678"/>
      <c r="K19" s="679"/>
      <c r="L19" s="680"/>
      <c r="M19" s="678"/>
      <c r="N19" s="679"/>
      <c r="O19" s="680"/>
      <c r="P19" s="4"/>
      <c r="Q19" s="668"/>
      <c r="R19" s="669"/>
      <c r="S19" s="670"/>
      <c r="T19" s="668"/>
      <c r="U19" s="669"/>
      <c r="V19" s="670"/>
      <c r="W19" s="668"/>
      <c r="X19" s="669"/>
      <c r="Y19" s="670"/>
      <c r="Z19" s="683"/>
      <c r="AA19" s="683"/>
      <c r="AB19" s="684"/>
      <c r="AD19" s="244"/>
      <c r="AE19" s="244"/>
      <c r="AF19" s="244"/>
      <c r="AG19" s="244"/>
      <c r="AH19" s="244"/>
      <c r="AI19" s="244"/>
      <c r="AJ19" s="244"/>
      <c r="AK19" s="244"/>
      <c r="AL19" s="244"/>
      <c r="AM19" s="244"/>
      <c r="AN19" s="244"/>
      <c r="AO19" s="244"/>
      <c r="AP19" s="244"/>
      <c r="AQ19" s="244"/>
      <c r="AR19" s="244"/>
      <c r="AS19" s="244"/>
      <c r="AT19" s="244"/>
      <c r="AU19" s="244"/>
      <c r="AV19" s="244"/>
      <c r="AW19" s="244"/>
      <c r="AX19" s="244"/>
      <c r="AY19" s="244"/>
    </row>
    <row r="20" ht="15.6" customHeight="1">
      <c r="A20" s="92"/>
      <c r="B20" s="346">
        <v>2</v>
      </c>
      <c r="C20" s="347" t="s">
        <v>50</v>
      </c>
      <c r="D20" s="378">
        <v>92.500000000</v>
      </c>
      <c r="E20" s="173">
        <v>126.59127058823529411764705883</v>
      </c>
      <c r="F20" s="379">
        <v>121.8547619047619047619047619</v>
      </c>
      <c r="G20" s="378"/>
      <c r="H20" s="173"/>
      <c r="I20" s="379"/>
      <c r="J20" s="378"/>
      <c r="K20" s="173"/>
      <c r="L20" s="379"/>
      <c r="M20" s="378"/>
      <c r="N20" s="173"/>
      <c r="O20" s="379"/>
      <c r="P20" s="4"/>
      <c r="Q20" s="359"/>
      <c r="R20" s="170"/>
      <c r="S20" s="360"/>
      <c r="T20" s="359"/>
      <c r="U20" s="170"/>
      <c r="V20" s="360"/>
      <c r="W20" s="359"/>
      <c r="X20" s="170"/>
      <c r="Y20" s="360"/>
      <c r="Z20" s="35"/>
      <c r="AA20" s="35"/>
      <c r="AB20" s="31"/>
      <c r="AD20" s="244"/>
      <c r="AE20" s="244"/>
      <c r="AF20" s="244"/>
      <c r="AG20" s="244"/>
      <c r="AH20" s="244"/>
      <c r="AI20" s="244"/>
      <c r="AJ20" s="244"/>
      <c r="AK20" s="244"/>
      <c r="AL20" s="244"/>
      <c r="AM20" s="244"/>
      <c r="AN20" s="244"/>
      <c r="AO20" s="244"/>
      <c r="AP20" s="244"/>
      <c r="AQ20" s="244"/>
      <c r="AR20" s="244"/>
      <c r="AS20" s="244"/>
      <c r="AT20" s="244"/>
      <c r="AU20" s="244"/>
      <c r="AV20" s="244"/>
      <c r="AW20" s="244"/>
      <c r="AX20" s="244"/>
      <c r="AY20" s="244"/>
    </row>
    <row r="21" ht="15.6" customHeight="1">
      <c r="A21" s="92"/>
      <c r="B21" s="344">
        <v>3</v>
      </c>
      <c r="C21" s="345" t="s">
        <v>51</v>
      </c>
      <c r="D21" s="370">
        <v>96.65217391304347826086956522</v>
      </c>
      <c r="E21" s="172">
        <v>123.34076404494382022471910112</v>
      </c>
      <c r="F21" s="371">
        <v>112.35773710482529118136439268</v>
      </c>
      <c r="G21" s="370"/>
      <c r="H21" s="172"/>
      <c r="I21" s="371"/>
      <c r="J21" s="370"/>
      <c r="K21" s="172"/>
      <c r="L21" s="371"/>
      <c r="M21" s="370"/>
      <c r="N21" s="172"/>
      <c r="O21" s="371"/>
      <c r="P21" s="4"/>
      <c r="Q21" s="327"/>
      <c r="R21" s="171"/>
      <c r="S21" s="328"/>
      <c r="T21" s="327"/>
      <c r="U21" s="171"/>
      <c r="V21" s="328"/>
      <c r="W21" s="327"/>
      <c r="X21" s="171"/>
      <c r="Y21" s="328"/>
      <c r="Z21" s="36"/>
      <c r="AA21" s="36"/>
      <c r="AB21" s="32"/>
      <c r="AD21" s="244"/>
      <c r="AE21" s="244"/>
      <c r="AF21" s="244"/>
      <c r="AG21" s="244"/>
      <c r="AH21" s="244"/>
      <c r="AI21" s="244"/>
      <c r="AJ21" s="244"/>
      <c r="AK21" s="244"/>
      <c r="AL21" s="244"/>
      <c r="AM21" s="244"/>
      <c r="AN21" s="244"/>
      <c r="AO21" s="244"/>
      <c r="AP21" s="244"/>
      <c r="AQ21" s="244"/>
      <c r="AR21" s="244"/>
      <c r="AS21" s="244"/>
      <c r="AT21" s="244"/>
      <c r="AU21" s="244"/>
      <c r="AV21" s="244"/>
      <c r="AW21" s="244"/>
      <c r="AX21" s="244"/>
      <c r="AY21" s="244"/>
    </row>
    <row r="22" ht="15.6" customHeight="1">
      <c r="A22" s="92"/>
      <c r="B22" s="346">
        <v>4</v>
      </c>
      <c r="C22" s="347" t="s">
        <v>52</v>
      </c>
      <c r="D22" s="378">
        <v>98.55555555555555555555555556</v>
      </c>
      <c r="E22" s="173">
        <v>129.79806988352745424292845257</v>
      </c>
      <c r="F22" s="379">
        <v>123.67816091954022988505747126</v>
      </c>
      <c r="G22" s="378"/>
      <c r="H22" s="173"/>
      <c r="I22" s="379"/>
      <c r="J22" s="378"/>
      <c r="K22" s="173"/>
      <c r="L22" s="379"/>
      <c r="M22" s="378"/>
      <c r="N22" s="173"/>
      <c r="O22" s="379"/>
      <c r="P22" s="4"/>
      <c r="Q22" s="359"/>
      <c r="R22" s="170"/>
      <c r="S22" s="360"/>
      <c r="T22" s="359"/>
      <c r="U22" s="170"/>
      <c r="V22" s="360"/>
      <c r="W22" s="359"/>
      <c r="X22" s="170"/>
      <c r="Y22" s="360"/>
      <c r="Z22" s="35"/>
      <c r="AA22" s="35"/>
      <c r="AB22" s="31"/>
      <c r="AD22" s="244"/>
      <c r="AE22" s="244"/>
      <c r="AF22" s="244"/>
      <c r="AG22" s="244"/>
      <c r="AH22" s="244"/>
      <c r="AI22" s="244"/>
      <c r="AJ22" s="244"/>
      <c r="AK22" s="244"/>
      <c r="AL22" s="244"/>
      <c r="AM22" s="244"/>
      <c r="AN22" s="244"/>
      <c r="AO22" s="244"/>
      <c r="AP22" s="244"/>
      <c r="AQ22" s="244"/>
      <c r="AR22" s="244"/>
      <c r="AS22" s="244"/>
      <c r="AT22" s="244"/>
      <c r="AU22" s="244"/>
      <c r="AV22" s="244"/>
      <c r="AW22" s="244"/>
      <c r="AX22" s="244"/>
      <c r="AY22" s="244"/>
    </row>
    <row r="23" ht="15.6" customHeight="1">
      <c r="A23" s="92"/>
      <c r="B23" s="344">
        <v>5</v>
      </c>
      <c r="C23" s="345" t="s">
        <v>53</v>
      </c>
      <c r="D23" s="370">
        <v>99.57333333333333333333333333</v>
      </c>
      <c r="E23" s="172">
        <v>128.97033478893740902474526929</v>
      </c>
      <c r="F23" s="371">
        <v>123.0492610837438423645320197</v>
      </c>
      <c r="G23" s="370"/>
      <c r="H23" s="172"/>
      <c r="I23" s="371"/>
      <c r="J23" s="370"/>
      <c r="K23" s="172"/>
      <c r="L23" s="371"/>
      <c r="M23" s="370"/>
      <c r="N23" s="172"/>
      <c r="O23" s="371"/>
      <c r="P23" s="4"/>
      <c r="Q23" s="327"/>
      <c r="R23" s="171"/>
      <c r="S23" s="328"/>
      <c r="T23" s="327"/>
      <c r="U23" s="171"/>
      <c r="V23" s="328"/>
      <c r="W23" s="327"/>
      <c r="X23" s="171"/>
      <c r="Y23" s="328"/>
      <c r="Z23" s="36"/>
      <c r="AA23" s="36"/>
      <c r="AB23" s="32"/>
      <c r="AD23" s="244"/>
      <c r="AE23" s="244"/>
      <c r="AF23" s="244"/>
      <c r="AG23" s="244"/>
      <c r="AH23" s="244"/>
      <c r="AI23" s="244"/>
      <c r="AJ23" s="244"/>
      <c r="AK23" s="244"/>
      <c r="AL23" s="244"/>
      <c r="AM23" s="244"/>
      <c r="AN23" s="244"/>
      <c r="AO23" s="244"/>
      <c r="AP23" s="244"/>
      <c r="AQ23" s="244"/>
      <c r="AR23" s="244"/>
      <c r="AS23" s="244"/>
      <c r="AT23" s="244"/>
      <c r="AU23" s="244"/>
      <c r="AV23" s="244"/>
      <c r="AW23" s="244"/>
      <c r="AX23" s="244"/>
      <c r="AY23" s="244"/>
    </row>
    <row r="24" ht="15.6" customHeight="1">
      <c r="A24" s="92"/>
      <c r="B24" s="346">
        <v>6</v>
      </c>
      <c r="C24" s="347" t="s">
        <v>49</v>
      </c>
      <c r="D24" s="378">
        <v>93.87096774193548387096774194</v>
      </c>
      <c r="E24" s="173">
        <v>118.37365591397849462365591398</v>
      </c>
      <c r="F24" s="379">
        <v>112.3867684478371501272264631</v>
      </c>
      <c r="G24" s="378"/>
      <c r="H24" s="173"/>
      <c r="I24" s="379"/>
      <c r="J24" s="378"/>
      <c r="K24" s="173"/>
      <c r="L24" s="379"/>
      <c r="M24" s="378"/>
      <c r="N24" s="173"/>
      <c r="O24" s="379"/>
      <c r="P24" s="4"/>
      <c r="Q24" s="359"/>
      <c r="R24" s="170"/>
      <c r="S24" s="360"/>
      <c r="T24" s="359"/>
      <c r="U24" s="170"/>
      <c r="V24" s="360"/>
      <c r="W24" s="359"/>
      <c r="X24" s="170"/>
      <c r="Y24" s="360"/>
      <c r="Z24" s="35"/>
      <c r="AA24" s="35"/>
      <c r="AB24" s="31"/>
      <c r="AD24" s="244"/>
      <c r="AE24" s="244"/>
      <c r="AF24" s="244"/>
      <c r="AG24" s="244"/>
      <c r="AH24" s="244"/>
      <c r="AI24" s="244"/>
      <c r="AJ24" s="244"/>
      <c r="AK24" s="244"/>
      <c r="AL24" s="244"/>
      <c r="AM24" s="244"/>
      <c r="AN24" s="244"/>
      <c r="AO24" s="244"/>
      <c r="AP24" s="244"/>
      <c r="AQ24" s="244"/>
      <c r="AR24" s="244"/>
      <c r="AS24" s="244"/>
      <c r="AT24" s="244"/>
      <c r="AU24" s="244"/>
      <c r="AV24" s="244"/>
      <c r="AW24" s="244"/>
      <c r="AX24" s="244"/>
      <c r="AY24" s="244"/>
    </row>
    <row r="25" ht="15.6" customHeight="1">
      <c r="A25" s="92"/>
      <c r="B25" s="344">
        <v>7</v>
      </c>
      <c r="C25" s="345" t="s">
        <v>47</v>
      </c>
      <c r="D25" s="370">
        <v>99.59090909090909090909090909</v>
      </c>
      <c r="E25" s="172">
        <v>136.46416173570019723865877711</v>
      </c>
      <c r="F25" s="371">
        <v>127.59270898805782526712759271</v>
      </c>
      <c r="G25" s="370"/>
      <c r="H25" s="172"/>
      <c r="I25" s="371"/>
      <c r="J25" s="370"/>
      <c r="K25" s="172"/>
      <c r="L25" s="371"/>
      <c r="M25" s="370"/>
      <c r="N25" s="172"/>
      <c r="O25" s="371"/>
      <c r="P25" s="4"/>
      <c r="Q25" s="327"/>
      <c r="R25" s="171"/>
      <c r="S25" s="328"/>
      <c r="T25" s="327"/>
      <c r="U25" s="171"/>
      <c r="V25" s="328"/>
      <c r="W25" s="327"/>
      <c r="X25" s="171"/>
      <c r="Y25" s="328"/>
      <c r="Z25" s="36"/>
      <c r="AA25" s="36"/>
      <c r="AB25" s="32"/>
      <c r="AD25" s="244"/>
      <c r="AE25" s="244"/>
      <c r="AF25" s="244"/>
      <c r="AG25" s="244"/>
      <c r="AH25" s="244"/>
      <c r="AI25" s="244"/>
      <c r="AJ25" s="244"/>
      <c r="AK25" s="244"/>
      <c r="AL25" s="244"/>
      <c r="AM25" s="244"/>
      <c r="AN25" s="244"/>
      <c r="AO25" s="244"/>
      <c r="AP25" s="244"/>
      <c r="AQ25" s="244"/>
      <c r="AR25" s="244"/>
      <c r="AS25" s="244"/>
      <c r="AT25" s="244"/>
      <c r="AU25" s="244"/>
      <c r="AV25" s="244"/>
      <c r="AW25" s="244"/>
      <c r="AX25" s="244"/>
      <c r="AY25" s="244"/>
    </row>
    <row r="26" ht="15.6" customHeight="1">
      <c r="A26" s="92"/>
      <c r="B26" s="346">
        <v>8</v>
      </c>
      <c r="C26" s="347" t="s">
        <v>48</v>
      </c>
      <c r="D26" s="378">
        <v>93.93181818181818181818181818</v>
      </c>
      <c r="E26" s="173">
        <v>137.18979468599033816425120773</v>
      </c>
      <c r="F26" s="379">
        <v>146.13299232736572890025575448</v>
      </c>
      <c r="G26" s="378"/>
      <c r="H26" s="173"/>
      <c r="I26" s="379"/>
      <c r="J26" s="378"/>
      <c r="K26" s="173"/>
      <c r="L26" s="379"/>
      <c r="M26" s="378"/>
      <c r="N26" s="173"/>
      <c r="O26" s="379"/>
      <c r="P26" s="4"/>
      <c r="Q26" s="359"/>
      <c r="R26" s="170"/>
      <c r="S26" s="360"/>
      <c r="T26" s="359"/>
      <c r="U26" s="170"/>
      <c r="V26" s="360"/>
      <c r="W26" s="359"/>
      <c r="X26" s="170"/>
      <c r="Y26" s="360"/>
      <c r="Z26" s="35"/>
      <c r="AA26" s="35"/>
      <c r="AB26" s="31"/>
      <c r="AD26" s="244"/>
      <c r="AE26" s="244"/>
      <c r="AF26" s="244"/>
      <c r="AG26" s="244"/>
      <c r="AH26" s="244"/>
      <c r="AI26" s="244"/>
      <c r="AJ26" s="244"/>
      <c r="AK26" s="244"/>
      <c r="AL26" s="244"/>
      <c r="AM26" s="244"/>
      <c r="AN26" s="244"/>
      <c r="AO26" s="244"/>
      <c r="AP26" s="244"/>
      <c r="AQ26" s="244"/>
      <c r="AR26" s="244"/>
      <c r="AS26" s="244"/>
      <c r="AT26" s="244"/>
      <c r="AU26" s="244"/>
      <c r="AV26" s="244"/>
      <c r="AW26" s="244"/>
      <c r="AX26" s="244"/>
      <c r="AY26" s="244"/>
    </row>
    <row r="27" ht="15.6" customHeight="1">
      <c r="A27" s="92"/>
      <c r="B27" s="344">
        <v>9</v>
      </c>
      <c r="C27" s="345" t="s">
        <v>50</v>
      </c>
      <c r="D27" s="370">
        <v>99.13483146067415730337078652</v>
      </c>
      <c r="E27" s="172">
        <v>145.56298919567827130852340936</v>
      </c>
      <c r="F27" s="371">
        <v>150.11776649746192893401015228</v>
      </c>
      <c r="G27" s="370"/>
      <c r="H27" s="172"/>
      <c r="I27" s="371"/>
      <c r="J27" s="370"/>
      <c r="K27" s="172"/>
      <c r="L27" s="371"/>
      <c r="M27" s="370"/>
      <c r="N27" s="172"/>
      <c r="O27" s="371"/>
      <c r="P27" s="4"/>
      <c r="Q27" s="327"/>
      <c r="R27" s="171"/>
      <c r="S27" s="328"/>
      <c r="T27" s="327"/>
      <c r="U27" s="171"/>
      <c r="V27" s="328"/>
      <c r="W27" s="327"/>
      <c r="X27" s="171"/>
      <c r="Y27" s="328"/>
      <c r="Z27" s="36"/>
      <c r="AA27" s="36"/>
      <c r="AB27" s="32"/>
      <c r="AD27" s="244"/>
      <c r="AE27" s="244"/>
      <c r="AF27" s="244"/>
      <c r="AG27" s="244"/>
      <c r="AH27" s="244"/>
      <c r="AI27" s="244"/>
      <c r="AJ27" s="244"/>
      <c r="AK27" s="244"/>
      <c r="AL27" s="244"/>
      <c r="AM27" s="244"/>
      <c r="AN27" s="244"/>
      <c r="AO27" s="244"/>
      <c r="AP27" s="244"/>
      <c r="AQ27" s="244"/>
      <c r="AR27" s="244"/>
      <c r="AS27" s="244"/>
      <c r="AT27" s="244"/>
      <c r="AU27" s="244"/>
      <c r="AV27" s="244"/>
      <c r="AW27" s="244"/>
      <c r="AX27" s="244"/>
      <c r="AY27" s="244"/>
    </row>
    <row r="28" ht="15.6" customHeight="1">
      <c r="A28" s="92"/>
      <c r="B28" s="346">
        <v>10</v>
      </c>
      <c r="C28" s="347" t="s">
        <v>51</v>
      </c>
      <c r="D28" s="378">
        <v>87.70588235294117647058823529</v>
      </c>
      <c r="E28" s="173">
        <v>143.81028653295128939828080228</v>
      </c>
      <c r="F28" s="379">
        <v>136.15692821368948247078464107</v>
      </c>
      <c r="G28" s="378"/>
      <c r="H28" s="173"/>
      <c r="I28" s="379"/>
      <c r="J28" s="378"/>
      <c r="K28" s="173"/>
      <c r="L28" s="379"/>
      <c r="M28" s="378"/>
      <c r="N28" s="173"/>
      <c r="O28" s="379"/>
      <c r="P28" s="4"/>
      <c r="Q28" s="359"/>
      <c r="R28" s="170"/>
      <c r="S28" s="360"/>
      <c r="T28" s="359"/>
      <c r="U28" s="170"/>
      <c r="V28" s="360"/>
      <c r="W28" s="359"/>
      <c r="X28" s="170"/>
      <c r="Y28" s="360"/>
      <c r="Z28" s="35"/>
      <c r="AA28" s="35"/>
      <c r="AB28" s="31"/>
      <c r="AD28" s="244"/>
      <c r="AE28" s="244"/>
      <c r="AF28" s="244"/>
      <c r="AG28" s="244"/>
      <c r="AH28" s="244"/>
      <c r="AI28" s="244"/>
      <c r="AJ28" s="244"/>
      <c r="AK28" s="244"/>
      <c r="AL28" s="244"/>
      <c r="AM28" s="244"/>
      <c r="AN28" s="244"/>
      <c r="AO28" s="244"/>
      <c r="AP28" s="244"/>
      <c r="AQ28" s="244"/>
      <c r="AR28" s="244"/>
      <c r="AS28" s="244"/>
      <c r="AT28" s="244"/>
      <c r="AU28" s="244"/>
      <c r="AV28" s="244"/>
      <c r="AW28" s="244"/>
      <c r="AX28" s="244"/>
      <c r="AY28" s="244"/>
    </row>
    <row r="29" ht="15.6" customHeight="1">
      <c r="A29" s="92"/>
      <c r="B29" s="344">
        <v>11</v>
      </c>
      <c r="C29" s="345" t="s">
        <v>52</v>
      </c>
      <c r="D29" s="370">
        <v>106.71428571428571428571428571</v>
      </c>
      <c r="E29" s="172">
        <v>133.2245265888456549935149157</v>
      </c>
      <c r="F29" s="371">
        <v>126.18266433973240255962769052</v>
      </c>
      <c r="G29" s="370"/>
      <c r="H29" s="172"/>
      <c r="I29" s="371"/>
      <c r="J29" s="370"/>
      <c r="K29" s="172"/>
      <c r="L29" s="371"/>
      <c r="M29" s="370"/>
      <c r="N29" s="172"/>
      <c r="O29" s="371"/>
      <c r="P29" s="4"/>
      <c r="Q29" s="327"/>
      <c r="R29" s="171"/>
      <c r="S29" s="328"/>
      <c r="T29" s="327"/>
      <c r="U29" s="171"/>
      <c r="V29" s="328"/>
      <c r="W29" s="327"/>
      <c r="X29" s="171"/>
      <c r="Y29" s="328"/>
      <c r="Z29" s="36"/>
      <c r="AA29" s="36"/>
      <c r="AB29" s="32"/>
      <c r="AD29" s="244"/>
      <c r="AE29" s="244"/>
      <c r="AF29" s="244"/>
      <c r="AG29" s="244"/>
      <c r="AH29" s="244"/>
      <c r="AI29" s="244"/>
      <c r="AJ29" s="244"/>
      <c r="AK29" s="244"/>
      <c r="AL29" s="244"/>
      <c r="AM29" s="244"/>
      <c r="AN29" s="244"/>
      <c r="AO29" s="244"/>
      <c r="AP29" s="244"/>
      <c r="AQ29" s="244"/>
      <c r="AR29" s="244"/>
      <c r="AS29" s="244"/>
      <c r="AT29" s="244"/>
      <c r="AU29" s="244"/>
      <c r="AV29" s="244"/>
      <c r="AW29" s="244"/>
      <c r="AX29" s="244"/>
      <c r="AY29" s="244"/>
    </row>
    <row r="30" ht="15.6" customHeight="1">
      <c r="A30" s="92"/>
      <c r="B30" s="346">
        <v>12</v>
      </c>
      <c r="C30" s="347" t="s">
        <v>53</v>
      </c>
      <c r="D30" s="378">
        <v>100.66037735849056603773584906</v>
      </c>
      <c r="E30" s="173">
        <v>133.55950649350649350649350649</v>
      </c>
      <c r="F30" s="379">
        <v>125.84216795711733174508636093</v>
      </c>
      <c r="G30" s="378"/>
      <c r="H30" s="173"/>
      <c r="I30" s="379"/>
      <c r="J30" s="378"/>
      <c r="K30" s="173"/>
      <c r="L30" s="379"/>
      <c r="M30" s="378"/>
      <c r="N30" s="173"/>
      <c r="O30" s="379"/>
      <c r="P30" s="4"/>
      <c r="Q30" s="359"/>
      <c r="R30" s="170"/>
      <c r="S30" s="360"/>
      <c r="T30" s="359"/>
      <c r="U30" s="170"/>
      <c r="V30" s="360"/>
      <c r="W30" s="359"/>
      <c r="X30" s="170"/>
      <c r="Y30" s="360"/>
      <c r="Z30" s="35"/>
      <c r="AA30" s="35"/>
      <c r="AB30" s="31"/>
      <c r="AD30" s="244"/>
      <c r="AE30" s="244"/>
      <c r="AF30" s="244"/>
      <c r="AG30" s="244"/>
      <c r="AH30" s="244"/>
      <c r="AI30" s="244"/>
      <c r="AJ30" s="244"/>
      <c r="AK30" s="244"/>
      <c r="AL30" s="244"/>
      <c r="AM30" s="244"/>
      <c r="AN30" s="244"/>
      <c r="AO30" s="244"/>
      <c r="AP30" s="244"/>
      <c r="AQ30" s="244"/>
      <c r="AR30" s="244"/>
      <c r="AS30" s="244"/>
      <c r="AT30" s="244"/>
      <c r="AU30" s="244"/>
      <c r="AV30" s="244"/>
      <c r="AW30" s="244"/>
      <c r="AX30" s="244"/>
      <c r="AY30" s="244"/>
    </row>
    <row r="31" ht="15.6" customHeight="1">
      <c r="A31" s="92"/>
      <c r="B31" s="344">
        <v>13</v>
      </c>
      <c r="C31" s="345" t="s">
        <v>49</v>
      </c>
      <c r="D31" s="370">
        <v>90.000000000</v>
      </c>
      <c r="E31" s="172">
        <v>122.43809210526315789473684211</v>
      </c>
      <c r="F31" s="371">
        <v>114.784693019343986543313709</v>
      </c>
      <c r="G31" s="370"/>
      <c r="H31" s="172"/>
      <c r="I31" s="371"/>
      <c r="J31" s="370"/>
      <c r="K31" s="172"/>
      <c r="L31" s="371"/>
      <c r="M31" s="370"/>
      <c r="N31" s="172"/>
      <c r="O31" s="371"/>
      <c r="P31" s="4"/>
      <c r="Q31" s="327"/>
      <c r="R31" s="171"/>
      <c r="S31" s="328"/>
      <c r="T31" s="327"/>
      <c r="U31" s="171"/>
      <c r="V31" s="328"/>
      <c r="W31" s="327"/>
      <c r="X31" s="171"/>
      <c r="Y31" s="328"/>
      <c r="Z31" s="36"/>
      <c r="AA31" s="36"/>
      <c r="AB31" s="32"/>
      <c r="AD31" s="244"/>
      <c r="AE31" s="244"/>
      <c r="AF31" s="244"/>
      <c r="AG31" s="244"/>
      <c r="AH31" s="244"/>
      <c r="AI31" s="244"/>
      <c r="AJ31" s="244"/>
      <c r="AK31" s="244"/>
      <c r="AL31" s="244"/>
      <c r="AM31" s="244"/>
      <c r="AN31" s="244"/>
      <c r="AO31" s="244"/>
      <c r="AP31" s="244"/>
      <c r="AQ31" s="244"/>
      <c r="AR31" s="244"/>
      <c r="AS31" s="244"/>
      <c r="AT31" s="244"/>
      <c r="AU31" s="244"/>
      <c r="AV31" s="244"/>
      <c r="AW31" s="244"/>
      <c r="AX31" s="244"/>
      <c r="AY31" s="244"/>
    </row>
    <row r="32" ht="15.6" customHeight="1">
      <c r="A32" s="92"/>
      <c r="B32" s="346">
        <v>14</v>
      </c>
      <c r="C32" s="347" t="s">
        <v>47</v>
      </c>
      <c r="D32" s="378">
        <v>95.23636363636363636363636364</v>
      </c>
      <c r="E32" s="173">
        <v>140.55796577946768060836501902</v>
      </c>
      <c r="F32" s="379">
        <v>132.78784336645236703682057276</v>
      </c>
      <c r="G32" s="378"/>
      <c r="H32" s="173"/>
      <c r="I32" s="379"/>
      <c r="J32" s="378"/>
      <c r="K32" s="173"/>
      <c r="L32" s="379"/>
      <c r="M32" s="378"/>
      <c r="N32" s="173"/>
      <c r="O32" s="379"/>
      <c r="P32" s="4"/>
      <c r="Q32" s="359"/>
      <c r="R32" s="170"/>
      <c r="S32" s="360"/>
      <c r="T32" s="359"/>
      <c r="U32" s="170"/>
      <c r="V32" s="360"/>
      <c r="W32" s="359"/>
      <c r="X32" s="170"/>
      <c r="Y32" s="360"/>
      <c r="Z32" s="35"/>
      <c r="AA32" s="35"/>
      <c r="AB32" s="31"/>
      <c r="AD32" s="244"/>
      <c r="AE32" s="244"/>
      <c r="AF32" s="244"/>
      <c r="AG32" s="244"/>
      <c r="AH32" s="244"/>
      <c r="AI32" s="244"/>
      <c r="AJ32" s="244"/>
      <c r="AK32" s="244"/>
      <c r="AL32" s="244"/>
      <c r="AM32" s="244"/>
      <c r="AN32" s="244"/>
      <c r="AO32" s="244"/>
      <c r="AP32" s="244"/>
      <c r="AQ32" s="244"/>
      <c r="AR32" s="244"/>
      <c r="AS32" s="244"/>
      <c r="AT32" s="244"/>
      <c r="AU32" s="244"/>
      <c r="AV32" s="244"/>
      <c r="AW32" s="244"/>
      <c r="AX32" s="244"/>
      <c r="AY32" s="244"/>
    </row>
    <row r="33" ht="15.6" customHeight="1">
      <c r="A33" s="92"/>
      <c r="B33" s="344">
        <v>15</v>
      </c>
      <c r="C33" s="345" t="s">
        <v>48</v>
      </c>
      <c r="D33" s="370">
        <v>102.55555555555555555555555556</v>
      </c>
      <c r="E33" s="172">
        <v>142.56042582417582417582417582</v>
      </c>
      <c r="F33" s="371">
        <v>144.03815995818086774699424987</v>
      </c>
      <c r="G33" s="370"/>
      <c r="H33" s="172"/>
      <c r="I33" s="371"/>
      <c r="J33" s="370"/>
      <c r="K33" s="172"/>
      <c r="L33" s="371"/>
      <c r="M33" s="370"/>
      <c r="N33" s="172"/>
      <c r="O33" s="371"/>
      <c r="P33" s="4"/>
      <c r="Q33" s="327"/>
      <c r="R33" s="171"/>
      <c r="S33" s="328"/>
      <c r="T33" s="327"/>
      <c r="U33" s="171"/>
      <c r="V33" s="328"/>
      <c r="W33" s="327"/>
      <c r="X33" s="171"/>
      <c r="Y33" s="328"/>
      <c r="Z33" s="36"/>
      <c r="AA33" s="36"/>
      <c r="AB33" s="32"/>
      <c r="AD33" s="244"/>
      <c r="AE33" s="244"/>
      <c r="AF33" s="244"/>
      <c r="AG33" s="244"/>
      <c r="AH33" s="244"/>
      <c r="AI33" s="244"/>
      <c r="AJ33" s="244"/>
      <c r="AK33" s="244"/>
      <c r="AL33" s="244"/>
      <c r="AM33" s="244"/>
      <c r="AN33" s="244"/>
      <c r="AO33" s="244"/>
      <c r="AP33" s="244"/>
      <c r="AQ33" s="244"/>
      <c r="AR33" s="244"/>
      <c r="AS33" s="244"/>
      <c r="AT33" s="244"/>
      <c r="AU33" s="244"/>
      <c r="AV33" s="244"/>
      <c r="AW33" s="244"/>
      <c r="AX33" s="244"/>
      <c r="AY33" s="244"/>
    </row>
    <row r="34" ht="15.6" customHeight="1">
      <c r="A34" s="92"/>
      <c r="B34" s="346">
        <v>16</v>
      </c>
      <c r="C34" s="347" t="s">
        <v>50</v>
      </c>
      <c r="D34" s="378">
        <v>98.687500000</v>
      </c>
      <c r="E34" s="173">
        <v>137.5721393841166936790923825</v>
      </c>
      <c r="F34" s="379">
        <v>142.08777969018932874354561102</v>
      </c>
      <c r="G34" s="378"/>
      <c r="H34" s="173"/>
      <c r="I34" s="379"/>
      <c r="J34" s="378"/>
      <c r="K34" s="173"/>
      <c r="L34" s="379"/>
      <c r="M34" s="378"/>
      <c r="N34" s="173"/>
      <c r="O34" s="379"/>
      <c r="P34" s="4"/>
      <c r="Q34" s="359"/>
      <c r="R34" s="170"/>
      <c r="S34" s="360"/>
      <c r="T34" s="359"/>
      <c r="U34" s="170"/>
      <c r="V34" s="360"/>
      <c r="W34" s="359"/>
      <c r="X34" s="170"/>
      <c r="Y34" s="360"/>
      <c r="Z34" s="35"/>
      <c r="AA34" s="35"/>
      <c r="AB34" s="31"/>
      <c r="AD34" s="244"/>
      <c r="AE34" s="244"/>
      <c r="AF34" s="244"/>
      <c r="AG34" s="244"/>
      <c r="AH34" s="244"/>
      <c r="AI34" s="244"/>
      <c r="AJ34" s="244"/>
      <c r="AK34" s="244"/>
      <c r="AL34" s="244"/>
      <c r="AM34" s="244"/>
      <c r="AN34" s="244"/>
      <c r="AO34" s="244"/>
      <c r="AP34" s="244"/>
      <c r="AQ34" s="244"/>
      <c r="AR34" s="244"/>
      <c r="AS34" s="244"/>
      <c r="AT34" s="244"/>
      <c r="AU34" s="244"/>
      <c r="AV34" s="244"/>
      <c r="AW34" s="244"/>
      <c r="AX34" s="244"/>
      <c r="AY34" s="244"/>
    </row>
    <row r="35" ht="15.6" customHeight="1">
      <c r="A35" s="92"/>
      <c r="B35" s="344">
        <v>17</v>
      </c>
      <c r="C35" s="345" t="s">
        <v>51</v>
      </c>
      <c r="D35" s="370">
        <v>92.28787878787878787878787879</v>
      </c>
      <c r="E35" s="172">
        <v>134.3840504201680672268907563</v>
      </c>
      <c r="F35" s="371">
        <v>128.12130735386549340037712131</v>
      </c>
      <c r="G35" s="370"/>
      <c r="H35" s="172"/>
      <c r="I35" s="371"/>
      <c r="J35" s="370"/>
      <c r="K35" s="172"/>
      <c r="L35" s="371"/>
      <c r="M35" s="370"/>
      <c r="N35" s="172"/>
      <c r="O35" s="371"/>
      <c r="P35" s="4"/>
      <c r="Q35" s="327"/>
      <c r="R35" s="171"/>
      <c r="S35" s="328"/>
      <c r="T35" s="327"/>
      <c r="U35" s="171"/>
      <c r="V35" s="328"/>
      <c r="W35" s="327"/>
      <c r="X35" s="171"/>
      <c r="Y35" s="328"/>
      <c r="Z35" s="36"/>
      <c r="AA35" s="36"/>
      <c r="AB35" s="32"/>
      <c r="AD35" s="244"/>
      <c r="AE35" s="244"/>
      <c r="AF35" s="244"/>
      <c r="AG35" s="244"/>
      <c r="AH35" s="244"/>
      <c r="AI35" s="244"/>
      <c r="AJ35" s="244"/>
      <c r="AK35" s="244"/>
      <c r="AL35" s="244"/>
      <c r="AM35" s="244"/>
      <c r="AN35" s="244"/>
      <c r="AO35" s="244"/>
      <c r="AP35" s="244"/>
      <c r="AQ35" s="244"/>
      <c r="AR35" s="244"/>
      <c r="AS35" s="244"/>
      <c r="AT35" s="244"/>
      <c r="AU35" s="244"/>
      <c r="AV35" s="244"/>
      <c r="AW35" s="244"/>
      <c r="AX35" s="244"/>
      <c r="AY35" s="244"/>
    </row>
    <row r="36" ht="15.6" customHeight="1">
      <c r="A36" s="92"/>
      <c r="B36" s="346">
        <v>18</v>
      </c>
      <c r="C36" s="347" t="s">
        <v>52</v>
      </c>
      <c r="D36" s="378">
        <v>104.020000000</v>
      </c>
      <c r="E36" s="173">
        <v>127.64540777917189460476787953</v>
      </c>
      <c r="F36" s="379">
        <v>122.66333137139493819894055327</v>
      </c>
      <c r="G36" s="378"/>
      <c r="H36" s="173"/>
      <c r="I36" s="379"/>
      <c r="J36" s="378"/>
      <c r="K36" s="173"/>
      <c r="L36" s="379"/>
      <c r="M36" s="378"/>
      <c r="N36" s="173"/>
      <c r="O36" s="379"/>
      <c r="P36" s="4"/>
      <c r="Q36" s="359"/>
      <c r="R36" s="170"/>
      <c r="S36" s="360"/>
      <c r="T36" s="359"/>
      <c r="U36" s="170"/>
      <c r="V36" s="360"/>
      <c r="W36" s="359"/>
      <c r="X36" s="170"/>
      <c r="Y36" s="360"/>
      <c r="Z36" s="35"/>
      <c r="AA36" s="35"/>
      <c r="AB36" s="31"/>
      <c r="AD36" s="244"/>
      <c r="AE36" s="244"/>
      <c r="AF36" s="244"/>
      <c r="AG36" s="244"/>
      <c r="AH36" s="244"/>
      <c r="AI36" s="244"/>
      <c r="AJ36" s="244"/>
      <c r="AK36" s="244"/>
      <c r="AL36" s="244"/>
      <c r="AM36" s="244"/>
      <c r="AN36" s="244"/>
      <c r="AO36" s="244"/>
      <c r="AP36" s="244"/>
      <c r="AQ36" s="244"/>
      <c r="AR36" s="244"/>
      <c r="AS36" s="244"/>
      <c r="AT36" s="244"/>
      <c r="AU36" s="244"/>
      <c r="AV36" s="244"/>
      <c r="AW36" s="244"/>
      <c r="AX36" s="244"/>
      <c r="AY36" s="244"/>
    </row>
    <row r="37" ht="15.6" customHeight="1">
      <c r="A37" s="92"/>
      <c r="B37" s="348">
        <v>19</v>
      </c>
      <c r="C37" s="349" t="s">
        <v>53</v>
      </c>
      <c r="D37" s="380">
        <v>102.80612244897959183673469388</v>
      </c>
      <c r="E37" s="383">
        <v>131.22871465295629820051413882</v>
      </c>
      <c r="F37" s="381">
        <v>124.85799880167765128819652487</v>
      </c>
      <c r="G37" s="380"/>
      <c r="H37" s="383"/>
      <c r="I37" s="381"/>
      <c r="J37" s="380"/>
      <c r="K37" s="383"/>
      <c r="L37" s="381"/>
      <c r="M37" s="380"/>
      <c r="N37" s="383"/>
      <c r="O37" s="381"/>
      <c r="P37" s="4"/>
      <c r="Q37" s="329"/>
      <c r="R37" s="330"/>
      <c r="S37" s="332"/>
      <c r="T37" s="329"/>
      <c r="U37" s="330"/>
      <c r="V37" s="332"/>
      <c r="W37" s="329"/>
      <c r="X37" s="330"/>
      <c r="Y37" s="332"/>
      <c r="Z37" s="37"/>
      <c r="AA37" s="37"/>
      <c r="AB37" s="33"/>
      <c r="AD37" s="244"/>
      <c r="AE37" s="244"/>
      <c r="AF37" s="244"/>
      <c r="AG37" s="244"/>
      <c r="AH37" s="244"/>
      <c r="AI37" s="244"/>
      <c r="AJ37" s="244"/>
      <c r="AK37" s="244"/>
      <c r="AL37" s="244"/>
      <c r="AM37" s="244"/>
      <c r="AN37" s="244"/>
      <c r="AO37" s="244"/>
      <c r="AP37" s="244"/>
      <c r="AQ37" s="244"/>
      <c r="AR37" s="244"/>
      <c r="AS37" s="244"/>
      <c r="AT37" s="244"/>
      <c r="AU37" s="244"/>
      <c r="AV37" s="244"/>
      <c r="AW37" s="244"/>
      <c r="AX37" s="244"/>
      <c r="AY37" s="244"/>
    </row>
    <row r="38" ht="21" customHeight="1">
      <c r="B38" s="54"/>
      <c r="C38"/>
      <c r="D38" s="169"/>
      <c r="E38" s="169"/>
      <c r="F38" s="169"/>
      <c r="G38" s="169"/>
      <c r="H38" s="169"/>
      <c r="I38" s="169"/>
      <c r="J38" s="169"/>
      <c r="K38" s="169"/>
      <c r="L38" s="169"/>
      <c r="M38" s="169"/>
      <c r="N38" s="169"/>
      <c r="O38" s="169"/>
      <c r="P38" s="4"/>
      <c r="Q38" s="4"/>
      <c r="R38" s="4"/>
      <c r="S38" s="4"/>
      <c r="T38" s="4"/>
      <c r="U38" s="4"/>
      <c r="V38" s="4"/>
      <c r="W38" s="4"/>
      <c r="X38" s="4"/>
      <c r="Y38" s="4"/>
      <c r="AD38" s="244"/>
      <c r="AE38" s="244"/>
      <c r="AF38" s="244"/>
      <c r="AG38" s="244"/>
      <c r="AH38" s="244"/>
      <c r="AI38" s="244"/>
      <c r="AJ38" s="244"/>
      <c r="AK38" s="244"/>
      <c r="AL38" s="244"/>
      <c r="AM38" s="244"/>
      <c r="AN38" s="244"/>
      <c r="AO38" s="244"/>
      <c r="AP38" s="244"/>
      <c r="AQ38" s="244"/>
      <c r="AR38" s="244"/>
      <c r="AS38" s="244"/>
      <c r="AT38" s="244"/>
      <c r="AU38" s="244"/>
      <c r="AV38" s="244"/>
      <c r="AW38" s="244"/>
      <c r="AX38" s="244"/>
      <c r="AY38" s="244"/>
    </row>
    <row r="39" ht="15.6" customHeight="1">
      <c r="A39" s="54"/>
      <c r="B39" s="53"/>
      <c r="C39" s="53" t="s">
        <v>14</v>
      </c>
      <c r="D39" s="374">
        <v>91.33333333333333333333333333</v>
      </c>
      <c r="E39" s="382">
        <v>125.55421752265861027190332326</v>
      </c>
      <c r="F39" s="375">
        <v>115.31298648095043015157722245</v>
      </c>
      <c r="G39" s="374"/>
      <c r="H39" s="382"/>
      <c r="I39" s="375"/>
      <c r="J39" s="374"/>
      <c r="K39" s="382"/>
      <c r="L39" s="375"/>
      <c r="M39" s="374"/>
      <c r="N39" s="382"/>
      <c r="O39" s="375"/>
      <c r="P39" s="4"/>
      <c r="Q39" s="354"/>
      <c r="R39" s="355"/>
      <c r="S39" s="356"/>
      <c r="T39" s="354"/>
      <c r="U39" s="355"/>
      <c r="V39" s="356"/>
      <c r="W39" s="354"/>
      <c r="X39" s="355"/>
      <c r="Y39" s="356"/>
      <c r="Z39" s="38"/>
      <c r="AA39" s="38"/>
      <c r="AB39" s="34"/>
      <c r="AD39" s="244"/>
      <c r="AE39" s="244"/>
      <c r="AF39" s="244"/>
      <c r="AG39" s="244"/>
      <c r="AH39" s="244"/>
      <c r="AI39" s="244"/>
      <c r="AJ39" s="244"/>
      <c r="AK39" s="244"/>
      <c r="AL39" s="244"/>
      <c r="AM39" s="244"/>
      <c r="AN39" s="244"/>
      <c r="AO39" s="244"/>
      <c r="AP39" s="244"/>
      <c r="AQ39" s="244"/>
      <c r="AR39" s="244"/>
      <c r="AS39" s="244"/>
      <c r="AT39" s="244"/>
      <c r="AU39" s="244"/>
      <c r="AV39" s="244"/>
      <c r="AW39" s="244"/>
      <c r="AX39" s="244"/>
      <c r="AY39" s="244"/>
    </row>
    <row r="40" ht="15.6" customHeight="1">
      <c r="A40" s="54"/>
      <c r="C40" s="53" t="s">
        <v>15</v>
      </c>
      <c r="D40" s="370">
        <v>97.424000000</v>
      </c>
      <c r="E40" s="172">
        <v>137.32300832925036746692797648</v>
      </c>
      <c r="F40" s="371">
        <v>129.02245624903205823137680037</v>
      </c>
      <c r="G40" s="370"/>
      <c r="H40" s="172"/>
      <c r="I40" s="371"/>
      <c r="J40" s="370"/>
      <c r="K40" s="172"/>
      <c r="L40" s="371"/>
      <c r="M40" s="370"/>
      <c r="N40" s="172"/>
      <c r="O40" s="371"/>
      <c r="P40" s="4"/>
      <c r="Q40" s="327"/>
      <c r="R40" s="171"/>
      <c r="S40" s="328"/>
      <c r="T40" s="327"/>
      <c r="U40" s="171"/>
      <c r="V40" s="328"/>
      <c r="W40" s="327"/>
      <c r="X40" s="171"/>
      <c r="Y40" s="328"/>
      <c r="Z40" s="36"/>
      <c r="AA40" s="36"/>
      <c r="AB40" s="32"/>
      <c r="AD40" s="244"/>
      <c r="AE40" s="244"/>
      <c r="AF40" s="244"/>
      <c r="AG40" s="244"/>
      <c r="AH40" s="244"/>
      <c r="AI40" s="244"/>
      <c r="AJ40" s="244"/>
      <c r="AK40" s="244"/>
      <c r="AL40" s="244"/>
      <c r="AM40" s="244"/>
      <c r="AN40" s="244"/>
      <c r="AO40" s="244"/>
      <c r="AP40" s="244"/>
      <c r="AQ40" s="244"/>
      <c r="AR40" s="244"/>
      <c r="AS40" s="244"/>
      <c r="AT40" s="244"/>
      <c r="AU40" s="244"/>
      <c r="AV40" s="244"/>
      <c r="AW40" s="244"/>
      <c r="AX40" s="244"/>
      <c r="AY40" s="244"/>
    </row>
    <row r="41" ht="15.6" customHeight="1">
      <c r="A41" s="54"/>
      <c r="B41" s="22"/>
      <c r="C41" s="53" t="s">
        <v>16</v>
      </c>
      <c r="D41" s="378">
        <v>97.000000000</v>
      </c>
      <c r="E41" s="173">
        <v>139.21598826549321598826549321</v>
      </c>
      <c r="F41" s="379">
        <v>139.81368186874304783092324805</v>
      </c>
      <c r="G41" s="378"/>
      <c r="H41" s="173"/>
      <c r="I41" s="379"/>
      <c r="J41" s="378"/>
      <c r="K41" s="173"/>
      <c r="L41" s="379"/>
      <c r="M41" s="378"/>
      <c r="N41" s="173"/>
      <c r="O41" s="379"/>
      <c r="P41" s="4"/>
      <c r="Q41" s="359"/>
      <c r="R41" s="170"/>
      <c r="S41" s="360"/>
      <c r="T41" s="359"/>
      <c r="U41" s="170"/>
      <c r="V41" s="360"/>
      <c r="W41" s="359"/>
      <c r="X41" s="170"/>
      <c r="Y41" s="360"/>
      <c r="Z41" s="35"/>
      <c r="AA41" s="35"/>
      <c r="AB41" s="31"/>
      <c r="AD41" s="244"/>
      <c r="AE41" s="244"/>
      <c r="AF41" s="244"/>
      <c r="AG41" s="244"/>
      <c r="AH41" s="244"/>
      <c r="AI41" s="244"/>
      <c r="AJ41" s="244"/>
      <c r="AK41" s="244"/>
      <c r="AL41" s="244"/>
      <c r="AM41" s="244"/>
      <c r="AN41" s="244"/>
      <c r="AO41" s="244"/>
      <c r="AP41" s="244"/>
      <c r="AQ41" s="244"/>
      <c r="AR41" s="244"/>
      <c r="AS41" s="244"/>
      <c r="AT41" s="244"/>
      <c r="AU41" s="244"/>
      <c r="AV41" s="244"/>
      <c r="AW41" s="244"/>
      <c r="AX41" s="244"/>
      <c r="AY41" s="244"/>
    </row>
    <row r="42" ht="15.6" customHeight="1">
      <c r="A42" s="54"/>
      <c r="B42" s="22"/>
      <c r="C42" s="53" t="s">
        <v>17</v>
      </c>
      <c r="D42" s="370">
        <v>97.73619631901840490797546012</v>
      </c>
      <c r="E42" s="172">
        <v>140.79816365007541478129713424</v>
      </c>
      <c r="F42" s="371">
        <v>140.15006601144198327710136424</v>
      </c>
      <c r="G42" s="370"/>
      <c r="H42" s="172"/>
      <c r="I42" s="371"/>
      <c r="J42" s="370"/>
      <c r="K42" s="172"/>
      <c r="L42" s="371"/>
      <c r="M42" s="370"/>
      <c r="N42" s="172"/>
      <c r="O42" s="371"/>
      <c r="P42" s="4"/>
      <c r="Q42" s="327"/>
      <c r="R42" s="171"/>
      <c r="S42" s="328"/>
      <c r="T42" s="327"/>
      <c r="U42" s="171"/>
      <c r="V42" s="328"/>
      <c r="W42" s="327"/>
      <c r="X42" s="171"/>
      <c r="Y42" s="328"/>
      <c r="Z42" s="36"/>
      <c r="AA42" s="36"/>
      <c r="AB42" s="32"/>
      <c r="AD42" s="244"/>
      <c r="AE42" s="244"/>
      <c r="AF42" s="244"/>
      <c r="AG42" s="244"/>
      <c r="AH42" s="244"/>
      <c r="AI42" s="244"/>
      <c r="AJ42" s="244"/>
      <c r="AK42" s="244"/>
      <c r="AL42" s="244"/>
      <c r="AM42" s="244"/>
      <c r="AN42" s="244"/>
      <c r="AO42" s="244"/>
      <c r="AP42" s="244"/>
      <c r="AQ42" s="244"/>
      <c r="AR42" s="244"/>
      <c r="AS42" s="244"/>
      <c r="AT42" s="244"/>
      <c r="AU42" s="244"/>
      <c r="AV42" s="244"/>
      <c r="AW42" s="244"/>
      <c r="AX42" s="244"/>
      <c r="AY42" s="244"/>
    </row>
    <row r="43" ht="15.6" customHeight="1">
      <c r="A43" s="54"/>
      <c r="B43" s="22"/>
      <c r="C43" s="53" t="s">
        <v>18</v>
      </c>
      <c r="D43" s="378">
        <v>93.9960474308300395256916996</v>
      </c>
      <c r="E43" s="173">
        <v>140.54329996350374278050436296</v>
      </c>
      <c r="F43" s="379">
        <v>127.68407561678949054790131368</v>
      </c>
      <c r="G43" s="378"/>
      <c r="H43" s="173"/>
      <c r="I43" s="379"/>
      <c r="J43" s="378"/>
      <c r="K43" s="173"/>
      <c r="L43" s="379"/>
      <c r="M43" s="378"/>
      <c r="N43" s="173"/>
      <c r="O43" s="379"/>
      <c r="P43" s="4"/>
      <c r="Q43" s="359"/>
      <c r="R43" s="170"/>
      <c r="S43" s="360"/>
      <c r="T43" s="359"/>
      <c r="U43" s="170"/>
      <c r="V43" s="360"/>
      <c r="W43" s="359"/>
      <c r="X43" s="170"/>
      <c r="Y43" s="360"/>
      <c r="Z43" s="35"/>
      <c r="AA43" s="35"/>
      <c r="AB43" s="31"/>
      <c r="AD43" s="244"/>
      <c r="AE43" s="244"/>
      <c r="AF43" s="244"/>
      <c r="AG43" s="244"/>
      <c r="AH43" s="244"/>
      <c r="AI43" s="244"/>
      <c r="AJ43" s="244"/>
      <c r="AK43" s="244"/>
      <c r="AL43" s="244"/>
      <c r="AM43" s="244"/>
      <c r="AN43" s="244"/>
      <c r="AO43" s="244"/>
      <c r="AP43" s="244"/>
      <c r="AQ43" s="244"/>
      <c r="AR43" s="244"/>
      <c r="AS43" s="244"/>
      <c r="AT43" s="244"/>
      <c r="AU43" s="244"/>
      <c r="AV43" s="244"/>
      <c r="AW43" s="244"/>
      <c r="AX43" s="244"/>
      <c r="AY43" s="244"/>
    </row>
    <row r="44" ht="15.6" customHeight="1">
      <c r="A44" s="54"/>
      <c r="B44" s="22"/>
      <c r="C44" s="53" t="s">
        <v>19</v>
      </c>
      <c r="D44" s="370">
        <v>106.05555555555555555555555556</v>
      </c>
      <c r="E44" s="172">
        <v>132.73416837082481254260395364</v>
      </c>
      <c r="F44" s="371">
        <v>123.57740146860482541585493781</v>
      </c>
      <c r="G44" s="370"/>
      <c r="H44" s="172"/>
      <c r="I44" s="371"/>
      <c r="J44" s="370"/>
      <c r="K44" s="172"/>
      <c r="L44" s="371"/>
      <c r="M44" s="370"/>
      <c r="N44" s="172"/>
      <c r="O44" s="371"/>
      <c r="P44" s="4"/>
      <c r="Q44" s="327"/>
      <c r="R44" s="171"/>
      <c r="S44" s="328"/>
      <c r="T44" s="327"/>
      <c r="U44" s="171"/>
      <c r="V44" s="328"/>
      <c r="W44" s="327"/>
      <c r="X44" s="171"/>
      <c r="Y44" s="328"/>
      <c r="Z44" s="36"/>
      <c r="AA44" s="36"/>
      <c r="AB44" s="32"/>
      <c r="AD44" s="244"/>
      <c r="AE44" s="244"/>
      <c r="AF44" s="244"/>
      <c r="AG44" s="244"/>
      <c r="AH44" s="244"/>
      <c r="AI44" s="244"/>
      <c r="AJ44" s="244"/>
      <c r="AK44" s="244"/>
      <c r="AL44" s="244"/>
      <c r="AM44" s="244"/>
      <c r="AN44" s="244"/>
      <c r="AO44" s="244"/>
      <c r="AP44" s="244"/>
      <c r="AQ44" s="244"/>
      <c r="AR44" s="244"/>
      <c r="AS44" s="244"/>
      <c r="AT44" s="244"/>
      <c r="AU44" s="244"/>
      <c r="AV44" s="244"/>
      <c r="AW44" s="244"/>
      <c r="AX44" s="244"/>
      <c r="AY44" s="244"/>
    </row>
    <row r="45" ht="15.6" customHeight="1">
      <c r="A45" s="54"/>
      <c r="B45" s="22"/>
      <c r="C45" s="53" t="s">
        <v>20</v>
      </c>
      <c r="D45" s="384">
        <v>100.7668393782383419689119171</v>
      </c>
      <c r="E45" s="385">
        <v>132.26199734571997345719973457</v>
      </c>
      <c r="F45" s="386">
        <v>123.7992090051718892607240645</v>
      </c>
      <c r="G45" s="384"/>
      <c r="H45" s="385"/>
      <c r="I45" s="386"/>
      <c r="J45" s="384"/>
      <c r="K45" s="385"/>
      <c r="L45" s="386"/>
      <c r="M45" s="384"/>
      <c r="N45" s="385"/>
      <c r="O45" s="386"/>
      <c r="P45" s="4"/>
      <c r="Q45" s="364"/>
      <c r="R45" s="365"/>
      <c r="S45" s="366"/>
      <c r="T45" s="364"/>
      <c r="U45" s="365"/>
      <c r="V45" s="366"/>
      <c r="W45" s="364"/>
      <c r="X45" s="365"/>
      <c r="Y45" s="366"/>
      <c r="Z45" s="56"/>
      <c r="AA45" s="56"/>
      <c r="AB45" s="55"/>
      <c r="AD45" s="244"/>
      <c r="AE45" s="244"/>
      <c r="AF45" s="244"/>
      <c r="AG45" s="244"/>
      <c r="AH45" s="244"/>
      <c r="AI45" s="244"/>
      <c r="AJ45" s="244"/>
      <c r="AK45" s="244"/>
      <c r="AL45" s="244"/>
      <c r="AM45" s="244"/>
      <c r="AN45" s="244"/>
      <c r="AO45" s="244"/>
      <c r="AP45" s="244"/>
      <c r="AQ45" s="244"/>
      <c r="AR45" s="244"/>
      <c r="AS45" s="244"/>
      <c r="AT45" s="244"/>
      <c r="AU45" s="244"/>
      <c r="AV45" s="244"/>
      <c r="AW45" s="244"/>
      <c r="AX45" s="244"/>
      <c r="AY45" s="244"/>
    </row>
    <row r="46" ht="20.25" customHeight="1">
      <c r="B46" s="54"/>
      <c r="C46"/>
      <c r="D46" s="169"/>
      <c r="E46" s="169"/>
      <c r="F46" s="169"/>
      <c r="G46" s="169"/>
      <c r="H46" s="169"/>
      <c r="I46" s="169"/>
      <c r="J46" s="169"/>
      <c r="K46" s="169"/>
      <c r="L46" s="169"/>
      <c r="M46" s="169"/>
      <c r="N46" s="169"/>
      <c r="O46" s="169"/>
      <c r="P46" s="4"/>
      <c r="Q46" s="4"/>
      <c r="R46" s="4"/>
      <c r="S46" s="4"/>
      <c r="T46" s="4"/>
      <c r="U46" s="4"/>
      <c r="V46" s="4"/>
      <c r="W46" s="4"/>
      <c r="X46" s="4"/>
      <c r="Y46" s="4"/>
      <c r="AD46" s="244"/>
      <c r="AE46" s="244"/>
      <c r="AF46" s="244"/>
      <c r="AG46" s="244"/>
      <c r="AH46" s="244"/>
      <c r="AI46" s="244"/>
      <c r="AJ46" s="244"/>
      <c r="AK46" s="244"/>
      <c r="AL46" s="244"/>
      <c r="AM46" s="244"/>
      <c r="AN46" s="244"/>
      <c r="AO46" s="244"/>
      <c r="AP46" s="244"/>
      <c r="AQ46" s="244"/>
      <c r="AR46" s="244"/>
      <c r="AS46" s="244"/>
      <c r="AT46" s="244"/>
      <c r="AU46" s="244"/>
      <c r="AV46" s="244"/>
      <c r="AW46" s="244"/>
      <c r="AX46" s="244"/>
      <c r="AY46" s="244"/>
    </row>
    <row r="47" ht="15.6" customHeight="1">
      <c r="A47" s="22"/>
      <c r="B47" s="22"/>
      <c r="C47" s="53" t="s">
        <v>72</v>
      </c>
      <c r="D47" s="374">
        <v>98.87523629489603024574669187</v>
      </c>
      <c r="E47" s="382">
        <v>133.91574382921947965310206804</v>
      </c>
      <c r="F47" s="375">
        <v>130.91767260095527572731220148</v>
      </c>
      <c r="G47" s="374"/>
      <c r="H47" s="382"/>
      <c r="I47" s="375"/>
      <c r="J47" s="374"/>
      <c r="K47" s="382"/>
      <c r="L47" s="375"/>
      <c r="M47" s="374"/>
      <c r="N47" s="382"/>
      <c r="O47" s="375"/>
      <c r="P47" s="4"/>
      <c r="Q47" s="354"/>
      <c r="R47" s="355"/>
      <c r="S47" s="356"/>
      <c r="T47" s="354"/>
      <c r="U47" s="355"/>
      <c r="V47" s="356"/>
      <c r="W47" s="354"/>
      <c r="X47" s="355"/>
      <c r="Y47" s="356"/>
      <c r="Z47" s="38"/>
      <c r="AA47" s="38"/>
      <c r="AB47" s="34"/>
      <c r="AD47" s="244"/>
      <c r="AE47" s="244"/>
      <c r="AF47" s="244"/>
      <c r="AG47" s="244"/>
      <c r="AH47" s="244"/>
      <c r="AI47" s="244"/>
      <c r="AJ47" s="244"/>
      <c r="AK47" s="244"/>
      <c r="AL47" s="244"/>
      <c r="AM47" s="244"/>
      <c r="AN47" s="244"/>
      <c r="AO47" s="244"/>
      <c r="AP47" s="244"/>
      <c r="AQ47" s="244"/>
      <c r="AR47" s="244"/>
      <c r="AS47" s="244"/>
      <c r="AT47" s="244"/>
      <c r="AU47" s="244"/>
      <c r="AV47" s="244"/>
      <c r="AW47" s="244"/>
      <c r="AX47" s="244"/>
      <c r="AY47" s="244"/>
    </row>
    <row r="48" ht="15.6" customHeight="1">
      <c r="A48" s="22"/>
      <c r="B48" s="22"/>
      <c r="C48" s="53" t="s">
        <v>61</v>
      </c>
      <c r="D48" s="370">
        <v>98.64001914791766395404499761</v>
      </c>
      <c r="E48" s="172">
        <v>135.83274785927998423014898145</v>
      </c>
      <c r="F48" s="371">
        <v>129.18997702790106385351383902</v>
      </c>
      <c r="G48" s="370"/>
      <c r="H48" s="172"/>
      <c r="I48" s="371"/>
      <c r="J48" s="370"/>
      <c r="K48" s="172"/>
      <c r="L48" s="371"/>
      <c r="M48" s="370"/>
      <c r="N48" s="172"/>
      <c r="O48" s="371"/>
      <c r="P48" s="4"/>
      <c r="Q48" s="327"/>
      <c r="R48" s="171"/>
      <c r="S48" s="328"/>
      <c r="T48" s="327"/>
      <c r="U48" s="171"/>
      <c r="V48" s="328"/>
      <c r="W48" s="327"/>
      <c r="X48" s="171"/>
      <c r="Y48" s="328"/>
      <c r="Z48" s="36"/>
      <c r="AA48" s="36"/>
      <c r="AB48" s="32"/>
      <c r="AD48" s="244"/>
      <c r="AE48" s="244"/>
      <c r="AF48" s="244"/>
      <c r="AG48" s="244"/>
      <c r="AH48" s="244"/>
      <c r="AI48" s="244"/>
      <c r="AJ48" s="244"/>
      <c r="AK48" s="244"/>
      <c r="AL48" s="244"/>
      <c r="AM48" s="244"/>
      <c r="AN48" s="244"/>
      <c r="AO48" s="244"/>
      <c r="AP48" s="244"/>
      <c r="AQ48" s="244"/>
      <c r="AR48" s="244"/>
      <c r="AS48" s="244"/>
      <c r="AT48" s="244"/>
      <c r="AU48" s="244"/>
      <c r="AV48" s="244"/>
      <c r="AW48" s="244"/>
      <c r="AX48" s="244"/>
      <c r="AY48" s="244"/>
    </row>
    <row r="49" ht="15.6" customHeight="1">
      <c r="A49" s="54"/>
      <c r="B49" s="22"/>
      <c r="C49" s="53" t="s">
        <v>31</v>
      </c>
      <c r="D49" s="384">
        <v>97.87509405568096313017306245</v>
      </c>
      <c r="E49" s="385">
        <v>133.8333576275446091982910279</v>
      </c>
      <c r="F49" s="386">
        <v>129.76013768234715620390099984</v>
      </c>
      <c r="G49" s="384"/>
      <c r="H49" s="385"/>
      <c r="I49" s="386"/>
      <c r="J49" s="384"/>
      <c r="K49" s="385"/>
      <c r="L49" s="386"/>
      <c r="M49" s="384"/>
      <c r="N49" s="385"/>
      <c r="O49" s="386"/>
      <c r="P49" s="4"/>
      <c r="Q49" s="364"/>
      <c r="R49" s="365"/>
      <c r="S49" s="366"/>
      <c r="T49" s="364"/>
      <c r="U49" s="365"/>
      <c r="V49" s="366"/>
      <c r="W49" s="364"/>
      <c r="X49" s="365"/>
      <c r="Y49" s="366"/>
      <c r="Z49" s="56"/>
      <c r="AA49" s="56"/>
      <c r="AB49" s="55"/>
      <c r="AD49" s="244"/>
      <c r="AE49" s="244"/>
      <c r="AF49" s="244"/>
      <c r="AG49" s="244"/>
      <c r="AH49" s="244"/>
      <c r="AI49" s="244"/>
      <c r="AJ49" s="244"/>
      <c r="AK49" s="244"/>
      <c r="AL49" s="244"/>
      <c r="AM49" s="244"/>
      <c r="AN49" s="244"/>
      <c r="AO49" s="244"/>
      <c r="AP49" s="244"/>
      <c r="AQ49" s="244"/>
      <c r="AR49" s="244"/>
      <c r="AS49" s="244"/>
      <c r="AT49" s="244"/>
      <c r="AU49" s="244"/>
      <c r="AV49" s="244"/>
      <c r="AW49" s="244"/>
      <c r="AX49" s="244"/>
      <c r="AY49" s="244"/>
    </row>
    <row r="50">
      <c r="AD50" s="244"/>
      <c r="AE50" s="244"/>
      <c r="AF50" s="244"/>
      <c r="AG50" s="244"/>
      <c r="AH50" s="244"/>
      <c r="AI50" s="244"/>
      <c r="AJ50" s="244"/>
      <c r="AK50" s="244"/>
      <c r="AL50" s="244"/>
      <c r="AM50" s="244"/>
      <c r="AN50" s="244"/>
      <c r="AO50" s="244"/>
      <c r="AP50" s="244"/>
      <c r="AQ50" s="244"/>
      <c r="AR50" s="244"/>
      <c r="AS50" s="244"/>
      <c r="AT50" s="244"/>
      <c r="AU50" s="244"/>
      <c r="AV50" s="244"/>
      <c r="AW50" s="244"/>
      <c r="AX50" s="244"/>
      <c r="AY50" s="244"/>
    </row>
    <row r="51" ht="15">
      <c r="D51" s="6" t="s">
        <v>95</v>
      </c>
      <c r="AD51" s="244"/>
      <c r="AE51" s="244"/>
      <c r="AF51" s="244"/>
      <c r="AG51" s="244"/>
      <c r="AH51" s="244"/>
      <c r="AI51" s="244"/>
      <c r="AJ51" s="244"/>
      <c r="AK51" s="244"/>
      <c r="AL51" s="244"/>
      <c r="AM51" s="244"/>
      <c r="AN51" s="244"/>
      <c r="AO51" s="244"/>
      <c r="AP51" s="244"/>
      <c r="AQ51" s="244"/>
      <c r="AR51" s="244"/>
      <c r="AS51" s="244"/>
      <c r="AT51" s="244"/>
      <c r="AU51" s="244"/>
      <c r="AV51" s="244"/>
      <c r="AW51" s="244"/>
      <c r="AX51" s="244"/>
      <c r="AY51" s="244"/>
    </row>
    <row r="52" ht="9.95" customHeight="1">
      <c r="AD52" s="244"/>
      <c r="AE52" s="244"/>
      <c r="AF52" s="244"/>
      <c r="AG52" s="244"/>
      <c r="AH52" s="244"/>
      <c r="AI52" s="244"/>
      <c r="AJ52" s="244"/>
      <c r="AK52" s="244"/>
      <c r="AL52" s="244"/>
      <c r="AM52" s="244"/>
      <c r="AN52" s="244"/>
      <c r="AO52" s="244"/>
      <c r="AP52" s="244"/>
      <c r="AQ52" s="244"/>
      <c r="AR52" s="244"/>
      <c r="AS52" s="244"/>
      <c r="AT52" s="244"/>
      <c r="AU52" s="244"/>
      <c r="AV52" s="244"/>
      <c r="AW52" s="244"/>
      <c r="AX52" s="244"/>
      <c r="AY52" s="244"/>
    </row>
    <row r="53" s="100" customFormat="1" ht="24.95" customHeight="1">
      <c r="D53" s="655" t="s">
        <v>114</v>
      </c>
      <c r="E53" s="655"/>
      <c r="F53" s="655"/>
      <c r="G53" s="655"/>
      <c r="H53" s="655"/>
      <c r="I53" s="655"/>
      <c r="J53" s="655"/>
      <c r="K53" s="655"/>
      <c r="L53" s="655"/>
      <c r="M53" s="655"/>
      <c r="N53" s="655"/>
      <c r="O53" s="655"/>
      <c r="P53" s="655"/>
      <c r="Q53" s="655"/>
      <c r="R53" s="655"/>
      <c r="S53" s="655"/>
      <c r="T53" s="655"/>
      <c r="U53" s="655"/>
      <c r="V53" s="655"/>
      <c r="W53" s="655"/>
      <c r="X53" s="655"/>
      <c r="Y53" s="655"/>
      <c r="Z53" s="426"/>
      <c r="AD53" s="427"/>
      <c r="AE53" s="427"/>
      <c r="AF53" s="427"/>
      <c r="AG53" s="427"/>
      <c r="AH53" s="427"/>
      <c r="AI53" s="427"/>
      <c r="AJ53" s="427"/>
      <c r="AK53" s="427"/>
      <c r="AL53" s="427"/>
      <c r="AM53" s="427"/>
      <c r="AN53" s="427"/>
      <c r="AO53" s="427"/>
      <c r="AP53" s="427"/>
      <c r="AQ53" s="427"/>
      <c r="AR53" s="427"/>
      <c r="AS53" s="427"/>
      <c r="AT53" s="427"/>
      <c r="AU53" s="427"/>
      <c r="AV53" s="427"/>
      <c r="AW53" s="427"/>
      <c r="AX53" s="427"/>
      <c r="AY53" s="427"/>
    </row>
    <row r="54" ht="9.95" customHeight="1">
      <c r="AD54" s="244"/>
      <c r="AE54" s="244"/>
      <c r="AF54" s="244"/>
      <c r="AG54" s="244"/>
      <c r="AH54" s="244"/>
      <c r="AI54" s="244"/>
      <c r="AJ54" s="244"/>
      <c r="AK54" s="244"/>
      <c r="AL54" s="244"/>
      <c r="AM54" s="244"/>
      <c r="AN54" s="244"/>
      <c r="AO54" s="244"/>
      <c r="AP54" s="244"/>
      <c r="AQ54" s="244"/>
      <c r="AR54" s="244"/>
      <c r="AS54" s="244"/>
      <c r="AT54" s="244"/>
      <c r="AU54" s="244"/>
      <c r="AV54" s="244"/>
      <c r="AW54" s="244"/>
      <c r="AX54" s="244"/>
      <c r="AY54" s="244"/>
    </row>
    <row r="55">
      <c r="A55" s="244"/>
      <c r="B55" s="244"/>
      <c r="C55" s="265"/>
      <c r="D55" s="244"/>
      <c r="E55" s="244"/>
      <c r="F55" s="244"/>
      <c r="G55" s="244"/>
      <c r="H55" s="244"/>
      <c r="I55" s="244"/>
      <c r="J55" s="244"/>
      <c r="K55" s="244"/>
      <c r="L55" s="244"/>
      <c r="M55" s="244"/>
      <c r="N55" s="244"/>
      <c r="O55" s="244"/>
      <c r="P55" s="244"/>
      <c r="Q55" s="244"/>
      <c r="R55" s="244"/>
      <c r="S55" s="244"/>
      <c r="T55" s="244"/>
      <c r="U55" s="244"/>
      <c r="V55" s="244"/>
      <c r="W55" s="244"/>
      <c r="X55" s="244"/>
      <c r="Y55" s="244"/>
      <c r="Z55" s="244"/>
      <c r="AA55" s="244"/>
      <c r="AB55" s="244"/>
      <c r="AC55" s="244"/>
      <c r="AD55" s="244"/>
      <c r="AE55" s="244"/>
      <c r="AF55" s="244"/>
      <c r="AG55" s="244"/>
      <c r="AH55" s="244"/>
      <c r="AI55" s="244"/>
      <c r="AJ55" s="244"/>
      <c r="AK55" s="244"/>
      <c r="AL55" s="244"/>
      <c r="AM55" s="244"/>
      <c r="AN55" s="244"/>
      <c r="AO55" s="244"/>
      <c r="AP55" s="244"/>
      <c r="AQ55" s="244"/>
      <c r="AR55" s="244"/>
      <c r="AS55" s="244"/>
      <c r="AT55" s="244"/>
      <c r="AU55" s="244"/>
      <c r="AV55" s="244"/>
      <c r="AW55" s="244"/>
      <c r="AX55" s="244"/>
      <c r="AY55" s="244"/>
    </row>
    <row r="56">
      <c r="A56" s="244"/>
      <c r="B56" s="244"/>
      <c r="C56" s="265"/>
      <c r="D56" s="244"/>
      <c r="E56" s="244"/>
      <c r="F56" s="244"/>
      <c r="G56" s="244"/>
      <c r="H56" s="244"/>
      <c r="I56" s="244"/>
      <c r="J56" s="244"/>
      <c r="K56" s="244"/>
      <c r="L56" s="244"/>
      <c r="M56" s="244"/>
      <c r="N56" s="244"/>
      <c r="O56" s="244"/>
      <c r="P56" s="244"/>
      <c r="Q56" s="244"/>
      <c r="R56" s="244"/>
      <c r="S56" s="244"/>
      <c r="T56" s="244"/>
      <c r="U56" s="244"/>
      <c r="V56" s="244"/>
      <c r="W56" s="244"/>
      <c r="X56" s="244"/>
      <c r="Y56" s="244"/>
      <c r="Z56" s="244"/>
      <c r="AA56" s="244"/>
      <c r="AB56" s="244"/>
      <c r="AC56" s="244"/>
      <c r="AD56" s="244"/>
      <c r="AE56" s="244"/>
      <c r="AF56" s="244"/>
      <c r="AG56" s="244"/>
      <c r="AH56" s="244"/>
      <c r="AI56" s="244"/>
      <c r="AJ56" s="244"/>
      <c r="AK56" s="244"/>
      <c r="AL56" s="244"/>
      <c r="AM56" s="244"/>
      <c r="AN56" s="244"/>
      <c r="AO56" s="244"/>
      <c r="AP56" s="244"/>
      <c r="AQ56" s="244"/>
      <c r="AR56" s="244"/>
      <c r="AS56" s="244"/>
      <c r="AT56" s="244"/>
      <c r="AU56" s="244"/>
      <c r="AV56" s="244"/>
      <c r="AW56" s="244"/>
      <c r="AX56" s="244"/>
      <c r="AY56" s="244"/>
    </row>
    <row r="57">
      <c r="A57" s="244"/>
      <c r="B57" s="244"/>
      <c r="C57" s="265"/>
      <c r="D57" s="244"/>
      <c r="E57" s="244"/>
      <c r="F57" s="244"/>
      <c r="G57" s="244"/>
      <c r="H57" s="244"/>
      <c r="I57" s="244"/>
      <c r="J57" s="244"/>
      <c r="K57" s="244"/>
      <c r="L57" s="244"/>
      <c r="M57" s="244"/>
      <c r="N57" s="244"/>
      <c r="O57" s="244"/>
      <c r="P57" s="244"/>
      <c r="Q57" s="244"/>
      <c r="R57" s="244"/>
      <c r="S57" s="244"/>
      <c r="T57" s="244"/>
      <c r="U57" s="244"/>
      <c r="V57" s="244"/>
      <c r="W57" s="244"/>
      <c r="X57" s="244"/>
      <c r="Y57" s="244"/>
      <c r="Z57" s="244"/>
      <c r="AA57" s="244"/>
      <c r="AB57" s="244"/>
      <c r="AC57" s="244"/>
      <c r="AD57" s="244"/>
      <c r="AE57" s="244"/>
      <c r="AF57" s="244"/>
      <c r="AG57" s="244"/>
      <c r="AH57" s="244"/>
      <c r="AI57" s="244"/>
      <c r="AJ57" s="244"/>
      <c r="AK57" s="244"/>
      <c r="AL57" s="244"/>
      <c r="AM57" s="244"/>
      <c r="AN57" s="244"/>
      <c r="AO57" s="244"/>
      <c r="AP57" s="244"/>
      <c r="AQ57" s="244"/>
      <c r="AR57" s="244"/>
      <c r="AS57" s="244"/>
      <c r="AT57" s="244"/>
      <c r="AU57" s="244"/>
      <c r="AV57" s="244"/>
      <c r="AW57" s="244"/>
      <c r="AX57" s="244"/>
      <c r="AY57" s="244"/>
    </row>
    <row r="58">
      <c r="A58" s="244"/>
      <c r="B58" s="244"/>
      <c r="C58" s="265"/>
      <c r="D58" s="244"/>
      <c r="E58" s="244"/>
      <c r="F58" s="244"/>
      <c r="G58" s="244"/>
      <c r="H58" s="244"/>
      <c r="I58" s="244"/>
      <c r="J58" s="244"/>
      <c r="K58" s="244"/>
      <c r="L58" s="244"/>
      <c r="M58" s="244"/>
      <c r="N58" s="244"/>
      <c r="O58" s="244"/>
      <c r="P58" s="244"/>
      <c r="Q58" s="244"/>
      <c r="R58" s="244"/>
      <c r="S58" s="244"/>
      <c r="T58" s="244"/>
      <c r="U58" s="244"/>
      <c r="V58" s="244"/>
      <c r="W58" s="244"/>
      <c r="X58" s="244"/>
      <c r="Y58" s="244"/>
      <c r="Z58" s="244"/>
      <c r="AA58" s="244"/>
      <c r="AB58" s="244"/>
      <c r="AC58" s="244"/>
      <c r="AD58" s="244"/>
      <c r="AE58" s="244"/>
      <c r="AF58" s="244"/>
      <c r="AG58" s="244"/>
      <c r="AH58" s="244"/>
      <c r="AI58" s="244"/>
      <c r="AJ58" s="244"/>
      <c r="AK58" s="244"/>
      <c r="AL58" s="244"/>
      <c r="AM58" s="244"/>
      <c r="AN58" s="244"/>
      <c r="AO58" s="244"/>
      <c r="AP58" s="244"/>
      <c r="AQ58" s="244"/>
      <c r="AR58" s="244"/>
      <c r="AS58" s="244"/>
      <c r="AT58" s="244"/>
      <c r="AU58" s="244"/>
      <c r="AV58" s="244"/>
      <c r="AW58" s="244"/>
      <c r="AX58" s="244"/>
      <c r="AY58" s="244"/>
    </row>
    <row r="59">
      <c r="A59" s="244"/>
      <c r="B59" s="244"/>
      <c r="C59" s="265"/>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4"/>
      <c r="AC59" s="244"/>
      <c r="AD59" s="244"/>
      <c r="AE59" s="244"/>
      <c r="AF59" s="244"/>
      <c r="AG59" s="244"/>
      <c r="AH59" s="244"/>
      <c r="AI59" s="244"/>
      <c r="AJ59" s="244"/>
      <c r="AK59" s="244"/>
      <c r="AL59" s="244"/>
      <c r="AM59" s="244"/>
      <c r="AN59" s="244"/>
      <c r="AO59" s="244"/>
      <c r="AP59" s="244"/>
      <c r="AQ59" s="244"/>
      <c r="AR59" s="244"/>
      <c r="AS59" s="244"/>
      <c r="AT59" s="244"/>
      <c r="AU59" s="244"/>
      <c r="AV59" s="244"/>
      <c r="AW59" s="244"/>
      <c r="AX59" s="244"/>
      <c r="AY59" s="244"/>
    </row>
    <row r="60">
      <c r="A60" s="244"/>
      <c r="B60" s="244"/>
      <c r="C60" s="265"/>
      <c r="D60" s="244"/>
      <c r="E60" s="244"/>
      <c r="F60" s="244"/>
      <c r="G60" s="244"/>
      <c r="H60" s="244"/>
      <c r="I60" s="244"/>
      <c r="J60" s="244"/>
      <c r="K60" s="244"/>
      <c r="L60" s="244"/>
      <c r="M60" s="244"/>
      <c r="N60" s="244"/>
      <c r="O60" s="244"/>
      <c r="P60" s="244"/>
      <c r="Q60" s="244"/>
      <c r="R60" s="244"/>
      <c r="S60" s="244"/>
      <c r="T60" s="244"/>
      <c r="U60" s="244"/>
      <c r="V60" s="244"/>
      <c r="W60" s="244"/>
      <c r="X60" s="244"/>
      <c r="Y60" s="244"/>
      <c r="Z60" s="244"/>
      <c r="AA60" s="244"/>
      <c r="AB60" s="244"/>
      <c r="AC60" s="244"/>
      <c r="AD60" s="244"/>
      <c r="AE60" s="244"/>
      <c r="AF60" s="244"/>
      <c r="AG60" s="244"/>
      <c r="AH60" s="244"/>
      <c r="AI60" s="244"/>
      <c r="AJ60" s="244"/>
      <c r="AK60" s="244"/>
      <c r="AL60" s="244"/>
      <c r="AM60" s="244"/>
      <c r="AN60" s="244"/>
      <c r="AO60" s="244"/>
      <c r="AP60" s="244"/>
      <c r="AQ60" s="244"/>
      <c r="AR60" s="244"/>
      <c r="AS60" s="244"/>
      <c r="AT60" s="244"/>
      <c r="AU60" s="244"/>
      <c r="AV60" s="244"/>
      <c r="AW60" s="244"/>
      <c r="AX60" s="244"/>
      <c r="AY60" s="244"/>
    </row>
    <row r="61">
      <c r="A61" s="244"/>
      <c r="B61" s="244"/>
      <c r="C61" s="265"/>
      <c r="D61" s="244"/>
      <c r="E61" s="244"/>
      <c r="F61" s="244"/>
      <c r="G61" s="244"/>
      <c r="H61" s="244"/>
      <c r="I61" s="244"/>
      <c r="J61" s="244"/>
      <c r="K61" s="244"/>
      <c r="L61" s="244"/>
      <c r="M61" s="244"/>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244"/>
      <c r="AW61" s="244"/>
      <c r="AX61" s="244"/>
      <c r="AY61" s="244"/>
    </row>
    <row r="62">
      <c r="A62" s="244"/>
      <c r="B62" s="244"/>
      <c r="C62" s="265"/>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row>
    <row r="63">
      <c r="A63" s="244"/>
      <c r="B63" s="244"/>
      <c r="C63" s="265"/>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row>
    <row r="64">
      <c r="A64" s="244"/>
      <c r="B64" s="244"/>
      <c r="C64" s="265"/>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row>
    <row r="65">
      <c r="A65" s="244"/>
      <c r="B65" s="244"/>
      <c r="C65" s="265"/>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row>
    <row r="66">
      <c r="A66" s="244"/>
      <c r="B66" s="244"/>
      <c r="C66" s="265"/>
      <c r="D66" s="244"/>
      <c r="E66" s="244"/>
      <c r="F66" s="244"/>
      <c r="G66" s="244"/>
      <c r="H66" s="244"/>
      <c r="I66" s="244"/>
      <c r="J66" s="244"/>
      <c r="K66" s="244"/>
      <c r="L66" s="244"/>
      <c r="M66" s="244"/>
      <c r="N66" s="244"/>
      <c r="O66" s="244"/>
      <c r="P66" s="244"/>
      <c r="Q66" s="244"/>
      <c r="R66" s="244"/>
      <c r="S66" s="244"/>
      <c r="T66" s="244"/>
      <c r="U66" s="244"/>
      <c r="V66" s="244"/>
      <c r="W66" s="244"/>
      <c r="X66" s="244"/>
      <c r="Y66" s="244"/>
      <c r="Z66" s="244"/>
      <c r="AA66" s="244"/>
      <c r="AB66" s="244"/>
      <c r="AC66" s="244"/>
      <c r="AD66" s="244"/>
      <c r="AE66" s="244"/>
      <c r="AF66" s="244"/>
      <c r="AG66" s="244"/>
      <c r="AH66" s="244"/>
      <c r="AI66" s="244"/>
      <c r="AJ66" s="244"/>
      <c r="AK66" s="244"/>
      <c r="AL66" s="244"/>
      <c r="AM66" s="244"/>
      <c r="AN66" s="244"/>
      <c r="AO66" s="244"/>
      <c r="AP66" s="244"/>
      <c r="AQ66" s="244"/>
      <c r="AR66" s="244"/>
      <c r="AS66" s="244"/>
      <c r="AT66" s="244"/>
      <c r="AU66" s="244"/>
      <c r="AV66" s="244"/>
      <c r="AW66" s="244"/>
      <c r="AX66" s="244"/>
      <c r="AY66" s="244"/>
    </row>
    <row r="67">
      <c r="A67" s="244"/>
      <c r="B67" s="244"/>
      <c r="C67" s="265"/>
      <c r="D67" s="244"/>
      <c r="E67" s="244"/>
      <c r="F67" s="244"/>
      <c r="G67" s="244"/>
      <c r="H67" s="244"/>
      <c r="I67" s="244"/>
      <c r="J67" s="244"/>
      <c r="K67" s="244"/>
      <c r="L67" s="244"/>
      <c r="M67" s="244"/>
      <c r="N67" s="244"/>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244"/>
      <c r="AS67" s="244"/>
      <c r="AT67" s="244"/>
      <c r="AU67" s="244"/>
      <c r="AV67" s="244"/>
      <c r="AW67" s="244"/>
      <c r="AX67" s="244"/>
      <c r="AY67" s="244"/>
    </row>
    <row r="68">
      <c r="A68" s="244"/>
      <c r="B68" s="244"/>
      <c r="C68" s="265"/>
      <c r="D68" s="244"/>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44"/>
      <c r="AQ68" s="244"/>
      <c r="AR68" s="244"/>
      <c r="AS68" s="244"/>
      <c r="AT68" s="244"/>
      <c r="AU68" s="244"/>
      <c r="AV68" s="244"/>
      <c r="AW68" s="244"/>
      <c r="AX68" s="244"/>
      <c r="AY68" s="244"/>
    </row>
    <row r="69">
      <c r="A69" s="244"/>
      <c r="B69" s="244"/>
      <c r="C69" s="265"/>
      <c r="D69" s="244"/>
      <c r="E69" s="244"/>
      <c r="F69" s="244"/>
      <c r="G69" s="244"/>
      <c r="H69" s="244"/>
      <c r="I69" s="244"/>
      <c r="J69" s="244"/>
      <c r="K69" s="244"/>
      <c r="L69" s="244"/>
      <c r="M69" s="244"/>
      <c r="N69" s="244"/>
      <c r="O69" s="244"/>
      <c r="P69" s="244"/>
      <c r="Q69" s="244"/>
      <c r="R69" s="244"/>
      <c r="S69" s="244"/>
      <c r="T69" s="244"/>
      <c r="U69" s="244"/>
      <c r="V69" s="244"/>
      <c r="W69" s="244"/>
      <c r="X69" s="244"/>
      <c r="Y69" s="244"/>
      <c r="Z69" s="244"/>
      <c r="AA69" s="244"/>
      <c r="AB69" s="244"/>
      <c r="AC69" s="244"/>
      <c r="AD69" s="244"/>
      <c r="AE69" s="244"/>
      <c r="AF69" s="244"/>
      <c r="AG69" s="244"/>
      <c r="AH69" s="244"/>
      <c r="AI69" s="244"/>
      <c r="AJ69" s="244"/>
      <c r="AK69" s="244"/>
      <c r="AL69" s="244"/>
      <c r="AM69" s="244"/>
      <c r="AN69" s="244"/>
      <c r="AO69" s="244"/>
      <c r="AP69" s="244"/>
      <c r="AQ69" s="244"/>
      <c r="AR69" s="244"/>
      <c r="AS69" s="244"/>
      <c r="AT69" s="244"/>
      <c r="AU69" s="244"/>
      <c r="AV69" s="244"/>
      <c r="AW69" s="244"/>
      <c r="AX69" s="244"/>
      <c r="AY69" s="244"/>
    </row>
    <row r="70">
      <c r="A70" s="244"/>
      <c r="B70" s="244"/>
      <c r="C70" s="265"/>
      <c r="D70" s="244"/>
      <c r="E70" s="244"/>
      <c r="F70" s="244"/>
      <c r="G70" s="244"/>
      <c r="H70" s="244"/>
      <c r="I70" s="244"/>
      <c r="J70" s="244"/>
      <c r="K70" s="244"/>
      <c r="L70" s="244"/>
      <c r="M70" s="244"/>
      <c r="N70" s="244"/>
      <c r="O70" s="244"/>
      <c r="P70" s="244"/>
      <c r="Q70" s="244"/>
      <c r="R70" s="244"/>
      <c r="S70" s="244"/>
      <c r="T70" s="244"/>
      <c r="U70" s="244"/>
      <c r="V70" s="244"/>
      <c r="W70" s="244"/>
      <c r="X70" s="244"/>
      <c r="Y70" s="244"/>
      <c r="Z70" s="244"/>
      <c r="AA70" s="244"/>
      <c r="AB70" s="244"/>
      <c r="AC70" s="244"/>
      <c r="AD70" s="244"/>
      <c r="AE70" s="244"/>
      <c r="AF70" s="244"/>
      <c r="AG70" s="244"/>
      <c r="AH70" s="244"/>
      <c r="AI70" s="244"/>
      <c r="AJ70" s="244"/>
      <c r="AK70" s="244"/>
      <c r="AL70" s="244"/>
      <c r="AM70" s="244"/>
      <c r="AN70" s="244"/>
      <c r="AO70" s="244"/>
      <c r="AP70" s="244"/>
      <c r="AQ70" s="244"/>
      <c r="AR70" s="244"/>
      <c r="AS70" s="244"/>
      <c r="AT70" s="244"/>
      <c r="AU70" s="244"/>
      <c r="AV70" s="244"/>
      <c r="AW70" s="244"/>
      <c r="AX70" s="244"/>
      <c r="AY70" s="244"/>
    </row>
    <row r="71">
      <c r="A71" s="244"/>
      <c r="B71" s="244"/>
      <c r="C71" s="265"/>
      <c r="D71" s="244"/>
      <c r="E71" s="244"/>
      <c r="F71" s="244"/>
      <c r="G71" s="244"/>
      <c r="H71" s="244"/>
      <c r="I71" s="244"/>
      <c r="J71" s="244"/>
      <c r="K71" s="244"/>
      <c r="L71" s="244"/>
      <c r="M71" s="244"/>
      <c r="N71" s="244"/>
      <c r="O71" s="244"/>
      <c r="P71" s="244"/>
      <c r="Q71" s="244"/>
      <c r="R71" s="244"/>
      <c r="S71" s="244"/>
      <c r="T71" s="244"/>
      <c r="U71" s="244"/>
      <c r="V71" s="244"/>
      <c r="W71" s="244"/>
      <c r="X71" s="244"/>
      <c r="Y71" s="244"/>
      <c r="Z71" s="244"/>
      <c r="AA71" s="244"/>
      <c r="AB71" s="244"/>
      <c r="AC71" s="244"/>
      <c r="AD71" s="244"/>
      <c r="AE71" s="244"/>
      <c r="AF71" s="244"/>
      <c r="AG71" s="244"/>
      <c r="AH71" s="244"/>
      <c r="AI71" s="244"/>
      <c r="AJ71" s="244"/>
      <c r="AK71" s="244"/>
      <c r="AL71" s="244"/>
      <c r="AM71" s="244"/>
      <c r="AN71" s="244"/>
      <c r="AO71" s="244"/>
      <c r="AP71" s="244"/>
      <c r="AQ71" s="244"/>
      <c r="AR71" s="244"/>
      <c r="AS71" s="244"/>
      <c r="AT71" s="244"/>
      <c r="AU71" s="244"/>
      <c r="AV71" s="244"/>
      <c r="AW71" s="244"/>
      <c r="AX71" s="244"/>
      <c r="AY71" s="244"/>
    </row>
    <row r="72">
      <c r="A72" s="244"/>
      <c r="B72" s="244"/>
      <c r="C72" s="265"/>
      <c r="D72" s="244"/>
      <c r="E72" s="244"/>
      <c r="F72" s="244"/>
      <c r="G72" s="244"/>
      <c r="H72" s="244"/>
      <c r="I72" s="244"/>
      <c r="J72" s="244"/>
      <c r="K72" s="244"/>
      <c r="L72" s="244"/>
      <c r="M72" s="244"/>
      <c r="N72" s="244"/>
      <c r="O72" s="244"/>
      <c r="P72" s="244"/>
      <c r="Q72" s="244"/>
      <c r="R72" s="244"/>
      <c r="S72" s="244"/>
      <c r="T72" s="244"/>
      <c r="U72" s="244"/>
      <c r="V72" s="244"/>
      <c r="W72" s="244"/>
      <c r="X72" s="244"/>
      <c r="Y72" s="244"/>
      <c r="Z72" s="244"/>
      <c r="AA72" s="244"/>
      <c r="AB72" s="244"/>
      <c r="AC72" s="244"/>
      <c r="AD72" s="244"/>
      <c r="AE72" s="244"/>
      <c r="AF72" s="244"/>
      <c r="AG72" s="244"/>
      <c r="AH72" s="244"/>
      <c r="AI72" s="244"/>
      <c r="AJ72" s="244"/>
      <c r="AK72" s="244"/>
      <c r="AL72" s="244"/>
      <c r="AM72" s="244"/>
      <c r="AN72" s="244"/>
      <c r="AO72" s="244"/>
      <c r="AP72" s="244"/>
      <c r="AQ72" s="244"/>
      <c r="AR72" s="244"/>
      <c r="AS72" s="244"/>
      <c r="AT72" s="244"/>
      <c r="AU72" s="244"/>
      <c r="AV72" s="244"/>
      <c r="AW72" s="244"/>
      <c r="AX72" s="244"/>
      <c r="AY72" s="244"/>
    </row>
    <row r="73">
      <c r="A73" s="244"/>
      <c r="B73" s="244"/>
      <c r="C73" s="265"/>
      <c r="D73" s="244"/>
      <c r="E73" s="244"/>
      <c r="F73" s="244"/>
      <c r="G73" s="244"/>
      <c r="H73" s="244"/>
      <c r="I73" s="244"/>
      <c r="J73" s="244"/>
      <c r="K73" s="244"/>
      <c r="L73" s="244"/>
      <c r="M73" s="244"/>
      <c r="N73" s="244"/>
      <c r="O73" s="244"/>
      <c r="P73" s="244"/>
      <c r="Q73" s="244"/>
      <c r="R73" s="244"/>
      <c r="S73" s="244"/>
      <c r="T73" s="244"/>
      <c r="U73" s="244"/>
      <c r="V73" s="244"/>
      <c r="W73" s="244"/>
      <c r="X73" s="244"/>
      <c r="Y73" s="244"/>
      <c r="Z73" s="244"/>
      <c r="AA73" s="244"/>
      <c r="AB73" s="244"/>
      <c r="AC73" s="244"/>
      <c r="AD73" s="244"/>
      <c r="AE73" s="244"/>
      <c r="AF73" s="244"/>
      <c r="AG73" s="244"/>
      <c r="AH73" s="244"/>
      <c r="AI73" s="244"/>
      <c r="AJ73" s="244"/>
      <c r="AK73" s="244"/>
      <c r="AL73" s="244"/>
      <c r="AM73" s="244"/>
      <c r="AN73" s="244"/>
      <c r="AO73" s="244"/>
      <c r="AP73" s="244"/>
      <c r="AQ73" s="244"/>
      <c r="AR73" s="244"/>
      <c r="AS73" s="244"/>
      <c r="AT73" s="244"/>
      <c r="AU73" s="244"/>
      <c r="AV73" s="244"/>
      <c r="AW73" s="244"/>
      <c r="AX73" s="244"/>
      <c r="AY73" s="244"/>
    </row>
    <row r="74">
      <c r="A74" s="244"/>
      <c r="B74" s="244"/>
      <c r="C74" s="265"/>
      <c r="D74" s="244"/>
      <c r="E74" s="244"/>
      <c r="F74" s="244"/>
      <c r="G74" s="244"/>
      <c r="H74" s="244"/>
      <c r="I74" s="244"/>
      <c r="J74" s="244"/>
      <c r="K74" s="244"/>
      <c r="L74" s="244"/>
      <c r="M74" s="244"/>
      <c r="N74" s="244"/>
      <c r="O74" s="244"/>
      <c r="P74" s="244"/>
      <c r="Q74" s="244"/>
      <c r="R74" s="244"/>
      <c r="S74" s="244"/>
      <c r="T74" s="244"/>
      <c r="U74" s="244"/>
      <c r="V74" s="244"/>
      <c r="W74" s="244"/>
      <c r="X74" s="244"/>
      <c r="Y74" s="244"/>
      <c r="Z74" s="244"/>
      <c r="AA74" s="244"/>
      <c r="AB74" s="244"/>
      <c r="AC74" s="244"/>
      <c r="AD74" s="244"/>
      <c r="AE74" s="244"/>
      <c r="AF74" s="244"/>
      <c r="AG74" s="244"/>
      <c r="AH74" s="244"/>
      <c r="AI74" s="244"/>
      <c r="AJ74" s="244"/>
      <c r="AK74" s="244"/>
      <c r="AL74" s="244"/>
      <c r="AM74" s="244"/>
      <c r="AN74" s="244"/>
      <c r="AO74" s="244"/>
      <c r="AP74" s="244"/>
      <c r="AQ74" s="244"/>
      <c r="AR74" s="244"/>
      <c r="AS74" s="244"/>
      <c r="AT74" s="244"/>
      <c r="AU74" s="244"/>
      <c r="AV74" s="244"/>
      <c r="AW74" s="244"/>
      <c r="AX74" s="244"/>
      <c r="AY74" s="244"/>
    </row>
    <row r="75">
      <c r="A75" s="244"/>
      <c r="B75" s="244"/>
      <c r="C75" s="265"/>
      <c r="D75" s="244"/>
      <c r="E75" s="244"/>
      <c r="F75" s="244"/>
      <c r="G75" s="244"/>
      <c r="H75" s="244"/>
      <c r="I75" s="244"/>
      <c r="J75" s="244"/>
      <c r="K75" s="244"/>
      <c r="L75" s="244"/>
      <c r="M75" s="244"/>
      <c r="N75" s="244"/>
      <c r="O75" s="244"/>
      <c r="P75" s="244"/>
      <c r="Q75" s="244"/>
      <c r="R75" s="244"/>
      <c r="S75" s="244"/>
      <c r="T75" s="244"/>
      <c r="U75" s="244"/>
      <c r="V75" s="244"/>
      <c r="W75" s="244"/>
      <c r="X75" s="244"/>
      <c r="Y75" s="244"/>
      <c r="Z75" s="244"/>
      <c r="AA75" s="244"/>
      <c r="AB75" s="244"/>
      <c r="AC75" s="244"/>
      <c r="AD75" s="244"/>
      <c r="AE75" s="244"/>
      <c r="AF75" s="244"/>
      <c r="AG75" s="244"/>
      <c r="AH75" s="244"/>
      <c r="AI75" s="244"/>
      <c r="AJ75" s="244"/>
      <c r="AK75" s="244"/>
      <c r="AL75" s="244"/>
      <c r="AM75" s="244"/>
      <c r="AN75" s="244"/>
      <c r="AO75" s="244"/>
      <c r="AP75" s="244"/>
      <c r="AQ75" s="244"/>
      <c r="AR75" s="244"/>
      <c r="AS75" s="244"/>
      <c r="AT75" s="244"/>
      <c r="AU75" s="244"/>
      <c r="AV75" s="244"/>
      <c r="AW75" s="244"/>
      <c r="AX75" s="244"/>
      <c r="AY75" s="244"/>
    </row>
    <row r="76">
      <c r="A76" s="244"/>
      <c r="B76" s="244"/>
      <c r="C76" s="265"/>
      <c r="D76" s="244"/>
      <c r="E76" s="244"/>
      <c r="F76" s="244"/>
      <c r="G76" s="244"/>
      <c r="H76" s="244"/>
      <c r="I76" s="244"/>
      <c r="J76" s="244"/>
      <c r="K76" s="244"/>
      <c r="L76" s="244"/>
      <c r="M76" s="244"/>
      <c r="N76" s="244"/>
      <c r="O76" s="244"/>
      <c r="P76" s="244"/>
      <c r="Q76" s="244"/>
      <c r="R76" s="244"/>
      <c r="S76" s="244"/>
      <c r="T76" s="244"/>
      <c r="U76" s="244"/>
      <c r="V76" s="244"/>
      <c r="W76" s="244"/>
      <c r="X76" s="244"/>
      <c r="Y76" s="244"/>
      <c r="Z76" s="244"/>
      <c r="AA76" s="244"/>
      <c r="AB76" s="244"/>
      <c r="AC76" s="244"/>
      <c r="AD76" s="244"/>
      <c r="AE76" s="244"/>
      <c r="AF76" s="244"/>
      <c r="AG76" s="244"/>
      <c r="AH76" s="244"/>
      <c r="AI76" s="244"/>
      <c r="AJ76" s="244"/>
      <c r="AK76" s="244"/>
      <c r="AL76" s="244"/>
      <c r="AM76" s="244"/>
      <c r="AN76" s="244"/>
      <c r="AO76" s="244"/>
      <c r="AP76" s="244"/>
      <c r="AQ76" s="244"/>
      <c r="AR76" s="244"/>
      <c r="AS76" s="244"/>
      <c r="AT76" s="244"/>
      <c r="AU76" s="244"/>
      <c r="AV76" s="244"/>
      <c r="AW76" s="244"/>
      <c r="AX76" s="244"/>
      <c r="AY76" s="244"/>
    </row>
    <row r="77">
      <c r="A77" s="244"/>
      <c r="B77" s="244"/>
      <c r="C77" s="265"/>
      <c r="D77" s="244"/>
      <c r="E77" s="244"/>
      <c r="F77" s="244"/>
      <c r="G77" s="244"/>
      <c r="H77" s="244"/>
      <c r="I77" s="244"/>
      <c r="J77" s="244"/>
      <c r="K77" s="244"/>
      <c r="L77" s="244"/>
      <c r="M77" s="244"/>
      <c r="N77" s="244"/>
      <c r="O77" s="244"/>
      <c r="P77" s="244"/>
      <c r="Q77" s="244"/>
      <c r="R77" s="244"/>
      <c r="S77" s="244"/>
      <c r="T77" s="244"/>
      <c r="U77" s="244"/>
      <c r="V77" s="244"/>
      <c r="W77" s="244"/>
      <c r="X77" s="244"/>
      <c r="Y77" s="244"/>
      <c r="Z77" s="244"/>
      <c r="AA77" s="244"/>
      <c r="AB77" s="244"/>
      <c r="AC77" s="244"/>
      <c r="AD77" s="244"/>
      <c r="AE77" s="244"/>
      <c r="AF77" s="244"/>
      <c r="AG77" s="244"/>
      <c r="AH77" s="244"/>
      <c r="AI77" s="244"/>
      <c r="AJ77" s="244"/>
      <c r="AK77" s="244"/>
      <c r="AL77" s="244"/>
      <c r="AM77" s="244"/>
      <c r="AN77" s="244"/>
      <c r="AO77" s="244"/>
      <c r="AP77" s="244"/>
      <c r="AQ77" s="244"/>
      <c r="AR77" s="244"/>
      <c r="AS77" s="244"/>
      <c r="AT77" s="244"/>
      <c r="AU77" s="244"/>
      <c r="AV77" s="244"/>
      <c r="AW77" s="244"/>
      <c r="AX77" s="244"/>
      <c r="AY77" s="244"/>
    </row>
    <row r="78">
      <c r="A78" s="244"/>
      <c r="B78" s="244"/>
      <c r="C78" s="265"/>
      <c r="D78" s="244"/>
      <c r="E78" s="244"/>
      <c r="F78" s="244"/>
      <c r="G78" s="244"/>
      <c r="H78" s="244"/>
      <c r="I78" s="244"/>
      <c r="J78" s="244"/>
      <c r="K78" s="244"/>
      <c r="L78" s="244"/>
      <c r="M78" s="244"/>
      <c r="N78" s="244"/>
      <c r="O78" s="244"/>
      <c r="P78" s="244"/>
      <c r="Q78" s="244"/>
      <c r="R78" s="244"/>
      <c r="S78" s="244"/>
      <c r="T78" s="244"/>
      <c r="U78" s="244"/>
      <c r="V78" s="244"/>
      <c r="W78" s="244"/>
      <c r="X78" s="244"/>
      <c r="Y78" s="244"/>
      <c r="Z78" s="244"/>
      <c r="AA78" s="244"/>
      <c r="AB78" s="244"/>
      <c r="AC78" s="244"/>
      <c r="AD78" s="244"/>
      <c r="AE78" s="244"/>
      <c r="AF78" s="244"/>
      <c r="AG78" s="244"/>
      <c r="AH78" s="244"/>
      <c r="AI78" s="244"/>
      <c r="AJ78" s="244"/>
      <c r="AK78" s="244"/>
      <c r="AL78" s="244"/>
      <c r="AM78" s="244"/>
      <c r="AN78" s="244"/>
      <c r="AO78" s="244"/>
      <c r="AP78" s="244"/>
      <c r="AQ78" s="244"/>
      <c r="AR78" s="244"/>
      <c r="AS78" s="244"/>
      <c r="AT78" s="244"/>
      <c r="AU78" s="244"/>
      <c r="AV78" s="244"/>
      <c r="AW78" s="244"/>
      <c r="AX78" s="244"/>
      <c r="AY78" s="244"/>
    </row>
    <row r="79">
      <c r="A79" s="244"/>
      <c r="B79" s="244"/>
      <c r="C79" s="265"/>
      <c r="D79" s="244"/>
      <c r="E79" s="244"/>
      <c r="F79" s="244"/>
      <c r="G79" s="244"/>
      <c r="H79" s="244"/>
      <c r="I79" s="244"/>
      <c r="J79" s="244"/>
      <c r="K79" s="244"/>
      <c r="L79" s="244"/>
      <c r="M79" s="244"/>
      <c r="N79" s="244"/>
      <c r="O79" s="244"/>
      <c r="P79" s="244"/>
      <c r="Q79" s="244"/>
      <c r="R79" s="244"/>
      <c r="S79" s="244"/>
      <c r="T79" s="244"/>
      <c r="U79" s="244"/>
      <c r="V79" s="244"/>
      <c r="W79" s="244"/>
      <c r="X79" s="244"/>
      <c r="Y79" s="244"/>
      <c r="Z79" s="244"/>
      <c r="AA79" s="244"/>
      <c r="AB79" s="244"/>
      <c r="AC79" s="244"/>
      <c r="AD79" s="244"/>
      <c r="AE79" s="244"/>
      <c r="AF79" s="244"/>
      <c r="AG79" s="244"/>
      <c r="AH79" s="244"/>
      <c r="AI79" s="244"/>
      <c r="AJ79" s="244"/>
      <c r="AK79" s="244"/>
      <c r="AL79" s="244"/>
      <c r="AM79" s="244"/>
      <c r="AN79" s="244"/>
      <c r="AO79" s="244"/>
      <c r="AP79" s="244"/>
      <c r="AQ79" s="244"/>
      <c r="AR79" s="244"/>
      <c r="AS79" s="244"/>
      <c r="AT79" s="244"/>
      <c r="AU79" s="244"/>
      <c r="AV79" s="244"/>
      <c r="AW79" s="244"/>
      <c r="AX79" s="244"/>
      <c r="AY79" s="244"/>
    </row>
    <row r="80">
      <c r="A80" s="244"/>
      <c r="B80" s="244"/>
      <c r="C80" s="265"/>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c r="AW80" s="244"/>
      <c r="AX80" s="244"/>
      <c r="AY80" s="244"/>
    </row>
    <row r="81">
      <c r="A81" s="244"/>
      <c r="B81" s="244"/>
      <c r="C81" s="265"/>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c r="AW81" s="244"/>
      <c r="AX81" s="244"/>
      <c r="AY81" s="244"/>
    </row>
    <row r="82">
      <c r="A82" s="244"/>
      <c r="B82" s="244"/>
      <c r="C82" s="265"/>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c r="AW82" s="244"/>
      <c r="AX82" s="244"/>
      <c r="AY82" s="244"/>
    </row>
    <row r="83">
      <c r="A83" s="244"/>
      <c r="B83" s="244"/>
      <c r="C83" s="265"/>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c r="AW83" s="244"/>
      <c r="AX83" s="244"/>
      <c r="AY83" s="244"/>
    </row>
    <row r="84">
      <c r="A84" s="244"/>
      <c r="B84" s="244"/>
      <c r="C84" s="265"/>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c r="AW84" s="244"/>
      <c r="AX84" s="244"/>
      <c r="AY84" s="244"/>
    </row>
    <row r="85">
      <c r="A85" s="244"/>
      <c r="B85" s="244"/>
      <c r="C85" s="265"/>
      <c r="D85" s="244"/>
      <c r="E85" s="244"/>
      <c r="F85" s="244"/>
      <c r="G85" s="244"/>
      <c r="H85" s="244"/>
      <c r="I85" s="244"/>
      <c r="J85" s="244"/>
      <c r="K85" s="244"/>
      <c r="L85" s="244"/>
      <c r="M85" s="244"/>
      <c r="N85" s="244"/>
      <c r="O85" s="244"/>
      <c r="P85" s="244"/>
      <c r="Q85" s="244"/>
      <c r="R85" s="244"/>
      <c r="S85" s="244"/>
      <c r="T85" s="244"/>
      <c r="U85" s="244"/>
      <c r="V85" s="244"/>
      <c r="W85" s="244"/>
      <c r="X85" s="244"/>
      <c r="Y85" s="244"/>
      <c r="Z85" s="244"/>
      <c r="AA85" s="244"/>
      <c r="AB85" s="244"/>
      <c r="AC85" s="244"/>
      <c r="AD85" s="244"/>
      <c r="AE85" s="244"/>
      <c r="AF85" s="244"/>
      <c r="AG85" s="244"/>
      <c r="AH85" s="244"/>
      <c r="AI85" s="244"/>
      <c r="AJ85" s="244"/>
      <c r="AK85" s="244"/>
      <c r="AL85" s="244"/>
      <c r="AM85" s="244"/>
      <c r="AN85" s="244"/>
      <c r="AO85" s="244"/>
      <c r="AP85" s="244"/>
      <c r="AQ85" s="244"/>
      <c r="AR85" s="244"/>
      <c r="AS85" s="244"/>
      <c r="AT85" s="244"/>
      <c r="AU85" s="244"/>
      <c r="AV85" s="244"/>
      <c r="AW85" s="244"/>
      <c r="AX85" s="244"/>
      <c r="AY85" s="244"/>
    </row>
    <row r="86">
      <c r="A86" s="244"/>
      <c r="B86" s="244"/>
      <c r="C86" s="265"/>
      <c r="D86" s="244"/>
      <c r="E86" s="244"/>
      <c r="F86" s="244"/>
      <c r="G86" s="244"/>
      <c r="H86" s="244"/>
      <c r="I86" s="244"/>
      <c r="J86" s="244"/>
      <c r="K86" s="244"/>
      <c r="L86" s="244"/>
      <c r="M86" s="244"/>
      <c r="N86" s="244"/>
      <c r="O86" s="244"/>
      <c r="P86" s="244"/>
      <c r="Q86" s="244"/>
      <c r="R86" s="244"/>
      <c r="S86" s="244"/>
      <c r="T86" s="244"/>
      <c r="U86" s="244"/>
      <c r="V86" s="244"/>
      <c r="W86" s="244"/>
      <c r="X86" s="244"/>
      <c r="Y86" s="244"/>
      <c r="Z86" s="244"/>
      <c r="AA86" s="244"/>
      <c r="AB86" s="244"/>
      <c r="AC86" s="244"/>
      <c r="AD86" s="244"/>
      <c r="AE86" s="244"/>
      <c r="AF86" s="244"/>
      <c r="AG86" s="244"/>
      <c r="AH86" s="244"/>
      <c r="AI86" s="244"/>
      <c r="AJ86" s="244"/>
      <c r="AK86" s="244"/>
      <c r="AL86" s="244"/>
      <c r="AM86" s="244"/>
      <c r="AN86" s="244"/>
      <c r="AO86" s="244"/>
      <c r="AP86" s="244"/>
      <c r="AQ86" s="244"/>
      <c r="AR86" s="244"/>
      <c r="AS86" s="244"/>
      <c r="AT86" s="244"/>
      <c r="AU86" s="244"/>
      <c r="AV86" s="244"/>
      <c r="AW86" s="244"/>
      <c r="AX86" s="244"/>
      <c r="AY86" s="244"/>
    </row>
    <row r="87">
      <c r="A87" s="244"/>
      <c r="B87" s="244"/>
      <c r="C87" s="265"/>
      <c r="D87" s="244"/>
      <c r="E87" s="244"/>
      <c r="F87" s="244"/>
      <c r="G87" s="244"/>
      <c r="H87" s="244"/>
      <c r="I87" s="244"/>
      <c r="J87" s="244"/>
      <c r="K87" s="244"/>
      <c r="L87" s="244"/>
      <c r="M87" s="244"/>
      <c r="N87" s="244"/>
      <c r="O87" s="244"/>
      <c r="P87" s="244"/>
      <c r="Q87" s="244"/>
      <c r="R87" s="244"/>
      <c r="S87" s="244"/>
      <c r="T87" s="244"/>
      <c r="U87" s="244"/>
      <c r="V87" s="244"/>
      <c r="W87" s="244"/>
      <c r="X87" s="244"/>
      <c r="Y87" s="244"/>
      <c r="Z87" s="244"/>
      <c r="AA87" s="244"/>
      <c r="AB87" s="244"/>
      <c r="AC87" s="244"/>
      <c r="AD87" s="244"/>
      <c r="AE87" s="244"/>
      <c r="AF87" s="244"/>
      <c r="AG87" s="244"/>
      <c r="AH87" s="244"/>
      <c r="AI87" s="244"/>
      <c r="AJ87" s="244"/>
      <c r="AK87" s="244"/>
      <c r="AL87" s="244"/>
      <c r="AM87" s="244"/>
      <c r="AN87" s="244"/>
      <c r="AO87" s="244"/>
      <c r="AP87" s="244"/>
      <c r="AQ87" s="244"/>
      <c r="AR87" s="244"/>
      <c r="AS87" s="244"/>
      <c r="AT87" s="244"/>
      <c r="AU87" s="244"/>
      <c r="AV87" s="244"/>
      <c r="AW87" s="244"/>
      <c r="AX87" s="244"/>
      <c r="AY87" s="244"/>
    </row>
    <row r="88">
      <c r="A88" s="244"/>
      <c r="B88" s="244"/>
      <c r="C88" s="265"/>
      <c r="D88" s="244"/>
      <c r="E88" s="244"/>
      <c r="F88" s="244"/>
      <c r="G88" s="244"/>
      <c r="H88" s="244"/>
      <c r="I88" s="244"/>
      <c r="J88" s="244"/>
      <c r="K88" s="244"/>
      <c r="L88" s="244"/>
      <c r="M88" s="244"/>
      <c r="N88" s="244"/>
      <c r="O88" s="244"/>
      <c r="P88" s="244"/>
      <c r="Q88" s="244"/>
      <c r="R88" s="244"/>
      <c r="S88" s="244"/>
      <c r="T88" s="244"/>
      <c r="U88" s="244"/>
      <c r="V88" s="244"/>
      <c r="W88" s="244"/>
      <c r="X88" s="244"/>
      <c r="Y88" s="244"/>
      <c r="Z88" s="244"/>
      <c r="AA88" s="244"/>
      <c r="AB88" s="244"/>
      <c r="AC88" s="244"/>
      <c r="AD88" s="244"/>
      <c r="AE88" s="244"/>
      <c r="AF88" s="244"/>
      <c r="AG88" s="244"/>
      <c r="AH88" s="244"/>
      <c r="AI88" s="244"/>
      <c r="AJ88" s="244"/>
      <c r="AK88" s="244"/>
      <c r="AL88" s="244"/>
      <c r="AM88" s="244"/>
      <c r="AN88" s="244"/>
      <c r="AO88" s="244"/>
      <c r="AP88" s="244"/>
      <c r="AQ88" s="244"/>
      <c r="AR88" s="244"/>
      <c r="AS88" s="244"/>
      <c r="AT88" s="244"/>
      <c r="AU88" s="244"/>
      <c r="AV88" s="244"/>
      <c r="AW88" s="244"/>
      <c r="AX88" s="244"/>
      <c r="AY88" s="244"/>
    </row>
    <row r="89">
      <c r="A89" s="244"/>
      <c r="B89" s="244"/>
      <c r="C89" s="265"/>
      <c r="D89" s="244"/>
      <c r="E89" s="244"/>
      <c r="F89" s="244"/>
      <c r="G89" s="244"/>
      <c r="H89" s="244"/>
      <c r="I89" s="244"/>
      <c r="J89" s="244"/>
      <c r="K89" s="244"/>
      <c r="L89" s="244"/>
      <c r="M89" s="244"/>
      <c r="N89" s="244"/>
      <c r="O89" s="244"/>
      <c r="P89" s="244"/>
      <c r="Q89" s="244"/>
      <c r="R89" s="244"/>
      <c r="S89" s="244"/>
      <c r="T89" s="244"/>
      <c r="U89" s="244"/>
      <c r="V89" s="244"/>
      <c r="W89" s="244"/>
      <c r="X89" s="244"/>
      <c r="Y89" s="244"/>
      <c r="Z89" s="244"/>
      <c r="AA89" s="244"/>
      <c r="AB89" s="244"/>
      <c r="AC89" s="244"/>
      <c r="AD89" s="244"/>
      <c r="AE89" s="244"/>
      <c r="AF89" s="244"/>
      <c r="AG89" s="244"/>
      <c r="AH89" s="244"/>
      <c r="AI89" s="244"/>
      <c r="AJ89" s="244"/>
      <c r="AK89" s="244"/>
      <c r="AL89" s="244"/>
      <c r="AM89" s="244"/>
      <c r="AN89" s="244"/>
      <c r="AO89" s="244"/>
      <c r="AP89" s="244"/>
      <c r="AQ89" s="244"/>
      <c r="AR89" s="244"/>
      <c r="AS89" s="244"/>
      <c r="AT89" s="244"/>
      <c r="AU89" s="244"/>
      <c r="AV89" s="244"/>
      <c r="AW89" s="244"/>
      <c r="AX89" s="244"/>
      <c r="AY89" s="244"/>
    </row>
    <row r="90">
      <c r="A90" s="244"/>
      <c r="B90" s="244"/>
      <c r="C90" s="265"/>
      <c r="D90" s="244"/>
      <c r="E90" s="244"/>
      <c r="F90" s="244"/>
      <c r="G90" s="244"/>
      <c r="H90" s="244"/>
      <c r="I90" s="244"/>
      <c r="J90" s="244"/>
      <c r="K90" s="244"/>
      <c r="L90" s="244"/>
      <c r="M90" s="244"/>
      <c r="N90" s="244"/>
      <c r="O90" s="244"/>
      <c r="P90" s="244"/>
      <c r="Q90" s="244"/>
      <c r="R90" s="244"/>
      <c r="S90" s="244"/>
      <c r="T90" s="244"/>
      <c r="U90" s="244"/>
      <c r="V90" s="244"/>
      <c r="W90" s="244"/>
      <c r="X90" s="244"/>
      <c r="Y90" s="244"/>
      <c r="Z90" s="244"/>
      <c r="AA90" s="244"/>
      <c r="AB90" s="244"/>
      <c r="AC90" s="244"/>
      <c r="AD90" s="244"/>
      <c r="AE90" s="244"/>
      <c r="AF90" s="244"/>
      <c r="AG90" s="244"/>
      <c r="AH90" s="244"/>
      <c r="AI90" s="244"/>
      <c r="AJ90" s="244"/>
      <c r="AK90" s="244"/>
      <c r="AL90" s="244"/>
      <c r="AM90" s="244"/>
      <c r="AN90" s="244"/>
      <c r="AO90" s="244"/>
      <c r="AP90" s="244"/>
      <c r="AQ90" s="244"/>
      <c r="AR90" s="244"/>
      <c r="AS90" s="244"/>
      <c r="AT90" s="244"/>
      <c r="AU90" s="244"/>
      <c r="AV90" s="244"/>
      <c r="AW90" s="244"/>
      <c r="AX90" s="244"/>
      <c r="AY90" s="244"/>
    </row>
    <row r="91">
      <c r="A91" s="244"/>
      <c r="B91" s="244"/>
      <c r="C91" s="265"/>
      <c r="D91" s="244"/>
      <c r="E91" s="244"/>
      <c r="F91" s="244"/>
      <c r="G91" s="244"/>
      <c r="H91" s="244"/>
      <c r="I91" s="244"/>
      <c r="J91" s="244"/>
      <c r="K91" s="244"/>
      <c r="L91" s="244"/>
      <c r="M91" s="244"/>
      <c r="N91" s="244"/>
      <c r="O91" s="244"/>
      <c r="P91" s="244"/>
      <c r="Q91" s="244"/>
      <c r="R91" s="244"/>
      <c r="S91" s="244"/>
      <c r="T91" s="244"/>
      <c r="U91" s="244"/>
      <c r="V91" s="244"/>
      <c r="W91" s="244"/>
      <c r="X91" s="244"/>
      <c r="Y91" s="244"/>
      <c r="Z91" s="244"/>
      <c r="AA91" s="244"/>
      <c r="AB91" s="244"/>
      <c r="AC91" s="244"/>
      <c r="AD91" s="244"/>
      <c r="AE91" s="244"/>
      <c r="AF91" s="244"/>
      <c r="AG91" s="244"/>
      <c r="AH91" s="244"/>
      <c r="AI91" s="244"/>
      <c r="AJ91" s="244"/>
      <c r="AK91" s="244"/>
      <c r="AL91" s="244"/>
      <c r="AM91" s="244"/>
      <c r="AN91" s="244"/>
      <c r="AO91" s="244"/>
      <c r="AP91" s="244"/>
      <c r="AQ91" s="244"/>
      <c r="AR91" s="244"/>
      <c r="AS91" s="244"/>
      <c r="AT91" s="244"/>
      <c r="AU91" s="244"/>
      <c r="AV91" s="244"/>
      <c r="AW91" s="244"/>
      <c r="AX91" s="244"/>
      <c r="AY91" s="244"/>
    </row>
    <row r="92">
      <c r="A92" s="244"/>
      <c r="B92" s="244"/>
      <c r="C92" s="265"/>
      <c r="D92" s="244"/>
      <c r="E92" s="244"/>
      <c r="F92" s="244"/>
      <c r="G92" s="244"/>
      <c r="H92" s="244"/>
      <c r="I92" s="244"/>
      <c r="J92" s="244"/>
      <c r="K92" s="244"/>
      <c r="L92" s="244"/>
      <c r="M92" s="244"/>
      <c r="N92" s="244"/>
      <c r="O92" s="244"/>
      <c r="P92" s="244"/>
      <c r="Q92" s="244"/>
      <c r="R92" s="244"/>
      <c r="S92" s="244"/>
      <c r="T92" s="244"/>
      <c r="U92" s="244"/>
      <c r="V92" s="244"/>
      <c r="W92" s="244"/>
      <c r="X92" s="244"/>
      <c r="Y92" s="244"/>
      <c r="Z92" s="244"/>
      <c r="AA92" s="244"/>
      <c r="AB92" s="244"/>
      <c r="AC92" s="244"/>
      <c r="AD92" s="244"/>
      <c r="AE92" s="244"/>
      <c r="AF92" s="244"/>
      <c r="AG92" s="244"/>
      <c r="AH92" s="244"/>
      <c r="AI92" s="244"/>
      <c r="AJ92" s="244"/>
      <c r="AK92" s="244"/>
      <c r="AL92" s="244"/>
      <c r="AM92" s="244"/>
      <c r="AN92" s="244"/>
      <c r="AO92" s="244"/>
      <c r="AP92" s="244"/>
      <c r="AQ92" s="244"/>
      <c r="AR92" s="244"/>
      <c r="AS92" s="244"/>
      <c r="AT92" s="244"/>
      <c r="AU92" s="244"/>
      <c r="AV92" s="244"/>
      <c r="AW92" s="244"/>
      <c r="AX92" s="244"/>
      <c r="AY92" s="244"/>
    </row>
    <row r="93">
      <c r="A93" s="244"/>
      <c r="B93" s="244"/>
      <c r="C93" s="265"/>
      <c r="D93" s="244"/>
      <c r="E93" s="244"/>
      <c r="F93" s="244"/>
      <c r="G93" s="244"/>
      <c r="H93" s="244"/>
      <c r="I93" s="244"/>
      <c r="J93" s="244"/>
      <c r="K93" s="244"/>
      <c r="L93" s="244"/>
      <c r="M93" s="244"/>
      <c r="N93" s="244"/>
      <c r="O93" s="244"/>
      <c r="P93" s="244"/>
      <c r="Q93" s="244"/>
      <c r="R93" s="244"/>
      <c r="S93" s="244"/>
      <c r="T93" s="244"/>
      <c r="U93" s="244"/>
      <c r="V93" s="244"/>
      <c r="W93" s="244"/>
      <c r="X93" s="244"/>
      <c r="Y93" s="244"/>
      <c r="Z93" s="244"/>
      <c r="AA93" s="244"/>
      <c r="AB93" s="244"/>
      <c r="AC93" s="244"/>
      <c r="AD93" s="244"/>
      <c r="AE93" s="244"/>
      <c r="AF93" s="244"/>
      <c r="AG93" s="244"/>
      <c r="AH93" s="244"/>
      <c r="AI93" s="244"/>
      <c r="AJ93" s="244"/>
      <c r="AK93" s="244"/>
      <c r="AL93" s="244"/>
      <c r="AM93" s="244"/>
      <c r="AN93" s="244"/>
      <c r="AO93" s="244"/>
      <c r="AP93" s="244"/>
      <c r="AQ93" s="244"/>
      <c r="AR93" s="244"/>
      <c r="AS93" s="244"/>
      <c r="AT93" s="244"/>
      <c r="AU93" s="244"/>
      <c r="AV93" s="244"/>
      <c r="AW93" s="244"/>
      <c r="AX93" s="244"/>
      <c r="AY93" s="244"/>
    </row>
    <row r="94">
      <c r="A94" s="244"/>
      <c r="B94" s="244"/>
      <c r="C94" s="265"/>
      <c r="D94" s="244"/>
      <c r="E94" s="244"/>
      <c r="F94" s="244"/>
      <c r="G94" s="244"/>
      <c r="H94" s="244"/>
      <c r="I94" s="244"/>
      <c r="J94" s="244"/>
      <c r="K94" s="244"/>
      <c r="L94" s="244"/>
      <c r="M94" s="244"/>
      <c r="N94" s="244"/>
      <c r="O94" s="244"/>
      <c r="P94" s="244"/>
      <c r="Q94" s="244"/>
      <c r="R94" s="244"/>
      <c r="S94" s="244"/>
      <c r="T94" s="244"/>
      <c r="U94" s="244"/>
      <c r="V94" s="244"/>
      <c r="W94" s="244"/>
      <c r="X94" s="244"/>
      <c r="Y94" s="244"/>
      <c r="Z94" s="244"/>
      <c r="AA94" s="244"/>
      <c r="AB94" s="244"/>
      <c r="AC94" s="244"/>
      <c r="AD94" s="244"/>
      <c r="AE94" s="244"/>
      <c r="AF94" s="244"/>
      <c r="AG94" s="244"/>
      <c r="AH94" s="244"/>
      <c r="AI94" s="244"/>
      <c r="AJ94" s="244"/>
      <c r="AK94" s="244"/>
      <c r="AL94" s="244"/>
      <c r="AM94" s="244"/>
      <c r="AN94" s="244"/>
      <c r="AO94" s="244"/>
      <c r="AP94" s="244"/>
      <c r="AQ94" s="244"/>
      <c r="AR94" s="244"/>
      <c r="AS94" s="244"/>
      <c r="AT94" s="244"/>
      <c r="AU94" s="244"/>
      <c r="AV94" s="244"/>
      <c r="AW94" s="244"/>
      <c r="AX94" s="244"/>
      <c r="AY94" s="244"/>
    </row>
    <row r="95">
      <c r="A95" s="244"/>
      <c r="B95" s="244"/>
      <c r="C95" s="265"/>
      <c r="D95" s="244"/>
      <c r="E95" s="244"/>
      <c r="F95" s="244"/>
      <c r="G95" s="244"/>
      <c r="H95" s="244"/>
      <c r="I95" s="244"/>
      <c r="J95" s="244"/>
      <c r="K95" s="244"/>
      <c r="L95" s="244"/>
      <c r="M95" s="244"/>
      <c r="N95" s="244"/>
      <c r="O95" s="244"/>
      <c r="P95" s="244"/>
      <c r="Q95" s="244"/>
      <c r="R95" s="244"/>
      <c r="S95" s="244"/>
      <c r="T95" s="244"/>
      <c r="U95" s="244"/>
      <c r="V95" s="244"/>
      <c r="W95" s="244"/>
      <c r="X95" s="244"/>
      <c r="Y95" s="244"/>
      <c r="Z95" s="244"/>
      <c r="AA95" s="244"/>
      <c r="AB95" s="244"/>
      <c r="AC95" s="244"/>
      <c r="AD95" s="244"/>
      <c r="AE95" s="244"/>
      <c r="AF95" s="244"/>
      <c r="AG95" s="244"/>
      <c r="AH95" s="244"/>
      <c r="AI95" s="244"/>
      <c r="AJ95" s="244"/>
      <c r="AK95" s="244"/>
      <c r="AL95" s="244"/>
      <c r="AM95" s="244"/>
      <c r="AN95" s="244"/>
      <c r="AO95" s="244"/>
      <c r="AP95" s="244"/>
      <c r="AQ95" s="244"/>
      <c r="AR95" s="244"/>
      <c r="AS95" s="244"/>
      <c r="AT95" s="244"/>
      <c r="AU95" s="244"/>
      <c r="AV95" s="244"/>
      <c r="AW95" s="244"/>
      <c r="AX95" s="244"/>
      <c r="AY95" s="244"/>
    </row>
    <row r="96">
      <c r="A96" s="244"/>
      <c r="B96" s="244"/>
      <c r="C96" s="265"/>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row>
    <row r="97">
      <c r="A97" s="244"/>
      <c r="B97" s="244"/>
      <c r="C97" s="265"/>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row>
    <row r="98">
      <c r="A98" s="244"/>
      <c r="B98" s="244"/>
      <c r="C98" s="265"/>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row>
    <row r="99">
      <c r="A99" s="244"/>
      <c r="B99" s="244"/>
      <c r="C99" s="265"/>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row>
    <row r="100">
      <c r="A100" s="244"/>
      <c r="B100" s="244"/>
      <c r="C100" s="265"/>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row>
    <row r="101">
      <c r="A101" s="244"/>
      <c r="B101" s="244"/>
      <c r="C101" s="265"/>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row>
    <row r="102">
      <c r="A102" s="244"/>
      <c r="B102" s="244"/>
      <c r="C102" s="265"/>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row>
    <row r="103">
      <c r="A103" s="244"/>
      <c r="B103" s="244"/>
      <c r="C103" s="265"/>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row>
    <row r="104">
      <c r="A104" s="244"/>
      <c r="B104" s="244"/>
      <c r="C104" s="265"/>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row>
    <row r="105">
      <c r="A105" s="244"/>
      <c r="B105" s="244"/>
      <c r="C105" s="265"/>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row>
  </sheetData>
  <mergeCells count="12">
    <mergeCell ref="Z8:AB8"/>
    <mergeCell ref="D53:Y53"/>
    <mergeCell ref="Q4:X4"/>
    <mergeCell ref="D7:O7"/>
    <mergeCell ref="Q7:AB7"/>
    <mergeCell ref="D8:F8"/>
    <mergeCell ref="G8:I8"/>
    <mergeCell ref="J8:L8"/>
    <mergeCell ref="M8:O8"/>
    <mergeCell ref="Q8:S8"/>
    <mergeCell ref="T8:V8"/>
    <mergeCell ref="W8:Y8"/>
  </mergeCells>
  <phoneticPr fontId="0" type="noConversion"/>
  <printOptions horizontalCentered="1" verticalCentered="1"/>
  <pageMargins left="0.25" right="0.25" top="0.25" bottom="0.25" header="0.25" footer="0.28"/>
  <pageSetup scale="65" orientation="landscape" r:id="rId1"/>
  <headerFooter alignWithMargins="0">
    <oddHeader/>
    <oddFooter/>
  </headerFooter>
  <drawing r:id="rId46"/>
</worksheet>
</file>

<file path=xl/worksheets/sheet4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CF148"/>
  <sheetViews>
    <sheetView showGridLines="0" zoomScale="80" workbookViewId="0"/>
  </sheetViews>
  <sheetFormatPr defaultRowHeight="12.75"/>
  <cols>
    <col min="1" max="1" width="1" customWidth="1"/>
    <col min="2" max="2" width="1.28515625" style="21" customWidth="1"/>
    <col min="3" max="3" width="8.28515625" customWidth="1"/>
    <col min="4" max="4" width="51.5703125" customWidth="1"/>
    <col min="5" max="5" width="23.7109375" customWidth="1"/>
    <col min="6" max="6" width="11.7109375" customWidth="1"/>
    <col min="7" max="7" width="14.7109375" customWidth="1"/>
    <col min="8" max="8" width="7.7109375" customWidth="1"/>
    <col min="9" max="38" width="2.7109375" customWidth="1"/>
    <col min="39" max="69" width="2.42578125" customWidth="1"/>
  </cols>
  <sheetData>
    <row r="1" ht="23.25" customHeight="1">
      <c r="B1" s="5" t="s">
        <v>134</v>
      </c>
      <c r="D1" s="5"/>
      <c r="E1" s="5"/>
      <c r="F1" s="5"/>
      <c r="G1" s="5"/>
      <c r="AS1" s="244"/>
      <c r="AT1" s="244"/>
      <c r="AU1" s="244"/>
      <c r="AV1" s="244"/>
      <c r="AW1" s="244"/>
      <c r="AX1" s="244"/>
      <c r="AY1" s="244"/>
      <c r="AZ1" s="244"/>
      <c r="BA1" s="244"/>
      <c r="BB1" s="244"/>
      <c r="BC1" s="244"/>
      <c r="BD1" s="244"/>
      <c r="BE1" s="244"/>
      <c r="BF1" s="244"/>
      <c r="BG1" s="244"/>
      <c r="BH1" s="244"/>
      <c r="BI1" s="244"/>
      <c r="BJ1" s="244"/>
      <c r="BK1" s="244"/>
      <c r="BL1" s="244"/>
      <c r="BM1" s="244"/>
      <c r="BN1" s="244"/>
      <c r="BO1" s="244"/>
      <c r="BP1" s="244"/>
      <c r="BQ1" s="244"/>
      <c r="BR1" s="244"/>
      <c r="BS1" s="244"/>
      <c r="BT1" s="244"/>
      <c r="BU1" s="244"/>
      <c r="BV1" s="244"/>
      <c r="BW1" s="244"/>
      <c r="BX1" s="244"/>
      <c r="BY1" s="244"/>
      <c r="BZ1" s="244"/>
      <c r="CA1" s="244"/>
      <c r="CB1" s="244"/>
      <c r="CC1" s="244"/>
      <c r="CD1" s="244"/>
      <c r="CE1" s="244"/>
      <c r="CF1" s="244"/>
    </row>
    <row r="2" ht="15" customHeight="1">
      <c r="C2" s="99" t="s">
        <v>141</v>
      </c>
      <c r="D2" s="100"/>
      <c r="E2" s="100"/>
      <c r="F2" s="100"/>
      <c r="G2" s="100"/>
      <c r="AS2" s="244"/>
      <c r="AT2" s="244"/>
      <c r="AU2" s="244"/>
      <c r="AV2" s="244"/>
      <c r="AW2" s="244"/>
      <c r="AX2" s="244"/>
      <c r="AY2" s="244"/>
      <c r="AZ2" s="244"/>
      <c r="BA2" s="244"/>
      <c r="BB2" s="244"/>
      <c r="BC2" s="244"/>
      <c r="BD2" s="244"/>
      <c r="BE2" s="244"/>
      <c r="BF2" s="244"/>
      <c r="BG2" s="244"/>
      <c r="BH2" s="244"/>
      <c r="BI2" s="244"/>
      <c r="BJ2" s="244"/>
      <c r="BK2" s="244"/>
      <c r="BL2" s="244"/>
      <c r="BM2" s="244"/>
      <c r="BN2" s="244"/>
      <c r="BO2" s="244"/>
      <c r="BP2" s="244"/>
      <c r="BQ2" s="244"/>
      <c r="BR2" s="244"/>
      <c r="BS2" s="244"/>
      <c r="BT2" s="244"/>
      <c r="BU2" s="244"/>
      <c r="BV2" s="244"/>
      <c r="BW2" s="244"/>
      <c r="BX2" s="244"/>
      <c r="BY2" s="244"/>
      <c r="BZ2" s="244"/>
      <c r="CA2" s="244"/>
      <c r="CB2" s="244"/>
      <c r="CC2" s="244"/>
      <c r="CD2" s="244"/>
      <c r="CE2" s="244"/>
      <c r="CF2" s="244"/>
    </row>
    <row r="3" ht="15" customHeight="1">
      <c r="C3" s="99" t="s">
        <v>142</v>
      </c>
      <c r="D3" s="100"/>
      <c r="E3" s="100"/>
      <c r="F3" s="100"/>
      <c r="G3" s="100"/>
      <c r="AS3" s="244"/>
      <c r="AT3" s="244"/>
      <c r="AU3" s="244"/>
      <c r="AV3" s="244"/>
      <c r="AW3" s="244"/>
      <c r="AX3" s="244"/>
      <c r="AY3" s="244"/>
      <c r="AZ3" s="244"/>
      <c r="BA3" s="244"/>
      <c r="BB3" s="244"/>
      <c r="BC3" s="244"/>
      <c r="BD3" s="244"/>
      <c r="BE3" s="244"/>
      <c r="BF3" s="244"/>
      <c r="BG3" s="244"/>
      <c r="BH3" s="244"/>
      <c r="BI3" s="244"/>
      <c r="BJ3" s="244"/>
      <c r="BK3" s="244"/>
      <c r="BL3" s="244"/>
      <c r="BM3" s="244"/>
      <c r="BN3" s="244"/>
      <c r="BO3" s="244"/>
      <c r="BP3" s="244"/>
      <c r="BQ3" s="244"/>
      <c r="BR3" s="244"/>
      <c r="BS3" s="244"/>
      <c r="BT3" s="244"/>
      <c r="BU3" s="244"/>
      <c r="BV3" s="244"/>
      <c r="BW3" s="244"/>
      <c r="BX3" s="244"/>
      <c r="BY3" s="244"/>
      <c r="BZ3" s="244"/>
      <c r="CA3" s="244"/>
      <c r="CB3" s="244"/>
      <c r="CC3" s="244"/>
      <c r="CD3" s="244"/>
      <c r="CE3" s="244"/>
      <c r="CF3" s="244"/>
    </row>
    <row r="4" ht="15" customHeight="1">
      <c r="C4" s="0" t="s">
        <v>162</v>
      </c>
      <c r="D4" s="100"/>
      <c r="E4" s="100"/>
      <c r="F4" s="100"/>
      <c r="G4" s="100"/>
      <c r="AS4" s="244"/>
      <c r="AT4" s="244"/>
      <c r="AU4" s="244"/>
      <c r="AV4" s="244"/>
      <c r="AW4" s="244"/>
      <c r="AX4" s="244"/>
      <c r="AY4" s="244"/>
      <c r="AZ4" s="244"/>
      <c r="BA4" s="244"/>
      <c r="BB4" s="244"/>
      <c r="BC4" s="244"/>
      <c r="BD4" s="244"/>
      <c r="BE4" s="244"/>
      <c r="BF4" s="244"/>
      <c r="BG4" s="244"/>
      <c r="BH4" s="244"/>
      <c r="BI4" s="244"/>
      <c r="BJ4" s="244"/>
      <c r="BK4" s="244"/>
      <c r="BL4" s="244"/>
      <c r="BM4" s="244"/>
      <c r="BN4" s="244"/>
      <c r="BO4" s="244"/>
      <c r="BP4" s="244"/>
      <c r="BQ4" s="244"/>
      <c r="BR4" s="244"/>
      <c r="BS4" s="244"/>
      <c r="BT4" s="244"/>
      <c r="BU4" s="244"/>
      <c r="BV4" s="244"/>
      <c r="BW4" s="244"/>
      <c r="BX4" s="244"/>
      <c r="BY4" s="244"/>
      <c r="BZ4" s="244"/>
      <c r="CA4" s="244"/>
      <c r="CB4" s="244"/>
      <c r="CC4" s="244"/>
      <c r="CD4" s="244"/>
      <c r="CE4" s="244"/>
      <c r="CF4" s="244"/>
    </row>
    <row r="5" ht="21" customHeight="1">
      <c r="B5" s="101" t="s">
        <v>7</v>
      </c>
      <c r="D5" s="102"/>
      <c r="H5" s="685" t="s">
        <v>199</v>
      </c>
      <c r="I5" s="685"/>
      <c r="J5" s="685"/>
      <c r="K5" s="685"/>
      <c r="L5" s="685"/>
      <c r="M5" s="685"/>
      <c r="N5" s="685"/>
      <c r="O5" s="685"/>
      <c r="P5" s="685"/>
      <c r="Q5" s="685"/>
      <c r="R5" s="685"/>
      <c r="S5" s="685"/>
      <c r="T5" s="685"/>
      <c r="U5" s="685"/>
      <c r="V5" s="685"/>
      <c r="AB5" s="685" t="s">
        <v>201</v>
      </c>
      <c r="AC5" s="685"/>
      <c r="AD5" s="685"/>
      <c r="AE5" s="685"/>
      <c r="AF5" s="685"/>
      <c r="AG5" s="685"/>
      <c r="AH5" s="685"/>
      <c r="AI5" s="685"/>
      <c r="AJ5" s="685"/>
      <c r="AK5" s="685"/>
      <c r="AL5" s="685"/>
      <c r="AM5" s="685"/>
      <c r="AN5" s="685"/>
      <c r="AO5" s="685"/>
      <c r="AP5" s="685"/>
      <c r="AS5" s="244"/>
      <c r="AT5" s="244"/>
      <c r="AU5" s="244"/>
      <c r="AV5" s="244"/>
      <c r="AW5" s="244"/>
      <c r="AX5" s="244"/>
      <c r="AY5" s="244"/>
      <c r="AZ5" s="244"/>
      <c r="BA5" s="244"/>
      <c r="BB5" s="244"/>
      <c r="BC5" s="244"/>
      <c r="BD5" s="244"/>
      <c r="BE5" s="244"/>
      <c r="BF5" s="244"/>
      <c r="BG5" s="244"/>
      <c r="BH5" s="244"/>
      <c r="BI5" s="244"/>
      <c r="BJ5" s="244"/>
      <c r="BK5" s="244"/>
      <c r="BL5" s="244"/>
      <c r="BM5" s="244"/>
      <c r="BN5" s="244"/>
      <c r="BO5" s="244"/>
      <c r="BP5" s="244"/>
      <c r="BQ5" s="244"/>
      <c r="BR5" s="244"/>
      <c r="BS5" s="244"/>
      <c r="BT5" s="244"/>
      <c r="BU5" s="244"/>
      <c r="BV5" s="244"/>
      <c r="BW5" s="244"/>
      <c r="BX5" s="244"/>
      <c r="BY5" s="244"/>
      <c r="BZ5" s="244"/>
      <c r="CA5" s="244"/>
      <c r="CB5" s="244"/>
      <c r="CC5" s="244"/>
      <c r="CD5" s="244"/>
      <c r="CE5" s="244"/>
      <c r="CF5" s="244"/>
    </row>
    <row r="6" ht="12.75" customHeight="1">
      <c r="C6" s="30" t="s">
        <v>202</v>
      </c>
      <c r="D6" s="104" t="s">
        <v>203</v>
      </c>
      <c r="I6" s="686" t="s">
        <v>0</v>
      </c>
      <c r="J6" s="686"/>
      <c r="K6" s="686" t="s">
        <v>1</v>
      </c>
      <c r="L6" s="686"/>
      <c r="M6" s="686" t="s">
        <v>2</v>
      </c>
      <c r="N6" s="686"/>
      <c r="O6" s="686" t="s">
        <v>3</v>
      </c>
      <c r="P6" s="686"/>
      <c r="Q6" s="686" t="s">
        <v>4</v>
      </c>
      <c r="R6" s="686"/>
      <c r="S6" s="686" t="s">
        <v>5</v>
      </c>
      <c r="T6" s="686"/>
      <c r="U6" s="686" t="s">
        <v>6</v>
      </c>
      <c r="V6" s="686"/>
      <c r="AC6" s="686" t="s">
        <v>0</v>
      </c>
      <c r="AD6" s="686"/>
      <c r="AE6" s="686" t="s">
        <v>1</v>
      </c>
      <c r="AF6" s="686"/>
      <c r="AG6" s="686" t="s">
        <v>2</v>
      </c>
      <c r="AH6" s="686"/>
      <c r="AI6" s="686" t="s">
        <v>3</v>
      </c>
      <c r="AJ6" s="686"/>
      <c r="AK6" s="686" t="s">
        <v>4</v>
      </c>
      <c r="AL6" s="686"/>
      <c r="AM6" s="686" t="s">
        <v>5</v>
      </c>
      <c r="AN6" s="686"/>
      <c r="AO6" s="686" t="s">
        <v>6</v>
      </c>
      <c r="AP6" s="686"/>
      <c r="AS6" s="244"/>
      <c r="AT6" s="244"/>
      <c r="AU6" s="244"/>
      <c r="AV6" s="244"/>
      <c r="AW6" s="244"/>
      <c r="AX6" s="244"/>
      <c r="AY6" s="244"/>
      <c r="AZ6" s="244"/>
      <c r="BA6" s="244"/>
      <c r="BB6" s="244"/>
      <c r="BC6" s="244"/>
      <c r="BD6" s="244"/>
      <c r="BE6" s="244"/>
      <c r="BF6" s="244"/>
      <c r="BG6" s="244"/>
      <c r="BH6" s="244"/>
      <c r="BI6" s="244"/>
      <c r="BJ6" s="244"/>
      <c r="BK6" s="244"/>
      <c r="BL6" s="244"/>
      <c r="BM6" s="244"/>
      <c r="BN6" s="244"/>
      <c r="BO6" s="244"/>
      <c r="BP6" s="244"/>
      <c r="BQ6" s="244"/>
      <c r="BR6" s="244"/>
      <c r="BS6" s="244"/>
      <c r="BT6" s="244"/>
      <c r="BU6" s="244"/>
      <c r="BV6" s="244"/>
      <c r="BW6" s="244"/>
      <c r="BX6" s="244"/>
      <c r="BY6" s="244"/>
      <c r="BZ6" s="244"/>
      <c r="CA6" s="244"/>
      <c r="CB6" s="244"/>
      <c r="CC6" s="244"/>
      <c r="CD6" s="244"/>
      <c r="CE6" s="244"/>
      <c r="CF6" s="244"/>
    </row>
    <row r="7" ht="12.75" customHeight="1">
      <c r="C7" s="105" t="s">
        <v>204</v>
      </c>
      <c r="D7" s="104" t="s">
        <v>205</v>
      </c>
      <c r="E7" s="104"/>
      <c r="F7" s="104"/>
      <c r="G7" s="104"/>
      <c r="H7" s="97" t="s">
        <v>148</v>
      </c>
      <c r="I7" s="687">
        <v>8</v>
      </c>
      <c r="J7" s="687"/>
      <c r="K7" s="688">
        <v>9</v>
      </c>
      <c r="L7" s="688"/>
      <c r="M7" s="688">
        <v>10</v>
      </c>
      <c r="N7" s="688"/>
      <c r="O7" s="688">
        <v>11</v>
      </c>
      <c r="P7" s="688"/>
      <c r="Q7" s="688">
        <v>12</v>
      </c>
      <c r="R7" s="688"/>
      <c r="S7" s="688">
        <v>13</v>
      </c>
      <c r="T7" s="688"/>
      <c r="U7" s="689">
        <v>14</v>
      </c>
      <c r="V7" s="689"/>
      <c r="Y7" s="3"/>
      <c r="AB7" s="97" t="s">
        <v>148</v>
      </c>
      <c r="AC7" s="687">
        <v>9</v>
      </c>
      <c r="AD7" s="687"/>
      <c r="AE7" s="688">
        <v>10</v>
      </c>
      <c r="AF7" s="688"/>
      <c r="AG7" s="688">
        <v>11</v>
      </c>
      <c r="AH7" s="688"/>
      <c r="AI7" s="688">
        <v>12</v>
      </c>
      <c r="AJ7" s="688"/>
      <c r="AK7" s="688">
        <v>13</v>
      </c>
      <c r="AL7" s="688"/>
      <c r="AM7" s="688">
        <v>14</v>
      </c>
      <c r="AN7" s="688"/>
      <c r="AO7" s="689">
        <v>15</v>
      </c>
      <c r="AP7" s="689"/>
      <c r="AS7" s="244"/>
      <c r="AT7" s="244"/>
      <c r="AU7" s="244"/>
      <c r="AV7" s="244"/>
      <c r="AW7" s="244"/>
      <c r="AX7" s="244"/>
      <c r="AY7" s="244"/>
      <c r="AZ7" s="244"/>
      <c r="BA7" s="244"/>
      <c r="BB7" s="244"/>
      <c r="BC7" s="244"/>
      <c r="BD7" s="244"/>
      <c r="BE7" s="244"/>
      <c r="BF7" s="244"/>
      <c r="BG7" s="244"/>
      <c r="BH7" s="244"/>
      <c r="BI7" s="244"/>
      <c r="BJ7" s="244"/>
      <c r="BK7" s="244"/>
      <c r="BL7" s="244"/>
      <c r="BM7" s="244"/>
      <c r="BN7" s="244"/>
      <c r="BO7" s="244"/>
      <c r="BP7" s="244"/>
      <c r="BQ7" s="244"/>
      <c r="BR7" s="244"/>
      <c r="BS7" s="244"/>
      <c r="BT7" s="244"/>
      <c r="BU7" s="244"/>
      <c r="BV7" s="244"/>
      <c r="BW7" s="244"/>
      <c r="BX7" s="244"/>
      <c r="BY7" s="244"/>
      <c r="BZ7" s="244"/>
      <c r="CA7" s="244"/>
      <c r="CB7" s="244"/>
      <c r="CC7" s="244"/>
      <c r="CD7" s="244"/>
      <c r="CE7" s="244"/>
      <c r="CF7" s="244"/>
    </row>
    <row r="8" ht="12.75" customHeight="1">
      <c r="C8" t="s">
        <v>206</v>
      </c>
      <c r="D8" t="s">
        <v>207</v>
      </c>
      <c r="H8" s="97" t="s">
        <v>148</v>
      </c>
      <c r="I8" s="690">
        <v>15</v>
      </c>
      <c r="J8" s="690"/>
      <c r="K8" s="691">
        <v>16</v>
      </c>
      <c r="L8" s="691"/>
      <c r="M8" s="691">
        <v>17</v>
      </c>
      <c r="N8" s="691"/>
      <c r="O8" s="691">
        <v>18</v>
      </c>
      <c r="P8" s="691"/>
      <c r="Q8" s="691">
        <v>19</v>
      </c>
      <c r="R8" s="691"/>
      <c r="S8" s="691">
        <v>20</v>
      </c>
      <c r="T8" s="691"/>
      <c r="U8" s="692">
        <v>21</v>
      </c>
      <c r="V8" s="692"/>
      <c r="Y8" s="3"/>
      <c r="AB8" s="97" t="s">
        <v>148</v>
      </c>
      <c r="AC8" s="690">
        <v>16</v>
      </c>
      <c r="AD8" s="690"/>
      <c r="AE8" s="691">
        <v>17</v>
      </c>
      <c r="AF8" s="691"/>
      <c r="AG8" s="691">
        <v>18</v>
      </c>
      <c r="AH8" s="691"/>
      <c r="AI8" s="691">
        <v>19</v>
      </c>
      <c r="AJ8" s="691"/>
      <c r="AK8" s="691">
        <v>20</v>
      </c>
      <c r="AL8" s="691"/>
      <c r="AM8" s="691">
        <v>21</v>
      </c>
      <c r="AN8" s="691"/>
      <c r="AO8" s="692">
        <v>22</v>
      </c>
      <c r="AP8" s="692"/>
      <c r="AS8" s="244"/>
      <c r="AT8" s="244"/>
      <c r="AU8" s="244"/>
      <c r="AV8" s="244"/>
      <c r="AW8" s="244"/>
      <c r="AX8" s="244"/>
      <c r="AY8" s="244"/>
      <c r="AZ8" s="244"/>
      <c r="BA8" s="244"/>
      <c r="BB8" s="244"/>
      <c r="BC8" s="244"/>
      <c r="BD8" s="244"/>
      <c r="BE8" s="244"/>
      <c r="BF8" s="244"/>
      <c r="BG8" s="244"/>
      <c r="BH8" s="244"/>
      <c r="BI8" s="244"/>
      <c r="BJ8" s="244"/>
      <c r="BK8" s="244"/>
      <c r="BL8" s="244"/>
      <c r="BM8" s="244"/>
      <c r="BN8" s="244"/>
      <c r="BO8" s="244"/>
      <c r="BP8" s="244"/>
      <c r="BQ8" s="244"/>
      <c r="BR8" s="244"/>
      <c r="BS8" s="244"/>
      <c r="BT8" s="244"/>
      <c r="BU8" s="244"/>
      <c r="BV8" s="244"/>
      <c r="BW8" s="244"/>
      <c r="BX8" s="244"/>
      <c r="BY8" s="244"/>
      <c r="BZ8" s="244"/>
      <c r="CA8" s="244"/>
      <c r="CB8" s="244"/>
      <c r="CC8" s="244"/>
      <c r="CD8" s="244"/>
      <c r="CE8" s="244"/>
      <c r="CF8" s="244"/>
    </row>
    <row r="9" ht="12.75" customHeight="1">
      <c r="H9" s="97" t="s">
        <v>148</v>
      </c>
      <c r="I9" s="693">
        <v>22</v>
      </c>
      <c r="J9" s="693"/>
      <c r="K9" s="694">
        <v>23</v>
      </c>
      <c r="L9" s="694"/>
      <c r="M9" s="694">
        <v>24</v>
      </c>
      <c r="N9" s="694"/>
      <c r="O9" s="694">
        <v>25</v>
      </c>
      <c r="P9" s="694"/>
      <c r="Q9" s="694">
        <v>26</v>
      </c>
      <c r="R9" s="694"/>
      <c r="S9" s="694">
        <v>27</v>
      </c>
      <c r="T9" s="694"/>
      <c r="U9" s="695">
        <v>28</v>
      </c>
      <c r="V9" s="695"/>
      <c r="Y9" s="3"/>
      <c r="AB9" s="97" t="s">
        <v>148</v>
      </c>
      <c r="AC9" s="693">
        <v>23</v>
      </c>
      <c r="AD9" s="693"/>
      <c r="AE9" s="694">
        <v>24</v>
      </c>
      <c r="AF9" s="694"/>
      <c r="AG9" s="694">
        <v>25</v>
      </c>
      <c r="AH9" s="694"/>
      <c r="AI9" s="694">
        <v>26</v>
      </c>
      <c r="AJ9" s="694"/>
      <c r="AK9" s="694">
        <v>27</v>
      </c>
      <c r="AL9" s="694"/>
      <c r="AM9" s="694">
        <v>28</v>
      </c>
      <c r="AN9" s="694"/>
      <c r="AO9" s="695">
        <v>29</v>
      </c>
      <c r="AP9" s="695"/>
      <c r="AS9" s="244"/>
      <c r="AT9" s="244"/>
      <c r="AU9" s="244"/>
      <c r="AV9" s="244"/>
      <c r="AW9" s="244"/>
      <c r="AX9" s="244"/>
      <c r="AY9" s="244"/>
      <c r="AZ9" s="244"/>
      <c r="BA9" s="244"/>
      <c r="BB9" s="244"/>
      <c r="BC9" s="244"/>
      <c r="BD9" s="244"/>
      <c r="BE9" s="244"/>
      <c r="BF9" s="244"/>
      <c r="BG9" s="244"/>
      <c r="BH9" s="244"/>
      <c r="BI9" s="244"/>
      <c r="BJ9" s="244"/>
      <c r="BK9" s="244"/>
      <c r="BL9" s="244"/>
      <c r="BM9" s="244"/>
      <c r="BN9" s="244"/>
      <c r="BO9" s="244"/>
      <c r="BP9" s="244"/>
      <c r="BQ9" s="244"/>
      <c r="BR9" s="244"/>
      <c r="BS9" s="244"/>
      <c r="BT9" s="244"/>
      <c r="BU9" s="244"/>
      <c r="BV9" s="244"/>
      <c r="BW9" s="244"/>
      <c r="BX9" s="244"/>
      <c r="BY9" s="244"/>
      <c r="BZ9" s="244"/>
      <c r="CA9" s="244"/>
      <c r="CB9" s="244"/>
      <c r="CC9" s="244"/>
      <c r="CD9" s="244"/>
      <c r="CE9" s="244"/>
      <c r="CF9" s="244"/>
    </row>
    <row r="10" ht="12.75" customHeight="1">
      <c r="H10" s="97" t="s">
        <v>200</v>
      </c>
      <c r="I10" s="690">
        <v>29</v>
      </c>
      <c r="J10" s="690"/>
      <c r="K10" s="691">
        <v>30</v>
      </c>
      <c r="L10" s="691"/>
      <c r="M10" s="691">
        <v>1</v>
      </c>
      <c r="N10" s="691"/>
      <c r="O10" s="691">
        <v>2</v>
      </c>
      <c r="P10" s="691"/>
      <c r="Q10" s="691">
        <v>3</v>
      </c>
      <c r="R10" s="691"/>
      <c r="S10" s="691">
        <v>4</v>
      </c>
      <c r="T10" s="691"/>
      <c r="U10" s="692">
        <v>5</v>
      </c>
      <c r="V10" s="692"/>
      <c r="Y10" s="3"/>
      <c r="AB10" s="97" t="s">
        <v>200</v>
      </c>
      <c r="AC10" s="690">
        <v>30</v>
      </c>
      <c r="AD10" s="690"/>
      <c r="AE10" s="691">
        <v>1</v>
      </c>
      <c r="AF10" s="691"/>
      <c r="AG10" s="691">
        <v>2</v>
      </c>
      <c r="AH10" s="691"/>
      <c r="AI10" s="691">
        <v>3</v>
      </c>
      <c r="AJ10" s="691"/>
      <c r="AK10" s="691">
        <v>4</v>
      </c>
      <c r="AL10" s="691"/>
      <c r="AM10" s="691">
        <v>5</v>
      </c>
      <c r="AN10" s="691"/>
      <c r="AO10" s="692">
        <v>6</v>
      </c>
      <c r="AP10" s="692"/>
      <c r="AS10" s="244"/>
      <c r="AT10" s="244"/>
      <c r="AU10" s="244"/>
      <c r="AV10" s="244"/>
      <c r="AW10" s="244"/>
      <c r="AX10" s="244"/>
      <c r="AY10" s="244"/>
      <c r="AZ10" s="244"/>
      <c r="BA10" s="244"/>
      <c r="BB10" s="244"/>
      <c r="BC10" s="244"/>
      <c r="BD10" s="244"/>
      <c r="BE10" s="244"/>
      <c r="BF10" s="244"/>
      <c r="BG10" s="244"/>
      <c r="BH10" s="244"/>
      <c r="BI10" s="244"/>
      <c r="BJ10" s="244"/>
      <c r="BK10" s="244"/>
      <c r="BL10" s="244"/>
      <c r="BM10" s="244"/>
      <c r="BN10" s="244"/>
      <c r="BO10" s="244"/>
      <c r="BP10" s="244"/>
      <c r="BQ10" s="244"/>
      <c r="BR10" s="244"/>
      <c r="BS10" s="244"/>
      <c r="BT10" s="244"/>
      <c r="BU10" s="244"/>
      <c r="BV10" s="244"/>
      <c r="BW10" s="244"/>
      <c r="BX10" s="244"/>
      <c r="BY10" s="244"/>
      <c r="BZ10" s="244"/>
      <c r="CA10" s="244"/>
      <c r="CB10" s="244"/>
      <c r="CC10" s="244"/>
      <c r="CD10" s="244"/>
      <c r="CE10" s="244"/>
      <c r="CF10" s="244"/>
    </row>
    <row r="11" ht="12.75" customHeight="1">
      <c r="A11" s="101"/>
      <c r="H11" s="97" t="s">
        <v>145</v>
      </c>
      <c r="I11" s="693">
        <v>6</v>
      </c>
      <c r="J11" s="693"/>
      <c r="K11" s="694">
        <v>7</v>
      </c>
      <c r="L11" s="694"/>
      <c r="M11" s="694">
        <v>8</v>
      </c>
      <c r="N11" s="694"/>
      <c r="O11" s="694">
        <v>9</v>
      </c>
      <c r="P11" s="694"/>
      <c r="Q11" s="694">
        <v>10</v>
      </c>
      <c r="R11" s="694"/>
      <c r="S11" s="694">
        <v>11</v>
      </c>
      <c r="T11" s="694"/>
      <c r="U11" s="695">
        <v>12</v>
      </c>
      <c r="V11" s="695"/>
      <c r="Y11" s="3"/>
      <c r="AB11" s="97" t="s">
        <v>145</v>
      </c>
      <c r="AC11" s="693">
        <v>7</v>
      </c>
      <c r="AD11" s="693"/>
      <c r="AE11" s="694">
        <v>8</v>
      </c>
      <c r="AF11" s="694"/>
      <c r="AG11" s="694">
        <v>9</v>
      </c>
      <c r="AH11" s="694"/>
      <c r="AI11" s="694">
        <v>10</v>
      </c>
      <c r="AJ11" s="694"/>
      <c r="AK11" s="694">
        <v>11</v>
      </c>
      <c r="AL11" s="694"/>
      <c r="AM11" s="694">
        <v>12</v>
      </c>
      <c r="AN11" s="694"/>
      <c r="AO11" s="695">
        <v>13</v>
      </c>
      <c r="AP11" s="695"/>
      <c r="AS11" s="244"/>
      <c r="AT11" s="244"/>
      <c r="AU11" s="244"/>
      <c r="AV11" s="244"/>
      <c r="AW11" s="244"/>
      <c r="AX11" s="244"/>
      <c r="AY11" s="244"/>
      <c r="AZ11" s="244"/>
      <c r="BA11" s="244"/>
      <c r="BB11" s="244"/>
      <c r="BC11" s="244"/>
      <c r="BD11" s="244"/>
      <c r="BE11" s="244"/>
      <c r="BF11" s="244"/>
      <c r="BG11" s="244"/>
      <c r="BH11" s="244"/>
      <c r="BI11" s="244"/>
      <c r="BJ11" s="244"/>
      <c r="BK11" s="244"/>
      <c r="BL11" s="244"/>
      <c r="BM11" s="244"/>
      <c r="BN11" s="244"/>
      <c r="BO11" s="244"/>
      <c r="BP11" s="244"/>
      <c r="BQ11" s="244"/>
      <c r="BR11" s="244"/>
      <c r="BS11" s="244"/>
      <c r="BT11" s="244"/>
      <c r="BU11" s="244"/>
      <c r="BV11" s="244"/>
      <c r="BW11" s="244"/>
      <c r="BX11" s="244"/>
      <c r="BY11" s="244"/>
      <c r="BZ11" s="244"/>
      <c r="CA11" s="244"/>
      <c r="CB11" s="244"/>
      <c r="CC11" s="244"/>
      <c r="CD11" s="244"/>
      <c r="CE11" s="244"/>
      <c r="CF11" s="244"/>
    </row>
    <row r="12" ht="12.75" customHeight="1">
      <c r="C12" s="30"/>
      <c r="D12" s="106"/>
      <c r="E12" s="106"/>
      <c r="F12" s="106"/>
      <c r="G12" s="106"/>
      <c r="H12" s="97" t="s">
        <v>145</v>
      </c>
      <c r="I12" s="696">
        <v>13</v>
      </c>
      <c r="J12" s="696"/>
      <c r="K12" s="697">
        <v>14</v>
      </c>
      <c r="L12" s="697"/>
      <c r="M12" s="697">
        <v>15</v>
      </c>
      <c r="N12" s="697"/>
      <c r="O12" s="697">
        <v>16</v>
      </c>
      <c r="P12" s="697"/>
      <c r="Q12" s="697">
        <v>17</v>
      </c>
      <c r="R12" s="697"/>
      <c r="S12" s="697">
        <v>18</v>
      </c>
      <c r="T12" s="697"/>
      <c r="U12" s="698">
        <v>19</v>
      </c>
      <c r="V12" s="698"/>
      <c r="Y12" s="3"/>
      <c r="AB12" s="97" t="s">
        <v>145</v>
      </c>
      <c r="AC12" s="696">
        <v>14</v>
      </c>
      <c r="AD12" s="696"/>
      <c r="AE12" s="697">
        <v>15</v>
      </c>
      <c r="AF12" s="697"/>
      <c r="AG12" s="697">
        <v>16</v>
      </c>
      <c r="AH12" s="697"/>
      <c r="AI12" s="697">
        <v>17</v>
      </c>
      <c r="AJ12" s="697"/>
      <c r="AK12" s="697">
        <v>18</v>
      </c>
      <c r="AL12" s="697"/>
      <c r="AM12" s="697">
        <v>19</v>
      </c>
      <c r="AN12" s="697"/>
      <c r="AO12" s="698">
        <v>20</v>
      </c>
      <c r="AP12" s="698"/>
      <c r="AS12" s="244"/>
      <c r="AT12" s="244"/>
      <c r="AU12" s="244"/>
      <c r="AV12" s="244"/>
      <c r="AW12" s="244"/>
      <c r="AX12" s="244"/>
      <c r="AY12" s="244"/>
      <c r="AZ12" s="244"/>
      <c r="BA12" s="244"/>
      <c r="BB12" s="244"/>
      <c r="BC12" s="244"/>
      <c r="BD12" s="244"/>
      <c r="BE12" s="244"/>
      <c r="BF12" s="244"/>
      <c r="BG12" s="244"/>
      <c r="BH12" s="244"/>
      <c r="BI12" s="244"/>
      <c r="BJ12" s="244"/>
      <c r="BK12" s="244"/>
      <c r="BL12" s="244"/>
      <c r="BM12" s="244"/>
      <c r="BN12" s="244"/>
      <c r="BO12" s="244"/>
      <c r="BP12" s="244"/>
      <c r="BQ12" s="244"/>
      <c r="BR12" s="244"/>
      <c r="BS12" s="244"/>
      <c r="BT12" s="244"/>
      <c r="BU12" s="244"/>
      <c r="BV12" s="244"/>
      <c r="BW12" s="244"/>
      <c r="BX12" s="244"/>
      <c r="BY12" s="244"/>
      <c r="BZ12" s="244"/>
      <c r="CA12" s="244"/>
      <c r="CB12" s="244"/>
      <c r="CC12" s="244"/>
      <c r="CD12" s="244"/>
      <c r="CE12" s="244"/>
      <c r="CF12" s="244"/>
    </row>
    <row r="13" ht="12.75" customHeight="1">
      <c r="A13" s="101"/>
      <c r="B13" s="101" t="s">
        <v>8</v>
      </c>
      <c r="H13" s="97"/>
      <c r="AS13" s="244"/>
      <c r="AT13" s="244"/>
      <c r="AU13" s="244"/>
      <c r="AV13" s="244"/>
      <c r="AW13" s="244"/>
      <c r="AX13" s="244"/>
      <c r="AY13" s="244"/>
      <c r="AZ13" s="244"/>
      <c r="BA13" s="244"/>
      <c r="BB13" s="244"/>
      <c r="BC13" s="244"/>
      <c r="BD13" s="244"/>
      <c r="BE13" s="244"/>
      <c r="BF13" s="244"/>
      <c r="BG13" s="244"/>
      <c r="BH13" s="244"/>
      <c r="BI13" s="244"/>
      <c r="BJ13" s="244"/>
      <c r="BK13" s="244"/>
      <c r="BL13" s="244"/>
      <c r="BM13" s="244"/>
      <c r="BN13" s="244"/>
      <c r="BO13" s="244"/>
      <c r="BP13" s="244"/>
      <c r="BQ13" s="244"/>
      <c r="BR13" s="244"/>
      <c r="BS13" s="244"/>
      <c r="BT13" s="244"/>
      <c r="BU13" s="244"/>
      <c r="BV13" s="244"/>
      <c r="BW13" s="244"/>
      <c r="BX13" s="244"/>
      <c r="BY13" s="244"/>
      <c r="BZ13" s="244"/>
      <c r="CA13" s="244"/>
      <c r="CB13" s="244"/>
      <c r="CC13" s="244"/>
      <c r="CD13" s="244"/>
      <c r="CE13" s="244"/>
      <c r="CF13" s="244"/>
    </row>
    <row r="14" ht="12.75" customHeight="1">
      <c r="C14" s="30" t="s">
        <v>208</v>
      </c>
      <c r="D14" s="106" t="s">
        <v>203</v>
      </c>
      <c r="H14" s="97"/>
      <c r="O14" s="699"/>
      <c r="P14" s="699"/>
      <c r="Q14" s="699"/>
      <c r="R14" s="699"/>
      <c r="S14" s="699"/>
      <c r="T14" s="699"/>
      <c r="U14" s="699"/>
      <c r="W14" s="699"/>
      <c r="X14" s="699"/>
      <c r="Y14" s="699"/>
      <c r="Z14" s="699"/>
      <c r="AA14" s="699"/>
      <c r="AB14" s="699"/>
      <c r="AC14" s="699"/>
      <c r="AE14" s="699"/>
      <c r="AF14" s="699"/>
      <c r="AG14" s="699"/>
      <c r="AH14" s="699"/>
      <c r="AI14" s="699"/>
      <c r="AJ14" s="699"/>
      <c r="AK14" s="699"/>
      <c r="AS14" s="244"/>
      <c r="AT14" s="244"/>
      <c r="AU14" s="244"/>
      <c r="AV14" s="244"/>
      <c r="AW14" s="244"/>
      <c r="AX14" s="244"/>
      <c r="AY14" s="244"/>
      <c r="AZ14" s="244"/>
      <c r="BA14" s="244"/>
      <c r="BB14" s="244"/>
      <c r="BC14" s="244"/>
      <c r="BD14" s="244"/>
      <c r="BE14" s="244"/>
      <c r="BF14" s="244"/>
      <c r="BG14" s="244"/>
      <c r="BH14" s="244"/>
      <c r="BI14" s="244"/>
      <c r="BJ14" s="244"/>
      <c r="BK14" s="244"/>
      <c r="BL14" s="244"/>
      <c r="BM14" s="244"/>
      <c r="BN14" s="244"/>
      <c r="BO14" s="244"/>
      <c r="BP14" s="244"/>
      <c r="BQ14" s="244"/>
      <c r="BR14" s="244"/>
      <c r="BS14" s="244"/>
      <c r="BT14" s="244"/>
      <c r="BU14" s="244"/>
      <c r="BV14" s="244"/>
      <c r="BW14" s="244"/>
      <c r="BX14" s="244"/>
      <c r="BY14" s="244"/>
      <c r="BZ14" s="244"/>
      <c r="CA14" s="244"/>
      <c r="CB14" s="244"/>
      <c r="CC14" s="244"/>
      <c r="CD14" s="244"/>
      <c r="CE14" s="244"/>
      <c r="CF14" s="244"/>
    </row>
    <row r="15" ht="12.75" customHeight="1">
      <c r="C15" s="30" t="s">
        <v>209</v>
      </c>
      <c r="D15" s="104" t="s">
        <v>205</v>
      </c>
      <c r="H15" s="97"/>
      <c r="O15" s="21"/>
      <c r="P15" s="21"/>
      <c r="Q15" s="21"/>
      <c r="R15" s="21"/>
      <c r="S15" s="21"/>
      <c r="T15" s="21"/>
      <c r="U15" s="21"/>
      <c r="W15" s="21"/>
      <c r="X15" s="21"/>
      <c r="Y15" s="21"/>
      <c r="Z15" s="21"/>
      <c r="AA15" s="21"/>
      <c r="AB15" s="21"/>
      <c r="AC15" s="21"/>
      <c r="AE15" s="21"/>
      <c r="AF15" s="21"/>
      <c r="AG15" s="21"/>
      <c r="AH15" s="21"/>
      <c r="AI15" s="21"/>
      <c r="AJ15" s="21"/>
      <c r="AK15" s="21"/>
      <c r="AS15" s="244"/>
      <c r="AT15" s="244"/>
      <c r="AU15" s="244"/>
      <c r="AV15" s="244"/>
      <c r="AW15" s="244"/>
      <c r="AX15" s="244"/>
      <c r="AY15" s="244"/>
      <c r="AZ15" s="244"/>
      <c r="BA15" s="244"/>
      <c r="BB15" s="244"/>
      <c r="BC15" s="244"/>
      <c r="BD15" s="244"/>
      <c r="BE15" s="244"/>
      <c r="BF15" s="244"/>
      <c r="BG15" s="244"/>
      <c r="BH15" s="244"/>
      <c r="BI15" s="244"/>
      <c r="BJ15" s="244"/>
      <c r="BK15" s="244"/>
      <c r="BL15" s="244"/>
      <c r="BM15" s="244"/>
      <c r="BN15" s="244"/>
      <c r="BO15" s="244"/>
      <c r="BP15" s="244"/>
      <c r="BQ15" s="244"/>
      <c r="BR15" s="244"/>
      <c r="BS15" s="244"/>
      <c r="BT15" s="244"/>
      <c r="BU15" s="244"/>
      <c r="BV15" s="244"/>
      <c r="BW15" s="244"/>
      <c r="BX15" s="244"/>
      <c r="BY15" s="244"/>
      <c r="BZ15" s="244"/>
      <c r="CA15" s="244"/>
      <c r="CB15" s="244"/>
      <c r="CC15" s="244"/>
      <c r="CD15" s="244"/>
      <c r="CE15" s="244"/>
      <c r="CF15" s="244"/>
    </row>
    <row r="16" ht="12.75" customHeight="1">
      <c r="C16" s="105" t="s">
        <v>206</v>
      </c>
      <c r="D16" s="104" t="s">
        <v>207</v>
      </c>
      <c r="H16" s="97"/>
      <c r="O16" s="21"/>
      <c r="P16" s="21"/>
      <c r="Q16" s="21"/>
      <c r="R16" s="21"/>
      <c r="S16" s="21"/>
      <c r="T16" s="21"/>
      <c r="U16" s="21"/>
      <c r="W16" s="21"/>
      <c r="X16" s="21"/>
      <c r="Y16" s="21"/>
      <c r="Z16" s="21"/>
      <c r="AA16" s="21"/>
      <c r="AB16" s="21"/>
      <c r="AC16" s="21"/>
      <c r="AE16" s="21"/>
      <c r="AF16" s="21"/>
      <c r="AG16" s="21"/>
      <c r="AH16" s="21"/>
      <c r="AI16" s="21"/>
      <c r="AJ16" s="21"/>
      <c r="AK16" s="21"/>
      <c r="AS16" s="244"/>
      <c r="AT16" s="244"/>
      <c r="AU16" s="244"/>
      <c r="AV16" s="244"/>
      <c r="AW16" s="244"/>
      <c r="AX16" s="244"/>
      <c r="AY16" s="244"/>
      <c r="AZ16" s="244"/>
      <c r="BA16" s="244"/>
      <c r="BB16" s="244"/>
      <c r="BC16" s="244"/>
      <c r="BD16" s="244"/>
      <c r="BE16" s="244"/>
      <c r="BF16" s="244"/>
      <c r="BG16" s="244"/>
      <c r="BH16" s="244"/>
      <c r="BI16" s="244"/>
      <c r="BJ16" s="244"/>
      <c r="BK16" s="244"/>
      <c r="BL16" s="244"/>
      <c r="BM16" s="244"/>
      <c r="BN16" s="244"/>
      <c r="BO16" s="244"/>
      <c r="BP16" s="244"/>
      <c r="BQ16" s="244"/>
      <c r="BR16" s="244"/>
      <c r="BS16" s="244"/>
      <c r="BT16" s="244"/>
      <c r="BU16" s="244"/>
      <c r="BV16" s="244"/>
      <c r="BW16" s="244"/>
      <c r="BX16" s="244"/>
      <c r="BY16" s="244"/>
      <c r="BZ16" s="244"/>
      <c r="CA16" s="244"/>
      <c r="CB16" s="244"/>
      <c r="CC16" s="244"/>
      <c r="CD16" s="244"/>
      <c r="CE16" s="244"/>
      <c r="CF16" s="244"/>
    </row>
    <row r="17" ht="12.75" customHeight="1">
      <c r="C17" s="105" t="s">
        <v>210</v>
      </c>
      <c r="D17" s="104" t="s">
        <v>211</v>
      </c>
      <c r="H17" s="97"/>
      <c r="O17" s="21"/>
      <c r="P17" s="21"/>
      <c r="Q17" s="21"/>
      <c r="R17" s="21"/>
      <c r="S17" s="21"/>
      <c r="T17" s="21"/>
      <c r="U17" s="21"/>
      <c r="W17" s="21"/>
      <c r="X17" s="21"/>
      <c r="Y17" s="21"/>
      <c r="Z17" s="21"/>
      <c r="AA17" s="21"/>
      <c r="AB17" s="21"/>
      <c r="AC17" s="21"/>
      <c r="AE17" s="21"/>
      <c r="AF17" s="21"/>
      <c r="AG17" s="21"/>
      <c r="AH17" s="21"/>
      <c r="AI17" s="21"/>
      <c r="AJ17" s="21"/>
      <c r="AK17" s="21"/>
      <c r="AS17" s="244"/>
      <c r="AT17" s="244"/>
      <c r="AU17" s="244"/>
      <c r="AV17" s="244"/>
      <c r="AW17" s="244"/>
      <c r="AX17" s="244"/>
      <c r="AY17" s="244"/>
      <c r="AZ17" s="244"/>
      <c r="BA17" s="244"/>
      <c r="BB17" s="244"/>
      <c r="BC17" s="244"/>
      <c r="BD17" s="244"/>
      <c r="BE17" s="244"/>
      <c r="BF17" s="244"/>
      <c r="BG17" s="244"/>
      <c r="BH17" s="244"/>
      <c r="BI17" s="244"/>
      <c r="BJ17" s="244"/>
      <c r="BK17" s="244"/>
      <c r="BL17" s="244"/>
      <c r="BM17" s="244"/>
      <c r="BN17" s="244"/>
      <c r="BO17" s="244"/>
      <c r="BP17" s="244"/>
      <c r="BQ17" s="244"/>
      <c r="BR17" s="244"/>
      <c r="BS17" s="244"/>
      <c r="BT17" s="244"/>
      <c r="BU17" s="244"/>
      <c r="BV17" s="244"/>
      <c r="BW17" s="244"/>
      <c r="BX17" s="244"/>
      <c r="BY17" s="244"/>
      <c r="BZ17" s="244"/>
      <c r="CA17" s="244"/>
      <c r="CB17" s="244"/>
      <c r="CC17" s="244"/>
      <c r="CD17" s="244"/>
      <c r="CE17" s="244"/>
      <c r="CF17" s="244"/>
    </row>
    <row r="18" ht="12.75" customHeight="1">
      <c r="C18" s="105" t="s">
        <v>212</v>
      </c>
      <c r="D18" s="104" t="s">
        <v>213</v>
      </c>
      <c r="H18" s="97"/>
      <c r="O18" s="21"/>
      <c r="P18" s="21"/>
      <c r="Q18" s="21"/>
      <c r="R18" s="21"/>
      <c r="S18" s="21"/>
      <c r="T18" s="21"/>
      <c r="U18" s="21"/>
      <c r="W18" s="21"/>
      <c r="X18" s="21"/>
      <c r="Y18" s="21"/>
      <c r="Z18" s="21"/>
      <c r="AA18" s="21"/>
      <c r="AB18" s="21"/>
      <c r="AC18" s="21"/>
      <c r="AE18" s="21"/>
      <c r="AF18" s="21"/>
      <c r="AG18" s="21"/>
      <c r="AH18" s="21"/>
      <c r="AI18" s="21"/>
      <c r="AJ18" s="21"/>
      <c r="AK18" s="21"/>
      <c r="AS18" s="244"/>
      <c r="AT18" s="244"/>
      <c r="AU18" s="244"/>
      <c r="AV18" s="244"/>
      <c r="AW18" s="244"/>
      <c r="AX18" s="244"/>
      <c r="AY18" s="244"/>
      <c r="AZ18" s="244"/>
      <c r="BA18" s="244"/>
      <c r="BB18" s="244"/>
      <c r="BC18" s="244"/>
      <c r="BD18" s="244"/>
      <c r="BE18" s="244"/>
      <c r="BF18" s="244"/>
      <c r="BG18" s="244"/>
      <c r="BH18" s="244"/>
      <c r="BI18" s="244"/>
      <c r="BJ18" s="244"/>
      <c r="BK18" s="244"/>
      <c r="BL18" s="244"/>
      <c r="BM18" s="244"/>
      <c r="BN18" s="244"/>
      <c r="BO18" s="244"/>
      <c r="BP18" s="244"/>
      <c r="BQ18" s="244"/>
      <c r="BR18" s="244"/>
      <c r="BS18" s="244"/>
      <c r="BT18" s="244"/>
      <c r="BU18" s="244"/>
      <c r="BV18" s="244"/>
      <c r="BW18" s="244"/>
      <c r="BX18" s="244"/>
      <c r="BY18" s="244"/>
      <c r="BZ18" s="244"/>
      <c r="CA18" s="244"/>
      <c r="CB18" s="244"/>
      <c r="CC18" s="244"/>
      <c r="CD18" s="244"/>
      <c r="CE18" s="244"/>
      <c r="CF18" s="244"/>
    </row>
    <row r="19" ht="12.75" customHeight="1">
      <c r="C19" s="105" t="s">
        <v>214</v>
      </c>
      <c r="D19" s="104" t="s">
        <v>215</v>
      </c>
      <c r="H19" s="97"/>
      <c r="O19" s="21"/>
      <c r="P19" s="21"/>
      <c r="Q19" s="645" t="s">
        <v>90</v>
      </c>
      <c r="R19" s="645"/>
      <c r="S19" s="645"/>
      <c r="T19" s="645"/>
      <c r="U19" s="645"/>
      <c r="V19" s="645"/>
      <c r="W19" s="645"/>
      <c r="X19" s="21"/>
      <c r="Y19" s="21"/>
      <c r="Z19" s="645" t="s">
        <v>84</v>
      </c>
      <c r="AA19" s="645"/>
      <c r="AB19" s="645"/>
      <c r="AC19" s="645"/>
      <c r="AD19" s="645"/>
      <c r="AE19" s="645"/>
      <c r="AF19" s="645"/>
      <c r="AG19" s="21"/>
      <c r="AH19" s="21"/>
      <c r="AI19" s="645" t="s">
        <v>85</v>
      </c>
      <c r="AJ19" s="645"/>
      <c r="AK19" s="645"/>
      <c r="AL19" s="645"/>
      <c r="AM19" s="645"/>
      <c r="AN19" s="645"/>
      <c r="AO19" s="645"/>
      <c r="AS19" s="244"/>
      <c r="AT19" s="244"/>
      <c r="AU19" s="244"/>
      <c r="AV19" s="244"/>
      <c r="AW19" s="244"/>
      <c r="AX19" s="244"/>
      <c r="AY19" s="244"/>
      <c r="AZ19" s="244"/>
      <c r="BA19" s="244"/>
      <c r="BB19" s="244"/>
      <c r="BC19" s="244"/>
      <c r="BD19" s="244"/>
      <c r="BE19" s="244"/>
      <c r="BF19" s="244"/>
      <c r="BG19" s="244"/>
      <c r="BH19" s="244"/>
      <c r="BI19" s="244"/>
      <c r="BJ19" s="244"/>
      <c r="BK19" s="244"/>
      <c r="BL19" s="244"/>
      <c r="BM19" s="244"/>
      <c r="BN19" s="244"/>
      <c r="BO19" s="244"/>
      <c r="BP19" s="244"/>
      <c r="BQ19" s="244"/>
      <c r="BR19" s="244"/>
      <c r="BS19" s="244"/>
      <c r="BT19" s="244"/>
      <c r="BU19" s="244"/>
      <c r="BV19" s="244"/>
      <c r="BW19" s="244"/>
      <c r="BX19" s="244"/>
      <c r="BY19" s="244"/>
      <c r="BZ19" s="244"/>
      <c r="CA19" s="244"/>
      <c r="CB19" s="244"/>
      <c r="CC19" s="244"/>
      <c r="CD19" s="244"/>
      <c r="CE19" s="244"/>
      <c r="CF19" s="244"/>
    </row>
    <row r="20" ht="15" customHeight="1">
      <c r="Q20" s="645"/>
      <c r="R20" s="645"/>
      <c r="S20" s="645"/>
      <c r="T20" s="645"/>
      <c r="U20" s="645"/>
      <c r="V20" s="645"/>
      <c r="W20" s="645"/>
      <c r="X20" s="107"/>
      <c r="Y20" s="107"/>
      <c r="Z20" s="645"/>
      <c r="AA20" s="645"/>
      <c r="AB20" s="645"/>
      <c r="AC20" s="645"/>
      <c r="AD20" s="645"/>
      <c r="AE20" s="645"/>
      <c r="AF20" s="645"/>
      <c r="AG20" s="107"/>
      <c r="AH20" s="6"/>
      <c r="AI20" s="645"/>
      <c r="AJ20" s="645"/>
      <c r="AK20" s="645"/>
      <c r="AL20" s="645"/>
      <c r="AM20" s="645"/>
      <c r="AN20" s="645"/>
      <c r="AO20" s="645"/>
      <c r="AS20" s="244"/>
      <c r="AT20" s="244"/>
      <c r="AU20" s="244"/>
      <c r="AV20" s="700"/>
      <c r="AW20" s="700"/>
      <c r="AX20" s="700"/>
      <c r="AY20" s="700"/>
      <c r="AZ20" s="700"/>
      <c r="BA20" s="700"/>
      <c r="BB20" s="700"/>
      <c r="BC20" s="244"/>
      <c r="BD20" s="244"/>
      <c r="BE20" s="244"/>
      <c r="BF20" s="244"/>
      <c r="BG20" s="244"/>
      <c r="BH20" s="244"/>
      <c r="BI20" s="244"/>
      <c r="BJ20" s="244"/>
      <c r="BK20" s="244"/>
      <c r="BL20" s="244"/>
      <c r="BM20" s="244"/>
      <c r="BN20" s="244"/>
      <c r="BO20" s="244"/>
      <c r="BP20" s="244"/>
      <c r="BQ20" s="244"/>
      <c r="BR20" s="244"/>
      <c r="BS20" s="244"/>
      <c r="BT20" s="244"/>
      <c r="BU20" s="244"/>
      <c r="BV20" s="244"/>
      <c r="BW20" s="244"/>
      <c r="BX20" s="244"/>
      <c r="BY20" s="244"/>
      <c r="BZ20" s="244"/>
      <c r="CA20" s="244"/>
      <c r="CB20" s="244"/>
      <c r="CC20" s="244"/>
      <c r="CD20" s="244"/>
      <c r="CE20" s="244"/>
      <c r="CF20" s="244"/>
    </row>
    <row r="21" s="0" customFormat="1" ht="60" customHeight="1">
      <c r="B21" s="110"/>
      <c r="C21" s="101" t="s">
        <v>34</v>
      </c>
      <c r="D21" s="101" t="s">
        <v>35</v>
      </c>
      <c r="E21" s="111" t="s">
        <v>36</v>
      </c>
      <c r="F21" s="111" t="s">
        <v>74</v>
      </c>
      <c r="G21" s="111" t="s">
        <v>73</v>
      </c>
      <c r="H21" s="111" t="s">
        <v>70</v>
      </c>
      <c r="I21" s="111" t="s">
        <v>71</v>
      </c>
      <c r="Q21" s="119">
        <v>45851</v>
      </c>
      <c r="R21" s="119">
        <v>45852</v>
      </c>
      <c r="S21" s="119">
        <v>45853</v>
      </c>
      <c r="T21" s="119">
        <v>45854</v>
      </c>
      <c r="U21" s="119">
        <v>45855</v>
      </c>
      <c r="V21" s="119">
        <v>45856</v>
      </c>
      <c r="W21" s="119">
        <v>45857</v>
      </c>
      <c r="X21" s="120"/>
      <c r="Y21" s="120"/>
      <c r="Z21" s="119">
        <v>45851</v>
      </c>
      <c r="AA21" s="119">
        <v>45852</v>
      </c>
      <c r="AB21" s="119">
        <v>45853</v>
      </c>
      <c r="AC21" s="119">
        <v>45854</v>
      </c>
      <c r="AD21" s="119">
        <v>45855</v>
      </c>
      <c r="AE21" s="119">
        <v>45856</v>
      </c>
      <c r="AF21" s="119">
        <v>45857</v>
      </c>
      <c r="AG21" s="120"/>
      <c r="AH21" s="120"/>
      <c r="AI21" s="119">
        <v>45851</v>
      </c>
      <c r="AJ21" s="119">
        <v>45852</v>
      </c>
      <c r="AK21" s="119">
        <v>45853</v>
      </c>
      <c r="AL21" s="119">
        <v>45854</v>
      </c>
      <c r="AM21" s="119">
        <v>45855</v>
      </c>
      <c r="AN21" s="119">
        <v>45856</v>
      </c>
      <c r="AO21" s="119">
        <v>45857</v>
      </c>
      <c r="AP21" s="112"/>
      <c r="AQ21" s="112"/>
      <c r="AR21" s="112"/>
      <c r="AS21" s="270"/>
      <c r="AT21" s="270"/>
      <c r="AU21" s="244"/>
      <c r="AV21" s="244"/>
      <c r="AW21" s="244"/>
      <c r="AX21" s="244"/>
      <c r="AY21" s="244"/>
      <c r="AZ21" s="244"/>
      <c r="BA21" s="244"/>
      <c r="BB21" s="244"/>
      <c r="BC21" s="244"/>
      <c r="BD21" s="244"/>
      <c r="BE21" s="244"/>
      <c r="BF21" s="244"/>
      <c r="BG21" s="244"/>
      <c r="BH21" s="244"/>
      <c r="BI21" s="244"/>
      <c r="BJ21" s="244"/>
      <c r="BK21" s="244"/>
      <c r="BL21" s="244"/>
      <c r="BM21" s="244"/>
      <c r="BN21" s="244"/>
      <c r="BO21" s="244"/>
      <c r="BP21" s="244"/>
      <c r="BQ21" s="244"/>
      <c r="BR21" s="244"/>
      <c r="BS21" s="244"/>
      <c r="BT21" s="244"/>
      <c r="BU21" s="244"/>
      <c r="BV21" s="244"/>
      <c r="BW21" s="244"/>
      <c r="BX21" s="244"/>
      <c r="BY21" s="244"/>
      <c r="BZ21" s="244"/>
      <c r="CA21" s="244"/>
      <c r="CB21" s="244"/>
      <c r="CC21" s="244"/>
      <c r="CD21" s="244"/>
      <c r="CE21" s="244"/>
      <c r="CF21" s="244"/>
    </row>
    <row r="22" ht="18" customHeight="1">
      <c r="C22" s="701">
        <v>60180</v>
      </c>
      <c r="D22" s="701" t="s">
        <v>163</v>
      </c>
      <c r="E22" s="701" t="s">
        <v>164</v>
      </c>
      <c r="F22" s="701" t="s">
        <v>165</v>
      </c>
      <c r="G22" s="701" t="s">
        <v>166</v>
      </c>
      <c r="H22" s="702">
        <v>186</v>
      </c>
      <c r="I22" s="702" t="s">
        <v>167</v>
      </c>
      <c r="J22" s="702"/>
      <c r="K22" s="702"/>
      <c r="L22" s="702"/>
      <c r="M22" s="702"/>
      <c r="N22" s="702"/>
      <c r="O22" s="113"/>
      <c r="Q22" s="703" t="s">
        <v>168</v>
      </c>
      <c r="R22" s="704" t="s">
        <v>168</v>
      </c>
      <c r="S22" s="704" t="s">
        <v>168</v>
      </c>
      <c r="T22" s="704" t="s">
        <v>168</v>
      </c>
      <c r="U22" s="704" t="s">
        <v>168</v>
      </c>
      <c r="V22" s="704" t="s">
        <v>168</v>
      </c>
      <c r="W22" s="705" t="s">
        <v>168</v>
      </c>
      <c r="Z22" s="703" t="s">
        <v>168</v>
      </c>
      <c r="AA22" s="704" t="s">
        <v>168</v>
      </c>
      <c r="AB22" s="704" t="s">
        <v>168</v>
      </c>
      <c r="AC22" s="704" t="s">
        <v>168</v>
      </c>
      <c r="AD22" s="704" t="s">
        <v>168</v>
      </c>
      <c r="AE22" s="704" t="s">
        <v>168</v>
      </c>
      <c r="AF22" s="705" t="s">
        <v>168</v>
      </c>
      <c r="AI22" s="703" t="s">
        <v>169</v>
      </c>
      <c r="AJ22" s="704" t="s">
        <v>169</v>
      </c>
      <c r="AK22" s="704" t="s">
        <v>169</v>
      </c>
      <c r="AL22" s="704" t="s">
        <v>169</v>
      </c>
      <c r="AM22" s="704" t="s">
        <v>169</v>
      </c>
      <c r="AN22" s="704" t="s">
        <v>169</v>
      </c>
      <c r="AO22" s="705" t="s">
        <v>169</v>
      </c>
      <c r="AP22" s="213"/>
      <c r="AQ22" s="213"/>
      <c r="AR22" s="213"/>
      <c r="AS22" s="271"/>
      <c r="AT22" s="271"/>
      <c r="AU22" s="244"/>
      <c r="AV22" s="244"/>
      <c r="AW22" s="244"/>
      <c r="AX22" s="244"/>
      <c r="AY22" s="244"/>
      <c r="AZ22" s="244"/>
      <c r="BA22" s="244"/>
      <c r="BB22" s="244"/>
      <c r="BC22" s="244"/>
      <c r="BD22" s="244"/>
      <c r="BE22" s="244"/>
      <c r="BF22" s="244"/>
      <c r="BG22" s="244"/>
      <c r="BH22" s="244"/>
      <c r="BI22" s="244"/>
      <c r="BJ22" s="244"/>
      <c r="BK22" s="244"/>
      <c r="BL22" s="244"/>
      <c r="BM22" s="244"/>
      <c r="BN22" s="244"/>
      <c r="BO22" s="244"/>
      <c r="BP22" s="244"/>
      <c r="BQ22" s="244"/>
      <c r="BR22" s="244"/>
      <c r="BS22" s="244"/>
      <c r="BT22" s="244"/>
      <c r="BU22" s="244"/>
      <c r="BV22" s="244"/>
      <c r="BW22" s="244"/>
      <c r="BX22" s="244"/>
      <c r="BY22" s="244"/>
      <c r="BZ22" s="244"/>
      <c r="CA22" s="244"/>
      <c r="CB22" s="244"/>
      <c r="CC22" s="244"/>
      <c r="CD22" s="244"/>
      <c r="CE22" s="244"/>
      <c r="CF22" s="244"/>
    </row>
    <row r="23" ht="18" customHeight="1">
      <c r="C23" s="706">
        <v>7790</v>
      </c>
      <c r="D23" s="706" t="s">
        <v>170</v>
      </c>
      <c r="E23" s="706" t="s">
        <v>164</v>
      </c>
      <c r="F23" s="706" t="s">
        <v>171</v>
      </c>
      <c r="G23" s="706" t="s">
        <v>172</v>
      </c>
      <c r="H23" s="707">
        <v>276</v>
      </c>
      <c r="I23" s="707" t="s">
        <v>173</v>
      </c>
      <c r="J23" s="707"/>
      <c r="K23" s="707"/>
      <c r="L23" s="707"/>
      <c r="M23" s="707"/>
      <c r="N23" s="707"/>
      <c r="O23" s="113"/>
      <c r="Q23" s="708" t="s">
        <v>168</v>
      </c>
      <c r="R23" s="709" t="s">
        <v>168</v>
      </c>
      <c r="S23" s="709" t="s">
        <v>168</v>
      </c>
      <c r="T23" s="709" t="s">
        <v>168</v>
      </c>
      <c r="U23" s="709" t="s">
        <v>168</v>
      </c>
      <c r="V23" s="709" t="s">
        <v>168</v>
      </c>
      <c r="W23" s="710" t="s">
        <v>168</v>
      </c>
      <c r="Z23" s="708" t="s">
        <v>168</v>
      </c>
      <c r="AA23" s="709" t="s">
        <v>168</v>
      </c>
      <c r="AB23" s="709" t="s">
        <v>168</v>
      </c>
      <c r="AC23" s="709" t="s">
        <v>168</v>
      </c>
      <c r="AD23" s="709" t="s">
        <v>168</v>
      </c>
      <c r="AE23" s="709" t="s">
        <v>168</v>
      </c>
      <c r="AF23" s="710" t="s">
        <v>168</v>
      </c>
      <c r="AI23" s="708" t="s">
        <v>169</v>
      </c>
      <c r="AJ23" s="709" t="s">
        <v>169</v>
      </c>
      <c r="AK23" s="709" t="s">
        <v>169</v>
      </c>
      <c r="AL23" s="709" t="s">
        <v>169</v>
      </c>
      <c r="AM23" s="709" t="s">
        <v>169</v>
      </c>
      <c r="AN23" s="709" t="s">
        <v>169</v>
      </c>
      <c r="AO23" s="710" t="s">
        <v>169</v>
      </c>
      <c r="AP23" s="213"/>
      <c r="AQ23" s="213"/>
      <c r="AR23" s="213"/>
      <c r="AS23" s="271"/>
      <c r="AT23" s="271"/>
      <c r="AU23" s="244"/>
      <c r="AV23" s="244"/>
      <c r="AW23" s="244"/>
      <c r="AX23" s="244"/>
      <c r="AY23" s="244"/>
      <c r="AZ23" s="244"/>
      <c r="BA23" s="244"/>
      <c r="BB23" s="244"/>
      <c r="BC23" s="244"/>
      <c r="BD23" s="244"/>
      <c r="BE23" s="244"/>
      <c r="BF23" s="244"/>
      <c r="BG23" s="244"/>
      <c r="BH23" s="244"/>
      <c r="BI23" s="244"/>
      <c r="BJ23" s="244"/>
      <c r="BK23" s="244"/>
      <c r="BL23" s="244"/>
      <c r="BM23" s="244"/>
      <c r="BN23" s="244"/>
      <c r="BO23" s="244"/>
      <c r="BP23" s="244"/>
      <c r="BQ23" s="244"/>
      <c r="BR23" s="244"/>
      <c r="BS23" s="244"/>
      <c r="BT23" s="244"/>
      <c r="BU23" s="244"/>
      <c r="BV23" s="244"/>
      <c r="BW23" s="244"/>
      <c r="BX23" s="244"/>
      <c r="BY23" s="244"/>
      <c r="BZ23" s="244"/>
      <c r="CA23" s="244"/>
      <c r="CB23" s="244"/>
      <c r="CC23" s="244"/>
      <c r="CD23" s="244"/>
      <c r="CE23" s="244"/>
      <c r="CF23" s="244"/>
    </row>
    <row r="24" ht="18" customHeight="1">
      <c r="C24" s="701">
        <v>27821</v>
      </c>
      <c r="D24" s="701" t="s">
        <v>174</v>
      </c>
      <c r="E24" s="701" t="s">
        <v>164</v>
      </c>
      <c r="F24" s="701" t="s">
        <v>175</v>
      </c>
      <c r="G24" s="701" t="s">
        <v>176</v>
      </c>
      <c r="H24" s="702">
        <v>108</v>
      </c>
      <c r="I24" s="702" t="s">
        <v>177</v>
      </c>
      <c r="J24" s="702"/>
      <c r="K24" s="702"/>
      <c r="L24" s="702"/>
      <c r="M24" s="702"/>
      <c r="N24" s="702"/>
      <c r="O24" s="113"/>
      <c r="Q24" s="703" t="s">
        <v>168</v>
      </c>
      <c r="R24" s="704" t="s">
        <v>168</v>
      </c>
      <c r="S24" s="704" t="s">
        <v>168</v>
      </c>
      <c r="T24" s="704" t="s">
        <v>168</v>
      </c>
      <c r="U24" s="704" t="s">
        <v>168</v>
      </c>
      <c r="V24" s="704" t="s">
        <v>168</v>
      </c>
      <c r="W24" s="705" t="s">
        <v>168</v>
      </c>
      <c r="Z24" s="703" t="s">
        <v>169</v>
      </c>
      <c r="AA24" s="704" t="s">
        <v>169</v>
      </c>
      <c r="AB24" s="704" t="s">
        <v>169</v>
      </c>
      <c r="AC24" s="704" t="s">
        <v>169</v>
      </c>
      <c r="AD24" s="704" t="s">
        <v>169</v>
      </c>
      <c r="AE24" s="704" t="s">
        <v>169</v>
      </c>
      <c r="AF24" s="705" t="s">
        <v>169</v>
      </c>
      <c r="AI24" s="703" t="s">
        <v>169</v>
      </c>
      <c r="AJ24" s="704" t="s">
        <v>169</v>
      </c>
      <c r="AK24" s="704" t="s">
        <v>169</v>
      </c>
      <c r="AL24" s="704" t="s">
        <v>169</v>
      </c>
      <c r="AM24" s="704" t="s">
        <v>169</v>
      </c>
      <c r="AN24" s="704" t="s">
        <v>169</v>
      </c>
      <c r="AO24" s="705" t="s">
        <v>169</v>
      </c>
      <c r="AP24" s="213"/>
      <c r="AQ24" s="213"/>
      <c r="AR24" s="213"/>
      <c r="AS24" s="271"/>
      <c r="AT24" s="271"/>
      <c r="AU24" s="244"/>
      <c r="AV24" s="244"/>
      <c r="AW24" s="244"/>
      <c r="AX24" s="244"/>
      <c r="AY24" s="244"/>
      <c r="AZ24" s="244"/>
      <c r="BA24" s="244"/>
      <c r="BB24" s="244"/>
      <c r="BC24" s="244"/>
      <c r="BD24" s="244"/>
      <c r="BE24" s="244"/>
      <c r="BF24" s="244"/>
      <c r="BG24" s="244"/>
      <c r="BH24" s="244"/>
      <c r="BI24" s="244"/>
      <c r="BJ24" s="244"/>
      <c r="BK24" s="244"/>
      <c r="BL24" s="244"/>
      <c r="BM24" s="244"/>
      <c r="BN24" s="244"/>
      <c r="BO24" s="244"/>
      <c r="BP24" s="244"/>
      <c r="BQ24" s="244"/>
      <c r="BR24" s="244"/>
      <c r="BS24" s="244"/>
      <c r="BT24" s="244"/>
      <c r="BU24" s="244"/>
      <c r="BV24" s="244"/>
      <c r="BW24" s="244"/>
      <c r="BX24" s="244"/>
      <c r="BY24" s="244"/>
      <c r="BZ24" s="244"/>
      <c r="CA24" s="244"/>
      <c r="CB24" s="244"/>
      <c r="CC24" s="244"/>
      <c r="CD24" s="244"/>
      <c r="CE24" s="244"/>
      <c r="CF24" s="244"/>
    </row>
    <row r="25" ht="18" customHeight="1">
      <c r="C25" s="706">
        <v>31502</v>
      </c>
      <c r="D25" s="706" t="s">
        <v>178</v>
      </c>
      <c r="E25" s="706" t="s">
        <v>164</v>
      </c>
      <c r="F25" s="706" t="s">
        <v>171</v>
      </c>
      <c r="G25" s="706" t="s">
        <v>179</v>
      </c>
      <c r="H25" s="707">
        <v>117</v>
      </c>
      <c r="I25" s="707" t="s">
        <v>180</v>
      </c>
      <c r="J25" s="707"/>
      <c r="K25" s="707"/>
      <c r="L25" s="707"/>
      <c r="M25" s="707"/>
      <c r="N25" s="707"/>
      <c r="O25" s="113"/>
      <c r="Q25" s="708" t="s">
        <v>168</v>
      </c>
      <c r="R25" s="709" t="s">
        <v>168</v>
      </c>
      <c r="S25" s="709" t="s">
        <v>168</v>
      </c>
      <c r="T25" s="709" t="s">
        <v>168</v>
      </c>
      <c r="U25" s="709" t="s">
        <v>168</v>
      </c>
      <c r="V25" s="709" t="s">
        <v>168</v>
      </c>
      <c r="W25" s="710" t="s">
        <v>168</v>
      </c>
      <c r="Z25" s="708" t="s">
        <v>169</v>
      </c>
      <c r="AA25" s="709" t="s">
        <v>169</v>
      </c>
      <c r="AB25" s="709" t="s">
        <v>169</v>
      </c>
      <c r="AC25" s="709" t="s">
        <v>169</v>
      </c>
      <c r="AD25" s="709" t="s">
        <v>169</v>
      </c>
      <c r="AE25" s="709" t="s">
        <v>169</v>
      </c>
      <c r="AF25" s="710" t="s">
        <v>169</v>
      </c>
      <c r="AI25" s="708" t="s">
        <v>169</v>
      </c>
      <c r="AJ25" s="709" t="s">
        <v>169</v>
      </c>
      <c r="AK25" s="709" t="s">
        <v>169</v>
      </c>
      <c r="AL25" s="709" t="s">
        <v>169</v>
      </c>
      <c r="AM25" s="709" t="s">
        <v>169</v>
      </c>
      <c r="AN25" s="709" t="s">
        <v>169</v>
      </c>
      <c r="AO25" s="710" t="s">
        <v>169</v>
      </c>
      <c r="AP25" s="213"/>
      <c r="AQ25" s="213"/>
      <c r="AR25" s="213"/>
      <c r="AS25" s="271"/>
      <c r="AT25" s="271"/>
      <c r="AU25" s="244"/>
      <c r="AV25" s="244"/>
      <c r="AW25" s="244"/>
      <c r="AX25" s="244"/>
      <c r="AY25" s="244"/>
      <c r="AZ25" s="244"/>
      <c r="BA25" s="244"/>
      <c r="BB25" s="244"/>
      <c r="BC25" s="244"/>
      <c r="BD25" s="244"/>
      <c r="BE25" s="244"/>
      <c r="BF25" s="244"/>
      <c r="BG25" s="244"/>
      <c r="BH25" s="244"/>
      <c r="BI25" s="244"/>
      <c r="BJ25" s="244"/>
      <c r="BK25" s="244"/>
      <c r="BL25" s="244"/>
      <c r="BM25" s="244"/>
      <c r="BN25" s="244"/>
      <c r="BO25" s="244"/>
      <c r="BP25" s="244"/>
      <c r="BQ25" s="244"/>
      <c r="BR25" s="244"/>
      <c r="BS25" s="244"/>
      <c r="BT25" s="244"/>
      <c r="BU25" s="244"/>
      <c r="BV25" s="244"/>
      <c r="BW25" s="244"/>
      <c r="BX25" s="244"/>
      <c r="BY25" s="244"/>
      <c r="BZ25" s="244"/>
      <c r="CA25" s="244"/>
      <c r="CB25" s="244"/>
      <c r="CC25" s="244"/>
      <c r="CD25" s="244"/>
      <c r="CE25" s="244"/>
      <c r="CF25" s="244"/>
    </row>
    <row r="26" ht="18" customHeight="1">
      <c r="C26" s="701">
        <v>33288</v>
      </c>
      <c r="D26" s="701" t="s">
        <v>181</v>
      </c>
      <c r="E26" s="701" t="s">
        <v>164</v>
      </c>
      <c r="F26" s="701" t="s">
        <v>175</v>
      </c>
      <c r="G26" s="701" t="s">
        <v>182</v>
      </c>
      <c r="H26" s="702">
        <v>111</v>
      </c>
      <c r="I26" s="702" t="s">
        <v>183</v>
      </c>
      <c r="J26" s="702"/>
      <c r="K26" s="702"/>
      <c r="L26" s="702"/>
      <c r="M26" s="702"/>
      <c r="N26" s="702"/>
      <c r="O26" s="113"/>
      <c r="Q26" s="703" t="s">
        <v>168</v>
      </c>
      <c r="R26" s="704" t="s">
        <v>168</v>
      </c>
      <c r="S26" s="704" t="s">
        <v>168</v>
      </c>
      <c r="T26" s="704" t="s">
        <v>168</v>
      </c>
      <c r="U26" s="704" t="s">
        <v>168</v>
      </c>
      <c r="V26" s="704" t="s">
        <v>168</v>
      </c>
      <c r="W26" s="705" t="s">
        <v>168</v>
      </c>
      <c r="Z26" s="703" t="s">
        <v>168</v>
      </c>
      <c r="AA26" s="704" t="s">
        <v>168</v>
      </c>
      <c r="AB26" s="704" t="s">
        <v>168</v>
      </c>
      <c r="AC26" s="704" t="s">
        <v>168</v>
      </c>
      <c r="AD26" s="704" t="s">
        <v>168</v>
      </c>
      <c r="AE26" s="704" t="s">
        <v>168</v>
      </c>
      <c r="AF26" s="705" t="s">
        <v>168</v>
      </c>
      <c r="AI26" s="703" t="s">
        <v>169</v>
      </c>
      <c r="AJ26" s="704" t="s">
        <v>169</v>
      </c>
      <c r="AK26" s="704" t="s">
        <v>169</v>
      </c>
      <c r="AL26" s="704" t="s">
        <v>169</v>
      </c>
      <c r="AM26" s="704" t="s">
        <v>169</v>
      </c>
      <c r="AN26" s="704" t="s">
        <v>169</v>
      </c>
      <c r="AO26" s="705" t="s">
        <v>169</v>
      </c>
      <c r="AP26" s="213"/>
      <c r="AQ26" s="213"/>
      <c r="AR26" s="213"/>
      <c r="AS26" s="271"/>
      <c r="AT26" s="271"/>
      <c r="AU26" s="244"/>
      <c r="AV26" s="244"/>
      <c r="AW26" s="244"/>
      <c r="AX26" s="244"/>
      <c r="AY26" s="244"/>
      <c r="AZ26" s="244"/>
      <c r="BA26" s="244"/>
      <c r="BB26" s="244"/>
      <c r="BC26" s="244"/>
      <c r="BD26" s="244"/>
      <c r="BE26" s="244"/>
      <c r="BF26" s="244"/>
      <c r="BG26" s="244"/>
      <c r="BH26" s="244"/>
      <c r="BI26" s="244"/>
      <c r="BJ26" s="244"/>
      <c r="BK26" s="244"/>
      <c r="BL26" s="244"/>
      <c r="BM26" s="244"/>
      <c r="BN26" s="244"/>
      <c r="BO26" s="244"/>
      <c r="BP26" s="244"/>
      <c r="BQ26" s="244"/>
      <c r="BR26" s="244"/>
      <c r="BS26" s="244"/>
      <c r="BT26" s="244"/>
      <c r="BU26" s="244"/>
      <c r="BV26" s="244"/>
      <c r="BW26" s="244"/>
      <c r="BX26" s="244"/>
      <c r="BY26" s="244"/>
      <c r="BZ26" s="244"/>
      <c r="CA26" s="244"/>
      <c r="CB26" s="244"/>
      <c r="CC26" s="244"/>
      <c r="CD26" s="244"/>
      <c r="CE26" s="244"/>
      <c r="CF26" s="244"/>
    </row>
    <row r="27" ht="18" customHeight="1">
      <c r="C27" s="706">
        <v>57305</v>
      </c>
      <c r="D27" s="706" t="s">
        <v>184</v>
      </c>
      <c r="E27" s="706" t="s">
        <v>185</v>
      </c>
      <c r="F27" s="706" t="s">
        <v>186</v>
      </c>
      <c r="G27" s="706" t="s">
        <v>187</v>
      </c>
      <c r="H27" s="707">
        <v>145</v>
      </c>
      <c r="I27" s="707" t="s">
        <v>188</v>
      </c>
      <c r="J27" s="707"/>
      <c r="K27" s="707"/>
      <c r="L27" s="707"/>
      <c r="M27" s="707"/>
      <c r="N27" s="707"/>
      <c r="O27" s="113"/>
      <c r="Q27" s="708" t="s">
        <v>168</v>
      </c>
      <c r="R27" s="709" t="s">
        <v>168</v>
      </c>
      <c r="S27" s="709" t="s">
        <v>168</v>
      </c>
      <c r="T27" s="709" t="s">
        <v>168</v>
      </c>
      <c r="U27" s="709" t="s">
        <v>168</v>
      </c>
      <c r="V27" s="709" t="s">
        <v>168</v>
      </c>
      <c r="W27" s="710" t="s">
        <v>168</v>
      </c>
      <c r="Z27" s="708" t="s">
        <v>168</v>
      </c>
      <c r="AA27" s="709" t="s">
        <v>168</v>
      </c>
      <c r="AB27" s="709" t="s">
        <v>168</v>
      </c>
      <c r="AC27" s="709" t="s">
        <v>168</v>
      </c>
      <c r="AD27" s="709" t="s">
        <v>168</v>
      </c>
      <c r="AE27" s="709" t="s">
        <v>168</v>
      </c>
      <c r="AF27" s="710" t="s">
        <v>168</v>
      </c>
      <c r="AI27" s="708" t="s">
        <v>169</v>
      </c>
      <c r="AJ27" s="709" t="s">
        <v>169</v>
      </c>
      <c r="AK27" s="709" t="s">
        <v>169</v>
      </c>
      <c r="AL27" s="709" t="s">
        <v>169</v>
      </c>
      <c r="AM27" s="709" t="s">
        <v>169</v>
      </c>
      <c r="AN27" s="709" t="s">
        <v>169</v>
      </c>
      <c r="AO27" s="710" t="s">
        <v>169</v>
      </c>
      <c r="AP27" s="213"/>
      <c r="AQ27" s="213"/>
      <c r="AR27" s="213"/>
      <c r="AS27" s="271"/>
      <c r="AT27" s="271"/>
      <c r="AU27" s="244"/>
      <c r="AV27" s="244"/>
      <c r="AW27" s="244"/>
      <c r="AX27" s="244"/>
      <c r="AY27" s="244"/>
      <c r="AZ27" s="244"/>
      <c r="BA27" s="244"/>
      <c r="BB27" s="244"/>
      <c r="BC27" s="244"/>
      <c r="BD27" s="244"/>
      <c r="BE27" s="244"/>
      <c r="BF27" s="244"/>
      <c r="BG27" s="244"/>
      <c r="BH27" s="244"/>
      <c r="BI27" s="244"/>
      <c r="BJ27" s="244"/>
      <c r="BK27" s="244"/>
      <c r="BL27" s="244"/>
      <c r="BM27" s="244"/>
      <c r="BN27" s="244"/>
      <c r="BO27" s="244"/>
      <c r="BP27" s="244"/>
      <c r="BQ27" s="244"/>
      <c r="BR27" s="244"/>
      <c r="BS27" s="244"/>
      <c r="BT27" s="244"/>
      <c r="BU27" s="244"/>
      <c r="BV27" s="244"/>
      <c r="BW27" s="244"/>
      <c r="BX27" s="244"/>
      <c r="BY27" s="244"/>
      <c r="BZ27" s="244"/>
      <c r="CA27" s="244"/>
      <c r="CB27" s="244"/>
      <c r="CC27" s="244"/>
      <c r="CD27" s="244"/>
      <c r="CE27" s="244"/>
      <c r="CF27" s="244"/>
    </row>
    <row r="28" ht="18" customHeight="1">
      <c r="C28" s="701">
        <v>58062</v>
      </c>
      <c r="D28" s="701" t="s">
        <v>189</v>
      </c>
      <c r="E28" s="701" t="s">
        <v>185</v>
      </c>
      <c r="F28" s="701" t="s">
        <v>190</v>
      </c>
      <c r="G28" s="701" t="s">
        <v>191</v>
      </c>
      <c r="H28" s="702">
        <v>126</v>
      </c>
      <c r="I28" s="702" t="s">
        <v>192</v>
      </c>
      <c r="J28" s="702"/>
      <c r="K28" s="702"/>
      <c r="L28" s="702"/>
      <c r="M28" s="702"/>
      <c r="N28" s="702"/>
      <c r="O28" s="113"/>
      <c r="Q28" s="703" t="s">
        <v>168</v>
      </c>
      <c r="R28" s="704" t="s">
        <v>168</v>
      </c>
      <c r="S28" s="704" t="s">
        <v>168</v>
      </c>
      <c r="T28" s="704" t="s">
        <v>168</v>
      </c>
      <c r="U28" s="704" t="s">
        <v>168</v>
      </c>
      <c r="V28" s="704" t="s">
        <v>168</v>
      </c>
      <c r="W28" s="705" t="s">
        <v>168</v>
      </c>
      <c r="Z28" s="703" t="s">
        <v>168</v>
      </c>
      <c r="AA28" s="704" t="s">
        <v>193</v>
      </c>
      <c r="AB28" s="704" t="s">
        <v>168</v>
      </c>
      <c r="AC28" s="704" t="s">
        <v>168</v>
      </c>
      <c r="AD28" s="704" t="s">
        <v>168</v>
      </c>
      <c r="AE28" s="704" t="s">
        <v>193</v>
      </c>
      <c r="AF28" s="705" t="s">
        <v>168</v>
      </c>
      <c r="AI28" s="703" t="s">
        <v>168</v>
      </c>
      <c r="AJ28" s="704" t="s">
        <v>168</v>
      </c>
      <c r="AK28" s="704" t="s">
        <v>168</v>
      </c>
      <c r="AL28" s="704" t="s">
        <v>168</v>
      </c>
      <c r="AM28" s="704" t="s">
        <v>168</v>
      </c>
      <c r="AN28" s="704" t="s">
        <v>168</v>
      </c>
      <c r="AO28" s="705" t="s">
        <v>168</v>
      </c>
      <c r="AP28" s="213"/>
      <c r="AQ28" s="213"/>
      <c r="AR28" s="213"/>
      <c r="AS28" s="271"/>
      <c r="AT28" s="271"/>
      <c r="AU28" s="244"/>
      <c r="AV28" s="244"/>
      <c r="AW28" s="244"/>
      <c r="AX28" s="244"/>
      <c r="AY28" s="244"/>
      <c r="AZ28" s="244"/>
      <c r="BA28" s="244"/>
      <c r="BB28" s="244"/>
      <c r="BC28" s="244"/>
      <c r="BD28" s="244"/>
      <c r="BE28" s="244"/>
      <c r="BF28" s="244"/>
      <c r="BG28" s="244"/>
      <c r="BH28" s="244"/>
      <c r="BI28" s="244"/>
      <c r="BJ28" s="244"/>
      <c r="BK28" s="244"/>
      <c r="BL28" s="244"/>
      <c r="BM28" s="244"/>
      <c r="BN28" s="244"/>
      <c r="BO28" s="244"/>
      <c r="BP28" s="244"/>
      <c r="BQ28" s="244"/>
      <c r="BR28" s="244"/>
      <c r="BS28" s="244"/>
      <c r="BT28" s="244"/>
      <c r="BU28" s="244"/>
      <c r="BV28" s="244"/>
      <c r="BW28" s="244"/>
      <c r="BX28" s="244"/>
      <c r="BY28" s="244"/>
      <c r="BZ28" s="244"/>
      <c r="CA28" s="244"/>
      <c r="CB28" s="244"/>
      <c r="CC28" s="244"/>
      <c r="CD28" s="244"/>
      <c r="CE28" s="244"/>
      <c r="CF28" s="244"/>
    </row>
    <row r="29" ht="18" customHeight="1">
      <c r="C29" s="706">
        <v>66136</v>
      </c>
      <c r="D29" s="706" t="s">
        <v>194</v>
      </c>
      <c r="E29" s="706" t="s">
        <v>164</v>
      </c>
      <c r="F29" s="706" t="s">
        <v>195</v>
      </c>
      <c r="G29" s="706" t="s">
        <v>196</v>
      </c>
      <c r="H29" s="707">
        <v>203</v>
      </c>
      <c r="I29" s="707" t="s">
        <v>197</v>
      </c>
      <c r="J29" s="707"/>
      <c r="K29" s="707"/>
      <c r="L29" s="707"/>
      <c r="M29" s="707"/>
      <c r="N29" s="707"/>
      <c r="O29" s="113"/>
      <c r="Q29" s="708" t="s">
        <v>168</v>
      </c>
      <c r="R29" s="709" t="s">
        <v>168</v>
      </c>
      <c r="S29" s="709" t="s">
        <v>168</v>
      </c>
      <c r="T29" s="709" t="s">
        <v>168</v>
      </c>
      <c r="U29" s="709" t="s">
        <v>168</v>
      </c>
      <c r="V29" s="709" t="s">
        <v>168</v>
      </c>
      <c r="W29" s="710" t="s">
        <v>168</v>
      </c>
      <c r="Z29" s="708" t="s">
        <v>168</v>
      </c>
      <c r="AA29" s="709" t="s">
        <v>168</v>
      </c>
      <c r="AB29" s="709" t="s">
        <v>168</v>
      </c>
      <c r="AC29" s="709" t="s">
        <v>168</v>
      </c>
      <c r="AD29" s="709" t="s">
        <v>168</v>
      </c>
      <c r="AE29" s="709" t="s">
        <v>168</v>
      </c>
      <c r="AF29" s="710" t="s">
        <v>168</v>
      </c>
      <c r="AI29" s="708" t="s">
        <v>168</v>
      </c>
      <c r="AJ29" s="709" t="s">
        <v>168</v>
      </c>
      <c r="AK29" s="709" t="s">
        <v>168</v>
      </c>
      <c r="AL29" s="709" t="s">
        <v>168</v>
      </c>
      <c r="AM29" s="709" t="s">
        <v>168</v>
      </c>
      <c r="AN29" s="709" t="s">
        <v>168</v>
      </c>
      <c r="AO29" s="710" t="s">
        <v>168</v>
      </c>
      <c r="AP29" s="213"/>
      <c r="AQ29" s="213"/>
      <c r="AR29" s="213"/>
      <c r="AS29" s="271"/>
      <c r="AT29" s="271"/>
      <c r="AU29" s="244"/>
      <c r="AV29" s="244"/>
      <c r="AW29" s="244"/>
      <c r="AX29" s="244"/>
      <c r="AY29" s="244"/>
      <c r="AZ29" s="244"/>
      <c r="BA29" s="244"/>
      <c r="BB29" s="244"/>
      <c r="BC29" s="244"/>
      <c r="BD29" s="244"/>
      <c r="BE29" s="244"/>
      <c r="BF29" s="244"/>
      <c r="BG29" s="244"/>
      <c r="BH29" s="244"/>
      <c r="BI29" s="244"/>
      <c r="BJ29" s="244"/>
      <c r="BK29" s="244"/>
      <c r="BL29" s="244"/>
      <c r="BM29" s="244"/>
      <c r="BN29" s="244"/>
      <c r="BO29" s="244"/>
      <c r="BP29" s="244"/>
      <c r="BQ29" s="244"/>
      <c r="BR29" s="244"/>
      <c r="BS29" s="244"/>
      <c r="BT29" s="244"/>
      <c r="BU29" s="244"/>
      <c r="BV29" s="244"/>
      <c r="BW29" s="244"/>
      <c r="BX29" s="244"/>
      <c r="BY29" s="244"/>
      <c r="BZ29" s="244"/>
      <c r="CA29" s="244"/>
      <c r="CB29" s="244"/>
      <c r="CC29" s="244"/>
      <c r="CD29" s="244"/>
      <c r="CE29" s="244"/>
      <c r="CF29" s="244"/>
    </row>
    <row r="30" ht="18" customHeight="1">
      <c r="C30" s="114"/>
      <c r="D30" s="118"/>
      <c r="E30" s="118"/>
      <c r="F30" s="118"/>
      <c r="G30" s="118"/>
      <c r="H30" s="702">
        <v>1272</v>
      </c>
      <c r="I30" s="711"/>
      <c r="J30" s="711"/>
      <c r="K30" s="711"/>
      <c r="L30" s="711"/>
      <c r="M30" s="711"/>
      <c r="N30" s="711"/>
      <c r="O30" s="113"/>
      <c r="AP30" s="213"/>
      <c r="AQ30" s="213"/>
      <c r="AR30" s="213"/>
      <c r="AS30" s="271"/>
      <c r="AT30" s="271"/>
      <c r="AU30" s="244"/>
      <c r="AV30" s="244"/>
      <c r="AW30" s="244"/>
      <c r="AX30" s="244"/>
      <c r="AY30" s="244"/>
      <c r="AZ30" s="244"/>
      <c r="BA30" s="244"/>
      <c r="BB30" s="244"/>
      <c r="BC30" s="244"/>
      <c r="BD30" s="244"/>
      <c r="BE30" s="244"/>
      <c r="BF30" s="244"/>
      <c r="BG30" s="244"/>
      <c r="BH30" s="244"/>
      <c r="BI30" s="244"/>
      <c r="BJ30" s="244"/>
      <c r="BK30" s="244"/>
      <c r="BL30" s="244"/>
      <c r="BM30" s="244"/>
      <c r="BN30" s="244"/>
      <c r="BO30" s="244"/>
      <c r="BP30" s="244"/>
      <c r="BQ30" s="244"/>
      <c r="BR30" s="244"/>
      <c r="BS30" s="244"/>
      <c r="BT30" s="244"/>
      <c r="BU30" s="244"/>
      <c r="BV30" s="244"/>
      <c r="BW30" s="244"/>
      <c r="BX30" s="244"/>
      <c r="BY30" s="244"/>
      <c r="BZ30" s="244"/>
      <c r="CA30" s="244"/>
      <c r="CB30" s="244"/>
      <c r="CC30" s="244"/>
      <c r="CD30" s="244"/>
      <c r="CE30" s="244"/>
      <c r="CF30" s="244"/>
    </row>
    <row r="31" ht="18" customHeight="1">
      <c r="C31" s="114"/>
      <c r="D31" s="118"/>
      <c r="E31" s="118"/>
      <c r="F31" s="118"/>
      <c r="G31" s="118"/>
      <c r="H31" s="118"/>
      <c r="I31" s="711"/>
      <c r="J31" s="711"/>
      <c r="K31" s="711"/>
      <c r="L31" s="711"/>
      <c r="M31" s="711"/>
      <c r="N31" s="711"/>
      <c r="O31" s="113"/>
      <c r="P31" t="s">
        <v>198</v>
      </c>
      <c r="AP31" s="213"/>
      <c r="AQ31" s="213"/>
      <c r="AR31" s="213"/>
      <c r="AS31" s="271"/>
      <c r="AT31" s="271"/>
      <c r="AU31" s="244"/>
      <c r="AV31" s="244"/>
      <c r="AW31" s="244"/>
      <c r="AX31" s="244"/>
      <c r="AY31" s="244"/>
      <c r="AZ31" s="244"/>
      <c r="BA31" s="244"/>
      <c r="BB31" s="244"/>
      <c r="BC31" s="244"/>
      <c r="BD31" s="244"/>
      <c r="BE31" s="244"/>
      <c r="BF31" s="244"/>
      <c r="BG31" s="244"/>
      <c r="BH31" s="244"/>
      <c r="BI31" s="244"/>
      <c r="BJ31" s="244"/>
      <c r="BK31" s="244"/>
      <c r="BL31" s="244"/>
      <c r="BM31" s="244"/>
      <c r="BN31" s="244"/>
      <c r="BO31" s="244"/>
      <c r="BP31" s="244"/>
      <c r="BQ31" s="244"/>
      <c r="BR31" s="244"/>
      <c r="BS31" s="244"/>
      <c r="BT31" s="244"/>
      <c r="BU31" s="244"/>
      <c r="BV31" s="244"/>
      <c r="BW31" s="244"/>
      <c r="BX31" s="244"/>
      <c r="BY31" s="244"/>
      <c r="BZ31" s="244"/>
      <c r="CA31" s="244"/>
      <c r="CB31" s="244"/>
      <c r="CC31" s="244"/>
      <c r="CD31" s="244"/>
      <c r="CE31" s="244"/>
      <c r="CF31" s="244"/>
    </row>
    <row r="32" ht="18" customHeight="1">
      <c r="C32" s="114"/>
      <c r="D32" s="118"/>
      <c r="E32" s="118"/>
      <c r="F32" s="118"/>
      <c r="G32" s="118"/>
      <c r="H32" s="118"/>
      <c r="I32" s="711"/>
      <c r="J32" s="711"/>
      <c r="K32" s="711"/>
      <c r="L32" s="711"/>
      <c r="M32" s="711"/>
      <c r="N32" s="711"/>
      <c r="O32" s="113"/>
      <c r="AP32" s="213"/>
      <c r="AQ32" s="213"/>
      <c r="AR32" s="213"/>
      <c r="AS32" s="271"/>
      <c r="AT32" s="271"/>
      <c r="AU32" s="244"/>
      <c r="AV32" s="244"/>
      <c r="AW32" s="244"/>
      <c r="AX32" s="244"/>
      <c r="AY32" s="244"/>
      <c r="AZ32" s="244"/>
      <c r="BA32" s="244"/>
      <c r="BB32" s="244"/>
      <c r="BC32" s="244"/>
      <c r="BD32" s="244"/>
      <c r="BE32" s="244"/>
      <c r="BF32" s="244"/>
      <c r="BG32" s="244"/>
      <c r="BH32" s="244"/>
      <c r="BI32" s="244"/>
      <c r="BJ32" s="244"/>
      <c r="BK32" s="244"/>
      <c r="BL32" s="244"/>
      <c r="BM32" s="244"/>
      <c r="BN32" s="244"/>
      <c r="BO32" s="244"/>
      <c r="BP32" s="244"/>
      <c r="BQ32" s="244"/>
      <c r="BR32" s="244"/>
      <c r="BS32" s="244"/>
      <c r="BT32" s="244"/>
      <c r="BU32" s="244"/>
      <c r="BV32" s="244"/>
      <c r="BW32" s="244"/>
      <c r="BX32" s="244"/>
      <c r="BY32" s="244"/>
      <c r="BZ32" s="244"/>
      <c r="CA32" s="244"/>
      <c r="CB32" s="244"/>
      <c r="CC32" s="244"/>
      <c r="CD32" s="244"/>
      <c r="CE32" s="244"/>
      <c r="CF32" s="244"/>
    </row>
    <row r="33" ht="18" customHeight="1">
      <c r="C33" s="114"/>
      <c r="D33" s="118"/>
      <c r="E33" s="118"/>
      <c r="F33" s="118"/>
      <c r="G33" s="118"/>
      <c r="H33" s="118"/>
      <c r="I33" s="711"/>
      <c r="J33" s="711"/>
      <c r="K33" s="711"/>
      <c r="L33" s="711"/>
      <c r="M33" s="711"/>
      <c r="N33" s="711"/>
      <c r="O33" s="113"/>
      <c r="AP33" s="213"/>
      <c r="AQ33" s="213"/>
      <c r="AR33" s="213"/>
      <c r="AS33" s="271"/>
      <c r="AT33" s="271"/>
      <c r="AU33" s="244"/>
      <c r="AV33" s="244"/>
      <c r="AW33" s="244"/>
      <c r="AX33" s="244"/>
      <c r="AY33" s="244"/>
      <c r="AZ33" s="244"/>
      <c r="BA33" s="244"/>
      <c r="BB33" s="244"/>
      <c r="BC33" s="244"/>
      <c r="BD33" s="244"/>
      <c r="BE33" s="244"/>
      <c r="BF33" s="244"/>
      <c r="BG33" s="244"/>
      <c r="BH33" s="244"/>
      <c r="BI33" s="244"/>
      <c r="BJ33" s="244"/>
      <c r="BK33" s="244"/>
      <c r="BL33" s="244"/>
      <c r="BM33" s="244"/>
      <c r="BN33" s="244"/>
      <c r="BO33" s="244"/>
      <c r="BP33" s="244"/>
      <c r="BQ33" s="244"/>
      <c r="BR33" s="244"/>
      <c r="BS33" s="244"/>
      <c r="BT33" s="244"/>
      <c r="BU33" s="244"/>
      <c r="BV33" s="244"/>
      <c r="BW33" s="244"/>
      <c r="BX33" s="244"/>
      <c r="BY33" s="244"/>
      <c r="BZ33" s="244"/>
      <c r="CA33" s="244"/>
      <c r="CB33" s="244"/>
      <c r="CC33" s="244"/>
      <c r="CD33" s="244"/>
      <c r="CE33" s="244"/>
      <c r="CF33" s="244"/>
    </row>
    <row r="34" ht="18" customHeight="1">
      <c r="C34" s="114"/>
      <c r="D34" s="118"/>
      <c r="E34" s="118"/>
      <c r="F34" s="118"/>
      <c r="G34" s="118"/>
      <c r="H34" s="118"/>
      <c r="I34" s="711"/>
      <c r="J34" s="711"/>
      <c r="K34" s="711"/>
      <c r="L34" s="711"/>
      <c r="M34" s="711"/>
      <c r="N34" s="711"/>
      <c r="O34" s="113"/>
      <c r="AP34" s="213"/>
      <c r="AQ34" s="213"/>
      <c r="AR34" s="213"/>
      <c r="AS34" s="271"/>
      <c r="AT34" s="271"/>
      <c r="AU34" s="244"/>
      <c r="AV34" s="244"/>
      <c r="AW34" s="244"/>
      <c r="AX34" s="244"/>
      <c r="AY34" s="244"/>
      <c r="AZ34" s="244"/>
      <c r="BA34" s="244"/>
      <c r="BB34" s="244"/>
      <c r="BC34" s="244"/>
      <c r="BD34" s="244"/>
      <c r="BE34" s="244"/>
      <c r="BF34" s="244"/>
      <c r="BG34" s="244"/>
      <c r="BH34" s="244"/>
      <c r="BI34" s="244"/>
      <c r="BJ34" s="244"/>
      <c r="BK34" s="244"/>
      <c r="BL34" s="244"/>
      <c r="BM34" s="244"/>
      <c r="BN34" s="244"/>
      <c r="BO34" s="244"/>
      <c r="BP34" s="244"/>
      <c r="BQ34" s="244"/>
      <c r="BR34" s="244"/>
      <c r="BS34" s="244"/>
      <c r="BT34" s="244"/>
      <c r="BU34" s="244"/>
      <c r="BV34" s="244"/>
      <c r="BW34" s="244"/>
      <c r="BX34" s="244"/>
      <c r="BY34" s="244"/>
      <c r="BZ34" s="244"/>
      <c r="CA34" s="244"/>
      <c r="CB34" s="244"/>
      <c r="CC34" s="244"/>
      <c r="CD34" s="244"/>
      <c r="CE34" s="244"/>
      <c r="CF34" s="244"/>
    </row>
    <row r="35" ht="18" customHeight="1">
      <c r="C35" s="114"/>
      <c r="D35" s="118"/>
      <c r="E35" s="118"/>
      <c r="F35" s="118"/>
      <c r="G35" s="118"/>
      <c r="H35" s="118"/>
      <c r="I35" s="711"/>
      <c r="J35" s="711"/>
      <c r="K35" s="711"/>
      <c r="L35" s="711"/>
      <c r="M35" s="711"/>
      <c r="N35" s="711"/>
      <c r="O35" s="113"/>
      <c r="AP35" s="213"/>
      <c r="AQ35" s="213"/>
      <c r="AR35" s="213"/>
      <c r="AS35" s="271"/>
      <c r="AT35" s="271"/>
      <c r="AU35" s="244"/>
      <c r="AV35" s="244"/>
      <c r="AW35" s="244"/>
      <c r="AX35" s="244"/>
      <c r="AY35" s="244"/>
      <c r="AZ35" s="244"/>
      <c r="BA35" s="244"/>
      <c r="BB35" s="244"/>
      <c r="BC35" s="244"/>
      <c r="BD35" s="244"/>
      <c r="BE35" s="244"/>
      <c r="BF35" s="244"/>
      <c r="BG35" s="244"/>
      <c r="BH35" s="244"/>
      <c r="BI35" s="244"/>
      <c r="BJ35" s="244"/>
      <c r="BK35" s="244"/>
      <c r="BL35" s="244"/>
      <c r="BM35" s="244"/>
      <c r="BN35" s="244"/>
      <c r="BO35" s="244"/>
      <c r="BP35" s="244"/>
      <c r="BQ35" s="244"/>
      <c r="BR35" s="244"/>
      <c r="BS35" s="244"/>
      <c r="BT35" s="244"/>
      <c r="BU35" s="244"/>
      <c r="BV35" s="244"/>
      <c r="BW35" s="244"/>
      <c r="BX35" s="244"/>
      <c r="BY35" s="244"/>
      <c r="BZ35" s="244"/>
      <c r="CA35" s="244"/>
      <c r="CB35" s="244"/>
      <c r="CC35" s="244"/>
      <c r="CD35" s="244"/>
      <c r="CE35" s="244"/>
      <c r="CF35" s="244"/>
    </row>
    <row r="36" ht="18" customHeight="1">
      <c r="C36" s="114"/>
      <c r="D36" s="118"/>
      <c r="E36" s="118"/>
      <c r="F36" s="118"/>
      <c r="G36" s="118"/>
      <c r="H36" s="118"/>
      <c r="I36" s="711"/>
      <c r="J36" s="711"/>
      <c r="K36" s="711"/>
      <c r="L36" s="711"/>
      <c r="M36" s="711"/>
      <c r="N36" s="711"/>
      <c r="O36" s="113"/>
      <c r="AP36" s="213"/>
      <c r="AQ36" s="213"/>
      <c r="AR36" s="213"/>
      <c r="AS36" s="271"/>
      <c r="AT36" s="271"/>
      <c r="AU36" s="244"/>
      <c r="AV36" s="244"/>
      <c r="AW36" s="244"/>
      <c r="AX36" s="244"/>
      <c r="AY36" s="244"/>
      <c r="AZ36" s="244"/>
      <c r="BA36" s="244"/>
      <c r="BB36" s="244"/>
      <c r="BC36" s="244"/>
      <c r="BD36" s="244"/>
      <c r="BE36" s="244"/>
      <c r="BF36" s="244"/>
      <c r="BG36" s="244"/>
      <c r="BH36" s="244"/>
      <c r="BI36" s="244"/>
      <c r="BJ36" s="244"/>
      <c r="BK36" s="244"/>
      <c r="BL36" s="244"/>
      <c r="BM36" s="244"/>
      <c r="BN36" s="244"/>
      <c r="BO36" s="244"/>
      <c r="BP36" s="244"/>
      <c r="BQ36" s="244"/>
      <c r="BR36" s="244"/>
      <c r="BS36" s="244"/>
      <c r="BT36" s="244"/>
      <c r="BU36" s="244"/>
      <c r="BV36" s="244"/>
      <c r="BW36" s="244"/>
      <c r="BX36" s="244"/>
      <c r="BY36" s="244"/>
      <c r="BZ36" s="244"/>
      <c r="CA36" s="244"/>
      <c r="CB36" s="244"/>
      <c r="CC36" s="244"/>
      <c r="CD36" s="244"/>
      <c r="CE36" s="244"/>
      <c r="CF36" s="244"/>
    </row>
    <row r="37" ht="18" customHeight="1">
      <c r="C37" s="114"/>
      <c r="D37" s="118"/>
      <c r="E37" s="118"/>
      <c r="F37" s="118"/>
      <c r="G37" s="118"/>
      <c r="H37" s="118"/>
      <c r="I37" s="711"/>
      <c r="J37" s="711"/>
      <c r="K37" s="711"/>
      <c r="L37" s="711"/>
      <c r="M37" s="711"/>
      <c r="N37" s="711"/>
      <c r="O37" s="113"/>
      <c r="AP37" s="213"/>
      <c r="AQ37" s="213"/>
      <c r="AR37" s="213"/>
      <c r="AS37" s="271"/>
      <c r="AT37" s="271"/>
      <c r="AU37" s="244"/>
      <c r="AV37" s="244"/>
      <c r="AW37" s="244"/>
      <c r="AX37" s="244"/>
      <c r="AY37" s="244"/>
      <c r="AZ37" s="244"/>
      <c r="BA37" s="244"/>
      <c r="BB37" s="244"/>
      <c r="BC37" s="244"/>
      <c r="BD37" s="244"/>
      <c r="BE37" s="244"/>
      <c r="BF37" s="244"/>
      <c r="BG37" s="244"/>
      <c r="BH37" s="244"/>
      <c r="BI37" s="244"/>
      <c r="BJ37" s="244"/>
      <c r="BK37" s="244"/>
      <c r="BL37" s="244"/>
      <c r="BM37" s="244"/>
      <c r="BN37" s="244"/>
      <c r="BO37" s="244"/>
      <c r="BP37" s="244"/>
      <c r="BQ37" s="244"/>
      <c r="BR37" s="244"/>
      <c r="BS37" s="244"/>
      <c r="BT37" s="244"/>
      <c r="BU37" s="244"/>
      <c r="BV37" s="244"/>
      <c r="BW37" s="244"/>
      <c r="BX37" s="244"/>
      <c r="BY37" s="244"/>
      <c r="BZ37" s="244"/>
      <c r="CA37" s="244"/>
      <c r="CB37" s="244"/>
      <c r="CC37" s="244"/>
      <c r="CD37" s="244"/>
      <c r="CE37" s="244"/>
      <c r="CF37" s="244"/>
    </row>
    <row r="38" ht="18" customHeight="1">
      <c r="C38" s="114"/>
      <c r="D38" s="118"/>
      <c r="E38" s="118"/>
      <c r="F38" s="118"/>
      <c r="G38" s="118"/>
      <c r="H38" s="118"/>
      <c r="I38" s="711"/>
      <c r="J38" s="711"/>
      <c r="K38" s="711"/>
      <c r="L38" s="711"/>
      <c r="M38" s="711"/>
      <c r="N38" s="711"/>
      <c r="O38" s="113"/>
      <c r="AP38" s="213"/>
      <c r="AQ38" s="213"/>
      <c r="AR38" s="213"/>
      <c r="AS38" s="271"/>
      <c r="AT38" s="271"/>
      <c r="AU38" s="244"/>
      <c r="AV38" s="244"/>
      <c r="AW38" s="244"/>
      <c r="AX38" s="244"/>
      <c r="AY38" s="244"/>
      <c r="AZ38" s="244"/>
      <c r="BA38" s="244"/>
      <c r="BB38" s="244"/>
      <c r="BC38" s="244"/>
      <c r="BD38" s="244"/>
      <c r="BE38" s="244"/>
      <c r="BF38" s="244"/>
      <c r="BG38" s="244"/>
      <c r="BH38" s="244"/>
      <c r="BI38" s="244"/>
      <c r="BJ38" s="244"/>
      <c r="BK38" s="244"/>
      <c r="BL38" s="244"/>
      <c r="BM38" s="244"/>
      <c r="BN38" s="244"/>
      <c r="BO38" s="244"/>
      <c r="BP38" s="244"/>
      <c r="BQ38" s="244"/>
      <c r="BR38" s="244"/>
      <c r="BS38" s="244"/>
      <c r="BT38" s="244"/>
      <c r="BU38" s="244"/>
      <c r="BV38" s="244"/>
      <c r="BW38" s="244"/>
      <c r="BX38" s="244"/>
      <c r="BY38" s="244"/>
      <c r="BZ38" s="244"/>
      <c r="CA38" s="244"/>
      <c r="CB38" s="244"/>
      <c r="CC38" s="244"/>
      <c r="CD38" s="244"/>
      <c r="CE38" s="244"/>
      <c r="CF38" s="244"/>
    </row>
    <row r="39" ht="18" customHeight="1">
      <c r="C39" s="114"/>
      <c r="D39" s="118"/>
      <c r="E39" s="118"/>
      <c r="F39" s="118"/>
      <c r="G39" s="118"/>
      <c r="H39" s="118"/>
      <c r="I39" s="711"/>
      <c r="J39" s="711"/>
      <c r="K39" s="711"/>
      <c r="L39" s="711"/>
      <c r="M39" s="711"/>
      <c r="N39" s="711"/>
      <c r="O39" s="113"/>
      <c r="AP39" s="213"/>
      <c r="AQ39" s="213"/>
      <c r="AR39" s="213"/>
      <c r="AS39" s="271"/>
      <c r="AT39" s="271"/>
      <c r="AU39" s="244"/>
      <c r="AV39" s="244"/>
      <c r="AW39" s="244"/>
      <c r="AX39" s="244"/>
      <c r="AY39" s="244"/>
      <c r="AZ39" s="244"/>
      <c r="BA39" s="244"/>
      <c r="BB39" s="244"/>
      <c r="BC39" s="244"/>
      <c r="BD39" s="244"/>
      <c r="BE39" s="244"/>
      <c r="BF39" s="244"/>
      <c r="BG39" s="244"/>
      <c r="BH39" s="244"/>
      <c r="BI39" s="244"/>
      <c r="BJ39" s="244"/>
      <c r="BK39" s="244"/>
      <c r="BL39" s="244"/>
      <c r="BM39" s="244"/>
      <c r="BN39" s="244"/>
      <c r="BO39" s="244"/>
      <c r="BP39" s="244"/>
      <c r="BQ39" s="244"/>
      <c r="BR39" s="244"/>
      <c r="BS39" s="244"/>
      <c r="BT39" s="244"/>
      <c r="BU39" s="244"/>
      <c r="BV39" s="244"/>
      <c r="BW39" s="244"/>
      <c r="BX39" s="244"/>
      <c r="BY39" s="244"/>
      <c r="BZ39" s="244"/>
      <c r="CA39" s="244"/>
      <c r="CB39" s="244"/>
      <c r="CC39" s="244"/>
      <c r="CD39" s="244"/>
      <c r="CE39" s="244"/>
      <c r="CF39" s="244"/>
    </row>
    <row r="40" ht="18" customHeight="1">
      <c r="C40" s="114"/>
      <c r="D40" s="118"/>
      <c r="E40" s="118"/>
      <c r="F40" s="118"/>
      <c r="G40" s="118"/>
      <c r="H40" s="118"/>
      <c r="I40" s="711"/>
      <c r="J40" s="711"/>
      <c r="K40" s="711"/>
      <c r="L40" s="711"/>
      <c r="M40" s="711"/>
      <c r="N40" s="711"/>
      <c r="O40" s="113"/>
      <c r="AP40" s="213"/>
      <c r="AQ40" s="213"/>
      <c r="AR40" s="213"/>
      <c r="AS40" s="271"/>
      <c r="AT40" s="271"/>
      <c r="AU40" s="244"/>
      <c r="AV40" s="244"/>
      <c r="AW40" s="244"/>
      <c r="AX40" s="244"/>
      <c r="AY40" s="244"/>
      <c r="AZ40" s="244"/>
      <c r="BA40" s="244"/>
      <c r="BB40" s="244"/>
      <c r="BC40" s="244"/>
      <c r="BD40" s="244"/>
      <c r="BE40" s="244"/>
      <c r="BF40" s="244"/>
      <c r="BG40" s="244"/>
      <c r="BH40" s="244"/>
      <c r="BI40" s="244"/>
      <c r="BJ40" s="244"/>
      <c r="BK40" s="244"/>
      <c r="BL40" s="244"/>
      <c r="BM40" s="244"/>
      <c r="BN40" s="244"/>
      <c r="BO40" s="244"/>
      <c r="BP40" s="244"/>
      <c r="BQ40" s="244"/>
      <c r="BR40" s="244"/>
      <c r="BS40" s="244"/>
      <c r="BT40" s="244"/>
      <c r="BU40" s="244"/>
      <c r="BV40" s="244"/>
      <c r="BW40" s="244"/>
      <c r="BX40" s="244"/>
      <c r="BY40" s="244"/>
      <c r="BZ40" s="244"/>
      <c r="CA40" s="244"/>
      <c r="CB40" s="244"/>
      <c r="CC40" s="244"/>
      <c r="CD40" s="244"/>
      <c r="CE40" s="244"/>
      <c r="CF40" s="244"/>
    </row>
    <row r="41" ht="18" customHeight="1">
      <c r="C41" s="114"/>
      <c r="D41" s="118"/>
      <c r="E41" s="118"/>
      <c r="F41" s="118"/>
      <c r="G41" s="118"/>
      <c r="H41" s="118"/>
      <c r="I41" s="711"/>
      <c r="J41" s="711"/>
      <c r="K41" s="711"/>
      <c r="L41" s="711"/>
      <c r="M41" s="711"/>
      <c r="N41" s="711"/>
      <c r="O41" s="113"/>
      <c r="AP41" s="213"/>
      <c r="AQ41" s="213"/>
      <c r="AR41" s="213"/>
      <c r="AS41" s="271"/>
      <c r="AT41" s="271"/>
      <c r="AU41" s="244"/>
      <c r="AV41" s="244"/>
      <c r="AW41" s="244"/>
      <c r="AX41" s="244"/>
      <c r="AY41" s="244"/>
      <c r="AZ41" s="244"/>
      <c r="BA41" s="244"/>
      <c r="BB41" s="244"/>
      <c r="BC41" s="244"/>
      <c r="BD41" s="244"/>
      <c r="BE41" s="244"/>
      <c r="BF41" s="244"/>
      <c r="BG41" s="244"/>
      <c r="BH41" s="244"/>
      <c r="BI41" s="244"/>
      <c r="BJ41" s="244"/>
      <c r="BK41" s="244"/>
      <c r="BL41" s="244"/>
      <c r="BM41" s="244"/>
      <c r="BN41" s="244"/>
      <c r="BO41" s="244"/>
      <c r="BP41" s="244"/>
      <c r="BQ41" s="244"/>
      <c r="BR41" s="244"/>
      <c r="BS41" s="244"/>
      <c r="BT41" s="244"/>
      <c r="BU41" s="244"/>
      <c r="BV41" s="244"/>
      <c r="BW41" s="244"/>
      <c r="BX41" s="244"/>
      <c r="BY41" s="244"/>
      <c r="BZ41" s="244"/>
      <c r="CA41" s="244"/>
      <c r="CB41" s="244"/>
      <c r="CC41" s="244"/>
      <c r="CD41" s="244"/>
      <c r="CE41" s="244"/>
      <c r="CF41" s="244"/>
    </row>
    <row r="42" ht="0" hidden="1" customHeight="1">
      <c r="C42" s="114"/>
      <c r="D42" s="118"/>
      <c r="E42" s="118"/>
      <c r="F42" s="118"/>
      <c r="G42" s="118"/>
      <c r="H42" s="118"/>
      <c r="I42" s="711"/>
      <c r="J42" s="711"/>
      <c r="K42" s="711"/>
      <c r="L42" s="711"/>
      <c r="M42" s="711"/>
      <c r="N42" s="711"/>
      <c r="O42" s="113"/>
      <c r="AP42" s="213"/>
      <c r="AQ42" s="213"/>
      <c r="AR42" s="213"/>
      <c r="AS42" s="271"/>
      <c r="AT42" s="271"/>
      <c r="AU42" s="244"/>
      <c r="AV42" s="244"/>
      <c r="AW42" s="244"/>
      <c r="AX42" s="244"/>
      <c r="AY42" s="244"/>
      <c r="AZ42" s="244"/>
      <c r="BA42" s="244"/>
      <c r="BB42" s="244"/>
      <c r="BC42" s="244"/>
      <c r="BD42" s="244"/>
      <c r="BE42" s="244"/>
      <c r="BF42" s="244"/>
      <c r="BG42" s="244"/>
      <c r="BH42" s="244"/>
      <c r="BI42" s="244"/>
      <c r="BJ42" s="244"/>
      <c r="BK42" s="244"/>
      <c r="BL42" s="244"/>
      <c r="BM42" s="244"/>
      <c r="BN42" s="244"/>
      <c r="BO42" s="244"/>
      <c r="BP42" s="244"/>
      <c r="BQ42" s="244"/>
      <c r="BR42" s="244"/>
      <c r="BS42" s="244"/>
      <c r="BT42" s="244"/>
      <c r="BU42" s="244"/>
      <c r="BV42" s="244"/>
      <c r="BW42" s="244"/>
      <c r="BX42" s="244"/>
      <c r="BY42" s="244"/>
      <c r="BZ42" s="244"/>
      <c r="CA42" s="244"/>
      <c r="CB42" s="244"/>
      <c r="CC42" s="244"/>
      <c r="CD42" s="244"/>
      <c r="CE42" s="244"/>
      <c r="CF42" s="244"/>
    </row>
    <row r="43" ht="0" hidden="1" customHeight="1">
      <c r="C43" s="114"/>
      <c r="D43" s="118"/>
      <c r="E43" s="118"/>
      <c r="F43" s="118"/>
      <c r="G43" s="118"/>
      <c r="H43" s="118"/>
      <c r="I43" s="711"/>
      <c r="J43" s="711"/>
      <c r="K43" s="711"/>
      <c r="L43" s="711"/>
      <c r="M43" s="711"/>
      <c r="N43" s="711"/>
      <c r="O43" s="113"/>
      <c r="AP43" s="213"/>
      <c r="AQ43" s="213"/>
      <c r="AR43" s="213"/>
      <c r="AS43" s="271"/>
      <c r="AT43" s="271"/>
      <c r="AU43" s="244"/>
      <c r="AV43" s="244"/>
      <c r="AW43" s="244"/>
      <c r="AX43" s="244"/>
      <c r="AY43" s="244"/>
      <c r="AZ43" s="244"/>
      <c r="BA43" s="244"/>
      <c r="BB43" s="244"/>
      <c r="BC43" s="244"/>
      <c r="BD43" s="244"/>
      <c r="BE43" s="244"/>
      <c r="BF43" s="244"/>
      <c r="BG43" s="244"/>
      <c r="BH43" s="244"/>
      <c r="BI43" s="244"/>
      <c r="BJ43" s="244"/>
      <c r="BK43" s="244"/>
      <c r="BL43" s="244"/>
      <c r="BM43" s="244"/>
      <c r="BN43" s="244"/>
      <c r="BO43" s="244"/>
      <c r="BP43" s="244"/>
      <c r="BQ43" s="244"/>
      <c r="BR43" s="244"/>
      <c r="BS43" s="244"/>
      <c r="BT43" s="244"/>
      <c r="BU43" s="244"/>
      <c r="BV43" s="244"/>
      <c r="BW43" s="244"/>
      <c r="BX43" s="244"/>
      <c r="BY43" s="244"/>
      <c r="BZ43" s="244"/>
      <c r="CA43" s="244"/>
      <c r="CB43" s="244"/>
      <c r="CC43" s="244"/>
      <c r="CD43" s="244"/>
      <c r="CE43" s="244"/>
      <c r="CF43" s="244"/>
    </row>
    <row r="44" ht="0" hidden="1" customHeight="1">
      <c r="C44" s="114"/>
      <c r="D44" s="118"/>
      <c r="E44" s="118"/>
      <c r="F44" s="118"/>
      <c r="G44" s="118"/>
      <c r="H44" s="118"/>
      <c r="I44" s="711"/>
      <c r="J44" s="711"/>
      <c r="K44" s="711"/>
      <c r="L44" s="711"/>
      <c r="M44" s="711"/>
      <c r="N44" s="711"/>
      <c r="O44" s="113"/>
      <c r="AP44" s="213"/>
      <c r="AQ44" s="213"/>
      <c r="AR44" s="213"/>
      <c r="AS44" s="271"/>
      <c r="AT44" s="271"/>
      <c r="AU44" s="244"/>
      <c r="AV44" s="244"/>
      <c r="AW44" s="244"/>
      <c r="AX44" s="244"/>
      <c r="AY44" s="244"/>
      <c r="AZ44" s="244"/>
      <c r="BA44" s="244"/>
      <c r="BB44" s="244"/>
      <c r="BC44" s="244"/>
      <c r="BD44" s="244"/>
      <c r="BE44" s="244"/>
      <c r="BF44" s="244"/>
      <c r="BG44" s="244"/>
      <c r="BH44" s="244"/>
      <c r="BI44" s="244"/>
      <c r="BJ44" s="244"/>
      <c r="BK44" s="244"/>
      <c r="BL44" s="244"/>
      <c r="BM44" s="244"/>
      <c r="BN44" s="244"/>
      <c r="BO44" s="244"/>
      <c r="BP44" s="244"/>
      <c r="BQ44" s="244"/>
      <c r="BR44" s="244"/>
      <c r="BS44" s="244"/>
      <c r="BT44" s="244"/>
      <c r="BU44" s="244"/>
      <c r="BV44" s="244"/>
      <c r="BW44" s="244"/>
      <c r="BX44" s="244"/>
      <c r="BY44" s="244"/>
      <c r="BZ44" s="244"/>
      <c r="CA44" s="244"/>
      <c r="CB44" s="244"/>
      <c r="CC44" s="244"/>
      <c r="CD44" s="244"/>
      <c r="CE44" s="244"/>
      <c r="CF44" s="244"/>
    </row>
    <row r="45" ht="0" hidden="1" customHeight="1">
      <c r="C45" s="114"/>
      <c r="D45" s="118"/>
      <c r="E45" s="118"/>
      <c r="F45" s="118"/>
      <c r="G45" s="118"/>
      <c r="H45" s="118"/>
      <c r="I45" s="711"/>
      <c r="J45" s="711"/>
      <c r="K45" s="711"/>
      <c r="L45" s="711"/>
      <c r="M45" s="711"/>
      <c r="N45" s="711"/>
      <c r="O45" s="113"/>
      <c r="AP45" s="213"/>
      <c r="AQ45" s="213"/>
      <c r="AR45" s="213"/>
      <c r="AS45" s="271"/>
      <c r="AT45" s="271"/>
      <c r="AU45" s="244"/>
      <c r="AV45" s="244"/>
      <c r="AW45" s="244"/>
      <c r="AX45" s="244"/>
      <c r="AY45" s="244"/>
      <c r="AZ45" s="244"/>
      <c r="BA45" s="244"/>
      <c r="BB45" s="244"/>
      <c r="BC45" s="244"/>
      <c r="BD45" s="244"/>
      <c r="BE45" s="244"/>
      <c r="BF45" s="244"/>
      <c r="BG45" s="244"/>
      <c r="BH45" s="244"/>
      <c r="BI45" s="244"/>
      <c r="BJ45" s="244"/>
      <c r="BK45" s="244"/>
      <c r="BL45" s="244"/>
      <c r="BM45" s="244"/>
      <c r="BN45" s="244"/>
      <c r="BO45" s="244"/>
      <c r="BP45" s="244"/>
      <c r="BQ45" s="244"/>
      <c r="BR45" s="244"/>
      <c r="BS45" s="244"/>
      <c r="BT45" s="244"/>
      <c r="BU45" s="244"/>
      <c r="BV45" s="244"/>
      <c r="BW45" s="244"/>
      <c r="BX45" s="244"/>
      <c r="BY45" s="244"/>
      <c r="BZ45" s="244"/>
      <c r="CA45" s="244"/>
      <c r="CB45" s="244"/>
      <c r="CC45" s="244"/>
      <c r="CD45" s="244"/>
      <c r="CE45" s="244"/>
      <c r="CF45" s="244"/>
    </row>
    <row r="46" ht="0" hidden="1" customHeight="1">
      <c r="C46" s="114"/>
      <c r="D46" s="118"/>
      <c r="E46" s="118"/>
      <c r="F46" s="118"/>
      <c r="G46" s="118"/>
      <c r="H46" s="118"/>
      <c r="I46" s="711"/>
      <c r="J46" s="711"/>
      <c r="K46" s="711"/>
      <c r="L46" s="711"/>
      <c r="M46" s="711"/>
      <c r="N46" s="711"/>
      <c r="O46" s="113"/>
      <c r="AP46" s="213"/>
      <c r="AQ46" s="213"/>
      <c r="AR46" s="213"/>
      <c r="AS46" s="271"/>
      <c r="AT46" s="271"/>
      <c r="AU46" s="244"/>
      <c r="AV46" s="244"/>
      <c r="AW46" s="244"/>
      <c r="AX46" s="244"/>
      <c r="AY46" s="244"/>
      <c r="AZ46" s="244"/>
      <c r="BA46" s="244"/>
      <c r="BB46" s="244"/>
      <c r="BC46" s="244"/>
      <c r="BD46" s="244"/>
      <c r="BE46" s="244"/>
      <c r="BF46" s="244"/>
      <c r="BG46" s="244"/>
      <c r="BH46" s="244"/>
      <c r="BI46" s="244"/>
      <c r="BJ46" s="244"/>
      <c r="BK46" s="244"/>
      <c r="BL46" s="244"/>
      <c r="BM46" s="244"/>
      <c r="BN46" s="244"/>
      <c r="BO46" s="244"/>
      <c r="BP46" s="244"/>
      <c r="BQ46" s="244"/>
      <c r="BR46" s="244"/>
      <c r="BS46" s="244"/>
      <c r="BT46" s="244"/>
      <c r="BU46" s="244"/>
      <c r="BV46" s="244"/>
      <c r="BW46" s="244"/>
      <c r="BX46" s="244"/>
      <c r="BY46" s="244"/>
      <c r="BZ46" s="244"/>
      <c r="CA46" s="244"/>
      <c r="CB46" s="244"/>
      <c r="CC46" s="244"/>
      <c r="CD46" s="244"/>
      <c r="CE46" s="244"/>
      <c r="CF46" s="244"/>
    </row>
    <row r="47" ht="0" hidden="1" customHeight="1">
      <c r="C47" s="114"/>
      <c r="D47" s="118"/>
      <c r="E47" s="118"/>
      <c r="F47" s="118"/>
      <c r="G47" s="118"/>
      <c r="H47" s="118"/>
      <c r="I47" s="711"/>
      <c r="J47" s="711"/>
      <c r="K47" s="711"/>
      <c r="L47" s="711"/>
      <c r="M47" s="711"/>
      <c r="N47" s="711"/>
      <c r="O47" s="113"/>
      <c r="AP47" s="213"/>
      <c r="AQ47" s="213"/>
      <c r="AR47" s="213"/>
      <c r="AS47" s="271"/>
      <c r="AT47" s="271"/>
      <c r="AU47" s="244"/>
      <c r="AV47" s="244"/>
      <c r="AW47" s="244"/>
      <c r="AX47" s="244"/>
      <c r="AY47" s="244"/>
      <c r="AZ47" s="244"/>
      <c r="BA47" s="244"/>
      <c r="BB47" s="244"/>
      <c r="BC47" s="244"/>
      <c r="BD47" s="244"/>
      <c r="BE47" s="244"/>
      <c r="BF47" s="244"/>
      <c r="BG47" s="244"/>
      <c r="BH47" s="244"/>
      <c r="BI47" s="244"/>
      <c r="BJ47" s="244"/>
      <c r="BK47" s="244"/>
      <c r="BL47" s="244"/>
      <c r="BM47" s="244"/>
      <c r="BN47" s="244"/>
      <c r="BO47" s="244"/>
      <c r="BP47" s="244"/>
      <c r="BQ47" s="244"/>
      <c r="BR47" s="244"/>
      <c r="BS47" s="244"/>
      <c r="BT47" s="244"/>
      <c r="BU47" s="244"/>
      <c r="BV47" s="244"/>
      <c r="BW47" s="244"/>
      <c r="BX47" s="244"/>
      <c r="BY47" s="244"/>
      <c r="BZ47" s="244"/>
      <c r="CA47" s="244"/>
      <c r="CB47" s="244"/>
      <c r="CC47" s="244"/>
      <c r="CD47" s="244"/>
      <c r="CE47" s="244"/>
      <c r="CF47" s="244"/>
    </row>
    <row r="48" ht="0" hidden="1" customHeight="1">
      <c r="C48" s="114"/>
      <c r="D48" s="118"/>
      <c r="E48" s="118"/>
      <c r="F48" s="118"/>
      <c r="G48" s="118"/>
      <c r="H48" s="118"/>
      <c r="I48" s="711"/>
      <c r="J48" s="711"/>
      <c r="K48" s="711"/>
      <c r="L48" s="711"/>
      <c r="M48" s="711"/>
      <c r="N48" s="711"/>
      <c r="O48" s="113"/>
      <c r="AP48" s="213"/>
      <c r="AQ48" s="213"/>
      <c r="AR48" s="213"/>
      <c r="AS48" s="271"/>
      <c r="AT48" s="271"/>
      <c r="AU48" s="244"/>
      <c r="AV48" s="244"/>
      <c r="AW48" s="244"/>
      <c r="AX48" s="244"/>
      <c r="AY48" s="244"/>
      <c r="AZ48" s="244"/>
      <c r="BA48" s="244"/>
      <c r="BB48" s="244"/>
      <c r="BC48" s="244"/>
      <c r="BD48" s="244"/>
      <c r="BE48" s="244"/>
      <c r="BF48" s="244"/>
      <c r="BG48" s="244"/>
      <c r="BH48" s="244"/>
      <c r="BI48" s="244"/>
      <c r="BJ48" s="244"/>
      <c r="BK48" s="244"/>
      <c r="BL48" s="244"/>
      <c r="BM48" s="244"/>
      <c r="BN48" s="244"/>
      <c r="BO48" s="244"/>
      <c r="BP48" s="244"/>
      <c r="BQ48" s="244"/>
      <c r="BR48" s="244"/>
      <c r="BS48" s="244"/>
      <c r="BT48" s="244"/>
      <c r="BU48" s="244"/>
      <c r="BV48" s="244"/>
      <c r="BW48" s="244"/>
      <c r="BX48" s="244"/>
      <c r="BY48" s="244"/>
      <c r="BZ48" s="244"/>
      <c r="CA48" s="244"/>
      <c r="CB48" s="244"/>
      <c r="CC48" s="244"/>
      <c r="CD48" s="244"/>
      <c r="CE48" s="244"/>
      <c r="CF48" s="244"/>
    </row>
    <row r="49" ht="0" hidden="1" customHeight="1">
      <c r="C49" s="114"/>
      <c r="D49" s="118"/>
      <c r="E49" s="118"/>
      <c r="F49" s="118"/>
      <c r="G49" s="118"/>
      <c r="H49" s="118"/>
      <c r="I49" s="711"/>
      <c r="J49" s="711"/>
      <c r="K49" s="711"/>
      <c r="L49" s="711"/>
      <c r="M49" s="711"/>
      <c r="N49" s="711"/>
      <c r="O49" s="113"/>
      <c r="AP49" s="213"/>
      <c r="AQ49" s="213"/>
      <c r="AR49" s="213"/>
      <c r="AS49" s="271"/>
      <c r="AT49" s="271"/>
      <c r="AU49" s="244"/>
      <c r="AV49" s="244"/>
      <c r="AW49" s="244"/>
      <c r="AX49" s="244"/>
      <c r="AY49" s="244"/>
      <c r="AZ49" s="244"/>
      <c r="BA49" s="244"/>
      <c r="BB49" s="244"/>
      <c r="BC49" s="244"/>
      <c r="BD49" s="244"/>
      <c r="BE49" s="244"/>
      <c r="BF49" s="244"/>
      <c r="BG49" s="244"/>
      <c r="BH49" s="244"/>
      <c r="BI49" s="244"/>
      <c r="BJ49" s="244"/>
      <c r="BK49" s="244"/>
      <c r="BL49" s="244"/>
      <c r="BM49" s="244"/>
      <c r="BN49" s="244"/>
      <c r="BO49" s="244"/>
      <c r="BP49" s="244"/>
      <c r="BQ49" s="244"/>
      <c r="BR49" s="244"/>
      <c r="BS49" s="244"/>
      <c r="BT49" s="244"/>
      <c r="BU49" s="244"/>
      <c r="BV49" s="244"/>
      <c r="BW49" s="244"/>
      <c r="BX49" s="244"/>
      <c r="BY49" s="244"/>
      <c r="BZ49" s="244"/>
      <c r="CA49" s="244"/>
      <c r="CB49" s="244"/>
      <c r="CC49" s="244"/>
      <c r="CD49" s="244"/>
      <c r="CE49" s="244"/>
      <c r="CF49" s="244"/>
    </row>
    <row r="50" ht="0" hidden="1" customHeight="1">
      <c r="C50" s="114"/>
      <c r="D50" s="118"/>
      <c r="E50" s="118"/>
      <c r="F50" s="118"/>
      <c r="G50" s="118"/>
      <c r="H50" s="118"/>
      <c r="I50" s="711"/>
      <c r="J50" s="711"/>
      <c r="K50" s="711"/>
      <c r="L50" s="711"/>
      <c r="M50" s="711"/>
      <c r="N50" s="711"/>
      <c r="O50" s="113"/>
      <c r="AP50" s="213"/>
      <c r="AQ50" s="213"/>
      <c r="AR50" s="213"/>
      <c r="AS50" s="271"/>
      <c r="AT50" s="271"/>
      <c r="AU50" s="244"/>
      <c r="AV50" s="244"/>
      <c r="AW50" s="244"/>
      <c r="AX50" s="244"/>
      <c r="AY50" s="244"/>
      <c r="AZ50" s="244"/>
      <c r="BA50" s="244"/>
      <c r="BB50" s="244"/>
      <c r="BC50" s="244"/>
      <c r="BD50" s="244"/>
      <c r="BE50" s="244"/>
      <c r="BF50" s="244"/>
      <c r="BG50" s="244"/>
      <c r="BH50" s="244"/>
      <c r="BI50" s="244"/>
      <c r="BJ50" s="244"/>
      <c r="BK50" s="244"/>
      <c r="BL50" s="244"/>
      <c r="BM50" s="244"/>
      <c r="BN50" s="244"/>
      <c r="BO50" s="244"/>
      <c r="BP50" s="244"/>
      <c r="BQ50" s="244"/>
      <c r="BR50" s="244"/>
      <c r="BS50" s="244"/>
      <c r="BT50" s="244"/>
      <c r="BU50" s="244"/>
      <c r="BV50" s="244"/>
      <c r="BW50" s="244"/>
      <c r="BX50" s="244"/>
      <c r="BY50" s="244"/>
      <c r="BZ50" s="244"/>
      <c r="CA50" s="244"/>
      <c r="CB50" s="244"/>
      <c r="CC50" s="244"/>
      <c r="CD50" s="244"/>
      <c r="CE50" s="244"/>
      <c r="CF50" s="244"/>
    </row>
    <row r="51" ht="0" hidden="1" customHeight="1">
      <c r="C51" s="114"/>
      <c r="D51" s="118"/>
      <c r="E51" s="118"/>
      <c r="F51" s="118"/>
      <c r="G51" s="118"/>
      <c r="H51" s="118"/>
      <c r="I51" s="711"/>
      <c r="J51" s="711"/>
      <c r="K51" s="711"/>
      <c r="L51" s="711"/>
      <c r="M51" s="711"/>
      <c r="N51" s="711"/>
      <c r="O51" s="113"/>
      <c r="AP51" s="213"/>
      <c r="AQ51" s="213"/>
      <c r="AR51" s="213"/>
      <c r="AS51" s="271"/>
      <c r="AT51" s="271"/>
      <c r="AU51" s="244"/>
      <c r="AV51" s="244"/>
      <c r="AW51" s="244"/>
      <c r="AX51" s="244"/>
      <c r="AY51" s="244"/>
      <c r="AZ51" s="244"/>
      <c r="BA51" s="244"/>
      <c r="BB51" s="244"/>
      <c r="BC51" s="244"/>
      <c r="BD51" s="244"/>
      <c r="BE51" s="244"/>
      <c r="BF51" s="244"/>
      <c r="BG51" s="244"/>
      <c r="BH51" s="244"/>
      <c r="BI51" s="244"/>
      <c r="BJ51" s="244"/>
      <c r="BK51" s="244"/>
      <c r="BL51" s="244"/>
      <c r="BM51" s="244"/>
      <c r="BN51" s="244"/>
      <c r="BO51" s="244"/>
      <c r="BP51" s="244"/>
      <c r="BQ51" s="244"/>
      <c r="BR51" s="244"/>
      <c r="BS51" s="244"/>
      <c r="BT51" s="244"/>
      <c r="BU51" s="244"/>
      <c r="BV51" s="244"/>
      <c r="BW51" s="244"/>
      <c r="BX51" s="244"/>
      <c r="BY51" s="244"/>
      <c r="BZ51" s="244"/>
      <c r="CA51" s="244"/>
      <c r="CB51" s="244"/>
      <c r="CC51" s="244"/>
      <c r="CD51" s="244"/>
      <c r="CE51" s="244"/>
      <c r="CF51" s="244"/>
    </row>
    <row r="52" ht="0" hidden="1" customHeight="1">
      <c r="C52" s="114"/>
      <c r="D52" s="118"/>
      <c r="E52" s="118"/>
      <c r="F52" s="118"/>
      <c r="G52" s="118"/>
      <c r="H52" s="118"/>
      <c r="I52" s="711"/>
      <c r="J52" s="711"/>
      <c r="K52" s="711"/>
      <c r="L52" s="711"/>
      <c r="M52" s="711"/>
      <c r="N52" s="711"/>
      <c r="O52" s="113"/>
      <c r="AP52" s="213"/>
      <c r="AQ52" s="213"/>
      <c r="AR52" s="213"/>
      <c r="AS52" s="271"/>
      <c r="AT52" s="271"/>
      <c r="AU52" s="244"/>
      <c r="AV52" s="244"/>
      <c r="AW52" s="244"/>
      <c r="AX52" s="244"/>
      <c r="AY52" s="244"/>
      <c r="AZ52" s="244"/>
      <c r="BA52" s="244"/>
      <c r="BB52" s="244"/>
      <c r="BC52" s="244"/>
      <c r="BD52" s="244"/>
      <c r="BE52" s="244"/>
      <c r="BF52" s="244"/>
      <c r="BG52" s="244"/>
      <c r="BH52" s="244"/>
      <c r="BI52" s="244"/>
      <c r="BJ52" s="244"/>
      <c r="BK52" s="244"/>
      <c r="BL52" s="244"/>
      <c r="BM52" s="244"/>
      <c r="BN52" s="244"/>
      <c r="BO52" s="244"/>
      <c r="BP52" s="244"/>
      <c r="BQ52" s="244"/>
      <c r="BR52" s="244"/>
      <c r="BS52" s="244"/>
      <c r="BT52" s="244"/>
      <c r="BU52" s="244"/>
      <c r="BV52" s="244"/>
      <c r="BW52" s="244"/>
      <c r="BX52" s="244"/>
      <c r="BY52" s="244"/>
      <c r="BZ52" s="244"/>
      <c r="CA52" s="244"/>
      <c r="CB52" s="244"/>
      <c r="CC52" s="244"/>
      <c r="CD52" s="244"/>
      <c r="CE52" s="244"/>
      <c r="CF52" s="244"/>
    </row>
    <row r="53" ht="0" hidden="1" customHeight="1">
      <c r="C53" s="114"/>
      <c r="D53" s="118"/>
      <c r="E53" s="118"/>
      <c r="F53" s="118"/>
      <c r="G53" s="118"/>
      <c r="H53" s="118"/>
      <c r="I53" s="711"/>
      <c r="J53" s="711"/>
      <c r="K53" s="711"/>
      <c r="L53" s="711"/>
      <c r="M53" s="711"/>
      <c r="N53" s="711"/>
      <c r="O53" s="113"/>
      <c r="AP53" s="213"/>
      <c r="AQ53" s="213"/>
      <c r="AR53" s="213"/>
      <c r="AS53" s="271"/>
      <c r="AT53" s="271"/>
      <c r="AU53" s="244"/>
      <c r="AV53" s="244"/>
      <c r="AW53" s="244"/>
      <c r="AX53" s="244"/>
      <c r="AY53" s="244"/>
      <c r="AZ53" s="244"/>
      <c r="BA53" s="244"/>
      <c r="BB53" s="244"/>
      <c r="BC53" s="244"/>
      <c r="BD53" s="244"/>
      <c r="BE53" s="244"/>
      <c r="BF53" s="244"/>
      <c r="BG53" s="244"/>
      <c r="BH53" s="244"/>
      <c r="BI53" s="244"/>
      <c r="BJ53" s="244"/>
      <c r="BK53" s="244"/>
      <c r="BL53" s="244"/>
      <c r="BM53" s="244"/>
      <c r="BN53" s="244"/>
      <c r="BO53" s="244"/>
      <c r="BP53" s="244"/>
      <c r="BQ53" s="244"/>
      <c r="BR53" s="244"/>
      <c r="BS53" s="244"/>
      <c r="BT53" s="244"/>
      <c r="BU53" s="244"/>
      <c r="BV53" s="244"/>
      <c r="BW53" s="244"/>
      <c r="BX53" s="244"/>
      <c r="BY53" s="244"/>
      <c r="BZ53" s="244"/>
      <c r="CA53" s="244"/>
      <c r="CB53" s="244"/>
      <c r="CC53" s="244"/>
      <c r="CD53" s="244"/>
      <c r="CE53" s="244"/>
      <c r="CF53" s="244"/>
    </row>
    <row r="54" ht="0" hidden="1" customHeight="1">
      <c r="C54" s="114"/>
      <c r="D54" s="118"/>
      <c r="E54" s="118"/>
      <c r="F54" s="118"/>
      <c r="G54" s="118"/>
      <c r="H54" s="118"/>
      <c r="I54" s="711"/>
      <c r="J54" s="711"/>
      <c r="K54" s="711"/>
      <c r="L54" s="711"/>
      <c r="M54" s="711"/>
      <c r="N54" s="711"/>
      <c r="O54" s="113"/>
      <c r="AP54" s="213"/>
      <c r="AQ54" s="213"/>
      <c r="AR54" s="213"/>
      <c r="AS54" s="271"/>
      <c r="AT54" s="271"/>
      <c r="AU54" s="244"/>
      <c r="AV54" s="244"/>
      <c r="AW54" s="244"/>
      <c r="AX54" s="244"/>
      <c r="AY54" s="244"/>
      <c r="AZ54" s="244"/>
      <c r="BA54" s="244"/>
      <c r="BB54" s="244"/>
      <c r="BC54" s="244"/>
      <c r="BD54" s="244"/>
      <c r="BE54" s="244"/>
      <c r="BF54" s="244"/>
      <c r="BG54" s="244"/>
      <c r="BH54" s="244"/>
      <c r="BI54" s="244"/>
      <c r="BJ54" s="244"/>
      <c r="BK54" s="244"/>
      <c r="BL54" s="244"/>
      <c r="BM54" s="244"/>
      <c r="BN54" s="244"/>
      <c r="BO54" s="244"/>
      <c r="BP54" s="244"/>
      <c r="BQ54" s="244"/>
      <c r="BR54" s="244"/>
      <c r="BS54" s="244"/>
      <c r="BT54" s="244"/>
      <c r="BU54" s="244"/>
      <c r="BV54" s="244"/>
      <c r="BW54" s="244"/>
      <c r="BX54" s="244"/>
      <c r="BY54" s="244"/>
      <c r="BZ54" s="244"/>
      <c r="CA54" s="244"/>
      <c r="CB54" s="244"/>
      <c r="CC54" s="244"/>
      <c r="CD54" s="244"/>
      <c r="CE54" s="244"/>
      <c r="CF54" s="244"/>
    </row>
    <row r="55" ht="0" hidden="1" customHeight="1">
      <c r="C55" s="114"/>
      <c r="D55" s="118"/>
      <c r="E55" s="118"/>
      <c r="F55" s="118"/>
      <c r="G55" s="118"/>
      <c r="H55" s="118"/>
      <c r="I55" s="711"/>
      <c r="J55" s="711"/>
      <c r="K55" s="711"/>
      <c r="L55" s="711"/>
      <c r="M55" s="711"/>
      <c r="N55" s="711"/>
      <c r="O55" s="113"/>
      <c r="AP55" s="213"/>
      <c r="AQ55" s="213"/>
      <c r="AR55" s="213"/>
      <c r="AS55" s="271"/>
      <c r="AT55" s="271"/>
      <c r="AU55" s="244"/>
      <c r="AV55" s="244"/>
      <c r="AW55" s="244"/>
      <c r="AX55" s="244"/>
      <c r="AY55" s="244"/>
      <c r="AZ55" s="244"/>
      <c r="BA55" s="244"/>
      <c r="BB55" s="244"/>
      <c r="BC55" s="244"/>
      <c r="BD55" s="244"/>
      <c r="BE55" s="244"/>
      <c r="BF55" s="244"/>
      <c r="BG55" s="244"/>
      <c r="BH55" s="244"/>
      <c r="BI55" s="244"/>
      <c r="BJ55" s="244"/>
      <c r="BK55" s="244"/>
      <c r="BL55" s="244"/>
      <c r="BM55" s="244"/>
      <c r="BN55" s="244"/>
      <c r="BO55" s="244"/>
      <c r="BP55" s="244"/>
      <c r="BQ55" s="244"/>
      <c r="BR55" s="244"/>
      <c r="BS55" s="244"/>
      <c r="BT55" s="244"/>
      <c r="BU55" s="244"/>
      <c r="BV55" s="244"/>
      <c r="BW55" s="244"/>
      <c r="BX55" s="244"/>
      <c r="BY55" s="244"/>
      <c r="BZ55" s="244"/>
      <c r="CA55" s="244"/>
      <c r="CB55" s="244"/>
      <c r="CC55" s="244"/>
      <c r="CD55" s="244"/>
      <c r="CE55" s="244"/>
      <c r="CF55" s="244"/>
    </row>
    <row r="56" ht="0" hidden="1" customHeight="1">
      <c r="C56" s="114"/>
      <c r="D56" s="118"/>
      <c r="E56" s="118"/>
      <c r="F56" s="118"/>
      <c r="G56" s="118"/>
      <c r="H56" s="118"/>
      <c r="I56" s="711"/>
      <c r="J56" s="711"/>
      <c r="K56" s="711"/>
      <c r="L56" s="711"/>
      <c r="M56" s="711"/>
      <c r="N56" s="711"/>
      <c r="O56" s="113"/>
      <c r="AP56" s="213"/>
      <c r="AQ56" s="213"/>
      <c r="AR56" s="213"/>
      <c r="AS56" s="271"/>
      <c r="AT56" s="271"/>
      <c r="AU56" s="244"/>
      <c r="AV56" s="244"/>
      <c r="AW56" s="244"/>
      <c r="AX56" s="244"/>
      <c r="AY56" s="244"/>
      <c r="AZ56" s="244"/>
      <c r="BA56" s="244"/>
      <c r="BB56" s="244"/>
      <c r="BC56" s="244"/>
      <c r="BD56" s="244"/>
      <c r="BE56" s="244"/>
      <c r="BF56" s="244"/>
      <c r="BG56" s="244"/>
      <c r="BH56" s="244"/>
      <c r="BI56" s="244"/>
      <c r="BJ56" s="244"/>
      <c r="BK56" s="244"/>
      <c r="BL56" s="244"/>
      <c r="BM56" s="244"/>
      <c r="BN56" s="244"/>
      <c r="BO56" s="244"/>
      <c r="BP56" s="244"/>
      <c r="BQ56" s="244"/>
      <c r="BR56" s="244"/>
      <c r="BS56" s="244"/>
      <c r="BT56" s="244"/>
      <c r="BU56" s="244"/>
      <c r="BV56" s="244"/>
      <c r="BW56" s="244"/>
      <c r="BX56" s="244"/>
      <c r="BY56" s="244"/>
      <c r="BZ56" s="244"/>
      <c r="CA56" s="244"/>
      <c r="CB56" s="244"/>
      <c r="CC56" s="244"/>
      <c r="CD56" s="244"/>
      <c r="CE56" s="244"/>
      <c r="CF56" s="244"/>
    </row>
    <row r="57" ht="0" hidden="1" customHeight="1">
      <c r="C57" s="114"/>
      <c r="D57" s="118"/>
      <c r="E57" s="118"/>
      <c r="F57" s="118"/>
      <c r="G57" s="118"/>
      <c r="H57" s="118"/>
      <c r="I57" s="711"/>
      <c r="J57" s="711"/>
      <c r="K57" s="711"/>
      <c r="L57" s="711"/>
      <c r="M57" s="711"/>
      <c r="N57" s="711"/>
      <c r="O57" s="113"/>
      <c r="AP57" s="213"/>
      <c r="AQ57" s="213"/>
      <c r="AR57" s="213"/>
      <c r="AS57" s="271"/>
      <c r="AT57" s="271"/>
      <c r="AU57" s="244"/>
      <c r="AV57" s="244"/>
      <c r="AW57" s="244"/>
      <c r="AX57" s="244"/>
      <c r="AY57" s="244"/>
      <c r="AZ57" s="244"/>
      <c r="BA57" s="244"/>
      <c r="BB57" s="244"/>
      <c r="BC57" s="244"/>
      <c r="BD57" s="244"/>
      <c r="BE57" s="244"/>
      <c r="BF57" s="244"/>
      <c r="BG57" s="244"/>
      <c r="BH57" s="244"/>
      <c r="BI57" s="244"/>
      <c r="BJ57" s="244"/>
      <c r="BK57" s="244"/>
      <c r="BL57" s="244"/>
      <c r="BM57" s="244"/>
      <c r="BN57" s="244"/>
      <c r="BO57" s="244"/>
      <c r="BP57" s="244"/>
      <c r="BQ57" s="244"/>
      <c r="BR57" s="244"/>
      <c r="BS57" s="244"/>
      <c r="BT57" s="244"/>
      <c r="BU57" s="244"/>
      <c r="BV57" s="244"/>
      <c r="BW57" s="244"/>
      <c r="BX57" s="244"/>
      <c r="BY57" s="244"/>
      <c r="BZ57" s="244"/>
      <c r="CA57" s="244"/>
      <c r="CB57" s="244"/>
      <c r="CC57" s="244"/>
      <c r="CD57" s="244"/>
      <c r="CE57" s="244"/>
      <c r="CF57" s="244"/>
    </row>
    <row r="58" ht="0" hidden="1" customHeight="1">
      <c r="C58" s="114"/>
      <c r="D58" s="118"/>
      <c r="E58" s="118"/>
      <c r="F58" s="118"/>
      <c r="G58" s="118"/>
      <c r="H58" s="118"/>
      <c r="I58" s="711"/>
      <c r="J58" s="711"/>
      <c r="K58" s="711"/>
      <c r="L58" s="711"/>
      <c r="M58" s="711"/>
      <c r="N58" s="711"/>
      <c r="O58" s="113"/>
      <c r="AP58" s="213"/>
      <c r="AQ58" s="213"/>
      <c r="AR58" s="213"/>
      <c r="AS58" s="271"/>
      <c r="AT58" s="271"/>
      <c r="AU58" s="244"/>
      <c r="AV58" s="244"/>
      <c r="AW58" s="244"/>
      <c r="AX58" s="244"/>
      <c r="AY58" s="244"/>
      <c r="AZ58" s="244"/>
      <c r="BA58" s="244"/>
      <c r="BB58" s="244"/>
      <c r="BC58" s="244"/>
      <c r="BD58" s="244"/>
      <c r="BE58" s="244"/>
      <c r="BF58" s="244"/>
      <c r="BG58" s="244"/>
      <c r="BH58" s="244"/>
      <c r="BI58" s="244"/>
      <c r="BJ58" s="244"/>
      <c r="BK58" s="244"/>
      <c r="BL58" s="244"/>
      <c r="BM58" s="244"/>
      <c r="BN58" s="244"/>
      <c r="BO58" s="244"/>
      <c r="BP58" s="244"/>
      <c r="BQ58" s="244"/>
      <c r="BR58" s="244"/>
      <c r="BS58" s="244"/>
      <c r="BT58" s="244"/>
      <c r="BU58" s="244"/>
      <c r="BV58" s="244"/>
      <c r="BW58" s="244"/>
      <c r="BX58" s="244"/>
      <c r="BY58" s="244"/>
      <c r="BZ58" s="244"/>
      <c r="CA58" s="244"/>
      <c r="CB58" s="244"/>
      <c r="CC58" s="244"/>
      <c r="CD58" s="244"/>
      <c r="CE58" s="244"/>
      <c r="CF58" s="244"/>
    </row>
    <row r="59" ht="0" hidden="1" customHeight="1">
      <c r="C59" s="114"/>
      <c r="D59" s="118"/>
      <c r="E59" s="118"/>
      <c r="F59" s="118"/>
      <c r="G59" s="118"/>
      <c r="H59" s="118"/>
      <c r="I59" s="711"/>
      <c r="J59" s="711"/>
      <c r="K59" s="711"/>
      <c r="L59" s="711"/>
      <c r="M59" s="711"/>
      <c r="N59" s="711"/>
      <c r="O59" s="113"/>
      <c r="AP59" s="213"/>
      <c r="AQ59" s="213"/>
      <c r="AR59" s="213"/>
      <c r="AS59" s="271"/>
      <c r="AT59" s="271"/>
      <c r="AU59" s="244"/>
      <c r="AV59" s="244"/>
      <c r="AW59" s="244"/>
      <c r="AX59" s="244"/>
      <c r="AY59" s="244"/>
      <c r="AZ59" s="244"/>
      <c r="BA59" s="244"/>
      <c r="BB59" s="244"/>
      <c r="BC59" s="244"/>
      <c r="BD59" s="244"/>
      <c r="BE59" s="244"/>
      <c r="BF59" s="244"/>
      <c r="BG59" s="244"/>
      <c r="BH59" s="244"/>
      <c r="BI59" s="244"/>
      <c r="BJ59" s="244"/>
      <c r="BK59" s="244"/>
      <c r="BL59" s="244"/>
      <c r="BM59" s="244"/>
      <c r="BN59" s="244"/>
      <c r="BO59" s="244"/>
      <c r="BP59" s="244"/>
      <c r="BQ59" s="244"/>
      <c r="BR59" s="244"/>
      <c r="BS59" s="244"/>
      <c r="BT59" s="244"/>
      <c r="BU59" s="244"/>
      <c r="BV59" s="244"/>
      <c r="BW59" s="244"/>
      <c r="BX59" s="244"/>
      <c r="BY59" s="244"/>
      <c r="BZ59" s="244"/>
      <c r="CA59" s="244"/>
      <c r="CB59" s="244"/>
      <c r="CC59" s="244"/>
      <c r="CD59" s="244"/>
      <c r="CE59" s="244"/>
      <c r="CF59" s="244"/>
    </row>
    <row r="60" ht="0" hidden="1" customHeight="1">
      <c r="C60" s="114"/>
      <c r="D60" s="118"/>
      <c r="E60" s="118"/>
      <c r="F60" s="118"/>
      <c r="G60" s="118"/>
      <c r="H60" s="118"/>
      <c r="I60" s="711"/>
      <c r="J60" s="711"/>
      <c r="K60" s="711"/>
      <c r="L60" s="711"/>
      <c r="M60" s="711"/>
      <c r="N60" s="711"/>
      <c r="O60" s="113"/>
      <c r="AP60" s="213"/>
      <c r="AQ60" s="213"/>
      <c r="AR60" s="213"/>
      <c r="AS60" s="271"/>
      <c r="AT60" s="271"/>
      <c r="AU60" s="244"/>
      <c r="AV60" s="244"/>
      <c r="AW60" s="244"/>
      <c r="AX60" s="244"/>
      <c r="AY60" s="244"/>
      <c r="AZ60" s="244"/>
      <c r="BA60" s="244"/>
      <c r="BB60" s="244"/>
      <c r="BC60" s="244"/>
      <c r="BD60" s="244"/>
      <c r="BE60" s="244"/>
      <c r="BF60" s="244"/>
      <c r="BG60" s="244"/>
      <c r="BH60" s="244"/>
      <c r="BI60" s="244"/>
      <c r="BJ60" s="244"/>
      <c r="BK60" s="244"/>
      <c r="BL60" s="244"/>
      <c r="BM60" s="244"/>
      <c r="BN60" s="244"/>
      <c r="BO60" s="244"/>
      <c r="BP60" s="244"/>
      <c r="BQ60" s="244"/>
      <c r="BR60" s="244"/>
      <c r="BS60" s="244"/>
      <c r="BT60" s="244"/>
      <c r="BU60" s="244"/>
      <c r="BV60" s="244"/>
      <c r="BW60" s="244"/>
      <c r="BX60" s="244"/>
      <c r="BY60" s="244"/>
      <c r="BZ60" s="244"/>
      <c r="CA60" s="244"/>
      <c r="CB60" s="244"/>
      <c r="CC60" s="244"/>
      <c r="CD60" s="244"/>
      <c r="CE60" s="244"/>
      <c r="CF60" s="244"/>
    </row>
    <row r="61" ht="0" hidden="1" customHeight="1">
      <c r="C61" s="114"/>
      <c r="D61" s="118"/>
      <c r="E61" s="118"/>
      <c r="F61" s="118"/>
      <c r="G61" s="118"/>
      <c r="H61" s="118"/>
      <c r="I61" s="711"/>
      <c r="J61" s="711"/>
      <c r="K61" s="711"/>
      <c r="L61" s="711"/>
      <c r="M61" s="711"/>
      <c r="N61" s="711"/>
      <c r="O61" s="113"/>
      <c r="AP61" s="213"/>
      <c r="AQ61" s="213"/>
      <c r="AR61" s="213"/>
      <c r="AS61" s="271"/>
      <c r="AT61" s="271"/>
      <c r="AU61" s="244"/>
      <c r="AV61" s="244"/>
      <c r="AW61" s="244"/>
      <c r="AX61" s="244"/>
      <c r="AY61" s="244"/>
      <c r="AZ61" s="244"/>
      <c r="BA61" s="244"/>
      <c r="BB61" s="244"/>
      <c r="BC61" s="244"/>
      <c r="BD61" s="244"/>
      <c r="BE61" s="244"/>
      <c r="BF61" s="244"/>
      <c r="BG61" s="244"/>
      <c r="BH61" s="244"/>
      <c r="BI61" s="244"/>
      <c r="BJ61" s="244"/>
      <c r="BK61" s="244"/>
      <c r="BL61" s="244"/>
      <c r="BM61" s="244"/>
      <c r="BN61" s="244"/>
      <c r="BO61" s="244"/>
      <c r="BP61" s="244"/>
      <c r="BQ61" s="244"/>
      <c r="BR61" s="244"/>
      <c r="BS61" s="244"/>
      <c r="BT61" s="244"/>
      <c r="BU61" s="244"/>
      <c r="BV61" s="244"/>
      <c r="BW61" s="244"/>
      <c r="BX61" s="244"/>
      <c r="BY61" s="244"/>
      <c r="BZ61" s="244"/>
      <c r="CA61" s="244"/>
      <c r="CB61" s="244"/>
      <c r="CC61" s="244"/>
      <c r="CD61" s="244"/>
      <c r="CE61" s="244"/>
      <c r="CF61" s="244"/>
    </row>
    <row r="62" ht="0" hidden="1" customHeight="1">
      <c r="C62" s="114"/>
      <c r="D62" s="118"/>
      <c r="E62" s="118"/>
      <c r="F62" s="118"/>
      <c r="G62" s="118"/>
      <c r="H62" s="118"/>
      <c r="I62" s="711"/>
      <c r="J62" s="711"/>
      <c r="K62" s="711"/>
      <c r="L62" s="711"/>
      <c r="M62" s="711"/>
      <c r="N62" s="711"/>
      <c r="O62" s="113"/>
      <c r="AP62" s="213"/>
      <c r="AQ62" s="213"/>
      <c r="AR62" s="213"/>
      <c r="AS62" s="271"/>
      <c r="AT62" s="271"/>
      <c r="AU62" s="244"/>
      <c r="AV62" s="244"/>
      <c r="AW62" s="244"/>
      <c r="AX62" s="244"/>
      <c r="AY62" s="244"/>
      <c r="AZ62" s="244"/>
      <c r="BA62" s="244"/>
      <c r="BB62" s="244"/>
      <c r="BC62" s="244"/>
      <c r="BD62" s="244"/>
      <c r="BE62" s="244"/>
      <c r="BF62" s="244"/>
      <c r="BG62" s="244"/>
      <c r="BH62" s="244"/>
      <c r="BI62" s="244"/>
      <c r="BJ62" s="244"/>
      <c r="BK62" s="244"/>
      <c r="BL62" s="244"/>
      <c r="BM62" s="244"/>
      <c r="BN62" s="244"/>
      <c r="BO62" s="244"/>
      <c r="BP62" s="244"/>
      <c r="BQ62" s="244"/>
      <c r="BR62" s="244"/>
      <c r="BS62" s="244"/>
      <c r="BT62" s="244"/>
      <c r="BU62" s="244"/>
      <c r="BV62" s="244"/>
      <c r="BW62" s="244"/>
      <c r="BX62" s="244"/>
      <c r="BY62" s="244"/>
      <c r="BZ62" s="244"/>
      <c r="CA62" s="244"/>
      <c r="CB62" s="244"/>
      <c r="CC62" s="244"/>
      <c r="CD62" s="244"/>
      <c r="CE62" s="244"/>
      <c r="CF62" s="244"/>
    </row>
    <row r="63" ht="0" hidden="1" customHeight="1">
      <c r="C63" s="114"/>
      <c r="D63" s="118"/>
      <c r="E63" s="118"/>
      <c r="F63" s="118"/>
      <c r="G63" s="118"/>
      <c r="H63" s="118"/>
      <c r="I63" s="711"/>
      <c r="J63" s="711"/>
      <c r="K63" s="711"/>
      <c r="L63" s="711"/>
      <c r="M63" s="711"/>
      <c r="N63" s="711"/>
      <c r="O63" s="113"/>
      <c r="AP63" s="213"/>
      <c r="AQ63" s="213"/>
      <c r="AR63" s="213"/>
      <c r="AS63" s="271"/>
      <c r="AT63" s="271"/>
      <c r="AU63" s="244"/>
      <c r="AV63" s="244"/>
      <c r="AW63" s="244"/>
      <c r="AX63" s="244"/>
      <c r="AY63" s="244"/>
      <c r="AZ63" s="244"/>
      <c r="BA63" s="244"/>
      <c r="BB63" s="244"/>
      <c r="BC63" s="244"/>
      <c r="BD63" s="244"/>
      <c r="BE63" s="244"/>
      <c r="BF63" s="244"/>
      <c r="BG63" s="244"/>
      <c r="BH63" s="244"/>
      <c r="BI63" s="244"/>
      <c r="BJ63" s="244"/>
      <c r="BK63" s="244"/>
      <c r="BL63" s="244"/>
      <c r="BM63" s="244"/>
      <c r="BN63" s="244"/>
      <c r="BO63" s="244"/>
      <c r="BP63" s="244"/>
      <c r="BQ63" s="244"/>
      <c r="BR63" s="244"/>
      <c r="BS63" s="244"/>
      <c r="BT63" s="244"/>
      <c r="BU63" s="244"/>
      <c r="BV63" s="244"/>
      <c r="BW63" s="244"/>
      <c r="BX63" s="244"/>
      <c r="BY63" s="244"/>
      <c r="BZ63" s="244"/>
      <c r="CA63" s="244"/>
      <c r="CB63" s="244"/>
      <c r="CC63" s="244"/>
      <c r="CD63" s="244"/>
      <c r="CE63" s="244"/>
      <c r="CF63" s="244"/>
    </row>
    <row r="64" ht="0" hidden="1" customHeight="1">
      <c r="C64" s="114"/>
      <c r="D64" s="118"/>
      <c r="E64" s="118"/>
      <c r="F64" s="118"/>
      <c r="G64" s="118"/>
      <c r="H64" s="118"/>
      <c r="I64" s="711"/>
      <c r="J64" s="711"/>
      <c r="K64" s="711"/>
      <c r="L64" s="711"/>
      <c r="M64" s="711"/>
      <c r="N64" s="711"/>
      <c r="O64" s="113"/>
      <c r="AP64" s="213"/>
      <c r="AQ64" s="213"/>
      <c r="AR64" s="213"/>
      <c r="AS64" s="271"/>
      <c r="AT64" s="271"/>
      <c r="AU64" s="244"/>
      <c r="AV64" s="244"/>
      <c r="AW64" s="244"/>
      <c r="AX64" s="244"/>
      <c r="AY64" s="244"/>
      <c r="AZ64" s="244"/>
      <c r="BA64" s="244"/>
      <c r="BB64" s="244"/>
      <c r="BC64" s="244"/>
      <c r="BD64" s="244"/>
      <c r="BE64" s="244"/>
      <c r="BF64" s="244"/>
      <c r="BG64" s="244"/>
      <c r="BH64" s="244"/>
      <c r="BI64" s="244"/>
      <c r="BJ64" s="244"/>
      <c r="BK64" s="244"/>
      <c r="BL64" s="244"/>
      <c r="BM64" s="244"/>
      <c r="BN64" s="244"/>
      <c r="BO64" s="244"/>
      <c r="BP64" s="244"/>
      <c r="BQ64" s="244"/>
      <c r="BR64" s="244"/>
      <c r="BS64" s="244"/>
      <c r="BT64" s="244"/>
      <c r="BU64" s="244"/>
      <c r="BV64" s="244"/>
      <c r="BW64" s="244"/>
      <c r="BX64" s="244"/>
      <c r="BY64" s="244"/>
      <c r="BZ64" s="244"/>
      <c r="CA64" s="244"/>
      <c r="CB64" s="244"/>
      <c r="CC64" s="244"/>
      <c r="CD64" s="244"/>
      <c r="CE64" s="244"/>
      <c r="CF64" s="244"/>
    </row>
    <row r="65" ht="0" hidden="1" customHeight="1">
      <c r="C65" s="114"/>
      <c r="D65" s="118"/>
      <c r="E65" s="118"/>
      <c r="F65" s="118"/>
      <c r="G65" s="118"/>
      <c r="H65" s="118"/>
      <c r="I65" s="711"/>
      <c r="J65" s="711"/>
      <c r="K65" s="711"/>
      <c r="L65" s="711"/>
      <c r="M65" s="711"/>
      <c r="N65" s="711"/>
      <c r="O65" s="113"/>
      <c r="AP65" s="213"/>
      <c r="AQ65" s="213"/>
      <c r="AR65" s="213"/>
      <c r="AS65" s="271"/>
      <c r="AT65" s="271"/>
      <c r="AU65" s="244"/>
      <c r="AV65" s="244"/>
      <c r="AW65" s="244"/>
      <c r="AX65" s="244"/>
      <c r="AY65" s="244"/>
      <c r="AZ65" s="244"/>
      <c r="BA65" s="244"/>
      <c r="BB65" s="244"/>
      <c r="BC65" s="244"/>
      <c r="BD65" s="244"/>
      <c r="BE65" s="244"/>
      <c r="BF65" s="244"/>
      <c r="BG65" s="244"/>
      <c r="BH65" s="244"/>
      <c r="BI65" s="244"/>
      <c r="BJ65" s="244"/>
      <c r="BK65" s="244"/>
      <c r="BL65" s="244"/>
      <c r="BM65" s="244"/>
      <c r="BN65" s="244"/>
      <c r="BO65" s="244"/>
      <c r="BP65" s="244"/>
      <c r="BQ65" s="244"/>
      <c r="BR65" s="244"/>
      <c r="BS65" s="244"/>
      <c r="BT65" s="244"/>
      <c r="BU65" s="244"/>
      <c r="BV65" s="244"/>
      <c r="BW65" s="244"/>
      <c r="BX65" s="244"/>
      <c r="BY65" s="244"/>
      <c r="BZ65" s="244"/>
      <c r="CA65" s="244"/>
      <c r="CB65" s="244"/>
      <c r="CC65" s="244"/>
      <c r="CD65" s="244"/>
      <c r="CE65" s="244"/>
      <c r="CF65" s="244"/>
    </row>
    <row r="66" ht="0" hidden="1" customHeight="1">
      <c r="C66" s="114"/>
      <c r="D66" s="118"/>
      <c r="E66" s="118"/>
      <c r="F66" s="118"/>
      <c r="G66" s="118"/>
      <c r="H66" s="118"/>
      <c r="I66" s="711"/>
      <c r="J66" s="711"/>
      <c r="K66" s="711"/>
      <c r="L66" s="711"/>
      <c r="M66" s="711"/>
      <c r="N66" s="711"/>
      <c r="O66" s="113"/>
      <c r="AP66" s="213"/>
      <c r="AQ66" s="213"/>
      <c r="AR66" s="213"/>
      <c r="AS66" s="271"/>
      <c r="AT66" s="271"/>
      <c r="AU66" s="244"/>
      <c r="AV66" s="244"/>
      <c r="AW66" s="244"/>
      <c r="AX66" s="244"/>
      <c r="AY66" s="244"/>
      <c r="AZ66" s="244"/>
      <c r="BA66" s="244"/>
      <c r="BB66" s="244"/>
      <c r="BC66" s="244"/>
      <c r="BD66" s="244"/>
      <c r="BE66" s="244"/>
      <c r="BF66" s="244"/>
      <c r="BG66" s="244"/>
      <c r="BH66" s="244"/>
      <c r="BI66" s="244"/>
      <c r="BJ66" s="244"/>
      <c r="BK66" s="244"/>
      <c r="BL66" s="244"/>
      <c r="BM66" s="244"/>
      <c r="BN66" s="244"/>
      <c r="BO66" s="244"/>
      <c r="BP66" s="244"/>
      <c r="BQ66" s="244"/>
      <c r="BR66" s="244"/>
      <c r="BS66" s="244"/>
      <c r="BT66" s="244"/>
      <c r="BU66" s="244"/>
      <c r="BV66" s="244"/>
      <c r="BW66" s="244"/>
      <c r="BX66" s="244"/>
      <c r="BY66" s="244"/>
      <c r="BZ66" s="244"/>
      <c r="CA66" s="244"/>
      <c r="CB66" s="244"/>
      <c r="CC66" s="244"/>
      <c r="CD66" s="244"/>
      <c r="CE66" s="244"/>
      <c r="CF66" s="244"/>
    </row>
    <row r="67" ht="0" hidden="1" customHeight="1">
      <c r="C67" s="114"/>
      <c r="D67" s="118"/>
      <c r="E67" s="118"/>
      <c r="F67" s="118"/>
      <c r="G67" s="118"/>
      <c r="H67" s="118"/>
      <c r="I67" s="711"/>
      <c r="J67" s="711"/>
      <c r="K67" s="711"/>
      <c r="L67" s="711"/>
      <c r="M67" s="711"/>
      <c r="N67" s="711"/>
      <c r="O67" s="113"/>
      <c r="AP67" s="213"/>
      <c r="AQ67" s="213"/>
      <c r="AR67" s="213"/>
      <c r="AS67" s="271"/>
      <c r="AT67" s="271"/>
      <c r="AU67" s="244"/>
      <c r="AV67" s="244"/>
      <c r="AW67" s="244"/>
      <c r="AX67" s="244"/>
      <c r="AY67" s="244"/>
      <c r="AZ67" s="244"/>
      <c r="BA67" s="244"/>
      <c r="BB67" s="244"/>
      <c r="BC67" s="244"/>
      <c r="BD67" s="244"/>
      <c r="BE67" s="244"/>
      <c r="BF67" s="244"/>
      <c r="BG67" s="244"/>
      <c r="BH67" s="244"/>
      <c r="BI67" s="244"/>
      <c r="BJ67" s="244"/>
      <c r="BK67" s="244"/>
      <c r="BL67" s="244"/>
      <c r="BM67" s="244"/>
      <c r="BN67" s="244"/>
      <c r="BO67" s="244"/>
      <c r="BP67" s="244"/>
      <c r="BQ67" s="244"/>
      <c r="BR67" s="244"/>
      <c r="BS67" s="244"/>
      <c r="BT67" s="244"/>
      <c r="BU67" s="244"/>
      <c r="BV67" s="244"/>
      <c r="BW67" s="244"/>
      <c r="BX67" s="244"/>
      <c r="BY67" s="244"/>
      <c r="BZ67" s="244"/>
      <c r="CA67" s="244"/>
      <c r="CB67" s="244"/>
      <c r="CC67" s="244"/>
      <c r="CD67" s="244"/>
      <c r="CE67" s="244"/>
      <c r="CF67" s="244"/>
    </row>
    <row r="68" ht="0" hidden="1" customHeight="1">
      <c r="C68" s="114"/>
      <c r="D68" s="118"/>
      <c r="E68" s="118"/>
      <c r="F68" s="118"/>
      <c r="G68" s="118"/>
      <c r="H68" s="118"/>
      <c r="I68" s="711"/>
      <c r="J68" s="711"/>
      <c r="K68" s="711"/>
      <c r="L68" s="711"/>
      <c r="M68" s="711"/>
      <c r="N68" s="711"/>
      <c r="O68" s="113"/>
      <c r="AP68" s="213"/>
      <c r="AQ68" s="213"/>
      <c r="AR68" s="213"/>
      <c r="AS68" s="271"/>
      <c r="AT68" s="271"/>
      <c r="AU68" s="244"/>
      <c r="AV68" s="244"/>
      <c r="AW68" s="244"/>
      <c r="AX68" s="244"/>
      <c r="AY68" s="244"/>
      <c r="AZ68" s="244"/>
      <c r="BA68" s="244"/>
      <c r="BB68" s="244"/>
      <c r="BC68" s="244"/>
      <c r="BD68" s="244"/>
      <c r="BE68" s="244"/>
      <c r="BF68" s="244"/>
      <c r="BG68" s="244"/>
      <c r="BH68" s="244"/>
      <c r="BI68" s="244"/>
      <c r="BJ68" s="244"/>
      <c r="BK68" s="244"/>
      <c r="BL68" s="244"/>
      <c r="BM68" s="244"/>
      <c r="BN68" s="244"/>
      <c r="BO68" s="244"/>
      <c r="BP68" s="244"/>
      <c r="BQ68" s="244"/>
      <c r="BR68" s="244"/>
      <c r="BS68" s="244"/>
      <c r="BT68" s="244"/>
      <c r="BU68" s="244"/>
      <c r="BV68" s="244"/>
      <c r="BW68" s="244"/>
      <c r="BX68" s="244"/>
      <c r="BY68" s="244"/>
      <c r="BZ68" s="244"/>
      <c r="CA68" s="244"/>
      <c r="CB68" s="244"/>
      <c r="CC68" s="244"/>
      <c r="CD68" s="244"/>
      <c r="CE68" s="244"/>
      <c r="CF68" s="244"/>
    </row>
    <row r="69" ht="0" hidden="1" customHeight="1">
      <c r="C69" s="114"/>
      <c r="D69" s="118"/>
      <c r="E69" s="118"/>
      <c r="F69" s="118"/>
      <c r="G69" s="118"/>
      <c r="H69" s="118"/>
      <c r="I69" s="711"/>
      <c r="J69" s="711"/>
      <c r="K69" s="711"/>
      <c r="L69" s="711"/>
      <c r="M69" s="711"/>
      <c r="N69" s="711"/>
      <c r="O69" s="113"/>
      <c r="AP69" s="213"/>
      <c r="AQ69" s="213"/>
      <c r="AR69" s="213"/>
      <c r="AS69" s="271"/>
      <c r="AT69" s="271"/>
      <c r="AU69" s="244"/>
      <c r="AV69" s="244"/>
      <c r="AW69" s="244"/>
      <c r="AX69" s="244"/>
      <c r="AY69" s="244"/>
      <c r="AZ69" s="244"/>
      <c r="BA69" s="244"/>
      <c r="BB69" s="244"/>
      <c r="BC69" s="244"/>
      <c r="BD69" s="244"/>
      <c r="BE69" s="244"/>
      <c r="BF69" s="244"/>
      <c r="BG69" s="244"/>
      <c r="BH69" s="244"/>
      <c r="BI69" s="244"/>
      <c r="BJ69" s="244"/>
      <c r="BK69" s="244"/>
      <c r="BL69" s="244"/>
      <c r="BM69" s="244"/>
      <c r="BN69" s="244"/>
      <c r="BO69" s="244"/>
      <c r="BP69" s="244"/>
      <c r="BQ69" s="244"/>
      <c r="BR69" s="244"/>
      <c r="BS69" s="244"/>
      <c r="BT69" s="244"/>
      <c r="BU69" s="244"/>
      <c r="BV69" s="244"/>
      <c r="BW69" s="244"/>
      <c r="BX69" s="244"/>
      <c r="BY69" s="244"/>
      <c r="BZ69" s="244"/>
      <c r="CA69" s="244"/>
      <c r="CB69" s="244"/>
      <c r="CC69" s="244"/>
      <c r="CD69" s="244"/>
      <c r="CE69" s="244"/>
      <c r="CF69" s="244"/>
    </row>
    <row r="70" ht="0" hidden="1" customHeight="1">
      <c r="C70" s="114"/>
      <c r="D70" s="118"/>
      <c r="E70" s="118"/>
      <c r="F70" s="118"/>
      <c r="G70" s="118"/>
      <c r="H70" s="118"/>
      <c r="I70" s="711"/>
      <c r="J70" s="711"/>
      <c r="K70" s="711"/>
      <c r="L70" s="711"/>
      <c r="M70" s="711"/>
      <c r="N70" s="711"/>
      <c r="O70" s="113"/>
      <c r="AP70" s="213"/>
      <c r="AQ70" s="213"/>
      <c r="AR70" s="213"/>
      <c r="AS70" s="271"/>
      <c r="AT70" s="271"/>
      <c r="AU70" s="244"/>
      <c r="AV70" s="244"/>
      <c r="AW70" s="244"/>
      <c r="AX70" s="244"/>
      <c r="AY70" s="244"/>
      <c r="AZ70" s="244"/>
      <c r="BA70" s="244"/>
      <c r="BB70" s="244"/>
      <c r="BC70" s="244"/>
      <c r="BD70" s="244"/>
      <c r="BE70" s="244"/>
      <c r="BF70" s="244"/>
      <c r="BG70" s="244"/>
      <c r="BH70" s="244"/>
      <c r="BI70" s="244"/>
      <c r="BJ70" s="244"/>
      <c r="BK70" s="244"/>
      <c r="BL70" s="244"/>
      <c r="BM70" s="244"/>
      <c r="BN70" s="244"/>
      <c r="BO70" s="244"/>
      <c r="BP70" s="244"/>
      <c r="BQ70" s="244"/>
      <c r="BR70" s="244"/>
      <c r="BS70" s="244"/>
      <c r="BT70" s="244"/>
      <c r="BU70" s="244"/>
      <c r="BV70" s="244"/>
      <c r="BW70" s="244"/>
      <c r="BX70" s="244"/>
      <c r="BY70" s="244"/>
      <c r="BZ70" s="244"/>
      <c r="CA70" s="244"/>
      <c r="CB70" s="244"/>
      <c r="CC70" s="244"/>
      <c r="CD70" s="244"/>
      <c r="CE70" s="244"/>
      <c r="CF70" s="244"/>
    </row>
    <row r="71" ht="0" hidden="1" customHeight="1">
      <c r="C71" s="114"/>
      <c r="D71" s="118"/>
      <c r="E71" s="118"/>
      <c r="F71" s="118"/>
      <c r="G71" s="118"/>
      <c r="H71" s="118"/>
      <c r="I71" s="711"/>
      <c r="J71" s="711"/>
      <c r="K71" s="711"/>
      <c r="L71" s="711"/>
      <c r="M71" s="711"/>
      <c r="N71" s="711"/>
      <c r="O71" s="113"/>
      <c r="AP71" s="213"/>
      <c r="AQ71" s="213"/>
      <c r="AR71" s="213"/>
      <c r="AS71" s="271"/>
      <c r="AT71" s="271"/>
      <c r="AU71" s="244"/>
      <c r="AV71" s="244"/>
      <c r="AW71" s="244"/>
      <c r="AX71" s="244"/>
      <c r="AY71" s="244"/>
      <c r="AZ71" s="244"/>
      <c r="BA71" s="244"/>
      <c r="BB71" s="244"/>
      <c r="BC71" s="244"/>
      <c r="BD71" s="244"/>
      <c r="BE71" s="244"/>
      <c r="BF71" s="244"/>
      <c r="BG71" s="244"/>
      <c r="BH71" s="244"/>
      <c r="BI71" s="244"/>
      <c r="BJ71" s="244"/>
      <c r="BK71" s="244"/>
      <c r="BL71" s="244"/>
      <c r="BM71" s="244"/>
      <c r="BN71" s="244"/>
      <c r="BO71" s="244"/>
      <c r="BP71" s="244"/>
      <c r="BQ71" s="244"/>
      <c r="BR71" s="244"/>
      <c r="BS71" s="244"/>
      <c r="BT71" s="244"/>
      <c r="BU71" s="244"/>
      <c r="BV71" s="244"/>
      <c r="BW71" s="244"/>
      <c r="BX71" s="244"/>
      <c r="BY71" s="244"/>
      <c r="BZ71" s="244"/>
      <c r="CA71" s="244"/>
      <c r="CB71" s="244"/>
      <c r="CC71" s="244"/>
      <c r="CD71" s="244"/>
      <c r="CE71" s="244"/>
      <c r="CF71" s="244"/>
    </row>
    <row r="72" ht="0" hidden="1" customHeight="1">
      <c r="C72" s="114"/>
      <c r="D72" s="118"/>
      <c r="E72" s="118"/>
      <c r="F72" s="118"/>
      <c r="G72" s="118"/>
      <c r="H72" s="118"/>
      <c r="I72" s="711"/>
      <c r="J72" s="711"/>
      <c r="K72" s="711"/>
      <c r="L72" s="711"/>
      <c r="M72" s="711"/>
      <c r="N72" s="711"/>
      <c r="O72" s="113"/>
      <c r="AP72" s="213"/>
      <c r="AQ72" s="213"/>
      <c r="AR72" s="213"/>
      <c r="AS72" s="271"/>
      <c r="AT72" s="271"/>
      <c r="AU72" s="244"/>
      <c r="AV72" s="244"/>
      <c r="AW72" s="244"/>
      <c r="AX72" s="244"/>
      <c r="AY72" s="244"/>
      <c r="AZ72" s="244"/>
      <c r="BA72" s="244"/>
      <c r="BB72" s="244"/>
      <c r="BC72" s="244"/>
      <c r="BD72" s="244"/>
      <c r="BE72" s="244"/>
      <c r="BF72" s="244"/>
      <c r="BG72" s="244"/>
      <c r="BH72" s="244"/>
      <c r="BI72" s="244"/>
      <c r="BJ72" s="244"/>
      <c r="BK72" s="244"/>
      <c r="BL72" s="244"/>
      <c r="BM72" s="244"/>
      <c r="BN72" s="244"/>
      <c r="BO72" s="244"/>
      <c r="BP72" s="244"/>
      <c r="BQ72" s="244"/>
      <c r="BR72" s="244"/>
      <c r="BS72" s="244"/>
      <c r="BT72" s="244"/>
      <c r="BU72" s="244"/>
      <c r="BV72" s="244"/>
      <c r="BW72" s="244"/>
      <c r="BX72" s="244"/>
      <c r="BY72" s="244"/>
      <c r="BZ72" s="244"/>
      <c r="CA72" s="244"/>
      <c r="CB72" s="244"/>
      <c r="CC72" s="244"/>
      <c r="CD72" s="244"/>
      <c r="CE72" s="244"/>
      <c r="CF72" s="244"/>
    </row>
    <row r="73" ht="0" hidden="1" customHeight="1">
      <c r="C73" s="114"/>
      <c r="D73" s="118"/>
      <c r="E73" s="118"/>
      <c r="F73" s="118"/>
      <c r="G73" s="118"/>
      <c r="H73" s="118"/>
      <c r="I73" s="711"/>
      <c r="J73" s="711"/>
      <c r="K73" s="711"/>
      <c r="L73" s="711"/>
      <c r="M73" s="711"/>
      <c r="N73" s="711"/>
      <c r="O73" s="113"/>
      <c r="AP73" s="213"/>
      <c r="AQ73" s="213"/>
      <c r="AR73" s="213"/>
      <c r="AS73" s="271"/>
      <c r="AT73" s="271"/>
      <c r="AU73" s="244"/>
      <c r="AV73" s="244"/>
      <c r="AW73" s="244"/>
      <c r="AX73" s="244"/>
      <c r="AY73" s="244"/>
      <c r="AZ73" s="244"/>
      <c r="BA73" s="244"/>
      <c r="BB73" s="244"/>
      <c r="BC73" s="244"/>
      <c r="BD73" s="244"/>
      <c r="BE73" s="244"/>
      <c r="BF73" s="244"/>
      <c r="BG73" s="244"/>
      <c r="BH73" s="244"/>
      <c r="BI73" s="244"/>
      <c r="BJ73" s="244"/>
      <c r="BK73" s="244"/>
      <c r="BL73" s="244"/>
      <c r="BM73" s="244"/>
      <c r="BN73" s="244"/>
      <c r="BO73" s="244"/>
      <c r="BP73" s="244"/>
      <c r="BQ73" s="244"/>
      <c r="BR73" s="244"/>
      <c r="BS73" s="244"/>
      <c r="BT73" s="244"/>
      <c r="BU73" s="244"/>
      <c r="BV73" s="244"/>
      <c r="BW73" s="244"/>
      <c r="BX73" s="244"/>
      <c r="BY73" s="244"/>
      <c r="BZ73" s="244"/>
      <c r="CA73" s="244"/>
      <c r="CB73" s="244"/>
      <c r="CC73" s="244"/>
      <c r="CD73" s="244"/>
      <c r="CE73" s="244"/>
      <c r="CF73" s="244"/>
    </row>
    <row r="74" ht="0" hidden="1" customHeight="1">
      <c r="C74" s="114"/>
      <c r="D74" s="118"/>
      <c r="E74" s="118"/>
      <c r="F74" s="118"/>
      <c r="G74" s="118"/>
      <c r="H74" s="118"/>
      <c r="I74" s="711"/>
      <c r="J74" s="711"/>
      <c r="K74" s="711"/>
      <c r="L74" s="711"/>
      <c r="M74" s="711"/>
      <c r="N74" s="711"/>
      <c r="O74" s="113"/>
      <c r="AP74" s="213"/>
      <c r="AQ74" s="213"/>
      <c r="AR74" s="213"/>
      <c r="AS74" s="271"/>
      <c r="AT74" s="271"/>
      <c r="AU74" s="244"/>
      <c r="AV74" s="244"/>
      <c r="AW74" s="244"/>
      <c r="AX74" s="244"/>
      <c r="AY74" s="244"/>
      <c r="AZ74" s="244"/>
      <c r="BA74" s="244"/>
      <c r="BB74" s="244"/>
      <c r="BC74" s="244"/>
      <c r="BD74" s="244"/>
      <c r="BE74" s="244"/>
      <c r="BF74" s="244"/>
      <c r="BG74" s="244"/>
      <c r="BH74" s="244"/>
      <c r="BI74" s="244"/>
      <c r="BJ74" s="244"/>
      <c r="BK74" s="244"/>
      <c r="BL74" s="244"/>
      <c r="BM74" s="244"/>
      <c r="BN74" s="244"/>
      <c r="BO74" s="244"/>
      <c r="BP74" s="244"/>
      <c r="BQ74" s="244"/>
      <c r="BR74" s="244"/>
      <c r="BS74" s="244"/>
      <c r="BT74" s="244"/>
      <c r="BU74" s="244"/>
      <c r="BV74" s="244"/>
      <c r="BW74" s="244"/>
      <c r="BX74" s="244"/>
      <c r="BY74" s="244"/>
      <c r="BZ74" s="244"/>
      <c r="CA74" s="244"/>
      <c r="CB74" s="244"/>
      <c r="CC74" s="244"/>
      <c r="CD74" s="244"/>
      <c r="CE74" s="244"/>
      <c r="CF74" s="244"/>
    </row>
    <row r="75" ht="0" hidden="1" customHeight="1">
      <c r="C75" s="114"/>
      <c r="D75" s="118"/>
      <c r="E75" s="118"/>
      <c r="F75" s="118"/>
      <c r="G75" s="118"/>
      <c r="H75" s="118"/>
      <c r="I75" s="711"/>
      <c r="J75" s="711"/>
      <c r="K75" s="711"/>
      <c r="L75" s="711"/>
      <c r="M75" s="711"/>
      <c r="N75" s="711"/>
      <c r="O75" s="113"/>
      <c r="AP75" s="213"/>
      <c r="AQ75" s="213"/>
      <c r="AR75" s="213"/>
      <c r="AS75" s="271"/>
      <c r="AT75" s="271"/>
      <c r="AU75" s="244"/>
      <c r="AV75" s="244"/>
      <c r="AW75" s="244"/>
      <c r="AX75" s="244"/>
      <c r="AY75" s="244"/>
      <c r="AZ75" s="244"/>
      <c r="BA75" s="244"/>
      <c r="BB75" s="244"/>
      <c r="BC75" s="244"/>
      <c r="BD75" s="244"/>
      <c r="BE75" s="244"/>
      <c r="BF75" s="244"/>
      <c r="BG75" s="244"/>
      <c r="BH75" s="244"/>
      <c r="BI75" s="244"/>
      <c r="BJ75" s="244"/>
      <c r="BK75" s="244"/>
      <c r="BL75" s="244"/>
      <c r="BM75" s="244"/>
      <c r="BN75" s="244"/>
      <c r="BO75" s="244"/>
      <c r="BP75" s="244"/>
      <c r="BQ75" s="244"/>
      <c r="BR75" s="244"/>
      <c r="BS75" s="244"/>
      <c r="BT75" s="244"/>
      <c r="BU75" s="244"/>
      <c r="BV75" s="244"/>
      <c r="BW75" s="244"/>
      <c r="BX75" s="244"/>
      <c r="BY75" s="244"/>
      <c r="BZ75" s="244"/>
      <c r="CA75" s="244"/>
      <c r="CB75" s="244"/>
      <c r="CC75" s="244"/>
      <c r="CD75" s="244"/>
      <c r="CE75" s="244"/>
      <c r="CF75" s="244"/>
    </row>
    <row r="76" ht="0" hidden="1" customHeight="1">
      <c r="C76" s="114"/>
      <c r="D76" s="118"/>
      <c r="E76" s="118"/>
      <c r="F76" s="118"/>
      <c r="G76" s="118"/>
      <c r="H76" s="118"/>
      <c r="I76" s="711"/>
      <c r="J76" s="711"/>
      <c r="K76" s="711"/>
      <c r="L76" s="711"/>
      <c r="M76" s="711"/>
      <c r="N76" s="711"/>
      <c r="O76" s="113"/>
      <c r="AP76" s="213"/>
      <c r="AQ76" s="213"/>
      <c r="AR76" s="213"/>
      <c r="AS76" s="271"/>
      <c r="AT76" s="271"/>
      <c r="AU76" s="244"/>
      <c r="AV76" s="244"/>
      <c r="AW76" s="244"/>
      <c r="AX76" s="244"/>
      <c r="AY76" s="244"/>
      <c r="AZ76" s="244"/>
      <c r="BA76" s="244"/>
      <c r="BB76" s="244"/>
      <c r="BC76" s="244"/>
      <c r="BD76" s="244"/>
      <c r="BE76" s="244"/>
      <c r="BF76" s="244"/>
      <c r="BG76" s="244"/>
      <c r="BH76" s="244"/>
      <c r="BI76" s="244"/>
      <c r="BJ76" s="244"/>
      <c r="BK76" s="244"/>
      <c r="BL76" s="244"/>
      <c r="BM76" s="244"/>
      <c r="BN76" s="244"/>
      <c r="BO76" s="244"/>
      <c r="BP76" s="244"/>
      <c r="BQ76" s="244"/>
      <c r="BR76" s="244"/>
      <c r="BS76" s="244"/>
      <c r="BT76" s="244"/>
      <c r="BU76" s="244"/>
      <c r="BV76" s="244"/>
      <c r="BW76" s="244"/>
      <c r="BX76" s="244"/>
      <c r="BY76" s="244"/>
      <c r="BZ76" s="244"/>
      <c r="CA76" s="244"/>
      <c r="CB76" s="244"/>
      <c r="CC76" s="244"/>
      <c r="CD76" s="244"/>
      <c r="CE76" s="244"/>
      <c r="CF76" s="244"/>
    </row>
    <row r="77" ht="0" hidden="1" customHeight="1">
      <c r="C77" s="114"/>
      <c r="D77" s="118"/>
      <c r="E77" s="118"/>
      <c r="F77" s="118"/>
      <c r="G77" s="118"/>
      <c r="H77" s="118"/>
      <c r="I77" s="711"/>
      <c r="J77" s="711"/>
      <c r="K77" s="711"/>
      <c r="L77" s="711"/>
      <c r="M77" s="711"/>
      <c r="N77" s="711"/>
      <c r="O77" s="113"/>
      <c r="AP77" s="213"/>
      <c r="AQ77" s="213"/>
      <c r="AR77" s="213"/>
      <c r="AS77" s="271"/>
      <c r="AT77" s="271"/>
      <c r="AU77" s="244"/>
      <c r="AV77" s="244"/>
      <c r="AW77" s="244"/>
      <c r="AX77" s="244"/>
      <c r="AY77" s="244"/>
      <c r="AZ77" s="244"/>
      <c r="BA77" s="244"/>
      <c r="BB77" s="244"/>
      <c r="BC77" s="244"/>
      <c r="BD77" s="244"/>
      <c r="BE77" s="244"/>
      <c r="BF77" s="244"/>
      <c r="BG77" s="244"/>
      <c r="BH77" s="244"/>
      <c r="BI77" s="244"/>
      <c r="BJ77" s="244"/>
      <c r="BK77" s="244"/>
      <c r="BL77" s="244"/>
      <c r="BM77" s="244"/>
      <c r="BN77" s="244"/>
      <c r="BO77" s="244"/>
      <c r="BP77" s="244"/>
      <c r="BQ77" s="244"/>
      <c r="BR77" s="244"/>
      <c r="BS77" s="244"/>
      <c r="BT77" s="244"/>
      <c r="BU77" s="244"/>
      <c r="BV77" s="244"/>
      <c r="BW77" s="244"/>
      <c r="BX77" s="244"/>
      <c r="BY77" s="244"/>
      <c r="BZ77" s="244"/>
      <c r="CA77" s="244"/>
      <c r="CB77" s="244"/>
      <c r="CC77" s="244"/>
      <c r="CD77" s="244"/>
      <c r="CE77" s="244"/>
      <c r="CF77" s="244"/>
    </row>
    <row r="78" ht="0" hidden="1" customHeight="1">
      <c r="C78" s="114"/>
      <c r="D78" s="118"/>
      <c r="E78" s="118"/>
      <c r="F78" s="118"/>
      <c r="G78" s="118"/>
      <c r="H78" s="118"/>
      <c r="I78" s="711"/>
      <c r="J78" s="711"/>
      <c r="K78" s="711"/>
      <c r="L78" s="711"/>
      <c r="M78" s="711"/>
      <c r="N78" s="711"/>
      <c r="O78" s="113"/>
      <c r="AP78" s="213"/>
      <c r="AQ78" s="213"/>
      <c r="AR78" s="213"/>
      <c r="AS78" s="271"/>
      <c r="AT78" s="271"/>
      <c r="AU78" s="244"/>
      <c r="AV78" s="244"/>
      <c r="AW78" s="244"/>
      <c r="AX78" s="244"/>
      <c r="AY78" s="244"/>
      <c r="AZ78" s="244"/>
      <c r="BA78" s="244"/>
      <c r="BB78" s="244"/>
      <c r="BC78" s="244"/>
      <c r="BD78" s="244"/>
      <c r="BE78" s="244"/>
      <c r="BF78" s="244"/>
      <c r="BG78" s="244"/>
      <c r="BH78" s="244"/>
      <c r="BI78" s="244"/>
      <c r="BJ78" s="244"/>
      <c r="BK78" s="244"/>
      <c r="BL78" s="244"/>
      <c r="BM78" s="244"/>
      <c r="BN78" s="244"/>
      <c r="BO78" s="244"/>
      <c r="BP78" s="244"/>
      <c r="BQ78" s="244"/>
      <c r="BR78" s="244"/>
      <c r="BS78" s="244"/>
      <c r="BT78" s="244"/>
      <c r="BU78" s="244"/>
      <c r="BV78" s="244"/>
      <c r="BW78" s="244"/>
      <c r="BX78" s="244"/>
      <c r="BY78" s="244"/>
      <c r="BZ78" s="244"/>
      <c r="CA78" s="244"/>
      <c r="CB78" s="244"/>
      <c r="CC78" s="244"/>
      <c r="CD78" s="244"/>
      <c r="CE78" s="244"/>
      <c r="CF78" s="244"/>
    </row>
    <row r="79" ht="0" hidden="1" customHeight="1">
      <c r="C79" s="114"/>
      <c r="D79" s="118"/>
      <c r="E79" s="118"/>
      <c r="F79" s="118"/>
      <c r="G79" s="118"/>
      <c r="H79" s="118"/>
      <c r="I79" s="711"/>
      <c r="J79" s="711"/>
      <c r="K79" s="711"/>
      <c r="L79" s="711"/>
      <c r="M79" s="711"/>
      <c r="N79" s="711"/>
      <c r="O79" s="113"/>
      <c r="AP79" s="213"/>
      <c r="AQ79" s="213"/>
      <c r="AR79" s="213"/>
      <c r="AS79" s="271"/>
      <c r="AT79" s="271"/>
      <c r="AU79" s="244"/>
      <c r="AV79" s="244"/>
      <c r="AW79" s="244"/>
      <c r="AX79" s="244"/>
      <c r="AY79" s="244"/>
      <c r="AZ79" s="244"/>
      <c r="BA79" s="244"/>
      <c r="BB79" s="244"/>
      <c r="BC79" s="244"/>
      <c r="BD79" s="244"/>
      <c r="BE79" s="244"/>
      <c r="BF79" s="244"/>
      <c r="BG79" s="244"/>
      <c r="BH79" s="244"/>
      <c r="BI79" s="244"/>
      <c r="BJ79" s="244"/>
      <c r="BK79" s="244"/>
      <c r="BL79" s="244"/>
      <c r="BM79" s="244"/>
      <c r="BN79" s="244"/>
      <c r="BO79" s="244"/>
      <c r="BP79" s="244"/>
      <c r="BQ79" s="244"/>
      <c r="BR79" s="244"/>
      <c r="BS79" s="244"/>
      <c r="BT79" s="244"/>
      <c r="BU79" s="244"/>
      <c r="BV79" s="244"/>
      <c r="BW79" s="244"/>
      <c r="BX79" s="244"/>
      <c r="BY79" s="244"/>
      <c r="BZ79" s="244"/>
      <c r="CA79" s="244"/>
      <c r="CB79" s="244"/>
      <c r="CC79" s="244"/>
      <c r="CD79" s="244"/>
      <c r="CE79" s="244"/>
      <c r="CF79" s="244"/>
    </row>
    <row r="80" ht="0" hidden="1" customHeight="1">
      <c r="C80" s="114"/>
      <c r="D80" s="118"/>
      <c r="E80" s="118"/>
      <c r="F80" s="118"/>
      <c r="G80" s="118"/>
      <c r="H80" s="118"/>
      <c r="I80" s="711"/>
      <c r="J80" s="711"/>
      <c r="K80" s="711"/>
      <c r="L80" s="711"/>
      <c r="M80" s="711"/>
      <c r="N80" s="711"/>
      <c r="O80" s="113"/>
      <c r="AP80" s="213"/>
      <c r="AQ80" s="213"/>
      <c r="AR80" s="213"/>
      <c r="AS80" s="271"/>
      <c r="AT80" s="271"/>
      <c r="AU80" s="244"/>
      <c r="AV80" s="244"/>
      <c r="AW80" s="244"/>
      <c r="AX80" s="244"/>
      <c r="AY80" s="244"/>
      <c r="AZ80" s="244"/>
      <c r="BA80" s="244"/>
      <c r="BB80" s="244"/>
      <c r="BC80" s="244"/>
      <c r="BD80" s="244"/>
      <c r="BE80" s="244"/>
      <c r="BF80" s="244"/>
      <c r="BG80" s="244"/>
      <c r="BH80" s="244"/>
      <c r="BI80" s="244"/>
      <c r="BJ80" s="244"/>
      <c r="BK80" s="244"/>
      <c r="BL80" s="244"/>
      <c r="BM80" s="244"/>
      <c r="BN80" s="244"/>
      <c r="BO80" s="244"/>
      <c r="BP80" s="244"/>
      <c r="BQ80" s="244"/>
      <c r="BR80" s="244"/>
      <c r="BS80" s="244"/>
      <c r="BT80" s="244"/>
      <c r="BU80" s="244"/>
      <c r="BV80" s="244"/>
      <c r="BW80" s="244"/>
      <c r="BX80" s="244"/>
      <c r="BY80" s="244"/>
      <c r="BZ80" s="244"/>
      <c r="CA80" s="244"/>
      <c r="CB80" s="244"/>
      <c r="CC80" s="244"/>
      <c r="CD80" s="244"/>
      <c r="CE80" s="244"/>
      <c r="CF80" s="244"/>
    </row>
    <row r="81" ht="0" hidden="1" customHeight="1">
      <c r="C81" s="114"/>
      <c r="D81" s="118"/>
      <c r="E81" s="118"/>
      <c r="F81" s="118"/>
      <c r="G81" s="118"/>
      <c r="H81" s="118"/>
      <c r="I81" s="711"/>
      <c r="J81" s="711"/>
      <c r="K81" s="711"/>
      <c r="L81" s="711"/>
      <c r="M81" s="711"/>
      <c r="N81" s="711"/>
      <c r="O81" s="113"/>
      <c r="AP81" s="213"/>
      <c r="AQ81" s="213"/>
      <c r="AR81" s="213"/>
      <c r="AS81" s="271"/>
      <c r="AT81" s="271"/>
      <c r="AU81" s="244"/>
      <c r="AV81" s="244"/>
      <c r="AW81" s="244"/>
      <c r="AX81" s="244"/>
      <c r="AY81" s="244"/>
      <c r="AZ81" s="244"/>
      <c r="BA81" s="244"/>
      <c r="BB81" s="244"/>
      <c r="BC81" s="244"/>
      <c r="BD81" s="244"/>
      <c r="BE81" s="244"/>
      <c r="BF81" s="244"/>
      <c r="BG81" s="244"/>
      <c r="BH81" s="244"/>
      <c r="BI81" s="244"/>
      <c r="BJ81" s="244"/>
      <c r="BK81" s="244"/>
      <c r="BL81" s="244"/>
      <c r="BM81" s="244"/>
      <c r="BN81" s="244"/>
      <c r="BO81" s="244"/>
      <c r="BP81" s="244"/>
      <c r="BQ81" s="244"/>
      <c r="BR81" s="244"/>
      <c r="BS81" s="244"/>
      <c r="BT81" s="244"/>
      <c r="BU81" s="244"/>
      <c r="BV81" s="244"/>
      <c r="BW81" s="244"/>
      <c r="BX81" s="244"/>
      <c r="BY81" s="244"/>
      <c r="BZ81" s="244"/>
      <c r="CA81" s="244"/>
      <c r="CB81" s="244"/>
      <c r="CC81" s="244"/>
      <c r="CD81" s="244"/>
      <c r="CE81" s="244"/>
      <c r="CF81" s="244"/>
    </row>
    <row r="82" ht="0" hidden="1" customHeight="1">
      <c r="C82" s="114"/>
      <c r="D82" s="118"/>
      <c r="E82" s="118"/>
      <c r="F82" s="118"/>
      <c r="G82" s="118"/>
      <c r="H82" s="118"/>
      <c r="I82" s="711"/>
      <c r="J82" s="711"/>
      <c r="K82" s="711"/>
      <c r="L82" s="711"/>
      <c r="M82" s="711"/>
      <c r="N82" s="711"/>
      <c r="O82" s="113"/>
      <c r="AP82" s="213"/>
      <c r="AQ82" s="213"/>
      <c r="AR82" s="213"/>
      <c r="AS82" s="271"/>
      <c r="AT82" s="271"/>
      <c r="AU82" s="244"/>
      <c r="AV82" s="244"/>
      <c r="AW82" s="244"/>
      <c r="AX82" s="244"/>
      <c r="AY82" s="244"/>
      <c r="AZ82" s="244"/>
      <c r="BA82" s="244"/>
      <c r="BB82" s="244"/>
      <c r="BC82" s="244"/>
      <c r="BD82" s="244"/>
      <c r="BE82" s="244"/>
      <c r="BF82" s="244"/>
      <c r="BG82" s="244"/>
      <c r="BH82" s="244"/>
      <c r="BI82" s="244"/>
      <c r="BJ82" s="244"/>
      <c r="BK82" s="244"/>
      <c r="BL82" s="244"/>
      <c r="BM82" s="244"/>
      <c r="BN82" s="244"/>
      <c r="BO82" s="244"/>
      <c r="BP82" s="244"/>
      <c r="BQ82" s="244"/>
      <c r="BR82" s="244"/>
      <c r="BS82" s="244"/>
      <c r="BT82" s="244"/>
      <c r="BU82" s="244"/>
      <c r="BV82" s="244"/>
      <c r="BW82" s="244"/>
      <c r="BX82" s="244"/>
      <c r="BY82" s="244"/>
      <c r="BZ82" s="244"/>
      <c r="CA82" s="244"/>
      <c r="CB82" s="244"/>
      <c r="CC82" s="244"/>
      <c r="CD82" s="244"/>
      <c r="CE82" s="244"/>
      <c r="CF82" s="244"/>
    </row>
    <row r="83" ht="0" hidden="1" customHeight="1">
      <c r="C83" s="114"/>
      <c r="D83" s="118"/>
      <c r="E83" s="118"/>
      <c r="F83" s="118"/>
      <c r="G83" s="118"/>
      <c r="H83" s="118"/>
      <c r="I83" s="711"/>
      <c r="J83" s="711"/>
      <c r="K83" s="711"/>
      <c r="L83" s="711"/>
      <c r="M83" s="711"/>
      <c r="N83" s="711"/>
      <c r="O83" s="113"/>
      <c r="AP83" s="213"/>
      <c r="AQ83" s="213"/>
      <c r="AR83" s="213"/>
      <c r="AS83" s="271"/>
      <c r="AT83" s="271"/>
      <c r="AU83" s="244"/>
      <c r="AV83" s="244"/>
      <c r="AW83" s="244"/>
      <c r="AX83" s="244"/>
      <c r="AY83" s="244"/>
      <c r="AZ83" s="244"/>
      <c r="BA83" s="244"/>
      <c r="BB83" s="244"/>
      <c r="BC83" s="244"/>
      <c r="BD83" s="244"/>
      <c r="BE83" s="244"/>
      <c r="BF83" s="244"/>
      <c r="BG83" s="244"/>
      <c r="BH83" s="244"/>
      <c r="BI83" s="244"/>
      <c r="BJ83" s="244"/>
      <c r="BK83" s="244"/>
      <c r="BL83" s="244"/>
      <c r="BM83" s="244"/>
      <c r="BN83" s="244"/>
      <c r="BO83" s="244"/>
      <c r="BP83" s="244"/>
      <c r="BQ83" s="244"/>
      <c r="BR83" s="244"/>
      <c r="BS83" s="244"/>
      <c r="BT83" s="244"/>
      <c r="BU83" s="244"/>
      <c r="BV83" s="244"/>
      <c r="BW83" s="244"/>
      <c r="BX83" s="244"/>
      <c r="BY83" s="244"/>
      <c r="BZ83" s="244"/>
      <c r="CA83" s="244"/>
      <c r="CB83" s="244"/>
      <c r="CC83" s="244"/>
      <c r="CD83" s="244"/>
      <c r="CE83" s="244"/>
      <c r="CF83" s="244"/>
    </row>
    <row r="84" ht="0" hidden="1" customHeight="1">
      <c r="C84" s="114"/>
      <c r="D84" s="118"/>
      <c r="E84" s="118"/>
      <c r="F84" s="118"/>
      <c r="G84" s="118"/>
      <c r="H84" s="118"/>
      <c r="I84" s="711"/>
      <c r="J84" s="711"/>
      <c r="K84" s="711"/>
      <c r="L84" s="711"/>
      <c r="M84" s="711"/>
      <c r="N84" s="711"/>
      <c r="O84" s="113"/>
      <c r="AP84" s="213"/>
      <c r="AQ84" s="213"/>
      <c r="AR84" s="213"/>
      <c r="AS84" s="271"/>
      <c r="AT84" s="271"/>
      <c r="AU84" s="244"/>
      <c r="AV84" s="244"/>
      <c r="AW84" s="244"/>
      <c r="AX84" s="244"/>
      <c r="AY84" s="244"/>
      <c r="AZ84" s="244"/>
      <c r="BA84" s="244"/>
      <c r="BB84" s="244"/>
      <c r="BC84" s="244"/>
      <c r="BD84" s="244"/>
      <c r="BE84" s="244"/>
      <c r="BF84" s="244"/>
      <c r="BG84" s="244"/>
      <c r="BH84" s="244"/>
      <c r="BI84" s="244"/>
      <c r="BJ84" s="244"/>
      <c r="BK84" s="244"/>
      <c r="BL84" s="244"/>
      <c r="BM84" s="244"/>
      <c r="BN84" s="244"/>
      <c r="BO84" s="244"/>
      <c r="BP84" s="244"/>
      <c r="BQ84" s="244"/>
      <c r="BR84" s="244"/>
      <c r="BS84" s="244"/>
      <c r="BT84" s="244"/>
      <c r="BU84" s="244"/>
      <c r="BV84" s="244"/>
      <c r="BW84" s="244"/>
      <c r="BX84" s="244"/>
      <c r="BY84" s="244"/>
      <c r="BZ84" s="244"/>
      <c r="CA84" s="244"/>
      <c r="CB84" s="244"/>
      <c r="CC84" s="244"/>
      <c r="CD84" s="244"/>
      <c r="CE84" s="244"/>
      <c r="CF84" s="244"/>
    </row>
    <row r="85" ht="0" hidden="1" customHeight="1">
      <c r="C85" s="114"/>
      <c r="D85" s="118"/>
      <c r="E85" s="118"/>
      <c r="F85" s="118"/>
      <c r="G85" s="118"/>
      <c r="H85" s="118"/>
      <c r="I85" s="711"/>
      <c r="J85" s="711"/>
      <c r="K85" s="711"/>
      <c r="L85" s="711"/>
      <c r="M85" s="711"/>
      <c r="N85" s="711"/>
      <c r="O85" s="113"/>
      <c r="AP85" s="213"/>
      <c r="AQ85" s="213"/>
      <c r="AR85" s="213"/>
      <c r="AS85" s="271"/>
      <c r="AT85" s="271"/>
      <c r="AU85" s="244"/>
      <c r="AV85" s="244"/>
      <c r="AW85" s="244"/>
      <c r="AX85" s="244"/>
      <c r="AY85" s="244"/>
      <c r="AZ85" s="244"/>
      <c r="BA85" s="244"/>
      <c r="BB85" s="244"/>
      <c r="BC85" s="244"/>
      <c r="BD85" s="244"/>
      <c r="BE85" s="244"/>
      <c r="BF85" s="244"/>
      <c r="BG85" s="244"/>
      <c r="BH85" s="244"/>
      <c r="BI85" s="244"/>
      <c r="BJ85" s="244"/>
      <c r="BK85" s="244"/>
      <c r="BL85" s="244"/>
      <c r="BM85" s="244"/>
      <c r="BN85" s="244"/>
      <c r="BO85" s="244"/>
      <c r="BP85" s="244"/>
      <c r="BQ85" s="244"/>
      <c r="BR85" s="244"/>
      <c r="BS85" s="244"/>
      <c r="BT85" s="244"/>
      <c r="BU85" s="244"/>
      <c r="BV85" s="244"/>
      <c r="BW85" s="244"/>
      <c r="BX85" s="244"/>
      <c r="BY85" s="244"/>
      <c r="BZ85" s="244"/>
      <c r="CA85" s="244"/>
      <c r="CB85" s="244"/>
      <c r="CC85" s="244"/>
      <c r="CD85" s="244"/>
      <c r="CE85" s="244"/>
      <c r="CF85" s="244"/>
    </row>
    <row r="86" ht="0" hidden="1" customHeight="1">
      <c r="C86" s="114"/>
      <c r="D86" s="118"/>
      <c r="E86" s="118"/>
      <c r="F86" s="118"/>
      <c r="G86" s="118"/>
      <c r="H86" s="118"/>
      <c r="I86" s="711"/>
      <c r="J86" s="711"/>
      <c r="K86" s="711"/>
      <c r="L86" s="711"/>
      <c r="M86" s="711"/>
      <c r="N86" s="711"/>
      <c r="O86" s="113"/>
      <c r="AP86" s="213"/>
      <c r="AQ86" s="213"/>
      <c r="AR86" s="213"/>
      <c r="AS86" s="271"/>
      <c r="AT86" s="271"/>
      <c r="AU86" s="244"/>
      <c r="AV86" s="244"/>
      <c r="AW86" s="244"/>
      <c r="AX86" s="244"/>
      <c r="AY86" s="244"/>
      <c r="AZ86" s="244"/>
      <c r="BA86" s="244"/>
      <c r="BB86" s="244"/>
      <c r="BC86" s="244"/>
      <c r="BD86" s="244"/>
      <c r="BE86" s="244"/>
      <c r="BF86" s="244"/>
      <c r="BG86" s="244"/>
      <c r="BH86" s="244"/>
      <c r="BI86" s="244"/>
      <c r="BJ86" s="244"/>
      <c r="BK86" s="244"/>
      <c r="BL86" s="244"/>
      <c r="BM86" s="244"/>
      <c r="BN86" s="244"/>
      <c r="BO86" s="244"/>
      <c r="BP86" s="244"/>
      <c r="BQ86" s="244"/>
      <c r="BR86" s="244"/>
      <c r="BS86" s="244"/>
      <c r="BT86" s="244"/>
      <c r="BU86" s="244"/>
      <c r="BV86" s="244"/>
      <c r="BW86" s="244"/>
      <c r="BX86" s="244"/>
      <c r="BY86" s="244"/>
      <c r="BZ86" s="244"/>
      <c r="CA86" s="244"/>
      <c r="CB86" s="244"/>
      <c r="CC86" s="244"/>
      <c r="CD86" s="244"/>
      <c r="CE86" s="244"/>
      <c r="CF86" s="244"/>
    </row>
    <row r="87" ht="0" hidden="1" customHeight="1">
      <c r="C87" s="114"/>
      <c r="D87" s="118"/>
      <c r="E87" s="118"/>
      <c r="F87" s="118"/>
      <c r="G87" s="118"/>
      <c r="H87" s="118"/>
      <c r="I87" s="711"/>
      <c r="J87" s="711"/>
      <c r="K87" s="711"/>
      <c r="L87" s="711"/>
      <c r="M87" s="711"/>
      <c r="N87" s="711"/>
      <c r="O87" s="113"/>
      <c r="AP87" s="213"/>
      <c r="AQ87" s="213"/>
      <c r="AR87" s="213"/>
      <c r="AS87" s="271"/>
      <c r="AT87" s="271"/>
      <c r="AU87" s="244"/>
      <c r="AV87" s="244"/>
      <c r="AW87" s="244"/>
      <c r="AX87" s="244"/>
      <c r="AY87" s="244"/>
      <c r="AZ87" s="244"/>
      <c r="BA87" s="244"/>
      <c r="BB87" s="244"/>
      <c r="BC87" s="244"/>
      <c r="BD87" s="244"/>
      <c r="BE87" s="244"/>
      <c r="BF87" s="244"/>
      <c r="BG87" s="244"/>
      <c r="BH87" s="244"/>
      <c r="BI87" s="244"/>
      <c r="BJ87" s="244"/>
      <c r="BK87" s="244"/>
      <c r="BL87" s="244"/>
      <c r="BM87" s="244"/>
      <c r="BN87" s="244"/>
      <c r="BO87" s="244"/>
      <c r="BP87" s="244"/>
      <c r="BQ87" s="244"/>
      <c r="BR87" s="244"/>
      <c r="BS87" s="244"/>
      <c r="BT87" s="244"/>
      <c r="BU87" s="244"/>
      <c r="BV87" s="244"/>
      <c r="BW87" s="244"/>
      <c r="BX87" s="244"/>
      <c r="BY87" s="244"/>
      <c r="BZ87" s="244"/>
      <c r="CA87" s="244"/>
      <c r="CB87" s="244"/>
      <c r="CC87" s="244"/>
      <c r="CD87" s="244"/>
      <c r="CE87" s="244"/>
      <c r="CF87" s="244"/>
    </row>
    <row r="88" ht="0" hidden="1" customHeight="1">
      <c r="C88" s="114"/>
      <c r="D88" s="118"/>
      <c r="E88" s="118"/>
      <c r="F88" s="118"/>
      <c r="G88" s="118"/>
      <c r="H88" s="118"/>
      <c r="I88" s="711"/>
      <c r="J88" s="711"/>
      <c r="K88" s="711"/>
      <c r="L88" s="711"/>
      <c r="M88" s="711"/>
      <c r="N88" s="711"/>
      <c r="O88" s="113"/>
      <c r="AP88" s="213"/>
      <c r="AQ88" s="213"/>
      <c r="AR88" s="213"/>
      <c r="AS88" s="271"/>
      <c r="AT88" s="271"/>
      <c r="AU88" s="244"/>
      <c r="AV88" s="244"/>
      <c r="AW88" s="244"/>
      <c r="AX88" s="244"/>
      <c r="AY88" s="244"/>
      <c r="AZ88" s="244"/>
      <c r="BA88" s="244"/>
      <c r="BB88" s="244"/>
      <c r="BC88" s="244"/>
      <c r="BD88" s="244"/>
      <c r="BE88" s="244"/>
      <c r="BF88" s="244"/>
      <c r="BG88" s="244"/>
      <c r="BH88" s="244"/>
      <c r="BI88" s="244"/>
      <c r="BJ88" s="244"/>
      <c r="BK88" s="244"/>
      <c r="BL88" s="244"/>
      <c r="BM88" s="244"/>
      <c r="BN88" s="244"/>
      <c r="BO88" s="244"/>
      <c r="BP88" s="244"/>
      <c r="BQ88" s="244"/>
      <c r="BR88" s="244"/>
      <c r="BS88" s="244"/>
      <c r="BT88" s="244"/>
      <c r="BU88" s="244"/>
      <c r="BV88" s="244"/>
      <c r="BW88" s="244"/>
      <c r="BX88" s="244"/>
      <c r="BY88" s="244"/>
      <c r="BZ88" s="244"/>
      <c r="CA88" s="244"/>
      <c r="CB88" s="244"/>
      <c r="CC88" s="244"/>
      <c r="CD88" s="244"/>
      <c r="CE88" s="244"/>
      <c r="CF88" s="244"/>
    </row>
    <row r="89" ht="0" hidden="1" customHeight="1">
      <c r="C89" s="114"/>
      <c r="D89" s="118"/>
      <c r="E89" s="118"/>
      <c r="F89" s="118"/>
      <c r="G89" s="118"/>
      <c r="H89" s="118"/>
      <c r="I89" s="711"/>
      <c r="J89" s="711"/>
      <c r="K89" s="711"/>
      <c r="L89" s="711"/>
      <c r="M89" s="711"/>
      <c r="N89" s="711"/>
      <c r="O89" s="113"/>
      <c r="AP89" s="213"/>
      <c r="AQ89" s="213"/>
      <c r="AR89" s="213"/>
      <c r="AS89" s="271"/>
      <c r="AT89" s="271"/>
      <c r="AU89" s="244"/>
      <c r="AV89" s="244"/>
      <c r="AW89" s="244"/>
      <c r="AX89" s="244"/>
      <c r="AY89" s="244"/>
      <c r="AZ89" s="244"/>
      <c r="BA89" s="244"/>
      <c r="BB89" s="244"/>
      <c r="BC89" s="244"/>
      <c r="BD89" s="244"/>
      <c r="BE89" s="244"/>
      <c r="BF89" s="244"/>
      <c r="BG89" s="244"/>
      <c r="BH89" s="244"/>
      <c r="BI89" s="244"/>
      <c r="BJ89" s="244"/>
      <c r="BK89" s="244"/>
      <c r="BL89" s="244"/>
      <c r="BM89" s="244"/>
      <c r="BN89" s="244"/>
      <c r="BO89" s="244"/>
      <c r="BP89" s="244"/>
      <c r="BQ89" s="244"/>
      <c r="BR89" s="244"/>
      <c r="BS89" s="244"/>
      <c r="BT89" s="244"/>
      <c r="BU89" s="244"/>
      <c r="BV89" s="244"/>
      <c r="BW89" s="244"/>
      <c r="BX89" s="244"/>
      <c r="BY89" s="244"/>
      <c r="BZ89" s="244"/>
      <c r="CA89" s="244"/>
      <c r="CB89" s="244"/>
      <c r="CC89" s="244"/>
      <c r="CD89" s="244"/>
      <c r="CE89" s="244"/>
      <c r="CF89" s="244"/>
    </row>
    <row r="90" ht="0" hidden="1" customHeight="1">
      <c r="C90" s="114"/>
      <c r="D90" s="118"/>
      <c r="E90" s="118"/>
      <c r="F90" s="118"/>
      <c r="G90" s="118"/>
      <c r="H90" s="118"/>
      <c r="I90" s="711"/>
      <c r="J90" s="711"/>
      <c r="K90" s="711"/>
      <c r="L90" s="711"/>
      <c r="M90" s="711"/>
      <c r="N90" s="711"/>
      <c r="O90" s="113"/>
      <c r="AP90" s="213"/>
      <c r="AQ90" s="213"/>
      <c r="AR90" s="213"/>
      <c r="AS90" s="271"/>
      <c r="AT90" s="271"/>
      <c r="AU90" s="244"/>
      <c r="AV90" s="244"/>
      <c r="AW90" s="244"/>
      <c r="AX90" s="244"/>
      <c r="AY90" s="244"/>
      <c r="AZ90" s="244"/>
      <c r="BA90" s="244"/>
      <c r="BB90" s="244"/>
      <c r="BC90" s="244"/>
      <c r="BD90" s="244"/>
      <c r="BE90" s="244"/>
      <c r="BF90" s="244"/>
      <c r="BG90" s="244"/>
      <c r="BH90" s="244"/>
      <c r="BI90" s="244"/>
      <c r="BJ90" s="244"/>
      <c r="BK90" s="244"/>
      <c r="BL90" s="244"/>
      <c r="BM90" s="244"/>
      <c r="BN90" s="244"/>
      <c r="BO90" s="244"/>
      <c r="BP90" s="244"/>
      <c r="BQ90" s="244"/>
      <c r="BR90" s="244"/>
      <c r="BS90" s="244"/>
      <c r="BT90" s="244"/>
      <c r="BU90" s="244"/>
      <c r="BV90" s="244"/>
      <c r="BW90" s="244"/>
      <c r="BX90" s="244"/>
      <c r="BY90" s="244"/>
      <c r="BZ90" s="244"/>
      <c r="CA90" s="244"/>
      <c r="CB90" s="244"/>
      <c r="CC90" s="244"/>
      <c r="CD90" s="244"/>
      <c r="CE90" s="244"/>
      <c r="CF90" s="244"/>
    </row>
    <row r="91" ht="0" hidden="1" customHeight="1">
      <c r="C91" s="114"/>
      <c r="D91" s="118"/>
      <c r="E91" s="118"/>
      <c r="F91" s="118"/>
      <c r="G91" s="118"/>
      <c r="H91" s="118"/>
      <c r="I91" s="711"/>
      <c r="J91" s="711"/>
      <c r="K91" s="711"/>
      <c r="L91" s="711"/>
      <c r="M91" s="711"/>
      <c r="N91" s="711"/>
      <c r="O91" s="113"/>
      <c r="AP91" s="213"/>
      <c r="AQ91" s="213"/>
      <c r="AR91" s="213"/>
      <c r="AS91" s="271"/>
      <c r="AT91" s="271"/>
      <c r="AU91" s="244"/>
      <c r="AV91" s="244"/>
      <c r="AW91" s="244"/>
      <c r="AX91" s="244"/>
      <c r="AY91" s="244"/>
      <c r="AZ91" s="244"/>
      <c r="BA91" s="244"/>
      <c r="BB91" s="244"/>
      <c r="BC91" s="244"/>
      <c r="BD91" s="244"/>
      <c r="BE91" s="244"/>
      <c r="BF91" s="244"/>
      <c r="BG91" s="244"/>
      <c r="BH91" s="244"/>
      <c r="BI91" s="244"/>
      <c r="BJ91" s="244"/>
      <c r="BK91" s="244"/>
      <c r="BL91" s="244"/>
      <c r="BM91" s="244"/>
      <c r="BN91" s="244"/>
      <c r="BO91" s="244"/>
      <c r="BP91" s="244"/>
      <c r="BQ91" s="244"/>
      <c r="BR91" s="244"/>
      <c r="BS91" s="244"/>
      <c r="BT91" s="244"/>
      <c r="BU91" s="244"/>
      <c r="BV91" s="244"/>
      <c r="BW91" s="244"/>
      <c r="BX91" s="244"/>
      <c r="BY91" s="244"/>
      <c r="BZ91" s="244"/>
      <c r="CA91" s="244"/>
      <c r="CB91" s="244"/>
      <c r="CC91" s="244"/>
      <c r="CD91" s="244"/>
      <c r="CE91" s="244"/>
      <c r="CF91" s="244"/>
    </row>
    <row r="92" ht="0" hidden="1" customHeight="1">
      <c r="C92" s="114"/>
      <c r="D92" s="118"/>
      <c r="E92" s="118"/>
      <c r="F92" s="118"/>
      <c r="G92" s="118"/>
      <c r="H92" s="118"/>
      <c r="I92" s="711"/>
      <c r="J92" s="711"/>
      <c r="K92" s="711"/>
      <c r="L92" s="711"/>
      <c r="M92" s="711"/>
      <c r="N92" s="711"/>
      <c r="O92" s="113"/>
      <c r="AP92" s="213"/>
      <c r="AQ92" s="213"/>
      <c r="AR92" s="213"/>
      <c r="AS92" s="271"/>
      <c r="AT92" s="271"/>
      <c r="AU92" s="244"/>
      <c r="AV92" s="244"/>
      <c r="AW92" s="244"/>
      <c r="AX92" s="244"/>
      <c r="AY92" s="244"/>
      <c r="AZ92" s="244"/>
      <c r="BA92" s="244"/>
      <c r="BB92" s="244"/>
      <c r="BC92" s="244"/>
      <c r="BD92" s="244"/>
      <c r="BE92" s="244"/>
      <c r="BF92" s="244"/>
      <c r="BG92" s="244"/>
      <c r="BH92" s="244"/>
      <c r="BI92" s="244"/>
      <c r="BJ92" s="244"/>
      <c r="BK92" s="244"/>
      <c r="BL92" s="244"/>
      <c r="BM92" s="244"/>
      <c r="BN92" s="244"/>
      <c r="BO92" s="244"/>
      <c r="BP92" s="244"/>
      <c r="BQ92" s="244"/>
      <c r="BR92" s="244"/>
      <c r="BS92" s="244"/>
      <c r="BT92" s="244"/>
      <c r="BU92" s="244"/>
      <c r="BV92" s="244"/>
      <c r="BW92" s="244"/>
      <c r="BX92" s="244"/>
      <c r="BY92" s="244"/>
      <c r="BZ92" s="244"/>
      <c r="CA92" s="244"/>
      <c r="CB92" s="244"/>
      <c r="CC92" s="244"/>
      <c r="CD92" s="244"/>
      <c r="CE92" s="244"/>
      <c r="CF92" s="244"/>
    </row>
    <row r="93" ht="0" hidden="1" customHeight="1">
      <c r="C93" s="114"/>
      <c r="D93" s="118"/>
      <c r="E93" s="118"/>
      <c r="F93" s="118"/>
      <c r="G93" s="118"/>
      <c r="H93" s="118"/>
      <c r="I93" s="711"/>
      <c r="J93" s="711"/>
      <c r="K93" s="711"/>
      <c r="L93" s="711"/>
      <c r="M93" s="711"/>
      <c r="N93" s="711"/>
      <c r="O93" s="113"/>
      <c r="AP93" s="213"/>
      <c r="AQ93" s="213"/>
      <c r="AR93" s="213"/>
      <c r="AS93" s="271"/>
      <c r="AT93" s="271"/>
      <c r="AU93" s="244"/>
      <c r="AV93" s="244"/>
      <c r="AW93" s="244"/>
      <c r="AX93" s="244"/>
      <c r="AY93" s="244"/>
      <c r="AZ93" s="244"/>
      <c r="BA93" s="244"/>
      <c r="BB93" s="244"/>
      <c r="BC93" s="244"/>
      <c r="BD93" s="244"/>
      <c r="BE93" s="244"/>
      <c r="BF93" s="244"/>
      <c r="BG93" s="244"/>
      <c r="BH93" s="244"/>
      <c r="BI93" s="244"/>
      <c r="BJ93" s="244"/>
      <c r="BK93" s="244"/>
      <c r="BL93" s="244"/>
      <c r="BM93" s="244"/>
      <c r="BN93" s="244"/>
      <c r="BO93" s="244"/>
      <c r="BP93" s="244"/>
      <c r="BQ93" s="244"/>
      <c r="BR93" s="244"/>
      <c r="BS93" s="244"/>
      <c r="BT93" s="244"/>
      <c r="BU93" s="244"/>
      <c r="BV93" s="244"/>
      <c r="BW93" s="244"/>
      <c r="BX93" s="244"/>
      <c r="BY93" s="244"/>
      <c r="BZ93" s="244"/>
      <c r="CA93" s="244"/>
      <c r="CB93" s="244"/>
      <c r="CC93" s="244"/>
      <c r="CD93" s="244"/>
      <c r="CE93" s="244"/>
      <c r="CF93" s="244"/>
    </row>
    <row r="94" ht="0" hidden="1" customHeight="1">
      <c r="C94" s="114"/>
      <c r="D94" s="118"/>
      <c r="E94" s="118"/>
      <c r="F94" s="118"/>
      <c r="G94" s="118"/>
      <c r="H94" s="118"/>
      <c r="I94" s="711"/>
      <c r="J94" s="711"/>
      <c r="K94" s="711"/>
      <c r="L94" s="711"/>
      <c r="M94" s="711"/>
      <c r="N94" s="711"/>
      <c r="O94" s="113"/>
      <c r="AP94" s="213"/>
      <c r="AQ94" s="213"/>
      <c r="AR94" s="213"/>
      <c r="AS94" s="271"/>
      <c r="AT94" s="271"/>
      <c r="AU94" s="244"/>
      <c r="AV94" s="244"/>
      <c r="AW94" s="244"/>
      <c r="AX94" s="244"/>
      <c r="AY94" s="244"/>
      <c r="AZ94" s="244"/>
      <c r="BA94" s="244"/>
      <c r="BB94" s="244"/>
      <c r="BC94" s="244"/>
      <c r="BD94" s="244"/>
      <c r="BE94" s="244"/>
      <c r="BF94" s="244"/>
      <c r="BG94" s="244"/>
      <c r="BH94" s="244"/>
      <c r="BI94" s="244"/>
      <c r="BJ94" s="244"/>
      <c r="BK94" s="244"/>
      <c r="BL94" s="244"/>
      <c r="BM94" s="244"/>
      <c r="BN94" s="244"/>
      <c r="BO94" s="244"/>
      <c r="BP94" s="244"/>
      <c r="BQ94" s="244"/>
      <c r="BR94" s="244"/>
      <c r="BS94" s="244"/>
      <c r="BT94" s="244"/>
      <c r="BU94" s="244"/>
      <c r="BV94" s="244"/>
      <c r="BW94" s="244"/>
      <c r="BX94" s="244"/>
      <c r="BY94" s="244"/>
      <c r="BZ94" s="244"/>
      <c r="CA94" s="244"/>
      <c r="CB94" s="244"/>
      <c r="CC94" s="244"/>
      <c r="CD94" s="244"/>
      <c r="CE94" s="244"/>
      <c r="CF94" s="244"/>
    </row>
    <row r="95" ht="0" hidden="1" customHeight="1">
      <c r="C95" s="114"/>
      <c r="D95" s="118"/>
      <c r="E95" s="118"/>
      <c r="F95" s="118"/>
      <c r="G95" s="118"/>
      <c r="H95" s="118"/>
      <c r="I95" s="711"/>
      <c r="J95" s="711"/>
      <c r="K95" s="711"/>
      <c r="L95" s="711"/>
      <c r="M95" s="711"/>
      <c r="N95" s="711"/>
      <c r="O95" s="113"/>
      <c r="AP95" s="213"/>
      <c r="AQ95" s="213"/>
      <c r="AR95" s="213"/>
      <c r="AS95" s="271"/>
      <c r="AT95" s="271"/>
      <c r="AU95" s="244"/>
      <c r="AV95" s="244"/>
      <c r="AW95" s="244"/>
      <c r="AX95" s="244"/>
      <c r="AY95" s="244"/>
      <c r="AZ95" s="244"/>
      <c r="BA95" s="244"/>
      <c r="BB95" s="244"/>
      <c r="BC95" s="244"/>
      <c r="BD95" s="244"/>
      <c r="BE95" s="244"/>
      <c r="BF95" s="244"/>
      <c r="BG95" s="244"/>
      <c r="BH95" s="244"/>
      <c r="BI95" s="244"/>
      <c r="BJ95" s="244"/>
      <c r="BK95" s="244"/>
      <c r="BL95" s="244"/>
      <c r="BM95" s="244"/>
      <c r="BN95" s="244"/>
      <c r="BO95" s="244"/>
      <c r="BP95" s="244"/>
      <c r="BQ95" s="244"/>
      <c r="BR95" s="244"/>
      <c r="BS95" s="244"/>
      <c r="BT95" s="244"/>
      <c r="BU95" s="244"/>
      <c r="BV95" s="244"/>
      <c r="BW95" s="244"/>
      <c r="BX95" s="244"/>
      <c r="BY95" s="244"/>
      <c r="BZ95" s="244"/>
      <c r="CA95" s="244"/>
      <c r="CB95" s="244"/>
      <c r="CC95" s="244"/>
      <c r="CD95" s="244"/>
      <c r="CE95" s="244"/>
      <c r="CF95" s="244"/>
    </row>
    <row r="96" ht="0" hidden="1" customHeight="1">
      <c r="C96" s="114"/>
      <c r="D96" s="118"/>
      <c r="E96" s="118"/>
      <c r="F96" s="118"/>
      <c r="G96" s="118"/>
      <c r="H96" s="118"/>
      <c r="I96" s="711"/>
      <c r="J96" s="711"/>
      <c r="K96" s="711"/>
      <c r="L96" s="711"/>
      <c r="M96" s="711"/>
      <c r="N96" s="711"/>
      <c r="O96" s="113"/>
      <c r="AP96" s="213"/>
      <c r="AQ96" s="213"/>
      <c r="AR96" s="213"/>
      <c r="AS96" s="271"/>
      <c r="AT96" s="271"/>
      <c r="AU96" s="244"/>
      <c r="AV96" s="244"/>
      <c r="AW96" s="244"/>
      <c r="AX96" s="244"/>
      <c r="AY96" s="244"/>
      <c r="AZ96" s="244"/>
      <c r="BA96" s="244"/>
      <c r="BB96" s="244"/>
      <c r="BC96" s="244"/>
      <c r="BD96" s="244"/>
      <c r="BE96" s="244"/>
      <c r="BF96" s="244"/>
      <c r="BG96" s="244"/>
      <c r="BH96" s="244"/>
      <c r="BI96" s="244"/>
      <c r="BJ96" s="244"/>
      <c r="BK96" s="244"/>
      <c r="BL96" s="244"/>
      <c r="BM96" s="244"/>
      <c r="BN96" s="244"/>
      <c r="BO96" s="244"/>
      <c r="BP96" s="244"/>
      <c r="BQ96" s="244"/>
      <c r="BR96" s="244"/>
      <c r="BS96" s="244"/>
      <c r="BT96" s="244"/>
      <c r="BU96" s="244"/>
      <c r="BV96" s="244"/>
      <c r="BW96" s="244"/>
      <c r="BX96" s="244"/>
      <c r="BY96" s="244"/>
      <c r="BZ96" s="244"/>
      <c r="CA96" s="244"/>
      <c r="CB96" s="244"/>
      <c r="CC96" s="244"/>
      <c r="CD96" s="244"/>
      <c r="CE96" s="244"/>
      <c r="CF96" s="244"/>
    </row>
    <row r="97" ht="0" hidden="1" customHeight="1">
      <c r="C97" s="114"/>
      <c r="D97" s="118"/>
      <c r="E97" s="118"/>
      <c r="F97" s="118"/>
      <c r="G97" s="118"/>
      <c r="H97" s="118"/>
      <c r="I97" s="711"/>
      <c r="J97" s="711"/>
      <c r="K97" s="711"/>
      <c r="L97" s="711"/>
      <c r="M97" s="711"/>
      <c r="N97" s="711"/>
      <c r="O97" s="113"/>
      <c r="AP97" s="213"/>
      <c r="AQ97" s="213"/>
      <c r="AR97" s="213"/>
      <c r="AS97" s="271"/>
      <c r="AT97" s="271"/>
      <c r="AU97" s="244"/>
      <c r="AV97" s="244"/>
      <c r="AW97" s="244"/>
      <c r="AX97" s="244"/>
      <c r="AY97" s="244"/>
      <c r="AZ97" s="244"/>
      <c r="BA97" s="244"/>
      <c r="BB97" s="244"/>
      <c r="BC97" s="244"/>
      <c r="BD97" s="244"/>
      <c r="BE97" s="244"/>
      <c r="BF97" s="244"/>
      <c r="BG97" s="244"/>
      <c r="BH97" s="244"/>
      <c r="BI97" s="244"/>
      <c r="BJ97" s="244"/>
      <c r="BK97" s="244"/>
      <c r="BL97" s="244"/>
      <c r="BM97" s="244"/>
      <c r="BN97" s="244"/>
      <c r="BO97" s="244"/>
      <c r="BP97" s="244"/>
      <c r="BQ97" s="244"/>
      <c r="BR97" s="244"/>
      <c r="BS97" s="244"/>
      <c r="BT97" s="244"/>
      <c r="BU97" s="244"/>
      <c r="BV97" s="244"/>
      <c r="BW97" s="244"/>
      <c r="BX97" s="244"/>
      <c r="BY97" s="244"/>
      <c r="BZ97" s="244"/>
      <c r="CA97" s="244"/>
      <c r="CB97" s="244"/>
      <c r="CC97" s="244"/>
      <c r="CD97" s="244"/>
      <c r="CE97" s="244"/>
      <c r="CF97" s="244"/>
    </row>
    <row r="98" ht="0" hidden="1" customHeight="1">
      <c r="C98" s="114"/>
      <c r="D98" s="118"/>
      <c r="E98" s="118"/>
      <c r="F98" s="118"/>
      <c r="G98" s="118"/>
      <c r="H98" s="118"/>
      <c r="I98" s="711"/>
      <c r="J98" s="711"/>
      <c r="K98" s="711"/>
      <c r="L98" s="711"/>
      <c r="M98" s="711"/>
      <c r="N98" s="711"/>
      <c r="O98" s="113"/>
      <c r="AP98" s="213"/>
      <c r="AQ98" s="213"/>
      <c r="AR98" s="213"/>
      <c r="AS98" s="271"/>
      <c r="AT98" s="271"/>
      <c r="AU98" s="244"/>
      <c r="AV98" s="244"/>
      <c r="AW98" s="244"/>
      <c r="AX98" s="244"/>
      <c r="AY98" s="244"/>
      <c r="AZ98" s="244"/>
      <c r="BA98" s="244"/>
      <c r="BB98" s="244"/>
      <c r="BC98" s="244"/>
      <c r="BD98" s="244"/>
      <c r="BE98" s="244"/>
      <c r="BF98" s="244"/>
      <c r="BG98" s="244"/>
      <c r="BH98" s="244"/>
      <c r="BI98" s="244"/>
      <c r="BJ98" s="244"/>
      <c r="BK98" s="244"/>
      <c r="BL98" s="244"/>
      <c r="BM98" s="244"/>
      <c r="BN98" s="244"/>
      <c r="BO98" s="244"/>
      <c r="BP98" s="244"/>
      <c r="BQ98" s="244"/>
      <c r="BR98" s="244"/>
      <c r="BS98" s="244"/>
      <c r="BT98" s="244"/>
      <c r="BU98" s="244"/>
      <c r="BV98" s="244"/>
      <c r="BW98" s="244"/>
      <c r="BX98" s="244"/>
      <c r="BY98" s="244"/>
      <c r="BZ98" s="244"/>
      <c r="CA98" s="244"/>
      <c r="CB98" s="244"/>
      <c r="CC98" s="244"/>
      <c r="CD98" s="244"/>
      <c r="CE98" s="244"/>
      <c r="CF98" s="244"/>
    </row>
    <row r="99" ht="0" hidden="1" customHeight="1">
      <c r="C99" s="114"/>
      <c r="D99" s="118"/>
      <c r="E99" s="118"/>
      <c r="F99" s="118"/>
      <c r="G99" s="118"/>
      <c r="H99" s="118"/>
      <c r="I99" s="711"/>
      <c r="J99" s="711"/>
      <c r="K99" s="711"/>
      <c r="L99" s="711"/>
      <c r="M99" s="711"/>
      <c r="N99" s="711"/>
      <c r="O99" s="113"/>
      <c r="AP99" s="213"/>
      <c r="AQ99" s="213"/>
      <c r="AR99" s="213"/>
      <c r="AS99" s="271"/>
      <c r="AT99" s="271"/>
      <c r="AU99" s="244"/>
      <c r="AV99" s="244"/>
      <c r="AW99" s="244"/>
      <c r="AX99" s="244"/>
      <c r="AY99" s="244"/>
      <c r="AZ99" s="244"/>
      <c r="BA99" s="244"/>
      <c r="BB99" s="244"/>
      <c r="BC99" s="244"/>
      <c r="BD99" s="244"/>
      <c r="BE99" s="244"/>
      <c r="BF99" s="244"/>
      <c r="BG99" s="244"/>
      <c r="BH99" s="244"/>
      <c r="BI99" s="244"/>
      <c r="BJ99" s="244"/>
      <c r="BK99" s="244"/>
      <c r="BL99" s="244"/>
      <c r="BM99" s="244"/>
      <c r="BN99" s="244"/>
      <c r="BO99" s="244"/>
      <c r="BP99" s="244"/>
      <c r="BQ99" s="244"/>
      <c r="BR99" s="244"/>
      <c r="BS99" s="244"/>
      <c r="BT99" s="244"/>
      <c r="BU99" s="244"/>
      <c r="BV99" s="244"/>
      <c r="BW99" s="244"/>
      <c r="BX99" s="244"/>
      <c r="BY99" s="244"/>
      <c r="BZ99" s="244"/>
      <c r="CA99" s="244"/>
      <c r="CB99" s="244"/>
      <c r="CC99" s="244"/>
      <c r="CD99" s="244"/>
      <c r="CE99" s="244"/>
      <c r="CF99" s="244"/>
    </row>
    <row r="100" ht="0" hidden="1" customHeight="1">
      <c r="C100" s="114"/>
      <c r="D100" s="118"/>
      <c r="E100" s="118"/>
      <c r="F100" s="118"/>
      <c r="G100" s="118"/>
      <c r="H100" s="118"/>
      <c r="I100" s="711"/>
      <c r="J100" s="711"/>
      <c r="K100" s="711"/>
      <c r="L100" s="711"/>
      <c r="M100" s="711"/>
      <c r="N100" s="711"/>
      <c r="O100" s="113"/>
      <c r="AP100" s="213"/>
      <c r="AQ100" s="213"/>
      <c r="AR100" s="213"/>
      <c r="AS100" s="271"/>
      <c r="AT100" s="271"/>
      <c r="AU100" s="244"/>
      <c r="AV100" s="244"/>
      <c r="AW100" s="244"/>
      <c r="AX100" s="244"/>
      <c r="AY100" s="244"/>
      <c r="AZ100" s="244"/>
      <c r="BA100" s="244"/>
      <c r="BB100" s="244"/>
      <c r="BC100" s="244"/>
      <c r="BD100" s="244"/>
      <c r="BE100" s="244"/>
      <c r="BF100" s="244"/>
      <c r="BG100" s="244"/>
      <c r="BH100" s="244"/>
      <c r="BI100" s="244"/>
      <c r="BJ100" s="244"/>
      <c r="BK100" s="244"/>
      <c r="BL100" s="244"/>
      <c r="BM100" s="244"/>
      <c r="BN100" s="244"/>
      <c r="BO100" s="244"/>
      <c r="BP100" s="244"/>
      <c r="BQ100" s="244"/>
      <c r="BR100" s="244"/>
      <c r="BS100" s="244"/>
      <c r="BT100" s="244"/>
      <c r="BU100" s="244"/>
      <c r="BV100" s="244"/>
      <c r="BW100" s="244"/>
      <c r="BX100" s="244"/>
      <c r="BY100" s="244"/>
      <c r="BZ100" s="244"/>
      <c r="CA100" s="244"/>
      <c r="CB100" s="244"/>
      <c r="CC100" s="244"/>
      <c r="CD100" s="244"/>
      <c r="CE100" s="244"/>
      <c r="CF100" s="244"/>
    </row>
    <row r="101" ht="0" hidden="1" customHeight="1">
      <c r="C101" s="114"/>
      <c r="D101" s="118"/>
      <c r="E101" s="118"/>
      <c r="F101" s="118"/>
      <c r="G101" s="118"/>
      <c r="H101" s="118"/>
      <c r="I101" s="118"/>
      <c r="J101" s="118"/>
      <c r="K101" s="118"/>
      <c r="L101" s="118"/>
      <c r="M101" s="118"/>
      <c r="N101" s="118"/>
      <c r="O101" s="113"/>
      <c r="AS101" s="244"/>
      <c r="AT101" s="244"/>
      <c r="AU101" s="244"/>
      <c r="AV101" s="244"/>
      <c r="AW101" s="244"/>
      <c r="AX101" s="244"/>
      <c r="AY101" s="244"/>
      <c r="AZ101" s="244"/>
      <c r="BA101" s="244"/>
      <c r="BB101" s="244"/>
      <c r="BC101" s="244"/>
      <c r="BD101" s="244"/>
      <c r="BE101" s="244"/>
      <c r="BF101" s="244"/>
      <c r="BG101" s="244"/>
      <c r="BH101" s="244"/>
      <c r="BI101" s="244"/>
      <c r="BJ101" s="244"/>
      <c r="BK101" s="244"/>
      <c r="BL101" s="244"/>
      <c r="BM101" s="244"/>
      <c r="BN101" s="244"/>
      <c r="BO101" s="244"/>
      <c r="BP101" s="244"/>
      <c r="BQ101" s="244"/>
      <c r="BR101" s="244"/>
      <c r="BS101" s="244"/>
      <c r="BT101" s="244"/>
      <c r="BU101" s="244"/>
      <c r="BV101" s="244"/>
      <c r="BW101" s="244"/>
      <c r="BX101" s="244"/>
      <c r="BY101" s="244"/>
      <c r="BZ101" s="244"/>
      <c r="CA101" s="244"/>
      <c r="CB101" s="244"/>
      <c r="CC101" s="244"/>
      <c r="CD101" s="244"/>
      <c r="CE101" s="244"/>
      <c r="CF101" s="244"/>
    </row>
    <row r="102" ht="18" customHeight="1">
      <c r="E102" s="115"/>
      <c r="F102" s="115"/>
      <c r="G102" s="115"/>
      <c r="Y102" s="121"/>
      <c r="AB102" s="0"/>
      <c r="AC102" s="0"/>
      <c r="AD102" s="0"/>
      <c r="AE102" s="100"/>
      <c r="AI102" s="0"/>
      <c r="AS102" s="244"/>
      <c r="AT102" s="244"/>
      <c r="AU102" s="244"/>
      <c r="AV102" s="244"/>
      <c r="AW102" s="244"/>
      <c r="AX102" s="244"/>
      <c r="AY102" s="244"/>
      <c r="AZ102" s="244"/>
      <c r="BA102" s="244"/>
      <c r="BB102" s="244"/>
      <c r="BC102" s="244"/>
      <c r="BD102" s="244"/>
      <c r="BE102" s="244"/>
      <c r="BF102" s="244"/>
      <c r="BG102" s="244"/>
      <c r="BH102" s="244"/>
      <c r="BI102" s="244"/>
      <c r="BJ102" s="244"/>
      <c r="BK102" s="244"/>
      <c r="BL102" s="244"/>
      <c r="BM102" s="244"/>
      <c r="BN102" s="244"/>
      <c r="BO102" s="244"/>
      <c r="BP102" s="244"/>
      <c r="BQ102" s="244"/>
      <c r="BR102" s="244"/>
      <c r="BS102" s="244"/>
      <c r="BT102" s="244"/>
      <c r="BU102" s="244"/>
      <c r="BV102" s="244"/>
      <c r="BW102" s="244"/>
      <c r="BX102" s="244"/>
      <c r="BY102" s="244"/>
      <c r="BZ102" s="244"/>
      <c r="CA102" s="244"/>
      <c r="CB102" s="244"/>
      <c r="CC102" s="244"/>
      <c r="CD102" s="244"/>
      <c r="CE102" s="244"/>
      <c r="CF102" s="244"/>
    </row>
    <row r="103" ht="39.95" customHeight="1">
      <c r="B103"/>
      <c r="C103" s="712" t="s">
        <v>114</v>
      </c>
      <c r="D103" s="712"/>
      <c r="E103" s="712"/>
      <c r="F103" s="712"/>
      <c r="G103" s="712"/>
      <c r="H103" s="712"/>
      <c r="I103" s="712"/>
      <c r="J103" s="712"/>
      <c r="K103" s="712"/>
      <c r="L103" s="712"/>
      <c r="M103" s="712"/>
      <c r="N103" s="712"/>
      <c r="O103" s="712"/>
      <c r="P103" s="712"/>
      <c r="Q103" s="712"/>
      <c r="R103" s="712"/>
      <c r="S103" s="712"/>
      <c r="T103" s="712"/>
      <c r="U103" s="712"/>
      <c r="V103" s="712"/>
      <c r="W103" s="712"/>
      <c r="X103" s="712"/>
      <c r="Y103" s="712"/>
      <c r="Z103" s="712"/>
      <c r="AA103" s="712"/>
      <c r="AB103" s="712"/>
      <c r="AC103" s="712"/>
      <c r="AD103" s="712"/>
      <c r="AE103" s="712"/>
      <c r="AF103" s="712"/>
      <c r="AG103" s="712"/>
      <c r="AH103" s="712"/>
      <c r="AI103" s="712"/>
      <c r="AJ103" s="712"/>
      <c r="AK103" s="712"/>
      <c r="AL103" s="712"/>
      <c r="AM103" s="712"/>
      <c r="AN103" s="712"/>
      <c r="AO103" s="712"/>
      <c r="AS103" s="244"/>
      <c r="AT103" s="244"/>
      <c r="AU103" s="244"/>
      <c r="AV103" s="244"/>
      <c r="AW103" s="244"/>
      <c r="AX103" s="244"/>
      <c r="AY103" s="244"/>
      <c r="AZ103" s="244"/>
      <c r="BA103" s="244"/>
      <c r="BB103" s="244"/>
      <c r="BC103" s="244"/>
      <c r="BD103" s="244"/>
      <c r="BE103" s="244"/>
      <c r="BF103" s="244"/>
      <c r="BG103" s="244"/>
      <c r="BH103" s="244"/>
      <c r="BI103" s="244"/>
      <c r="BJ103" s="244"/>
      <c r="BK103" s="244"/>
      <c r="BL103" s="244"/>
      <c r="BM103" s="244"/>
      <c r="BN103" s="244"/>
      <c r="BO103" s="244"/>
      <c r="BP103" s="244"/>
      <c r="BQ103" s="244"/>
      <c r="BR103" s="244"/>
      <c r="BS103" s="244"/>
      <c r="BT103" s="244"/>
      <c r="BU103" s="244"/>
      <c r="BV103" s="244"/>
      <c r="BW103" s="244"/>
      <c r="BX103" s="244"/>
      <c r="BY103" s="244"/>
      <c r="BZ103" s="244"/>
      <c r="CA103" s="244"/>
      <c r="CB103" s="244"/>
      <c r="CC103" s="244"/>
      <c r="CD103" s="244"/>
      <c r="CE103" s="244"/>
      <c r="CF103" s="244"/>
    </row>
    <row r="104" s="117" customFormat="1" ht="18" customHeight="1">
      <c r="E104" s="63"/>
      <c r="F104" s="63"/>
      <c r="G104" s="63"/>
      <c r="H104"/>
      <c r="I104"/>
      <c r="J104"/>
      <c r="K104"/>
      <c r="L104"/>
      <c r="M104"/>
      <c r="N104"/>
      <c r="O104"/>
      <c r="P104"/>
      <c r="Q104"/>
      <c r="R104"/>
      <c r="S104"/>
      <c r="T104"/>
      <c r="U104"/>
      <c r="V104"/>
      <c r="W104"/>
      <c r="X104"/>
      <c r="Y104"/>
      <c r="Z104"/>
      <c r="AS104" s="247"/>
      <c r="AT104" s="247"/>
      <c r="AU104" s="247"/>
      <c r="AV104" s="247"/>
      <c r="AW104" s="247"/>
      <c r="AX104" s="247"/>
      <c r="AY104" s="247"/>
      <c r="AZ104" s="247"/>
      <c r="BA104" s="247"/>
      <c r="BB104" s="247"/>
      <c r="BC104" s="247"/>
      <c r="BD104" s="247"/>
      <c r="BE104" s="247"/>
      <c r="BF104" s="247"/>
      <c r="BG104" s="247"/>
      <c r="BH104" s="247"/>
      <c r="BI104" s="247"/>
      <c r="BJ104" s="247"/>
      <c r="BK104" s="247"/>
      <c r="BL104" s="247"/>
      <c r="BM104" s="247"/>
      <c r="BN104" s="247"/>
      <c r="BO104" s="247"/>
      <c r="BP104" s="247"/>
      <c r="BQ104" s="247"/>
      <c r="BR104" s="247"/>
      <c r="BS104" s="247"/>
      <c r="BT104" s="247"/>
      <c r="BU104" s="247"/>
      <c r="BV104" s="247"/>
      <c r="BW104" s="247"/>
      <c r="BX104" s="247"/>
      <c r="BY104" s="247"/>
      <c r="BZ104" s="247"/>
      <c r="CA104" s="247"/>
      <c r="CB104" s="247"/>
      <c r="CC104" s="247"/>
      <c r="CD104" s="247"/>
      <c r="CE104" s="247"/>
      <c r="CF104" s="247"/>
    </row>
    <row r="105" ht="12.75" customHeight="1">
      <c r="A105" s="713"/>
      <c r="B105" s="713"/>
      <c r="C105" s="713"/>
      <c r="D105" s="713"/>
      <c r="E105" s="713"/>
      <c r="F105" s="713"/>
      <c r="G105" s="713"/>
      <c r="H105" s="713"/>
      <c r="I105" s="713"/>
      <c r="J105" s="713"/>
      <c r="K105" s="713"/>
      <c r="L105" s="713"/>
      <c r="M105" s="713"/>
      <c r="N105" s="713"/>
      <c r="O105" s="713"/>
      <c r="P105" s="713"/>
      <c r="Q105" s="713"/>
      <c r="R105" s="713"/>
      <c r="S105" s="713"/>
      <c r="T105" s="713"/>
      <c r="U105" s="713"/>
      <c r="V105" s="713"/>
      <c r="W105" s="713"/>
      <c r="X105" s="713"/>
      <c r="Y105" s="713"/>
      <c r="Z105" s="713"/>
      <c r="AA105" s="713"/>
      <c r="AB105" s="713"/>
      <c r="AC105" s="713"/>
      <c r="AD105" s="713"/>
      <c r="AE105" s="713"/>
      <c r="AF105" s="713"/>
      <c r="AG105" s="713"/>
      <c r="AH105" s="713"/>
      <c r="AI105" s="713"/>
      <c r="AJ105" s="713"/>
      <c r="AK105" s="713"/>
      <c r="AL105" s="713"/>
      <c r="AM105" s="713"/>
      <c r="AN105" s="713"/>
      <c r="AO105" s="713"/>
      <c r="AP105" s="713"/>
      <c r="AQ105" s="713"/>
      <c r="AR105" s="713"/>
      <c r="AS105" s="713"/>
      <c r="AT105" s="713"/>
      <c r="AU105" s="713"/>
      <c r="AV105" s="713"/>
      <c r="AW105" s="713"/>
      <c r="AX105" s="713"/>
      <c r="AY105" s="713"/>
      <c r="AZ105" s="713"/>
      <c r="BA105" s="713"/>
      <c r="BB105" s="713"/>
      <c r="BC105" s="713"/>
      <c r="BD105" s="713"/>
      <c r="BE105" s="713"/>
      <c r="BF105" s="713"/>
      <c r="BG105" s="713"/>
      <c r="BH105" s="713"/>
      <c r="BI105" s="713"/>
      <c r="BJ105" s="713"/>
      <c r="BK105" s="713"/>
      <c r="BL105" s="713"/>
      <c r="BM105" s="713"/>
      <c r="BN105" s="713"/>
      <c r="BO105" s="713"/>
      <c r="BP105" s="713"/>
      <c r="BQ105" s="713"/>
      <c r="BR105" s="244"/>
      <c r="BS105" s="244"/>
      <c r="BT105" s="244"/>
      <c r="BU105" s="244"/>
      <c r="BV105" s="244"/>
      <c r="BW105" s="244"/>
      <c r="BX105" s="244"/>
      <c r="BY105" s="244"/>
      <c r="BZ105" s="244"/>
      <c r="CA105" s="244"/>
      <c r="CB105" s="244"/>
      <c r="CC105" s="244"/>
      <c r="CD105" s="244"/>
      <c r="CE105" s="244"/>
      <c r="CF105" s="244"/>
    </row>
    <row r="106" ht="12.75" customHeight="1">
      <c r="A106" s="713"/>
      <c r="B106" s="713"/>
      <c r="C106" s="713"/>
      <c r="D106" s="713"/>
      <c r="E106" s="713"/>
      <c r="F106" s="713"/>
      <c r="G106" s="713"/>
      <c r="H106" s="713"/>
      <c r="I106" s="713"/>
      <c r="J106" s="713"/>
      <c r="K106" s="713"/>
      <c r="L106" s="713"/>
      <c r="M106" s="713"/>
      <c r="N106" s="713"/>
      <c r="O106" s="713"/>
      <c r="P106" s="713"/>
      <c r="Q106" s="713"/>
      <c r="R106" s="713"/>
      <c r="S106" s="713"/>
      <c r="T106" s="713"/>
      <c r="U106" s="713"/>
      <c r="V106" s="713"/>
      <c r="W106" s="713"/>
      <c r="X106" s="713"/>
      <c r="Y106" s="713"/>
      <c r="Z106" s="713"/>
      <c r="AA106" s="713"/>
      <c r="AB106" s="713"/>
      <c r="AC106" s="713"/>
      <c r="AD106" s="713"/>
      <c r="AE106" s="713"/>
      <c r="AF106" s="713"/>
      <c r="AG106" s="713"/>
      <c r="AH106" s="713"/>
      <c r="AI106" s="713"/>
      <c r="AJ106" s="713"/>
      <c r="AK106" s="713"/>
      <c r="AL106" s="713"/>
      <c r="AM106" s="713"/>
      <c r="AN106" s="713"/>
      <c r="AO106" s="713"/>
      <c r="AP106" s="713"/>
      <c r="AQ106" s="713"/>
      <c r="AR106" s="713"/>
      <c r="AS106" s="713"/>
      <c r="AT106" s="713"/>
      <c r="AU106" s="713"/>
      <c r="AV106" s="713"/>
      <c r="AW106" s="713"/>
      <c r="AX106" s="713"/>
      <c r="AY106" s="713"/>
      <c r="AZ106" s="713"/>
      <c r="BA106" s="713"/>
      <c r="BB106" s="713"/>
      <c r="BC106" s="713"/>
      <c r="BD106" s="713"/>
      <c r="BE106" s="713"/>
      <c r="BF106" s="713"/>
      <c r="BG106" s="713"/>
      <c r="BH106" s="713"/>
      <c r="BI106" s="713"/>
      <c r="BJ106" s="713"/>
      <c r="BK106" s="713"/>
      <c r="BL106" s="713"/>
      <c r="BM106" s="713"/>
      <c r="BN106" s="713"/>
      <c r="BO106" s="713"/>
      <c r="BP106" s="713"/>
      <c r="BQ106" s="713"/>
      <c r="BR106" s="244"/>
      <c r="BS106" s="244"/>
      <c r="BT106" s="244"/>
      <c r="BU106" s="244"/>
      <c r="BV106" s="244"/>
      <c r="BW106" s="244"/>
      <c r="BX106" s="244"/>
      <c r="BY106" s="244"/>
      <c r="BZ106" s="244"/>
      <c r="CA106" s="244"/>
      <c r="CB106" s="244"/>
      <c r="CC106" s="244"/>
      <c r="CD106" s="244"/>
      <c r="CE106" s="244"/>
      <c r="CF106" s="244"/>
    </row>
    <row r="107" ht="12.75" customHeight="1">
      <c r="A107" s="713"/>
      <c r="B107" s="713"/>
      <c r="C107" s="713"/>
      <c r="D107" s="713"/>
      <c r="E107" s="713"/>
      <c r="F107" s="713"/>
      <c r="G107" s="713"/>
      <c r="H107" s="713"/>
      <c r="I107" s="713"/>
      <c r="J107" s="713"/>
      <c r="K107" s="713"/>
      <c r="L107" s="713"/>
      <c r="M107" s="713"/>
      <c r="N107" s="713"/>
      <c r="O107" s="713"/>
      <c r="P107" s="713"/>
      <c r="Q107" s="713"/>
      <c r="R107" s="713"/>
      <c r="S107" s="713"/>
      <c r="T107" s="713"/>
      <c r="U107" s="713"/>
      <c r="V107" s="713"/>
      <c r="W107" s="713"/>
      <c r="X107" s="713"/>
      <c r="Y107" s="713"/>
      <c r="Z107" s="713"/>
      <c r="AA107" s="713"/>
      <c r="AB107" s="713"/>
      <c r="AC107" s="713"/>
      <c r="AD107" s="713"/>
      <c r="AE107" s="713"/>
      <c r="AF107" s="713"/>
      <c r="AG107" s="713"/>
      <c r="AH107" s="713"/>
      <c r="AI107" s="713"/>
      <c r="AJ107" s="713"/>
      <c r="AK107" s="713"/>
      <c r="AL107" s="713"/>
      <c r="AM107" s="713"/>
      <c r="AN107" s="713"/>
      <c r="AO107" s="713"/>
      <c r="AP107" s="713"/>
      <c r="AQ107" s="713"/>
      <c r="AR107" s="713"/>
      <c r="AS107" s="713"/>
      <c r="AT107" s="713"/>
      <c r="AU107" s="713"/>
      <c r="AV107" s="713"/>
      <c r="AW107" s="713"/>
      <c r="AX107" s="713"/>
      <c r="AY107" s="713"/>
      <c r="AZ107" s="713"/>
      <c r="BA107" s="713"/>
      <c r="BB107" s="713"/>
      <c r="BC107" s="713"/>
      <c r="BD107" s="713"/>
      <c r="BE107" s="713"/>
      <c r="BF107" s="713"/>
      <c r="BG107" s="713"/>
      <c r="BH107" s="713"/>
      <c r="BI107" s="713"/>
      <c r="BJ107" s="713"/>
      <c r="BK107" s="713"/>
      <c r="BL107" s="713"/>
      <c r="BM107" s="713"/>
      <c r="BN107" s="713"/>
      <c r="BO107" s="713"/>
      <c r="BP107" s="713"/>
      <c r="BQ107" s="713"/>
      <c r="BR107" s="244"/>
      <c r="BS107" s="244"/>
      <c r="BT107" s="244"/>
      <c r="BU107" s="244"/>
      <c r="BV107" s="244"/>
      <c r="BW107" s="244"/>
      <c r="BX107" s="244"/>
      <c r="BY107" s="244"/>
      <c r="BZ107" s="244"/>
      <c r="CA107" s="244"/>
      <c r="CB107" s="244"/>
      <c r="CC107" s="244"/>
      <c r="CD107" s="244"/>
      <c r="CE107" s="244"/>
      <c r="CF107" s="244"/>
    </row>
    <row r="108" ht="12.75" customHeight="1">
      <c r="A108" s="713"/>
      <c r="B108" s="713"/>
      <c r="C108" s="713"/>
      <c r="D108" s="713"/>
      <c r="E108" s="713"/>
      <c r="F108" s="713"/>
      <c r="G108" s="713"/>
      <c r="H108" s="713"/>
      <c r="I108" s="713"/>
      <c r="J108" s="713"/>
      <c r="K108" s="713"/>
      <c r="L108" s="713"/>
      <c r="M108" s="713"/>
      <c r="N108" s="713"/>
      <c r="O108" s="713"/>
      <c r="P108" s="713"/>
      <c r="Q108" s="713"/>
      <c r="R108" s="713"/>
      <c r="S108" s="713"/>
      <c r="T108" s="713"/>
      <c r="U108" s="713"/>
      <c r="V108" s="713"/>
      <c r="W108" s="713"/>
      <c r="X108" s="713"/>
      <c r="Y108" s="713"/>
      <c r="Z108" s="713"/>
      <c r="AA108" s="713"/>
      <c r="AB108" s="713"/>
      <c r="AC108" s="713"/>
      <c r="AD108" s="713"/>
      <c r="AE108" s="713"/>
      <c r="AF108" s="713"/>
      <c r="AG108" s="713"/>
      <c r="AH108" s="713"/>
      <c r="AI108" s="713"/>
      <c r="AJ108" s="713"/>
      <c r="AK108" s="713"/>
      <c r="AL108" s="713"/>
      <c r="AM108" s="713"/>
      <c r="AN108" s="713"/>
      <c r="AO108" s="713"/>
      <c r="AP108" s="713"/>
      <c r="AQ108" s="713"/>
      <c r="AR108" s="713"/>
      <c r="AS108" s="713"/>
      <c r="AT108" s="713"/>
      <c r="AU108" s="713"/>
      <c r="AV108" s="713"/>
      <c r="AW108" s="713"/>
      <c r="AX108" s="713"/>
      <c r="AY108" s="713"/>
      <c r="AZ108" s="713"/>
      <c r="BA108" s="713"/>
      <c r="BB108" s="713"/>
      <c r="BC108" s="713"/>
      <c r="BD108" s="713"/>
      <c r="BE108" s="713"/>
      <c r="BF108" s="713"/>
      <c r="BG108" s="713"/>
      <c r="BH108" s="713"/>
      <c r="BI108" s="713"/>
      <c r="BJ108" s="713"/>
      <c r="BK108" s="713"/>
      <c r="BL108" s="713"/>
      <c r="BM108" s="713"/>
      <c r="BN108" s="713"/>
      <c r="BO108" s="713"/>
      <c r="BP108" s="713"/>
      <c r="BQ108" s="713"/>
      <c r="BR108" s="244"/>
      <c r="BS108" s="244"/>
      <c r="BT108" s="244"/>
      <c r="BU108" s="244"/>
      <c r="BV108" s="244"/>
      <c r="BW108" s="244"/>
      <c r="BX108" s="244"/>
      <c r="BY108" s="244"/>
      <c r="BZ108" s="244"/>
      <c r="CA108" s="244"/>
      <c r="CB108" s="244"/>
      <c r="CC108" s="244"/>
      <c r="CD108" s="244"/>
      <c r="CE108" s="244"/>
      <c r="CF108" s="244"/>
    </row>
    <row r="109" ht="12.75" customHeight="1">
      <c r="A109" s="713"/>
      <c r="B109" s="713"/>
      <c r="C109" s="713"/>
      <c r="D109" s="713"/>
      <c r="E109" s="713"/>
      <c r="F109" s="713"/>
      <c r="G109" s="713"/>
      <c r="H109" s="713"/>
      <c r="I109" s="713"/>
      <c r="J109" s="713"/>
      <c r="K109" s="713"/>
      <c r="L109" s="713"/>
      <c r="M109" s="713"/>
      <c r="N109" s="713"/>
      <c r="O109" s="713"/>
      <c r="P109" s="713"/>
      <c r="Q109" s="713"/>
      <c r="R109" s="713"/>
      <c r="S109" s="713"/>
      <c r="T109" s="713"/>
      <c r="U109" s="713"/>
      <c r="V109" s="713"/>
      <c r="W109" s="713"/>
      <c r="X109" s="713"/>
      <c r="Y109" s="713"/>
      <c r="Z109" s="713"/>
      <c r="AA109" s="713"/>
      <c r="AB109" s="713"/>
      <c r="AC109" s="713"/>
      <c r="AD109" s="713"/>
      <c r="AE109" s="713"/>
      <c r="AF109" s="713"/>
      <c r="AG109" s="713"/>
      <c r="AH109" s="713"/>
      <c r="AI109" s="713"/>
      <c r="AJ109" s="713"/>
      <c r="AK109" s="713"/>
      <c r="AL109" s="713"/>
      <c r="AM109" s="713"/>
      <c r="AN109" s="713"/>
      <c r="AO109" s="713"/>
      <c r="AP109" s="713"/>
      <c r="AQ109" s="713"/>
      <c r="AR109" s="713"/>
      <c r="AS109" s="713"/>
      <c r="AT109" s="713"/>
      <c r="AU109" s="713"/>
      <c r="AV109" s="713"/>
      <c r="AW109" s="713"/>
      <c r="AX109" s="713"/>
      <c r="AY109" s="713"/>
      <c r="AZ109" s="713"/>
      <c r="BA109" s="713"/>
      <c r="BB109" s="713"/>
      <c r="BC109" s="713"/>
      <c r="BD109" s="713"/>
      <c r="BE109" s="713"/>
      <c r="BF109" s="713"/>
      <c r="BG109" s="713"/>
      <c r="BH109" s="713"/>
      <c r="BI109" s="713"/>
      <c r="BJ109" s="713"/>
      <c r="BK109" s="713"/>
      <c r="BL109" s="713"/>
      <c r="BM109" s="713"/>
      <c r="BN109" s="713"/>
      <c r="BO109" s="713"/>
      <c r="BP109" s="713"/>
      <c r="BQ109" s="713"/>
      <c r="BR109" s="244"/>
      <c r="BS109" s="244"/>
      <c r="BT109" s="244"/>
      <c r="BU109" s="244"/>
      <c r="BV109" s="244"/>
      <c r="BW109" s="244"/>
      <c r="BX109" s="244"/>
      <c r="BY109" s="244"/>
      <c r="BZ109" s="244"/>
      <c r="CA109" s="244"/>
      <c r="CB109" s="244"/>
      <c r="CC109" s="244"/>
      <c r="CD109" s="244"/>
      <c r="CE109" s="244"/>
      <c r="CF109" s="244"/>
    </row>
    <row r="110" ht="12.75" customHeight="1">
      <c r="A110" s="713"/>
      <c r="B110" s="713"/>
      <c r="C110" s="713"/>
      <c r="D110" s="713"/>
      <c r="E110" s="713"/>
      <c r="F110" s="713"/>
      <c r="G110" s="713"/>
      <c r="H110" s="713"/>
      <c r="I110" s="713"/>
      <c r="J110" s="713"/>
      <c r="K110" s="713"/>
      <c r="L110" s="713"/>
      <c r="M110" s="713"/>
      <c r="N110" s="713"/>
      <c r="O110" s="713"/>
      <c r="P110" s="713"/>
      <c r="Q110" s="713"/>
      <c r="R110" s="713"/>
      <c r="S110" s="713"/>
      <c r="T110" s="713"/>
      <c r="U110" s="713"/>
      <c r="V110" s="713"/>
      <c r="W110" s="713"/>
      <c r="X110" s="713"/>
      <c r="Y110" s="713"/>
      <c r="Z110" s="713"/>
      <c r="AA110" s="713"/>
      <c r="AB110" s="713"/>
      <c r="AC110" s="713"/>
      <c r="AD110" s="713"/>
      <c r="AE110" s="713"/>
      <c r="AF110" s="713"/>
      <c r="AG110" s="713"/>
      <c r="AH110" s="713"/>
      <c r="AI110" s="713"/>
      <c r="AJ110" s="713"/>
      <c r="AK110" s="713"/>
      <c r="AL110" s="713"/>
      <c r="AM110" s="713"/>
      <c r="AN110" s="713"/>
      <c r="AO110" s="713"/>
      <c r="AP110" s="713"/>
      <c r="AQ110" s="713"/>
      <c r="AR110" s="713"/>
      <c r="AS110" s="713"/>
      <c r="AT110" s="713"/>
      <c r="AU110" s="713"/>
      <c r="AV110" s="713"/>
      <c r="AW110" s="713"/>
      <c r="AX110" s="713"/>
      <c r="AY110" s="713"/>
      <c r="AZ110" s="713"/>
      <c r="BA110" s="713"/>
      <c r="BB110" s="713"/>
      <c r="BC110" s="713"/>
      <c r="BD110" s="713"/>
      <c r="BE110" s="713"/>
      <c r="BF110" s="713"/>
      <c r="BG110" s="713"/>
      <c r="BH110" s="713"/>
      <c r="BI110" s="713"/>
      <c r="BJ110" s="713"/>
      <c r="BK110" s="713"/>
      <c r="BL110" s="713"/>
      <c r="BM110" s="713"/>
      <c r="BN110" s="713"/>
      <c r="BO110" s="713"/>
      <c r="BP110" s="713"/>
      <c r="BQ110" s="713"/>
      <c r="BR110" s="244"/>
      <c r="BS110" s="244"/>
      <c r="BT110" s="244"/>
      <c r="BU110" s="244"/>
      <c r="BV110" s="244"/>
      <c r="BW110" s="244"/>
      <c r="BX110" s="244"/>
      <c r="BY110" s="244"/>
      <c r="BZ110" s="244"/>
      <c r="CA110" s="244"/>
      <c r="CB110" s="244"/>
      <c r="CC110" s="244"/>
      <c r="CD110" s="244"/>
      <c r="CE110" s="244"/>
      <c r="CF110" s="244"/>
    </row>
    <row r="111" ht="12.75" customHeight="1">
      <c r="A111" s="713"/>
      <c r="B111" s="713"/>
      <c r="C111" s="713"/>
      <c r="D111" s="713"/>
      <c r="E111" s="713"/>
      <c r="F111" s="713"/>
      <c r="G111" s="713"/>
      <c r="H111" s="713"/>
      <c r="I111" s="713"/>
      <c r="J111" s="713"/>
      <c r="K111" s="713"/>
      <c r="L111" s="713"/>
      <c r="M111" s="713"/>
      <c r="N111" s="713"/>
      <c r="O111" s="713"/>
      <c r="P111" s="713"/>
      <c r="Q111" s="713"/>
      <c r="R111" s="713"/>
      <c r="S111" s="713"/>
      <c r="T111" s="713"/>
      <c r="U111" s="713"/>
      <c r="V111" s="713"/>
      <c r="W111" s="713"/>
      <c r="X111" s="713"/>
      <c r="Y111" s="713"/>
      <c r="Z111" s="713"/>
      <c r="AA111" s="713"/>
      <c r="AB111" s="713"/>
      <c r="AC111" s="713"/>
      <c r="AD111" s="713"/>
      <c r="AE111" s="713"/>
      <c r="AF111" s="713"/>
      <c r="AG111" s="713"/>
      <c r="AH111" s="713"/>
      <c r="AI111" s="713"/>
      <c r="AJ111" s="713"/>
      <c r="AK111" s="713"/>
      <c r="AL111" s="713"/>
      <c r="AM111" s="713"/>
      <c r="AN111" s="713"/>
      <c r="AO111" s="713"/>
      <c r="AP111" s="713"/>
      <c r="AQ111" s="713"/>
      <c r="AR111" s="713"/>
      <c r="AS111" s="713"/>
      <c r="AT111" s="713"/>
      <c r="AU111" s="713"/>
      <c r="AV111" s="713"/>
      <c r="AW111" s="713"/>
      <c r="AX111" s="713"/>
      <c r="AY111" s="713"/>
      <c r="AZ111" s="713"/>
      <c r="BA111" s="713"/>
      <c r="BB111" s="713"/>
      <c r="BC111" s="713"/>
      <c r="BD111" s="713"/>
      <c r="BE111" s="713"/>
      <c r="BF111" s="713"/>
      <c r="BG111" s="713"/>
      <c r="BH111" s="713"/>
      <c r="BI111" s="713"/>
      <c r="BJ111" s="713"/>
      <c r="BK111" s="713"/>
      <c r="BL111" s="713"/>
      <c r="BM111" s="713"/>
      <c r="BN111" s="713"/>
      <c r="BO111" s="713"/>
      <c r="BP111" s="713"/>
      <c r="BQ111" s="713"/>
      <c r="BR111" s="244"/>
      <c r="BS111" s="244"/>
      <c r="BT111" s="244"/>
      <c r="BU111" s="244"/>
      <c r="BV111" s="244"/>
      <c r="BW111" s="244"/>
      <c r="BX111" s="244"/>
      <c r="BY111" s="244"/>
      <c r="BZ111" s="244"/>
      <c r="CA111" s="244"/>
      <c r="CB111" s="244"/>
      <c r="CC111" s="244"/>
      <c r="CD111" s="244"/>
      <c r="CE111" s="244"/>
      <c r="CF111" s="244"/>
    </row>
    <row r="112" ht="12.75" customHeight="1">
      <c r="A112" s="713"/>
      <c r="B112" s="713"/>
      <c r="C112" s="713"/>
      <c r="D112" s="713"/>
      <c r="E112" s="713"/>
      <c r="F112" s="713"/>
      <c r="G112" s="713"/>
      <c r="H112" s="713"/>
      <c r="I112" s="713"/>
      <c r="J112" s="713"/>
      <c r="K112" s="713"/>
      <c r="L112" s="713"/>
      <c r="M112" s="713"/>
      <c r="N112" s="713"/>
      <c r="O112" s="713"/>
      <c r="P112" s="713"/>
      <c r="Q112" s="713"/>
      <c r="R112" s="713"/>
      <c r="S112" s="713"/>
      <c r="T112" s="713"/>
      <c r="U112" s="713"/>
      <c r="V112" s="713"/>
      <c r="W112" s="713"/>
      <c r="X112" s="713"/>
      <c r="Y112" s="713"/>
      <c r="Z112" s="713"/>
      <c r="AA112" s="713"/>
      <c r="AB112" s="713"/>
      <c r="AC112" s="713"/>
      <c r="AD112" s="713"/>
      <c r="AE112" s="713"/>
      <c r="AF112" s="713"/>
      <c r="AG112" s="713"/>
      <c r="AH112" s="713"/>
      <c r="AI112" s="713"/>
      <c r="AJ112" s="713"/>
      <c r="AK112" s="713"/>
      <c r="AL112" s="713"/>
      <c r="AM112" s="713"/>
      <c r="AN112" s="713"/>
      <c r="AO112" s="713"/>
      <c r="AP112" s="713"/>
      <c r="AQ112" s="713"/>
      <c r="AR112" s="713"/>
      <c r="AS112" s="713"/>
      <c r="AT112" s="713"/>
      <c r="AU112" s="713"/>
      <c r="AV112" s="713"/>
      <c r="AW112" s="713"/>
      <c r="AX112" s="713"/>
      <c r="AY112" s="713"/>
      <c r="AZ112" s="713"/>
      <c r="BA112" s="713"/>
      <c r="BB112" s="713"/>
      <c r="BC112" s="713"/>
      <c r="BD112" s="713"/>
      <c r="BE112" s="713"/>
      <c r="BF112" s="713"/>
      <c r="BG112" s="713"/>
      <c r="BH112" s="713"/>
      <c r="BI112" s="713"/>
      <c r="BJ112" s="713"/>
      <c r="BK112" s="713"/>
      <c r="BL112" s="713"/>
      <c r="BM112" s="713"/>
      <c r="BN112" s="713"/>
      <c r="BO112" s="713"/>
      <c r="BP112" s="713"/>
      <c r="BQ112" s="713"/>
      <c r="BR112" s="244"/>
      <c r="BS112" s="244"/>
      <c r="BT112" s="244"/>
      <c r="BU112" s="244"/>
      <c r="BV112" s="244"/>
      <c r="BW112" s="244"/>
      <c r="BX112" s="244"/>
      <c r="BY112" s="244"/>
      <c r="BZ112" s="244"/>
      <c r="CA112" s="244"/>
      <c r="CB112" s="244"/>
      <c r="CC112" s="244"/>
      <c r="CD112" s="244"/>
      <c r="CE112" s="244"/>
      <c r="CF112" s="244"/>
    </row>
    <row r="113" ht="12.75" customHeight="1">
      <c r="A113" s="713"/>
      <c r="B113" s="713"/>
      <c r="C113" s="713"/>
      <c r="D113" s="713"/>
      <c r="E113" s="713"/>
      <c r="F113" s="713"/>
      <c r="G113" s="713"/>
      <c r="H113" s="713"/>
      <c r="I113" s="713"/>
      <c r="J113" s="713"/>
      <c r="K113" s="713"/>
      <c r="L113" s="713"/>
      <c r="M113" s="713"/>
      <c r="N113" s="713"/>
      <c r="O113" s="713"/>
      <c r="P113" s="713"/>
      <c r="Q113" s="713"/>
      <c r="R113" s="713"/>
      <c r="S113" s="713"/>
      <c r="T113" s="713"/>
      <c r="U113" s="713"/>
      <c r="V113" s="713"/>
      <c r="W113" s="713"/>
      <c r="X113" s="713"/>
      <c r="Y113" s="713"/>
      <c r="Z113" s="713"/>
      <c r="AA113" s="713"/>
      <c r="AB113" s="713"/>
      <c r="AC113" s="713"/>
      <c r="AD113" s="713"/>
      <c r="AE113" s="713"/>
      <c r="AF113" s="713"/>
      <c r="AG113" s="713"/>
      <c r="AH113" s="713"/>
      <c r="AI113" s="713"/>
      <c r="AJ113" s="713"/>
      <c r="AK113" s="713"/>
      <c r="AL113" s="713"/>
      <c r="AM113" s="713"/>
      <c r="AN113" s="713"/>
      <c r="AO113" s="713"/>
      <c r="AP113" s="713"/>
      <c r="AQ113" s="713"/>
      <c r="AR113" s="713"/>
      <c r="AS113" s="713"/>
      <c r="AT113" s="713"/>
      <c r="AU113" s="713"/>
      <c r="AV113" s="713"/>
      <c r="AW113" s="713"/>
      <c r="AX113" s="713"/>
      <c r="AY113" s="713"/>
      <c r="AZ113" s="713"/>
      <c r="BA113" s="713"/>
      <c r="BB113" s="713"/>
      <c r="BC113" s="713"/>
      <c r="BD113" s="713"/>
      <c r="BE113" s="713"/>
      <c r="BF113" s="713"/>
      <c r="BG113" s="713"/>
      <c r="BH113" s="713"/>
      <c r="BI113" s="713"/>
      <c r="BJ113" s="713"/>
      <c r="BK113" s="713"/>
      <c r="BL113" s="713"/>
      <c r="BM113" s="713"/>
      <c r="BN113" s="713"/>
      <c r="BO113" s="713"/>
      <c r="BP113" s="713"/>
      <c r="BQ113" s="713"/>
      <c r="BR113" s="244"/>
      <c r="BS113" s="244"/>
      <c r="BT113" s="244"/>
      <c r="BU113" s="244"/>
      <c r="BV113" s="244"/>
      <c r="BW113" s="244"/>
      <c r="BX113" s="244"/>
      <c r="BY113" s="244"/>
      <c r="BZ113" s="244"/>
      <c r="CA113" s="244"/>
      <c r="CB113" s="244"/>
      <c r="CC113" s="244"/>
      <c r="CD113" s="244"/>
      <c r="CE113" s="244"/>
      <c r="CF113" s="244"/>
    </row>
    <row r="114">
      <c r="A114" s="713"/>
      <c r="B114" s="713"/>
      <c r="C114" s="713"/>
      <c r="D114" s="713"/>
      <c r="E114" s="713"/>
      <c r="F114" s="713"/>
      <c r="G114" s="713"/>
      <c r="H114" s="713"/>
      <c r="I114" s="713"/>
      <c r="J114" s="713"/>
      <c r="K114" s="713"/>
      <c r="L114" s="713"/>
      <c r="M114" s="713"/>
      <c r="N114" s="713"/>
      <c r="O114" s="713"/>
      <c r="P114" s="713"/>
      <c r="Q114" s="713"/>
      <c r="R114" s="713"/>
      <c r="S114" s="713"/>
      <c r="T114" s="713"/>
      <c r="U114" s="713"/>
      <c r="V114" s="713"/>
      <c r="W114" s="713"/>
      <c r="X114" s="713"/>
      <c r="Y114" s="713"/>
      <c r="Z114" s="713"/>
      <c r="AA114" s="713"/>
      <c r="AB114" s="713"/>
      <c r="AC114" s="713"/>
      <c r="AD114" s="713"/>
      <c r="AE114" s="713"/>
      <c r="AF114" s="713"/>
      <c r="AG114" s="713"/>
      <c r="AH114" s="713"/>
      <c r="AI114" s="713"/>
      <c r="AJ114" s="713"/>
      <c r="AK114" s="713"/>
      <c r="AL114" s="713"/>
      <c r="AM114" s="713"/>
      <c r="AN114" s="713"/>
      <c r="AO114" s="713"/>
      <c r="AP114" s="713"/>
      <c r="AQ114" s="713"/>
      <c r="AR114" s="713"/>
      <c r="AS114" s="713"/>
      <c r="AT114" s="713"/>
      <c r="AU114" s="713"/>
      <c r="AV114" s="713"/>
      <c r="AW114" s="713"/>
      <c r="AX114" s="713"/>
      <c r="AY114" s="713"/>
      <c r="AZ114" s="713"/>
      <c r="BA114" s="713"/>
      <c r="BB114" s="713"/>
      <c r="BC114" s="713"/>
      <c r="BD114" s="713"/>
      <c r="BE114" s="713"/>
      <c r="BF114" s="713"/>
      <c r="BG114" s="713"/>
      <c r="BH114" s="713"/>
      <c r="BI114" s="713"/>
      <c r="BJ114" s="713"/>
      <c r="BK114" s="713"/>
      <c r="BL114" s="713"/>
      <c r="BM114" s="713"/>
      <c r="BN114" s="713"/>
      <c r="BO114" s="713"/>
      <c r="BP114" s="713"/>
      <c r="BQ114" s="713"/>
      <c r="BR114" s="244"/>
      <c r="BS114" s="244"/>
      <c r="BT114" s="244"/>
      <c r="BU114" s="244"/>
      <c r="BV114" s="244"/>
      <c r="BW114" s="244"/>
      <c r="BX114" s="244"/>
      <c r="BY114" s="244"/>
      <c r="BZ114" s="244"/>
      <c r="CA114" s="244"/>
      <c r="CB114" s="244"/>
      <c r="CC114" s="244"/>
      <c r="CD114" s="244"/>
      <c r="CE114" s="244"/>
      <c r="CF114" s="244"/>
    </row>
    <row r="115">
      <c r="A115" s="244"/>
      <c r="B115" s="246"/>
      <c r="C115" s="244"/>
      <c r="D115" s="244"/>
      <c r="E115" s="244"/>
      <c r="F115" s="244"/>
      <c r="G115" s="244"/>
      <c r="H115" s="244"/>
      <c r="I115" s="244"/>
      <c r="J115" s="244"/>
      <c r="K115" s="244"/>
      <c r="L115" s="244"/>
      <c r="M115" s="244"/>
      <c r="N115" s="244"/>
      <c r="O115" s="244"/>
      <c r="P115" s="244"/>
      <c r="Q115" s="244"/>
      <c r="R115" s="244"/>
      <c r="S115" s="244"/>
      <c r="T115" s="244"/>
      <c r="U115" s="244"/>
      <c r="V115" s="244"/>
      <c r="W115" s="244"/>
      <c r="X115" s="244"/>
      <c r="Y115" s="244"/>
      <c r="Z115" s="244"/>
      <c r="AA115" s="244"/>
      <c r="AB115" s="244"/>
      <c r="AC115" s="244"/>
      <c r="AD115" s="244"/>
      <c r="AE115" s="244"/>
      <c r="AF115" s="244"/>
      <c r="AG115" s="244"/>
      <c r="AH115" s="244"/>
      <c r="AI115" s="244"/>
      <c r="AJ115" s="244"/>
      <c r="AK115" s="244"/>
      <c r="AL115" s="244"/>
      <c r="AM115" s="244"/>
      <c r="AN115" s="244"/>
      <c r="AO115" s="244"/>
      <c r="AP115" s="244"/>
      <c r="AQ115" s="244"/>
      <c r="AR115" s="244"/>
      <c r="AS115" s="244"/>
      <c r="AT115" s="244"/>
      <c r="AU115" s="244"/>
      <c r="AV115" s="244"/>
      <c r="AW115" s="244"/>
      <c r="AX115" s="244"/>
      <c r="AY115" s="244"/>
      <c r="AZ115" s="244"/>
      <c r="BA115" s="244"/>
      <c r="BB115" s="244"/>
      <c r="BC115" s="244"/>
      <c r="BD115" s="244"/>
      <c r="BE115" s="244"/>
      <c r="BF115" s="244"/>
      <c r="BG115" s="244"/>
      <c r="BH115" s="244"/>
      <c r="BI115" s="244"/>
      <c r="BJ115" s="244"/>
      <c r="BK115" s="244"/>
      <c r="BL115" s="244"/>
      <c r="BM115" s="244"/>
      <c r="BN115" s="244"/>
      <c r="BO115" s="244"/>
      <c r="BP115" s="244"/>
      <c r="BQ115" s="244"/>
      <c r="BR115" s="244"/>
      <c r="BS115" s="244"/>
      <c r="BT115" s="244"/>
      <c r="BU115" s="244"/>
      <c r="BV115" s="244"/>
      <c r="BW115" s="244"/>
      <c r="BX115" s="244"/>
      <c r="BY115" s="244"/>
      <c r="BZ115" s="244"/>
      <c r="CA115" s="244"/>
      <c r="CB115" s="244"/>
      <c r="CC115" s="244"/>
      <c r="CD115" s="244"/>
      <c r="CE115" s="244"/>
      <c r="CF115" s="244"/>
    </row>
    <row r="116">
      <c r="A116" s="244"/>
      <c r="B116" s="246"/>
      <c r="C116" s="244"/>
      <c r="D116" s="244"/>
      <c r="E116" s="244"/>
      <c r="F116" s="244"/>
      <c r="G116" s="244"/>
      <c r="H116" s="244"/>
      <c r="I116" s="244"/>
      <c r="J116" s="244"/>
      <c r="K116" s="244"/>
      <c r="L116" s="244"/>
      <c r="M116" s="244"/>
      <c r="N116" s="244"/>
      <c r="O116" s="244"/>
      <c r="P116" s="244"/>
      <c r="Q116" s="244"/>
      <c r="R116" s="244"/>
      <c r="S116" s="244"/>
      <c r="T116" s="244"/>
      <c r="U116" s="244"/>
      <c r="V116" s="244"/>
      <c r="W116" s="244"/>
      <c r="X116" s="244"/>
      <c r="Y116" s="244"/>
      <c r="Z116" s="244"/>
      <c r="AA116" s="244"/>
      <c r="AB116" s="244"/>
      <c r="AC116" s="244"/>
      <c r="AD116" s="244"/>
      <c r="AE116" s="244"/>
      <c r="AF116" s="244"/>
      <c r="AG116" s="244"/>
      <c r="AH116" s="244"/>
      <c r="AI116" s="244"/>
      <c r="AJ116" s="244"/>
      <c r="AK116" s="244"/>
      <c r="AL116" s="244"/>
      <c r="AM116" s="244"/>
      <c r="AN116" s="244"/>
      <c r="AO116" s="244"/>
      <c r="AP116" s="244"/>
      <c r="AQ116" s="244"/>
      <c r="AR116" s="244"/>
      <c r="AS116" s="244"/>
      <c r="AT116" s="244"/>
      <c r="AU116" s="244"/>
      <c r="AV116" s="244"/>
      <c r="AW116" s="244"/>
      <c r="AX116" s="244"/>
      <c r="AY116" s="244"/>
      <c r="AZ116" s="244"/>
      <c r="BA116" s="244"/>
      <c r="BB116" s="244"/>
      <c r="BC116" s="244"/>
      <c r="BD116" s="244"/>
      <c r="BE116" s="244"/>
      <c r="BF116" s="244"/>
      <c r="BG116" s="244"/>
      <c r="BH116" s="244"/>
      <c r="BI116" s="244"/>
      <c r="BJ116" s="244"/>
      <c r="BK116" s="244"/>
      <c r="BL116" s="244"/>
      <c r="BM116" s="244"/>
      <c r="BN116" s="244"/>
      <c r="BO116" s="244"/>
      <c r="BP116" s="244"/>
      <c r="BQ116" s="244"/>
      <c r="BR116" s="244"/>
      <c r="BS116" s="244"/>
      <c r="BT116" s="244"/>
      <c r="BU116" s="244"/>
      <c r="BV116" s="244"/>
      <c r="BW116" s="244"/>
      <c r="BX116" s="244"/>
      <c r="BY116" s="244"/>
      <c r="BZ116" s="244"/>
      <c r="CA116" s="244"/>
      <c r="CB116" s="244"/>
      <c r="CC116" s="244"/>
      <c r="CD116" s="244"/>
      <c r="CE116" s="244"/>
      <c r="CF116" s="244"/>
    </row>
    <row r="117">
      <c r="A117" s="244"/>
      <c r="B117" s="246"/>
      <c r="C117" s="244"/>
      <c r="D117" s="244"/>
      <c r="E117" s="244"/>
      <c r="F117" s="244"/>
      <c r="G117" s="244"/>
      <c r="H117" s="244"/>
      <c r="I117" s="244"/>
      <c r="J117" s="244"/>
      <c r="K117" s="244"/>
      <c r="L117" s="244"/>
      <c r="M117" s="244"/>
      <c r="N117" s="244"/>
      <c r="O117" s="244"/>
      <c r="P117" s="244"/>
      <c r="Q117" s="244"/>
      <c r="R117" s="244"/>
      <c r="S117" s="244"/>
      <c r="T117" s="244"/>
      <c r="U117" s="244"/>
      <c r="V117" s="244"/>
      <c r="W117" s="244"/>
      <c r="X117" s="244"/>
      <c r="Y117" s="244"/>
      <c r="Z117" s="244"/>
      <c r="AA117" s="244"/>
      <c r="AB117" s="244"/>
      <c r="AC117" s="244"/>
      <c r="AD117" s="244"/>
      <c r="AE117" s="244"/>
      <c r="AF117" s="244"/>
      <c r="AG117" s="244"/>
      <c r="AH117" s="244"/>
      <c r="AI117" s="244"/>
      <c r="AJ117" s="244"/>
      <c r="AK117" s="244"/>
      <c r="AL117" s="244"/>
      <c r="AM117" s="244"/>
      <c r="AN117" s="244"/>
      <c r="AO117" s="244"/>
      <c r="AP117" s="244"/>
      <c r="AQ117" s="244"/>
      <c r="AR117" s="244"/>
      <c r="AS117" s="244"/>
      <c r="AT117" s="244"/>
      <c r="AU117" s="244"/>
      <c r="AV117" s="244"/>
      <c r="AW117" s="244"/>
      <c r="AX117" s="244"/>
      <c r="AY117" s="244"/>
      <c r="AZ117" s="244"/>
      <c r="BA117" s="244"/>
      <c r="BB117" s="244"/>
      <c r="BC117" s="244"/>
      <c r="BD117" s="244"/>
      <c r="BE117" s="244"/>
      <c r="BF117" s="244"/>
      <c r="BG117" s="244"/>
      <c r="BH117" s="244"/>
      <c r="BI117" s="244"/>
      <c r="BJ117" s="244"/>
      <c r="BK117" s="244"/>
      <c r="BL117" s="244"/>
      <c r="BM117" s="244"/>
      <c r="BN117" s="244"/>
      <c r="BO117" s="244"/>
      <c r="BP117" s="244"/>
      <c r="BQ117" s="244"/>
      <c r="BR117" s="244"/>
      <c r="BS117" s="244"/>
      <c r="BT117" s="244"/>
      <c r="BU117" s="244"/>
      <c r="BV117" s="244"/>
      <c r="BW117" s="244"/>
      <c r="BX117" s="244"/>
      <c r="BY117" s="244"/>
      <c r="BZ117" s="244"/>
      <c r="CA117" s="244"/>
      <c r="CB117" s="244"/>
      <c r="CC117" s="244"/>
      <c r="CD117" s="244"/>
      <c r="CE117" s="244"/>
      <c r="CF117" s="244"/>
    </row>
    <row r="118">
      <c r="A118" s="244"/>
      <c r="B118" s="246"/>
      <c r="C118" s="244"/>
      <c r="D118" s="244"/>
      <c r="E118" s="244"/>
      <c r="F118" s="244"/>
      <c r="G118" s="244"/>
      <c r="H118" s="244"/>
      <c r="I118" s="244"/>
      <c r="J118" s="244"/>
      <c r="K118" s="244"/>
      <c r="L118" s="244"/>
      <c r="M118" s="244"/>
      <c r="N118" s="244"/>
      <c r="O118" s="244"/>
      <c r="P118" s="244"/>
      <c r="Q118" s="244"/>
      <c r="R118" s="244"/>
      <c r="S118" s="244"/>
      <c r="T118" s="244"/>
      <c r="U118" s="244"/>
      <c r="V118" s="244"/>
      <c r="W118" s="244"/>
      <c r="X118" s="244"/>
      <c r="Y118" s="244"/>
      <c r="Z118" s="244"/>
      <c r="AA118" s="244"/>
      <c r="AB118" s="244"/>
      <c r="AC118" s="244"/>
      <c r="AD118" s="244"/>
      <c r="AE118" s="244"/>
      <c r="AF118" s="244"/>
      <c r="AG118" s="244"/>
      <c r="AH118" s="244"/>
      <c r="AI118" s="244"/>
      <c r="AJ118" s="244"/>
      <c r="AK118" s="244"/>
      <c r="AL118" s="244"/>
      <c r="AM118" s="244"/>
      <c r="AN118" s="244"/>
      <c r="AO118" s="244"/>
      <c r="AP118" s="244"/>
      <c r="AQ118" s="244"/>
      <c r="AR118" s="244"/>
      <c r="AS118" s="244"/>
      <c r="AT118" s="244"/>
      <c r="AU118" s="244"/>
      <c r="AV118" s="244"/>
      <c r="AW118" s="244"/>
      <c r="AX118" s="244"/>
      <c r="AY118" s="244"/>
      <c r="AZ118" s="244"/>
      <c r="BA118" s="244"/>
      <c r="BB118" s="244"/>
      <c r="BC118" s="244"/>
      <c r="BD118" s="244"/>
      <c r="BE118" s="244"/>
      <c r="BF118" s="244"/>
      <c r="BG118" s="244"/>
      <c r="BH118" s="244"/>
      <c r="BI118" s="244"/>
      <c r="BJ118" s="244"/>
      <c r="BK118" s="244"/>
      <c r="BL118" s="244"/>
      <c r="BM118" s="244"/>
      <c r="BN118" s="244"/>
      <c r="BO118" s="244"/>
      <c r="BP118" s="244"/>
      <c r="BQ118" s="244"/>
      <c r="BR118" s="244"/>
      <c r="BS118" s="244"/>
      <c r="BT118" s="244"/>
      <c r="BU118" s="244"/>
      <c r="BV118" s="244"/>
      <c r="BW118" s="244"/>
      <c r="BX118" s="244"/>
      <c r="BY118" s="244"/>
      <c r="BZ118" s="244"/>
      <c r="CA118" s="244"/>
      <c r="CB118" s="244"/>
      <c r="CC118" s="244"/>
      <c r="CD118" s="244"/>
      <c r="CE118" s="244"/>
      <c r="CF118" s="244"/>
    </row>
    <row r="119">
      <c r="A119" s="244"/>
      <c r="B119" s="246"/>
      <c r="C119" s="244"/>
      <c r="D119" s="244"/>
      <c r="E119" s="244"/>
      <c r="F119" s="244"/>
      <c r="G119" s="244"/>
      <c r="H119" s="244"/>
      <c r="I119" s="244"/>
      <c r="J119" s="244"/>
      <c r="K119" s="244"/>
      <c r="L119" s="244"/>
      <c r="M119" s="244"/>
      <c r="N119" s="244"/>
      <c r="O119" s="244"/>
      <c r="P119" s="244"/>
      <c r="Q119" s="244"/>
      <c r="R119" s="244"/>
      <c r="S119" s="244"/>
      <c r="T119" s="244"/>
      <c r="U119" s="244"/>
      <c r="V119" s="244"/>
      <c r="W119" s="244"/>
      <c r="X119" s="244"/>
      <c r="Y119" s="244"/>
      <c r="Z119" s="244"/>
      <c r="AA119" s="244"/>
      <c r="AB119" s="244"/>
      <c r="AC119" s="244"/>
      <c r="AD119" s="244"/>
      <c r="AE119" s="244"/>
      <c r="AF119" s="244"/>
      <c r="AG119" s="244"/>
      <c r="AH119" s="244"/>
      <c r="AI119" s="244"/>
      <c r="AJ119" s="244"/>
      <c r="AK119" s="244"/>
      <c r="AL119" s="244"/>
      <c r="AM119" s="244"/>
      <c r="AN119" s="244"/>
      <c r="AO119" s="244"/>
      <c r="AP119" s="244"/>
      <c r="AQ119" s="244"/>
      <c r="AR119" s="244"/>
      <c r="AS119" s="244"/>
      <c r="AT119" s="244"/>
      <c r="AU119" s="244"/>
      <c r="AV119" s="244"/>
      <c r="AW119" s="244"/>
      <c r="AX119" s="244"/>
      <c r="AY119" s="244"/>
      <c r="AZ119" s="244"/>
      <c r="BA119" s="244"/>
      <c r="BB119" s="244"/>
      <c r="BC119" s="244"/>
      <c r="BD119" s="244"/>
      <c r="BE119" s="244"/>
      <c r="BF119" s="244"/>
      <c r="BG119" s="244"/>
      <c r="BH119" s="244"/>
      <c r="BI119" s="244"/>
      <c r="BJ119" s="244"/>
      <c r="BK119" s="244"/>
      <c r="BL119" s="244"/>
      <c r="BM119" s="244"/>
      <c r="BN119" s="244"/>
      <c r="BO119" s="244"/>
      <c r="BP119" s="244"/>
      <c r="BQ119" s="244"/>
      <c r="BR119" s="244"/>
      <c r="BS119" s="244"/>
      <c r="BT119" s="244"/>
      <c r="BU119" s="244"/>
      <c r="BV119" s="244"/>
      <c r="BW119" s="244"/>
      <c r="BX119" s="244"/>
      <c r="BY119" s="244"/>
      <c r="BZ119" s="244"/>
      <c r="CA119" s="244"/>
      <c r="CB119" s="244"/>
      <c r="CC119" s="244"/>
      <c r="CD119" s="244"/>
      <c r="CE119" s="244"/>
      <c r="CF119" s="244"/>
    </row>
    <row r="120">
      <c r="A120" s="244"/>
      <c r="B120" s="246"/>
      <c r="C120" s="244"/>
      <c r="D120" s="244"/>
      <c r="E120" s="244"/>
      <c r="F120" s="244"/>
      <c r="G120" s="244"/>
      <c r="H120" s="244"/>
      <c r="I120" s="244"/>
      <c r="J120" s="244"/>
      <c r="K120" s="244"/>
      <c r="L120" s="244"/>
      <c r="M120" s="244"/>
      <c r="N120" s="244"/>
      <c r="O120" s="244"/>
      <c r="P120" s="244"/>
      <c r="Q120" s="244"/>
      <c r="R120" s="244"/>
      <c r="S120" s="244"/>
      <c r="T120" s="244"/>
      <c r="U120" s="244"/>
      <c r="V120" s="244"/>
      <c r="W120" s="244"/>
      <c r="X120" s="244"/>
      <c r="Y120" s="244"/>
      <c r="Z120" s="244"/>
      <c r="AA120" s="244"/>
      <c r="AB120" s="244"/>
      <c r="AC120" s="244"/>
      <c r="AD120" s="244"/>
      <c r="AE120" s="244"/>
      <c r="AF120" s="244"/>
      <c r="AG120" s="244"/>
      <c r="AH120" s="244"/>
      <c r="AI120" s="244"/>
      <c r="AJ120" s="244"/>
      <c r="AK120" s="244"/>
      <c r="AL120" s="244"/>
      <c r="AM120" s="244"/>
      <c r="AN120" s="244"/>
      <c r="AO120" s="244"/>
      <c r="AP120" s="244"/>
      <c r="AQ120" s="244"/>
      <c r="AR120" s="244"/>
      <c r="AS120" s="244"/>
      <c r="AT120" s="244"/>
      <c r="AU120" s="244"/>
      <c r="AV120" s="244"/>
      <c r="AW120" s="244"/>
      <c r="AX120" s="244"/>
      <c r="AY120" s="244"/>
      <c r="AZ120" s="244"/>
      <c r="BA120" s="244"/>
      <c r="BB120" s="244"/>
      <c r="BC120" s="244"/>
      <c r="BD120" s="244"/>
      <c r="BE120" s="244"/>
      <c r="BF120" s="244"/>
      <c r="BG120" s="244"/>
      <c r="BH120" s="244"/>
      <c r="BI120" s="244"/>
      <c r="BJ120" s="244"/>
      <c r="BK120" s="244"/>
      <c r="BL120" s="244"/>
      <c r="BM120" s="244"/>
      <c r="BN120" s="244"/>
      <c r="BO120" s="244"/>
      <c r="BP120" s="244"/>
      <c r="BQ120" s="244"/>
      <c r="BR120" s="244"/>
      <c r="BS120" s="244"/>
      <c r="BT120" s="244"/>
      <c r="BU120" s="244"/>
      <c r="BV120" s="244"/>
      <c r="BW120" s="244"/>
      <c r="BX120" s="244"/>
      <c r="BY120" s="244"/>
      <c r="BZ120" s="244"/>
      <c r="CA120" s="244"/>
      <c r="CB120" s="244"/>
      <c r="CC120" s="244"/>
      <c r="CD120" s="244"/>
      <c r="CE120" s="244"/>
      <c r="CF120" s="244"/>
    </row>
    <row r="121">
      <c r="A121" s="244"/>
      <c r="B121" s="246"/>
      <c r="C121" s="244"/>
      <c r="D121" s="244"/>
      <c r="E121" s="244"/>
      <c r="F121" s="244"/>
      <c r="G121" s="244"/>
      <c r="H121" s="244"/>
      <c r="I121" s="244"/>
      <c r="J121" s="244"/>
      <c r="K121" s="244"/>
      <c r="L121" s="244"/>
      <c r="M121" s="244"/>
      <c r="N121" s="244"/>
      <c r="O121" s="244"/>
      <c r="P121" s="244"/>
      <c r="Q121" s="244"/>
      <c r="R121" s="244"/>
      <c r="S121" s="244"/>
      <c r="T121" s="244"/>
      <c r="U121" s="244"/>
      <c r="V121" s="244"/>
      <c r="W121" s="244"/>
      <c r="X121" s="244"/>
      <c r="Y121" s="244"/>
      <c r="Z121" s="244"/>
      <c r="AA121" s="244"/>
      <c r="AB121" s="244"/>
      <c r="AC121" s="244"/>
      <c r="AD121" s="244"/>
      <c r="AE121" s="244"/>
      <c r="AF121" s="244"/>
      <c r="AG121" s="244"/>
      <c r="AH121" s="244"/>
      <c r="AI121" s="244"/>
      <c r="AJ121" s="244"/>
      <c r="AK121" s="244"/>
      <c r="AL121" s="244"/>
      <c r="AM121" s="244"/>
      <c r="AN121" s="244"/>
      <c r="AO121" s="244"/>
      <c r="AP121" s="244"/>
      <c r="AQ121" s="244"/>
      <c r="AR121" s="244"/>
      <c r="AS121" s="244"/>
      <c r="AT121" s="244"/>
      <c r="AU121" s="244"/>
      <c r="AV121" s="244"/>
      <c r="AW121" s="244"/>
      <c r="AX121" s="244"/>
      <c r="AY121" s="244"/>
      <c r="AZ121" s="244"/>
      <c r="BA121" s="244"/>
      <c r="BB121" s="244"/>
      <c r="BC121" s="244"/>
      <c r="BD121" s="244"/>
      <c r="BE121" s="244"/>
      <c r="BF121" s="244"/>
      <c r="BG121" s="244"/>
      <c r="BH121" s="244"/>
      <c r="BI121" s="244"/>
      <c r="BJ121" s="244"/>
      <c r="BK121" s="244"/>
      <c r="BL121" s="244"/>
      <c r="BM121" s="244"/>
      <c r="BN121" s="244"/>
      <c r="BO121" s="244"/>
      <c r="BP121" s="244"/>
      <c r="BQ121" s="244"/>
      <c r="BR121" s="244"/>
      <c r="BS121" s="244"/>
      <c r="BT121" s="244"/>
      <c r="BU121" s="244"/>
      <c r="BV121" s="244"/>
      <c r="BW121" s="244"/>
      <c r="BX121" s="244"/>
      <c r="BY121" s="244"/>
      <c r="BZ121" s="244"/>
      <c r="CA121" s="244"/>
      <c r="CB121" s="244"/>
      <c r="CC121" s="244"/>
      <c r="CD121" s="244"/>
      <c r="CE121" s="244"/>
      <c r="CF121" s="244"/>
    </row>
    <row r="122">
      <c r="A122" s="244"/>
      <c r="B122" s="246"/>
      <c r="C122" s="244"/>
      <c r="D122" s="244"/>
      <c r="E122" s="244"/>
      <c r="F122" s="244"/>
      <c r="G122" s="244"/>
      <c r="H122" s="244"/>
      <c r="I122" s="244"/>
      <c r="J122" s="244"/>
      <c r="K122" s="244"/>
      <c r="L122" s="244"/>
      <c r="M122" s="244"/>
      <c r="N122" s="244"/>
      <c r="O122" s="244"/>
      <c r="P122" s="244"/>
      <c r="Q122" s="244"/>
      <c r="R122" s="244"/>
      <c r="S122" s="244"/>
      <c r="T122" s="244"/>
      <c r="U122" s="244"/>
      <c r="V122" s="244"/>
      <c r="W122" s="244"/>
      <c r="X122" s="244"/>
      <c r="Y122" s="244"/>
      <c r="Z122" s="244"/>
      <c r="AA122" s="244"/>
      <c r="AB122" s="244"/>
      <c r="AC122" s="244"/>
      <c r="AD122" s="244"/>
      <c r="AE122" s="244"/>
      <c r="AF122" s="244"/>
      <c r="AG122" s="244"/>
      <c r="AH122" s="244"/>
      <c r="AI122" s="244"/>
      <c r="AJ122" s="244"/>
      <c r="AK122" s="244"/>
      <c r="AL122" s="244"/>
      <c r="AM122" s="244"/>
      <c r="AN122" s="244"/>
      <c r="AO122" s="244"/>
      <c r="AP122" s="244"/>
      <c r="AQ122" s="244"/>
      <c r="AR122" s="244"/>
      <c r="AS122" s="244"/>
      <c r="AT122" s="244"/>
      <c r="AU122" s="244"/>
      <c r="AV122" s="244"/>
      <c r="AW122" s="244"/>
      <c r="AX122" s="244"/>
      <c r="AY122" s="244"/>
      <c r="AZ122" s="244"/>
      <c r="BA122" s="244"/>
      <c r="BB122" s="244"/>
      <c r="BC122" s="244"/>
      <c r="BD122" s="244"/>
      <c r="BE122" s="244"/>
      <c r="BF122" s="244"/>
      <c r="BG122" s="244"/>
      <c r="BH122" s="244"/>
      <c r="BI122" s="244"/>
      <c r="BJ122" s="244"/>
      <c r="BK122" s="244"/>
      <c r="BL122" s="244"/>
      <c r="BM122" s="244"/>
      <c r="BN122" s="244"/>
      <c r="BO122" s="244"/>
      <c r="BP122" s="244"/>
      <c r="BQ122" s="244"/>
      <c r="BR122" s="244"/>
      <c r="BS122" s="244"/>
      <c r="BT122" s="244"/>
      <c r="BU122" s="244"/>
      <c r="BV122" s="244"/>
      <c r="BW122" s="244"/>
      <c r="BX122" s="244"/>
      <c r="BY122" s="244"/>
      <c r="BZ122" s="244"/>
      <c r="CA122" s="244"/>
      <c r="CB122" s="244"/>
      <c r="CC122" s="244"/>
      <c r="CD122" s="244"/>
      <c r="CE122" s="244"/>
      <c r="CF122" s="244"/>
    </row>
    <row r="123">
      <c r="A123" s="244"/>
      <c r="B123" s="246"/>
      <c r="C123" s="244"/>
      <c r="D123" s="244"/>
      <c r="E123" s="244"/>
      <c r="F123" s="244"/>
      <c r="G123" s="244"/>
      <c r="H123" s="244"/>
      <c r="I123" s="244"/>
      <c r="J123" s="244"/>
      <c r="K123" s="244"/>
      <c r="L123" s="244"/>
      <c r="M123" s="244"/>
      <c r="N123" s="244"/>
      <c r="O123" s="244"/>
      <c r="P123" s="244"/>
      <c r="Q123" s="244"/>
      <c r="R123" s="244"/>
      <c r="S123" s="244"/>
      <c r="T123" s="244"/>
      <c r="U123" s="244"/>
      <c r="V123" s="244"/>
      <c r="W123" s="244"/>
      <c r="X123" s="244"/>
      <c r="Y123" s="244"/>
      <c r="Z123" s="244"/>
      <c r="AA123" s="244"/>
      <c r="AB123" s="244"/>
      <c r="AC123" s="244"/>
      <c r="AD123" s="244"/>
      <c r="AE123" s="244"/>
      <c r="AF123" s="244"/>
      <c r="AG123" s="244"/>
      <c r="AH123" s="244"/>
      <c r="AI123" s="244"/>
      <c r="AJ123" s="244"/>
      <c r="AK123" s="244"/>
      <c r="AL123" s="244"/>
      <c r="AM123" s="244"/>
      <c r="AN123" s="244"/>
      <c r="AO123" s="244"/>
      <c r="AP123" s="244"/>
      <c r="AQ123" s="244"/>
      <c r="AR123" s="244"/>
      <c r="AS123" s="244"/>
      <c r="AT123" s="244"/>
      <c r="AU123" s="244"/>
      <c r="AV123" s="244"/>
      <c r="AW123" s="244"/>
      <c r="AX123" s="244"/>
      <c r="AY123" s="244"/>
      <c r="AZ123" s="244"/>
      <c r="BA123" s="244"/>
      <c r="BB123" s="244"/>
      <c r="BC123" s="244"/>
      <c r="BD123" s="244"/>
      <c r="BE123" s="244"/>
      <c r="BF123" s="244"/>
      <c r="BG123" s="244"/>
      <c r="BH123" s="244"/>
      <c r="BI123" s="244"/>
      <c r="BJ123" s="244"/>
      <c r="BK123" s="244"/>
      <c r="BL123" s="244"/>
      <c r="BM123" s="244"/>
      <c r="BN123" s="244"/>
      <c r="BO123" s="244"/>
      <c r="BP123" s="244"/>
      <c r="BQ123" s="244"/>
      <c r="BR123" s="244"/>
      <c r="BS123" s="244"/>
      <c r="BT123" s="244"/>
      <c r="BU123" s="244"/>
      <c r="BV123" s="244"/>
      <c r="BW123" s="244"/>
      <c r="BX123" s="244"/>
      <c r="BY123" s="244"/>
      <c r="BZ123" s="244"/>
      <c r="CA123" s="244"/>
      <c r="CB123" s="244"/>
      <c r="CC123" s="244"/>
      <c r="CD123" s="244"/>
      <c r="CE123" s="244"/>
      <c r="CF123" s="244"/>
    </row>
    <row r="124">
      <c r="A124" s="244"/>
      <c r="B124" s="246"/>
      <c r="C124" s="244"/>
      <c r="D124" s="244"/>
      <c r="E124" s="244"/>
      <c r="F124" s="244"/>
      <c r="G124" s="244"/>
      <c r="H124" s="244"/>
      <c r="I124" s="244"/>
      <c r="J124" s="244"/>
      <c r="K124" s="244"/>
      <c r="L124" s="244"/>
      <c r="M124" s="244"/>
      <c r="N124" s="244"/>
      <c r="O124" s="244"/>
      <c r="P124" s="244"/>
      <c r="Q124" s="244"/>
      <c r="R124" s="244"/>
      <c r="S124" s="244"/>
      <c r="T124" s="244"/>
      <c r="U124" s="244"/>
      <c r="V124" s="244"/>
      <c r="W124" s="244"/>
      <c r="X124" s="244"/>
      <c r="Y124" s="244"/>
      <c r="Z124" s="244"/>
      <c r="AA124" s="244"/>
      <c r="AB124" s="244"/>
      <c r="AC124" s="244"/>
      <c r="AD124" s="244"/>
      <c r="AE124" s="244"/>
      <c r="AF124" s="244"/>
      <c r="AG124" s="244"/>
      <c r="AH124" s="244"/>
      <c r="AI124" s="244"/>
      <c r="AJ124" s="244"/>
      <c r="AK124" s="244"/>
      <c r="AL124" s="244"/>
      <c r="AM124" s="244"/>
      <c r="AN124" s="244"/>
      <c r="AO124" s="244"/>
      <c r="AP124" s="244"/>
      <c r="AQ124" s="244"/>
      <c r="AR124" s="244"/>
      <c r="AS124" s="244"/>
      <c r="AT124" s="244"/>
      <c r="AU124" s="244"/>
      <c r="AV124" s="244"/>
      <c r="AW124" s="244"/>
      <c r="AX124" s="244"/>
      <c r="AY124" s="244"/>
      <c r="AZ124" s="244"/>
      <c r="BA124" s="244"/>
      <c r="BB124" s="244"/>
      <c r="BC124" s="244"/>
      <c r="BD124" s="244"/>
      <c r="BE124" s="244"/>
      <c r="BF124" s="244"/>
      <c r="BG124" s="244"/>
      <c r="BH124" s="244"/>
      <c r="BI124" s="244"/>
      <c r="BJ124" s="244"/>
      <c r="BK124" s="244"/>
      <c r="BL124" s="244"/>
      <c r="BM124" s="244"/>
      <c r="BN124" s="244"/>
      <c r="BO124" s="244"/>
      <c r="BP124" s="244"/>
      <c r="BQ124" s="244"/>
      <c r="BR124" s="244"/>
      <c r="BS124" s="244"/>
      <c r="BT124" s="244"/>
      <c r="BU124" s="244"/>
      <c r="BV124" s="244"/>
      <c r="BW124" s="244"/>
      <c r="BX124" s="244"/>
      <c r="BY124" s="244"/>
      <c r="BZ124" s="244"/>
      <c r="CA124" s="244"/>
      <c r="CB124" s="244"/>
      <c r="CC124" s="244"/>
      <c r="CD124" s="244"/>
      <c r="CE124" s="244"/>
      <c r="CF124" s="244"/>
    </row>
    <row r="125">
      <c r="A125" s="244"/>
      <c r="B125" s="246"/>
      <c r="C125" s="244"/>
      <c r="D125" s="244"/>
      <c r="E125" s="244"/>
      <c r="F125" s="244"/>
      <c r="G125" s="244"/>
      <c r="H125" s="244"/>
      <c r="I125" s="244"/>
      <c r="J125" s="244"/>
      <c r="K125" s="244"/>
      <c r="L125" s="244"/>
      <c r="M125" s="244"/>
      <c r="N125" s="244"/>
      <c r="O125" s="244"/>
      <c r="P125" s="244"/>
      <c r="Q125" s="244"/>
      <c r="R125" s="244"/>
      <c r="S125" s="244"/>
      <c r="T125" s="244"/>
      <c r="U125" s="244"/>
      <c r="V125" s="244"/>
      <c r="W125" s="244"/>
      <c r="X125" s="244"/>
      <c r="Y125" s="244"/>
      <c r="Z125" s="244"/>
      <c r="AA125" s="244"/>
      <c r="AB125" s="244"/>
      <c r="AC125" s="244"/>
      <c r="AD125" s="244"/>
      <c r="AE125" s="244"/>
      <c r="AF125" s="244"/>
      <c r="AG125" s="244"/>
      <c r="AH125" s="244"/>
      <c r="AI125" s="244"/>
      <c r="AJ125" s="244"/>
      <c r="AK125" s="244"/>
      <c r="AL125" s="244"/>
      <c r="AM125" s="244"/>
      <c r="AN125" s="244"/>
      <c r="AO125" s="244"/>
      <c r="AP125" s="244"/>
      <c r="AQ125" s="244"/>
      <c r="AR125" s="244"/>
      <c r="AS125" s="244"/>
      <c r="AT125" s="244"/>
      <c r="AU125" s="244"/>
      <c r="AV125" s="244"/>
      <c r="AW125" s="244"/>
      <c r="AX125" s="244"/>
      <c r="AY125" s="244"/>
      <c r="AZ125" s="244"/>
      <c r="BA125" s="244"/>
      <c r="BB125" s="244"/>
      <c r="BC125" s="244"/>
      <c r="BD125" s="244"/>
      <c r="BE125" s="244"/>
      <c r="BF125" s="244"/>
      <c r="BG125" s="244"/>
      <c r="BH125" s="244"/>
      <c r="BI125" s="244"/>
      <c r="BJ125" s="244"/>
      <c r="BK125" s="244"/>
      <c r="BL125" s="244"/>
      <c r="BM125" s="244"/>
      <c r="BN125" s="244"/>
      <c r="BO125" s="244"/>
      <c r="BP125" s="244"/>
      <c r="BQ125" s="244"/>
      <c r="BR125" s="244"/>
      <c r="BS125" s="244"/>
      <c r="BT125" s="244"/>
      <c r="BU125" s="244"/>
      <c r="BV125" s="244"/>
      <c r="BW125" s="244"/>
      <c r="BX125" s="244"/>
      <c r="BY125" s="244"/>
      <c r="BZ125" s="244"/>
      <c r="CA125" s="244"/>
      <c r="CB125" s="244"/>
      <c r="CC125" s="244"/>
      <c r="CD125" s="244"/>
      <c r="CE125" s="244"/>
      <c r="CF125" s="244"/>
    </row>
    <row r="126">
      <c r="A126" s="244"/>
      <c r="B126" s="246"/>
      <c r="C126" s="244"/>
      <c r="D126" s="244"/>
      <c r="E126" s="244"/>
      <c r="F126" s="244"/>
      <c r="G126" s="244"/>
      <c r="H126" s="244"/>
      <c r="I126" s="244"/>
      <c r="J126" s="244"/>
      <c r="K126" s="244"/>
      <c r="L126" s="244"/>
      <c r="M126" s="244"/>
      <c r="N126" s="244"/>
      <c r="O126" s="244"/>
      <c r="P126" s="244"/>
      <c r="Q126" s="244"/>
      <c r="R126" s="244"/>
      <c r="S126" s="244"/>
      <c r="T126" s="244"/>
      <c r="U126" s="244"/>
      <c r="V126" s="244"/>
      <c r="W126" s="244"/>
      <c r="X126" s="244"/>
      <c r="Y126" s="244"/>
      <c r="Z126" s="244"/>
      <c r="AA126" s="244"/>
      <c r="AB126" s="244"/>
      <c r="AC126" s="244"/>
      <c r="AD126" s="244"/>
      <c r="AE126" s="244"/>
      <c r="AF126" s="244"/>
      <c r="AG126" s="244"/>
      <c r="AH126" s="244"/>
      <c r="AI126" s="244"/>
      <c r="AJ126" s="244"/>
      <c r="AK126" s="244"/>
      <c r="AL126" s="244"/>
      <c r="AM126" s="244"/>
      <c r="AN126" s="244"/>
      <c r="AO126" s="244"/>
      <c r="AP126" s="244"/>
      <c r="AQ126" s="244"/>
      <c r="AR126" s="244"/>
      <c r="AS126" s="244"/>
      <c r="AT126" s="244"/>
      <c r="AU126" s="244"/>
      <c r="AV126" s="244"/>
      <c r="AW126" s="244"/>
      <c r="AX126" s="244"/>
      <c r="AY126" s="244"/>
      <c r="AZ126" s="244"/>
      <c r="BA126" s="244"/>
      <c r="BB126" s="244"/>
      <c r="BC126" s="244"/>
      <c r="BD126" s="244"/>
      <c r="BE126" s="244"/>
      <c r="BF126" s="244"/>
      <c r="BG126" s="244"/>
      <c r="BH126" s="244"/>
      <c r="BI126" s="244"/>
      <c r="BJ126" s="244"/>
      <c r="BK126" s="244"/>
      <c r="BL126" s="244"/>
      <c r="BM126" s="244"/>
      <c r="BN126" s="244"/>
      <c r="BO126" s="244"/>
      <c r="BP126" s="244"/>
      <c r="BQ126" s="244"/>
      <c r="BR126" s="244"/>
      <c r="BS126" s="244"/>
      <c r="BT126" s="244"/>
      <c r="BU126" s="244"/>
      <c r="BV126" s="244"/>
      <c r="BW126" s="244"/>
      <c r="BX126" s="244"/>
      <c r="BY126" s="244"/>
      <c r="BZ126" s="244"/>
      <c r="CA126" s="244"/>
      <c r="CB126" s="244"/>
      <c r="CC126" s="244"/>
      <c r="CD126" s="244"/>
      <c r="CE126" s="244"/>
      <c r="CF126" s="244"/>
    </row>
    <row r="127">
      <c r="A127" s="244"/>
      <c r="B127" s="246"/>
      <c r="C127" s="244"/>
      <c r="D127" s="244"/>
      <c r="E127" s="244"/>
      <c r="F127" s="244"/>
      <c r="G127" s="244"/>
      <c r="H127" s="244"/>
      <c r="I127" s="244"/>
      <c r="J127" s="244"/>
      <c r="K127" s="244"/>
      <c r="L127" s="244"/>
      <c r="M127" s="244"/>
      <c r="N127" s="244"/>
      <c r="O127" s="244"/>
      <c r="P127" s="244"/>
      <c r="Q127" s="244"/>
      <c r="R127" s="244"/>
      <c r="S127" s="244"/>
      <c r="T127" s="244"/>
      <c r="U127" s="244"/>
      <c r="V127" s="244"/>
      <c r="W127" s="244"/>
      <c r="X127" s="244"/>
      <c r="Y127" s="244"/>
      <c r="Z127" s="244"/>
      <c r="AA127" s="244"/>
      <c r="AB127" s="244"/>
      <c r="AC127" s="244"/>
      <c r="AD127" s="244"/>
      <c r="AE127" s="244"/>
      <c r="AF127" s="244"/>
      <c r="AG127" s="244"/>
      <c r="AH127" s="244"/>
      <c r="AI127" s="244"/>
      <c r="AJ127" s="244"/>
      <c r="AK127" s="244"/>
      <c r="AL127" s="244"/>
      <c r="AM127" s="244"/>
      <c r="AN127" s="244"/>
      <c r="AO127" s="244"/>
      <c r="AP127" s="244"/>
      <c r="AQ127" s="244"/>
      <c r="AR127" s="244"/>
      <c r="AS127" s="244"/>
      <c r="AT127" s="244"/>
      <c r="AU127" s="244"/>
      <c r="AV127" s="244"/>
      <c r="AW127" s="244"/>
      <c r="AX127" s="244"/>
      <c r="AY127" s="244"/>
      <c r="AZ127" s="244"/>
      <c r="BA127" s="244"/>
      <c r="BB127" s="244"/>
      <c r="BC127" s="244"/>
      <c r="BD127" s="244"/>
      <c r="BE127" s="244"/>
      <c r="BF127" s="244"/>
      <c r="BG127" s="244"/>
      <c r="BH127" s="244"/>
      <c r="BI127" s="244"/>
      <c r="BJ127" s="244"/>
      <c r="BK127" s="244"/>
      <c r="BL127" s="244"/>
      <c r="BM127" s="244"/>
      <c r="BN127" s="244"/>
      <c r="BO127" s="244"/>
      <c r="BP127" s="244"/>
      <c r="BQ127" s="244"/>
      <c r="BR127" s="244"/>
      <c r="BS127" s="244"/>
      <c r="BT127" s="244"/>
      <c r="BU127" s="244"/>
      <c r="BV127" s="244"/>
      <c r="BW127" s="244"/>
      <c r="BX127" s="244"/>
      <c r="BY127" s="244"/>
      <c r="BZ127" s="244"/>
      <c r="CA127" s="244"/>
      <c r="CB127" s="244"/>
      <c r="CC127" s="244"/>
      <c r="CD127" s="244"/>
      <c r="CE127" s="244"/>
      <c r="CF127" s="244"/>
    </row>
    <row r="128">
      <c r="A128" s="244"/>
      <c r="B128" s="246"/>
      <c r="C128" s="244"/>
      <c r="D128" s="244"/>
      <c r="E128" s="244"/>
      <c r="F128" s="244"/>
      <c r="G128" s="244"/>
      <c r="H128" s="244"/>
      <c r="I128" s="244"/>
      <c r="J128" s="244"/>
      <c r="K128" s="244"/>
      <c r="L128" s="244"/>
      <c r="M128" s="244"/>
      <c r="N128" s="244"/>
      <c r="O128" s="244"/>
      <c r="P128" s="244"/>
      <c r="Q128" s="244"/>
      <c r="R128" s="244"/>
      <c r="S128" s="244"/>
      <c r="T128" s="244"/>
      <c r="U128" s="244"/>
      <c r="V128" s="244"/>
      <c r="W128" s="244"/>
      <c r="X128" s="244"/>
      <c r="Y128" s="244"/>
      <c r="Z128" s="244"/>
      <c r="AA128" s="244"/>
      <c r="AB128" s="244"/>
      <c r="AC128" s="244"/>
      <c r="AD128" s="244"/>
      <c r="AE128" s="244"/>
      <c r="AF128" s="244"/>
      <c r="AG128" s="244"/>
      <c r="AH128" s="244"/>
      <c r="AI128" s="244"/>
      <c r="AJ128" s="244"/>
      <c r="AK128" s="244"/>
      <c r="AL128" s="244"/>
      <c r="AM128" s="244"/>
      <c r="AN128" s="244"/>
      <c r="AO128" s="244"/>
      <c r="AP128" s="244"/>
      <c r="AQ128" s="244"/>
      <c r="AR128" s="244"/>
      <c r="AS128" s="244"/>
      <c r="AT128" s="244"/>
      <c r="AU128" s="244"/>
      <c r="AV128" s="244"/>
      <c r="AW128" s="244"/>
      <c r="AX128" s="244"/>
      <c r="AY128" s="244"/>
      <c r="AZ128" s="244"/>
      <c r="BA128" s="244"/>
      <c r="BB128" s="244"/>
      <c r="BC128" s="244"/>
      <c r="BD128" s="244"/>
      <c r="BE128" s="244"/>
      <c r="BF128" s="244"/>
      <c r="BG128" s="244"/>
      <c r="BH128" s="244"/>
      <c r="BI128" s="244"/>
      <c r="BJ128" s="244"/>
      <c r="BK128" s="244"/>
      <c r="BL128" s="244"/>
      <c r="BM128" s="244"/>
      <c r="BN128" s="244"/>
      <c r="BO128" s="244"/>
      <c r="BP128" s="244"/>
      <c r="BQ128" s="244"/>
      <c r="BR128" s="244"/>
      <c r="BS128" s="244"/>
      <c r="BT128" s="244"/>
      <c r="BU128" s="244"/>
      <c r="BV128" s="244"/>
      <c r="BW128" s="244"/>
      <c r="BX128" s="244"/>
      <c r="BY128" s="244"/>
      <c r="BZ128" s="244"/>
      <c r="CA128" s="244"/>
      <c r="CB128" s="244"/>
      <c r="CC128" s="244"/>
      <c r="CD128" s="244"/>
      <c r="CE128" s="244"/>
      <c r="CF128" s="244"/>
    </row>
    <row r="129">
      <c r="A129" s="244"/>
      <c r="B129" s="246"/>
      <c r="C129" s="244"/>
      <c r="D129" s="244"/>
      <c r="E129" s="244"/>
      <c r="F129" s="244"/>
      <c r="G129" s="244"/>
      <c r="H129" s="244"/>
      <c r="I129" s="244"/>
      <c r="J129" s="244"/>
      <c r="K129" s="244"/>
      <c r="L129" s="244"/>
      <c r="M129" s="244"/>
      <c r="N129" s="244"/>
      <c r="O129" s="244"/>
      <c r="P129" s="244"/>
      <c r="Q129" s="244"/>
      <c r="R129" s="244"/>
      <c r="S129" s="244"/>
      <c r="T129" s="244"/>
      <c r="U129" s="244"/>
      <c r="V129" s="244"/>
      <c r="W129" s="244"/>
      <c r="X129" s="244"/>
      <c r="Y129" s="244"/>
      <c r="Z129" s="244"/>
      <c r="AA129" s="244"/>
      <c r="AB129" s="244"/>
      <c r="AC129" s="244"/>
      <c r="AD129" s="244"/>
      <c r="AE129" s="244"/>
      <c r="AF129" s="244"/>
      <c r="AG129" s="244"/>
      <c r="AH129" s="244"/>
      <c r="AI129" s="244"/>
      <c r="AJ129" s="244"/>
      <c r="AK129" s="244"/>
      <c r="AL129" s="244"/>
      <c r="AM129" s="244"/>
      <c r="AN129" s="244"/>
      <c r="AO129" s="244"/>
      <c r="AP129" s="244"/>
      <c r="AQ129" s="244"/>
      <c r="AR129" s="244"/>
      <c r="AS129" s="244"/>
      <c r="AT129" s="244"/>
      <c r="AU129" s="244"/>
      <c r="AV129" s="244"/>
      <c r="AW129" s="244"/>
      <c r="AX129" s="244"/>
      <c r="AY129" s="244"/>
      <c r="AZ129" s="244"/>
      <c r="BA129" s="244"/>
      <c r="BB129" s="244"/>
      <c r="BC129" s="244"/>
      <c r="BD129" s="244"/>
      <c r="BE129" s="244"/>
      <c r="BF129" s="244"/>
      <c r="BG129" s="244"/>
      <c r="BH129" s="244"/>
      <c r="BI129" s="244"/>
      <c r="BJ129" s="244"/>
      <c r="BK129" s="244"/>
      <c r="BL129" s="244"/>
      <c r="BM129" s="244"/>
      <c r="BN129" s="244"/>
      <c r="BO129" s="244"/>
      <c r="BP129" s="244"/>
      <c r="BQ129" s="244"/>
      <c r="BR129" s="244"/>
      <c r="BS129" s="244"/>
      <c r="BT129" s="244"/>
      <c r="BU129" s="244"/>
      <c r="BV129" s="244"/>
      <c r="BW129" s="244"/>
      <c r="BX129" s="244"/>
      <c r="BY129" s="244"/>
      <c r="BZ129" s="244"/>
      <c r="CA129" s="244"/>
      <c r="CB129" s="244"/>
      <c r="CC129" s="244"/>
      <c r="CD129" s="244"/>
      <c r="CE129" s="244"/>
      <c r="CF129" s="244"/>
    </row>
    <row r="130">
      <c r="A130" s="244"/>
      <c r="B130" s="246"/>
      <c r="C130" s="244"/>
      <c r="D130" s="244"/>
      <c r="E130" s="244"/>
      <c r="F130" s="244"/>
      <c r="G130" s="244"/>
      <c r="H130" s="244"/>
      <c r="I130" s="244"/>
      <c r="J130" s="244"/>
      <c r="K130" s="244"/>
      <c r="L130" s="244"/>
      <c r="M130" s="244"/>
      <c r="N130" s="244"/>
      <c r="O130" s="244"/>
      <c r="P130" s="244"/>
      <c r="Q130" s="244"/>
      <c r="R130" s="244"/>
      <c r="S130" s="244"/>
      <c r="T130" s="244"/>
      <c r="U130" s="244"/>
      <c r="V130" s="244"/>
      <c r="W130" s="244"/>
      <c r="X130" s="244"/>
      <c r="Y130" s="244"/>
      <c r="Z130" s="244"/>
      <c r="AA130" s="244"/>
      <c r="AB130" s="244"/>
      <c r="AC130" s="244"/>
      <c r="AD130" s="244"/>
      <c r="AE130" s="244"/>
      <c r="AF130" s="244"/>
      <c r="AG130" s="244"/>
      <c r="AH130" s="244"/>
      <c r="AI130" s="244"/>
      <c r="AJ130" s="244"/>
      <c r="AK130" s="244"/>
      <c r="AL130" s="244"/>
      <c r="AM130" s="244"/>
      <c r="AN130" s="244"/>
      <c r="AO130" s="244"/>
      <c r="AP130" s="244"/>
      <c r="AQ130" s="244"/>
      <c r="AR130" s="244"/>
      <c r="AS130" s="244"/>
      <c r="AT130" s="244"/>
      <c r="AU130" s="244"/>
      <c r="AV130" s="244"/>
      <c r="AW130" s="244"/>
      <c r="AX130" s="244"/>
      <c r="AY130" s="244"/>
      <c r="AZ130" s="244"/>
      <c r="BA130" s="244"/>
      <c r="BB130" s="244"/>
      <c r="BC130" s="244"/>
      <c r="BD130" s="244"/>
      <c r="BE130" s="244"/>
      <c r="BF130" s="244"/>
      <c r="BG130" s="244"/>
      <c r="BH130" s="244"/>
      <c r="BI130" s="244"/>
      <c r="BJ130" s="244"/>
      <c r="BK130" s="244"/>
      <c r="BL130" s="244"/>
      <c r="BM130" s="244"/>
      <c r="BN130" s="244"/>
      <c r="BO130" s="244"/>
      <c r="BP130" s="244"/>
      <c r="BQ130" s="244"/>
      <c r="BR130" s="244"/>
      <c r="BS130" s="244"/>
      <c r="BT130" s="244"/>
      <c r="BU130" s="244"/>
      <c r="BV130" s="244"/>
      <c r="BW130" s="244"/>
      <c r="BX130" s="244"/>
      <c r="BY130" s="244"/>
      <c r="BZ130" s="244"/>
      <c r="CA130" s="244"/>
      <c r="CB130" s="244"/>
      <c r="CC130" s="244"/>
      <c r="CD130" s="244"/>
      <c r="CE130" s="244"/>
      <c r="CF130" s="244"/>
    </row>
    <row r="131">
      <c r="A131" s="244"/>
      <c r="B131" s="246"/>
      <c r="C131" s="244"/>
      <c r="D131" s="244"/>
      <c r="E131" s="244"/>
      <c r="F131" s="244"/>
      <c r="G131" s="244"/>
      <c r="H131" s="244"/>
      <c r="I131" s="244"/>
      <c r="J131" s="244"/>
      <c r="K131" s="244"/>
      <c r="L131" s="244"/>
      <c r="M131" s="244"/>
      <c r="N131" s="244"/>
      <c r="O131" s="244"/>
      <c r="P131" s="244"/>
      <c r="Q131" s="244"/>
      <c r="R131" s="244"/>
      <c r="S131" s="244"/>
      <c r="T131" s="244"/>
      <c r="U131" s="244"/>
      <c r="V131" s="244"/>
      <c r="W131" s="244"/>
      <c r="X131" s="244"/>
      <c r="Y131" s="244"/>
      <c r="Z131" s="244"/>
      <c r="AA131" s="244"/>
      <c r="AB131" s="244"/>
      <c r="AC131" s="244"/>
      <c r="AD131" s="244"/>
      <c r="AE131" s="244"/>
      <c r="AF131" s="244"/>
      <c r="AG131" s="244"/>
      <c r="AH131" s="244"/>
      <c r="AI131" s="244"/>
      <c r="AJ131" s="244"/>
      <c r="AK131" s="244"/>
      <c r="AL131" s="244"/>
      <c r="AM131" s="244"/>
      <c r="AN131" s="244"/>
      <c r="AO131" s="244"/>
      <c r="AP131" s="244"/>
      <c r="AQ131" s="244"/>
      <c r="AR131" s="244"/>
      <c r="AS131" s="244"/>
      <c r="AT131" s="244"/>
      <c r="AU131" s="244"/>
      <c r="AV131" s="244"/>
      <c r="AW131" s="244"/>
      <c r="AX131" s="244"/>
      <c r="AY131" s="244"/>
      <c r="AZ131" s="244"/>
      <c r="BA131" s="244"/>
      <c r="BB131" s="244"/>
      <c r="BC131" s="244"/>
      <c r="BD131" s="244"/>
      <c r="BE131" s="244"/>
      <c r="BF131" s="244"/>
      <c r="BG131" s="244"/>
      <c r="BH131" s="244"/>
      <c r="BI131" s="244"/>
      <c r="BJ131" s="244"/>
      <c r="BK131" s="244"/>
      <c r="BL131" s="244"/>
      <c r="BM131" s="244"/>
      <c r="BN131" s="244"/>
      <c r="BO131" s="244"/>
      <c r="BP131" s="244"/>
      <c r="BQ131" s="244"/>
      <c r="BR131" s="244"/>
      <c r="BS131" s="244"/>
      <c r="BT131" s="244"/>
      <c r="BU131" s="244"/>
      <c r="BV131" s="244"/>
      <c r="BW131" s="244"/>
      <c r="BX131" s="244"/>
      <c r="BY131" s="244"/>
      <c r="BZ131" s="244"/>
      <c r="CA131" s="244"/>
      <c r="CB131" s="244"/>
      <c r="CC131" s="244"/>
      <c r="CD131" s="244"/>
      <c r="CE131" s="244"/>
      <c r="CF131" s="244"/>
    </row>
    <row r="132">
      <c r="A132" s="244"/>
      <c r="B132" s="246"/>
      <c r="C132" s="244"/>
      <c r="D132" s="244"/>
      <c r="E132" s="244"/>
      <c r="F132" s="244"/>
      <c r="G132" s="244"/>
      <c r="H132" s="244"/>
      <c r="I132" s="244"/>
      <c r="J132" s="244"/>
      <c r="K132" s="244"/>
      <c r="L132" s="244"/>
      <c r="M132" s="244"/>
      <c r="N132" s="244"/>
      <c r="O132" s="244"/>
      <c r="P132" s="244"/>
      <c r="Q132" s="244"/>
      <c r="R132" s="244"/>
      <c r="S132" s="244"/>
      <c r="T132" s="244"/>
      <c r="U132" s="244"/>
      <c r="V132" s="244"/>
      <c r="W132" s="244"/>
      <c r="X132" s="244"/>
      <c r="Y132" s="244"/>
      <c r="Z132" s="244"/>
      <c r="AA132" s="244"/>
      <c r="AB132" s="244"/>
      <c r="AC132" s="244"/>
      <c r="AD132" s="244"/>
      <c r="AE132" s="244"/>
      <c r="AF132" s="244"/>
      <c r="AG132" s="244"/>
      <c r="AH132" s="244"/>
      <c r="AI132" s="244"/>
      <c r="AJ132" s="244"/>
      <c r="AK132" s="244"/>
      <c r="AL132" s="244"/>
      <c r="AM132" s="244"/>
      <c r="AN132" s="244"/>
      <c r="AO132" s="244"/>
      <c r="AP132" s="244"/>
      <c r="AQ132" s="244"/>
      <c r="AR132" s="244"/>
      <c r="AS132" s="244"/>
      <c r="AT132" s="244"/>
      <c r="AU132" s="244"/>
      <c r="AV132" s="244"/>
      <c r="AW132" s="244"/>
      <c r="AX132" s="244"/>
      <c r="AY132" s="244"/>
      <c r="AZ132" s="244"/>
      <c r="BA132" s="244"/>
      <c r="BB132" s="244"/>
      <c r="BC132" s="244"/>
      <c r="BD132" s="244"/>
      <c r="BE132" s="244"/>
      <c r="BF132" s="244"/>
      <c r="BG132" s="244"/>
      <c r="BH132" s="244"/>
      <c r="BI132" s="244"/>
      <c r="BJ132" s="244"/>
      <c r="BK132" s="244"/>
      <c r="BL132" s="244"/>
      <c r="BM132" s="244"/>
      <c r="BN132" s="244"/>
      <c r="BO132" s="244"/>
      <c r="BP132" s="244"/>
      <c r="BQ132" s="244"/>
      <c r="BR132" s="244"/>
      <c r="BS132" s="244"/>
      <c r="BT132" s="244"/>
      <c r="BU132" s="244"/>
      <c r="BV132" s="244"/>
      <c r="BW132" s="244"/>
      <c r="BX132" s="244"/>
      <c r="BY132" s="244"/>
      <c r="BZ132" s="244"/>
      <c r="CA132" s="244"/>
      <c r="CB132" s="244"/>
      <c r="CC132" s="244"/>
      <c r="CD132" s="244"/>
      <c r="CE132" s="244"/>
      <c r="CF132" s="244"/>
    </row>
    <row r="133">
      <c r="A133" s="244"/>
      <c r="B133" s="246"/>
      <c r="C133" s="244"/>
      <c r="D133" s="244"/>
      <c r="E133" s="244"/>
      <c r="F133" s="244"/>
      <c r="G133" s="244"/>
      <c r="H133" s="244"/>
      <c r="I133" s="244"/>
      <c r="J133" s="244"/>
      <c r="K133" s="244"/>
      <c r="L133" s="244"/>
      <c r="M133" s="244"/>
      <c r="N133" s="244"/>
      <c r="O133" s="244"/>
      <c r="P133" s="244"/>
      <c r="Q133" s="244"/>
      <c r="R133" s="244"/>
      <c r="S133" s="244"/>
      <c r="T133" s="244"/>
      <c r="U133" s="244"/>
      <c r="V133" s="244"/>
      <c r="W133" s="244"/>
      <c r="X133" s="244"/>
      <c r="Y133" s="244"/>
      <c r="Z133" s="244"/>
      <c r="AA133" s="244"/>
      <c r="AB133" s="244"/>
      <c r="AC133" s="244"/>
      <c r="AD133" s="244"/>
      <c r="AE133" s="244"/>
      <c r="AF133" s="244"/>
      <c r="AG133" s="244"/>
      <c r="AH133" s="244"/>
      <c r="AI133" s="244"/>
      <c r="AJ133" s="244"/>
      <c r="AK133" s="244"/>
      <c r="AL133" s="244"/>
      <c r="AM133" s="244"/>
      <c r="AN133" s="244"/>
      <c r="AO133" s="244"/>
      <c r="AP133" s="244"/>
      <c r="AQ133" s="244"/>
      <c r="AR133" s="244"/>
      <c r="AS133" s="244"/>
      <c r="AT133" s="244"/>
      <c r="AU133" s="244"/>
      <c r="AV133" s="244"/>
      <c r="AW133" s="244"/>
      <c r="AX133" s="244"/>
      <c r="AY133" s="244"/>
      <c r="AZ133" s="244"/>
      <c r="BA133" s="244"/>
      <c r="BB133" s="244"/>
      <c r="BC133" s="244"/>
      <c r="BD133" s="244"/>
      <c r="BE133" s="244"/>
      <c r="BF133" s="244"/>
      <c r="BG133" s="244"/>
      <c r="BH133" s="244"/>
      <c r="BI133" s="244"/>
      <c r="BJ133" s="244"/>
      <c r="BK133" s="244"/>
      <c r="BL133" s="244"/>
      <c r="BM133" s="244"/>
      <c r="BN133" s="244"/>
      <c r="BO133" s="244"/>
      <c r="BP133" s="244"/>
      <c r="BQ133" s="244"/>
      <c r="BR133" s="244"/>
      <c r="BS133" s="244"/>
      <c r="BT133" s="244"/>
      <c r="BU133" s="244"/>
      <c r="BV133" s="244"/>
      <c r="BW133" s="244"/>
      <c r="BX133" s="244"/>
      <c r="BY133" s="244"/>
      <c r="BZ133" s="244"/>
      <c r="CA133" s="244"/>
      <c r="CB133" s="244"/>
      <c r="CC133" s="244"/>
      <c r="CD133" s="244"/>
      <c r="CE133" s="244"/>
      <c r="CF133" s="244"/>
    </row>
    <row r="134">
      <c r="A134" s="244"/>
      <c r="B134" s="246"/>
      <c r="C134" s="244"/>
      <c r="D134" s="244"/>
      <c r="E134" s="244"/>
      <c r="F134" s="244"/>
      <c r="G134" s="244"/>
      <c r="H134" s="244"/>
      <c r="I134" s="244"/>
      <c r="J134" s="244"/>
      <c r="K134" s="244"/>
      <c r="L134" s="244"/>
      <c r="M134" s="244"/>
      <c r="N134" s="244"/>
      <c r="O134" s="244"/>
      <c r="P134" s="244"/>
      <c r="Q134" s="244"/>
      <c r="R134" s="244"/>
      <c r="S134" s="244"/>
      <c r="T134" s="244"/>
      <c r="U134" s="244"/>
      <c r="V134" s="244"/>
      <c r="W134" s="244"/>
      <c r="X134" s="244"/>
      <c r="Y134" s="244"/>
      <c r="Z134" s="244"/>
      <c r="AA134" s="244"/>
      <c r="AB134" s="244"/>
      <c r="AC134" s="244"/>
      <c r="AD134" s="244"/>
      <c r="AE134" s="244"/>
      <c r="AF134" s="244"/>
      <c r="AG134" s="244"/>
      <c r="AH134" s="244"/>
      <c r="AI134" s="244"/>
      <c r="AJ134" s="244"/>
      <c r="AK134" s="244"/>
      <c r="AL134" s="244"/>
      <c r="AM134" s="244"/>
      <c r="AN134" s="244"/>
      <c r="AO134" s="244"/>
      <c r="AP134" s="244"/>
      <c r="AQ134" s="244"/>
      <c r="AR134" s="244"/>
      <c r="AS134" s="244"/>
      <c r="AT134" s="244"/>
      <c r="AU134" s="244"/>
      <c r="AV134" s="244"/>
      <c r="AW134" s="244"/>
      <c r="AX134" s="244"/>
      <c r="AY134" s="244"/>
      <c r="AZ134" s="244"/>
      <c r="BA134" s="244"/>
      <c r="BB134" s="244"/>
      <c r="BC134" s="244"/>
      <c r="BD134" s="244"/>
      <c r="BE134" s="244"/>
      <c r="BF134" s="244"/>
      <c r="BG134" s="244"/>
      <c r="BH134" s="244"/>
      <c r="BI134" s="244"/>
      <c r="BJ134" s="244"/>
      <c r="BK134" s="244"/>
      <c r="BL134" s="244"/>
      <c r="BM134" s="244"/>
      <c r="BN134" s="244"/>
      <c r="BO134" s="244"/>
      <c r="BP134" s="244"/>
      <c r="BQ134" s="244"/>
      <c r="BR134" s="244"/>
      <c r="BS134" s="244"/>
      <c r="BT134" s="244"/>
      <c r="BU134" s="244"/>
      <c r="BV134" s="244"/>
      <c r="BW134" s="244"/>
      <c r="BX134" s="244"/>
      <c r="BY134" s="244"/>
      <c r="BZ134" s="244"/>
      <c r="CA134" s="244"/>
      <c r="CB134" s="244"/>
      <c r="CC134" s="244"/>
      <c r="CD134" s="244"/>
      <c r="CE134" s="244"/>
      <c r="CF134" s="244"/>
    </row>
    <row r="135">
      <c r="A135" s="244"/>
      <c r="B135" s="246"/>
      <c r="C135" s="244"/>
      <c r="D135" s="244"/>
      <c r="E135" s="244"/>
      <c r="F135" s="244"/>
      <c r="G135" s="244"/>
      <c r="H135" s="244"/>
      <c r="I135" s="244"/>
      <c r="J135" s="244"/>
      <c r="K135" s="244"/>
      <c r="L135" s="244"/>
      <c r="M135" s="244"/>
      <c r="N135" s="244"/>
      <c r="O135" s="244"/>
      <c r="P135" s="244"/>
      <c r="Q135" s="244"/>
      <c r="R135" s="244"/>
      <c r="S135" s="244"/>
      <c r="T135" s="244"/>
      <c r="U135" s="244"/>
      <c r="V135" s="244"/>
      <c r="W135" s="244"/>
      <c r="X135" s="244"/>
      <c r="Y135" s="244"/>
      <c r="Z135" s="244"/>
      <c r="AA135" s="244"/>
      <c r="AB135" s="244"/>
      <c r="AC135" s="244"/>
      <c r="AD135" s="244"/>
      <c r="AE135" s="244"/>
      <c r="AF135" s="244"/>
      <c r="AG135" s="244"/>
      <c r="AH135" s="244"/>
      <c r="AI135" s="244"/>
      <c r="AJ135" s="244"/>
      <c r="AK135" s="244"/>
      <c r="AL135" s="244"/>
      <c r="AM135" s="244"/>
      <c r="AN135" s="244"/>
      <c r="AO135" s="244"/>
      <c r="AP135" s="244"/>
      <c r="AQ135" s="244"/>
      <c r="AR135" s="244"/>
      <c r="AS135" s="244"/>
      <c r="AT135" s="244"/>
      <c r="AU135" s="244"/>
      <c r="AV135" s="244"/>
      <c r="AW135" s="244"/>
      <c r="AX135" s="244"/>
      <c r="AY135" s="244"/>
      <c r="AZ135" s="244"/>
      <c r="BA135" s="244"/>
      <c r="BB135" s="244"/>
      <c r="BC135" s="244"/>
      <c r="BD135" s="244"/>
      <c r="BE135" s="244"/>
      <c r="BF135" s="244"/>
      <c r="BG135" s="244"/>
      <c r="BH135" s="244"/>
      <c r="BI135" s="244"/>
      <c r="BJ135" s="244"/>
      <c r="BK135" s="244"/>
      <c r="BL135" s="244"/>
      <c r="BM135" s="244"/>
      <c r="BN135" s="244"/>
      <c r="BO135" s="244"/>
      <c r="BP135" s="244"/>
      <c r="BQ135" s="244"/>
      <c r="BR135" s="244"/>
      <c r="BS135" s="244"/>
      <c r="BT135" s="244"/>
      <c r="BU135" s="244"/>
      <c r="BV135" s="244"/>
      <c r="BW135" s="244"/>
      <c r="BX135" s="244"/>
      <c r="BY135" s="244"/>
      <c r="BZ135" s="244"/>
      <c r="CA135" s="244"/>
      <c r="CB135" s="244"/>
      <c r="CC135" s="244"/>
      <c r="CD135" s="244"/>
      <c r="CE135" s="244"/>
      <c r="CF135" s="244"/>
    </row>
    <row r="136">
      <c r="A136" s="244"/>
      <c r="B136" s="246"/>
      <c r="C136" s="244"/>
      <c r="D136" s="244"/>
      <c r="E136" s="244"/>
      <c r="F136" s="244"/>
      <c r="G136" s="244"/>
      <c r="H136" s="244"/>
      <c r="I136" s="244"/>
      <c r="J136" s="244"/>
      <c r="K136" s="244"/>
      <c r="L136" s="244"/>
      <c r="M136" s="244"/>
      <c r="N136" s="244"/>
      <c r="O136" s="244"/>
      <c r="P136" s="244"/>
      <c r="Q136" s="244"/>
      <c r="R136" s="244"/>
      <c r="S136" s="244"/>
      <c r="T136" s="244"/>
      <c r="U136" s="244"/>
      <c r="V136" s="244"/>
      <c r="W136" s="244"/>
      <c r="X136" s="244"/>
      <c r="Y136" s="244"/>
      <c r="Z136" s="244"/>
      <c r="AA136" s="244"/>
      <c r="AB136" s="244"/>
      <c r="AC136" s="244"/>
      <c r="AD136" s="244"/>
      <c r="AE136" s="244"/>
      <c r="AF136" s="244"/>
      <c r="AG136" s="244"/>
      <c r="AH136" s="244"/>
      <c r="AI136" s="244"/>
      <c r="AJ136" s="244"/>
      <c r="AK136" s="244"/>
      <c r="AL136" s="244"/>
      <c r="AM136" s="244"/>
      <c r="AN136" s="244"/>
      <c r="AO136" s="244"/>
      <c r="AP136" s="244"/>
      <c r="AQ136" s="244"/>
      <c r="AR136" s="244"/>
      <c r="AS136" s="244"/>
      <c r="AT136" s="244"/>
      <c r="AU136" s="244"/>
      <c r="AV136" s="244"/>
      <c r="AW136" s="244"/>
      <c r="AX136" s="244"/>
      <c r="AY136" s="244"/>
      <c r="AZ136" s="244"/>
      <c r="BA136" s="244"/>
      <c r="BB136" s="244"/>
      <c r="BC136" s="244"/>
      <c r="BD136" s="244"/>
      <c r="BE136" s="244"/>
      <c r="BF136" s="244"/>
      <c r="BG136" s="244"/>
      <c r="BH136" s="244"/>
      <c r="BI136" s="244"/>
      <c r="BJ136" s="244"/>
      <c r="BK136" s="244"/>
      <c r="BL136" s="244"/>
      <c r="BM136" s="244"/>
      <c r="BN136" s="244"/>
      <c r="BO136" s="244"/>
      <c r="BP136" s="244"/>
      <c r="BQ136" s="244"/>
      <c r="BR136" s="244"/>
      <c r="BS136" s="244"/>
      <c r="BT136" s="244"/>
      <c r="BU136" s="244"/>
      <c r="BV136" s="244"/>
      <c r="BW136" s="244"/>
      <c r="BX136" s="244"/>
      <c r="BY136" s="244"/>
      <c r="BZ136" s="244"/>
      <c r="CA136" s="244"/>
      <c r="CB136" s="244"/>
      <c r="CC136" s="244"/>
      <c r="CD136" s="244"/>
      <c r="CE136" s="244"/>
      <c r="CF136" s="244"/>
    </row>
    <row r="137">
      <c r="A137" s="244"/>
      <c r="B137" s="246"/>
      <c r="C137" s="244"/>
      <c r="D137" s="244"/>
      <c r="E137" s="244"/>
      <c r="F137" s="244"/>
      <c r="G137" s="244"/>
      <c r="H137" s="244"/>
      <c r="I137" s="244"/>
      <c r="J137" s="244"/>
      <c r="K137" s="244"/>
      <c r="L137" s="244"/>
      <c r="M137" s="244"/>
      <c r="N137" s="244"/>
      <c r="O137" s="244"/>
      <c r="P137" s="244"/>
      <c r="Q137" s="244"/>
      <c r="R137" s="244"/>
      <c r="S137" s="244"/>
      <c r="T137" s="244"/>
      <c r="U137" s="244"/>
      <c r="V137" s="244"/>
      <c r="W137" s="244"/>
      <c r="X137" s="244"/>
      <c r="Y137" s="244"/>
      <c r="Z137" s="244"/>
      <c r="AA137" s="244"/>
      <c r="AB137" s="244"/>
      <c r="AC137" s="244"/>
      <c r="AD137" s="244"/>
      <c r="AE137" s="244"/>
      <c r="AF137" s="244"/>
      <c r="AG137" s="244"/>
      <c r="AH137" s="244"/>
      <c r="AI137" s="244"/>
      <c r="AJ137" s="244"/>
      <c r="AK137" s="244"/>
      <c r="AL137" s="244"/>
      <c r="AM137" s="244"/>
      <c r="AN137" s="244"/>
      <c r="AO137" s="244"/>
      <c r="AP137" s="244"/>
      <c r="AQ137" s="244"/>
      <c r="AR137" s="244"/>
      <c r="AS137" s="244"/>
      <c r="AT137" s="244"/>
      <c r="AU137" s="244"/>
      <c r="AV137" s="244"/>
      <c r="AW137" s="244"/>
      <c r="AX137" s="244"/>
      <c r="AY137" s="244"/>
      <c r="AZ137" s="244"/>
      <c r="BA137" s="244"/>
      <c r="BB137" s="244"/>
      <c r="BC137" s="244"/>
      <c r="BD137" s="244"/>
      <c r="BE137" s="244"/>
      <c r="BF137" s="244"/>
      <c r="BG137" s="244"/>
      <c r="BH137" s="244"/>
      <c r="BI137" s="244"/>
      <c r="BJ137" s="244"/>
      <c r="BK137" s="244"/>
      <c r="BL137" s="244"/>
      <c r="BM137" s="244"/>
      <c r="BN137" s="244"/>
      <c r="BO137" s="244"/>
      <c r="BP137" s="244"/>
      <c r="BQ137" s="244"/>
      <c r="BR137" s="244"/>
      <c r="BS137" s="244"/>
      <c r="BT137" s="244"/>
      <c r="BU137" s="244"/>
      <c r="BV137" s="244"/>
      <c r="BW137" s="244"/>
      <c r="BX137" s="244"/>
      <c r="BY137" s="244"/>
      <c r="BZ137" s="244"/>
      <c r="CA137" s="244"/>
      <c r="CB137" s="244"/>
      <c r="CC137" s="244"/>
      <c r="CD137" s="244"/>
      <c r="CE137" s="244"/>
      <c r="CF137" s="244"/>
    </row>
    <row r="138">
      <c r="A138" s="244"/>
      <c r="B138" s="246"/>
      <c r="C138" s="244"/>
      <c r="D138" s="244"/>
      <c r="E138" s="244"/>
      <c r="F138" s="244"/>
      <c r="G138" s="244"/>
      <c r="H138" s="244"/>
      <c r="I138" s="244"/>
      <c r="J138" s="244"/>
      <c r="K138" s="244"/>
      <c r="L138" s="244"/>
      <c r="M138" s="244"/>
      <c r="N138" s="244"/>
      <c r="O138" s="244"/>
      <c r="P138" s="244"/>
      <c r="Q138" s="244"/>
      <c r="R138" s="244"/>
      <c r="S138" s="244"/>
      <c r="T138" s="244"/>
      <c r="U138" s="244"/>
      <c r="V138" s="244"/>
      <c r="W138" s="244"/>
      <c r="X138" s="244"/>
      <c r="Y138" s="244"/>
      <c r="Z138" s="244"/>
      <c r="AA138" s="244"/>
      <c r="AB138" s="244"/>
      <c r="AC138" s="244"/>
      <c r="AD138" s="244"/>
      <c r="AE138" s="244"/>
      <c r="AF138" s="244"/>
      <c r="AG138" s="244"/>
      <c r="AH138" s="244"/>
      <c r="AI138" s="244"/>
      <c r="AJ138" s="244"/>
      <c r="AK138" s="244"/>
      <c r="AL138" s="244"/>
      <c r="AM138" s="244"/>
      <c r="AN138" s="244"/>
      <c r="AO138" s="244"/>
      <c r="AP138" s="244"/>
      <c r="AQ138" s="244"/>
      <c r="AR138" s="244"/>
      <c r="AS138" s="244"/>
      <c r="AT138" s="244"/>
      <c r="AU138" s="244"/>
      <c r="AV138" s="244"/>
      <c r="AW138" s="244"/>
      <c r="AX138" s="244"/>
      <c r="AY138" s="244"/>
      <c r="AZ138" s="244"/>
      <c r="BA138" s="244"/>
      <c r="BB138" s="244"/>
      <c r="BC138" s="244"/>
      <c r="BD138" s="244"/>
      <c r="BE138" s="244"/>
      <c r="BF138" s="244"/>
      <c r="BG138" s="244"/>
      <c r="BH138" s="244"/>
      <c r="BI138" s="244"/>
      <c r="BJ138" s="244"/>
      <c r="BK138" s="244"/>
      <c r="BL138" s="244"/>
      <c r="BM138" s="244"/>
      <c r="BN138" s="244"/>
      <c r="BO138" s="244"/>
      <c r="BP138" s="244"/>
      <c r="BQ138" s="244"/>
      <c r="BR138" s="244"/>
      <c r="BS138" s="244"/>
      <c r="BT138" s="244"/>
      <c r="BU138" s="244"/>
      <c r="BV138" s="244"/>
      <c r="BW138" s="244"/>
      <c r="BX138" s="244"/>
      <c r="BY138" s="244"/>
      <c r="BZ138" s="244"/>
      <c r="CA138" s="244"/>
      <c r="CB138" s="244"/>
      <c r="CC138" s="244"/>
      <c r="CD138" s="244"/>
      <c r="CE138" s="244"/>
      <c r="CF138" s="244"/>
    </row>
    <row r="139">
      <c r="A139" s="244"/>
      <c r="B139" s="246"/>
      <c r="C139" s="244"/>
      <c r="D139" s="244"/>
      <c r="E139" s="244"/>
      <c r="F139" s="244"/>
      <c r="G139" s="244"/>
      <c r="H139" s="244"/>
      <c r="I139" s="244"/>
      <c r="J139" s="244"/>
      <c r="K139" s="244"/>
      <c r="L139" s="244"/>
      <c r="M139" s="244"/>
      <c r="N139" s="244"/>
      <c r="O139" s="244"/>
      <c r="P139" s="244"/>
      <c r="Q139" s="244"/>
      <c r="R139" s="244"/>
      <c r="S139" s="244"/>
      <c r="T139" s="244"/>
      <c r="U139" s="244"/>
      <c r="V139" s="244"/>
      <c r="W139" s="244"/>
      <c r="X139" s="244"/>
      <c r="Y139" s="244"/>
      <c r="Z139" s="244"/>
      <c r="AA139" s="244"/>
      <c r="AB139" s="244"/>
      <c r="AC139" s="244"/>
      <c r="AD139" s="244"/>
      <c r="AE139" s="244"/>
      <c r="AF139" s="244"/>
      <c r="AG139" s="244"/>
      <c r="AH139" s="244"/>
      <c r="AI139" s="244"/>
      <c r="AJ139" s="244"/>
      <c r="AK139" s="244"/>
      <c r="AL139" s="244"/>
      <c r="AM139" s="244"/>
      <c r="AN139" s="244"/>
      <c r="AO139" s="244"/>
      <c r="AP139" s="244"/>
      <c r="AQ139" s="244"/>
      <c r="AR139" s="244"/>
      <c r="AS139" s="244"/>
      <c r="AT139" s="244"/>
      <c r="AU139" s="244"/>
      <c r="AV139" s="244"/>
      <c r="AW139" s="244"/>
      <c r="AX139" s="244"/>
      <c r="AY139" s="244"/>
      <c r="AZ139" s="244"/>
      <c r="BA139" s="244"/>
      <c r="BB139" s="244"/>
      <c r="BC139" s="244"/>
      <c r="BD139" s="244"/>
      <c r="BE139" s="244"/>
      <c r="BF139" s="244"/>
      <c r="BG139" s="244"/>
      <c r="BH139" s="244"/>
      <c r="BI139" s="244"/>
      <c r="BJ139" s="244"/>
      <c r="BK139" s="244"/>
      <c r="BL139" s="244"/>
      <c r="BM139" s="244"/>
      <c r="BN139" s="244"/>
      <c r="BO139" s="244"/>
      <c r="BP139" s="244"/>
      <c r="BQ139" s="244"/>
      <c r="BR139" s="244"/>
      <c r="BS139" s="244"/>
      <c r="BT139" s="244"/>
      <c r="BU139" s="244"/>
      <c r="BV139" s="244"/>
      <c r="BW139" s="244"/>
      <c r="BX139" s="244"/>
      <c r="BY139" s="244"/>
      <c r="BZ139" s="244"/>
      <c r="CA139" s="244"/>
      <c r="CB139" s="244"/>
      <c r="CC139" s="244"/>
      <c r="CD139" s="244"/>
      <c r="CE139" s="244"/>
      <c r="CF139" s="244"/>
    </row>
    <row r="140">
      <c r="A140" s="244"/>
      <c r="B140" s="246"/>
      <c r="C140" s="244"/>
      <c r="D140" s="244"/>
      <c r="E140" s="244"/>
      <c r="F140" s="244"/>
      <c r="G140" s="244"/>
      <c r="H140" s="244"/>
      <c r="I140" s="244"/>
      <c r="J140" s="244"/>
      <c r="K140" s="244"/>
      <c r="L140" s="244"/>
      <c r="M140" s="244"/>
      <c r="N140" s="244"/>
      <c r="O140" s="244"/>
      <c r="P140" s="244"/>
      <c r="Q140" s="244"/>
      <c r="R140" s="244"/>
      <c r="S140" s="244"/>
      <c r="T140" s="244"/>
      <c r="U140" s="244"/>
      <c r="V140" s="244"/>
      <c r="W140" s="244"/>
      <c r="X140" s="244"/>
      <c r="Y140" s="244"/>
      <c r="Z140" s="244"/>
      <c r="AA140" s="244"/>
      <c r="AB140" s="244"/>
      <c r="AC140" s="244"/>
      <c r="AD140" s="244"/>
      <c r="AE140" s="244"/>
      <c r="AF140" s="244"/>
      <c r="AG140" s="244"/>
      <c r="AH140" s="244"/>
      <c r="AI140" s="244"/>
      <c r="AJ140" s="244"/>
      <c r="AK140" s="244"/>
      <c r="AL140" s="244"/>
      <c r="AM140" s="244"/>
      <c r="AN140" s="244"/>
      <c r="AO140" s="244"/>
      <c r="AP140" s="244"/>
      <c r="AQ140" s="244"/>
      <c r="AR140" s="244"/>
      <c r="AS140" s="244"/>
      <c r="AT140" s="244"/>
      <c r="AU140" s="244"/>
      <c r="AV140" s="244"/>
      <c r="AW140" s="244"/>
      <c r="AX140" s="244"/>
      <c r="AY140" s="244"/>
      <c r="AZ140" s="244"/>
      <c r="BA140" s="244"/>
      <c r="BB140" s="244"/>
      <c r="BC140" s="244"/>
      <c r="BD140" s="244"/>
      <c r="BE140" s="244"/>
      <c r="BF140" s="244"/>
      <c r="BG140" s="244"/>
      <c r="BH140" s="244"/>
      <c r="BI140" s="244"/>
      <c r="BJ140" s="244"/>
      <c r="BK140" s="244"/>
      <c r="BL140" s="244"/>
      <c r="BM140" s="244"/>
      <c r="BN140" s="244"/>
      <c r="BO140" s="244"/>
      <c r="BP140" s="244"/>
      <c r="BQ140" s="244"/>
      <c r="BR140" s="244"/>
      <c r="BS140" s="244"/>
      <c r="BT140" s="244"/>
      <c r="BU140" s="244"/>
      <c r="BV140" s="244"/>
      <c r="BW140" s="244"/>
      <c r="BX140" s="244"/>
      <c r="BY140" s="244"/>
      <c r="BZ140" s="244"/>
      <c r="CA140" s="244"/>
      <c r="CB140" s="244"/>
      <c r="CC140" s="244"/>
      <c r="CD140" s="244"/>
      <c r="CE140" s="244"/>
      <c r="CF140" s="244"/>
    </row>
    <row r="141">
      <c r="A141" s="244"/>
      <c r="B141" s="246"/>
      <c r="C141" s="244"/>
      <c r="D141" s="244"/>
      <c r="E141" s="244"/>
      <c r="F141" s="244"/>
      <c r="G141" s="244"/>
      <c r="H141" s="244"/>
      <c r="I141" s="244"/>
      <c r="J141" s="244"/>
      <c r="K141" s="244"/>
      <c r="L141" s="244"/>
      <c r="M141" s="244"/>
      <c r="N141" s="244"/>
      <c r="O141" s="244"/>
      <c r="P141" s="244"/>
      <c r="Q141" s="244"/>
      <c r="R141" s="244"/>
      <c r="S141" s="244"/>
      <c r="T141" s="244"/>
      <c r="U141" s="244"/>
      <c r="V141" s="244"/>
      <c r="W141" s="244"/>
      <c r="X141" s="244"/>
      <c r="Y141" s="244"/>
      <c r="Z141" s="244"/>
      <c r="AA141" s="244"/>
      <c r="AB141" s="244"/>
      <c r="AC141" s="244"/>
      <c r="AD141" s="244"/>
      <c r="AE141" s="244"/>
      <c r="AF141" s="244"/>
      <c r="AG141" s="244"/>
      <c r="AH141" s="244"/>
      <c r="AI141" s="244"/>
      <c r="AJ141" s="244"/>
      <c r="AK141" s="244"/>
      <c r="AL141" s="244"/>
      <c r="AM141" s="244"/>
      <c r="AN141" s="244"/>
      <c r="AO141" s="244"/>
      <c r="AP141" s="244"/>
      <c r="AQ141" s="244"/>
      <c r="AR141" s="244"/>
      <c r="AS141" s="244"/>
      <c r="AT141" s="244"/>
      <c r="AU141" s="244"/>
      <c r="AV141" s="244"/>
      <c r="AW141" s="244"/>
      <c r="AX141" s="244"/>
      <c r="AY141" s="244"/>
      <c r="AZ141" s="244"/>
      <c r="BA141" s="244"/>
      <c r="BB141" s="244"/>
      <c r="BC141" s="244"/>
      <c r="BD141" s="244"/>
      <c r="BE141" s="244"/>
      <c r="BF141" s="244"/>
      <c r="BG141" s="244"/>
      <c r="BH141" s="244"/>
      <c r="BI141" s="244"/>
      <c r="BJ141" s="244"/>
      <c r="BK141" s="244"/>
      <c r="BL141" s="244"/>
      <c r="BM141" s="244"/>
      <c r="BN141" s="244"/>
      <c r="BO141" s="244"/>
      <c r="BP141" s="244"/>
      <c r="BQ141" s="244"/>
      <c r="BR141" s="244"/>
      <c r="BS141" s="244"/>
      <c r="BT141" s="244"/>
      <c r="BU141" s="244"/>
      <c r="BV141" s="244"/>
      <c r="BW141" s="244"/>
      <c r="BX141" s="244"/>
      <c r="BY141" s="244"/>
      <c r="BZ141" s="244"/>
      <c r="CA141" s="244"/>
      <c r="CB141" s="244"/>
      <c r="CC141" s="244"/>
      <c r="CD141" s="244"/>
      <c r="CE141" s="244"/>
      <c r="CF141" s="244"/>
    </row>
    <row r="142">
      <c r="A142" s="244"/>
      <c r="B142" s="246"/>
      <c r="C142" s="244"/>
      <c r="D142" s="244"/>
      <c r="E142" s="244"/>
      <c r="F142" s="244"/>
      <c r="G142" s="244"/>
      <c r="H142" s="244"/>
      <c r="I142" s="244"/>
      <c r="J142" s="244"/>
      <c r="K142" s="244"/>
      <c r="L142" s="244"/>
      <c r="M142" s="244"/>
      <c r="N142" s="244"/>
      <c r="O142" s="244"/>
      <c r="P142" s="244"/>
      <c r="Q142" s="244"/>
      <c r="R142" s="244"/>
      <c r="S142" s="244"/>
      <c r="T142" s="244"/>
      <c r="U142" s="244"/>
      <c r="V142" s="244"/>
      <c r="W142" s="244"/>
      <c r="X142" s="244"/>
      <c r="Y142" s="244"/>
      <c r="Z142" s="244"/>
      <c r="AA142" s="244"/>
      <c r="AB142" s="244"/>
      <c r="AC142" s="244"/>
      <c r="AD142" s="244"/>
      <c r="AE142" s="244"/>
      <c r="AF142" s="244"/>
      <c r="AG142" s="244"/>
      <c r="AH142" s="244"/>
      <c r="AI142" s="244"/>
      <c r="AJ142" s="244"/>
      <c r="AK142" s="244"/>
      <c r="AL142" s="244"/>
      <c r="AM142" s="244"/>
      <c r="AN142" s="244"/>
      <c r="AO142" s="244"/>
      <c r="AP142" s="244"/>
      <c r="AQ142" s="244"/>
      <c r="AR142" s="244"/>
      <c r="AS142" s="244"/>
      <c r="AT142" s="244"/>
      <c r="AU142" s="244"/>
      <c r="AV142" s="244"/>
      <c r="AW142" s="244"/>
      <c r="AX142" s="244"/>
      <c r="AY142" s="244"/>
      <c r="AZ142" s="244"/>
      <c r="BA142" s="244"/>
      <c r="BB142" s="244"/>
      <c r="BC142" s="244"/>
      <c r="BD142" s="244"/>
      <c r="BE142" s="244"/>
      <c r="BF142" s="244"/>
      <c r="BG142" s="244"/>
      <c r="BH142" s="244"/>
      <c r="BI142" s="244"/>
      <c r="BJ142" s="244"/>
      <c r="BK142" s="244"/>
      <c r="BL142" s="244"/>
      <c r="BM142" s="244"/>
      <c r="BN142" s="244"/>
      <c r="BO142" s="244"/>
      <c r="BP142" s="244"/>
      <c r="BQ142" s="244"/>
      <c r="BR142" s="244"/>
      <c r="BS142" s="244"/>
      <c r="BT142" s="244"/>
      <c r="BU142" s="244"/>
      <c r="BV142" s="244"/>
      <c r="BW142" s="244"/>
      <c r="BX142" s="244"/>
      <c r="BY142" s="244"/>
      <c r="BZ142" s="244"/>
      <c r="CA142" s="244"/>
      <c r="CB142" s="244"/>
      <c r="CC142" s="244"/>
      <c r="CD142" s="244"/>
      <c r="CE142" s="244"/>
      <c r="CF142" s="244"/>
    </row>
    <row r="143">
      <c r="A143" s="244"/>
      <c r="B143" s="246"/>
      <c r="C143" s="244"/>
      <c r="D143" s="244"/>
      <c r="E143" s="244"/>
      <c r="F143" s="244"/>
      <c r="G143" s="244"/>
      <c r="H143" s="244"/>
      <c r="I143" s="244"/>
      <c r="J143" s="244"/>
      <c r="K143" s="244"/>
      <c r="L143" s="244"/>
      <c r="M143" s="244"/>
      <c r="N143" s="244"/>
      <c r="O143" s="244"/>
      <c r="P143" s="244"/>
      <c r="Q143" s="244"/>
      <c r="R143" s="244"/>
      <c r="S143" s="244"/>
      <c r="T143" s="244"/>
      <c r="U143" s="244"/>
      <c r="V143" s="244"/>
      <c r="W143" s="244"/>
      <c r="X143" s="244"/>
      <c r="Y143" s="244"/>
      <c r="Z143" s="244"/>
      <c r="AA143" s="244"/>
      <c r="AB143" s="244"/>
      <c r="AC143" s="244"/>
      <c r="AD143" s="244"/>
      <c r="AE143" s="244"/>
      <c r="AF143" s="244"/>
      <c r="AG143" s="244"/>
      <c r="AH143" s="244"/>
      <c r="AI143" s="244"/>
      <c r="AJ143" s="244"/>
      <c r="AK143" s="244"/>
      <c r="AL143" s="244"/>
      <c r="AM143" s="244"/>
      <c r="AN143" s="244"/>
      <c r="AO143" s="244"/>
      <c r="AP143" s="244"/>
      <c r="AQ143" s="244"/>
      <c r="AR143" s="244"/>
      <c r="AS143" s="244"/>
      <c r="AT143" s="244"/>
      <c r="AU143" s="244"/>
      <c r="AV143" s="244"/>
      <c r="AW143" s="244"/>
      <c r="AX143" s="244"/>
      <c r="AY143" s="244"/>
      <c r="AZ143" s="244"/>
      <c r="BA143" s="244"/>
      <c r="BB143" s="244"/>
      <c r="BC143" s="244"/>
      <c r="BD143" s="244"/>
      <c r="BE143" s="244"/>
      <c r="BF143" s="244"/>
      <c r="BG143" s="244"/>
      <c r="BH143" s="244"/>
      <c r="BI143" s="244"/>
      <c r="BJ143" s="244"/>
      <c r="BK143" s="244"/>
      <c r="BL143" s="244"/>
      <c r="BM143" s="244"/>
      <c r="BN143" s="244"/>
      <c r="BO143" s="244"/>
      <c r="BP143" s="244"/>
      <c r="BQ143" s="244"/>
      <c r="BR143" s="244"/>
      <c r="BS143" s="244"/>
      <c r="BT143" s="244"/>
      <c r="BU143" s="244"/>
      <c r="BV143" s="244"/>
      <c r="BW143" s="244"/>
      <c r="BX143" s="244"/>
      <c r="BY143" s="244"/>
      <c r="BZ143" s="244"/>
      <c r="CA143" s="244"/>
      <c r="CB143" s="244"/>
      <c r="CC143" s="244"/>
      <c r="CD143" s="244"/>
      <c r="CE143" s="244"/>
      <c r="CF143" s="244"/>
    </row>
    <row r="144">
      <c r="A144" s="244"/>
      <c r="B144" s="246"/>
      <c r="C144" s="244"/>
      <c r="D144" s="244"/>
      <c r="E144" s="244"/>
      <c r="F144" s="244"/>
      <c r="G144" s="244"/>
      <c r="H144" s="244"/>
      <c r="I144" s="244"/>
      <c r="J144" s="244"/>
      <c r="K144" s="244"/>
      <c r="L144" s="244"/>
      <c r="M144" s="244"/>
      <c r="N144" s="244"/>
      <c r="O144" s="244"/>
      <c r="P144" s="244"/>
      <c r="Q144" s="244"/>
      <c r="R144" s="244"/>
      <c r="S144" s="244"/>
      <c r="T144" s="244"/>
      <c r="U144" s="244"/>
      <c r="V144" s="244"/>
      <c r="W144" s="244"/>
      <c r="X144" s="244"/>
      <c r="Y144" s="244"/>
      <c r="Z144" s="244"/>
      <c r="AA144" s="244"/>
      <c r="AB144" s="244"/>
      <c r="AC144" s="244"/>
      <c r="AD144" s="244"/>
      <c r="AE144" s="244"/>
      <c r="AF144" s="244"/>
      <c r="AG144" s="244"/>
      <c r="AH144" s="244"/>
      <c r="AI144" s="244"/>
      <c r="AJ144" s="244"/>
      <c r="AK144" s="244"/>
      <c r="AL144" s="244"/>
      <c r="AM144" s="244"/>
      <c r="AN144" s="244"/>
      <c r="AO144" s="244"/>
      <c r="AP144" s="244"/>
      <c r="AQ144" s="244"/>
      <c r="AR144" s="244"/>
      <c r="AS144" s="244"/>
      <c r="AT144" s="244"/>
      <c r="AU144" s="244"/>
      <c r="AV144" s="244"/>
      <c r="AW144" s="244"/>
      <c r="AX144" s="244"/>
      <c r="AY144" s="244"/>
      <c r="AZ144" s="244"/>
      <c r="BA144" s="244"/>
      <c r="BB144" s="244"/>
      <c r="BC144" s="244"/>
      <c r="BD144" s="244"/>
      <c r="BE144" s="244"/>
      <c r="BF144" s="244"/>
      <c r="BG144" s="244"/>
      <c r="BH144" s="244"/>
      <c r="BI144" s="244"/>
      <c r="BJ144" s="244"/>
      <c r="BK144" s="244"/>
      <c r="BL144" s="244"/>
      <c r="BM144" s="244"/>
      <c r="BN144" s="244"/>
      <c r="BO144" s="244"/>
      <c r="BP144" s="244"/>
      <c r="BQ144" s="244"/>
      <c r="BR144" s="244"/>
      <c r="BS144" s="244"/>
      <c r="BT144" s="244"/>
      <c r="BU144" s="244"/>
      <c r="BV144" s="244"/>
      <c r="BW144" s="244"/>
      <c r="BX144" s="244"/>
      <c r="BY144" s="244"/>
      <c r="BZ144" s="244"/>
      <c r="CA144" s="244"/>
      <c r="CB144" s="244"/>
      <c r="CC144" s="244"/>
      <c r="CD144" s="244"/>
      <c r="CE144" s="244"/>
      <c r="CF144" s="244"/>
    </row>
    <row r="145">
      <c r="A145" s="244"/>
      <c r="B145" s="246"/>
      <c r="C145" s="244"/>
      <c r="D145" s="244"/>
      <c r="E145" s="244"/>
      <c r="F145" s="244"/>
      <c r="G145" s="244"/>
      <c r="H145" s="244"/>
      <c r="I145" s="244"/>
      <c r="J145" s="244"/>
      <c r="K145" s="244"/>
      <c r="L145" s="244"/>
      <c r="M145" s="244"/>
      <c r="N145" s="244"/>
      <c r="O145" s="244"/>
      <c r="P145" s="244"/>
      <c r="Q145" s="244"/>
      <c r="R145" s="244"/>
      <c r="S145" s="244"/>
      <c r="T145" s="244"/>
      <c r="U145" s="244"/>
      <c r="V145" s="244"/>
      <c r="W145" s="244"/>
      <c r="X145" s="244"/>
      <c r="Y145" s="244"/>
      <c r="Z145" s="244"/>
      <c r="AA145" s="244"/>
      <c r="AB145" s="244"/>
      <c r="AC145" s="244"/>
      <c r="AD145" s="244"/>
      <c r="AE145" s="244"/>
      <c r="AF145" s="244"/>
      <c r="AG145" s="244"/>
      <c r="AH145" s="244"/>
      <c r="AI145" s="244"/>
      <c r="AJ145" s="244"/>
      <c r="AK145" s="244"/>
      <c r="AL145" s="244"/>
      <c r="AM145" s="244"/>
      <c r="AN145" s="244"/>
      <c r="AO145" s="244"/>
      <c r="AP145" s="244"/>
      <c r="AQ145" s="244"/>
      <c r="AR145" s="244"/>
      <c r="AS145" s="244"/>
      <c r="AT145" s="244"/>
      <c r="AU145" s="244"/>
      <c r="AV145" s="244"/>
      <c r="AW145" s="244"/>
      <c r="AX145" s="244"/>
      <c r="AY145" s="244"/>
      <c r="AZ145" s="244"/>
      <c r="BA145" s="244"/>
      <c r="BB145" s="244"/>
      <c r="BC145" s="244"/>
      <c r="BD145" s="244"/>
      <c r="BE145" s="244"/>
      <c r="BF145" s="244"/>
      <c r="BG145" s="244"/>
      <c r="BH145" s="244"/>
      <c r="BI145" s="244"/>
      <c r="BJ145" s="244"/>
      <c r="BK145" s="244"/>
      <c r="BL145" s="244"/>
      <c r="BM145" s="244"/>
      <c r="BN145" s="244"/>
      <c r="BO145" s="244"/>
      <c r="BP145" s="244"/>
      <c r="BQ145" s="244"/>
      <c r="BR145" s="244"/>
      <c r="BS145" s="244"/>
      <c r="BT145" s="244"/>
      <c r="BU145" s="244"/>
      <c r="BV145" s="244"/>
      <c r="BW145" s="244"/>
      <c r="BX145" s="244"/>
      <c r="BY145" s="244"/>
      <c r="BZ145" s="244"/>
      <c r="CA145" s="244"/>
      <c r="CB145" s="244"/>
      <c r="CC145" s="244"/>
      <c r="CD145" s="244"/>
      <c r="CE145" s="244"/>
      <c r="CF145" s="244"/>
    </row>
    <row r="146">
      <c r="A146" s="244"/>
      <c r="B146" s="246"/>
      <c r="C146" s="244"/>
      <c r="D146" s="244"/>
      <c r="E146" s="244"/>
      <c r="F146" s="244"/>
      <c r="G146" s="244"/>
      <c r="H146" s="244"/>
      <c r="I146" s="244"/>
      <c r="J146" s="244"/>
      <c r="K146" s="244"/>
      <c r="L146" s="244"/>
      <c r="M146" s="244"/>
      <c r="N146" s="244"/>
      <c r="O146" s="244"/>
      <c r="P146" s="244"/>
      <c r="Q146" s="244"/>
      <c r="R146" s="244"/>
      <c r="S146" s="244"/>
      <c r="T146" s="244"/>
      <c r="U146" s="244"/>
      <c r="V146" s="244"/>
      <c r="W146" s="244"/>
      <c r="X146" s="244"/>
      <c r="Y146" s="244"/>
      <c r="Z146" s="244"/>
      <c r="AA146" s="244"/>
      <c r="AB146" s="244"/>
      <c r="AC146" s="244"/>
      <c r="AD146" s="244"/>
      <c r="AE146" s="244"/>
      <c r="AF146" s="244"/>
      <c r="AG146" s="244"/>
      <c r="AH146" s="244"/>
      <c r="AI146" s="244"/>
      <c r="AJ146" s="244"/>
      <c r="AK146" s="244"/>
      <c r="AL146" s="244"/>
      <c r="AM146" s="244"/>
      <c r="AN146" s="244"/>
      <c r="AO146" s="244"/>
      <c r="AP146" s="244"/>
      <c r="AQ146" s="244"/>
      <c r="AR146" s="244"/>
      <c r="AS146" s="244"/>
      <c r="AT146" s="244"/>
      <c r="AU146" s="244"/>
      <c r="AV146" s="244"/>
      <c r="AW146" s="244"/>
      <c r="AX146" s="244"/>
      <c r="AY146" s="244"/>
      <c r="AZ146" s="244"/>
      <c r="BA146" s="244"/>
      <c r="BB146" s="244"/>
      <c r="BC146" s="244"/>
      <c r="BD146" s="244"/>
      <c r="BE146" s="244"/>
      <c r="BF146" s="244"/>
      <c r="BG146" s="244"/>
      <c r="BH146" s="244"/>
      <c r="BI146" s="244"/>
      <c r="BJ146" s="244"/>
      <c r="BK146" s="244"/>
      <c r="BL146" s="244"/>
      <c r="BM146" s="244"/>
      <c r="BN146" s="244"/>
      <c r="BO146" s="244"/>
      <c r="BP146" s="244"/>
      <c r="BQ146" s="244"/>
      <c r="BR146" s="244"/>
      <c r="BS146" s="244"/>
      <c r="BT146" s="244"/>
      <c r="BU146" s="244"/>
      <c r="BV146" s="244"/>
      <c r="BW146" s="244"/>
      <c r="BX146" s="244"/>
      <c r="BY146" s="244"/>
      <c r="BZ146" s="244"/>
      <c r="CA146" s="244"/>
      <c r="CB146" s="244"/>
      <c r="CC146" s="244"/>
      <c r="CD146" s="244"/>
      <c r="CE146" s="244"/>
      <c r="CF146" s="244"/>
    </row>
    <row r="147">
      <c r="A147" s="244"/>
      <c r="B147" s="246"/>
      <c r="C147" s="244"/>
      <c r="D147" s="244"/>
      <c r="E147" s="244"/>
      <c r="F147" s="244"/>
      <c r="G147" s="244"/>
      <c r="H147" s="244"/>
      <c r="I147" s="244"/>
      <c r="J147" s="244"/>
      <c r="K147" s="244"/>
      <c r="L147" s="244"/>
      <c r="M147" s="244"/>
      <c r="N147" s="244"/>
      <c r="O147" s="244"/>
      <c r="P147" s="244"/>
      <c r="Q147" s="244"/>
      <c r="R147" s="244"/>
      <c r="S147" s="244"/>
      <c r="T147" s="244"/>
      <c r="U147" s="244"/>
      <c r="V147" s="244"/>
      <c r="W147" s="244"/>
      <c r="X147" s="244"/>
      <c r="Y147" s="244"/>
      <c r="Z147" s="244"/>
      <c r="AA147" s="244"/>
      <c r="AB147" s="244"/>
      <c r="AC147" s="244"/>
      <c r="AD147" s="244"/>
      <c r="AE147" s="244"/>
      <c r="AF147" s="244"/>
      <c r="AG147" s="244"/>
      <c r="AH147" s="244"/>
      <c r="AI147" s="244"/>
      <c r="AJ147" s="244"/>
      <c r="AK147" s="244"/>
      <c r="AL147" s="244"/>
      <c r="AM147" s="244"/>
      <c r="AN147" s="244"/>
      <c r="AO147" s="244"/>
      <c r="AP147" s="244"/>
      <c r="AQ147" s="244"/>
      <c r="AR147" s="244"/>
      <c r="AS147" s="244"/>
      <c r="AT147" s="244"/>
      <c r="AU147" s="244"/>
      <c r="AV147" s="244"/>
      <c r="AW147" s="244"/>
      <c r="AX147" s="244"/>
      <c r="AY147" s="244"/>
      <c r="AZ147" s="244"/>
      <c r="BA147" s="244"/>
      <c r="BB147" s="244"/>
      <c r="BC147" s="244"/>
      <c r="BD147" s="244"/>
      <c r="BE147" s="244"/>
      <c r="BF147" s="244"/>
      <c r="BG147" s="244"/>
      <c r="BH147" s="244"/>
      <c r="BI147" s="244"/>
      <c r="BJ147" s="244"/>
      <c r="BK147" s="244"/>
      <c r="BL147" s="244"/>
      <c r="BM147" s="244"/>
      <c r="BN147" s="244"/>
      <c r="BO147" s="244"/>
      <c r="BP147" s="244"/>
      <c r="BQ147" s="244"/>
      <c r="BR147" s="244"/>
      <c r="BS147" s="244"/>
      <c r="BT147" s="244"/>
      <c r="BU147" s="244"/>
      <c r="BV147" s="244"/>
      <c r="BW147" s="244"/>
      <c r="BX147" s="244"/>
      <c r="BY147" s="244"/>
      <c r="BZ147" s="244"/>
      <c r="CA147" s="244"/>
      <c r="CB147" s="244"/>
      <c r="CC147" s="244"/>
      <c r="CD147" s="244"/>
      <c r="CE147" s="244"/>
      <c r="CF147" s="244"/>
    </row>
    <row r="148">
      <c r="A148" s="244"/>
      <c r="B148" s="246"/>
      <c r="C148" s="244"/>
      <c r="D148" s="244"/>
      <c r="E148" s="244"/>
      <c r="F148" s="244"/>
      <c r="G148" s="244"/>
      <c r="H148" s="244"/>
      <c r="I148" s="244"/>
      <c r="J148" s="244"/>
      <c r="K148" s="244"/>
      <c r="L148" s="244"/>
      <c r="M148" s="244"/>
      <c r="N148" s="244"/>
      <c r="O148" s="244"/>
      <c r="P148" s="244"/>
      <c r="Q148" s="244"/>
      <c r="R148" s="244"/>
      <c r="S148" s="244"/>
      <c r="T148" s="244"/>
      <c r="U148" s="244"/>
      <c r="V148" s="244"/>
      <c r="W148" s="244"/>
      <c r="X148" s="244"/>
      <c r="Y148" s="244"/>
      <c r="Z148" s="244"/>
      <c r="AA148" s="244"/>
      <c r="AB148" s="244"/>
      <c r="AC148" s="244"/>
      <c r="AD148" s="244"/>
      <c r="AE148" s="244"/>
      <c r="AF148" s="244"/>
      <c r="AG148" s="244"/>
      <c r="AH148" s="244"/>
      <c r="AI148" s="244"/>
      <c r="AJ148" s="244"/>
      <c r="AK148" s="244"/>
      <c r="AL148" s="244"/>
      <c r="AM148" s="244"/>
      <c r="AN148" s="244"/>
      <c r="AO148" s="244"/>
      <c r="AP148" s="244"/>
      <c r="AQ148" s="244"/>
      <c r="AR148" s="244"/>
      <c r="AS148" s="244"/>
      <c r="AT148" s="244"/>
      <c r="AU148" s="244"/>
      <c r="AV148" s="244"/>
      <c r="AW148" s="244"/>
      <c r="AX148" s="244"/>
      <c r="AY148" s="244"/>
      <c r="AZ148" s="244"/>
      <c r="BA148" s="244"/>
      <c r="BB148" s="244"/>
      <c r="BC148" s="244"/>
      <c r="BD148" s="244"/>
      <c r="BE148" s="244"/>
      <c r="BF148" s="244"/>
      <c r="BG148" s="244"/>
      <c r="BH148" s="244"/>
      <c r="BI148" s="244"/>
      <c r="BJ148" s="244"/>
      <c r="BK148" s="244"/>
      <c r="BL148" s="244"/>
      <c r="BM148" s="244"/>
      <c r="BN148" s="244"/>
      <c r="BO148" s="244"/>
      <c r="BP148" s="244"/>
      <c r="BQ148" s="244"/>
      <c r="BR148" s="244"/>
      <c r="BS148" s="244"/>
      <c r="BT148" s="244"/>
      <c r="BU148" s="244"/>
      <c r="BV148" s="244"/>
      <c r="BW148" s="244"/>
      <c r="BX148" s="244"/>
      <c r="BY148" s="244"/>
      <c r="BZ148" s="244"/>
      <c r="CA148" s="244"/>
      <c r="CB148" s="244"/>
      <c r="CC148" s="244"/>
      <c r="CD148" s="244"/>
      <c r="CE148" s="244"/>
      <c r="CF148" s="244"/>
    </row>
  </sheetData>
  <mergeCells count="187">
    <mergeCell ref="I94:N94"/>
    <mergeCell ref="I95:N95"/>
    <mergeCell ref="I96:N96"/>
    <mergeCell ref="I97:N97"/>
    <mergeCell ref="C103:AO103"/>
    <mergeCell ref="I98:N98"/>
    <mergeCell ref="I99:N99"/>
    <mergeCell ref="I100:N100"/>
    <mergeCell ref="I88:N88"/>
    <mergeCell ref="I89:N89"/>
    <mergeCell ref="I90:N90"/>
    <mergeCell ref="I91:N91"/>
    <mergeCell ref="I92:N92"/>
    <mergeCell ref="I93:N93"/>
    <mergeCell ref="I82:N82"/>
    <mergeCell ref="I83:N83"/>
    <mergeCell ref="I84:N84"/>
    <mergeCell ref="I85:N85"/>
    <mergeCell ref="I86:N86"/>
    <mergeCell ref="I87:N87"/>
    <mergeCell ref="I76:N76"/>
    <mergeCell ref="I77:N77"/>
    <mergeCell ref="I78:N78"/>
    <mergeCell ref="I79:N79"/>
    <mergeCell ref="I80:N80"/>
    <mergeCell ref="I81:N81"/>
    <mergeCell ref="I70:N70"/>
    <mergeCell ref="I71:N71"/>
    <mergeCell ref="I72:N72"/>
    <mergeCell ref="I73:N73"/>
    <mergeCell ref="I74:N74"/>
    <mergeCell ref="I75:N75"/>
    <mergeCell ref="I64:N64"/>
    <mergeCell ref="I65:N65"/>
    <mergeCell ref="I66:N66"/>
    <mergeCell ref="I67:N67"/>
    <mergeCell ref="I68:N68"/>
    <mergeCell ref="I69:N69"/>
    <mergeCell ref="I58:N58"/>
    <mergeCell ref="I59:N59"/>
    <mergeCell ref="I60:N60"/>
    <mergeCell ref="I61:N61"/>
    <mergeCell ref="I62:N62"/>
    <mergeCell ref="I63:N63"/>
    <mergeCell ref="I52:N52"/>
    <mergeCell ref="I53:N53"/>
    <mergeCell ref="I54:N54"/>
    <mergeCell ref="I55:N55"/>
    <mergeCell ref="I56:N56"/>
    <mergeCell ref="I57:N57"/>
    <mergeCell ref="I46:N46"/>
    <mergeCell ref="I47:N47"/>
    <mergeCell ref="I48:N48"/>
    <mergeCell ref="I49:N49"/>
    <mergeCell ref="I50:N50"/>
    <mergeCell ref="I51:N51"/>
    <mergeCell ref="I40:N40"/>
    <mergeCell ref="I41:N41"/>
    <mergeCell ref="I42:N42"/>
    <mergeCell ref="I43:N43"/>
    <mergeCell ref="I44:N44"/>
    <mergeCell ref="I45:N45"/>
    <mergeCell ref="I34:N34"/>
    <mergeCell ref="I35:N35"/>
    <mergeCell ref="I36:N36"/>
    <mergeCell ref="I37:N37"/>
    <mergeCell ref="I38:N38"/>
    <mergeCell ref="I39:N39"/>
    <mergeCell ref="I28:N28"/>
    <mergeCell ref="I29:N29"/>
    <mergeCell ref="I30:N30"/>
    <mergeCell ref="I31:N31"/>
    <mergeCell ref="I32:N32"/>
    <mergeCell ref="I33:N33"/>
    <mergeCell ref="I24:N24"/>
    <mergeCell ref="I25:N25"/>
    <mergeCell ref="I22:N22"/>
    <mergeCell ref="I23:N23"/>
    <mergeCell ref="I26:N26"/>
    <mergeCell ref="I27:N27"/>
    <mergeCell ref="S6:T6"/>
    <mergeCell ref="U6:V6"/>
    <mergeCell ref="AV20:BB20"/>
    <mergeCell ref="Q19:W20"/>
    <mergeCell ref="Z19:AF20"/>
    <mergeCell ref="AI19:AO20"/>
    <mergeCell ref="AM7:AN7"/>
    <mergeCell ref="Q7:R7"/>
    <mergeCell ref="S7:T7"/>
    <mergeCell ref="U7:V7"/>
    <mergeCell ref="I7:J7"/>
    <mergeCell ref="K7:L7"/>
    <mergeCell ref="M7:N7"/>
    <mergeCell ref="O7:P7"/>
    <mergeCell ref="AI7:AJ7"/>
    <mergeCell ref="AK7:AL7"/>
    <mergeCell ref="AG9:AH9"/>
    <mergeCell ref="AI9:AJ9"/>
    <mergeCell ref="H5:V5"/>
    <mergeCell ref="I6:J6"/>
    <mergeCell ref="K6:L6"/>
    <mergeCell ref="M6:N6"/>
    <mergeCell ref="O6:P6"/>
    <mergeCell ref="Q6:R6"/>
    <mergeCell ref="AC7:AD7"/>
    <mergeCell ref="AE7:AF7"/>
    <mergeCell ref="AG7:AH7"/>
    <mergeCell ref="AB5:AP5"/>
    <mergeCell ref="AC6:AD6"/>
    <mergeCell ref="AE6:AF6"/>
    <mergeCell ref="AG6:AH6"/>
    <mergeCell ref="AI6:AJ6"/>
    <mergeCell ref="AK6:AL6"/>
    <mergeCell ref="AM6:AN6"/>
    <mergeCell ref="AO6:AP6"/>
    <mergeCell ref="AO7:AP7"/>
    <mergeCell ref="AE8:AF8"/>
    <mergeCell ref="AG11:AH11"/>
    <mergeCell ref="AI11:AJ11"/>
    <mergeCell ref="AG10:AH10"/>
    <mergeCell ref="AI10:AJ10"/>
    <mergeCell ref="AK10:AL10"/>
    <mergeCell ref="AM10:AN10"/>
    <mergeCell ref="AK12:AL12"/>
    <mergeCell ref="AM12:AN12"/>
    <mergeCell ref="AM9:AN9"/>
    <mergeCell ref="AI8:AJ8"/>
    <mergeCell ref="AK8:AL8"/>
    <mergeCell ref="AM8:AN8"/>
    <mergeCell ref="AC8:AD8"/>
    <mergeCell ref="AG8:AH8"/>
    <mergeCell ref="AM11:AN11"/>
    <mergeCell ref="AO11:AP11"/>
    <mergeCell ref="I12:J12"/>
    <mergeCell ref="AE11:AF11"/>
    <mergeCell ref="K12:L12"/>
    <mergeCell ref="M12:N12"/>
    <mergeCell ref="O12:P12"/>
    <mergeCell ref="U9:V9"/>
    <mergeCell ref="AC9:AD9"/>
    <mergeCell ref="AE9:AF9"/>
    <mergeCell ref="U11:V11"/>
    <mergeCell ref="AC11:AD11"/>
    <mergeCell ref="AK11:AL11"/>
    <mergeCell ref="I11:J11"/>
    <mergeCell ref="K11:L11"/>
    <mergeCell ref="M11:N11"/>
    <mergeCell ref="O11:P11"/>
    <mergeCell ref="Q11:R11"/>
    <mergeCell ref="S11:T11"/>
    <mergeCell ref="AO12:AP12"/>
    <mergeCell ref="AO10:AP10"/>
    <mergeCell ref="AK9:AL9"/>
    <mergeCell ref="AO8:AP8"/>
    <mergeCell ref="I9:J9"/>
    <mergeCell ref="K9:L9"/>
    <mergeCell ref="M9:N9"/>
    <mergeCell ref="O9:P9"/>
    <mergeCell ref="Q9:R9"/>
    <mergeCell ref="S9:T9"/>
    <mergeCell ref="AO9:AP9"/>
    <mergeCell ref="I10:J10"/>
    <mergeCell ref="K10:L10"/>
    <mergeCell ref="M10:N10"/>
    <mergeCell ref="O10:P10"/>
    <mergeCell ref="Q10:R10"/>
    <mergeCell ref="S10:T10"/>
    <mergeCell ref="I8:J8"/>
    <mergeCell ref="K8:L8"/>
    <mergeCell ref="M8:N8"/>
    <mergeCell ref="O8:P8"/>
    <mergeCell ref="Q8:R8"/>
    <mergeCell ref="S8:T8"/>
    <mergeCell ref="U10:V10"/>
    <mergeCell ref="AC10:AD10"/>
    <mergeCell ref="AE10:AF10"/>
    <mergeCell ref="U8:V8"/>
    <mergeCell ref="O14:U14"/>
    <mergeCell ref="W14:AC14"/>
    <mergeCell ref="AE14:AK14"/>
    <mergeCell ref="S12:T12"/>
    <mergeCell ref="U12:V12"/>
    <mergeCell ref="AC12:AD12"/>
    <mergeCell ref="AE12:AF12"/>
    <mergeCell ref="AG12:AH12"/>
    <mergeCell ref="AI12:AJ12"/>
    <mergeCell ref="Q12:R12"/>
  </mergeCells>
  <phoneticPr fontId="0" type="noConversion"/>
  <printOptions horizontalCentered="1" verticalCentered="1"/>
  <pageMargins left="0.25" right="0.25" top="0.25" bottom="0.25" header="0.17" footer="0.32"/>
  <pageSetup scale="56" orientation="landscape" r:id="rId1"/>
  <headerFooter alignWithMargins="0">
    <oddHeader/>
    <oddFooter/>
  </headerFooter>
  <drawing r:id="rId50"/>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Manager>29910987</Manager>
  <Company>131</Company>
  <Pages>0</Pages>
  <Words>0</Words>
  <Characters>0</Characters>
  <Lines>0</Lines>
  <Paragraphs>0</Paragraphs>
  <Slides>0</Slides>
  <Notes>0</Notes>
  <TotalTime>0</TotalTime>
  <HiddenSlides>0</HiddenSlides>
  <MMClips>0</MMClips>
  <ScaleCrop>0</ScaleCrop>
  <HeadingPairs>
    <vt:vector baseType="variant" size="4">
      <vt:variant>
        <vt:lpstr>Worksheets</vt:lpstr>
      </vt:variant>
      <vt:variant>
        <vt:i4>16</vt:i4>
      </vt:variant>
      <vt:variant>
        <vt:lpstr>Named Ranges</vt:lpstr>
      </vt:variant>
      <vt:variant>
        <vt:i4>16</vt:i4>
      </vt:variant>
    </vt:vector>
  </HeadingPairs>
  <TitlesOfParts>
    <vt:vector baseType="lpstr" size="32">
      <vt:lpstr>Table of Contents</vt:lpstr>
      <vt:lpstr>Summary</vt:lpstr>
      <vt:lpstr>Plus Summary</vt:lpstr>
      <vt:lpstr>Combined</vt:lpstr>
      <vt:lpstr>MTD Classic</vt:lpstr>
      <vt:lpstr>Occ</vt:lpstr>
      <vt:lpstr>Occ Plus</vt:lpstr>
      <vt:lpstr>ADR</vt:lpstr>
      <vt:lpstr>ADR Plus</vt:lpstr>
      <vt:lpstr>RevPAR</vt:lpstr>
      <vt:lpstr>RevPAR Plus</vt:lpstr>
      <vt:lpstr>Other Revenue</vt:lpstr>
      <vt:lpstr>WeeklySTARsight</vt:lpstr>
      <vt:lpstr>Response</vt:lpstr>
      <vt:lpstr>Response Plus</vt:lpstr>
      <vt:lpstr>Help</vt:lpstr>
      <vt:lpstr>ADR!Print_Area</vt:lpstr>
      <vt:lpstr>'ADR Plus'!Print_Area</vt:lpstr>
      <vt:lpstr>Combined!Print_Area</vt:lpstr>
      <vt:lpstr>Help!Print_Area</vt:lpstr>
      <vt:lpstr>'MTD Classic'!Print_Area</vt:lpstr>
      <vt:lpstr>Occ!Print_Area</vt:lpstr>
      <vt:lpstr>'Occ Plus'!Print_Area</vt:lpstr>
      <vt:lpstr>'Other Revenue'!Print_Area</vt:lpstr>
      <vt:lpstr>'Plus Summary'!Print_Area</vt:lpstr>
      <vt:lpstr>Response!Print_Area</vt:lpstr>
      <vt:lpstr>'Response Plus'!Print_Area</vt:lpstr>
      <vt:lpstr>RevPAR!Print_Area</vt:lpstr>
      <vt:lpstr>'RevPAR Plus'!Print_Area</vt:lpstr>
      <vt:lpstr>Summary!Print_Area</vt:lpstr>
      <vt:lpstr>'Table of Contents'!Print_Area</vt:lpstr>
      <vt:lpstr>WeeklySTARsight!Print_Area</vt:lpstr>
    </vt:vector>
  </TitlesOfParts>
  <LinksUpToDate>0</LinksUpToDate>
  <CharactersWithSpaces>0</CharactersWithSpaces>
  <SharedDoc>0</SharedDoc>
  <HyperlinksChanged>0</HyperlinksChanged>
  <Application>Microsoft Excel</Application>
  <AppVersion>16.0300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ategory>634</cp:category>
  <dcterms:created xsi:type="dcterms:W3CDTF">2003-06-11T18:24:11Z</dcterms:created>
  <dc:creator>STR, Inc.</dc:creator>
  <cp:keywords>60180</cp:keywords>
  <cp:lastModifiedBy>Jim Hawkins</cp:lastModifiedBy>
  <cp:lastPrinted>2016-02-16T16:32:42Z</cp:lastPrinted>
  <dcterms:modified xsi:type="dcterms:W3CDTF">2023-04-05T19:50:13Z</dcterms:modified>
  <dc:subject>60180</dc:subject>
  <dc:title>Weekly STAR</dc:title>
</cp:coreProperties>
</file>

<file path=docProps/custom.xml><?xml version="1.0" encoding="utf-8"?>
<Properties xmlns="http://schemas.openxmlformats.org/officeDocument/2006/custom-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roperty fmtid="{D5CDD505-2E9C-101B-9397-08002B2CF9AE}" pid="2" name="ExcelWriter version">
    <vt:lpwstr/>
  </property>
</Properties>
</file>