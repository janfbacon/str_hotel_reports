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worksheets/sheet32.xml" ContentType="application/vnd.openxmlformats-officedocument.spreadsheetml.worksheet+xml"/>
  <Override PartName="/xl/printerSettings/printerSettings33.bin" ContentType="application/vnd.openxmlformats-officedocument.spreadsheetml.printerSettings"/>
  <Override PartName="/xl/drawings/drawing34.xml" ContentType="application/vnd.openxmlformats-officedocument.drawing+xml"/>
  <Override PartName="/xl/worksheets/sheet36.xml" ContentType="application/vnd.openxmlformats-officedocument.spreadsheetml.worksheet+xml"/>
  <Override PartName="/xl/printerSettings/printerSettings37.bin" ContentType="application/vnd.openxmlformats-officedocument.spreadsheetml.printerSettings"/>
  <Override PartName="/xl/drawings/drawing38.xml" ContentType="application/vnd.openxmlformats-officedocument.drawing+xml"/>
  <Override PartName="/xl/worksheets/sheet40.xml" ContentType="application/vnd.openxmlformats-officedocument.spreadsheetml.worksheet+xml"/>
  <Override PartName="/xl/printerSettings/printerSettings41.bin" ContentType="application/vnd.openxmlformats-officedocument.spreadsheetml.printerSettings"/>
  <Override PartName="/xl/drawings/drawing42.xml" ContentType="application/vnd.openxmlformats-officedocument.drawing+xml"/>
  <Override PartName="/xl/worksheets/sheet44.xml" ContentType="application/vnd.openxmlformats-officedocument.spreadsheetml.worksheet+xml"/>
  <Override PartName="/xl/printerSettings/printerSettings45.bin" ContentType="application/vnd.openxmlformats-officedocument.spreadsheetml.printerSettings"/>
  <Override PartName="/xl/drawings/drawing46.xml" ContentType="application/vnd.openxmlformats-officedocument.drawing+xml"/>
  <Override PartName="/xl/worksheets/sheet48.xml" ContentType="application/vnd.openxmlformats-officedocument.spreadsheetml.worksheet+xml"/>
  <Override PartName="/xl/printerSettings/printerSettings49.bin" ContentType="application/vnd.openxmlformats-officedocument.spreadsheetml.printerSettings"/>
  <Override PartName="/xl/drawings/drawing50.xml" ContentType="application/vnd.openxmlformats-officedocument.drawing+xml"/>
  <Override PartName="/xl/worksheets/sheet52.xml" ContentType="application/vnd.openxmlformats-officedocument.spreadsheetml.worksheet+xml"/>
  <Override PartName="/xl/printerSettings/printerSettings53.bin" ContentType="application/vnd.openxmlformats-officedocument.spreadsheetml.printerSettings"/>
  <Override PartName="/xl/drawings/drawing54.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worksheets/sheet65.xml" ContentType="application/vnd.openxmlformats-officedocument.spreadsheetml.worksheet+xml"/>
  <Override PartName="/xl/printerSettings/printerSettings66.bin" ContentType="application/vnd.openxmlformats-officedocument.spreadsheetml.printerSettings"/>
  <Override PartName="/xl/drawings/drawing67.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charts/chart72.xml" ContentType="application/vnd.openxmlformats-officedocument.drawingml.chart+xml"/>
  <Override PartName="/xl/charts/chart73.xml" ContentType="application/vnd.openxmlformats-officedocument.drawingml.chart+xml"/>
  <Override PartName="/xl/drawings/drawing74.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drawings/drawing77.xml" ContentType="application/vnd.openxmlformats-officedocument.drawing+xml"/>
  <Override PartName="/xl/charts/chart78.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13"/>
    <sheet name="Glance" sheetId="57" r:id="rId14"/>
    <sheet name="Summary" sheetId="55" r:id="rId15"/>
    <sheet name="Comp" sheetId="76" r:id="rId12"/>
    <sheet name="Response" sheetId="13" r:id="rId20"/>
    <sheet name="Day of Week" sheetId="60" r:id="rId16"/>
    <sheet name="Daily by Month" sheetId="47" r:id="rId17"/>
    <sheet name="Segmentation Glance" sheetId="77" r:id="rId11"/>
    <sheet name="Segmentation Occ" sheetId="78" r:id="rId10"/>
    <sheet name="Segmentation ADR" sheetId="79" r:id="rId9"/>
    <sheet name="Segmentation RevPAR" sheetId="80" r:id="rId8"/>
    <sheet name="Segmentation Indexes" sheetId="81" r:id="rId7"/>
    <sheet name="Segmentation Ranking" sheetId="82" r:id="rId6"/>
    <sheet name="Segmentation DOW Month" sheetId="83" r:id="rId5"/>
    <sheet name="Segmentation DOW YTD" sheetId="84" r:id="rId4"/>
    <sheet name="Segmentation DOW Run 3" sheetId="85" r:id="rId3"/>
    <sheet name="Segmentation DOW Run 12" sheetId="86" r:id="rId2"/>
    <sheet name="Add Rev ADR" sheetId="65" r:id="rId18"/>
    <sheet name="Add Rev RevPAR" sheetId="66" r:id="rId19"/>
    <sheet name="Segmentation Response" sheetId="87" r:id="rId1"/>
    <sheet name="Help" sheetId="74" r:id="rId21"/>
  </sheets>
  <definedNames>
    <definedName name="_xlnm.Print_Area" localSheetId="17">'Add Rev ADR'!$A$1:$AH$46</definedName>
    <definedName name="_xlnm.Print_Area" localSheetId="18">'Add Rev RevPAR'!$A$1:$AH$45</definedName>
    <definedName name="_xlnm.Print_Area" localSheetId="6">'Daily by Month'!$A$1:$AH$57</definedName>
    <definedName name="_xlnm.Print_Area" localSheetId="5">'Day of Week'!$A$1:$V$78</definedName>
    <definedName name="_xlnm.Print_Area" localSheetId="1">Glance!$A$1:$T$34</definedName>
    <definedName name="_xlnm.Print_Area" localSheetId="20">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 name="_xlnm.Print_Area" localSheetId="7">'Segmentation Glance'!$A$1:$T$41</definedName>
    <definedName name="_xlnm.Print_Area" localSheetId="8">'Segmentation Occ'!$A$1:$AB$45</definedName>
    <definedName name="_xlnm.Print_Area" localSheetId="9">'Segmentation ADR'!$A$1:$AB$44</definedName>
    <definedName name="_xlnm.Print_Area" localSheetId="10">'Segmentation RevPAR'!$A$1:$AB$44</definedName>
    <definedName name="_xlnm.Print_Area" localSheetId="11">'Segmentation Indexes'!$A$1:$AB$44</definedName>
    <definedName name="_xlnm.Print_Area" localSheetId="12">'Segmentation Ranking'!$A$1:$AB$44</definedName>
    <definedName name="_xlnm.Print_Area" localSheetId="13">'Segmentation DOW Month'!$A$1:$AB$53</definedName>
    <definedName name="_xlnm.Print_Area" localSheetId="14">'Segmentation DOW YTD'!$A$1:$AB$53</definedName>
    <definedName name="_xlnm.Print_Area" localSheetId="15">'Segmentation DOW Run 3'!$A$1:$AB$53</definedName>
    <definedName name="_xlnm.Print_Area" localSheetId="16">'Segmentation DOW Run 12'!$A$1:$AB$53</definedName>
    <definedName name="_xlnm.Print_Area" localSheetId="19">'Segmentation Response'!$A$1:$AR$106</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<sst xmlns="http://schemas.openxmlformats.org/spreadsheetml/2006/main" xmlns:r="http://schemas.openxmlformats.org/officeDocument/2006/relationships" xmlns:xdr="http://schemas.openxmlformats.org/drawingml/2006/spreadsheetDrawing" xmlns:s="http://schemas.openxmlformats.org/officeDocument/2006/sharedTypes" xmlns:vt="http://schemas.openxmlformats.org/officeDocument/2006/docPropsVTypes" xmlns:a="http://schemas.openxmlformats.org/drawingml/2006/main" xmlns:cdr="http://schemas.openxmlformats.org/drawingml/2006/chartDrawing" count="1023" uniqueCount="126">
  <si>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</si>
  <si>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</si>
  <si>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</si>
  <si>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</si>
  <si>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</si>
  <si>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</si>
  <si>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</si>
  <si>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</si>
  <si>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</si>
  <si>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</si>
  <si>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</si>
  <si>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</si>
  <si>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</si>
  <si>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</si>
  <si>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</si>
  <si>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</si>
  <si>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</si>
  <si>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</si>
  <si>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</si>
  <si>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</si>
  <si>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</si>
  <si>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</si>
  <si>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</si>
  <si>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</si>
  <si>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</si>
  <si>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</si>
  <si>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</si>
  <si>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</si>
  <si>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</si>
  <si>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</si>
  <si>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</si>
  <si>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</si>
  <si>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</si>
  <si>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</si>
  <si>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</si>
  <si>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</si>
  <si>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</si>
  <si>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</si>
  <si>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</si>
  <si>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</si>
  <si>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</si>
  <si>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</si>
  <si>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</si>
  <si>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</si>
  <si>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</si>
  <si>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</si>
  <si>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</si>
  <si>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</si>
  <si>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</si>
  <si>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</si>
  <si>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</si>
  <si>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</si>
  <si>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</si>
  <si>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</si>
  <si>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</si>
  <si>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</si>
  <si>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</si>
  <si>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</si>
  <si>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</si>
  <si>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</si>
  <si>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</si>
  <si>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</si>
  <si>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</si>
  <si>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</si>
  <si>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</si>
  <si>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</si>
  <si>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</si>
  <si>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</si>
  <si>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</si>
  <si>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</si>
  <si>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</si>
  <si>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</si>
  <si>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</si>
  <si>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</si>
  <si>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</si>
  <si>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</si>
  <si>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</si>
  <si>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</si>
  <si>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</si>
  <si>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</si>
  <si>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</si>
  <si>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</si>
  <si>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</si>
  <si>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</si>
  <si>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</si>
  <si>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</si>
  <si>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</si>
  <si>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</si>
  <si>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</si>
  <si>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</si>
  <si>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</si>
  <si>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</si>
  <si>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</si>
  <si>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</si>
  <si>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</si>
  <si>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</si>
  <si>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</si>
  <si>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</si>
  <si>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</si>
  <si>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</si>
  <si>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</si>
  <si>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</si>
  <si>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</si>
  <si>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</si>
  <si>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</si>
  <si>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</si>
  <si>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</si>
  <si>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</si>
  <si>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</si>
  <si>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</si>
  <si>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</si>
  <si>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</si>
  <si>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</si>
  <si>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</si>
  <si>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</si>
  <si>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</si>
  <si>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</si>
  <si>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</si>
  <si>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</si>
  <si>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</si>
  <si>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</si>
  <si>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</si>
  <si>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</si>
  <si>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</si>
  <si>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</si>
  <si>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</si>
  <si>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</si>
  <si>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</si>
  <si>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</si>
  <si>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</si>
  <si>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</si>
  <si>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</si>
  <si>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</si>
  <si>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</si>
  <si>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</si>
  <si>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</si>
  <si>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</si>
  <si>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</si>
  <si>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</si>
  <si>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Tab 8 - Segmentation at a Glance - My Property vs. Competitive Set</t>
  </si>
  <si>
    <t>Segmentation at a Glance</t>
  </si>
  <si>
    <t>Tab 9 - Segmentation Occupancy Analysis</t>
  </si>
  <si>
    <t>Segmentation Occupancy Analysis</t>
  </si>
  <si>
    <t>Tab 10 - Segmentation ADR Analysis</t>
  </si>
  <si>
    <t>Segmentation ADR Analysis</t>
  </si>
  <si>
    <t>Tab 11 - Segmentation RevPAR Analysis</t>
  </si>
  <si>
    <t>Segmentation RevPAR Analysis</t>
  </si>
  <si>
    <t>Tab 12 - Segmentation Index Analysis</t>
  </si>
  <si>
    <t>Segmentation Index Analysis</t>
  </si>
  <si>
    <t>Tab 13 - Segmentation Ranking Analysis</t>
  </si>
  <si>
    <t>Segmentation Ranking Analysis</t>
  </si>
  <si>
    <t>Tab 14 - Segmentation Day Of Week - Current Month</t>
  </si>
  <si>
    <t>Segmentation Day Of Week - Current Month</t>
  </si>
  <si>
    <t>Tab 15 - Segmentation Day Of Week - Year to Date</t>
  </si>
  <si>
    <t>Segmentation Day Of Week - Year to Date</t>
  </si>
  <si>
    <t>Tab 16 - Segmentation Day Of Week - Running 3 Month</t>
  </si>
  <si>
    <t>Segmentation Day Of Week - Running 3 Month</t>
  </si>
  <si>
    <t>Tab 17 - Segmentation Day Of Week - Running 12 Month</t>
  </si>
  <si>
    <t>Segmentation Day Of Week - Running 12 Month</t>
  </si>
  <si>
    <t>Tab 18 - Additional Revenue ADR Analysis (TrevPOR)</t>
  </si>
  <si>
    <t>Additional Revenue ADR Analysis (TrevPOR)</t>
  </si>
  <si>
    <t>Tab 19 - Additional Revenue RevPAR Analysis (TrevPAR)</t>
  </si>
  <si>
    <t>Additional Revenue RevPAR Analysis (TrevPAR)</t>
  </si>
  <si>
    <t>Tab 20 - Segmentation Response Report</t>
  </si>
  <si>
    <t>Segmentation Response Report</t>
  </si>
  <si>
    <t>Help</t>
  </si>
  <si>
    <t>Monthly STAR Report : Hilton Garden Inn Jackson Downtown</t>
  </si>
  <si>
    <t>STR # 60180 / Created August 18, 2025</t>
  </si>
  <si>
    <t>For the Month of: July 2025</t>
  </si>
  <si>
    <t>Currency: US Dollar  /  Competitive Set Data Excludes Subject Property</t>
  </si>
  <si>
    <t>Hilton Garden Inn Jackson Downtown        235 W Capitol St        Jackson, MS 39201        Phone: (601) 353-5464</t>
  </si>
  <si>
    <t>STR # 60180        ChainID: 000043085        MgtCo: Dellisart Hospitality        Owner: Desai Hotel Group</t>
  </si>
  <si>
    <t>For the Month of: July 2025        Date Created: August 18, 2025        Monthly Competitive Set Data Excludes Subject Property</t>
  </si>
  <si>
    <t>July 2025</t>
  </si>
  <si>
    <t>July 2025 vs. 2024 Percent Change (%)</t>
  </si>
  <si>
    <t>Hilton Garden Inn Jackson Downtown</t>
  </si>
  <si>
    <t>Market: Jackson, MS</t>
  </si>
  <si>
    <t>Market Class: Upscale Class</t>
  </si>
  <si>
    <t>Submarket: Jackson CBD/South, MS</t>
  </si>
  <si>
    <t>Submarket Scale: Upscale Chains</t>
  </si>
  <si>
    <t>Feb</t>
  </si>
  <si>
    <t>7 of 8</t>
  </si>
  <si>
    <t>4 of 8</t>
  </si>
  <si>
    <t>Mar</t>
  </si>
  <si>
    <t>6 of 8</t>
  </si>
  <si>
    <t>5 of 8</t>
  </si>
  <si>
    <t>Apr</t>
  </si>
  <si>
    <t>May</t>
  </si>
  <si>
    <t>Jun</t>
  </si>
  <si>
    <t>Jul</t>
  </si>
  <si>
    <t>Aug</t>
  </si>
  <si>
    <t>Sep</t>
  </si>
  <si>
    <t>Oct</t>
  </si>
  <si>
    <t>Nov</t>
  </si>
  <si>
    <t>3 of 8</t>
  </si>
  <si>
    <t>Dec</t>
  </si>
  <si>
    <t>Jan</t>
  </si>
  <si>
    <t>8 of 8</t>
  </si>
  <si>
    <t>2 of 8</t>
  </si>
  <si>
    <t>1 of 8</t>
  </si>
  <si>
    <t>For the Month of: July 2025        Date Created: August 18, 2025</t>
  </si>
  <si>
    <t>City, State</t>
  </si>
  <si>
    <t>July 2025 (This Year)</t>
  </si>
  <si>
    <t>July 2024 (Last Year)</t>
  </si>
  <si>
    <t>Friday, July 4th</t>
  </si>
  <si>
    <t>July 4th - Independence Day</t>
  </si>
  <si>
    <t>Thursday, July 4th</t>
  </si>
  <si>
    <t>Jackson, MS</t>
  </si>
  <si>
    <t>39201</t>
  </si>
  <si>
    <t>(601) 353-5464</t>
  </si>
  <si>
    <t>186</t>
  </si>
  <si>
    <t>192312</t>
  </si>
  <si>
    <t>●</t>
  </si>
  <si>
    <t>Hilton Jackson</t>
  </si>
  <si>
    <t>39211</t>
  </si>
  <si>
    <t>(601) 957-2800</t>
  </si>
  <si>
    <t>276</t>
  </si>
  <si>
    <t>198406</t>
  </si>
  <si>
    <t>Holiday Inn Express &amp; Suites Jackson Downtown Coliseum</t>
  </si>
  <si>
    <t>39202</t>
  </si>
  <si>
    <t>(601) 948-4466</t>
  </si>
  <si>
    <t>108</t>
  </si>
  <si>
    <t>198905</t>
  </si>
  <si>
    <t>Courtyard Jackson Ridgeland</t>
  </si>
  <si>
    <t>(601) 956-9991</t>
  </si>
  <si>
    <t>117</t>
  </si>
  <si>
    <t>199505</t>
  </si>
  <si>
    <t>Hampton Inn &amp; Suites Jackson Downtown-Coliseum</t>
  </si>
  <si>
    <t>(601) 352-1700</t>
  </si>
  <si>
    <t>111</t>
  </si>
  <si>
    <t>199611</t>
  </si>
  <si>
    <t>Embassy Suites by Hilton Jackson North Ridgeland</t>
  </si>
  <si>
    <t>Ridgeland, MS</t>
  </si>
  <si>
    <t>39157</t>
  </si>
  <si>
    <t>(601) 607-7112</t>
  </si>
  <si>
    <t>145</t>
  </si>
  <si>
    <t>200812</t>
  </si>
  <si>
    <t>Hyatt Place Jackson/Ridgeland</t>
  </si>
  <si>
    <t>39157-8719</t>
  </si>
  <si>
    <t>(601) 898-8815</t>
  </si>
  <si>
    <t>126</t>
  </si>
  <si>
    <t>200810</t>
  </si>
  <si>
    <t>The Westin Jackson</t>
  </si>
  <si>
    <t>39201-4904</t>
  </si>
  <si>
    <t>(601) 968-8200</t>
  </si>
  <si>
    <t>203</t>
  </si>
  <si>
    <t>201708</t>
  </si>
  <si>
    <t xml:space="preserve">Data received: </t>
  </si>
  <si>
    <t>○</t>
  </si>
  <si>
    <t>= Monthly Only</t>
  </si>
  <si>
    <t>= Monthly &amp; Daily</t>
  </si>
  <si>
    <t>For the Month of: July 2025        Date Created: August 18, 2025        Daily Competitive Set Data Excludes Subject Property</t>
  </si>
  <si>
    <t>Tu</t>
  </si>
  <si>
    <t>July</t>
  </si>
  <si>
    <t>We</t>
  </si>
  <si>
    <t>Th</t>
  </si>
  <si>
    <t>Fr</t>
  </si>
  <si>
    <t>Sa</t>
  </si>
  <si>
    <t>Su</t>
  </si>
  <si>
    <t>Mo</t>
  </si>
  <si>
    <t>Market Scale: Jackson, MS Upscale Chains</t>
  </si>
  <si>
    <t>6 of 6</t>
  </si>
  <si>
    <t>4 of 6</t>
  </si>
  <si>
    <t>5 of 6</t>
  </si>
  <si>
    <t>3 of 6</t>
  </si>
  <si>
    <t>2 of 6</t>
  </si>
  <si>
    <t>1 of 6</t>
  </si>
  <si>
    <t>s</t>
  </si>
  <si>
    <t/>
  </si>
  <si>
    <t>B</t>
  </si>
  <si>
    <t>= Segmentation (Transient, Group, Contract) Only</t>
  </si>
  <si>
    <t>r</t>
  </si>
  <si>
    <t>= Additional Revenue Only</t>
  </si>
  <si>
    <t>= Both Segmentation &amp; Additional Revenue</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</si>
</sst>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2">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font>
    <font>
      <b/>
      <sz val="10"/>
      <name val="Arial"/>
    </font>
    <font>
      <color rgb="FFFFFFFF"/>
    </font>
    <font>
      <color rgb="FFA0A0A0"/>
    </font>
    <font/>
    <font>
      <sz val="18"/>
    </font>
    <font>
      <b val="0"/>
      <sz val="10"/>
      <color rgb="FF000000"/>
      <name val="Arial"/>
    </font>
    <font>
      <sz val="10"/>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82">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color auto="1" indexed="64"/>
      </left>
      <right style="thin">
        <color indexed="55"/>
      </right>
      <top>
        <color auto="1" indexed="64"/>
      </top>
      <bottom>
        <color auto="1" indexed="64"/>
      </bottom>
      <diagonal>
        <color/>
      </diagonal>
    </border>
    <border diagonalUp="0" diagonalDown="0">
      <left style="thin">
        <color indexed="33"/>
      </left>
      <right style="thin">
        <color indexed="33"/>
      </right>
      <top>
        <color auto="1" indexed="64"/>
      </top>
      <bottom>
        <color auto="1" indexed="64"/>
      </bottom>
      <diagonal>
        <color/>
      </diagonal>
    </border>
    <border diagonalUp="0" diagonalDown="0">
      <left style="thin">
        <color indexed="33"/>
      </left>
      <right style="thin">
        <color indexed="33"/>
      </right>
      <top>
        <color auto="1" indexed="64"/>
      </top>
      <bottom style="thin">
        <color indexed="33"/>
      </bottom>
      <diagonal>
        <color/>
      </diagonal>
    </border>
    <border diagonalUp="0" diagonalDown="0">
      <left style="thin">
        <color indexed="33"/>
      </left>
      <right>
        <color auto="1" indexed="64"/>
      </right>
      <top style="thin">
        <color indexed="33"/>
      </top>
      <bottom>
        <color auto="1" indexed="64"/>
      </bottom>
      <diagonal>
        <color/>
      </diagonal>
    </border>
    <border diagonalUp="0" diagonalDown="0">
      <left>
        <color auto="1" indexed="64"/>
      </left>
      <right>
        <color auto="1" indexed="64"/>
      </right>
      <top style="thin">
        <color indexed="33"/>
      </top>
      <bottom>
        <color auto="1" indexed="64"/>
      </bottom>
      <diagonal>
        <color/>
      </diagonal>
    </border>
    <border diagonalUp="0" diagonalDown="0">
      <left>
        <color auto="1" indexed="64"/>
      </left>
      <right style="thin">
        <color indexed="33"/>
      </right>
      <top style="thin">
        <color indexed="33"/>
      </top>
      <bottom>
        <color auto="1" indexed="64"/>
      </bottom>
      <diagonal>
        <color/>
      </diagonal>
    </border>
    <border diagonalUp="0" diagonalDown="0">
      <left style="thin">
        <color indexed="33"/>
      </left>
      <right>
        <color auto="1" indexed="64"/>
      </right>
      <top>
        <color auto="1" indexed="64"/>
      </top>
      <bottom>
        <color auto="1" indexed="64"/>
      </bottom>
      <diagonal>
        <color/>
      </diagonal>
    </border>
    <border diagonalUp="0" diagonalDown="0">
      <left>
        <color auto="1" indexed="64"/>
      </left>
      <right style="thin">
        <color indexed="33"/>
      </right>
      <top>
        <color auto="1" indexed="64"/>
      </top>
      <bottom>
        <color auto="1" indexed="64"/>
      </bottom>
      <diagonal>
        <color/>
      </diagonal>
    </border>
    <border diagonalUp="0" diagonalDown="0">
      <left style="thin">
        <color indexed="33"/>
      </left>
      <right>
        <color auto="1" indexed="64"/>
      </right>
      <top>
        <color auto="1" indexed="64"/>
      </top>
      <bottom style="thin">
        <color indexed="33"/>
      </bottom>
      <diagonal>
        <color/>
      </diagonal>
    </border>
    <border diagonalUp="0" diagonalDown="0">
      <left>
        <color auto="1" indexed="64"/>
      </left>
      <right>
        <color auto="1" indexed="64"/>
      </right>
      <top>
        <color auto="1" indexed="64"/>
      </top>
      <bottom style="thin">
        <color indexed="33"/>
      </bottom>
      <diagonal>
        <color/>
      </diagonal>
    </border>
    <border diagonalUp="0" diagonalDown="0">
      <left>
        <color auto="1" indexed="64"/>
      </left>
      <right style="thin">
        <color indexed="33"/>
      </right>
      <top>
        <color auto="1" indexed="64"/>
      </top>
      <bottom style="thin">
        <color indexed="33"/>
      </bottom>
      <diagonal>
        <color/>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076">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0" fillId="0" borderId="59" applyFont="1" applyFill="1" applyBorder="1" applyAlignment="1">
      <alignment horizontal="left" vertical="center"/>
    </xf>
    <xf numFmtId="0" fontId="104" fillId="38" borderId="60" applyFont="1" applyFill="1" applyBorder="1" applyAlignment="1">
      <alignment horizontal="right" vertical="center"/>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5" fillId="0" borderId="61" applyFont="1" applyFill="1" applyBorder="1" applyAlignment="1">
      <alignment horizontal="center" vertical="center"/>
    </xf>
    <xf numFmtId="0" fontId="41" fillId="0" borderId="62" applyFont="1" applyFill="1" applyBorder="1" applyAlignment="1">
      <alignment horizontal="center" vertical="center"/>
    </xf>
    <xf numFmtId="0" fontId="41" fillId="0" borderId="62" applyFont="1" applyFill="1" applyBorder="1" applyAlignment="1">
      <alignment horizontal="center" vertical="center" wrapText="1"/>
    </xf>
    <xf numFmtId="0" fontId="41" fillId="0" borderId="63" applyFont="1" applyFill="1" applyBorder="1" applyAlignment="1">
      <alignment horizontal="center"/>
    </xf>
    <xf numFmtId="166" fontId="88" fillId="30" borderId="64" applyNumberFormat="1" applyFont="1" applyFill="1" applyBorder="1" applyAlignment="1">
      <alignment horizontal="center"/>
    </xf>
    <xf numFmtId="166" fontId="88" fillId="33" borderId="65" applyNumberFormat="1" applyFont="1" applyFill="1" applyBorder="1" applyAlignment="1">
      <alignment horizontal="center"/>
    </xf>
    <xf numFmtId="166" fontId="88" fillId="30" borderId="65" applyNumberFormat="1" applyFont="1" applyFill="1" applyBorder="1" applyAlignment="1">
      <alignment horizontal="center"/>
    </xf>
    <xf numFmtId="166" fontId="88" fillId="33" borderId="63" applyNumberFormat="1" applyFont="1" applyFill="1" applyBorder="1" applyAlignment="1">
      <alignment horizontal="center"/>
    </xf>
    <xf numFmtId="2" fontId="88" fillId="30" borderId="64" applyNumberFormat="1" applyFont="1" applyFill="1" applyBorder="1" applyAlignment="1">
      <alignment horizontal="center"/>
    </xf>
    <xf numFmtId="2" fontId="88" fillId="33" borderId="65" applyNumberFormat="1" applyFont="1" applyFill="1" applyBorder="1" applyAlignment="1">
      <alignment horizontal="center"/>
    </xf>
    <xf numFmtId="0" fontId="106" fillId="38" borderId="66" applyFont="1" applyFill="1" applyBorder="1"/>
    <xf numFmtId="0" fontId="87" fillId="0" borderId="59" applyNumberFormat="1" applyFont="1" applyFill="1" applyBorder="1" applyAlignment="1">
      <alignment horizontal="left" wrapText="1"/>
    </xf>
    <xf numFmtId="0" fontId="107" fillId="39" borderId="0" applyFont="1" applyFill="1"/>
    <xf numFmtId="49" fontId="55" fillId="36" borderId="67" applyNumberFormat="1" applyFont="1" applyFill="1" applyBorder="1" applyAlignment="1">
      <alignment textRotation="90" wrapText="1"/>
    </xf>
    <xf numFmtId="0" fontId="108" fillId="38" borderId="60" applyFont="1" applyFill="1" applyBorder="1" applyAlignment="1">
      <alignment horizontal="left" vertical="center"/>
    </xf>
    <xf numFmtId="171" fontId="108" fillId="38" borderId="60" applyNumberFormat="1" applyFont="1" applyFill="1" applyBorder="1" applyAlignment="1">
      <alignment horizontal="left" vertical="center"/>
    </xf>
    <xf numFmtId="0" fontId="108" fillId="38" borderId="60" applyFont="1" applyFill="1" applyBorder="1" applyAlignment="1">
      <alignment horizontal="right" vertical="center"/>
    </xf>
    <xf numFmtId="0" fontId="109" fillId="38" borderId="68" applyFont="1" applyFill="1" applyBorder="1" applyAlignment="1">
      <alignment horizontal="center" vertical="center"/>
    </xf>
    <xf numFmtId="0" fontId="109" fillId="38" borderId="69" applyFont="1" applyFill="1" applyBorder="1" applyAlignment="1">
      <alignment horizontal="center" vertical="center"/>
    </xf>
    <xf numFmtId="0" fontId="109" fillId="38" borderId="70" applyFont="1" applyFill="1" applyBorder="1" applyAlignment="1">
      <alignment horizontal="center" vertical="center"/>
    </xf>
    <xf numFmtId="0" fontId="108" fillId="40" borderId="60" applyFont="1" applyFill="1" applyBorder="1" applyAlignment="1">
      <alignment horizontal="left" vertical="center"/>
    </xf>
    <xf numFmtId="171" fontId="108" fillId="40" borderId="60" applyNumberFormat="1" applyFont="1" applyFill="1" applyBorder="1" applyAlignment="1">
      <alignment horizontal="left" vertical="center"/>
    </xf>
    <xf numFmtId="0" fontId="108" fillId="40" borderId="60" applyFont="1" applyFill="1" applyBorder="1" applyAlignment="1">
      <alignment horizontal="right" vertical="center"/>
    </xf>
    <xf numFmtId="0" fontId="109" fillId="40" borderId="68" applyFont="1" applyFill="1" applyBorder="1" applyAlignment="1">
      <alignment horizontal="center" vertical="center"/>
    </xf>
    <xf numFmtId="0" fontId="109" fillId="40" borderId="69" applyFont="1" applyFill="1" applyBorder="1" applyAlignment="1">
      <alignment horizontal="center" vertical="center"/>
    </xf>
    <xf numFmtId="0" fontId="109" fillId="40" borderId="70" applyFont="1" applyFill="1" applyBorder="1" applyAlignment="1">
      <alignment horizontal="center" vertical="center"/>
    </xf>
    <xf numFmtId="0" fontId="110" fillId="0" borderId="0" applyFont="1" applyFill="1" applyBorder="1" applyAlignment="1">
      <alignment horizontal="left" vertical="center"/>
    </xf>
    <xf numFmtId="0" fontId="49" fillId="0" borderId="0" applyFont="1" applyFill="1" applyBorder="1" applyAlignment="1">
      <alignment horizontal="center" vertical="bottom"/>
    </xf>
    <xf numFmtId="0" fontId="88" fillId="30" borderId="59" applyFont="1" applyFill="1" applyBorder="1"/>
    <xf numFmtId="49" fontId="51" fillId="36" borderId="7" applyNumberFormat="1" applyFont="1" applyFill="1" applyBorder="1" applyAlignment="1">
      <alignment horizontal="center" vertical="center"/>
    </xf>
    <xf numFmtId="0" fontId="39" fillId="30" borderId="59" applyFont="1" applyFill="1" applyBorder="1" applyAlignment="1">
      <alignment horizontal="center"/>
    </xf>
    <xf numFmtId="0" fontId="51" fillId="36" borderId="7" applyFont="1" applyFill="1" applyBorder="1" applyAlignment="1">
      <alignment horizontal="center" vertical="center"/>
    </xf>
    <xf numFmtId="0" fontId="83" fillId="30" borderId="59" applyNumberFormat="1" applyFont="1" applyFill="1" applyBorder="1" applyAlignment="1">
      <alignment horizontal="left" wrapText="1"/>
    </xf>
    <xf numFmtId="164" fontId="88" fillId="30" borderId="59" applyNumberFormat="1" applyFont="1" applyFill="1" applyBorder="1" applyAlignment="1">
      <alignment horizontal="right"/>
    </xf>
    <xf numFmtId="1" fontId="83" fillId="0" borderId="59" applyNumberFormat="1" applyFont="1" applyFill="1" applyBorder="1" applyAlignment="1">
      <alignment horizontal="left" wrapText="1"/>
    </xf>
    <xf numFmtId="0" fontId="51" fillId="36" borderId="62" applyFont="1" applyFill="1" applyBorder="1" applyAlignment="1">
      <alignment horizontal="left"/>
    </xf>
    <xf numFmtId="166" fontId="52" fillId="36" borderId="62" applyNumberFormat="1" applyFont="1" applyFill="1" applyBorder="1" applyAlignment="1">
      <alignment horizontal="center"/>
    </xf>
    <xf numFmtId="0" fontId="51" fillId="36" borderId="62" applyFont="1" applyFill="1" applyBorder="1"/>
    <xf numFmtId="0" fontId="88" fillId="0" borderId="59" applyFont="1" applyFill="1" applyBorder="1" applyAlignment="1">
      <alignment horizontal="right"/>
    </xf>
    <xf numFmtId="0" fontId="43" fillId="0" borderId="71" applyFont="1" applyFill="1" applyBorder="1" applyAlignment="1">
      <alignment horizontal="center" vertical="center" wrapText="1"/>
    </xf>
    <xf numFmtId="0" fontId="5" fillId="0" borderId="62" applyFont="1" applyFill="1" applyBorder="1"/>
    <xf numFmtId="0" fontId="5" fillId="0" borderId="72" applyFont="1" applyFill="1" applyBorder="1"/>
    <xf numFmtId="0" fontId="5" fillId="0" borderId="73" applyFont="1" applyFill="1" applyBorder="1"/>
    <xf numFmtId="0" fontId="5" fillId="33" borderId="62" applyFont="1" applyFill="1" applyBorder="1"/>
    <xf numFmtId="0" fontId="5" fillId="33" borderId="72" applyFont="1" applyFill="1" applyBorder="1"/>
    <xf numFmtId="0" fontId="5" fillId="33" borderId="73" applyFont="1" applyFill="1" applyBorder="1"/>
    <xf numFmtId="0" fontId="83" fillId="0" borderId="59" applyNumberFormat="1" applyFont="1" applyFill="1" applyBorder="1" applyAlignment="1">
      <alignment horizontal="left" wrapText="1"/>
    </xf>
    <xf numFmtId="0" fontId="0" fillId="0" borderId="59" applyFont="1" applyFill="1" applyBorder="1"/>
    <xf numFmtId="0" fontId="39" fillId="0" borderId="59" applyFont="1" applyFill="1" applyBorder="1" applyAlignment="1">
      <alignment horizontal="center"/>
    </xf>
    <xf numFmtId="0" fontId="29" fillId="0" borderId="59" applyFont="1" applyFill="1" applyBorder="1" applyAlignment="1">
      <alignment horizontal="center"/>
    </xf>
    <xf numFmtId="0" fontId="82" fillId="0" borderId="74" applyFont="1" applyFill="1" applyBorder="1" applyAlignment="1">
      <alignment horizontal="center"/>
    </xf>
    <xf numFmtId="0" fontId="82" fillId="0" borderId="75" applyFont="1" applyFill="1" applyBorder="1" applyAlignment="1">
      <alignment horizontal="center"/>
    </xf>
    <xf numFmtId="0" fontId="82" fillId="0" borderId="76" applyFont="1" applyFill="1" applyBorder="1" applyAlignment="1">
      <alignment horizontal="center"/>
    </xf>
    <xf numFmtId="0" fontId="82" fillId="33" borderId="77" applyFont="1" applyFill="1" applyBorder="1" applyAlignment="1">
      <alignment horizontal="center"/>
    </xf>
    <xf numFmtId="0" fontId="82" fillId="33" borderId="59" applyFont="1" applyFill="1" applyBorder="1" applyAlignment="1">
      <alignment horizontal="center"/>
    </xf>
    <xf numFmtId="0" fontId="82" fillId="33" borderId="78" applyFont="1" applyFill="1" applyBorder="1" applyAlignment="1">
      <alignment horizontal="center"/>
    </xf>
    <xf numFmtId="0" fontId="82" fillId="0" borderId="77" applyFont="1" applyFill="1" applyBorder="1" applyAlignment="1">
      <alignment horizontal="center"/>
    </xf>
    <xf numFmtId="0" fontId="82" fillId="0" borderId="59" applyFont="1" applyFill="1" applyBorder="1" applyAlignment="1">
      <alignment horizontal="center"/>
    </xf>
    <xf numFmtId="0" fontId="82" fillId="0" borderId="78" applyFont="1" applyFill="1" applyBorder="1" applyAlignment="1">
      <alignment horizontal="center"/>
    </xf>
    <xf numFmtId="0" fontId="82" fillId="33" borderId="79" applyFont="1" applyFill="1" applyBorder="1" applyAlignment="1">
      <alignment horizontal="center"/>
    </xf>
    <xf numFmtId="0" fontId="82" fillId="33" borderId="80" applyFont="1" applyFill="1" applyBorder="1" applyAlignment="1">
      <alignment horizontal="center"/>
    </xf>
    <xf numFmtId="0" fontId="82" fillId="33" borderId="81" applyFont="1" applyFill="1" applyBorder="1" applyAlignment="1">
      <alignment horizontal="center"/>
    </xf>
    <xf numFmtId="0" fontId="0" fillId="0" borderId="59" applyFont="1" applyFill="1" applyBorder="1" applyAlignment="1">
      <alignment horizontal="center"/>
    </xf>
    <xf numFmtId="0" fontId="43" fillId="0" borderId="59" applyFont="1" applyFill="1" applyBorder="1"/>
    <xf numFmtId="0" fontId="111" fillId="38" borderId="68" applyFont="1" applyFill="1" applyBorder="1" applyAlignment="1">
      <alignment horizontal="center" vertical="center"/>
    </xf>
    <xf numFmtId="0" fontId="111" fillId="38" borderId="69" applyFont="1" applyFill="1" applyBorder="1" applyAlignment="1">
      <alignment horizontal="center" vertical="center"/>
    </xf>
    <xf numFmtId="0" fontId="111" fillId="38" borderId="70" applyFont="1" applyFill="1" applyBorder="1" applyAlignment="1">
      <alignment horizontal="center" vertical="center"/>
    </xf>
    <xf numFmtId="0" fontId="111" fillId="40" borderId="68" applyFont="1" applyFill="1" applyBorder="1" applyAlignment="1">
      <alignment horizontal="center" vertical="center"/>
    </xf>
    <xf numFmtId="0" fontId="111" fillId="40" borderId="69" applyFont="1" applyFill="1" applyBorder="1" applyAlignment="1">
      <alignment horizontal="center" vertical="center"/>
    </xf>
    <xf numFmtId="0" fontId="111" fillId="40" borderId="70" applyFont="1" applyFill="1" applyBorder="1" applyAlignment="1">
      <alignment horizontal="center" vertical="center"/>
    </xf>
    <xf numFmtId="170" fontId="0" fillId="0" borderId="59" applyNumberFormat="1" applyFont="1" applyFill="1" applyBorder="1" applyAlignment="1">
      <alignment horizontal="left" vertical="center"/>
    </xf>
    <xf numFmtId="0" fontId="88" fillId="0" borderId="0" applyFont="1" applyFill="1" applyBorder="1" applyAlignment="1">
      <alignment horizontal="center" vertical="bottom"/>
    </xf>
    <xf numFmtId="0" fontId="88" fillId="0" borderId="0" applyFont="1" applyFill="1" applyBorder="1" applyAlignment="1">
      <alignment horizontal="right" vertical="bottom"/>
    </xf>
    <xf numFmtId="0" fontId="82" fillId="0" borderId="59" applyNumberFormat="1" applyFont="1" applyFill="1" applyBorder="1" applyAlignment="1">
      <alignment horizontal="left" wrapText="1"/>
    </xf>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21" Type="http://schemas.openxmlformats.org/officeDocument/2006/relationships/worksheet" Target="worksheets/sheet26.xml" />
<Relationship Id="rId15" Type="http://schemas.openxmlformats.org/officeDocument/2006/relationships/worksheet" Target="worksheets/sheet3.xml" />
<Relationship Id="rId19" Type="http://schemas.openxmlformats.org/officeDocument/2006/relationships/worksheet" Target="worksheets/sheet21.xml" />
<Relationship Id="rId16" Type="http://schemas.openxmlformats.org/officeDocument/2006/relationships/worksheet" Target="worksheets/sheet7.xml" />
<Relationship Id="rId14" Type="http://schemas.openxmlformats.org/officeDocument/2006/relationships/worksheet" Target="worksheets/sheet2.xml" />
<Relationship Id="rId18" Type="http://schemas.openxmlformats.org/officeDocument/2006/relationships/worksheet" Target="worksheets/sheet20.xml" />
<Relationship Id="rId22" Type="http://schemas.openxmlformats.org/officeDocument/2006/relationships/sharedStrings" Target="/xl/sharedStrings.xml" />
<Relationship Id="rId13" Type="http://schemas.openxmlformats.org/officeDocument/2006/relationships/worksheet" Target="worksheets/sheet1.xml" />
<Relationship Id="rId20" Type="http://schemas.openxmlformats.org/officeDocument/2006/relationships/worksheet" Target="worksheets/sheet23.xml" />
<Relationship Id="rId23" Type="http://schemas.openxmlformats.org/officeDocument/2006/relationships/styles" Target="/xl/styles.xml" />
<Relationship Id="rId17" Type="http://schemas.openxmlformats.org/officeDocument/2006/relationships/worksheet" Target="worksheets/sheet9.xml" />
<Relationship Id="rId24" Type="http://schemas.openxmlformats.org/officeDocument/2006/relationships/theme" Target="/xl/theme/theme1.xml" />
<Relationship Id="rId12" Type="http://schemas.openxmlformats.org/officeDocument/2006/relationships/worksheet" Target="worksheets/sheet28.xml" />
<Relationship Id="rId11" Type="http://schemas.openxmlformats.org/officeDocument/2006/relationships/worksheet" Target="worksheets/sheet32.xml" />
<Relationship Id="rId10" Type="http://schemas.openxmlformats.org/officeDocument/2006/relationships/worksheet" Target="worksheets/sheet36.xml" />
<Relationship Id="rId9" Type="http://schemas.openxmlformats.org/officeDocument/2006/relationships/worksheet" Target="worksheets/sheet40.xml" />
<Relationship Id="rId8" Type="http://schemas.openxmlformats.org/officeDocument/2006/relationships/worksheet" Target="worksheets/sheet44.xml" />
<Relationship Id="rId7" Type="http://schemas.openxmlformats.org/officeDocument/2006/relationships/worksheet" Target="worksheets/sheet48.xml" />
<Relationship Id="rId6" Type="http://schemas.openxmlformats.org/officeDocument/2006/relationships/worksheet" Target="worksheets/sheet52.xml" />
<Relationship Id="rId5" Type="http://schemas.openxmlformats.org/officeDocument/2006/relationships/worksheet" Target="worksheets/sheet56.xml" />
<Relationship Id="rId4" Type="http://schemas.openxmlformats.org/officeDocument/2006/relationships/worksheet" Target="worksheets/sheet59.xml" />
<Relationship Id="rId3" Type="http://schemas.openxmlformats.org/officeDocument/2006/relationships/worksheet" Target="worksheets/sheet62.xml" />
<Relationship Id="rId2" Type="http://schemas.openxmlformats.org/officeDocument/2006/relationships/worksheet" Target="worksheets/sheet65.xml" />
<Relationship Id="rId1" Type="http://schemas.openxmlformats.org/officeDocument/2006/relationships/worksheet" Target="worksheets/sheet69.xml" />
</Relationships>
</file>

<file path=xl/charts/chart7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70.9975583656716</v>
                </pt>
                <pt idx="0">
                  <v>76.5379451045733</v>
                </pt>
                <pt idx="0">
                  <v>71.8370270764895</v>
                </pt>
                <pt idx="0">
                  <v>71.0499852752116</v>
                </pt>
                <pt idx="0">
                  <v>61.9910818825895</v>
                </pt>
                <pt idx="0">
                  <v>66.3331574035862</v>
                </pt>
                <pt idx="0">
                  <v>74.2583710256841</v>
                </pt>
                <pt idx="0">
                  <v>111.064056493365</v>
                </pt>
                <pt idx="0">
                  <v>78.9023586157168</v>
                </pt>
                <pt idx="0">
                  <v>66.0385595480448</v>
                </pt>
                <pt idx="0">
                  <v>58.3870967742077</v>
                </pt>
                <pt idx="0">
                  <v>61.9527210046322</v>
                </pt>
                <pt idx="0">
                  <v>70.9378965239451</v>
                </pt>
                <pt idx="0">
                  <v>83.0696516451953</v>
                </pt>
                <pt idx="0">
                  <v>65.9387620208508</v>
                </pt>
                <pt idx="0">
                  <v>72.0265757496755</v>
                </pt>
                <pt idx="0">
                  <v>68.3275576888755</v>
                </pt>
                <pt idx="0">
                  <v>60.69476221251</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82.6108085521775</v>
                </pt>
                <pt idx="0">
                  <v>81.506646350762</v>
                </pt>
                <pt idx="0">
                  <v>83.0075608537548</v>
                </pt>
                <pt idx="0">
                  <v>83.2286674110899</v>
                </pt>
                <pt idx="0">
                  <v>78.957898968487</v>
                </pt>
                <pt idx="0">
                  <v>79.3587445959678</v>
                </pt>
                <pt idx="0">
                  <v>79.1793617381372</v>
                </pt>
                <pt idx="0">
                  <v>78.8703110590273</v>
                </pt>
                <pt idx="0">
                  <v>77.8711470105459</v>
                </pt>
                <pt idx="0">
                  <v>84.8193703079083</v>
                </pt>
                <pt idx="0">
                  <v>86.4157923161483</v>
                </pt>
                <pt idx="0">
                  <v>81.4058401922341</v>
                </pt>
                <pt idx="0">
                  <v>83.3728991883085</v>
                </pt>
                <pt idx="0">
                  <v>85.8890824337672</v>
                </pt>
                <pt idx="0">
                  <v>79.4387104778789</v>
                </pt>
                <pt idx="0">
                  <v>80.5842147939393</v>
                </pt>
                <pt idx="0">
                  <v>75.9067808224614</v>
                </pt>
                <pt idx="0">
                  <v>73.8179137992776</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58.6516570181902</v>
                </pt>
                <pt idx="0">
                  <v>62.3835122405462</v>
                </pt>
                <pt idx="0">
                  <v>59.630163966051</v>
                </pt>
                <pt idx="0">
                  <v>59.1339559403657</v>
                </pt>
                <pt idx="0">
                  <v>48.9468558023644</v>
                </pt>
                <pt idx="0">
                  <v>52.6411609663089</v>
                </pt>
                <pt idx="0">
                  <v>58.7973042153456</v>
                </pt>
                <pt idx="0">
                  <v>87.596566831163</v>
                </pt>
                <pt idx="0">
                  <v>61.4421716724039</v>
                </pt>
                <pt idx="0">
                  <v>56.0134903690796</v>
                </pt>
                <pt idx="0">
                  <v>50.4556722877979</v>
                </pt>
                <pt idx="0">
                  <v>50.4331330557922</v>
                </pt>
                <pt idx="0">
                  <v>59.1429809552827</v>
                </pt>
                <pt idx="0">
                  <v>71.3477615789824</v>
                </pt>
                <pt idx="0">
                  <v>52.380902254427</v>
                </pt>
                <pt idx="0">
                  <v>58.0420505108048</v>
                </pt>
                <pt idx="0">
                  <v>51.8652494561924</v>
                </pt>
                <pt idx="0">
                  <v>44.8036072506915</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16"/>
          <min val="4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-7.78904968125309</v>
                </pt>
                <pt idx="0">
                  <v>-0.301709921496783</v>
                </pt>
                <pt idx="0">
                  <v>-11.6932776941401</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-3.50871752271472</v>
                </pt>
                <pt idx="0">
                  <v>3.96165030522663</v>
                </pt>
                <pt idx="0">
                  <v>-1.79668174891632</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
          <min val="-1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76"/>
          <min val="13"/>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45"/>
          <min val="83"/>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July</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54.5565317770771</v>
                </pt>
                <pt idx="0">
                  <v>68.6907020873024</v>
                </pt>
                <pt idx="0">
                  <v>60.3552011597817</v>
                </pt>
                <pt idx="0">
                  <v>69.9479362353547</v>
                </pt>
                <pt idx="0">
                  <v>63.741372024216</v>
                </pt>
                <pt idx="0">
                  <v>48.6559139785072</v>
                </pt>
                <pt idx="0">
                  <v>50.6712476936108</v>
                </pt>
                <pt idx="0">
                  <v>62.0539192768816</v>
                </pt>
                <pt idx="0">
                  <v>62.3823723037518</v>
                </pt>
                <pt idx="0">
                  <v>56.8814123301337</v>
                </pt>
                <pt idx="0">
                  <v>63.6124011547827</v>
                </pt>
                <pt idx="0">
                  <v>80.377042312542</v>
                </pt>
                <pt idx="0">
                  <v>74.2642897567259</v>
                </pt>
                <pt idx="0">
                  <v>61.0511468170868</v>
                </pt>
                <pt idx="0">
                  <v>57.7454803261228</v>
                </pt>
                <pt idx="0">
                  <v>75.7045014899853</v>
                </pt>
                <pt idx="0">
                  <v>64.7655191108614</v>
                </pt>
                <pt idx="0">
                  <v>73.2585906828203</v>
                </pt>
                <pt idx="0">
                  <v>73.5467285844335</v>
                </pt>
                <pt idx="0">
                  <v>40.9528734888846</v>
                </pt>
                <pt idx="0">
                  <v>44.718441171004</v>
                </pt>
                <pt idx="0">
                  <v>95.7285316323252</v>
                </pt>
                <pt idx="0">
                  <v>91.1561672383237</v>
                </pt>
                <pt idx="0">
                  <v>22.1967475339782</v>
                </pt>
                <pt idx="0">
                  <v>9.91853286084428</v>
                </pt>
                <pt idx="0">
                  <v>5.51471988422102</v>
                </pt>
                <pt idx="0">
                  <v>15.846184928284</v>
                </pt>
                <pt idx="0">
                  <v>74.8156986406613</v>
                </pt>
                <pt idx="0">
                  <v>83.4101382488883</v>
                </pt>
                <pt idx="0">
                  <v>100.694324650751</v>
                </pt>
                <pt idx="0">
                  <v>52.9721644121231</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Month'!$C$38:$AG$38</f>
              <numCache>
                <formatCode>General</formatCode>
                <ptCount val="31"/>
                <pt idx="0">
                  <v>67.3617299489902</v>
                </pt>
                <pt idx="0">
                  <v>73.0698092926972</v>
                </pt>
                <pt idx="0">
                  <v>78.361906269576</v>
                </pt>
                <pt idx="0">
                  <v>75.9299083907903</v>
                </pt>
                <pt idx="0">
                  <v>77.2063850933752</v>
                </pt>
                <pt idx="0">
                  <v>79.3005563755959</v>
                </pt>
                <pt idx="0">
                  <v>72.9795338381912</v>
                </pt>
                <pt idx="0">
                  <v>68.4685172077189</v>
                </pt>
                <pt idx="0">
                  <v>68.1044213288268</v>
                </pt>
                <pt idx="0">
                  <v>60.9872106282296</v>
                </pt>
                <pt idx="0">
                  <v>80.1010808194961</v>
                </pt>
                <pt idx="0">
                  <v>75.3674373328037</v>
                </pt>
                <pt idx="0">
                  <v>73.5065357949204</v>
                </pt>
                <pt idx="0">
                  <v>67.7559347904661</v>
                </pt>
                <pt idx="0">
                  <v>71.9383061341463</v>
                </pt>
                <pt idx="0">
                  <v>71.7350914522493</v>
                </pt>
                <pt idx="0">
                  <v>68.6747262783847</v>
                </pt>
                <pt idx="0">
                  <v>81.4913766266727</v>
                </pt>
                <pt idx="0">
                  <v>78.3411791549003</v>
                </pt>
                <pt idx="0">
                  <v>77.3901854490891</v>
                </pt>
                <pt idx="0">
                  <v>70.7531750778019</v>
                </pt>
                <pt idx="0">
                  <v>74.0739985829842</v>
                </pt>
                <pt idx="0">
                  <v>75.9592206222737</v>
                </pt>
                <pt idx="0">
                  <v>53.3576082443004</v>
                </pt>
                <pt idx="0">
                  <v>30.1471743030121</v>
                </pt>
                <pt idx="0">
                  <v>67.957517556603</v>
                </pt>
                <pt idx="0">
                  <v>55.1722949259798</v>
                </pt>
                <pt idx="0">
                  <v>82.2273250484752</v>
                </pt>
                <pt idx="0">
                  <v>79.6832805755461</v>
                </pt>
                <pt idx="0">
                  <v>79.6676455475234</v>
                </pt>
                <pt idx="0">
                  <v>61.9456285975819</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Month'!$C$48:$AG$48</f>
              <numCache>
                <formatCode>General</formatCode>
                <ptCount val="31"/>
                <pt idx="0">
                  <v>36.7502236052267</v>
                </pt>
                <pt idx="0">
                  <v>50.1921650169467</v>
                </pt>
                <pt idx="0">
                  <v>47.2954861616365</v>
                </pt>
                <pt idx="0">
                  <v>53.1114039047015</v>
                </pt>
                <pt idx="0">
                  <v>49.2124091488188</v>
                </pt>
                <pt idx="0">
                  <v>38.5844104945655</v>
                </pt>
                <pt idx="0">
                  <v>36.9796403567458</v>
                </pt>
                <pt idx="0">
                  <v>42.4873983981988</v>
                </pt>
                <pt idx="0">
                  <v>42.4851536686948</v>
                </pt>
                <pt idx="0">
                  <v>34.6903867461136</v>
                </pt>
                <pt idx="0">
                  <v>50.9542208601806</v>
                </pt>
                <pt idx="0">
                  <v>60.5781169948781</v>
                </pt>
                <pt idx="0">
                  <v>54.5891067327887</v>
                </pt>
                <pt idx="0">
                  <v>41.3657752262294</v>
                </pt>
                <pt idx="0">
                  <v>41.5411204156594</v>
                </pt>
                <pt idx="0">
                  <v>54.3066933773281</v>
                </pt>
                <pt idx="0">
                  <v>44.477542972146</v>
                </pt>
                <pt idx="0">
                  <v>59.699434044749</v>
                </pt>
                <pt idx="0">
                  <v>57.6173744029624</v>
                </pt>
                <pt idx="0">
                  <v>31.6935047398235</v>
                </pt>
                <pt idx="0">
                  <v>31.6397169737757</v>
                </pt>
                <pt idx="0">
                  <v>70.9099511647834</v>
                </pt>
                <pt idx="0">
                  <v>69.2415141833418</v>
                </pt>
                <pt idx="0">
                  <v>11.8436535921632</v>
                </pt>
                <pt idx="0">
                  <v>2.99015738986063</v>
                </pt>
                <pt idx="0">
                  <v>3.74766673351707</v>
                </pt>
                <pt idx="0">
                  <v>8.74270388314722</v>
                </pt>
                <pt idx="0">
                  <v>61.5189477085694</v>
                </pt>
                <pt idx="0">
                  <v>66.4639344892575</v>
                </pt>
                <pt idx="0">
                  <v>80.2207976492016</v>
                </pt>
                <pt idx="0">
                  <v>32.813940226774</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06"/>
          <min val="-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76" Type="http://schemas.openxmlformats.org/officeDocument/2006/relationships/chart" Target="/xl/charts/chart72.xml" />
<Relationship Id="rId77" Type="http://schemas.openxmlformats.org/officeDocument/2006/relationships/chart" Target="/xl/charts/chart73.xml" />
</Relationships>
</file>

<file path=xl/drawings/_rels/drawing74.xml.rels><?xml version="1.0" encoding="utf-8" standalone="yes" ?>
<Relationships xmlns="http://schemas.openxmlformats.org/package/2006/relationships">
<Relationship Id="rId79" Type="http://schemas.openxmlformats.org/officeDocument/2006/relationships/chart" Target="/xl/charts/chart75.xml" />
<Relationship Id="rId80" Type="http://schemas.openxmlformats.org/officeDocument/2006/relationships/chart" Target="/xl/charts/chart76.xml" />
</Relationships>
</file>

<file path=xl/drawings/_rels/drawing77.xml.rels><?xml version="1.0" encoding="utf-8" standalone="yes" ?>
<Relationships xmlns="http://schemas.openxmlformats.org/package/2006/relationships">
<Relationship Id="rId82" Type="http://schemas.openxmlformats.org/officeDocument/2006/relationships/chart" Target="/xl/charts/chart78.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76"/>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77"/>
        </a:graphicData>
      </a:graphic>
    </xdr:graphicFrame>
    <xdr:clientData/>
  </xdr:oneCellAnchor>
</xdr:wsDr>
</file>

<file path=xl/drawings/drawing3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79"/>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80"/>
        </a:graphicData>
      </a:graphic>
    </xdr:graphicFrame>
    <xdr:clientData/>
  </xdr:twoCellAnchor>
</xdr:wsDr>
</file>

<file path=xl/drawings/drawing7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82"/>
        </a:graphicData>
      </a:graphic>
    </xdr:graphicFrame>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78" Type="http://schemas.openxmlformats.org/officeDocument/2006/relationships/drawing" Target="../drawings/drawing74.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81" Type="http://schemas.openxmlformats.org/officeDocument/2006/relationships/drawing" Target="../drawings/drawing77.xml" />
</Relationships>
</file>

<file path=xl/worksheets/_rels/sheet20.xml.rels><?xml version="1.0" encoding="utf-8" standalone="yes" ?>
<Relationships xmlns="http://schemas.openxmlformats.org/package/2006/relationships">
<Relationship Id="rId1" Type="http://schemas.openxmlformats.org/officeDocument/2006/relationships/printerSettings" Target="../printerSettings/printerSettings20.bin"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1.bin"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83" Type="http://schemas.openxmlformats.org/officeDocument/2006/relationships/hyperlink" Target="http://www.str.com/data-insights/resources/glossary" TargetMode="External" />
<Relationship Id="rId84" Type="http://schemas.openxmlformats.org/officeDocument/2006/relationships/hyperlink" Target="http://www.hotelnewsnow.com/" TargetMode="External" />
<Relationship Id="rId85" Type="http://schemas.openxmlformats.org/officeDocument/2006/relationships/hyperlink" Target="http://www.hoteldataconference.com/" TargetMode="External" />
<Relationship Id="rId86" Type="http://schemas.openxmlformats.org/officeDocument/2006/relationships/hyperlink" Target="http://www.str.com/data-insights/resources/FAQ" TargetMode="External" />
<Relationship Id="rId87"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_rels/sheet32.xml.rels><?xml version="1.0" encoding="utf-8" standalone="yes" ?>
<Relationships xmlns="http://schemas.openxmlformats.org/package/2006/relationships">
<Relationship Id="rId1" Type="http://schemas.openxmlformats.org/officeDocument/2006/relationships/printerSettings" Target="../printerSettings/printerSettings33.bin" />
<Relationship Id="rId35" Type="http://schemas.openxmlformats.org/officeDocument/2006/relationships/drawing" Target="../drawings/drawing34.xml" />
</Relationships>
</file>

<file path=xl/worksheets/_rels/sheet36.xml.rels><?xml version="1.0" encoding="utf-8" standalone="yes" ?>
<Relationships xmlns="http://schemas.openxmlformats.org/package/2006/relationships">
<Relationship Id="rId1" Type="http://schemas.openxmlformats.org/officeDocument/2006/relationships/printerSettings" Target="../printerSettings/printerSettings37.bin" />
<Relationship Id="rId39" Type="http://schemas.openxmlformats.org/officeDocument/2006/relationships/drawing" Target="../drawings/drawing38.xml" />
</Relationships>
</file>

<file path=xl/worksheets/_rels/sheet40.xml.rels><?xml version="1.0" encoding="utf-8" standalone="yes" ?>
<Relationships xmlns="http://schemas.openxmlformats.org/package/2006/relationships">
<Relationship Id="rId1" Type="http://schemas.openxmlformats.org/officeDocument/2006/relationships/printerSettings" Target="../printerSettings/printerSettings41.bin" />
<Relationship Id="rId43" Type="http://schemas.openxmlformats.org/officeDocument/2006/relationships/drawing" Target="../drawings/drawing42.xml" />
</Relationships>
</file>

<file path=xl/worksheets/_rels/sheet44.xml.rels><?xml version="1.0" encoding="utf-8" standalone="yes" ?>
<Relationships xmlns="http://schemas.openxmlformats.org/package/2006/relationships">
<Relationship Id="rId1" Type="http://schemas.openxmlformats.org/officeDocument/2006/relationships/printerSettings" Target="../printerSettings/printerSettings45.bin" />
<Relationship Id="rId47" Type="http://schemas.openxmlformats.org/officeDocument/2006/relationships/drawing" Target="../drawings/drawing46.xml" />
</Relationships>
</file>

<file path=xl/worksheets/_rels/sheet48.xml.rels><?xml version="1.0" encoding="utf-8" standalone="yes" ?>
<Relationships xmlns="http://schemas.openxmlformats.org/package/2006/relationships">
<Relationship Id="rId1" Type="http://schemas.openxmlformats.org/officeDocument/2006/relationships/printerSettings" Target="../printerSettings/printerSettings49.bin" />
<Relationship Id="rId51" Type="http://schemas.openxmlformats.org/officeDocument/2006/relationships/drawing" Target="../drawings/drawing50.xml" />
</Relationships>
</file>

<file path=xl/worksheets/_rels/sheet52.xml.rels><?xml version="1.0" encoding="utf-8" standalone="yes" ?>
<Relationships xmlns="http://schemas.openxmlformats.org/package/2006/relationships">
<Relationship Id="rId1" Type="http://schemas.openxmlformats.org/officeDocument/2006/relationships/printerSettings" Target="../printerSettings/printerSettings53.bin" />
<Relationship Id="rId55" Type="http://schemas.openxmlformats.org/officeDocument/2006/relationships/drawing" Target="../drawings/drawing54.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5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59"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59" Type="http://schemas.openxmlformats.org/officeDocument/2006/relationships/drawing" Target="../drawings/drawing64.xml" />
</Relationships>
</file>

<file path=xl/worksheets/_rels/sheet65.xml.rels><?xml version="1.0" encoding="utf-8" standalone="yes" ?>
<Relationships xmlns="http://schemas.openxmlformats.org/package/2006/relationships">
<Relationship Id="rId1" Type="http://schemas.openxmlformats.org/officeDocument/2006/relationships/printerSettings" Target="../printerSettings/printerSettings66.bin" />
<Relationship Id="rId59" Type="http://schemas.openxmlformats.org/officeDocument/2006/relationships/drawing" Target="../drawings/drawing67.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72" Type="http://schemas.openxmlformats.org/officeDocument/2006/relationships/drawing" Target="../drawings/drawing71.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167</v>
      </c>
      <c r="C2" s="605"/>
      <c r="D2" s="604"/>
      <c r="E2" s="604"/>
      <c r="F2" s="605"/>
      <c r="G2" s="598"/>
      <c r="H2" s="599"/>
    </row>
    <row r="3" ht="25.5" customHeight="1">
      <c r="A3" s="595"/>
      <c r="B3" s="638" t="s">
        <v>166</v>
      </c>
      <c r="C3" s="607"/>
      <c r="D3" s="606"/>
      <c r="E3" s="606"/>
      <c r="F3" s="607"/>
      <c r="G3" s="598"/>
      <c r="H3" s="599"/>
    </row>
    <row r="4" ht="15" customHeight="1">
      <c r="A4" s="595"/>
      <c r="B4" s="695" t="s">
        <v>168</v>
      </c>
      <c r="C4" s="695"/>
      <c r="D4" s="695"/>
      <c r="E4" s="695"/>
      <c r="F4" s="608"/>
      <c r="G4" s="598"/>
      <c r="H4" s="599"/>
    </row>
    <row r="5" ht="15" customHeight="1">
      <c r="A5" s="595"/>
      <c r="B5" s="695" t="s">
        <v>169</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c r="F7" s="605"/>
      <c r="G7" s="598"/>
      <c r="H7" s="599"/>
    </row>
    <row r="8" ht="15.75" customHeight="1">
      <c r="A8" s="595"/>
      <c r="B8" s="639" t="str">
        <f>HYPERLINK("#'Glance'!A1", "Monthly Performance at a Glance")</f>
      </c>
      <c r="C8" s="605" t="str">
        <f>HYPERLINK("#'Glance'!A1", "2")</f>
      </c>
      <c r="D8" s="639"/>
      <c r="E8" s="639"/>
      <c r="F8" s="605"/>
      <c r="G8" s="598"/>
      <c r="H8" s="599"/>
    </row>
    <row r="9" ht="15.75" customHeight="1">
      <c r="A9" s="595"/>
      <c r="B9" s="639" t="str">
        <f>HYPERLINK("#'Summary'!A1", "STAR Summary")</f>
      </c>
      <c r="C9" s="605" t="str">
        <f>HYPERLINK("#'Summary'!A1", "3")</f>
      </c>
      <c r="D9" s="639"/>
      <c r="E9" s="639"/>
      <c r="F9" s="605"/>
      <c r="G9" s="595"/>
      <c r="H9" s="595"/>
    </row>
    <row r="10" ht="15.75" customHeight="1">
      <c r="A10" s="595"/>
      <c r="B10" s="639" t="str">
        <f>HYPERLINK("#'Comp'!A1", "Competitive Set Report")</f>
      </c>
      <c r="C10" s="605" t="str">
        <f>HYPERLINK("#'Comp'!A1", "4")</f>
      </c>
      <c r="D10" s="639"/>
      <c r="E10" s="639"/>
      <c r="F10" s="605"/>
      <c r="G10" s="595"/>
      <c r="H10" s="595"/>
    </row>
    <row r="11" ht="15.75" customHeight="1">
      <c r="A11" s="600"/>
      <c r="B11" s="639" t="str">
        <f>HYPERLINK("#'Response'!A1", "Response Report")</f>
      </c>
      <c r="C11" s="605" t="str">
        <f>HYPERLINK("#'Response'!A1", "5")</f>
      </c>
      <c r="D11" s="639"/>
      <c r="E11" s="639"/>
      <c r="F11" s="605"/>
      <c r="G11" s="595"/>
      <c r="H11" s="595"/>
    </row>
    <row r="12" ht="15.75" customHeight="1">
      <c r="A12" s="595"/>
      <c r="B12" s="639" t="str">
        <f>HYPERLINK("#'Day of Week'!A1", "Day of Week &amp; Weekday/Weekend")</f>
      </c>
      <c r="C12" s="605" t="str">
        <f>HYPERLINK("#'Day of Week'!A1", "6")</f>
      </c>
      <c r="D12" s="639"/>
      <c r="E12" s="639"/>
      <c r="F12" s="605"/>
      <c r="G12" s="595"/>
      <c r="H12" s="595"/>
    </row>
    <row r="13" ht="15.75" customHeight="1">
      <c r="A13" s="595"/>
      <c r="B13" s="639" t="str">
        <f>HYPERLINK("#'Daily by Month'!A1", "Daily Data for the Month")</f>
      </c>
      <c r="C13" s="605" t="str">
        <f>HYPERLINK("#'Daily by Month'!A1", "7")</f>
      </c>
      <c r="D13" s="639"/>
      <c r="E13" s="639"/>
      <c r="F13" s="605"/>
      <c r="G13" s="595"/>
      <c r="H13" s="595"/>
    </row>
    <row r="14" ht="15.75" customHeight="1">
      <c r="A14" s="595"/>
      <c r="B14" s="639" t="str">
        <f>HYPERLINK("#'Segmentation Glance'!A1", "Segmentation at a Glance")</f>
      </c>
      <c r="C14" s="605" t="str">
        <f>HYPERLINK("#'Segmentation Glance'!A1", "8")</f>
      </c>
      <c r="D14" s="639"/>
      <c r="E14" s="639"/>
      <c r="F14" s="605"/>
      <c r="G14" s="595"/>
      <c r="H14" s="595"/>
    </row>
    <row r="15" ht="15.75" customHeight="1">
      <c r="A15" s="595"/>
      <c r="B15" s="639" t="str">
        <f>HYPERLINK("#'Segmentation Occ'!A1", "Segmentation Occupancy Analysis")</f>
      </c>
      <c r="C15" s="605" t="str">
        <f>HYPERLINK("#'Segmentation Occ'!A1", "9")</f>
      </c>
      <c r="D15" s="639"/>
      <c r="E15" s="639"/>
      <c r="F15" s="605"/>
      <c r="G15" s="595"/>
      <c r="H15" s="595"/>
    </row>
    <row r="16" ht="15.75" customHeight="1">
      <c r="A16" s="595"/>
      <c r="B16" s="639" t="str">
        <f>HYPERLINK("#'Segmentation ADR'!A1", "Segmentation ADR Analysis")</f>
      </c>
      <c r="C16" s="605" t="str">
        <f>HYPERLINK("#'Segmentation ADR'!A1", "10")</f>
      </c>
      <c r="D16" s="639"/>
      <c r="E16" s="639"/>
      <c r="F16" s="605"/>
      <c r="G16" s="595"/>
      <c r="H16" s="595"/>
    </row>
    <row r="17" ht="15.75" customHeight="1">
      <c r="A17" s="595"/>
      <c r="B17" s="639" t="str">
        <f>HYPERLINK("#'Segmentation RevPAR'!A1", "Segmentation RevPAR Analysis")</f>
      </c>
      <c r="C17" s="605" t="str">
        <f>HYPERLINK("#'Segmentation RevPAR'!A1", "11")</f>
      </c>
      <c r="D17" s="639"/>
      <c r="E17" s="639"/>
      <c r="F17" s="605"/>
      <c r="G17" s="595"/>
      <c r="H17" s="595"/>
    </row>
    <row r="18" ht="15.75" customHeight="1">
      <c r="A18" s="595"/>
      <c r="B18" s="639" t="str">
        <f>HYPERLINK("#'Segmentation Indexes'!A1", "Segmentation Index Analysis")</f>
      </c>
      <c r="C18" s="605" t="str">
        <f>HYPERLINK("#'Segmentation Indexes'!A1", "12")</f>
      </c>
      <c r="D18" s="639"/>
      <c r="E18" s="639"/>
      <c r="F18" s="605"/>
      <c r="G18" s="595"/>
      <c r="H18" s="595"/>
    </row>
    <row r="19" ht="15.75" customHeight="1">
      <c r="A19" s="595"/>
      <c r="B19" s="639" t="str">
        <f>HYPERLINK("#'Segmentation Ranking'!A1", "Segmentation Ranking Analysis")</f>
      </c>
      <c r="C19" s="605" t="str">
        <f>HYPERLINK("#'Segmentation Ranking'!A1", "13")</f>
      </c>
      <c r="D19" s="639"/>
      <c r="E19" s="639"/>
      <c r="F19" s="605"/>
      <c r="G19" s="595"/>
      <c r="H19" s="595"/>
    </row>
    <row r="20" ht="15.75" customHeight="1">
      <c r="A20" s="595"/>
      <c r="B20" s="639" t="str">
        <f>HYPERLINK("#'Segmentation DOW Month'!A1", "Segmentation Day Of Week - Current Month")</f>
      </c>
      <c r="C20" s="605" t="str">
        <f>HYPERLINK("#'Segmentation DOW Month'!A1", "14")</f>
      </c>
      <c r="D20" s="639"/>
      <c r="E20" s="639"/>
      <c r="F20" s="605"/>
      <c r="G20" s="595"/>
      <c r="H20" s="595"/>
    </row>
    <row r="21" ht="15.75" customHeight="1">
      <c r="A21" s="595"/>
      <c r="B21" s="639" t="str">
        <f>HYPERLINK("#'Segmentation DOW YTD'!A1", "Segmentation Day Of Week - Year to Date")</f>
      </c>
      <c r="C21" s="605" t="str">
        <f>HYPERLINK("#'Segmentation DOW YTD'!A1", "15")</f>
      </c>
      <c r="D21" s="639"/>
      <c r="E21" s="639"/>
      <c r="F21" s="605"/>
      <c r="G21" s="595"/>
      <c r="H21" s="595"/>
    </row>
    <row r="22" ht="15.75" customHeight="1">
      <c r="A22" s="595"/>
      <c r="B22" s="639" t="str">
        <f>HYPERLINK("#'Segmentation DOW Run 3'!A1", "Segmentation Day Of Week - Running 3 Month")</f>
      </c>
      <c r="C22" s="605" t="str">
        <f>HYPERLINK("#'Segmentation DOW Run 3'!A1", "16")</f>
      </c>
      <c r="D22" s="639"/>
      <c r="E22" s="639"/>
      <c r="F22" s="605"/>
      <c r="G22" s="595"/>
      <c r="H22" s="595"/>
    </row>
    <row r="23" ht="15.75" customHeight="1">
      <c r="A23" s="595"/>
      <c r="B23" s="639" t="str">
        <f>HYPERLINK("#'Segmentation DOW Run 12'!A1", "Segmentation Day Of Week - Running 12 Month")</f>
      </c>
      <c r="C23" s="605" t="str">
        <f>HYPERLINK("#'Segmentation DOW Run 12'!A1", "17")</f>
      </c>
      <c r="D23" s="639"/>
      <c r="E23" s="639"/>
      <c r="F23" s="605"/>
      <c r="G23" s="595"/>
      <c r="H23" s="595"/>
    </row>
    <row r="24" ht="15.75" customHeight="1">
      <c r="A24" s="595"/>
      <c r="B24" s="639" t="str">
        <f>HYPERLINK("#'Add Rev ADR'!A1", "Additional Revenue ADR Analysis (TrevPOR)")</f>
      </c>
      <c r="C24" s="605" t="str">
        <f>HYPERLINK("#'Add Rev ADR'!A1", "18")</f>
      </c>
      <c r="D24" s="639"/>
      <c r="E24" s="639"/>
      <c r="F24" s="605"/>
      <c r="G24" s="595"/>
      <c r="H24" s="595"/>
    </row>
    <row r="25" ht="15.75" customHeight="1">
      <c r="A25" s="595"/>
      <c r="B25" s="639" t="str">
        <f>HYPERLINK("#'Add Rev RevPAR'!A1", "Additional Revenue RevPAR Analysis (TrevPAR)")</f>
      </c>
      <c r="C25" s="605" t="str">
        <f>HYPERLINK("#'Add Rev RevPAR'!A1", "19")</f>
      </c>
      <c r="D25" s="639"/>
      <c r="E25" s="639"/>
      <c r="F25" s="605"/>
      <c r="G25" s="595"/>
      <c r="H25" s="595"/>
    </row>
    <row r="26" ht="15.75" customHeight="1">
      <c r="A26" s="595"/>
      <c r="B26" s="639" t="str">
        <f>HYPERLINK("#'Segmentation Response'!A1", "Segmentation Response Report")</f>
      </c>
      <c r="C26" s="605" t="str">
        <f>HYPERLINK("#'Segmentation Response'!A1", "20")</f>
      </c>
      <c r="D26" s="639"/>
      <c r="E26" s="639"/>
      <c r="F26" s="605"/>
      <c r="G26" s="595"/>
      <c r="H26" s="595"/>
    </row>
    <row r="27" ht="15.75" customHeight="1">
      <c r="A27" s="595"/>
      <c r="B27" s="639" t="str">
        <f>HYPERLINK("#'Help'!A1", "Help")</f>
      </c>
      <c r="C27" s="605" t="str">
        <f>HYPERLINK("#'Help'!A1", "21")</f>
      </c>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20" t="s">
        <v>127</v>
      </c>
      <c r="C1" s="103"/>
      <c r="D1" s="103"/>
      <c r="E1" s="103"/>
      <c r="F1" s="103"/>
      <c r="G1" s="103"/>
      <c r="H1" s="103"/>
      <c r="I1" s="104"/>
      <c r="J1" s="103"/>
      <c r="K1" s="103"/>
      <c r="L1" s="103"/>
      <c r="M1" s="13"/>
      <c r="N1" s="51"/>
      <c r="O1" s="2"/>
      <c r="P1" s="2"/>
      <c r="Q1" s="2"/>
      <c r="R1" s="22"/>
      <c r="S1" s="51"/>
      <c r="T1" s="2"/>
      <c r="U1" s="2"/>
      <c r="V1" s="236"/>
    </row>
    <row r="2" ht="21.75" customHeight="1">
      <c r="B2" s="935" t="s">
        <v>170</v>
      </c>
      <c r="C2" s="935"/>
      <c r="D2" s="935"/>
      <c r="E2" s="935"/>
      <c r="F2" s="935"/>
      <c r="G2" s="935"/>
      <c r="H2" s="935"/>
      <c r="I2" s="935"/>
      <c r="J2" s="935"/>
      <c r="K2" s="935"/>
      <c r="L2" s="935"/>
      <c r="M2" s="935"/>
      <c r="N2" s="935"/>
      <c r="O2" s="935"/>
      <c r="P2" s="935"/>
      <c r="Q2" s="935"/>
      <c r="R2" s="935"/>
      <c r="S2" s="935"/>
      <c r="T2" s="2"/>
      <c r="U2" s="2"/>
    </row>
    <row r="3" ht="19.5" customHeight="1">
      <c r="A3"/>
      <c r="B3" s="115" t="s">
        <v>171</v>
      </c>
      <c r="C3" s="115"/>
      <c r="D3" s="115"/>
      <c r="E3" s="115"/>
      <c r="F3" s="115"/>
      <c r="G3" s="115"/>
      <c r="H3" s="115"/>
      <c r="I3" s="115"/>
      <c r="J3" s="115"/>
      <c r="K3" s="115"/>
      <c r="L3" s="115"/>
      <c r="M3" s="115"/>
      <c r="N3" s="115"/>
      <c r="O3" s="115"/>
      <c r="P3" s="115"/>
      <c r="Q3" s="115"/>
      <c r="R3" s="115"/>
      <c r="S3" s="115"/>
      <c r="T3" s="2"/>
      <c r="U3" s="2"/>
    </row>
    <row r="4" ht="18.75" customHeight="1">
      <c r="A4"/>
      <c r="B4" s="936" t="s">
        <v>172</v>
      </c>
      <c r="C4" s="936"/>
      <c r="D4" s="936"/>
      <c r="E4" s="936"/>
      <c r="F4" s="936"/>
      <c r="G4" s="936"/>
      <c r="H4" s="936"/>
      <c r="I4" s="936"/>
      <c r="J4" s="936"/>
      <c r="K4" s="936"/>
      <c r="L4" s="936"/>
      <c r="M4" s="936"/>
      <c r="N4" s="936"/>
      <c r="O4" s="936"/>
      <c r="P4" s="936"/>
      <c r="Q4" s="200"/>
      <c r="R4" s="203"/>
      <c r="S4" s="200"/>
      <c r="T4" s="222"/>
      <c r="U4" s="2"/>
    </row>
    <row r="5" ht="12" customHeight="1">
      <c r="A5"/>
      <c r="B5" s="129"/>
      <c r="D5" s="13"/>
      <c r="E5" s="13"/>
      <c r="F5" s="2"/>
      <c r="G5" s="2"/>
      <c r="H5" s="2"/>
      <c r="I5" s="2"/>
      <c r="J5" s="2"/>
      <c r="K5" s="2"/>
      <c r="L5" s="2"/>
      <c r="M5" s="2"/>
      <c r="N5" s="9"/>
      <c r="O5" s="2"/>
      <c r="P5" s="2"/>
      <c r="Q5" s="2"/>
      <c r="R5" s="2"/>
      <c r="S5" s="2"/>
      <c r="T5" s="2"/>
      <c r="U5" s="2"/>
    </row>
    <row r="6" ht="17.1" customHeight="1">
      <c r="B6" s="699" t="s">
        <v>173</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09"/>
      <c r="D10" s="109"/>
      <c r="E10" s="109"/>
      <c r="F10" s="165"/>
      <c r="G10" s="185"/>
      <c r="H10" s="166"/>
      <c r="I10" s="176"/>
      <c r="J10" s="167"/>
      <c r="K10" s="165"/>
      <c r="L10" s="185"/>
      <c r="M10" s="168"/>
      <c r="N10" s="176"/>
      <c r="O10" s="167"/>
      <c r="P10" s="142"/>
      <c r="Q10" s="187"/>
      <c r="R10" s="168"/>
      <c r="S10" s="176"/>
      <c r="T10" s="167"/>
      <c r="U10" s="2"/>
    </row>
    <row r="11" ht="20.1" customHeight="1">
      <c r="B11" s="2"/>
      <c r="C11" s="180"/>
      <c r="D11" s="105" t="s">
        <v>42</v>
      </c>
      <c r="E11" s="180"/>
      <c r="F11" s="164"/>
      <c r="G11" s="193">
        <v>36.628511966701352757544224770</v>
      </c>
      <c r="H11" s="193">
        <v>60.348719776629240182973920280</v>
      </c>
      <c r="I11" s="193">
        <v>60.694762212509977908879451660</v>
      </c>
      <c r="J11" s="194"/>
      <c r="K11" s="194"/>
      <c r="L11" s="195">
        <v>100.05007102272727272727272727</v>
      </c>
      <c r="M11" s="195">
        <v>135.53630260373086577742776985</v>
      </c>
      <c r="N11" s="193">
        <v>73.817913799277574447201614170</v>
      </c>
      <c r="O11" s="194"/>
      <c r="P11" s="193"/>
      <c r="Q11" s="195">
        <v>36.646852237252861602497398543</v>
      </c>
      <c r="R11" s="195">
        <v>81.79442345392978078773837106</v>
      </c>
      <c r="S11" s="193">
        <v>44.803607250691515106853448280</v>
      </c>
      <c r="T11" s="141"/>
      <c r="U11" s="2"/>
    </row>
    <row r="12" ht="15" customHeight="1">
      <c r="B12" s="2"/>
      <c r="C12" s="109"/>
      <c r="D12" s="109"/>
      <c r="E12" s="109"/>
      <c r="F12" s="165"/>
      <c r="G12" s="193"/>
      <c r="H12" s="193"/>
      <c r="I12" s="193"/>
      <c r="J12" s="194"/>
      <c r="K12" s="194"/>
      <c r="L12" s="195"/>
      <c r="M12" s="195"/>
      <c r="N12" s="193"/>
      <c r="O12" s="194"/>
      <c r="P12" s="193"/>
      <c r="Q12" s="195"/>
      <c r="R12" s="195"/>
      <c r="S12" s="193"/>
      <c r="T12" s="167"/>
      <c r="U12" s="2"/>
    </row>
    <row r="13" ht="20.1" customHeight="1">
      <c r="B13" s="111"/>
      <c r="C13" s="188"/>
      <c r="D13" s="189" t="s">
        <v>58</v>
      </c>
      <c r="E13" s="188"/>
      <c r="F13" s="169"/>
      <c r="G13" s="196">
        <v>37.814465408805031446540880500</v>
      </c>
      <c r="H13" s="196">
        <v>54.713940720664373327773723900</v>
      </c>
      <c r="I13" s="196">
        <v>69.113035746845105322388054020</v>
      </c>
      <c r="J13" s="197"/>
      <c r="K13" s="197"/>
      <c r="L13" s="198">
        <v>109.59283549057742606129702904</v>
      </c>
      <c r="M13" s="198">
        <v>136.71783335582563964149909898</v>
      </c>
      <c r="N13" s="196">
        <v>80.15986854133989513365800799</v>
      </c>
      <c r="O13" s="197"/>
      <c r="P13" s="196"/>
      <c r="Q13" s="198">
        <v>41.441944867113004666260904849</v>
      </c>
      <c r="R13" s="198">
        <v>74.803714296883143959136870635</v>
      </c>
      <c r="S13" s="196">
        <v>55.400918599613486228783325160</v>
      </c>
      <c r="T13" s="170"/>
      <c r="U13" s="2"/>
    </row>
    <row r="14" ht="15" customHeight="1">
      <c r="B14" s="2"/>
      <c r="C14" s="180"/>
      <c r="D14" s="105"/>
      <c r="E14" s="105"/>
      <c r="F14" s="137"/>
      <c r="G14" s="193"/>
      <c r="H14" s="193"/>
      <c r="I14" s="193"/>
      <c r="J14" s="194"/>
      <c r="K14" s="194"/>
      <c r="L14" s="195"/>
      <c r="M14" s="195"/>
      <c r="N14" s="193"/>
      <c r="O14" s="194"/>
      <c r="P14" s="193"/>
      <c r="Q14" s="195"/>
      <c r="R14" s="195"/>
      <c r="S14" s="193"/>
      <c r="T14" s="167"/>
      <c r="U14" s="2"/>
    </row>
    <row r="15" ht="20.1" customHeight="1">
      <c r="B15" s="2"/>
      <c r="C15" s="180"/>
      <c r="D15" s="105" t="s">
        <v>44</v>
      </c>
      <c r="E15" s="180"/>
      <c r="F15" s="137"/>
      <c r="G15" s="193">
        <v>38.966806919121084618980832160</v>
      </c>
      <c r="H15" s="193">
        <v>58.301305148530707022179517970</v>
      </c>
      <c r="I15" s="193">
        <v>66.836937560605602810231283820</v>
      </c>
      <c r="J15" s="194"/>
      <c r="K15" s="194"/>
      <c r="L15" s="195">
        <v>104.66874175164967006598680264</v>
      </c>
      <c r="M15" s="195">
        <v>136.18754060085836909871244635</v>
      </c>
      <c r="N15" s="193">
        <v>76.856327157256824066306320550</v>
      </c>
      <c r="O15" s="194"/>
      <c r="P15" s="193"/>
      <c r="Q15" s="195">
        <v>40.786066503038803179055633474</v>
      </c>
      <c r="R15" s="195">
        <v>79.39911361998558731683881816</v>
      </c>
      <c r="S15" s="193">
        <v>51.368415393449833299355204410</v>
      </c>
      <c r="T15" s="141"/>
      <c r="U15" s="2"/>
    </row>
    <row r="16" ht="15" customHeight="1">
      <c r="B16" s="2"/>
      <c r="C16" s="180"/>
      <c r="D16" s="105"/>
      <c r="E16" s="180"/>
      <c r="F16" s="137"/>
      <c r="G16" s="193"/>
      <c r="H16" s="193"/>
      <c r="I16" s="193"/>
      <c r="J16" s="194"/>
      <c r="K16" s="194"/>
      <c r="L16" s="195"/>
      <c r="M16" s="195"/>
      <c r="N16" s="193"/>
      <c r="O16" s="194"/>
      <c r="P16" s="193"/>
      <c r="Q16" s="195"/>
      <c r="R16" s="195"/>
      <c r="S16" s="193"/>
      <c r="T16" s="167"/>
      <c r="U16" s="2"/>
    </row>
    <row r="17" ht="20.1" customHeight="1">
      <c r="B17" s="111"/>
      <c r="C17" s="188"/>
      <c r="D17" s="189" t="s">
        <v>45</v>
      </c>
      <c r="E17" s="188"/>
      <c r="F17" s="169"/>
      <c r="G17" s="196">
        <v>37.597584327588746501693916630</v>
      </c>
      <c r="H17" s="196">
        <v>51.837584197381366835692121400</v>
      </c>
      <c r="I17" s="196">
        <v>72.529584296242176527578639010</v>
      </c>
      <c r="J17" s="197"/>
      <c r="K17" s="197"/>
      <c r="L17" s="198">
        <v>111.29881919686581782566111655</v>
      </c>
      <c r="M17" s="198">
        <v>138.06757274466003825208415459</v>
      </c>
      <c r="N17" s="196">
        <v>80.61184605792111722825295758</v>
      </c>
      <c r="O17" s="197"/>
      <c r="P17" s="196"/>
      <c r="Q17" s="198">
        <v>41.84566740315215790248932096</v>
      </c>
      <c r="R17" s="198">
        <v>71.570894270793915083629758571</v>
      </c>
      <c r="S17" s="196">
        <v>58.467436839369840680592577760</v>
      </c>
      <c r="T17" s="170"/>
      <c r="U17" s="2"/>
    </row>
    <row r="18" ht="15" customHeight="1">
      <c r="B18" s="2"/>
      <c r="C18" s="105"/>
      <c r="D18" s="105"/>
      <c r="E18" s="105"/>
      <c r="F18" s="137"/>
      <c r="G18" s="191"/>
      <c r="H18" s="192"/>
      <c r="I18" s="187"/>
      <c r="J18" s="141"/>
      <c r="K18" s="137"/>
      <c r="L18" s="191"/>
      <c r="M18" s="192"/>
      <c r="N18" s="187"/>
      <c r="O18" s="141"/>
      <c r="P18" s="190"/>
      <c r="Q18" s="141"/>
      <c r="R18" s="192"/>
      <c r="S18" s="187"/>
      <c r="T18" s="141"/>
      <c r="U18" s="2"/>
    </row>
    <row r="19" ht="15" customHeight="1">
      <c r="B19" s="2"/>
      <c r="C19" s="105"/>
      <c r="D19" s="105"/>
      <c r="E19" s="105"/>
      <c r="F19" s="137"/>
      <c r="G19" s="138"/>
      <c r="H19" s="139"/>
      <c r="I19" s="140"/>
      <c r="J19" s="141"/>
      <c r="K19" s="137"/>
      <c r="L19" s="138"/>
      <c r="M19" s="139"/>
      <c r="N19" s="140"/>
      <c r="O19" s="141"/>
      <c r="P19" s="142"/>
      <c r="Q19" s="141"/>
      <c r="R19" s="157"/>
      <c r="S19" s="140"/>
      <c r="T19" s="141"/>
      <c r="U19" s="2"/>
    </row>
    <row r="20" ht="17.1" customHeight="1">
      <c r="B20" s="699" t="s">
        <v>174</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09"/>
      <c r="D24" s="109"/>
      <c r="E24" s="109"/>
      <c r="F24" s="165"/>
      <c r="G24" s="185"/>
      <c r="H24" s="166"/>
      <c r="I24" s="176"/>
      <c r="J24" s="167"/>
      <c r="K24" s="165"/>
      <c r="L24" s="185"/>
      <c r="M24" s="168"/>
      <c r="N24" s="176"/>
      <c r="O24" s="167"/>
      <c r="P24" s="142"/>
      <c r="Q24" s="187"/>
      <c r="R24" s="168"/>
      <c r="S24" s="176"/>
      <c r="T24" s="167"/>
      <c r="U24" s="2"/>
    </row>
    <row r="25" ht="20.1" customHeight="1">
      <c r="B25" s="2"/>
      <c r="C25" s="180"/>
      <c r="D25" s="105" t="s">
        <v>42</v>
      </c>
      <c r="E25" s="180"/>
      <c r="F25" s="164"/>
      <c r="G25" s="193">
        <v>0.715307582314836031854241800</v>
      </c>
      <c r="H25" s="193">
        <v>10.071513706843655751142551370</v>
      </c>
      <c r="I25" s="193">
        <v>-8.500115796966447314672460080</v>
      </c>
      <c r="J25" s="193"/>
      <c r="K25" s="193"/>
      <c r="L25" s="193">
        <v>-8.529906613914481894155664330</v>
      </c>
      <c r="M25" s="193">
        <v>-1.6640893031228163886367081200</v>
      </c>
      <c r="N25" s="193">
        <v>-6.982004094104212576672431800</v>
      </c>
      <c r="O25" s="193"/>
      <c r="P25" s="193"/>
      <c r="Q25" s="193">
        <v>-7.8756141005612533055346106500</v>
      </c>
      <c r="R25" s="193">
        <v>8.239825421371578299062388420</v>
      </c>
      <c r="S25" s="193">
        <v>-14.888641458014113830994928250</v>
      </c>
      <c r="T25" s="141"/>
      <c r="U25" s="2"/>
    </row>
    <row r="26" ht="15" customHeight="1">
      <c r="B26" s="2"/>
      <c r="C26" s="109"/>
      <c r="D26" s="109"/>
      <c r="E26" s="109"/>
      <c r="F26" s="165"/>
      <c r="G26" s="193"/>
      <c r="H26" s="193"/>
      <c r="I26" s="193"/>
      <c r="J26" s="193"/>
      <c r="K26" s="193"/>
      <c r="L26" s="193"/>
      <c r="M26" s="193"/>
      <c r="N26" s="193"/>
      <c r="O26" s="193"/>
      <c r="P26" s="193"/>
      <c r="Q26" s="193"/>
      <c r="R26" s="193"/>
      <c r="S26" s="193"/>
      <c r="T26" s="167"/>
      <c r="U26" s="2"/>
    </row>
    <row r="27" ht="20.1" customHeight="1">
      <c r="B27" s="111"/>
      <c r="C27" s="188"/>
      <c r="D27" s="189" t="s">
        <v>58</v>
      </c>
      <c r="E27" s="188"/>
      <c r="F27" s="169"/>
      <c r="G27" s="196">
        <v>-4.1746520043237939421725457700</v>
      </c>
      <c r="H27" s="196">
        <v>-1.3497135628698196454570720100</v>
      </c>
      <c r="I27" s="196">
        <v>-2.8635886863445397079546774500</v>
      </c>
      <c r="J27" s="196"/>
      <c r="K27" s="196"/>
      <c r="L27" s="196">
        <v>-3.7718596933880986498788632900</v>
      </c>
      <c r="M27" s="196">
        <v>-2.1885430217990257651997829600</v>
      </c>
      <c r="N27" s="196">
        <v>-1.6187435710697076083564409800</v>
      </c>
      <c r="O27" s="196"/>
      <c r="P27" s="196"/>
      <c r="Q27" s="196">
        <v>-7.7890496812530912538332488500</v>
      </c>
      <c r="R27" s="196">
        <v>-3.5087175227147224561764394800</v>
      </c>
      <c r="S27" s="196">
        <v>-4.4359780995828156042162332900</v>
      </c>
      <c r="T27" s="170"/>
      <c r="U27" s="2"/>
    </row>
    <row r="28" ht="15" customHeight="1">
      <c r="B28" s="2"/>
      <c r="C28" s="180"/>
      <c r="D28" s="105"/>
      <c r="E28" s="105"/>
      <c r="F28" s="137"/>
      <c r="G28" s="193"/>
      <c r="H28" s="193"/>
      <c r="I28" s="193"/>
      <c r="J28" s="193"/>
      <c r="K28" s="193"/>
      <c r="L28" s="193"/>
      <c r="M28" s="193"/>
      <c r="N28" s="193"/>
      <c r="O28" s="193"/>
      <c r="P28" s="193"/>
      <c r="Q28" s="193"/>
      <c r="R28" s="193"/>
      <c r="S28" s="193"/>
      <c r="T28" s="167"/>
      <c r="U28" s="2"/>
    </row>
    <row r="29" ht="20.1" customHeight="1">
      <c r="B29" s="2"/>
      <c r="C29" s="180"/>
      <c r="D29" s="105" t="s">
        <v>44</v>
      </c>
      <c r="E29" s="180"/>
      <c r="F29" s="137"/>
      <c r="G29" s="193">
        <v>6.9103735769386299992682231400</v>
      </c>
      <c r="H29" s="193">
        <v>6.2452121257300343320982425200</v>
      </c>
      <c r="I29" s="193">
        <v>0.6260625190252323921391351700</v>
      </c>
      <c r="J29" s="193"/>
      <c r="K29" s="193"/>
      <c r="L29" s="193">
        <v>-6.7459155338599266293568705100</v>
      </c>
      <c r="M29" s="193">
        <v>-2.1493315083417292167085638200</v>
      </c>
      <c r="N29" s="193">
        <v>-4.697549946750148783922903500</v>
      </c>
      <c r="O29" s="193"/>
      <c r="P29" s="193"/>
      <c r="Q29" s="193">
        <v>-0.3017099214967824798778320700</v>
      </c>
      <c r="R29" s="193">
        <v>3.9616503052266276269845903400</v>
      </c>
      <c r="S29" s="193">
        <v>-4.1008970271687610235786950500</v>
      </c>
      <c r="T29" s="141"/>
      <c r="U29" s="2"/>
    </row>
    <row r="30" ht="15" customHeight="1">
      <c r="B30" s="2"/>
      <c r="C30" s="180"/>
      <c r="D30" s="105"/>
      <c r="E30" s="180"/>
      <c r="F30" s="137"/>
      <c r="G30" s="193"/>
      <c r="H30" s="193"/>
      <c r="I30" s="193"/>
      <c r="J30" s="193"/>
      <c r="K30" s="193"/>
      <c r="L30" s="193"/>
      <c r="M30" s="193"/>
      <c r="N30" s="193"/>
      <c r="O30" s="193"/>
      <c r="P30" s="193"/>
      <c r="Q30" s="193"/>
      <c r="R30" s="193"/>
      <c r="S30" s="193"/>
      <c r="T30" s="167"/>
      <c r="U30" s="2"/>
    </row>
    <row r="31" ht="20.1" customHeight="1">
      <c r="B31" s="111"/>
      <c r="C31" s="188"/>
      <c r="D31" s="189" t="s">
        <v>45</v>
      </c>
      <c r="E31" s="188"/>
      <c r="F31" s="169"/>
      <c r="G31" s="196">
        <v>-10.893568072588387225076172780</v>
      </c>
      <c r="H31" s="196">
        <v>-1.4482037081774827262464158100</v>
      </c>
      <c r="I31" s="196">
        <v>-9.584162562007517820215616240</v>
      </c>
      <c r="J31" s="196"/>
      <c r="K31" s="196"/>
      <c r="L31" s="196">
        <v>-0.8974768760257894411293763900</v>
      </c>
      <c r="M31" s="196">
        <v>-0.3535988727930909237329404500</v>
      </c>
      <c r="N31" s="196">
        <v>-0.5458079740923151527261015100</v>
      </c>
      <c r="O31" s="196"/>
      <c r="P31" s="196"/>
      <c r="Q31" s="196">
        <v>-11.693277694140127458886322990</v>
      </c>
      <c r="R31" s="196">
        <v>-1.7966817489163198222040656100</v>
      </c>
      <c r="S31" s="196">
        <v>-10.077659412626214859651663210</v>
      </c>
      <c r="T31" s="170"/>
      <c r="U31" s="2"/>
    </row>
    <row r="32" ht="15" customHeight="1">
      <c r="B32" s="2"/>
      <c r="C32" s="105"/>
      <c r="D32" s="105"/>
      <c r="E32" s="105"/>
      <c r="F32" s="137"/>
      <c r="G32" s="191"/>
      <c r="H32" s="192"/>
      <c r="I32" s="187"/>
      <c r="J32" s="141"/>
      <c r="K32" s="137"/>
      <c r="L32" s="191"/>
      <c r="M32" s="192"/>
      <c r="N32" s="187"/>
      <c r="O32" s="141"/>
      <c r="P32" s="190"/>
      <c r="Q32" s="141"/>
      <c r="R32" s="192"/>
      <c r="S32" s="187"/>
      <c r="T32" s="141"/>
      <c r="U32" s="2"/>
    </row>
    <row r="33" ht="15" customHeight="1">
      <c r="B33" s="2"/>
      <c r="C33" s="105"/>
      <c r="D33" s="34"/>
      <c r="E33" s="34"/>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170</v>
      </c>
      <c r="C2" s="948"/>
      <c r="D2" s="948"/>
      <c r="E2" s="948"/>
      <c r="F2" s="948"/>
      <c r="G2" s="948"/>
      <c r="H2" s="948"/>
      <c r="I2" s="948"/>
      <c r="J2" s="948"/>
      <c r="K2" s="948"/>
      <c r="L2" s="948"/>
      <c r="M2" s="948"/>
      <c r="N2" s="948"/>
      <c r="O2" s="948"/>
      <c r="P2" s="948"/>
      <c r="Q2" s="948"/>
      <c r="R2" s="948"/>
      <c r="S2" s="948"/>
      <c r="T2" s="948"/>
      <c r="U2" s="2"/>
    </row>
    <row r="3" ht="18" customHeight="1">
      <c r="B3" s="947" t="s">
        <v>171</v>
      </c>
      <c r="C3" s="947"/>
      <c r="D3" s="947"/>
      <c r="E3" s="947"/>
      <c r="F3" s="947"/>
      <c r="G3" s="947"/>
      <c r="H3" s="947"/>
      <c r="I3" s="947"/>
      <c r="J3" s="947"/>
      <c r="K3" s="947"/>
      <c r="L3" s="947"/>
      <c r="M3" s="947"/>
      <c r="N3" s="947"/>
      <c r="O3" s="947"/>
      <c r="P3" s="947"/>
      <c r="Q3" s="947"/>
      <c r="R3" s="947"/>
      <c r="S3" s="947"/>
      <c r="T3" s="947"/>
      <c r="U3" s="2"/>
    </row>
    <row r="4" ht="18" customHeight="1">
      <c r="B4" s="947" t="s">
        <v>172</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237"/>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237"/>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237"/>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175</v>
      </c>
      <c r="C8" s="347"/>
      <c r="D8" s="345"/>
      <c r="E8" s="238">
        <v>36.628511966701352757544224770</v>
      </c>
      <c r="F8" s="239">
        <v>0.715307582314836031854241800</v>
      </c>
      <c r="G8" s="238">
        <v>37.814465408805031446540880500</v>
      </c>
      <c r="H8" s="239">
        <v>-4.1746520043237939421725457700</v>
      </c>
      <c r="I8" s="238">
        <v>38.966806919121084618980832160</v>
      </c>
      <c r="J8" s="239">
        <v>6.9103735769386299992682231400</v>
      </c>
      <c r="K8" s="238">
        <v>37.597584327588746501693916630</v>
      </c>
      <c r="L8" s="239">
        <v>-10.893568072588387225076172780</v>
      </c>
      <c r="M8" s="540"/>
      <c r="N8" s="536">
        <v>0</v>
      </c>
      <c r="O8" s="178"/>
      <c r="P8" s="178">
        <v>-0.4694835680751173708920187800</v>
      </c>
      <c r="Q8" s="178"/>
      <c r="R8" s="178">
        <v>0</v>
      </c>
      <c r="S8" s="178"/>
      <c r="T8" s="249">
        <v>-0.2732240437158469945355191300</v>
      </c>
    </row>
    <row r="9" ht="20.1" customHeight="1">
      <c r="B9" s="708" t="s">
        <v>176</v>
      </c>
      <c r="C9" s="950"/>
      <c r="D9" s="345"/>
      <c r="E9" s="240">
        <v>65.780916291476636933891565460</v>
      </c>
      <c r="F9" s="241">
        <v>12.158294596209938323189018600</v>
      </c>
      <c r="G9" s="240">
        <v>61.882750690997074936126680800</v>
      </c>
      <c r="H9" s="241">
        <v>9.225169203719666586364965520</v>
      </c>
      <c r="I9" s="240">
        <v>65.106479191411761337326117890</v>
      </c>
      <c r="J9" s="241">
        <v>9.278995801809582113958958780</v>
      </c>
      <c r="K9" s="240">
        <v>59.182344212913567135959187930</v>
      </c>
      <c r="L9" s="241">
        <v>8.980984297221307084816490980</v>
      </c>
      <c r="M9" s="540"/>
      <c r="N9" s="121">
        <v>0.2087493192956979488110364900</v>
      </c>
      <c r="O9" s="179"/>
      <c r="P9" s="179">
        <v>-1.1282346687449305257005139900</v>
      </c>
      <c r="Q9" s="179"/>
      <c r="R9" s="179">
        <v>-0.5328734607214513485351872300</v>
      </c>
      <c r="S9" s="179"/>
      <c r="T9" s="248">
        <v>-0.7496881019705848020327920200</v>
      </c>
    </row>
    <row r="10" ht="20.1" customHeight="1">
      <c r="B10" s="706" t="s">
        <v>177</v>
      </c>
      <c r="C10" s="949"/>
      <c r="D10" s="345"/>
      <c r="E10" s="242">
        <v>72.736449418477068246653500110</v>
      </c>
      <c r="F10" s="243">
        <v>10.278363091919057484962820640</v>
      </c>
      <c r="G10" s="242">
        <v>68.278141445257348222307791040</v>
      </c>
      <c r="H10" s="243">
        <v>5.3282380778362370224838829300</v>
      </c>
      <c r="I10" s="242">
        <v>72.795031055900621118012422360</v>
      </c>
      <c r="J10" s="243">
        <v>7.5237186815643278621171955900</v>
      </c>
      <c r="K10" s="242">
        <v>65.868711543393867859926442210</v>
      </c>
      <c r="L10" s="243">
        <v>2.6571840139201906412045071300</v>
      </c>
      <c r="M10" s="540"/>
      <c r="N10" s="536">
        <v>0</v>
      </c>
      <c r="O10" s="178"/>
      <c r="P10" s="178">
        <v>0</v>
      </c>
      <c r="Q10" s="178"/>
      <c r="R10" s="178">
        <v>0</v>
      </c>
      <c r="S10" s="178"/>
      <c r="T10" s="249">
        <v>-0.2046407604137545429130556300</v>
      </c>
    </row>
    <row r="11" ht="20.1" customHeight="1">
      <c r="B11" s="708" t="s">
        <v>178</v>
      </c>
      <c r="C11" s="950"/>
      <c r="D11" s="345"/>
      <c r="E11" s="240">
        <v>61.064384194208061217758427340</v>
      </c>
      <c r="F11" s="241">
        <v>8.774617690892758190065722260</v>
      </c>
      <c r="G11" s="240">
        <v>58.106771280264491498256260140</v>
      </c>
      <c r="H11" s="241">
        <v>5.0701383293075879923653951200</v>
      </c>
      <c r="I11" s="240">
        <v>61.145329486637450154681129650</v>
      </c>
      <c r="J11" s="241">
        <v>5.2564029713033157319664826800</v>
      </c>
      <c r="K11" s="240">
        <v>55.531151130800424737714074470</v>
      </c>
      <c r="L11" s="241">
        <v>4.5240716817564093286948622600</v>
      </c>
      <c r="M11" s="540"/>
      <c r="N11" s="121">
        <v>3.2008441786844882166725290200</v>
      </c>
      <c r="O11" s="179"/>
      <c r="P11" s="179">
        <v>0.0232390733844592947791437800</v>
      </c>
      <c r="Q11" s="179"/>
      <c r="R11" s="179">
        <v>1.535962359277519010418144100</v>
      </c>
      <c r="S11" s="179"/>
      <c r="T11" s="248">
        <v>-0.8139481519569690651935895700</v>
      </c>
    </row>
    <row r="12" ht="20.1" customHeight="1">
      <c r="B12" s="706" t="s">
        <v>179</v>
      </c>
      <c r="C12" s="949"/>
      <c r="D12" s="345"/>
      <c r="E12" s="242">
        <v>67.116824910066639146075367110</v>
      </c>
      <c r="F12" s="243">
        <v>8.261593341201168068023915430</v>
      </c>
      <c r="G12" s="242">
        <v>63.982356593425545859059708190</v>
      </c>
      <c r="H12" s="243">
        <v>-0.743787833155053851264117400</v>
      </c>
      <c r="I12" s="242">
        <v>67.229353787457276846037675860</v>
      </c>
      <c r="J12" s="243">
        <v>2.1096473358116665678568744600</v>
      </c>
      <c r="K12" s="242">
        <v>62.373919625411466492985266420</v>
      </c>
      <c r="L12" s="243">
        <v>-1.1473041101164503001407496400</v>
      </c>
      <c r="M12" s="540"/>
      <c r="N12" s="536">
        <v>0</v>
      </c>
      <c r="O12" s="178"/>
      <c r="P12" s="178">
        <v>0</v>
      </c>
      <c r="Q12" s="178"/>
      <c r="R12" s="178">
        <v>0</v>
      </c>
      <c r="S12" s="178"/>
      <c r="T12" s="249">
        <v>-0.4124614960807392752498059200</v>
      </c>
    </row>
    <row r="13" ht="20.1" customHeight="1">
      <c r="B13" s="734" t="s">
        <v>74</v>
      </c>
      <c r="C13" s="946"/>
      <c r="D13" s="345"/>
      <c r="E13" s="244">
        <v>60.348719776629240182973920280</v>
      </c>
      <c r="F13" s="245">
        <v>10.071513706843655751142551370</v>
      </c>
      <c r="G13" s="244">
        <v>54.713940720664373327773723900</v>
      </c>
      <c r="H13" s="245">
        <v>-1.3497135628698196454570720100</v>
      </c>
      <c r="I13" s="244">
        <v>58.301305148530707022179517970</v>
      </c>
      <c r="J13" s="245">
        <v>6.2452121257300343320982425200</v>
      </c>
      <c r="K13" s="244">
        <v>51.837584197381366835692121400</v>
      </c>
      <c r="L13" s="245">
        <v>-1.4482037081774827262464158100</v>
      </c>
      <c r="M13" s="540"/>
      <c r="N13" s="333">
        <v>0</v>
      </c>
      <c r="O13" s="250"/>
      <c r="P13" s="250">
        <v>0</v>
      </c>
      <c r="Q13" s="250"/>
      <c r="R13" s="250">
        <v>0</v>
      </c>
      <c r="S13" s="250"/>
      <c r="T13" s="251">
        <v>0</v>
      </c>
    </row>
    <row r="14" ht="9.95" customHeight="1">
      <c r="B14" s="54"/>
      <c r="C14" s="54"/>
      <c r="D14" s="54"/>
      <c r="E14" s="535"/>
      <c r="F14" s="535"/>
      <c r="G14" s="535"/>
      <c r="H14" s="535"/>
      <c r="I14" s="535"/>
      <c r="J14" s="535"/>
      <c r="K14" s="535"/>
      <c r="L14" s="535"/>
      <c r="M14" s="156"/>
      <c r="N14" s="156"/>
      <c r="O14" s="156"/>
      <c r="P14" s="156"/>
      <c r="Q14" s="156"/>
      <c r="R14" s="156"/>
      <c r="S14" s="156"/>
      <c r="T14" s="156"/>
    </row>
    <row r="15" ht="21" customHeight="1">
      <c r="B15" s="4"/>
      <c r="C15" s="4"/>
      <c r="D15" s="54"/>
      <c r="E15" s="719" t="s">
        <v>90</v>
      </c>
      <c r="F15" s="719"/>
      <c r="G15" s="719"/>
      <c r="H15" s="719"/>
      <c r="I15" s="719"/>
      <c r="J15" s="719"/>
      <c r="K15" s="719"/>
      <c r="L15" s="942"/>
      <c r="M15" s="537"/>
      <c r="N15" s="719" t="s">
        <v>29</v>
      </c>
      <c r="O15" s="719"/>
      <c r="P15" s="719"/>
      <c r="Q15" s="719"/>
      <c r="R15" s="719"/>
      <c r="S15" s="719"/>
      <c r="T15" s="942"/>
    </row>
    <row r="16" ht="22.5" customHeight="1">
      <c r="B16" s="4"/>
      <c r="C16" s="4"/>
      <c r="D16" s="5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54"/>
      <c r="E17" s="940"/>
      <c r="F17" s="939"/>
      <c r="G17" s="940"/>
      <c r="H17" s="939"/>
      <c r="I17" s="940"/>
      <c r="J17" s="939"/>
      <c r="K17" s="940"/>
      <c r="L17" s="939"/>
      <c r="M17" s="539"/>
      <c r="N17" s="944"/>
      <c r="O17" s="845"/>
      <c r="P17" s="944"/>
      <c r="Q17" s="845"/>
      <c r="R17" s="944"/>
      <c r="S17" s="845"/>
      <c r="T17" s="944"/>
    </row>
    <row r="18" ht="20.1" customHeight="1">
      <c r="B18" s="736" t="s">
        <v>175</v>
      </c>
      <c r="C18" s="348"/>
      <c r="D18" s="345"/>
      <c r="E18" s="253">
        <v>100.05007102272727272727272727</v>
      </c>
      <c r="F18" s="239">
        <v>-8.529906613914481894155664330</v>
      </c>
      <c r="G18" s="253">
        <v>109.59283549057742606129702904</v>
      </c>
      <c r="H18" s="239">
        <v>-3.7718596933880986498788632900</v>
      </c>
      <c r="I18" s="253">
        <v>104.66874175164967006598680264</v>
      </c>
      <c r="J18" s="239">
        <v>-6.7459155338599266293568705100</v>
      </c>
      <c r="K18" s="253">
        <v>111.29881919686581782566111655</v>
      </c>
      <c r="L18" s="239">
        <v>-0.8974768760257894411293763900</v>
      </c>
      <c r="M18" s="540"/>
      <c r="N18" s="238">
        <v>0.7153075822603719599427753900</v>
      </c>
      <c r="O18" s="246"/>
      <c r="P18" s="246">
        <v>-4.6245362671101445567353204600</v>
      </c>
      <c r="Q18" s="246"/>
      <c r="R18" s="246">
        <v>6.9103735770402437069103735800</v>
      </c>
      <c r="S18" s="246"/>
      <c r="T18" s="247">
        <v>-11.137028269043308731374460380</v>
      </c>
    </row>
    <row r="19" ht="20.1" customHeight="1">
      <c r="B19" s="730" t="s">
        <v>176</v>
      </c>
      <c r="C19" s="941"/>
      <c r="D19" s="345"/>
      <c r="E19" s="254">
        <v>101.41079018783116958103300481</v>
      </c>
      <c r="F19" s="241">
        <v>3.1767712290984058552602192900</v>
      </c>
      <c r="G19" s="254">
        <v>99.8575865988616398091010665</v>
      </c>
      <c r="H19" s="241">
        <v>0.5341927948368006976322210200</v>
      </c>
      <c r="I19" s="254">
        <v>101.68671066519465709051645699</v>
      </c>
      <c r="J19" s="241">
        <v>1.3752358600495671255001656800</v>
      </c>
      <c r="K19" s="254">
        <v>98.77370443430301175395309739</v>
      </c>
      <c r="L19" s="241">
        <v>0.4493896746034375722735569200</v>
      </c>
      <c r="M19" s="540"/>
      <c r="N19" s="240">
        <v>12.392424272678261216828737450</v>
      </c>
      <c r="O19" s="179"/>
      <c r="P19" s="179">
        <v>7.992852977676769187063590560</v>
      </c>
      <c r="Q19" s="179"/>
      <c r="R19" s="179">
        <v>8.696677034963743927787860360</v>
      </c>
      <c r="S19" s="179"/>
      <c r="T19" s="248">
        <v>8.163966824616609731222073630</v>
      </c>
    </row>
    <row r="20" ht="20.1" customHeight="1">
      <c r="B20" s="532" t="s">
        <v>177</v>
      </c>
      <c r="C20" s="345"/>
      <c r="D20" s="345"/>
      <c r="E20" s="255">
        <v>129.7553249260845954262957823</v>
      </c>
      <c r="F20" s="243">
        <v>3.7097997165168102496890089400</v>
      </c>
      <c r="G20" s="255">
        <v>129.10600207411027875164879235</v>
      </c>
      <c r="H20" s="243">
        <v>1.1930321816560882242547725900</v>
      </c>
      <c r="I20" s="255">
        <v>129.71151606262527764234248876</v>
      </c>
      <c r="J20" s="243">
        <v>1.1444058235816400727769097300</v>
      </c>
      <c r="K20" s="255">
        <v>128.2231992484542844343465465</v>
      </c>
      <c r="L20" s="243">
        <v>2.3702688504655661161975129700</v>
      </c>
      <c r="M20" s="540"/>
      <c r="N20" s="242">
        <v>10.278363091937451480536763890</v>
      </c>
      <c r="O20" s="178"/>
      <c r="P20" s="178">
        <v>5.3282380777950479660228296500</v>
      </c>
      <c r="Q20" s="178"/>
      <c r="R20" s="178">
        <v>7.5237186815107143637277102600</v>
      </c>
      <c r="S20" s="178"/>
      <c r="T20" s="249">
        <v>2.4471055719724402892297920600</v>
      </c>
    </row>
    <row r="21" ht="20.1" customHeight="1">
      <c r="B21" s="730" t="s">
        <v>178</v>
      </c>
      <c r="C21" s="941"/>
      <c r="D21" s="345"/>
      <c r="E21" s="254">
        <v>100.94688560599922579018914126</v>
      </c>
      <c r="F21" s="241">
        <v>1.8128187906588122869023243600</v>
      </c>
      <c r="G21" s="254">
        <v>100.00950292499501935832617003</v>
      </c>
      <c r="H21" s="241">
        <v>0.2036061117177703205024927700</v>
      </c>
      <c r="I21" s="254">
        <v>101.48700867509808221848575676</v>
      </c>
      <c r="J21" s="241">
        <v>0.6088823054408052627790154500</v>
      </c>
      <c r="K21" s="254">
        <v>99.05800841214225651847499951</v>
      </c>
      <c r="L21" s="241">
        <v>0.472045981366516239888955400</v>
      </c>
      <c r="M21" s="540"/>
      <c r="N21" s="240">
        <v>12.256323709235697755500085900</v>
      </c>
      <c r="O21" s="179"/>
      <c r="P21" s="179">
        <v>5.0945556557693884483384676700</v>
      </c>
      <c r="Q21" s="179"/>
      <c r="R21" s="179">
        <v>6.8731017015915594287444292200</v>
      </c>
      <c r="S21" s="179"/>
      <c r="T21" s="248">
        <v>3.6732999319514422415829575400</v>
      </c>
    </row>
    <row r="22" ht="20.1" customHeight="1">
      <c r="B22" s="532" t="s">
        <v>179</v>
      </c>
      <c r="C22" s="345"/>
      <c r="D22" s="345"/>
      <c r="E22" s="255">
        <v>150.36468675863280906774448642</v>
      </c>
      <c r="F22" s="243">
        <v>4.3022041479610555693195367900</v>
      </c>
      <c r="G22" s="255">
        <v>149.71333553469503278456530968</v>
      </c>
      <c r="H22" s="243">
        <v>2.032747683219294530210269700</v>
      </c>
      <c r="I22" s="255">
        <v>150.72103746397694524495677233</v>
      </c>
      <c r="J22" s="243">
        <v>2.5181944095693961977511491200</v>
      </c>
      <c r="K22" s="255">
        <v>148.03681693933993984792652739</v>
      </c>
      <c r="L22" s="243">
        <v>2.5213818415235049636399092200</v>
      </c>
      <c r="M22" s="540"/>
      <c r="N22" s="242">
        <v>8.261593341260404280618311530</v>
      </c>
      <c r="O22" s="178"/>
      <c r="P22" s="178">
        <v>-0.7437878331828366944249356200</v>
      </c>
      <c r="Q22" s="178"/>
      <c r="R22" s="178">
        <v>2.1096473357779890443207026100</v>
      </c>
      <c r="S22" s="178"/>
      <c r="T22" s="249">
        <v>-1.5550334185333947197129657600</v>
      </c>
    </row>
    <row r="23" ht="20.1" customHeight="1">
      <c r="B23" s="726" t="s">
        <v>74</v>
      </c>
      <c r="C23" s="349"/>
      <c r="D23" s="345"/>
      <c r="E23" s="256">
        <v>135.53630260373086577742776985</v>
      </c>
      <c r="F23" s="245">
        <v>-1.6640893031228163886367081200</v>
      </c>
      <c r="G23" s="256">
        <v>136.71783335582563964149909898</v>
      </c>
      <c r="H23" s="245">
        <v>-2.1885430217990257651997829600</v>
      </c>
      <c r="I23" s="256">
        <v>136.18754060085836909871244635</v>
      </c>
      <c r="J23" s="245">
        <v>-2.1493315083417292167085638200</v>
      </c>
      <c r="K23" s="256">
        <v>138.06757274466003825208415459</v>
      </c>
      <c r="L23" s="245">
        <v>-0.3535988727930909237329404500</v>
      </c>
      <c r="M23" s="540"/>
      <c r="N23" s="244">
        <v>10.071513706793802145411203820</v>
      </c>
      <c r="O23" s="250"/>
      <c r="P23" s="250">
        <v>-1.3497135629186795202174651100</v>
      </c>
      <c r="Q23" s="250"/>
      <c r="R23" s="250">
        <v>6.2452121256338233684748112200</v>
      </c>
      <c r="S23" s="250"/>
      <c r="T23" s="251">
        <v>-1.448203708089503928506035200</v>
      </c>
    </row>
    <row r="24" ht="9.95" customHeight="1">
      <c r="B24" s="54"/>
      <c r="C24" s="54"/>
      <c r="D24" s="54"/>
      <c r="E24" s="535"/>
      <c r="F24" s="535"/>
      <c r="G24" s="535"/>
      <c r="H24" s="535"/>
      <c r="I24" s="535"/>
      <c r="J24" s="535"/>
      <c r="K24" s="535"/>
      <c r="L24" s="535"/>
      <c r="M24" s="156"/>
      <c r="N24" s="156"/>
      <c r="O24" s="156"/>
      <c r="P24" s="156"/>
      <c r="Q24" s="156"/>
      <c r="R24" s="156"/>
      <c r="S24" s="156"/>
      <c r="T24" s="156"/>
    </row>
    <row r="25" s="122" customFormat="1" ht="21" customHeight="1">
      <c r="B25" s="163"/>
      <c r="C25" s="163"/>
      <c r="D25" s="237"/>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237"/>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237"/>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175</v>
      </c>
      <c r="C28" s="348"/>
      <c r="D28" s="345"/>
      <c r="E28" s="253">
        <v>36.646852237252861602497398543</v>
      </c>
      <c r="F28" s="239">
        <v>-7.8756141005612533055346106500</v>
      </c>
      <c r="G28" s="253">
        <v>41.441944867113004666260904849</v>
      </c>
      <c r="H28" s="239">
        <v>-7.7890496812530912538332488500</v>
      </c>
      <c r="I28" s="253">
        <v>40.786066503038803179055633474</v>
      </c>
      <c r="J28" s="239">
        <v>-0.3017099214967824798778320700</v>
      </c>
      <c r="K28" s="253">
        <v>41.84566740315215790248932096</v>
      </c>
      <c r="L28" s="239">
        <v>-11.693277694140127458886322990</v>
      </c>
      <c r="M28" s="540"/>
      <c r="N28" s="238">
        <v>-7.8756141004459823765134114100</v>
      </c>
      <c r="O28" s="246"/>
      <c r="P28" s="246">
        <v>-8.221964941049526489704811080</v>
      </c>
      <c r="Q28" s="246"/>
      <c r="R28" s="246">
        <v>-0.3017099214452843750644156600</v>
      </c>
      <c r="S28" s="246"/>
      <c r="T28" s="247">
        <v>-11.934552891671765865402269970</v>
      </c>
    </row>
    <row r="29" ht="20.1" customHeight="1">
      <c r="B29" s="730" t="s">
        <v>176</v>
      </c>
      <c r="C29" s="941"/>
      <c r="D29" s="345"/>
      <c r="E29" s="254">
        <v>66.708947003982224611492063307</v>
      </c>
      <c r="F29" s="241">
        <v>15.721307029922301883277489130</v>
      </c>
      <c r="G29" s="254">
        <v>61.794621361020053908910049574</v>
      </c>
      <c r="H29" s="241">
        <v>9.808642187613065021785460190</v>
      </c>
      <c r="I29" s="254">
        <v>66.204637119666043657998848767</v>
      </c>
      <c r="J29" s="241">
        <v>10.781839739438628520302467630</v>
      </c>
      <c r="K29" s="254">
        <v>58.456593750155079921988596043</v>
      </c>
      <c r="L29" s="241">
        <v>9.470733588011700502669750020</v>
      </c>
      <c r="M29" s="540"/>
      <c r="N29" s="240">
        <v>15.962874470708382792798850800</v>
      </c>
      <c r="O29" s="179"/>
      <c r="P29" s="179">
        <v>8.569743017191695184966191210</v>
      </c>
      <c r="Q29" s="179"/>
      <c r="R29" s="179">
        <v>10.191512716201471781702832090</v>
      </c>
      <c r="S29" s="179"/>
      <c r="T29" s="248">
        <v>8.650044523162197255214140930</v>
      </c>
    </row>
    <row r="30" ht="20.1" customHeight="1">
      <c r="B30" s="532" t="s">
        <v>177</v>
      </c>
      <c r="C30" s="345"/>
      <c r="D30" s="345"/>
      <c r="E30" s="255">
        <v>94.37941628264208909370199693</v>
      </c>
      <c r="F30" s="243">
        <v>14.369469493281564479372487520</v>
      </c>
      <c r="G30" s="255">
        <v>88.15117871047790185256492534</v>
      </c>
      <c r="H30" s="243">
        <v>6.5848378544353838897552113400</v>
      </c>
      <c r="I30" s="255">
        <v>94.42353840086759341417726511</v>
      </c>
      <c r="J30" s="243">
        <v>8.754226379777743615322808540</v>
      </c>
      <c r="K30" s="255">
        <v>84.45896924467552647109358075</v>
      </c>
      <c r="L30" s="243">
        <v>5.0904352693685576877003397200</v>
      </c>
      <c r="M30" s="540"/>
      <c r="N30" s="242">
        <v>14.369469493284413194113273430</v>
      </c>
      <c r="O30" s="178"/>
      <c r="P30" s="178">
        <v>6.5848378543932311541429916500</v>
      </c>
      <c r="Q30" s="178"/>
      <c r="R30" s="178">
        <v>8.754226379809283963497863810</v>
      </c>
      <c r="S30" s="178"/>
      <c r="T30" s="249">
        <v>4.8753774035440104053533211400</v>
      </c>
    </row>
    <row r="31" ht="20.1" customHeight="1">
      <c r="B31" s="730" t="s">
        <v>178</v>
      </c>
      <c r="C31" s="941"/>
      <c r="D31" s="345"/>
      <c r="E31" s="254">
        <v>61.642594058535083668667678167</v>
      </c>
      <c r="F31" s="241">
        <v>10.746504399991283127630004650</v>
      </c>
      <c r="G31" s="254">
        <v>58.112293123156282482619268892</v>
      </c>
      <c r="H31" s="241">
        <v>5.2840675524764332488633229900</v>
      </c>
      <c r="I31" s="254">
        <v>62.054565840521054699940958557</v>
      </c>
      <c r="J31" s="241">
        <v>5.8972905842004181028671511100</v>
      </c>
      <c r="K31" s="254">
        <v>55.008052358507714541884303826</v>
      </c>
      <c r="L31" s="241">
        <v>5.0174733616983222143391933200</v>
      </c>
      <c r="M31" s="540"/>
      <c r="N31" s="240">
        <v>14.291327439148502533701744520</v>
      </c>
      <c r="O31" s="179"/>
      <c r="P31" s="179">
        <v>5.3085345941751105021410935900</v>
      </c>
      <c r="Q31" s="179"/>
      <c r="R31" s="179">
        <v>7.523833107110526152220329600</v>
      </c>
      <c r="S31" s="179"/>
      <c r="T31" s="248">
        <v>4.1626855780349368566785026300</v>
      </c>
    </row>
    <row r="32" ht="20.1" customHeight="1">
      <c r="B32" s="532" t="s">
        <v>179</v>
      </c>
      <c r="C32" s="345"/>
      <c r="D32" s="345"/>
      <c r="E32" s="255">
        <v>100.92000353836173851506752374</v>
      </c>
      <c r="F32" s="243">
        <v>12.919228100716944099409563610</v>
      </c>
      <c r="G32" s="255">
        <v>95.79012020972025801110689524</v>
      </c>
      <c r="H32" s="243">
        <v>1.273840520077628607481496700</v>
      </c>
      <c r="I32" s="255">
        <v>101.32877950878308560527779986</v>
      </c>
      <c r="J32" s="243">
        <v>4.6809667666241119807131327400</v>
      </c>
      <c r="K32" s="255">
        <v>92.33636521376140098525636028</v>
      </c>
      <c r="L32" s="243">
        <v>1.3451498138185420168992280100</v>
      </c>
      <c r="M32" s="540"/>
      <c r="N32" s="242">
        <v>12.919228100667201800583764460</v>
      </c>
      <c r="O32" s="178"/>
      <c r="P32" s="178">
        <v>1.2738405200827881007626896900</v>
      </c>
      <c r="Q32" s="178"/>
      <c r="R32" s="178">
        <v>4.6809667666273612018932314700</v>
      </c>
      <c r="S32" s="178"/>
      <c r="T32" s="249">
        <v>0.9271400927434198676363879800</v>
      </c>
    </row>
    <row r="33" ht="20.1" customHeight="1">
      <c r="B33" s="726" t="s">
        <v>74</v>
      </c>
      <c r="C33" s="349"/>
      <c r="D33" s="345"/>
      <c r="E33" s="256">
        <v>81.79442345392978078773837106</v>
      </c>
      <c r="F33" s="245">
        <v>8.239825421371578299062388420</v>
      </c>
      <c r="G33" s="256">
        <v>74.803714296883143959136870635</v>
      </c>
      <c r="H33" s="245">
        <v>-3.5087175227147224561764394800</v>
      </c>
      <c r="I33" s="256">
        <v>79.39911361998558731683881816</v>
      </c>
      <c r="J33" s="245">
        <v>3.9616503052266276269845903400</v>
      </c>
      <c r="K33" s="256">
        <v>71.570894270793915083629758571</v>
      </c>
      <c r="L33" s="245">
        <v>-1.7966817489163198222040656100</v>
      </c>
      <c r="M33" s="540"/>
      <c r="N33" s="244">
        <v>8.239825421412847939575496160</v>
      </c>
      <c r="O33" s="250"/>
      <c r="P33" s="250">
        <v>-3.5087175227308981684226028200</v>
      </c>
      <c r="Q33" s="250"/>
      <c r="R33" s="250">
        <v>3.9616503052775932705511847200</v>
      </c>
      <c r="S33" s="250"/>
      <c r="T33" s="251">
        <v>-1.7966817488656259696197231200</v>
      </c>
    </row>
    <row r="34" ht="9.95" customHeight="1">
      <c r="B34" s="54"/>
      <c r="C34" s="54"/>
      <c r="D34" s="5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24"/>
      <c r="N35" s="756" t="s">
        <v>56</v>
      </c>
      <c r="O35" s="756"/>
      <c r="P35" s="756"/>
      <c r="Q35" s="756"/>
      <c r="R35" s="756"/>
      <c r="S35" s="756"/>
      <c r="T35" s="756"/>
      <c r="U35" s="125"/>
    </row>
    <row r="36" ht="24.95" customHeight="1">
      <c r="B36" s="9"/>
      <c r="C36" s="155"/>
      <c r="D36" s="252"/>
      <c r="E36" s="745" t="s">
        <v>31</v>
      </c>
      <c r="F36" s="747"/>
      <c r="G36" s="746"/>
      <c r="H36" s="745" t="s">
        <v>32</v>
      </c>
      <c r="I36" s="747"/>
      <c r="J36" s="746"/>
      <c r="K36" s="745" t="s">
        <v>36</v>
      </c>
      <c r="L36" s="746"/>
      <c r="M36" s="124"/>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24"/>
      <c r="N37" s="741"/>
      <c r="O37" s="741"/>
      <c r="P37" s="741"/>
      <c r="Q37" s="741"/>
      <c r="R37" s="741"/>
      <c r="S37" s="741"/>
      <c r="T37" s="741"/>
      <c r="U37" s="123"/>
    </row>
    <row r="38" ht="18.95" customHeight="1">
      <c r="B38" s="743" t="s">
        <v>176</v>
      </c>
      <c r="C38" s="945"/>
      <c r="D38" s="54"/>
      <c r="E38" s="769">
        <v>137</v>
      </c>
      <c r="F38" s="769"/>
      <c r="G38" s="258">
        <v>11041</v>
      </c>
      <c r="H38" s="758">
        <v>103</v>
      </c>
      <c r="I38" s="758"/>
      <c r="J38" s="259">
        <v>8941</v>
      </c>
      <c r="K38" s="761">
        <v>80.97998369712888325332850285</v>
      </c>
      <c r="L38" s="762"/>
      <c r="N38" s="692"/>
      <c r="O38" s="741"/>
      <c r="P38" s="741"/>
      <c r="Q38" s="692"/>
      <c r="R38" s="692"/>
      <c r="S38" s="741"/>
      <c r="T38" s="741"/>
      <c r="U38" s="123"/>
    </row>
    <row r="39" ht="18.95" customHeight="1">
      <c r="B39" s="532" t="s">
        <v>177</v>
      </c>
      <c r="C39" s="345"/>
      <c r="D39" s="54"/>
      <c r="E39" s="772">
        <v>19</v>
      </c>
      <c r="F39" s="772"/>
      <c r="G39" s="90">
        <v>2205</v>
      </c>
      <c r="H39" s="765">
        <v>19</v>
      </c>
      <c r="I39" s="765"/>
      <c r="J39" s="54">
        <v>2205</v>
      </c>
      <c r="K39" s="766">
        <v>100</v>
      </c>
      <c r="L39" s="767"/>
      <c r="N39" s="693"/>
      <c r="O39" s="740"/>
      <c r="P39" s="740"/>
      <c r="Q39" s="740"/>
      <c r="R39" s="740"/>
      <c r="S39" s="740"/>
      <c r="T39" s="740"/>
      <c r="U39" s="123"/>
    </row>
    <row r="40" ht="18.95" customHeight="1">
      <c r="B40" s="730" t="s">
        <v>178</v>
      </c>
      <c r="C40" s="941"/>
      <c r="D40" s="54"/>
      <c r="E40" s="770">
        <v>76</v>
      </c>
      <c r="F40" s="770"/>
      <c r="G40" s="126">
        <v>5868</v>
      </c>
      <c r="H40" s="771">
        <v>56</v>
      </c>
      <c r="I40" s="771"/>
      <c r="J40" s="120">
        <v>4568</v>
      </c>
      <c r="K40" s="759">
        <v>77.845944103612815269256987050</v>
      </c>
      <c r="L40" s="760"/>
      <c r="N40" s="763"/>
      <c r="O40" s="763"/>
      <c r="P40" s="763"/>
      <c r="Q40" s="763"/>
      <c r="R40" s="763"/>
      <c r="S40" s="763"/>
      <c r="T40" s="763"/>
      <c r="U40" s="123"/>
    </row>
    <row r="41" ht="18.95" customHeight="1">
      <c r="B41" s="532" t="s">
        <v>179</v>
      </c>
      <c r="C41" s="345"/>
      <c r="D41" s="54"/>
      <c r="E41" s="772">
        <v>8</v>
      </c>
      <c r="F41" s="772"/>
      <c r="G41" s="90">
        <v>1094</v>
      </c>
      <c r="H41" s="765">
        <v>8</v>
      </c>
      <c r="I41" s="765"/>
      <c r="J41" s="54">
        <v>1094</v>
      </c>
      <c r="K41" s="766">
        <v>100</v>
      </c>
      <c r="L41" s="767"/>
      <c r="N41" s="763"/>
      <c r="O41" s="763"/>
      <c r="P41" s="763"/>
      <c r="Q41" s="763"/>
      <c r="R41" s="763"/>
      <c r="S41" s="763"/>
      <c r="T41" s="763"/>
      <c r="U41" s="123"/>
    </row>
    <row r="42" ht="18.95" customHeight="1">
      <c r="B42" s="726" t="s">
        <v>74</v>
      </c>
      <c r="C42" s="349"/>
      <c r="D42" s="54"/>
      <c r="E42" s="768">
        <v>7</v>
      </c>
      <c r="F42" s="768"/>
      <c r="G42" s="260">
        <v>1086</v>
      </c>
      <c r="H42" s="764">
        <v>7</v>
      </c>
      <c r="I42" s="764"/>
      <c r="J42" s="260">
        <v>1086</v>
      </c>
      <c r="K42" s="774">
        <v>100</v>
      </c>
      <c r="L42" s="775"/>
      <c r="N42" s="763"/>
      <c r="O42" s="763"/>
      <c r="P42" s="763"/>
      <c r="Q42" s="763"/>
      <c r="R42" s="763"/>
      <c r="S42" s="763"/>
      <c r="T42" s="763"/>
      <c r="U42" s="123"/>
    </row>
    <row r="43" ht="15" customHeight="1">
      <c r="B43" s="2"/>
      <c r="C43" s="44"/>
      <c r="D43" s="44"/>
      <c r="E43" s="16"/>
      <c r="F43" s="19"/>
      <c r="G43" s="123"/>
      <c r="H43" s="124"/>
      <c r="I43" s="124"/>
      <c r="J43" s="124"/>
      <c r="K43" s="125"/>
      <c r="L43" s="123"/>
      <c r="M43" s="124"/>
      <c r="N43" s="125"/>
      <c r="O43" s="125"/>
      <c r="P43" s="124"/>
      <c r="Q43" s="124"/>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row>
    <row r="2" s="2" customFormat="1" ht="15" customHeight="1">
      <c r="B2" s="66" t="s">
        <v>170</v>
      </c>
      <c r="C2" s="130"/>
      <c r="W2" s="281"/>
      <c r="X2" s="281"/>
      <c r="Y2" s="281"/>
      <c r="Z2" s="281"/>
      <c r="AA2" s="281"/>
      <c r="AB2" s="281"/>
      <c r="AC2" s="281"/>
      <c r="AD2" s="281"/>
      <c r="AE2" s="281"/>
      <c r="AF2" s="281"/>
      <c r="AG2" s="281"/>
      <c r="AH2" s="281"/>
      <c r="AI2" s="281"/>
      <c r="AJ2" s="281"/>
      <c r="AK2" s="281"/>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row>
    <row r="3" s="2" customFormat="1" ht="17.1" customHeight="1">
      <c r="B3" s="66" t="s">
        <v>171</v>
      </c>
      <c r="C3" s="130"/>
      <c r="O3" s="961"/>
      <c r="P3" s="961"/>
      <c r="Q3" s="961"/>
      <c r="R3" s="961"/>
      <c r="S3" s="961"/>
      <c r="T3" s="961"/>
      <c r="U3" s="961"/>
      <c r="W3" s="281"/>
      <c r="X3" s="281"/>
      <c r="Y3" s="281"/>
      <c r="Z3" s="281"/>
      <c r="AA3" s="281"/>
      <c r="AB3" s="281"/>
      <c r="AC3" s="281"/>
      <c r="AD3" s="281"/>
      <c r="AE3" s="281"/>
      <c r="AF3" s="281"/>
      <c r="AG3" s="281"/>
      <c r="AH3" s="281"/>
      <c r="AI3" s="281"/>
      <c r="AJ3" s="281"/>
      <c r="AK3" s="281"/>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row>
    <row r="4" s="2" customFormat="1" ht="15.75" customHeight="1">
      <c r="A4" s="9"/>
      <c r="B4" s="66" t="s">
        <v>172</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row>
    <row r="5" s="2" customFormat="1" ht="20.1" customHeight="1">
      <c r="A5" s="9"/>
      <c r="B5" s="66"/>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row>
    <row r="6" s="2" customFormat="1" ht="20.1" customHeight="1">
      <c r="A6" s="9"/>
      <c r="B6" s="66"/>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row>
    <row r="7" s="2" customFormat="1" ht="20.1" customHeight="1">
      <c r="A7" s="9"/>
      <c r="B7" s="66"/>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row>
    <row r="8" s="2" customFormat="1" ht="20.1" customHeight="1">
      <c r="A8" s="9"/>
      <c r="B8" s="66"/>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row>
    <row r="9" s="2" customFormat="1" ht="20.1" customHeight="1">
      <c r="A9" s="9"/>
      <c r="B9" s="66"/>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row>
    <row r="10" s="2" customFormat="1" ht="20.1" customHeight="1">
      <c r="A10" s="9"/>
      <c r="B10" s="66"/>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row>
    <row r="11" s="2" customFormat="1" ht="20.1" customHeight="1">
      <c r="A11" s="9"/>
      <c r="B11" s="66"/>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row>
    <row r="12" s="2" customFormat="1" ht="20.1" customHeight="1">
      <c r="A12" s="9"/>
      <c r="B12" s="66"/>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row>
    <row r="13" s="2" customFormat="1" ht="20.1" customHeight="1">
      <c r="A13" s="9"/>
      <c r="B13" s="66"/>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row>
    <row r="14" s="2" customFormat="1" ht="20.1" customHeight="1">
      <c r="A14" s="9"/>
      <c r="B14" s="66"/>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row>
    <row r="18" s="2" customFormat="1" ht="15.95" customHeight="1">
      <c r="B18" s="300" t="s">
        <v>43</v>
      </c>
      <c r="C18" s="303" t="s">
        <v>42</v>
      </c>
      <c r="D18" s="307">
        <v>18.413978494623655913978494620</v>
      </c>
      <c r="E18" s="308">
        <v>-31.840796020006296873839592230</v>
      </c>
      <c r="F18" s="308">
        <v>41.574585635359116022099447510</v>
      </c>
      <c r="G18" s="308">
        <v>9.255898366736246586803228620</v>
      </c>
      <c r="H18" s="308">
        <v>44.291430000313676473223711820</v>
      </c>
      <c r="I18" s="309">
        <v>-37.615080742586977989749498490</v>
      </c>
      <c r="J18" s="317">
        <v>91.3283591009019265035153985</v>
      </c>
      <c r="K18" s="308">
        <v>-4.4047479968852902112142288100</v>
      </c>
      <c r="L18" s="318">
        <v>126.07018492962278830888105859</v>
      </c>
      <c r="M18" s="308">
        <v>-2.5957799070744891917441948100</v>
      </c>
      <c r="N18" s="308">
        <v>72.442472541704787038168912480</v>
      </c>
      <c r="O18" s="309">
        <v>-1.8571762989285420374639084300</v>
      </c>
      <c r="P18" s="317">
        <v>16.817184404332747219061303219</v>
      </c>
      <c r="Q18" s="308">
        <v>-34.843037191846831646210429830</v>
      </c>
      <c r="R18" s="318">
        <v>52.413156994221628841123202535</v>
      </c>
      <c r="S18" s="308">
        <v>6.4198557094519456254138327800</v>
      </c>
      <c r="T18" s="308">
        <v>32.08580701634462512153063300</v>
      </c>
      <c r="U18" s="309">
        <v>-38.773678677056378823628927560</v>
      </c>
      <c r="W18" s="281"/>
      <c r="X18" s="1014"/>
      <c r="Y18" s="1014"/>
      <c r="Z18" s="1014"/>
      <c r="AA18" s="1014"/>
      <c r="AB18" s="1014"/>
      <c r="AC18" s="1014"/>
      <c r="AD18" s="1014"/>
      <c r="AE18" s="1014"/>
      <c r="AF18" s="1014"/>
      <c r="AG18" s="281"/>
      <c r="AH18" s="281"/>
      <c r="AI18" s="281"/>
      <c r="AJ18" s="281"/>
      <c r="AK18" s="281"/>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row>
    <row r="19" s="2" customFormat="1" ht="15.95" customHeight="1">
      <c r="B19" s="301"/>
      <c r="C19" s="304" t="s">
        <v>58</v>
      </c>
      <c r="D19" s="310">
        <v>20.569329660238751147842056930</v>
      </c>
      <c r="E19" s="134">
        <v>-6.6854800779913464863332097900</v>
      </c>
      <c r="F19" s="134">
        <v>32.658072437077961939840392880</v>
      </c>
      <c r="G19" s="134">
        <v>-6.5331269609969123869752169100</v>
      </c>
      <c r="H19" s="134">
        <v>62.983906046064500747301078160</v>
      </c>
      <c r="I19" s="311">
        <v>-0.1630022616452983602915470100</v>
      </c>
      <c r="J19" s="319">
        <v>100.95507094455608238482915314</v>
      </c>
      <c r="K19" s="134">
        <v>-3.6821804599725822575175342300</v>
      </c>
      <c r="L19" s="135">
        <v>125.22721590822571657892769577</v>
      </c>
      <c r="M19" s="134">
        <v>-2.7589073686216245706063711400</v>
      </c>
      <c r="N19" s="134">
        <v>80.61751609854758901874480693</v>
      </c>
      <c r="O19" s="311">
        <v>-0.9494680349009903776057784100</v>
      </c>
      <c r="P19" s="319">
        <v>20.765781351313647800001588893</v>
      </c>
      <c r="Q19" s="134">
        <v>-10.121489097041873525156906100</v>
      </c>
      <c r="R19" s="135">
        <v>40.896794882244371528538694997</v>
      </c>
      <c r="S19" s="134">
        <v>-9.111791408491472059395182850</v>
      </c>
      <c r="T19" s="134">
        <v>50.776060596259064267492762210</v>
      </c>
      <c r="U19" s="311">
        <v>-1.1109226420677342620045994800</v>
      </c>
      <c r="W19" s="281"/>
      <c r="X19" s="281"/>
      <c r="Y19" s="281"/>
      <c r="Z19" s="281"/>
      <c r="AA19" s="281"/>
      <c r="AB19" s="281"/>
      <c r="AC19" s="281"/>
      <c r="AD19" s="281"/>
      <c r="AE19" s="281"/>
      <c r="AF19" s="281"/>
      <c r="AG19" s="281"/>
      <c r="AH19" s="281"/>
      <c r="AI19" s="281"/>
      <c r="AJ19" s="281"/>
      <c r="AK19" s="281"/>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row>
    <row r="20" s="2" customFormat="1" ht="15.95" customHeight="1">
      <c r="B20" s="301"/>
      <c r="C20" s="305" t="s">
        <v>44</v>
      </c>
      <c r="D20" s="312">
        <v>22.712418300653594771241830070</v>
      </c>
      <c r="E20" s="159">
        <v>-7.8546519280342885212728688500</v>
      </c>
      <c r="F20" s="159">
        <v>38.305709023941068139963167590</v>
      </c>
      <c r="G20" s="159">
        <v>13.399035437071787868116907790</v>
      </c>
      <c r="H20" s="159">
        <v>59.292515083019827844460707450</v>
      </c>
      <c r="I20" s="313">
        <v>-18.742388136633755228436597670</v>
      </c>
      <c r="J20" s="320">
        <v>95.99555107914016584968571172</v>
      </c>
      <c r="K20" s="159">
        <v>-7.511490631719734609440801500</v>
      </c>
      <c r="L20" s="160">
        <v>125.168979845484104796587861</v>
      </c>
      <c r="M20" s="159">
        <v>-3.1887787941397861896692295200</v>
      </c>
      <c r="N20" s="159">
        <v>76.692764611192395411369464410</v>
      </c>
      <c r="O20" s="313">
        <v>-4.4650938018276526359431335400</v>
      </c>
      <c r="P20" s="320">
        <v>21.80291111111190041357240838</v>
      </c>
      <c r="Q20" s="159">
        <v>-14.776141116008374408258706960</v>
      </c>
      <c r="R20" s="160">
        <v>47.94686520784658157954010145</v>
      </c>
      <c r="S20" s="159">
        <v>9.782991042398165450979241490</v>
      </c>
      <c r="T20" s="159">
        <v>45.473069024677344348359140530</v>
      </c>
      <c r="U20" s="313">
        <v>-22.370616727551070878803207920</v>
      </c>
      <c r="W20" s="281"/>
      <c r="X20" s="281"/>
      <c r="Y20" s="281"/>
      <c r="Z20" s="281"/>
      <c r="AA20" s="281"/>
      <c r="AB20" s="281"/>
      <c r="AC20" s="281"/>
      <c r="AD20" s="281"/>
      <c r="AE20" s="281"/>
      <c r="AF20" s="281"/>
      <c r="AG20" s="281"/>
      <c r="AH20" s="281"/>
      <c r="AI20" s="281"/>
      <c r="AJ20" s="281"/>
      <c r="AK20" s="281"/>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row>
    <row r="21" s="2" customFormat="1" ht="15.95" customHeight="1">
      <c r="B21" s="302"/>
      <c r="C21" s="306" t="s">
        <v>45</v>
      </c>
      <c r="D21" s="314">
        <v>22.483537158984007525870178740</v>
      </c>
      <c r="E21" s="315">
        <v>-14.047125928042856771008582550</v>
      </c>
      <c r="F21" s="315">
        <v>30.643504745714690466071681540</v>
      </c>
      <c r="G21" s="315">
        <v>-6.6086920999848049350771600300</v>
      </c>
      <c r="H21" s="315">
        <v>73.371297916368307500055182040</v>
      </c>
      <c r="I21" s="316">
        <v>-7.964803144303139700155227410</v>
      </c>
      <c r="J21" s="321">
        <v>102.84688299823432458931002256</v>
      </c>
      <c r="K21" s="315">
        <v>-0.7585714156704938153502177100</v>
      </c>
      <c r="L21" s="322">
        <v>126.01906059280057925658200918</v>
      </c>
      <c r="M21" s="315">
        <v>-1.6203453651357922931202749900</v>
      </c>
      <c r="N21" s="315">
        <v>81.61216447292767744323338920</v>
      </c>
      <c r="O21" s="316">
        <v>0.8759676506795677630964388700</v>
      </c>
      <c r="P21" s="321">
        <v>23.123617155764819921773372899</v>
      </c>
      <c r="Q21" s="315">
        <v>-14.699139861850396436701796220</v>
      </c>
      <c r="R21" s="322">
        <v>38.616656813259916844368034934</v>
      </c>
      <c r="S21" s="315">
        <v>-8.121953829140436157545439400</v>
      </c>
      <c r="T21" s="315">
        <v>59.879904331337125604579874440</v>
      </c>
      <c r="U21" s="316">
        <v>-7.158604592675368550834327800</v>
      </c>
      <c r="W21" s="281"/>
      <c r="X21" s="281"/>
      <c r="Y21" s="281"/>
      <c r="Z21" s="281"/>
      <c r="AA21" s="281"/>
      <c r="AB21" s="281"/>
      <c r="AC21" s="281"/>
      <c r="AD21" s="281"/>
      <c r="AE21" s="281"/>
      <c r="AF21" s="281"/>
      <c r="AG21" s="281"/>
      <c r="AH21" s="281"/>
      <c r="AI21" s="281"/>
      <c r="AJ21" s="281"/>
      <c r="AK21" s="281"/>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row>
    <row r="24" s="2" customFormat="1" ht="15.95" customHeight="1">
      <c r="B24" s="323" t="s">
        <v>46</v>
      </c>
      <c r="C24" s="303" t="s">
        <v>42</v>
      </c>
      <c r="D24" s="307">
        <v>33.467741935483870967741935480</v>
      </c>
      <c r="E24" s="308">
        <v>4.4463087247936607585244050100</v>
      </c>
      <c r="F24" s="308">
        <v>57.136279926335174953959484350</v>
      </c>
      <c r="G24" s="308">
        <v>19.787644787673000178888216430</v>
      </c>
      <c r="H24" s="308">
        <v>58.575290478578339455166090020</v>
      </c>
      <c r="I24" s="309">
        <v>-12.807110524668068781236380630</v>
      </c>
      <c r="J24" s="317">
        <v>104.4657398583382587166741227</v>
      </c>
      <c r="K24" s="308">
        <v>-4.8387383455644449738982170600</v>
      </c>
      <c r="L24" s="318">
        <v>139.76023785526168977324542565</v>
      </c>
      <c r="M24" s="308">
        <v>1.8825986542477205102234683200</v>
      </c>
      <c r="N24" s="308">
        <v>74.746395299138151664085623660</v>
      </c>
      <c r="O24" s="309">
        <v>-6.5971393434105795738586296300</v>
      </c>
      <c r="P24" s="317">
        <v>34.962324226782562393080452356</v>
      </c>
      <c r="Q24" s="308">
        <v>-0.6075748660856093378073843900</v>
      </c>
      <c r="R24" s="318">
        <v>79.85380072669417910156426023</v>
      </c>
      <c r="S24" s="308">
        <v>22.042765376294053295970580880</v>
      </c>
      <c r="T24" s="308">
        <v>43.782918168718453049201733730</v>
      </c>
      <c r="U24" s="309">
        <v>-18.559346940683238086416989970</v>
      </c>
      <c r="W24" s="281"/>
      <c r="X24" s="281"/>
      <c r="Y24" s="281"/>
      <c r="Z24" s="281"/>
      <c r="AA24" s="281"/>
      <c r="AB24" s="281"/>
      <c r="AC24" s="281"/>
      <c r="AD24" s="281"/>
      <c r="AE24" s="281"/>
      <c r="AF24" s="281"/>
      <c r="AG24" s="281"/>
      <c r="AH24" s="281"/>
      <c r="AI24" s="281"/>
      <c r="AJ24" s="281"/>
      <c r="AK24" s="281"/>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row>
    <row r="25" s="2" customFormat="1" ht="15.95" customHeight="1">
      <c r="B25" s="324"/>
      <c r="C25" s="304" t="s">
        <v>58</v>
      </c>
      <c r="D25" s="310">
        <v>27.084072366087264987584249730</v>
      </c>
      <c r="E25" s="134">
        <v>-18.065707627009462138850187340</v>
      </c>
      <c r="F25" s="134">
        <v>48.621853898096992019643953350</v>
      </c>
      <c r="G25" s="134">
        <v>-2.1549412249088102144693095600</v>
      </c>
      <c r="H25" s="134">
        <v>55.703495845405498634528524640</v>
      </c>
      <c r="I25" s="311">
        <v>-16.261185389720299723153825640</v>
      </c>
      <c r="J25" s="319">
        <v>107.56358141428539421006471599</v>
      </c>
      <c r="K25" s="134">
        <v>-1.9030927700158824478236025400</v>
      </c>
      <c r="L25" s="135">
        <v>139.13549630520765397201549843</v>
      </c>
      <c r="M25" s="134">
        <v>-1.1682562559155543344670814500</v>
      </c>
      <c r="N25" s="134">
        <v>77.308511681548047636945265640</v>
      </c>
      <c r="O25" s="311">
        <v>-0.7435227653378602259250864200</v>
      </c>
      <c r="P25" s="319">
        <v>29.132598229800247775588652238</v>
      </c>
      <c r="Q25" s="134">
        <v>-19.624993221340118407975228990</v>
      </c>
      <c r="R25" s="135">
        <v>67.650257733910204007694828441</v>
      </c>
      <c r="S25" s="134">
        <v>-3.2980222452197412585359485900</v>
      </c>
      <c r="T25" s="134">
        <v>43.063543592682731935356997330</v>
      </c>
      <c r="U25" s="311">
        <v>-16.883802539672862676912271120</v>
      </c>
      <c r="W25" s="281"/>
      <c r="X25" s="281"/>
      <c r="Y25" s="281"/>
      <c r="Z25" s="281"/>
      <c r="AA25" s="281"/>
      <c r="AB25" s="281"/>
      <c r="AC25" s="281"/>
      <c r="AD25" s="281"/>
      <c r="AE25" s="281"/>
      <c r="AF25" s="281"/>
      <c r="AG25" s="281"/>
      <c r="AH25" s="281"/>
      <c r="AI25" s="281"/>
      <c r="AJ25" s="281"/>
      <c r="AK25" s="281"/>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row>
    <row r="26" s="2" customFormat="1" ht="15.95" customHeight="1">
      <c r="B26" s="324"/>
      <c r="C26" s="305" t="s">
        <v>44</v>
      </c>
      <c r="D26" s="312">
        <v>32.148692810457516339869281050</v>
      </c>
      <c r="E26" s="159">
        <v>7.0737454760864101471247096600</v>
      </c>
      <c r="F26" s="159">
        <v>50.991641875619776172262360110</v>
      </c>
      <c r="G26" s="159">
        <v>9.291027782019361187044454930</v>
      </c>
      <c r="H26" s="159">
        <v>63.046985011559278075903150910</v>
      </c>
      <c r="I26" s="313">
        <v>-2.0287871299444475694960215600</v>
      </c>
      <c r="J26" s="320">
        <v>103.05270560233113286938410454</v>
      </c>
      <c r="K26" s="159">
        <v>-0.719986535808659567717381800</v>
      </c>
      <c r="L26" s="160">
        <v>137.52372496147136546786859668</v>
      </c>
      <c r="M26" s="159">
        <v>-0.8779588032744110550274782200</v>
      </c>
      <c r="N26" s="159">
        <v>74.934492671123409831842918250</v>
      </c>
      <c r="O26" s="313">
        <v>0.1593714833573269557886348700</v>
      </c>
      <c r="P26" s="320">
        <v>33.130097756958579071979285241</v>
      </c>
      <c r="Q26" s="159">
        <v>6.3028289253197920729568126300</v>
      </c>
      <c r="R26" s="160">
        <v>70.125605326365799688566796111</v>
      </c>
      <c r="S26" s="159">
        <v>8.331497582338600033401399900</v>
      </c>
      <c r="T26" s="159">
        <v>47.243938362819635218456932940</v>
      </c>
      <c r="U26" s="313">
        <v>-1.872648954609762426828804300</v>
      </c>
      <c r="W26" s="281"/>
      <c r="X26" s="281"/>
      <c r="Y26" s="281"/>
      <c r="Z26" s="281"/>
      <c r="AA26" s="281"/>
      <c r="AB26" s="281"/>
      <c r="AC26" s="281"/>
      <c r="AD26" s="281"/>
      <c r="AE26" s="281"/>
      <c r="AF26" s="281"/>
      <c r="AG26" s="281"/>
      <c r="AH26" s="281"/>
      <c r="AI26" s="281"/>
      <c r="AJ26" s="281"/>
      <c r="AK26" s="281"/>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row>
    <row r="27" s="2" customFormat="1" ht="15.95" customHeight="1">
      <c r="B27" s="325"/>
      <c r="C27" s="306" t="s">
        <v>45</v>
      </c>
      <c r="D27" s="314">
        <v>28.473360655737704918032786890</v>
      </c>
      <c r="E27" s="315">
        <v>-19.663260133581765581642967340</v>
      </c>
      <c r="F27" s="315">
        <v>44.815129621759456013599660010</v>
      </c>
      <c r="G27" s="315">
        <v>-4.7771480000432009890537286600</v>
      </c>
      <c r="H27" s="315">
        <v>63.53515184721688680632423200</v>
      </c>
      <c r="I27" s="316">
        <v>-15.632919851593106747139962740</v>
      </c>
      <c r="J27" s="321">
        <v>107.92102208166231800011194107</v>
      </c>
      <c r="K27" s="315">
        <v>1.86911070445367788119042600</v>
      </c>
      <c r="L27" s="322">
        <v>140.22948815000624407479205079</v>
      </c>
      <c r="M27" s="315">
        <v>0.1998879245476394075004564500</v>
      </c>
      <c r="N27" s="315">
        <v>76.960290952657462153128411790</v>
      </c>
      <c r="O27" s="316">
        <v>1.6658928612065158226260343200</v>
      </c>
      <c r="P27" s="321">
        <v>30.728741840670039110892529122</v>
      </c>
      <c r="Q27" s="315">
        <v>-18.161677529044756267320445610</v>
      </c>
      <c r="R27" s="322">
        <v>62.844026882355114482306934787</v>
      </c>
      <c r="S27" s="315">
        <v>-4.586809017442262916579530200</v>
      </c>
      <c r="T27" s="315">
        <v>48.896837718837973684032034060</v>
      </c>
      <c r="U27" s="316">
        <v>-14.227454686148371234903693990</v>
      </c>
      <c r="W27" s="281"/>
      <c r="X27" s="281"/>
      <c r="Y27" s="281"/>
      <c r="Z27" s="281"/>
      <c r="AA27" s="281"/>
      <c r="AB27" s="281"/>
      <c r="AC27" s="281"/>
      <c r="AD27" s="281"/>
      <c r="AE27" s="281"/>
      <c r="AF27" s="281"/>
      <c r="AG27" s="281"/>
      <c r="AH27" s="281"/>
      <c r="AI27" s="281"/>
      <c r="AJ27" s="281"/>
      <c r="AK27" s="281"/>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row>
    <row r="28" s="2" customFormat="1" ht="5.1" customHeight="1">
      <c r="B28" s="5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row>
    <row r="29" s="9" customFormat="1" ht="5.1" customHeight="1">
      <c r="B29" s="5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row>
    <row r="30" s="2" customFormat="1" ht="15.95" customHeight="1">
      <c r="B30" s="323" t="s">
        <v>47</v>
      </c>
      <c r="C30" s="303" t="s">
        <v>42</v>
      </c>
      <c r="D30" s="307">
        <v>49.032258064516129032258064520</v>
      </c>
      <c r="E30" s="308">
        <v>31.412103746359823601225832910</v>
      </c>
      <c r="F30" s="308">
        <v>67.845303867403314917127071820</v>
      </c>
      <c r="G30" s="308">
        <v>22.595673876955922491908994740</v>
      </c>
      <c r="H30" s="308">
        <v>72.270673531578607319868885580</v>
      </c>
      <c r="I30" s="308">
        <v>7.1914689895438998093215524100</v>
      </c>
      <c r="J30" s="317">
        <v>102.74987843459248672541243499</v>
      </c>
      <c r="K30" s="308">
        <v>-8.734965744272264948528674710</v>
      </c>
      <c r="L30" s="318">
        <v>139.47452586312490516734995094</v>
      </c>
      <c r="M30" s="308">
        <v>-2.0410158333428845840042366700</v>
      </c>
      <c r="N30" s="308">
        <v>73.669279604109018806371624980</v>
      </c>
      <c r="O30" s="309">
        <v>-6.8334211178829765506282683900</v>
      </c>
      <c r="P30" s="317">
        <v>50.380585555025993491169968126</v>
      </c>
      <c r="Q30" s="308">
        <v>19.933301500441747814120104470</v>
      </c>
      <c r="R30" s="318">
        <v>94.62691588945711798094239765</v>
      </c>
      <c r="S30" s="308">
        <v>20.093476761986819878556075200</v>
      </c>
      <c r="T30" s="308">
        <v>53.241284555715218411255508390</v>
      </c>
      <c r="U30" s="309">
        <v>-0.1333754888790833216343123400</v>
      </c>
      <c r="W30" s="281"/>
      <c r="X30" s="281"/>
      <c r="Y30" s="281"/>
      <c r="Z30" s="281"/>
      <c r="AA30" s="281"/>
      <c r="AB30" s="281"/>
      <c r="AC30" s="281"/>
      <c r="AD30" s="281"/>
      <c r="AE30" s="281"/>
      <c r="AF30" s="281"/>
      <c r="AG30" s="281"/>
      <c r="AH30" s="281"/>
      <c r="AI30" s="281"/>
      <c r="AJ30" s="281"/>
      <c r="AK30" s="281"/>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row>
    <row r="31" s="2" customFormat="1" ht="15.95" customHeight="1">
      <c r="B31" s="324"/>
      <c r="C31" s="304" t="s">
        <v>58</v>
      </c>
      <c r="D31" s="310">
        <v>37.316176470588235294117647060</v>
      </c>
      <c r="E31" s="134">
        <v>-11.709038354766148158459825930</v>
      </c>
      <c r="F31" s="134">
        <v>59.769797421731123388581952120</v>
      </c>
      <c r="G31" s="134">
        <v>-0.0367212224359488550562182400</v>
      </c>
      <c r="H31" s="134">
        <v>62.433165378339124848728459920</v>
      </c>
      <c r="I31" s="134">
        <v>-11.676604924330979154668915140</v>
      </c>
      <c r="J31" s="319">
        <v>109.34532989265642409433964478</v>
      </c>
      <c r="K31" s="134">
        <v>-5.1034582455921128407134193700</v>
      </c>
      <c r="L31" s="135">
        <v>142.82999962783657552059147046</v>
      </c>
      <c r="M31" s="134">
        <v>-2.4232392629144456762635827200</v>
      </c>
      <c r="N31" s="134">
        <v>76.556276816914434227329810950</v>
      </c>
      <c r="O31" s="311">
        <v>-2.7467800349746223109488545200</v>
      </c>
      <c r="P31" s="319">
        <v>40.803496265090540608733360092</v>
      </c>
      <c r="Q31" s="134">
        <v>-16.214930717079245041106580560</v>
      </c>
      <c r="R31" s="135">
        <v>85.36920143501723864679182641</v>
      </c>
      <c r="S31" s="134">
        <v>-2.4590706422968126313032083700</v>
      </c>
      <c r="T31" s="134">
        <v>47.796506912575807683884257820</v>
      </c>
      <c r="U31" s="311">
        <v>-14.102654306478600741936898510</v>
      </c>
      <c r="W31" s="281"/>
      <c r="X31" s="281"/>
      <c r="Y31" s="281"/>
      <c r="Z31" s="281"/>
      <c r="AA31" s="281"/>
      <c r="AB31" s="281"/>
      <c r="AC31" s="281"/>
      <c r="AD31" s="281"/>
      <c r="AE31" s="281"/>
      <c r="AF31" s="281"/>
      <c r="AG31" s="281"/>
      <c r="AH31" s="281"/>
      <c r="AI31" s="281"/>
      <c r="AJ31" s="281"/>
      <c r="AK31" s="281"/>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row>
    <row r="32" s="2" customFormat="1" ht="15.95" customHeight="1">
      <c r="B32" s="324"/>
      <c r="C32" s="305" t="s">
        <v>44</v>
      </c>
      <c r="D32" s="312">
        <v>41.288888888888888888888888890</v>
      </c>
      <c r="E32" s="159">
        <v>18.149743589878098682445912510</v>
      </c>
      <c r="F32" s="159">
        <v>61.942201444963875903102422440</v>
      </c>
      <c r="G32" s="159">
        <v>9.83421250951236208274163100</v>
      </c>
      <c r="H32" s="159">
        <v>66.657122165007819555207752250</v>
      </c>
      <c r="I32" s="159">
        <v>7.5709843864935429017852832600</v>
      </c>
      <c r="J32" s="320">
        <v>103.35174663582958339745331127</v>
      </c>
      <c r="K32" s="159">
        <v>-10.233138608409476436268642960</v>
      </c>
      <c r="L32" s="160">
        <v>140.59751916583043075153109675</v>
      </c>
      <c r="M32" s="159">
        <v>-1.711851351017991671821715700</v>
      </c>
      <c r="N32" s="159">
        <v>73.508940448623250694513294800</v>
      </c>
      <c r="O32" s="313">
        <v>-8.669699627630192584549926860</v>
      </c>
      <c r="P32" s="320">
        <v>42.672787833193636878326278298</v>
      </c>
      <c r="Q32" s="159">
        <v>6.0593165626864733496640268100</v>
      </c>
      <c r="R32" s="160">
        <v>87.08919854832037943916556461</v>
      </c>
      <c r="S32" s="159">
        <v>7.954014058711032683695127900</v>
      </c>
      <c r="T32" s="159">
        <v>48.998944237071083863311642250</v>
      </c>
      <c r="U32" s="313">
        <v>-1.7550968461489295490660568900</v>
      </c>
      <c r="W32" s="281"/>
      <c r="X32" s="281"/>
      <c r="Y32" s="281"/>
      <c r="Z32" s="281"/>
      <c r="AA32" s="281"/>
      <c r="AB32" s="281"/>
      <c r="AC32" s="281"/>
      <c r="AD32" s="281"/>
      <c r="AE32" s="281"/>
      <c r="AF32" s="281"/>
      <c r="AG32" s="281"/>
      <c r="AH32" s="281"/>
      <c r="AI32" s="281"/>
      <c r="AJ32" s="281"/>
      <c r="AK32" s="281"/>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row>
    <row r="33" s="2" customFormat="1" ht="15.95" customHeight="1">
      <c r="B33" s="325"/>
      <c r="C33" s="306" t="s">
        <v>45</v>
      </c>
      <c r="D33" s="314">
        <v>37.598719316969050160085378870</v>
      </c>
      <c r="E33" s="315">
        <v>-12.727060271582549847033691330</v>
      </c>
      <c r="F33" s="315">
        <v>56.438589035274118147046323840</v>
      </c>
      <c r="G33" s="315">
        <v>-0.2358705427059946547086617900</v>
      </c>
      <c r="H33" s="315">
        <v>66.618815175291870608613813050</v>
      </c>
      <c r="I33" s="315">
        <v>-12.520722424816528372703629290</v>
      </c>
      <c r="J33" s="321">
        <v>110.1550935863026974498116971</v>
      </c>
      <c r="K33" s="315">
        <v>-0.3859524991142831727564344400</v>
      </c>
      <c r="L33" s="322">
        <v>144.60414064314736468814950139</v>
      </c>
      <c r="M33" s="315">
        <v>0.1210781086579717952183977600</v>
      </c>
      <c r="N33" s="315">
        <v>76.176998180279224476170602370</v>
      </c>
      <c r="O33" s="316">
        <v>-0.506417447151445082114457800</v>
      </c>
      <c r="P33" s="321">
        <v>41.416904450858527547031655165</v>
      </c>
      <c r="Q33" s="315">
        <v>-13.063892363454856003364298200</v>
      </c>
      <c r="R33" s="322">
        <v>81.61253666557573323666066207</v>
      </c>
      <c r="S33" s="315">
        <v>-0.1150780215395202042569997300</v>
      </c>
      <c r="T33" s="315">
        <v>50.748213623797228488325987500</v>
      </c>
      <c r="U33" s="316">
        <v>-12.963732749206204543522735960</v>
      </c>
      <c r="W33" s="281"/>
      <c r="X33" s="281"/>
      <c r="Y33" s="281"/>
      <c r="Z33" s="281"/>
      <c r="AA33" s="281"/>
      <c r="AB33" s="281"/>
      <c r="AC33" s="281"/>
      <c r="AD33" s="281"/>
      <c r="AE33" s="281"/>
      <c r="AF33" s="281"/>
      <c r="AG33" s="281"/>
      <c r="AH33" s="281"/>
      <c r="AI33" s="281"/>
      <c r="AJ33" s="281"/>
      <c r="AK33" s="281"/>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row>
    <row r="34" s="2" customFormat="1" ht="5.1" customHeight="1">
      <c r="B34" s="5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row>
    <row r="35" s="9" customFormat="1" ht="5.1" customHeight="1">
      <c r="B35" s="5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row>
    <row r="36" s="2" customFormat="1" ht="15.95" customHeight="1">
      <c r="B36" s="323" t="s">
        <v>48</v>
      </c>
      <c r="C36" s="303" t="s">
        <v>42</v>
      </c>
      <c r="D36" s="307">
        <v>49.892473118279569892473118280</v>
      </c>
      <c r="E36" s="308">
        <v>24.731182795698924731182795700</v>
      </c>
      <c r="F36" s="308">
        <v>61.988950276243093922651933700</v>
      </c>
      <c r="G36" s="308">
        <v>13.333333333302424242424250850</v>
      </c>
      <c r="H36" s="308">
        <v>80.48607517303814674154306046</v>
      </c>
      <c r="I36" s="308">
        <v>10.056925996301205351529211340</v>
      </c>
      <c r="J36" s="317">
        <v>103.56668781303678894180918209</v>
      </c>
      <c r="K36" s="308">
        <v>-8.884837281537989997929895450</v>
      </c>
      <c r="L36" s="318">
        <v>139.40872751547580003936094036</v>
      </c>
      <c r="M36" s="308">
        <v>-2.6346722471438145786405101500</v>
      </c>
      <c r="N36" s="308">
        <v>74.289959932043598312266658020</v>
      </c>
      <c r="O36" s="309">
        <v>-6.4192923483712126921829374500</v>
      </c>
      <c r="P36" s="317">
        <v>51.67198187661190329999941988</v>
      </c>
      <c r="Q36" s="308">
        <v>13.649020164963367314410022880</v>
      </c>
      <c r="R36" s="318">
        <v>86.4180067803115180354491575</v>
      </c>
      <c r="S36" s="308">
        <v>10.347371453275933580045482690</v>
      </c>
      <c r="T36" s="308">
        <v>59.793072996901310943437517630</v>
      </c>
      <c r="U36" s="309">
        <v>2.9920501668457949449576656400</v>
      </c>
      <c r="W36" s="281"/>
      <c r="X36" s="281"/>
      <c r="Y36" s="281"/>
      <c r="Z36" s="281"/>
      <c r="AA36" s="281"/>
      <c r="AB36" s="281"/>
      <c r="AC36" s="281"/>
      <c r="AD36" s="281"/>
      <c r="AE36" s="281"/>
      <c r="AF36" s="281"/>
      <c r="AG36" s="281"/>
      <c r="AH36" s="281"/>
      <c r="AI36" s="281"/>
      <c r="AJ36" s="281"/>
      <c r="AK36" s="281"/>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row>
    <row r="37" s="2" customFormat="1" ht="15.95" customHeight="1">
      <c r="B37" s="324"/>
      <c r="C37" s="304" t="s">
        <v>58</v>
      </c>
      <c r="D37" s="310">
        <v>41.423169474046063939498109320</v>
      </c>
      <c r="E37" s="134">
        <v>-3.8074928766471382620324398200</v>
      </c>
      <c r="F37" s="134">
        <v>60.669518208281352105982296680</v>
      </c>
      <c r="G37" s="134">
        <v>-0.092320364260580492020871200</v>
      </c>
      <c r="H37" s="134">
        <v>68.276740441263458859762697500</v>
      </c>
      <c r="I37" s="134">
        <v>-3.7186055425550420681973261900</v>
      </c>
      <c r="J37" s="319">
        <v>112.46447000835013443981480918</v>
      </c>
      <c r="K37" s="134">
        <v>-2.9276830349099582195820150300</v>
      </c>
      <c r="L37" s="135">
        <v>142.0800051437795788700951379</v>
      </c>
      <c r="M37" s="134">
        <v>-3.2721597489612162512450145500</v>
      </c>
      <c r="N37" s="134">
        <v>79.155733345113684286217002300</v>
      </c>
      <c r="O37" s="311">
        <v>0.3561298516151108933906438600</v>
      </c>
      <c r="P37" s="319">
        <v>46.586348009646583705732844642</v>
      </c>
      <c r="Q37" s="134">
        <v>-6.6237045886282999369457763300</v>
      </c>
      <c r="R37" s="135">
        <v>86.19925459103243326862986965</v>
      </c>
      <c r="S37" s="134">
        <v>-3.3614592434842559699913176600</v>
      </c>
      <c r="T37" s="134">
        <v>54.044954600466614266725735610</v>
      </c>
      <c r="U37" s="311">
        <v>-3.3757187552441259982883580200</v>
      </c>
      <c r="W37" s="281"/>
      <c r="X37" s="281"/>
      <c r="Y37" s="281"/>
      <c r="Z37" s="281"/>
      <c r="AA37" s="281"/>
      <c r="AB37" s="281"/>
      <c r="AC37" s="281"/>
      <c r="AD37" s="281"/>
      <c r="AE37" s="281"/>
      <c r="AF37" s="281"/>
      <c r="AG37" s="281"/>
      <c r="AH37" s="281"/>
      <c r="AI37" s="281"/>
      <c r="AJ37" s="281"/>
      <c r="AK37" s="281"/>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row>
    <row r="38" s="2" customFormat="1" ht="15.95" customHeight="1">
      <c r="B38" s="324"/>
      <c r="C38" s="305" t="s">
        <v>44</v>
      </c>
      <c r="D38" s="312">
        <v>40.171990171990171990171990170</v>
      </c>
      <c r="E38" s="159">
        <v>17.142063166582214044863685410</v>
      </c>
      <c r="F38" s="159">
        <v>62.055531945034707465646692170</v>
      </c>
      <c r="G38" s="159">
        <v>8.049966524587441203265348060</v>
      </c>
      <c r="H38" s="159">
        <v>64.735550422152089071375037380</v>
      </c>
      <c r="I38" s="159">
        <v>8.414714908962472513275492680</v>
      </c>
      <c r="J38" s="320">
        <v>104.33567183706452833551927179</v>
      </c>
      <c r="K38" s="159">
        <v>-8.341328837682326992600640610</v>
      </c>
      <c r="L38" s="160">
        <v>140.49496321478176425837177206</v>
      </c>
      <c r="M38" s="159">
        <v>-2.0172135289144741093821248400</v>
      </c>
      <c r="N38" s="159">
        <v>74.262926904751568455954469160</v>
      </c>
      <c r="O38" s="313">
        <v>-6.4543125753208178215553487900</v>
      </c>
      <c r="P38" s="320">
        <v>41.913715836265480056160690266</v>
      </c>
      <c r="Q38" s="159">
        <v>7.3708584705515592131132712600</v>
      </c>
      <c r="R38" s="160">
        <v>87.18489677891365892248159052</v>
      </c>
      <c r="S38" s="159">
        <v>5.8703679818296328861331246100</v>
      </c>
      <c r="T38" s="159">
        <v>48.074514491378284930012681260</v>
      </c>
      <c r="U38" s="313">
        <v>1.4172903311078025143294184400</v>
      </c>
      <c r="W38" s="281"/>
      <c r="X38" s="281"/>
      <c r="Y38" s="281"/>
      <c r="Z38" s="281"/>
      <c r="AA38" s="281"/>
      <c r="AB38" s="281"/>
      <c r="AC38" s="281"/>
      <c r="AD38" s="281"/>
      <c r="AE38" s="281"/>
      <c r="AF38" s="281"/>
      <c r="AG38" s="281"/>
      <c r="AH38" s="281"/>
      <c r="AI38" s="281"/>
      <c r="AJ38" s="281"/>
      <c r="AK38" s="281"/>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row>
    <row r="39" s="2" customFormat="1" ht="15.95" customHeight="1">
      <c r="B39" s="325"/>
      <c r="C39" s="306" t="s">
        <v>45</v>
      </c>
      <c r="D39" s="314">
        <v>40.264669675830939679934345510</v>
      </c>
      <c r="E39" s="315">
        <v>-9.252603185928763440116012600</v>
      </c>
      <c r="F39" s="315">
        <v>58.301459130188411956367757470</v>
      </c>
      <c r="G39" s="315">
        <v>0.0294901128277124873835001900</v>
      </c>
      <c r="H39" s="315">
        <v>69.062885005864198702641659100</v>
      </c>
      <c r="I39" s="315">
        <v>-9.279356806092165136471737940</v>
      </c>
      <c r="J39" s="321">
        <v>111.139908869410567045083093</v>
      </c>
      <c r="K39" s="315">
        <v>-1.3723915798584196598994528900</v>
      </c>
      <c r="L39" s="322">
        <v>142.34959059345489134907140089</v>
      </c>
      <c r="M39" s="315">
        <v>-1.2119524932396303719796417500</v>
      </c>
      <c r="N39" s="315">
        <v>78.075327372585687875031487950</v>
      </c>
      <c r="O39" s="316">
        <v>-0.1624073870193513348859148200</v>
      </c>
      <c r="P39" s="321">
        <v>44.750117184287697543285919165</v>
      </c>
      <c r="Q39" s="315">
        <v>-10.498012818779520711963674090</v>
      </c>
      <c r="R39" s="322">
        <v>82.99188838183363158338339005</v>
      </c>
      <c r="S39" s="315">
        <v>-1.1828197865815040938783780400</v>
      </c>
      <c r="T39" s="315">
        <v>53.921073561330522672439966180</v>
      </c>
      <c r="U39" s="316">
        <v>-9.426693832128604385639314190</v>
      </c>
      <c r="W39" s="281"/>
      <c r="X39" s="281"/>
      <c r="Y39" s="281"/>
      <c r="Z39" s="281"/>
      <c r="AA39" s="281"/>
      <c r="AB39" s="281"/>
      <c r="AC39" s="281"/>
      <c r="AD39" s="281"/>
      <c r="AE39" s="281"/>
      <c r="AF39" s="281"/>
      <c r="AG39" s="281"/>
      <c r="AH39" s="281"/>
      <c r="AI39" s="281"/>
      <c r="AJ39" s="281"/>
      <c r="AK39" s="281"/>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row>
    <row r="40" s="2" customFormat="1" ht="5.1" customHeight="1">
      <c r="B40" s="5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row>
    <row r="41" s="9" customFormat="1" ht="5.1" customHeight="1">
      <c r="B41" s="5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row>
    <row r="42" s="2" customFormat="1" ht="15.95" customHeight="1">
      <c r="B42" s="323" t="s">
        <v>49</v>
      </c>
      <c r="C42" s="303" t="s">
        <v>42</v>
      </c>
      <c r="D42" s="307">
        <v>26.666666666666666666666666670</v>
      </c>
      <c r="E42" s="308">
        <v>-35.163398692866394976291121790</v>
      </c>
      <c r="F42" s="308">
        <v>52.283609576427255985267034990</v>
      </c>
      <c r="G42" s="308">
        <v>-3.8848920862681329976221743500</v>
      </c>
      <c r="H42" s="308">
        <v>51.003874603760297898701502380</v>
      </c>
      <c r="I42" s="308">
        <v>-32.542757622064042035137968400</v>
      </c>
      <c r="J42" s="317">
        <v>88.08860545805303606480496251</v>
      </c>
      <c r="K42" s="308">
        <v>-18.992209075020736972320304490</v>
      </c>
      <c r="L42" s="318">
        <v>135.37667500924459866120111301</v>
      </c>
      <c r="M42" s="308">
        <v>-3.3064976083788016762069243900</v>
      </c>
      <c r="N42" s="308">
        <v>65.069263558191737104971238730</v>
      </c>
      <c r="O42" s="309">
        <v>-16.222094637796561336615899820</v>
      </c>
      <c r="P42" s="317">
        <v>23.49029478881414295061465667</v>
      </c>
      <c r="Q42" s="308">
        <v>-47.477301570243618243030438640</v>
      </c>
      <c r="R42" s="318">
        <v>70.779812219382212817523012862</v>
      </c>
      <c r="S42" s="308">
        <v>-7.0629358307151642705643111100</v>
      </c>
      <c r="T42" s="308">
        <v>33.187845590773834952340453780</v>
      </c>
      <c r="U42" s="309">
        <v>-43.485735320716194547524478820</v>
      </c>
      <c r="W42" s="281"/>
      <c r="X42" s="281"/>
      <c r="Y42" s="281"/>
      <c r="Z42" s="281"/>
      <c r="AA42" s="281"/>
      <c r="AB42" s="281"/>
      <c r="AC42" s="281"/>
      <c r="AD42" s="281"/>
      <c r="AE42" s="281"/>
      <c r="AF42" s="281"/>
      <c r="AG42" s="281"/>
      <c r="AH42" s="281"/>
      <c r="AI42" s="281"/>
      <c r="AJ42" s="281"/>
      <c r="AK42" s="281"/>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row>
    <row r="43" s="2" customFormat="1" ht="15.95" customHeight="1">
      <c r="B43" s="324"/>
      <c r="C43" s="304" t="s">
        <v>58</v>
      </c>
      <c r="D43" s="310">
        <v>35.613612925403918872464764520</v>
      </c>
      <c r="E43" s="134">
        <v>-7.8702085657272932911807583600</v>
      </c>
      <c r="F43" s="134">
        <v>54.455533772945998930671894490</v>
      </c>
      <c r="G43" s="134">
        <v>-0.8159779279525696264932738100</v>
      </c>
      <c r="H43" s="134">
        <v>65.399437776013806166682927620</v>
      </c>
      <c r="I43" s="134">
        <v>-7.1122651514430471031284340600</v>
      </c>
      <c r="J43" s="319">
        <v>109.81400920781799072471116739</v>
      </c>
      <c r="K43" s="134">
        <v>-2.8735416144749015681646885500</v>
      </c>
      <c r="L43" s="135">
        <v>135.51718007058070469439187101</v>
      </c>
      <c r="M43" s="134">
        <v>-1.2928297528691778164378626600</v>
      </c>
      <c r="N43" s="134">
        <v>81.03327500661428947240599238</v>
      </c>
      <c r="O43" s="311">
        <v>-1.6014154368669863098435374900</v>
      </c>
      <c r="P43" s="319">
        <v>39.108736177139717563011608601</v>
      </c>
      <c r="Q43" s="134">
        <v>-10.517596461965726985603416690</v>
      </c>
      <c r="R43" s="135">
        <v>73.796603761479120155714553888</v>
      </c>
      <c r="S43" s="134">
        <v>-2.0982584753844207963952705500</v>
      </c>
      <c r="T43" s="134">
        <v>52.995306265764645493524726560</v>
      </c>
      <c r="U43" s="311">
        <v>-8.599783676397783641344484550</v>
      </c>
      <c r="W43" s="281"/>
      <c r="X43" s="281"/>
      <c r="Y43" s="281"/>
      <c r="Z43" s="281"/>
      <c r="AA43" s="281"/>
      <c r="AB43" s="281"/>
      <c r="AC43" s="281"/>
      <c r="AD43" s="281"/>
      <c r="AE43" s="281"/>
      <c r="AF43" s="281"/>
      <c r="AG43" s="281"/>
      <c r="AH43" s="281"/>
      <c r="AI43" s="281"/>
      <c r="AJ43" s="281"/>
      <c r="AK43" s="281"/>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row>
    <row r="44" s="2" customFormat="1" ht="15.95" customHeight="1">
      <c r="B44" s="324"/>
      <c r="C44" s="305" t="s">
        <v>44</v>
      </c>
      <c r="D44" s="312">
        <v>32.343987823439878234398782340</v>
      </c>
      <c r="E44" s="159">
        <v>-13.677966272603564061017065750</v>
      </c>
      <c r="F44" s="159">
        <v>56.386477242830833991054985530</v>
      </c>
      <c r="G44" s="159">
        <v>0.9721316228206270197324128200</v>
      </c>
      <c r="H44" s="159">
        <v>57.361249372197459257302688490</v>
      </c>
      <c r="I44" s="159">
        <v>-14.509050824052577500041953190</v>
      </c>
      <c r="J44" s="320">
        <v>102.15629725106128957516201364</v>
      </c>
      <c r="K44" s="159">
        <v>-6.5953615266875216094936343300</v>
      </c>
      <c r="L44" s="160">
        <v>136.03923967606746272568387147</v>
      </c>
      <c r="M44" s="159">
        <v>-0.6821355197706096350966685900</v>
      </c>
      <c r="N44" s="159">
        <v>75.093258014590755053043128770</v>
      </c>
      <c r="O44" s="313">
        <v>-5.953839259325392172248796700</v>
      </c>
      <c r="P44" s="320">
        <v>33.041420343760310555132310346</v>
      </c>
      <c r="Q44" s="159">
        <v>-19.371216474011864608088251990</v>
      </c>
      <c r="R44" s="160">
        <v>76.707734921265874634786097744</v>
      </c>
      <c r="S44" s="159">
        <v>0.2833648479344738846092606500</v>
      </c>
      <c r="T44" s="159">
        <v>43.074430991424642828240860260</v>
      </c>
      <c r="U44" s="313">
        <v>-19.599044519365142291179025670</v>
      </c>
      <c r="W44" s="281"/>
      <c r="X44" s="281"/>
      <c r="Y44" s="281"/>
      <c r="Z44" s="281"/>
      <c r="AA44" s="281"/>
      <c r="AB44" s="281"/>
      <c r="AC44" s="281"/>
      <c r="AD44" s="281"/>
      <c r="AE44" s="281"/>
      <c r="AF44" s="281"/>
      <c r="AG44" s="281"/>
      <c r="AH44" s="281"/>
      <c r="AI44" s="281"/>
      <c r="AJ44" s="281"/>
      <c r="AK44" s="281"/>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row>
    <row r="45" s="2" customFormat="1" ht="15.95" customHeight="1">
      <c r="B45" s="325"/>
      <c r="C45" s="306" t="s">
        <v>45</v>
      </c>
      <c r="D45" s="314">
        <v>35.001006643849406080128850410</v>
      </c>
      <c r="E45" s="315">
        <v>-13.530080138114329064129591930</v>
      </c>
      <c r="F45" s="315">
        <v>51.926752145661767260849925290</v>
      </c>
      <c r="G45" s="315">
        <v>0.5919981423494597746600816900</v>
      </c>
      <c r="H45" s="315">
        <v>67.404575093857093485028805970</v>
      </c>
      <c r="I45" s="315">
        <v>-14.038967851639166245953221820</v>
      </c>
      <c r="J45" s="321">
        <v>107.7934268530083591255350324</v>
      </c>
      <c r="K45" s="315">
        <v>-2.6281060063704740081817283300</v>
      </c>
      <c r="L45" s="322">
        <v>136.34416629921022635265149395</v>
      </c>
      <c r="M45" s="315">
        <v>0.216435621641233659595164500</v>
      </c>
      <c r="N45" s="315">
        <v>79.059801221316234294437548130</v>
      </c>
      <c r="O45" s="316">
        <v>-2.838398322915505607032927700</v>
      </c>
      <c r="P45" s="321">
        <v>37.728784494454405544542511339</v>
      </c>
      <c r="Q45" s="315">
        <v>-15.802601295614566224793109580</v>
      </c>
      <c r="R45" s="322">
        <v>70.799097299259794385281765371</v>
      </c>
      <c r="S45" s="315">
        <v>0.8097150588091341769767710500</v>
      </c>
      <c r="T45" s="315">
        <v>53.289923083281225686087215010</v>
      </c>
      <c r="U45" s="316">
        <v>-16.478884346409252160462287490</v>
      </c>
      <c r="W45" s="281"/>
      <c r="X45" s="281"/>
      <c r="Y45" s="281"/>
      <c r="Z45" s="281"/>
      <c r="AA45" s="281"/>
      <c r="AB45" s="281"/>
      <c r="AC45" s="281"/>
      <c r="AD45" s="281"/>
      <c r="AE45" s="281"/>
      <c r="AF45" s="281"/>
      <c r="AG45" s="281"/>
      <c r="AH45" s="281"/>
      <c r="AI45" s="281"/>
      <c r="AJ45" s="281"/>
      <c r="AK45" s="281"/>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row>
    <row r="46" s="2" customFormat="1" ht="5.1" customHeight="1">
      <c r="A46" s="54"/>
      <c r="B46" s="5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row>
    <row r="47" s="9" customFormat="1" ht="5.1" customHeight="1">
      <c r="A47" s="54"/>
      <c r="B47" s="5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row>
    <row r="48" s="2" customFormat="1" ht="15.95" customHeight="1">
      <c r="B48" s="323" t="s">
        <v>50</v>
      </c>
      <c r="C48" s="303" t="s">
        <v>42</v>
      </c>
      <c r="D48" s="307">
        <v>36.424731182795698924731182800</v>
      </c>
      <c r="E48" s="308">
        <v>-7.5085324231905135761627940800</v>
      </c>
      <c r="F48" s="308">
        <v>70.257826887661141804788213630</v>
      </c>
      <c r="G48" s="308">
        <v>1.733333333278804266666695900</v>
      </c>
      <c r="H48" s="308">
        <v>51.844374920700197517747744480</v>
      </c>
      <c r="I48" s="308">
        <v>-9.084402775163488643643752180</v>
      </c>
      <c r="J48" s="317">
        <v>99.91501093987163925854472499</v>
      </c>
      <c r="K48" s="308">
        <v>-4.0026656316679145259419831100</v>
      </c>
      <c r="L48" s="318">
        <v>132.02720140866998320485992673</v>
      </c>
      <c r="M48" s="308">
        <v>-2.728685057362528751032480700</v>
      </c>
      <c r="N48" s="308">
        <v>75.67759512721723758546382800</v>
      </c>
      <c r="O48" s="309">
        <v>-1.3097186720561505901652247300</v>
      </c>
      <c r="P48" s="317">
        <v>36.393774146109158923475296333</v>
      </c>
      <c r="Q48" s="308">
        <v>-11.210656608058667944198573560</v>
      </c>
      <c r="R48" s="318">
        <v>92.75944261032706923140711243</v>
      </c>
      <c r="S48" s="308">
        <v>-1.0426489316662324088992955200</v>
      </c>
      <c r="T48" s="308">
        <v>39.234576148766117725843671910</v>
      </c>
      <c r="U48" s="309">
        <v>-10.275141327768824747419842620</v>
      </c>
      <c r="W48" s="281"/>
      <c r="X48" s="281"/>
      <c r="Y48" s="281"/>
      <c r="Z48" s="281"/>
      <c r="AA48" s="281"/>
      <c r="AB48" s="281"/>
      <c r="AC48" s="281"/>
      <c r="AD48" s="281"/>
      <c r="AE48" s="281"/>
      <c r="AF48" s="281"/>
      <c r="AG48" s="281"/>
      <c r="AH48" s="281"/>
      <c r="AI48" s="281"/>
      <c r="AJ48" s="281"/>
      <c r="AK48" s="281"/>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row>
    <row r="49" s="2" customFormat="1" ht="15.95" customHeight="1">
      <c r="B49" s="324"/>
      <c r="C49" s="304" t="s">
        <v>58</v>
      </c>
      <c r="D49" s="310">
        <v>51.420454545454545454545454550</v>
      </c>
      <c r="E49" s="134">
        <v>5.8768030862728464624046112800</v>
      </c>
      <c r="F49" s="134">
        <v>63.971761817065684468999386130</v>
      </c>
      <c r="G49" s="134">
        <v>-1.624837399199588602247998300</v>
      </c>
      <c r="H49" s="134">
        <v>80.37992558727619438350566939</v>
      </c>
      <c r="I49" s="134">
        <v>7.6255431626147473602807043300</v>
      </c>
      <c r="J49" s="319">
        <v>111.72335917355901656207479323</v>
      </c>
      <c r="K49" s="134">
        <v>-4.1237684258755511942349819600</v>
      </c>
      <c r="L49" s="135">
        <v>133.94405455549246457044991495</v>
      </c>
      <c r="M49" s="134">
        <v>-2.1599545615381265008545061500</v>
      </c>
      <c r="N49" s="134">
        <v>83.41046532025518781748775866</v>
      </c>
      <c r="O49" s="311">
        <v>-2.0071677762885641813446639800</v>
      </c>
      <c r="P49" s="319">
        <v>57.448659120494835220839595382</v>
      </c>
      <c r="Q49" s="134">
        <v>1.5106889101597930795996458200</v>
      </c>
      <c r="R49" s="135">
        <v>85.68637154836015796738235505</v>
      </c>
      <c r="S49" s="134">
        <v>-3.7496962112157320521196547100</v>
      </c>
      <c r="T49" s="134">
        <v>67.045269956430497890702764090</v>
      </c>
      <c r="U49" s="311">
        <v>5.4653179412391234621145823800</v>
      </c>
      <c r="W49" s="281"/>
      <c r="X49" s="281"/>
      <c r="Y49" s="281"/>
      <c r="Z49" s="281"/>
      <c r="AA49" s="281"/>
      <c r="AB49" s="281"/>
      <c r="AC49" s="281"/>
      <c r="AD49" s="281"/>
      <c r="AE49" s="281"/>
      <c r="AF49" s="281"/>
      <c r="AG49" s="281"/>
      <c r="AH49" s="281"/>
      <c r="AI49" s="281"/>
      <c r="AJ49" s="281"/>
      <c r="AK49" s="281"/>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row>
    <row r="50" s="2" customFormat="1" ht="15.95" customHeight="1">
      <c r="B50" s="324"/>
      <c r="C50" s="305" t="s">
        <v>44</v>
      </c>
      <c r="D50" s="312">
        <v>52.334152334152334152334152330</v>
      </c>
      <c r="E50" s="159">
        <v>9.278048656197537469963648590</v>
      </c>
      <c r="F50" s="159">
        <v>69.669924918543703074089814420</v>
      </c>
      <c r="G50" s="159">
        <v>0.7064605303402096114999114600</v>
      </c>
      <c r="H50" s="159">
        <v>75.117279651690334198668614470</v>
      </c>
      <c r="I50" s="159">
        <v>8.511458034507567294604179280</v>
      </c>
      <c r="J50" s="320">
        <v>109.92939601063957609041120775</v>
      </c>
      <c r="K50" s="159">
        <v>-6.0682094711430073837201620400</v>
      </c>
      <c r="L50" s="160">
        <v>135.06435442895159669643100043</v>
      </c>
      <c r="M50" s="159">
        <v>-3.6281792128103749934260064200</v>
      </c>
      <c r="N50" s="159">
        <v>81.39038347710516645541431580</v>
      </c>
      <c r="O50" s="313">
        <v>-2.531891831560116662458627400</v>
      </c>
      <c r="P50" s="320">
        <v>57.530617568221694612426504304</v>
      </c>
      <c r="Q50" s="159">
        <v>2.6468277577264061217311456500</v>
      </c>
      <c r="R50" s="160">
        <v>94.09923432236633411999541863</v>
      </c>
      <c r="S50" s="159">
        <v>-2.9473503365705926442032818300</v>
      </c>
      <c r="T50" s="159">
        <v>61.138241966041936657961849630</v>
      </c>
      <c r="U50" s="313">
        <v>5.7640652920878530760443077400</v>
      </c>
      <c r="W50" s="281"/>
      <c r="X50" s="281"/>
      <c r="Y50" s="281"/>
      <c r="Z50" s="281"/>
      <c r="AA50" s="281"/>
      <c r="AB50" s="281"/>
      <c r="AC50" s="281"/>
      <c r="AD50" s="281"/>
      <c r="AE50" s="281"/>
      <c r="AF50" s="281"/>
      <c r="AG50" s="281"/>
      <c r="AH50" s="281"/>
      <c r="AI50" s="281"/>
      <c r="AJ50" s="281"/>
      <c r="AK50" s="281"/>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row>
    <row r="51" s="2" customFormat="1" ht="15.95" customHeight="1">
      <c r="B51" s="325"/>
      <c r="C51" s="306" t="s">
        <v>45</v>
      </c>
      <c r="D51" s="314">
        <v>49.723020106688551497743126800</v>
      </c>
      <c r="E51" s="315">
        <v>-5.7387200173321870375871321400</v>
      </c>
      <c r="F51" s="315">
        <v>61.430443405581527128488454460</v>
      </c>
      <c r="G51" s="315">
        <v>-0.7769122085468046564891124500</v>
      </c>
      <c r="H51" s="315">
        <v>80.94198470681362582214661950</v>
      </c>
      <c r="I51" s="315">
        <v>-5.0006585353803238373518929600</v>
      </c>
      <c r="J51" s="321">
        <v>118.07153611508063717850604445</v>
      </c>
      <c r="K51" s="315">
        <v>0.524047129370980201600953300</v>
      </c>
      <c r="L51" s="322">
        <v>136.26859828301501449561743325</v>
      </c>
      <c r="M51" s="315">
        <v>-0.4126881594144045617180302900</v>
      </c>
      <c r="N51" s="315">
        <v>86.64618085369304626041189881</v>
      </c>
      <c r="O51" s="316">
        <v>0.9406171041759969988990204900</v>
      </c>
      <c r="P51" s="321">
        <v>58.708733642777579852710176187</v>
      </c>
      <c r="Q51" s="315">
        <v>-5.2447464854425833979942951600</v>
      </c>
      <c r="R51" s="322">
        <v>83.71040414782677907400949811</v>
      </c>
      <c r="S51" s="315">
        <v>-1.1863941432964989696087330300</v>
      </c>
      <c r="T51" s="315">
        <v>70.133138455670099519803738010</v>
      </c>
      <c r="U51" s="316">
        <v>-4.1070784805803458962856882900</v>
      </c>
      <c r="W51" s="281"/>
      <c r="X51" s="281"/>
      <c r="Y51" s="281"/>
      <c r="Z51" s="281"/>
      <c r="AA51" s="281"/>
      <c r="AB51" s="281"/>
      <c r="AC51" s="281"/>
      <c r="AD51" s="281"/>
      <c r="AE51" s="281"/>
      <c r="AF51" s="281"/>
      <c r="AG51" s="281"/>
      <c r="AH51" s="281"/>
      <c r="AI51" s="281"/>
      <c r="AJ51" s="281"/>
      <c r="AK51" s="281"/>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row>
    <row r="52" s="2" customFormat="1" ht="5.1" customHeight="1">
      <c r="B52" s="5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row>
    <row r="53" s="9" customFormat="1" ht="5.1" customHeight="1">
      <c r="B53" s="5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row>
    <row r="54" s="2" customFormat="1" ht="15.95" customHeight="1">
      <c r="B54" s="323" t="s">
        <v>51</v>
      </c>
      <c r="C54" s="303" t="s">
        <v>42</v>
      </c>
      <c r="D54" s="307">
        <v>38.575268817204301075268817200</v>
      </c>
      <c r="E54" s="308">
        <v>2.4999999998652857142858913300</v>
      </c>
      <c r="F54" s="308">
        <v>70.948434622467771639042357270</v>
      </c>
      <c r="G54" s="308">
        <v>6.7914067914032390938835846400</v>
      </c>
      <c r="H54" s="308">
        <v>54.370852609298950252211136720</v>
      </c>
      <c r="I54" s="308">
        <v>-4.0184944840761796993039898100</v>
      </c>
      <c r="J54" s="317">
        <v>100.87096079694982038202700965</v>
      </c>
      <c r="K54" s="308">
        <v>-12.646184580141120654709091940</v>
      </c>
      <c r="L54" s="318">
        <v>132.63078082835555885385368619</v>
      </c>
      <c r="M54" s="308">
        <v>-0.2413791949264215632388834400</v>
      </c>
      <c r="N54" s="308">
        <v>76.053959847720730439426261910</v>
      </c>
      <c r="O54" s="309">
        <v>-12.434820454743693029344132720</v>
      </c>
      <c r="P54" s="317">
        <v>38.911244285920159206507730872</v>
      </c>
      <c r="Q54" s="308">
        <v>-10.462339194755418994911667180</v>
      </c>
      <c r="R54" s="318">
        <v>94.09946282527436288848459044</v>
      </c>
      <c r="S54" s="308">
        <v>6.5336345534964024709645705800</v>
      </c>
      <c r="T54" s="308">
        <v>41.351186412361016203570073700</v>
      </c>
      <c r="U54" s="309">
        <v>-15.953622364912474703879845770</v>
      </c>
      <c r="W54" s="281"/>
      <c r="X54" s="281"/>
      <c r="Y54" s="281"/>
      <c r="Z54" s="281"/>
      <c r="AA54" s="281"/>
      <c r="AB54" s="281"/>
      <c r="AC54" s="281"/>
      <c r="AD54" s="281"/>
      <c r="AE54" s="281"/>
      <c r="AF54" s="281"/>
      <c r="AG54" s="281"/>
      <c r="AH54" s="281"/>
      <c r="AI54" s="281"/>
      <c r="AJ54" s="281"/>
      <c r="AK54" s="281"/>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row>
    <row r="55" s="2" customFormat="1" ht="15.95" customHeight="1">
      <c r="B55" s="324"/>
      <c r="C55" s="304" t="s">
        <v>58</v>
      </c>
      <c r="D55" s="310">
        <v>50.674715909090909090909090910</v>
      </c>
      <c r="E55" s="134">
        <v>4.3028088427210297860197133800</v>
      </c>
      <c r="F55" s="134">
        <v>62.599754450583179864947820750</v>
      </c>
      <c r="G55" s="134">
        <v>-0.6491198266660198988067299100</v>
      </c>
      <c r="H55" s="134">
        <v>80.95034294276725718570687998</v>
      </c>
      <c r="I55" s="134">
        <v>4.9842826362191321174143183700</v>
      </c>
      <c r="J55" s="319">
        <v>109.5738031096850865849296489</v>
      </c>
      <c r="K55" s="134">
        <v>-5.5385917798369363635548057800</v>
      </c>
      <c r="L55" s="135">
        <v>133.67661881204188694974555276</v>
      </c>
      <c r="M55" s="134">
        <v>-2.1569223415580275272365441100</v>
      </c>
      <c r="N55" s="134">
        <v>81.96931077661935094646134690</v>
      </c>
      <c r="O55" s="311">
        <v>-3.4562173627760738205987059800</v>
      </c>
      <c r="P55" s="319">
        <v>55.526213436619537839735301484</v>
      </c>
      <c r="Q55" s="134">
        <v>-1.4740979540240116117181138900</v>
      </c>
      <c r="R55" s="135">
        <v>83.68123513418030338674218995</v>
      </c>
      <c r="S55" s="134">
        <v>-2.7920411577502309839114225200</v>
      </c>
      <c r="T55" s="134">
        <v>66.354438181477462420568418850</v>
      </c>
      <c r="U55" s="311">
        <v>1.3557976316879381775856771400</v>
      </c>
      <c r="W55" s="281"/>
      <c r="X55" s="281"/>
      <c r="Y55" s="281"/>
      <c r="Z55" s="281"/>
      <c r="AA55" s="281"/>
      <c r="AB55" s="281"/>
      <c r="AC55" s="281"/>
      <c r="AD55" s="281"/>
      <c r="AE55" s="281"/>
      <c r="AF55" s="281"/>
      <c r="AG55" s="281"/>
      <c r="AH55" s="281"/>
      <c r="AI55" s="281"/>
      <c r="AJ55" s="281"/>
      <c r="AK55" s="281"/>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row>
    <row r="56" s="2" customFormat="1" ht="15.95" customHeight="1">
      <c r="B56" s="324"/>
      <c r="C56" s="305" t="s">
        <v>44</v>
      </c>
      <c r="D56" s="312">
        <v>52.661752661752661752661752660</v>
      </c>
      <c r="E56" s="159">
        <v>14.408012521314431871905376980</v>
      </c>
      <c r="F56" s="159">
        <v>68.819946168012466355007791470</v>
      </c>
      <c r="G56" s="159">
        <v>6.4067462489967906676666157400</v>
      </c>
      <c r="H56" s="159">
        <v>76.521060526838076954570384840</v>
      </c>
      <c r="I56" s="159">
        <v>7.5195103264777482655167412500</v>
      </c>
      <c r="J56" s="320">
        <v>107.12712039589269561707440667</v>
      </c>
      <c r="K56" s="159">
        <v>-7.7683352292885686746093601500</v>
      </c>
      <c r="L56" s="160">
        <v>134.9133420401405058095779082</v>
      </c>
      <c r="M56" s="159">
        <v>-2.2624855996753120749155164200</v>
      </c>
      <c r="N56" s="159">
        <v>79.40439305406246181522607266</v>
      </c>
      <c r="O56" s="313">
        <v>-5.6333022825077560836369977300</v>
      </c>
      <c r="P56" s="320">
        <v>56.415019176543000230777103595</v>
      </c>
      <c r="Q56" s="159">
        <v>5.5204145794605946214541534400</v>
      </c>
      <c r="R56" s="160">
        <v>92.84728936549122782588602891</v>
      </c>
      <c r="S56" s="159">
        <v>3.9993089380167111260739136100</v>
      </c>
      <c r="T56" s="159">
        <v>60.761083669832556357718866850</v>
      </c>
      <c r="U56" s="313">
        <v>1.4626112970062555210508897400</v>
      </c>
      <c r="W56" s="281"/>
      <c r="X56" s="281"/>
      <c r="Y56" s="281"/>
      <c r="Z56" s="281"/>
      <c r="AA56" s="281"/>
      <c r="AB56" s="281"/>
      <c r="AC56" s="281"/>
      <c r="AD56" s="281"/>
      <c r="AE56" s="281"/>
      <c r="AF56" s="281"/>
      <c r="AG56" s="281"/>
      <c r="AH56" s="281"/>
      <c r="AI56" s="281"/>
      <c r="AJ56" s="281"/>
      <c r="AK56" s="281"/>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row>
    <row r="57" s="2" customFormat="1" ht="15.95" customHeight="1">
      <c r="B57" s="325"/>
      <c r="C57" s="306" t="s">
        <v>45</v>
      </c>
      <c r="D57" s="314">
        <v>49.476815757078375051292572840</v>
      </c>
      <c r="E57" s="315">
        <v>-6.6810136501258845325482489400</v>
      </c>
      <c r="F57" s="315">
        <v>59.278934693299334183312083860</v>
      </c>
      <c r="G57" s="315">
        <v>-0.7748605406686787227849152700</v>
      </c>
      <c r="H57" s="315">
        <v>83.46441448899804675817739008</v>
      </c>
      <c r="I57" s="315">
        <v>-5.952274939176950307092146200</v>
      </c>
      <c r="J57" s="321">
        <v>113.70001587625369982059738816</v>
      </c>
      <c r="K57" s="315">
        <v>-3.6829637639982878766290283500</v>
      </c>
      <c r="L57" s="322">
        <v>135.69152747272843485879104766</v>
      </c>
      <c r="M57" s="315">
        <v>-0.1988813955948424359396400100</v>
      </c>
      <c r="N57" s="315">
        <v>83.79301050990762241201991707</v>
      </c>
      <c r="O57" s="316">
        <v>-3.491025368402629343048076200</v>
      </c>
      <c r="P57" s="321">
        <v>56.255147370862904619895486572</v>
      </c>
      <c r="Q57" s="315">
        <v>-10.117918102286579216541496340</v>
      </c>
      <c r="R57" s="322">
        <v>80.43649195489901341076797548</v>
      </c>
      <c r="S57" s="315">
        <v>-0.9722008828824518178928889300</v>
      </c>
      <c r="T57" s="315">
        <v>69.937345604784265688331100260</v>
      </c>
      <c r="U57" s="316">
        <v>-9.235504879386780968392638300</v>
      </c>
      <c r="W57" s="281"/>
      <c r="X57" s="281"/>
      <c r="Y57" s="281"/>
      <c r="Z57" s="281"/>
      <c r="AA57" s="281"/>
      <c r="AB57" s="281"/>
      <c r="AC57" s="281"/>
      <c r="AD57" s="281"/>
      <c r="AE57" s="281"/>
      <c r="AF57" s="281"/>
      <c r="AG57" s="281"/>
      <c r="AH57" s="281"/>
      <c r="AI57" s="281"/>
      <c r="AJ57" s="281"/>
      <c r="AK57" s="281"/>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row>
    <row r="58" s="2" customFormat="1" ht="5.1" customHeight="1">
      <c r="B58" s="5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row>
    <row r="60" ht="15.95" customHeight="1">
      <c r="B60" s="344" t="s">
        <v>40</v>
      </c>
      <c r="C60" s="348" t="s">
        <v>42</v>
      </c>
      <c r="D60" s="238">
        <v>36.325385694249649368863955120</v>
      </c>
      <c r="E60" s="327">
        <v>1.9685039368930590861183015200</v>
      </c>
      <c r="F60" s="327">
        <v>56.757946993354151653455040440</v>
      </c>
      <c r="G60" s="327">
        <v>12.685796041717677580902847010</v>
      </c>
      <c r="H60" s="327">
        <v>64.000527888145221689363675810</v>
      </c>
      <c r="I60" s="239">
        <v>-9.510774632856025312490919170</v>
      </c>
      <c r="J60" s="326">
        <v>99.92201820242611796093476687</v>
      </c>
      <c r="K60" s="327">
        <v>-8.562683291533887659781522650</v>
      </c>
      <c r="L60" s="328">
        <v>136.98074167932195661079145395</v>
      </c>
      <c r="M60" s="327">
        <v>-1.7008391354972735390401567300</v>
      </c>
      <c r="N60" s="327">
        <v>72.946033856616172030301040840</v>
      </c>
      <c r="O60" s="239">
        <v>-6.9805724643606320119584610800</v>
      </c>
      <c r="P60" s="326">
        <v>36.297058505509627702499445468</v>
      </c>
      <c r="Q60" s="327">
        <v>-6.7627361122642770119691654300</v>
      </c>
      <c r="R60" s="328">
        <v>77.747456753452933736535769185</v>
      </c>
      <c r="S60" s="327">
        <v>10.769191922356605090678499340</v>
      </c>
      <c r="T60" s="327">
        <v>46.685846741701455162441560560</v>
      </c>
      <c r="U60" s="239">
        <v>-15.827440582041675806877615900</v>
      </c>
    </row>
    <row r="61" ht="15.95" customHeight="1">
      <c r="B61" s="345" t="s">
        <v>67</v>
      </c>
      <c r="C61" s="304" t="s">
        <v>58</v>
      </c>
      <c r="D61" s="240">
        <v>32.526012997620654142547675700</v>
      </c>
      <c r="E61" s="121">
        <v>-9.367935191813111565324034640</v>
      </c>
      <c r="F61" s="121">
        <v>51.318212658718619753804400500</v>
      </c>
      <c r="G61" s="121">
        <v>-1.5068374042098130369145382900</v>
      </c>
      <c r="H61" s="121">
        <v>63.381032410345461092062450430</v>
      </c>
      <c r="I61" s="241">
        <v>-7.981363965138963907788538190</v>
      </c>
      <c r="J61" s="329">
        <v>108.94904331895751183784716461</v>
      </c>
      <c r="K61" s="121">
        <v>-3.2663907785151105822494922500</v>
      </c>
      <c r="L61" s="136">
        <v>138.16474790210161091305771626</v>
      </c>
      <c r="M61" s="121">
        <v>-2.1677352556828331041896270700</v>
      </c>
      <c r="N61" s="121">
        <v>78.854443679190883190967814200</v>
      </c>
      <c r="O61" s="241">
        <v>-1.1229991717921395845617706500</v>
      </c>
      <c r="P61" s="329">
        <v>35.43677999070747721591115383</v>
      </c>
      <c r="Q61" s="121">
        <v>-12.328332599082537963832597310</v>
      </c>
      <c r="R61" s="136">
        <v>70.903679147782977510825247528</v>
      </c>
      <c r="S61" s="121">
        <v>-3.6419084142552987807161942600</v>
      </c>
      <c r="T61" s="121">
        <v>49.978760505274866187288958030</v>
      </c>
      <c r="U61" s="241">
        <v>-9.014732485719627197081354450</v>
      </c>
    </row>
    <row r="62" ht="15.95" customHeight="1">
      <c r="B62" s="345"/>
      <c r="C62" s="305" t="s">
        <v>44</v>
      </c>
      <c r="D62" s="341">
        <v>33.587098886705959397511460380</v>
      </c>
      <c r="E62" s="156">
        <v>3.9624876279997977508616159100</v>
      </c>
      <c r="F62" s="156">
        <v>53.973436017634912662536971930</v>
      </c>
      <c r="G62" s="156">
        <v>7.6584850003604384610316102700</v>
      </c>
      <c r="H62" s="156">
        <v>62.228943281939036417637353990</v>
      </c>
      <c r="I62" s="331">
        <v>-3.4330757785955534671400150800</v>
      </c>
      <c r="J62" s="330">
        <v>102.28513893962578971311157431</v>
      </c>
      <c r="K62" s="156">
        <v>-6.7969357138495248573496206700</v>
      </c>
      <c r="L62" s="186">
        <v>136.83537244933120276793040238</v>
      </c>
      <c r="M62" s="156">
        <v>-1.6862456116624268854409311300</v>
      </c>
      <c r="N62" s="156">
        <v>74.750510126703019241132262830</v>
      </c>
      <c r="O62" s="331">
        <v>-5.1983470003381100694254351100</v>
      </c>
      <c r="P62" s="330">
        <v>34.354610762056697379903142552</v>
      </c>
      <c r="Q62" s="156">
        <v>-3.1037758224378690012833492500</v>
      </c>
      <c r="R62" s="186">
        <v>73.854752198432207576875879604</v>
      </c>
      <c r="S62" s="156">
        <v>5.8430985213555049318110746800</v>
      </c>
      <c r="T62" s="156">
        <v>46.516452549685706779337232490</v>
      </c>
      <c r="U62" s="331">
        <v>-8.452959587213475946350839670</v>
      </c>
    </row>
    <row r="63" ht="15.95" customHeight="1">
      <c r="B63" s="346"/>
      <c r="C63" s="349" t="s">
        <v>45</v>
      </c>
      <c r="D63" s="244">
        <v>32.772483928977448893114781210</v>
      </c>
      <c r="E63" s="333">
        <v>-13.643955508475725341981822700</v>
      </c>
      <c r="F63" s="333">
        <v>48.438503277520233130825624630</v>
      </c>
      <c r="G63" s="333">
        <v>-1.8125821700581760012240375500</v>
      </c>
      <c r="H63" s="333">
        <v>67.657920273107366954015564670</v>
      </c>
      <c r="I63" s="245">
        <v>-12.049785603676873662813559840</v>
      </c>
      <c r="J63" s="332">
        <v>108.497915350301643479094292</v>
      </c>
      <c r="K63" s="333">
        <v>-0.7287187398870454970479109600</v>
      </c>
      <c r="L63" s="334">
        <v>139.11653760305665050529555966</v>
      </c>
      <c r="M63" s="333">
        <v>-0.3502338116007327110234743200</v>
      </c>
      <c r="N63" s="333">
        <v>77.990666832038761729001721780</v>
      </c>
      <c r="O63" s="245">
        <v>-0.3798151694145855326706821700</v>
      </c>
      <c r="P63" s="332">
        <v>35.557461871453162681350172587</v>
      </c>
      <c r="Q63" s="333">
        <v>-14.273248187597388322616605500</v>
      </c>
      <c r="R63" s="334">
        <v>67.385968626429263226242615715</v>
      </c>
      <c r="S63" s="333">
        <v>-2.1564677059888668273385571900</v>
      </c>
      <c r="T63" s="333">
        <v>52.766863185702892456938890060</v>
      </c>
      <c r="U63" s="245">
        <v>-12.383833859571360359379139610</v>
      </c>
    </row>
    <row r="64" ht="5.1" customHeight="1">
      <c r="B64" s="54"/>
      <c r="C64" s="54"/>
      <c r="D64" s="156"/>
      <c r="E64" s="156"/>
      <c r="F64" s="156"/>
      <c r="G64" s="156"/>
      <c r="H64" s="156"/>
      <c r="I64" s="156"/>
      <c r="J64" s="156"/>
      <c r="K64" s="156"/>
      <c r="L64" s="156"/>
      <c r="M64" s="156"/>
      <c r="N64" s="156"/>
      <c r="O64" s="156"/>
      <c r="P64" s="156"/>
      <c r="Q64" s="156"/>
      <c r="R64" s="156"/>
      <c r="S64" s="156"/>
      <c r="T64" s="156"/>
      <c r="U64" s="156"/>
    </row>
    <row r="65" s="4" customFormat="1" ht="5.1" customHeight="1">
      <c r="A65" s="54"/>
      <c r="B65" s="54"/>
      <c r="C65" s="5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37.500</v>
      </c>
      <c r="E66" s="327">
        <v>-2.6178010470469998081192396200</v>
      </c>
      <c r="F66" s="327">
        <v>70.603130755064456721915285450</v>
      </c>
      <c r="G66" s="327">
        <v>4.2133876996729737246903052400</v>
      </c>
      <c r="H66" s="327">
        <v>53.113791979105964233839015450</v>
      </c>
      <c r="I66" s="239">
        <v>-6.5550011352593890219138821300</v>
      </c>
      <c r="J66" s="326">
        <v>100.40669124270575750664403627</v>
      </c>
      <c r="K66" s="327">
        <v>-8.428395801636727365325200290</v>
      </c>
      <c r="L66" s="328">
        <v>132.33046710339951436726598585</v>
      </c>
      <c r="M66" s="327">
        <v>-1.5165272568150323773078208500</v>
      </c>
      <c r="N66" s="327">
        <v>75.875717391861290509508639370</v>
      </c>
      <c r="O66" s="239">
        <v>-7.0183030231445203719040105500</v>
      </c>
      <c r="P66" s="326">
        <v>37.652509216014659064991513602</v>
      </c>
      <c r="Q66" s="327">
        <v>-10.825558215103403052971228380</v>
      </c>
      <c r="R66" s="328">
        <v>93.42945271780071605994585143</v>
      </c>
      <c r="S66" s="327">
        <v>2.6329632699036788519580319800</v>
      </c>
      <c r="T66" s="327">
        <v>40.300470698188276212297667070</v>
      </c>
      <c r="U66" s="239">
        <v>-13.113254315417326404573636790</v>
      </c>
    </row>
    <row r="67" ht="15.95" customHeight="1">
      <c r="B67" s="345" t="s">
        <v>55</v>
      </c>
      <c r="C67" s="304" t="s">
        <v>58</v>
      </c>
      <c r="D67" s="240">
        <v>51.047585227272727272727272730</v>
      </c>
      <c r="E67" s="121">
        <v>5.0896607888607414500673338500</v>
      </c>
      <c r="F67" s="121">
        <v>63.285758133824432166973603440</v>
      </c>
      <c r="G67" s="121">
        <v>-1.1446739171643656318825503600</v>
      </c>
      <c r="H67" s="121">
        <v>80.66204266581892593569243467</v>
      </c>
      <c r="I67" s="241">
        <v>6.3065238394866141989234801400</v>
      </c>
      <c r="J67" s="329">
        <v>110.65643169420315636124483812</v>
      </c>
      <c r="K67" s="121">
        <v>-4.8227745311136468816391081500</v>
      </c>
      <c r="L67" s="136">
        <v>133.81178615605325874620796071</v>
      </c>
      <c r="M67" s="121">
        <v>-2.1589462985863819132327027200</v>
      </c>
      <c r="N67" s="121">
        <v>82.69557927065957935853664993</v>
      </c>
      <c r="O67" s="241">
        <v>-2.7226078745541066675244295400</v>
      </c>
      <c r="P67" s="329">
        <v>56.487436278557186530287448436</v>
      </c>
      <c r="Q67" s="121">
        <v>0.0214233935130279425415878300</v>
      </c>
      <c r="R67" s="136">
        <v>84.68380334127023067706227249</v>
      </c>
      <c r="S67" s="121">
        <v>-3.2789073205006192627291298300</v>
      </c>
      <c r="T67" s="121">
        <v>66.703943434019640792441046150</v>
      </c>
      <c r="U67" s="241">
        <v>3.4122140502124045850222079600</v>
      </c>
    </row>
    <row r="68" ht="15.95" customHeight="1">
      <c r="B68" s="345"/>
      <c r="C68" s="305" t="s">
        <v>44</v>
      </c>
      <c r="D68" s="342">
        <v>52.497952497952497952497952500</v>
      </c>
      <c r="E68" s="161">
        <v>11.792205319403452172867826390</v>
      </c>
      <c r="F68" s="161">
        <v>69.244935543278084714548802950</v>
      </c>
      <c r="G68" s="161">
        <v>3.460683670199455543913386600</v>
      </c>
      <c r="H68" s="161">
        <v>75.814862251008469201059888830</v>
      </c>
      <c r="I68" s="336">
        <v>8.052838386030078593009443990</v>
      </c>
      <c r="J68" s="335">
        <v>108.52388647843813760027426307</v>
      </c>
      <c r="K68" s="161">
        <v>-6.925778465853755403512947500</v>
      </c>
      <c r="L68" s="162">
        <v>134.98931165226948954336918353</v>
      </c>
      <c r="M68" s="161">
        <v>-2.9749855735441204953267609200</v>
      </c>
      <c r="N68" s="161">
        <v>80.39442912189193738322966588</v>
      </c>
      <c r="O68" s="336">
        <v>-4.0719322905683676231057875300</v>
      </c>
      <c r="P68" s="335">
        <v>56.972818372382347421601803952</v>
      </c>
      <c r="Q68" s="161">
        <v>4.0497248368410800142872104300</v>
      </c>
      <c r="R68" s="162">
        <v>93.47326184392878097294072377</v>
      </c>
      <c r="S68" s="161">
        <v>0.3827432566867119312336602800</v>
      </c>
      <c r="T68" s="161">
        <v>60.950925696298843655979716320</v>
      </c>
      <c r="U68" s="336">
        <v>3.6529999690742301175779658500</v>
      </c>
    </row>
    <row r="69" ht="15.95" customHeight="1">
      <c r="B69" s="346"/>
      <c r="C69" s="349" t="s">
        <v>45</v>
      </c>
      <c r="D69" s="343">
        <v>49.599917931883463274517849820</v>
      </c>
      <c r="E69" s="338">
        <v>-6.2110642742294399359732961800</v>
      </c>
      <c r="F69" s="338">
        <v>60.354689049440430655900269160</v>
      </c>
      <c r="G69" s="338">
        <v>-0.7759046695446003354967337700</v>
      </c>
      <c r="H69" s="338">
        <v>82.18071986301874186144276436</v>
      </c>
      <c r="I69" s="340">
        <v>-5.4776610323812064871816446700</v>
      </c>
      <c r="J69" s="337">
        <v>115.89120083981049044870320586</v>
      </c>
      <c r="K69" s="338">
        <v>-1.580764374403363581455463200</v>
      </c>
      <c r="L69" s="339">
        <v>135.98520569649729272522413319</v>
      </c>
      <c r="M69" s="338">
        <v>-0.3080348437535115323806268400</v>
      </c>
      <c r="N69" s="338">
        <v>85.22338900487710117415655341</v>
      </c>
      <c r="O69" s="340">
        <v>-1.2766620947509623990984432700</v>
      </c>
      <c r="P69" s="337">
        <v>57.481940506820242236302831386</v>
      </c>
      <c r="Q69" s="338">
        <v>-7.693646357368422664262249100</v>
      </c>
      <c r="R69" s="339">
        <v>82.07344805136289624238873678</v>
      </c>
      <c r="S69" s="338">
        <v>-1.0815494565345920883117278800</v>
      </c>
      <c r="T69" s="338">
        <v>70.037194575791581492160483500</v>
      </c>
      <c r="U69" s="340">
        <v>-6.6843919051601400620148012600</v>
      </c>
    </row>
    <row r="70" ht="5.1" customHeight="1">
      <c r="B70" s="54"/>
      <c r="C70" s="54"/>
      <c r="D70" s="161"/>
      <c r="E70" s="161"/>
      <c r="F70" s="161"/>
      <c r="G70" s="161"/>
      <c r="H70" s="161"/>
      <c r="I70" s="161"/>
      <c r="J70" s="162"/>
      <c r="K70" s="161"/>
      <c r="L70" s="162"/>
      <c r="M70" s="161"/>
      <c r="N70" s="161"/>
      <c r="O70" s="161"/>
      <c r="P70" s="162"/>
      <c r="Q70" s="161"/>
      <c r="R70" s="162"/>
      <c r="S70" s="161"/>
      <c r="T70" s="161"/>
      <c r="U70" s="161"/>
    </row>
    <row r="71" s="4" customFormat="1" ht="5.1" customHeight="1">
      <c r="A71" s="54"/>
      <c r="B71" s="54"/>
      <c r="C71" s="5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36.628511966701352757544224770</v>
      </c>
      <c r="E72" s="327">
        <v>0.715307582314836031854241800</v>
      </c>
      <c r="F72" s="327">
        <v>60.348719776629240182973920280</v>
      </c>
      <c r="G72" s="327">
        <v>10.071513706843655751142551370</v>
      </c>
      <c r="H72" s="327">
        <v>60.694762212509977908879451660</v>
      </c>
      <c r="I72" s="239">
        <v>-8.500115796966447314672460080</v>
      </c>
      <c r="J72" s="326">
        <v>100.05007102272727272727272727</v>
      </c>
      <c r="K72" s="327">
        <v>-8.529906613914481894155664330</v>
      </c>
      <c r="L72" s="328">
        <v>135.53630260373086577742776985</v>
      </c>
      <c r="M72" s="327">
        <v>-1.6640893031228163886367081200</v>
      </c>
      <c r="N72" s="327">
        <v>73.817913799277574447201614170</v>
      </c>
      <c r="O72" s="239">
        <v>-6.982004094104212576672431800</v>
      </c>
      <c r="P72" s="326">
        <v>36.646852237252861602497398543</v>
      </c>
      <c r="Q72" s="327">
        <v>-7.8756141005612533055346106500</v>
      </c>
      <c r="R72" s="328">
        <v>81.79442345392978078773837106</v>
      </c>
      <c r="S72" s="327">
        <v>8.239825421371578299062388420</v>
      </c>
      <c r="T72" s="327">
        <v>44.803607250691515106853448280</v>
      </c>
      <c r="U72" s="239">
        <v>-14.888641458014113830994928250</v>
      </c>
    </row>
    <row r="73" ht="15.95" customHeight="1">
      <c r="B73" s="345"/>
      <c r="C73" s="304" t="s">
        <v>58</v>
      </c>
      <c r="D73" s="240">
        <v>37.814465408805031446540880500</v>
      </c>
      <c r="E73" s="121">
        <v>-4.1746520043237939421725457700</v>
      </c>
      <c r="F73" s="121">
        <v>54.713940720664373327773723900</v>
      </c>
      <c r="G73" s="121">
        <v>-1.3497135628698196454570720100</v>
      </c>
      <c r="H73" s="121">
        <v>69.113035746845105322388054020</v>
      </c>
      <c r="I73" s="241">
        <v>-2.8635886863445397079546774500</v>
      </c>
      <c r="J73" s="329">
        <v>109.59283549057742606129702904</v>
      </c>
      <c r="K73" s="121">
        <v>-3.7718596933880986498788632900</v>
      </c>
      <c r="L73" s="136">
        <v>136.71783335582563964149909898</v>
      </c>
      <c r="M73" s="121">
        <v>-2.1885430217990257651997829600</v>
      </c>
      <c r="N73" s="121">
        <v>80.15986854133989513365800799</v>
      </c>
      <c r="O73" s="241">
        <v>-1.6187435710697076083564409800</v>
      </c>
      <c r="P73" s="329">
        <v>41.441944867113004666260904849</v>
      </c>
      <c r="Q73" s="121">
        <v>-7.7890496812530912538332488500</v>
      </c>
      <c r="R73" s="136">
        <v>74.803714296883143959136870635</v>
      </c>
      <c r="S73" s="121">
        <v>-3.5087175227147224561764394800</v>
      </c>
      <c r="T73" s="121">
        <v>55.400918599613486228783325160</v>
      </c>
      <c r="U73" s="241">
        <v>-4.4359780995828156042162332900</v>
      </c>
    </row>
    <row r="74" ht="15.95" customHeight="1">
      <c r="B74" s="345"/>
      <c r="C74" s="305" t="s">
        <v>44</v>
      </c>
      <c r="D74" s="341">
        <v>38.966806919121084618980832160</v>
      </c>
      <c r="E74" s="156">
        <v>6.9103735769386299992682231400</v>
      </c>
      <c r="F74" s="156">
        <v>58.301305148530707022179517970</v>
      </c>
      <c r="G74" s="156">
        <v>6.2452121257300343320982425200</v>
      </c>
      <c r="H74" s="156">
        <v>66.836937560605602810231283820</v>
      </c>
      <c r="I74" s="331">
        <v>0.6260625190252323921391351700</v>
      </c>
      <c r="J74" s="330">
        <v>104.66874175164967006598680264</v>
      </c>
      <c r="K74" s="156">
        <v>-6.7459155338599266293568705100</v>
      </c>
      <c r="L74" s="186">
        <v>136.18754060085836909871244635</v>
      </c>
      <c r="M74" s="156">
        <v>-2.1493315083417292167085638200</v>
      </c>
      <c r="N74" s="156">
        <v>76.856327157256824066306320550</v>
      </c>
      <c r="O74" s="331">
        <v>-4.697549946750148783922903500</v>
      </c>
      <c r="P74" s="330">
        <v>40.786066503038803179055633474</v>
      </c>
      <c r="Q74" s="156">
        <v>-0.3017099214967824798778320700</v>
      </c>
      <c r="R74" s="186">
        <v>79.39911361998558731683881816</v>
      </c>
      <c r="S74" s="156">
        <v>3.9616503052266276269845903400</v>
      </c>
      <c r="T74" s="156">
        <v>51.368415393449833299355204410</v>
      </c>
      <c r="U74" s="331">
        <v>-4.1008970271687610235786950500</v>
      </c>
    </row>
    <row r="75" ht="15.95" customHeight="1">
      <c r="B75" s="346"/>
      <c r="C75" s="349" t="s">
        <v>45</v>
      </c>
      <c r="D75" s="244">
        <v>37.597584327588746501693916630</v>
      </c>
      <c r="E75" s="333">
        <v>-10.893568072588387225076172780</v>
      </c>
      <c r="F75" s="333">
        <v>51.837584197381366835692121400</v>
      </c>
      <c r="G75" s="333">
        <v>-1.4482037081774827262464158100</v>
      </c>
      <c r="H75" s="333">
        <v>72.529584296242176527578639010</v>
      </c>
      <c r="I75" s="245">
        <v>-9.584162562007517820215616240</v>
      </c>
      <c r="J75" s="332">
        <v>111.29881919686581782566111655</v>
      </c>
      <c r="K75" s="333">
        <v>-0.8974768760257894411293763900</v>
      </c>
      <c r="L75" s="334">
        <v>138.06757274466003825208415459</v>
      </c>
      <c r="M75" s="333">
        <v>-0.3535988727930909237329404500</v>
      </c>
      <c r="N75" s="333">
        <v>80.61184605792111722825295758</v>
      </c>
      <c r="O75" s="245">
        <v>-0.5458079740923151527261015100</v>
      </c>
      <c r="P75" s="332">
        <v>41.84566740315215790248932096</v>
      </c>
      <c r="Q75" s="333">
        <v>-11.693277694140127458886322990</v>
      </c>
      <c r="R75" s="334">
        <v>71.570894270793915083629758571</v>
      </c>
      <c r="S75" s="333">
        <v>-1.7966817489163198222040656100</v>
      </c>
      <c r="T75" s="333">
        <v>58.467436839369840680592577760</v>
      </c>
      <c r="U75" s="245">
        <v>-10.077659412626214859651663210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78"/>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0" width="10.28515625" customWidth="1"/>
    <col min="31" max="33" width="10.28515625" style="34"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170</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171</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251</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252</v>
      </c>
      <c r="D23" s="41" t="s">
        <v>254</v>
      </c>
      <c r="E23" s="41" t="s">
        <v>255</v>
      </c>
      <c r="F23" s="41" t="s">
        <v>256</v>
      </c>
      <c r="G23" s="41" t="s">
        <v>257</v>
      </c>
      <c r="H23" s="41" t="s">
        <v>258</v>
      </c>
      <c r="I23" s="41" t="s">
        <v>259</v>
      </c>
      <c r="J23" s="41" t="s">
        <v>252</v>
      </c>
      <c r="K23" s="41" t="s">
        <v>254</v>
      </c>
      <c r="L23" s="41" t="s">
        <v>255</v>
      </c>
      <c r="M23" s="41" t="s">
        <v>256</v>
      </c>
      <c r="N23" s="41" t="s">
        <v>257</v>
      </c>
      <c r="O23" s="41" t="s">
        <v>258</v>
      </c>
      <c r="P23" s="41" t="s">
        <v>259</v>
      </c>
      <c r="Q23" s="41" t="s">
        <v>252</v>
      </c>
      <c r="R23" s="41" t="s">
        <v>254</v>
      </c>
      <c r="S23" s="41" t="s">
        <v>255</v>
      </c>
      <c r="T23" s="41" t="s">
        <v>256</v>
      </c>
      <c r="U23" s="41" t="s">
        <v>257</v>
      </c>
      <c r="V23" s="41" t="s">
        <v>258</v>
      </c>
      <c r="W23" s="41" t="s">
        <v>259</v>
      </c>
      <c r="X23" s="42" t="s">
        <v>252</v>
      </c>
      <c r="Y23" s="42" t="s">
        <v>254</v>
      </c>
      <c r="Z23" s="42" t="s">
        <v>255</v>
      </c>
      <c r="AA23" s="42" t="s">
        <v>256</v>
      </c>
      <c r="AB23" s="42" t="s">
        <v>257</v>
      </c>
      <c r="AC23" s="42" t="s">
        <v>258</v>
      </c>
      <c r="AD23" s="42" t="s">
        <v>259</v>
      </c>
      <c r="AE23" s="42" t="s">
        <v>252</v>
      </c>
      <c r="AF23" s="42" t="s">
        <v>254</v>
      </c>
      <c r="AG23" s="42" t="s">
        <v>255</v>
      </c>
      <c r="AH23" s="96"/>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253</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v>31</v>
      </c>
      <c r="AH25" s="529"/>
      <c r="AI25" s="236"/>
      <c r="AJ25" s="236"/>
      <c r="AK25" s="236"/>
      <c r="AL25" s="236"/>
      <c r="AM25" s="236"/>
      <c r="AN25" s="236"/>
      <c r="AO25" s="236"/>
      <c r="AP25" s="236"/>
      <c r="AQ25" s="236"/>
      <c r="AR25" s="236"/>
      <c r="AS25" s="236"/>
      <c r="AT25" s="236"/>
      <c r="AU25" s="236"/>
      <c r="AV25" s="236"/>
      <c r="AW25" s="236"/>
    </row>
    <row r="26" ht="24.95" customHeight="1">
      <c r="B26" s="263" t="s">
        <v>19</v>
      </c>
      <c r="C26" s="573">
        <v>25.268817204301075268817204300</v>
      </c>
      <c r="D26" s="574">
        <v>26.881720430107526881720430110</v>
      </c>
      <c r="E26" s="574">
        <v>24.731182795698924731182795700</v>
      </c>
      <c r="F26" s="574">
        <v>38.709677419354838709677419350</v>
      </c>
      <c r="G26" s="574">
        <v>40.322580645161290322580645160</v>
      </c>
      <c r="H26" s="574">
        <v>16.666666666666666666666666670</v>
      </c>
      <c r="I26" s="574">
        <v>23.655913978494623655913978490</v>
      </c>
      <c r="J26" s="574">
        <v>47.311827956989247311827956990</v>
      </c>
      <c r="K26" s="574">
        <v>47.849462365591397849462365590</v>
      </c>
      <c r="L26" s="574">
        <v>36.559139784946236559139784950</v>
      </c>
      <c r="M26" s="574">
        <v>45.161290322580645161290322580</v>
      </c>
      <c r="N26" s="574">
        <v>56.989247311827956989247311830</v>
      </c>
      <c r="O26" s="574">
        <v>31.182795698924731182795698920</v>
      </c>
      <c r="P26" s="574">
        <v>29.569892473118279569892473120</v>
      </c>
      <c r="Q26" s="574">
        <v>38.709677419354838709677419350</v>
      </c>
      <c r="R26" s="574">
        <v>43.010752688172043010752688170</v>
      </c>
      <c r="S26" s="574">
        <v>35.483870967741935483870967740</v>
      </c>
      <c r="T26" s="574">
        <v>53.763440860215053763440860220</v>
      </c>
      <c r="U26" s="574">
        <v>52.688172043010752688172043010</v>
      </c>
      <c r="V26" s="574">
        <v>18.817204301075268817204301080</v>
      </c>
      <c r="W26" s="574">
        <v>28.494623655913978494623655910</v>
      </c>
      <c r="X26" s="574">
        <v>70.430107526881720430107526880</v>
      </c>
      <c r="Y26" s="574">
        <v>62.365591397849462365591397850</v>
      </c>
      <c r="Z26" s="574">
        <v>12.365591397849462365591397850</v>
      </c>
      <c r="AA26" s="574">
        <v>8.064516129032258064516129030</v>
      </c>
      <c r="AB26" s="574">
        <v>4.3010752688172043010752688200</v>
      </c>
      <c r="AC26" s="574">
        <v>6.9892473118279569892473118300</v>
      </c>
      <c r="AD26" s="574">
        <v>52.150537634408602150537634410</v>
      </c>
      <c r="AE26" s="574">
        <v>63.440860215053763440860215050</v>
      </c>
      <c r="AF26" s="574">
        <v>69.354838709677419354838709680</v>
      </c>
      <c r="AG26" s="575">
        <v>24.193548387096774193548387100</v>
      </c>
      <c r="AH26" s="530"/>
    </row>
    <row r="27" ht="24.95" customHeight="1">
      <c r="B27" s="38" t="s">
        <v>35</v>
      </c>
      <c r="C27" s="271">
        <v>46.316758747697974217311233890</v>
      </c>
      <c r="D27" s="97">
        <v>39.134438305709023941068139960</v>
      </c>
      <c r="E27" s="97">
        <v>40.976058931860036832412523020</v>
      </c>
      <c r="F27" s="97">
        <v>55.340699815837937384898710870</v>
      </c>
      <c r="G27" s="97">
        <v>63.259668508287292817679558010</v>
      </c>
      <c r="H27" s="97">
        <v>34.254143646408839779005524860</v>
      </c>
      <c r="I27" s="97">
        <v>46.685082872928176795580110500</v>
      </c>
      <c r="J27" s="97">
        <v>76.243093922651933701657458560</v>
      </c>
      <c r="K27" s="97">
        <v>76.703499079189686924493554330</v>
      </c>
      <c r="L27" s="97">
        <v>64.272559852670349907918968690</v>
      </c>
      <c r="M27" s="97">
        <v>70.994475138121546961325966850</v>
      </c>
      <c r="N27" s="97">
        <v>70.902394106813996316758747700</v>
      </c>
      <c r="O27" s="97">
        <v>41.988950276243093922651933700</v>
      </c>
      <c r="P27" s="97">
        <v>48.434622467771639042357274400</v>
      </c>
      <c r="Q27" s="97">
        <v>67.034990791896869244935543280</v>
      </c>
      <c r="R27" s="97">
        <v>56.813996316758747697974217310</v>
      </c>
      <c r="S27" s="97">
        <v>54.788213627992633517495395950</v>
      </c>
      <c r="T27" s="97">
        <v>73.388581952117863720073664830</v>
      </c>
      <c r="U27" s="97">
        <v>71.639042357274401473296500920</v>
      </c>
      <c r="V27" s="97">
        <v>45.948434622467771639042357270</v>
      </c>
      <c r="W27" s="97">
        <v>63.720073664825046040515653780</v>
      </c>
      <c r="X27" s="97">
        <v>73.572744014732965009208103130</v>
      </c>
      <c r="Y27" s="97">
        <v>68.416206261510128913443830570</v>
      </c>
      <c r="Z27" s="97">
        <v>55.709023941068139963167587480</v>
      </c>
      <c r="AA27" s="97">
        <v>81.30755064456721915285451197</v>
      </c>
      <c r="AB27" s="97">
        <v>77.992633517495395948434622470</v>
      </c>
      <c r="AC27" s="97">
        <v>44.106813996316758747697974220</v>
      </c>
      <c r="AD27" s="97">
        <v>69.705340699815837937384898710</v>
      </c>
      <c r="AE27" s="97">
        <v>76.058931860036832412523020260</v>
      </c>
      <c r="AF27" s="97">
        <v>68.876611418047882136279926340</v>
      </c>
      <c r="AG27" s="272">
        <v>45.672191528545119705340699820</v>
      </c>
      <c r="AH27" s="530"/>
    </row>
    <row r="28" ht="24.95" customHeight="1">
      <c r="A28" s="23"/>
      <c r="B28" s="40" t="s">
        <v>97</v>
      </c>
      <c r="C28" s="581">
        <v>54.556531777077072561106139510</v>
      </c>
      <c r="D28" s="582">
        <v>68.690702087302366782006924070</v>
      </c>
      <c r="E28" s="582">
        <v>60.355201159781658653395889640</v>
      </c>
      <c r="F28" s="582">
        <v>69.947936235354697817701569970</v>
      </c>
      <c r="G28" s="582">
        <v>63.741372024215960671009081280</v>
      </c>
      <c r="H28" s="582">
        <v>48.655913978507180020811657780</v>
      </c>
      <c r="I28" s="582">
        <v>50.671247693610782430210701260</v>
      </c>
      <c r="J28" s="582">
        <v>62.053919276881558496114286370</v>
      </c>
      <c r="K28" s="582">
        <v>62.382372303751826217068558010</v>
      </c>
      <c r="L28" s="582">
        <v>56.881412330133663450509317210</v>
      </c>
      <c r="M28" s="582">
        <v>63.612401154782705508471477920</v>
      </c>
      <c r="N28" s="582">
        <v>80.37704231254205013084946369</v>
      </c>
      <c r="O28" s="582">
        <v>74.264289756725907351145343750</v>
      </c>
      <c r="P28" s="582">
        <v>61.051146817086783003200690260</v>
      </c>
      <c r="Q28" s="582">
        <v>57.745480326122790511509051150</v>
      </c>
      <c r="R28" s="582">
        <v>75.704501489985288643452035560</v>
      </c>
      <c r="S28" s="582">
        <v>64.765519110861446544462188320</v>
      </c>
      <c r="T28" s="582">
        <v>73.258590682820276729848483480</v>
      </c>
      <c r="U28" s="582">
        <v>73.546728584433459420062167360</v>
      </c>
      <c r="V28" s="582">
        <v>40.952873488884586031588700140</v>
      </c>
      <c r="W28" s="582">
        <v>44.718441171003965406300293930</v>
      </c>
      <c r="X28" s="582">
        <v>95.72853163232518047737314969</v>
      </c>
      <c r="Y28" s="582">
        <v>91.15616723832374603960763617</v>
      </c>
      <c r="Z28" s="582">
        <v>22.196747533978241412207440650</v>
      </c>
      <c r="AA28" s="582">
        <v>9.918532860844282288070278100</v>
      </c>
      <c r="AB28" s="582">
        <v>5.514719884221024952743247800</v>
      </c>
      <c r="AC28" s="582">
        <v>15.846184928284019407055382750</v>
      </c>
      <c r="AD28" s="582">
        <v>74.815698640661308105218051140</v>
      </c>
      <c r="AE28" s="582">
        <v>83.41013824888831858604570081</v>
      </c>
      <c r="AF28" s="582">
        <v>100.69432465075138832643479871</v>
      </c>
      <c r="AG28" s="583">
        <v>52.972164412123090997490904650</v>
      </c>
      <c r="AH28" s="531"/>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87.99999999935328000000222471</v>
      </c>
      <c r="D30" s="574">
        <v>21.951219512129684711481296280</v>
      </c>
      <c r="E30" s="574">
        <v>21.052631578839058171745249270</v>
      </c>
      <c r="F30" s="574">
        <v>-30.097087378613629936846063550</v>
      </c>
      <c r="G30" s="574">
        <v>-36.440677966148017810973824330</v>
      </c>
      <c r="H30" s="574">
        <v>-24.390243902479595478881596300</v>
      </c>
      <c r="I30" s="574">
        <v>-2.2222222222352592592592575400</v>
      </c>
      <c r="J30" s="574">
        <v>18.918918918796785975164478980</v>
      </c>
      <c r="K30" s="574">
        <v>-7.2916666666550781249999985500</v>
      </c>
      <c r="L30" s="574">
        <v>-25.274725274731843980195627960</v>
      </c>
      <c r="M30" s="574">
        <v>-6.6666666666791111111111094500</v>
      </c>
      <c r="N30" s="574">
        <v>24.705882352894228373702439820</v>
      </c>
      <c r="O30" s="574">
        <v>41.463414634070434265318303650</v>
      </c>
      <c r="P30" s="574">
        <v>-3.5087719297534626038780639500</v>
      </c>
      <c r="Q30" s="574">
        <v>24.137931034581212841855012670</v>
      </c>
      <c r="R30" s="574">
        <v>40.350877193085872576177361510</v>
      </c>
      <c r="S30" s="574">
        <v>32.000000000036960000000010340</v>
      </c>
      <c r="T30" s="574">
        <v>809.0909090945454545454690910</v>
      </c>
      <c r="U30" s="574">
        <v>553.33333333594666666667711999</v>
      </c>
      <c r="V30" s="574">
        <v>-57.317073170754610350981546300</v>
      </c>
      <c r="W30" s="574">
        <v>-52.678571428539317602040794540</v>
      </c>
      <c r="X30" s="574">
        <v>2.3437499999632202148437632200</v>
      </c>
      <c r="Y30" s="574">
        <v>-14.705882352949956747404843390</v>
      </c>
      <c r="Z30" s="574">
        <v>-81.88976377953468906937813595</v>
      </c>
      <c r="AA30" s="574">
        <v>-83.14606741573336699911627266</v>
      </c>
      <c r="AB30" s="574">
        <v>-87.09677419353548387096772902</v>
      </c>
      <c r="AC30" s="574">
        <v>-64.864864864900949598246858470</v>
      </c>
      <c r="AD30" s="574">
        <v>56.451612903382258064516285490</v>
      </c>
      <c r="AE30" s="574">
        <v>90.32258064535161290322599676</v>
      </c>
      <c r="AF30" s="574">
        <v>207.14285714272551020408168908</v>
      </c>
      <c r="AG30" s="575">
        <v>-2.1739130434825141776937616200</v>
      </c>
      <c r="AH30" s="530"/>
    </row>
    <row r="31" ht="24.95" customHeight="1">
      <c r="B31" s="38" t="s">
        <v>35</v>
      </c>
      <c r="C31" s="271">
        <v>58.176100628936786519520588820</v>
      </c>
      <c r="D31" s="97">
        <v>43.581081081265408144631354230</v>
      </c>
      <c r="E31" s="97">
        <v>23.611111111179097222222259610</v>
      </c>
      <c r="F31" s="97">
        <v>-16.411682892870310526325954480</v>
      </c>
      <c r="G31" s="97">
        <v>-12.484076433088019473406616630</v>
      </c>
      <c r="H31" s="97">
        <v>-19.654427645795972365407310970</v>
      </c>
      <c r="I31" s="97">
        <v>-18.093699515384913391498595610</v>
      </c>
      <c r="J31" s="97">
        <v>2.8571428571127027506654924200</v>
      </c>
      <c r="K31" s="97">
        <v>-1.1862396204476294204311634600</v>
      </c>
      <c r="L31" s="97">
        <v>-20.045819014899422538704076810</v>
      </c>
      <c r="M31" s="97">
        <v>-2.2813688213499949399297038100</v>
      </c>
      <c r="N31" s="97">
        <v>16.314199395767581529923969370</v>
      </c>
      <c r="O31" s="97">
        <v>12.871287128562562493873349850</v>
      </c>
      <c r="P31" s="97">
        <v>-0.9416195856683541340823694400</v>
      </c>
      <c r="Q31" s="97">
        <v>26.388888889006061921296404930</v>
      </c>
      <c r="R31" s="97">
        <v>5.1107325383931665355850725800</v>
      </c>
      <c r="S31" s="97">
        <v>1.8835616438537600863201383400</v>
      </c>
      <c r="T31" s="97">
        <v>9.931034482716164565992882040</v>
      </c>
      <c r="U31" s="97">
        <v>9.732016925168512834183166050</v>
      </c>
      <c r="V31" s="97">
        <v>28.277634961572812762273715710</v>
      </c>
      <c r="W31" s="97">
        <v>24.684684684661769661553449560</v>
      </c>
      <c r="X31" s="97">
        <v>25.431711146017732749421472340</v>
      </c>
      <c r="Y31" s="97">
        <v>20.421393841079499538993835310</v>
      </c>
      <c r="Z31" s="97">
        <v>10.603290676483140547242936880</v>
      </c>
      <c r="AA31" s="97">
        <v>15.123859191641692773449785760</v>
      </c>
      <c r="AB31" s="97">
        <v>16.027397260294635015950463430</v>
      </c>
      <c r="AC31" s="97">
        <v>20.654911838783030156907283740</v>
      </c>
      <c r="AD31" s="97">
        <v>34.937611408293450389392574770</v>
      </c>
      <c r="AE31" s="97">
        <v>23.467862481217950625724838450</v>
      </c>
      <c r="AF31" s="97">
        <v>19.108280254863177005152401090</v>
      </c>
      <c r="AG31" s="272">
        <v>1.8480492812623032521113900500</v>
      </c>
      <c r="AH31" s="530"/>
    </row>
    <row r="32" ht="24.95" customHeight="1">
      <c r="A32" s="23"/>
      <c r="B32" s="40" t="s">
        <v>97</v>
      </c>
      <c r="C32" s="581">
        <v>18.854870775314924387647301680</v>
      </c>
      <c r="D32" s="582">
        <v>-15.064562410446095803310364620</v>
      </c>
      <c r="E32" s="582">
        <v>-2.0697811947187288177303768100</v>
      </c>
      <c r="F32" s="582">
        <v>-16.372389060293064364937695520</v>
      </c>
      <c r="G32" s="582">
        <v>-27.373991562477470638218283350</v>
      </c>
      <c r="H32" s="582">
        <v>-5.8943089430727921968734136900</v>
      </c>
      <c r="I32" s="582">
        <v>19.377602454545770930464865220</v>
      </c>
      <c r="J32" s="582">
        <v>15.615615615669098468205570550</v>
      </c>
      <c r="K32" s="582">
        <v>-6.1787214885847756640011891400</v>
      </c>
      <c r="L32" s="582">
        <v>-6.539878459689482646924199600</v>
      </c>
      <c r="M32" s="582">
        <v>-4.48767833975417961267493700</v>
      </c>
      <c r="N32" s="582">
        <v>7.2146676852963467095726261300</v>
      </c>
      <c r="O32" s="582">
        <v>25.331621737610959818653756920</v>
      </c>
      <c r="P32" s="582">
        <v>-2.5915549330697239420828259100</v>
      </c>
      <c r="Q32" s="582">
        <v>-1.7809776431943047049403774600</v>
      </c>
      <c r="R32" s="582">
        <v>33.526685433048195619597454120</v>
      </c>
      <c r="S32" s="582">
        <v>29.559663865610342550974803740</v>
      </c>
      <c r="T32" s="582">
        <v>726.96475418836048879511213353</v>
      </c>
      <c r="U32" s="582">
        <v>495.38988860479958998950040940</v>
      </c>
      <c r="V32" s="582">
        <v>-66.726135197293958553057140600</v>
      </c>
      <c r="W32" s="582">
        <v>-62.047120148627636036138585500</v>
      </c>
      <c r="X32" s="582">
        <v>-18.406797559430830413563529640</v>
      </c>
      <c r="Y32" s="582">
        <v>-29.170295305153337206124845640</v>
      </c>
      <c r="Z32" s="582">
        <v>-83.62595171473763702009691636</v>
      </c>
      <c r="AA32" s="582">
        <v>-85.36017407460564441290195820</v>
      </c>
      <c r="AB32" s="582">
        <v>-88.87915603458406144633980172</v>
      </c>
      <c r="AC32" s="582">
        <v>-70.879647915150219232571837110</v>
      </c>
      <c r="AD32" s="582">
        <v>15.943665572799684499732646540</v>
      </c>
      <c r="AE32" s="582">
        <v>54.147465437883957202586928290</v>
      </c>
      <c r="AF32" s="582">
        <v>157.86860198605070174450459680</v>
      </c>
      <c r="AG32" s="583">
        <v>-3.9489831695296422383854470900</v>
      </c>
      <c r="AH32" s="531"/>
    </row>
    <row r="33" ht="30" customHeight="1">
      <c r="A33" s="8"/>
      <c r="B33" s="25"/>
      <c r="X33" s="792"/>
      <c r="Y33" s="792"/>
      <c r="Z33" s="792"/>
      <c r="AA33" s="792"/>
      <c r="AB33" s="792"/>
      <c r="AC33" s="792"/>
      <c r="AD33" s="792"/>
      <c r="AE33"/>
      <c r="AF33"/>
      <c r="AG33" s="4"/>
      <c r="AH33" s="4"/>
    </row>
    <row r="34" s="35" customFormat="1" ht="20.1" customHeight="1">
      <c r="B34" s="784" t="s">
        <v>9</v>
      </c>
      <c r="C34" s="350" t="s">
        <v>253</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v>31</v>
      </c>
      <c r="AH35" s="529"/>
      <c r="AI35" s="236"/>
      <c r="AJ35" s="236"/>
      <c r="AK35" s="236"/>
      <c r="AL35" s="236"/>
      <c r="AM35" s="236"/>
      <c r="AN35" s="236"/>
      <c r="AO35" s="236"/>
      <c r="AP35" s="236"/>
      <c r="AQ35" s="236"/>
      <c r="AR35" s="236"/>
      <c r="AS35" s="236"/>
      <c r="AT35" s="236"/>
      <c r="AU35" s="236"/>
      <c r="AV35" s="236"/>
      <c r="AW35" s="236"/>
    </row>
    <row r="36" ht="24.95" customHeight="1">
      <c r="B36" s="263" t="s">
        <v>19</v>
      </c>
      <c r="C36" s="578">
        <v>88.44680851063829787234042553</v>
      </c>
      <c r="D36" s="579">
        <v>92.500000000</v>
      </c>
      <c r="E36" s="579">
        <v>96.65217391304347826086956522</v>
      </c>
      <c r="F36" s="579">
        <v>98.55555555555555555555555556</v>
      </c>
      <c r="G36" s="579">
        <v>99.57333333333333333333333333</v>
      </c>
      <c r="H36" s="579">
        <v>93.87096774193548387096774194</v>
      </c>
      <c r="I36" s="579">
        <v>99.59090909090909090909090909</v>
      </c>
      <c r="J36" s="579">
        <v>93.93181818181818181818181818</v>
      </c>
      <c r="K36" s="579">
        <v>99.13483146067415730337078652</v>
      </c>
      <c r="L36" s="579">
        <v>87.70588235294117647058823529</v>
      </c>
      <c r="M36" s="579">
        <v>106.71428571428571428571428571</v>
      </c>
      <c r="N36" s="579">
        <v>100.66037735849056603773584906</v>
      </c>
      <c r="O36" s="579">
        <v>90.000000000</v>
      </c>
      <c r="P36" s="579">
        <v>95.23636363636363636363636364</v>
      </c>
      <c r="Q36" s="579">
        <v>102.55555555555555555555555556</v>
      </c>
      <c r="R36" s="579">
        <v>98.687500000</v>
      </c>
      <c r="S36" s="579">
        <v>92.28787878787878787878787879</v>
      </c>
      <c r="T36" s="579">
        <v>104.020000000</v>
      </c>
      <c r="U36" s="579">
        <v>102.80612244897959183673469388</v>
      </c>
      <c r="V36" s="579">
        <v>97.51428571428571428571428571</v>
      </c>
      <c r="W36" s="579">
        <v>100.71698113207547169811320755</v>
      </c>
      <c r="X36" s="579">
        <v>106.87022900763358778625954198</v>
      </c>
      <c r="Y36" s="579">
        <v>107.7672413793103448275862069</v>
      </c>
      <c r="Z36" s="579">
        <v>74.000000000</v>
      </c>
      <c r="AA36" s="579">
        <v>41.000000000</v>
      </c>
      <c r="AB36" s="579">
        <v>92.125000000</v>
      </c>
      <c r="AC36" s="579">
        <v>74.538461538461538461538461538</v>
      </c>
      <c r="AD36" s="579">
        <v>113.95876288659793814432989691</v>
      </c>
      <c r="AE36" s="579">
        <v>110.56779661016949152542372881</v>
      </c>
      <c r="AF36" s="579">
        <v>110.16279069767441860465116279</v>
      </c>
      <c r="AG36" s="580">
        <v>80.95555555555555555555555556</v>
      </c>
      <c r="AH36" s="530"/>
    </row>
    <row r="37" ht="24.95" customHeight="1">
      <c r="B37" s="38" t="s">
        <v>35</v>
      </c>
      <c r="C37" s="276">
        <v>131.30127236580516898608349899</v>
      </c>
      <c r="D37" s="101">
        <v>126.59127058823529411764705883</v>
      </c>
      <c r="E37" s="101">
        <v>123.34076404494382022471910112</v>
      </c>
      <c r="F37" s="101">
        <v>129.79806988352745424292845257</v>
      </c>
      <c r="G37" s="101">
        <v>128.97033478893740902474526929</v>
      </c>
      <c r="H37" s="101">
        <v>118.37365591397849462365591398</v>
      </c>
      <c r="I37" s="101">
        <v>136.46416173570019723865877711</v>
      </c>
      <c r="J37" s="101">
        <v>137.18979468599033816425120773</v>
      </c>
      <c r="K37" s="101">
        <v>145.56298919567827130852340936</v>
      </c>
      <c r="L37" s="101">
        <v>143.81028653295128939828080228</v>
      </c>
      <c r="M37" s="101">
        <v>133.2245265888456549935149157</v>
      </c>
      <c r="N37" s="101">
        <v>133.55950649350649350649350649</v>
      </c>
      <c r="O37" s="101">
        <v>122.43809210526315789473684211</v>
      </c>
      <c r="P37" s="101">
        <v>140.55796577946768060836501902</v>
      </c>
      <c r="Q37" s="101">
        <v>142.56042582417582417582417582</v>
      </c>
      <c r="R37" s="101">
        <v>137.5721393841166936790923825</v>
      </c>
      <c r="S37" s="101">
        <v>134.3840504201680672268907563</v>
      </c>
      <c r="T37" s="101">
        <v>127.64540777917189460476787953</v>
      </c>
      <c r="U37" s="101">
        <v>131.22871465295629820051413882</v>
      </c>
      <c r="V37" s="101">
        <v>126.00342685370741482965931865</v>
      </c>
      <c r="W37" s="101">
        <v>142.34976878612716763005780346</v>
      </c>
      <c r="X37" s="101">
        <v>144.27495619524405506883604507</v>
      </c>
      <c r="Y37" s="101">
        <v>141.87512786002691790040376851</v>
      </c>
      <c r="Z37" s="101">
        <v>138.68687603305785123966942148</v>
      </c>
      <c r="AA37" s="101">
        <v>135.99947904869762174405436014</v>
      </c>
      <c r="AB37" s="101">
        <v>135.56263282172373081463990555</v>
      </c>
      <c r="AC37" s="101">
        <v>135.10125260960334029227557411</v>
      </c>
      <c r="AD37" s="101">
        <v>138.58989431968295904887714663</v>
      </c>
      <c r="AE37" s="101">
        <v>138.75909200968523002421307506</v>
      </c>
      <c r="AF37" s="101">
        <v>138.27795454545454545454545454</v>
      </c>
      <c r="AG37" s="277">
        <v>130.68808467741935483870967741</v>
      </c>
      <c r="AH37" s="530"/>
    </row>
    <row r="38" ht="24.95" customHeight="1">
      <c r="A38" s="23"/>
      <c r="B38" s="40" t="s">
        <v>98</v>
      </c>
      <c r="C38" s="581">
        <v>67.361729948990204541913544690</v>
      </c>
      <c r="D38" s="582">
        <v>73.069809292697183415851003900</v>
      </c>
      <c r="E38" s="582">
        <v>78.361906269576035985823733880</v>
      </c>
      <c r="F38" s="582">
        <v>75.929908390790324409928655720</v>
      </c>
      <c r="G38" s="582">
        <v>77.206385093375164347249547940</v>
      </c>
      <c r="H38" s="582">
        <v>79.30055637559590315769263615</v>
      </c>
      <c r="I38" s="582">
        <v>72.979533838191157355606769480</v>
      </c>
      <c r="J38" s="582">
        <v>68.468517207718931171534487720</v>
      </c>
      <c r="K38" s="582">
        <v>68.104421328826797286263985850</v>
      </c>
      <c r="L38" s="582">
        <v>60.987210628229571716535365240</v>
      </c>
      <c r="M38" s="582">
        <v>80.10108081949606667808406773</v>
      </c>
      <c r="N38" s="582">
        <v>75.367437332803748765250261490</v>
      </c>
      <c r="O38" s="582">
        <v>73.506535794920438492253520470</v>
      </c>
      <c r="P38" s="582">
        <v>67.755934790466071895643433090</v>
      </c>
      <c r="Q38" s="582">
        <v>71.938306134146300698754051270</v>
      </c>
      <c r="R38" s="582">
        <v>71.735091452249291356813512870</v>
      </c>
      <c r="S38" s="582">
        <v>68.674726278384665484494264330</v>
      </c>
      <c r="T38" s="582">
        <v>81.49137662667266463020216403</v>
      </c>
      <c r="U38" s="582">
        <v>78.341179154900269734591723970</v>
      </c>
      <c r="V38" s="582">
        <v>77.390185449089059774327868210</v>
      </c>
      <c r="W38" s="582">
        <v>70.753175077801856629308178840</v>
      </c>
      <c r="X38" s="582">
        <v>74.073998582984244716923910410</v>
      </c>
      <c r="Y38" s="582">
        <v>75.959220622273731938955101150</v>
      </c>
      <c r="Z38" s="582">
        <v>53.357608244300370332904879490</v>
      </c>
      <c r="AA38" s="582">
        <v>30.147174303012091770170024920</v>
      </c>
      <c r="AB38" s="582">
        <v>67.957517556602971707862223770</v>
      </c>
      <c r="AC38" s="582">
        <v>55.172294925979833697444488020</v>
      </c>
      <c r="AD38" s="582">
        <v>82.22732504847516512593248250</v>
      </c>
      <c r="AE38" s="582">
        <v>79.68328057554615110164871370</v>
      </c>
      <c r="AF38" s="582">
        <v>79.66764554752336886826600400</v>
      </c>
      <c r="AG38" s="583">
        <v>61.945628597581909178143359100</v>
      </c>
      <c r="AH38" s="531"/>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19.716849635406467071386607380</v>
      </c>
      <c r="D40" s="574">
        <v>6.6807313642396576996801441400</v>
      </c>
      <c r="E40" s="574">
        <v>-6.7821672919743278957032580600</v>
      </c>
      <c r="F40" s="574">
        <v>-4.1614216179826619468993163400</v>
      </c>
      <c r="G40" s="574">
        <v>-8.434746467195389707879087130</v>
      </c>
      <c r="H40" s="574">
        <v>46.450139932265625542975893530</v>
      </c>
      <c r="I40" s="574">
        <v>-3.163549933171006484217210700</v>
      </c>
      <c r="J40" s="574">
        <v>-21.890610793886437194169469480</v>
      </c>
      <c r="K40" s="574">
        <v>-14.905724068090852100110912860</v>
      </c>
      <c r="L40" s="574">
        <v>-19.454684689490645204749984910</v>
      </c>
      <c r="M40" s="574">
        <v>-2.6822807348077659647008002400</v>
      </c>
      <c r="N40" s="574">
        <v>-13.809488511403334634029655280</v>
      </c>
      <c r="O40" s="574">
        <v>-4.6757943683384006330214867700</v>
      </c>
      <c r="P40" s="574">
        <v>-13.696776990908358656642578520</v>
      </c>
      <c r="Q40" s="574">
        <v>-5.3132406523167028311454830300</v>
      </c>
      <c r="R40" s="574">
        <v>-6.3872940589303270506122954900</v>
      </c>
      <c r="S40" s="574">
        <v>-9.183350927102157174977485940</v>
      </c>
      <c r="T40" s="574">
        <v>10.874031007730450769184548360</v>
      </c>
      <c r="U40" s="574">
        <v>-57.056757540108775339709818760</v>
      </c>
      <c r="V40" s="574">
        <v>-9.963163736403693479919447280</v>
      </c>
      <c r="W40" s="574">
        <v>-13.521144688814250471452773120</v>
      </c>
      <c r="X40" s="574">
        <v>-14.074187732555909317580267750</v>
      </c>
      <c r="Y40" s="574">
        <v>-16.805671637712378766696774500</v>
      </c>
      <c r="Z40" s="574">
        <v>-34.485883583123159904173906220</v>
      </c>
      <c r="AA40" s="574">
        <v>-59.469065866938646797840683510</v>
      </c>
      <c r="AB40" s="574">
        <v>-4.533678756476683937823834200</v>
      </c>
      <c r="AC40" s="574">
        <v>-27.859715487216160459389533570</v>
      </c>
      <c r="AD40" s="574">
        <v>1.2966781214203894616265750300</v>
      </c>
      <c r="AE40" s="574">
        <v>12.031433074526628725447330170</v>
      </c>
      <c r="AF40" s="574">
        <v>18.061679237139734579936724530</v>
      </c>
      <c r="AG40" s="575">
        <v>-10.005907308921810709201772590</v>
      </c>
      <c r="AH40" s="530"/>
    </row>
    <row r="41" ht="24.95" customHeight="1">
      <c r="B41" s="38" t="s">
        <v>35</v>
      </c>
      <c r="C41" s="271">
        <v>6.8399882712798366061752818200</v>
      </c>
      <c r="D41" s="97">
        <v>14.022244214969755470875694010</v>
      </c>
      <c r="E41" s="97">
        <v>-0.1542006213457564586134268700</v>
      </c>
      <c r="F41" s="97">
        <v>-0.6307235979695881398085866400</v>
      </c>
      <c r="G41" s="97">
        <v>-4.4261870372302117440580355600</v>
      </c>
      <c r="H41" s="97">
        <v>-5.5654105343328736736298575200</v>
      </c>
      <c r="I41" s="97">
        <v>1.0016139612703766073076677200</v>
      </c>
      <c r="J41" s="97">
        <v>-8.448365365839651936764404430</v>
      </c>
      <c r="K41" s="97">
        <v>-4.7960347570798230318512931600</v>
      </c>
      <c r="L41" s="97">
        <v>-0.2650934578030624567905442100</v>
      </c>
      <c r="M41" s="97">
        <v>-4.4011204766475601829531570600</v>
      </c>
      <c r="N41" s="97">
        <v>0.8010295516849091293123813700</v>
      </c>
      <c r="O41" s="97">
        <v>-7.925861901759311712360355770</v>
      </c>
      <c r="P41" s="97">
        <v>0.9956357925684357320870401700</v>
      </c>
      <c r="Q41" s="97">
        <v>-1.4613428808995847373833432700</v>
      </c>
      <c r="R41" s="97">
        <v>-5.0668391405997066112962160100</v>
      </c>
      <c r="S41" s="97">
        <v>-8.386347834859406981721782110</v>
      </c>
      <c r="T41" s="97">
        <v>-6.4894131047748430901016124400</v>
      </c>
      <c r="U41" s="97">
        <v>3.0902178738923472976988808900</v>
      </c>
      <c r="V41" s="97">
        <v>-0.793920435954872013139470800</v>
      </c>
      <c r="W41" s="97">
        <v>3.0191534905045082923927193200</v>
      </c>
      <c r="X41" s="97">
        <v>2.9195646711336453724167160800</v>
      </c>
      <c r="Y41" s="97">
        <v>1.970049640923929499300135400</v>
      </c>
      <c r="Z41" s="97">
        <v>1.9587999429732879452182645700</v>
      </c>
      <c r="AA41" s="97">
        <v>0.4471282012264520084766517300</v>
      </c>
      <c r="AB41" s="97">
        <v>-0.3637542576289898437246428100</v>
      </c>
      <c r="AC41" s="97">
        <v>2.1384482401878266581813475100</v>
      </c>
      <c r="AD41" s="97">
        <v>-3.694585736324562688506220300</v>
      </c>
      <c r="AE41" s="97">
        <v>-2.2634711676152279196450200500</v>
      </c>
      <c r="AF41" s="97">
        <v>-5.6622336146502858098969038500</v>
      </c>
      <c r="AG41" s="272">
        <v>-6.4114117791375752980681879900</v>
      </c>
      <c r="AH41" s="530"/>
    </row>
    <row r="42" ht="24.95" customHeight="1">
      <c r="A42" s="23"/>
      <c r="B42" s="40" t="s">
        <v>98</v>
      </c>
      <c r="C42" s="581">
        <v>12.052473584532215880038767140</v>
      </c>
      <c r="D42" s="582">
        <v>-6.4386672102640460643937148400</v>
      </c>
      <c r="E42" s="582">
        <v>-6.6382028206002818913091595600</v>
      </c>
      <c r="F42" s="582">
        <v>-3.5531083126128853940220319700</v>
      </c>
      <c r="G42" s="582">
        <v>-4.1942026854799243061366486600</v>
      </c>
      <c r="H42" s="582">
        <v>55.081036261012426536190398290</v>
      </c>
      <c r="I42" s="582">
        <v>-4.1238587495177875595532097300</v>
      </c>
      <c r="J42" s="582">
        <v>-14.682692976231283442575882690</v>
      </c>
      <c r="K42" s="582">
        <v>-10.618979246523657126732614560</v>
      </c>
      <c r="L42" s="582">
        <v>-19.240596795048960485457341350</v>
      </c>
      <c r="M42" s="582">
        <v>1.7979705938474493966387023700</v>
      </c>
      <c r="N42" s="582">
        <v>-14.494413527426966939591402340</v>
      </c>
      <c r="O42" s="582">
        <v>3.5298375857744321810700144100</v>
      </c>
      <c r="P42" s="582">
        <v>-14.547571950215638174464245970</v>
      </c>
      <c r="Q42" s="582">
        <v>-3.9090219859506811506140588100</v>
      </c>
      <c r="R42" s="582">
        <v>-1.3909311628870320408738167500</v>
      </c>
      <c r="S42" s="582">
        <v>-0.8699610521875748887334241700</v>
      </c>
      <c r="T42" s="582">
        <v>18.568425981499132447974218780</v>
      </c>
      <c r="U42" s="582">
        <v>-58.344018137202405306869354310</v>
      </c>
      <c r="V42" s="582">
        <v>-9.242622368186948433672130190</v>
      </c>
      <c r="W42" s="582">
        <v>-16.055556291144386592453268530</v>
      </c>
      <c r="X42" s="582">
        <v>-16.511683136177057847868607950</v>
      </c>
      <c r="Y42" s="582">
        <v>-18.412976501132952959586122830</v>
      </c>
      <c r="Z42" s="582">
        <v>-35.744519890852718828106433910</v>
      </c>
      <c r="AA42" s="582">
        <v>-59.649484401495887509345050700</v>
      </c>
      <c r="AB42" s="582">
        <v>-4.185148153420729039275105200</v>
      </c>
      <c r="AC42" s="582">
        <v>-29.370099354656904978132161080</v>
      </c>
      <c r="AD42" s="582">
        <v>5.1827448082156037304436864800</v>
      </c>
      <c r="AE42" s="582">
        <v>14.625958598005716225115988640</v>
      </c>
      <c r="AF42" s="582">
        <v>25.147842439669043031886180750</v>
      </c>
      <c r="AG42" s="583">
        <v>-3.8407412677985730420628597100</v>
      </c>
      <c r="AH42" s="531"/>
    </row>
    <row r="43" ht="30" customHeight="1">
      <c r="A43" s="8"/>
      <c r="B43" s="25"/>
      <c r="X43" s="792"/>
      <c r="Y43" s="792"/>
      <c r="Z43" s="792"/>
      <c r="AA43" s="792"/>
      <c r="AB43" s="792"/>
      <c r="AC43" s="792"/>
      <c r="AD43" s="792"/>
      <c r="AE43"/>
      <c r="AF43"/>
      <c r="AG43" s="4"/>
      <c r="AH43" s="4"/>
    </row>
    <row r="44" s="35" customFormat="1" ht="20.1" customHeight="1">
      <c r="B44" s="784" t="s">
        <v>10</v>
      </c>
      <c r="C44" s="350" t="s">
        <v>253</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v>31</v>
      </c>
      <c r="AH45" s="529"/>
      <c r="AI45" s="236"/>
      <c r="AJ45" s="236"/>
      <c r="AK45" s="236"/>
      <c r="AL45" s="236"/>
      <c r="AM45" s="236"/>
      <c r="AN45" s="236"/>
      <c r="AO45" s="236"/>
      <c r="AP45" s="236"/>
      <c r="AQ45" s="236"/>
      <c r="AR45" s="236"/>
      <c r="AS45" s="236"/>
      <c r="AT45" s="236"/>
      <c r="AU45" s="236"/>
      <c r="AV45" s="236"/>
      <c r="AW45" s="236"/>
    </row>
    <row r="46" ht="24.95" customHeight="1">
      <c r="B46" s="263" t="s">
        <v>19</v>
      </c>
      <c r="C46" s="578">
        <v>22.349462365591397849462365591</v>
      </c>
      <c r="D46" s="579">
        <v>24.865591397849462365591397849</v>
      </c>
      <c r="E46" s="579">
        <v>23.903225806451612903225806452</v>
      </c>
      <c r="F46" s="579">
        <v>38.150537634408602150537634409</v>
      </c>
      <c r="G46" s="579">
        <v>40.150537634408602150537634409</v>
      </c>
      <c r="H46" s="579">
        <v>15.645161290322580645161290323</v>
      </c>
      <c r="I46" s="579">
        <v>23.559139784946236559139784946</v>
      </c>
      <c r="J46" s="579">
        <v>44.440860215053763440860215054</v>
      </c>
      <c r="K46" s="579">
        <v>47.435483870967741935483870968</v>
      </c>
      <c r="L46" s="579">
        <v>32.064516129032258064516129032</v>
      </c>
      <c r="M46" s="579">
        <v>48.193548387096774193548387097</v>
      </c>
      <c r="N46" s="579">
        <v>57.365591397849462365591397849</v>
      </c>
      <c r="O46" s="579">
        <v>28.064516129032258064516129032</v>
      </c>
      <c r="P46" s="579">
        <v>28.161290322580645161290322581</v>
      </c>
      <c r="Q46" s="579">
        <v>39.698924731182795698924731183</v>
      </c>
      <c r="R46" s="579">
        <v>42.44623655913978494623655914</v>
      </c>
      <c r="S46" s="579">
        <v>32.747311827956989247311827957</v>
      </c>
      <c r="T46" s="579">
        <v>55.924731182795698924731182796</v>
      </c>
      <c r="U46" s="579">
        <v>54.166666666666666666666666667</v>
      </c>
      <c r="V46" s="579">
        <v>18.349462365591397849462365591</v>
      </c>
      <c r="W46" s="579">
        <v>28.698924731182795698924731183</v>
      </c>
      <c r="X46" s="579">
        <v>75.268817204301075268817204301</v>
      </c>
      <c r="Y46" s="579">
        <v>67.209677419354838709677419355</v>
      </c>
      <c r="Z46" s="579">
        <v>9.150537634408602150537634409</v>
      </c>
      <c r="AA46" s="579">
        <v>3.3064516129032258064516129032</v>
      </c>
      <c r="AB46" s="579">
        <v>3.9623655913978494623655913978</v>
      </c>
      <c r="AC46" s="579">
        <v>5.2096774193548387096774193548</v>
      </c>
      <c r="AD46" s="579">
        <v>59.430107526881720430107526882</v>
      </c>
      <c r="AE46" s="579">
        <v>70.145161290322580645161290323</v>
      </c>
      <c r="AF46" s="579">
        <v>76.403225806451612903225806452</v>
      </c>
      <c r="AG46" s="580">
        <v>19.586021505376344086021505376</v>
      </c>
      <c r="AH46" s="530"/>
    </row>
    <row r="47" ht="24.95" customHeight="1">
      <c r="B47" s="38" t="s">
        <v>35</v>
      </c>
      <c r="C47" s="276">
        <v>60.814493554327808471454880295</v>
      </c>
      <c r="D47" s="101">
        <v>49.540782688766114180478821363</v>
      </c>
      <c r="E47" s="101">
        <v>50.540184162062615101289134438</v>
      </c>
      <c r="F47" s="101">
        <v>71.831160220994475138121546961</v>
      </c>
      <c r="G47" s="101">
        <v>81.58620626151012891344383057</v>
      </c>
      <c r="H47" s="101">
        <v>40.547882136279926335174953959</v>
      </c>
      <c r="I47" s="101">
        <v>63.708406998158379373848987109</v>
      </c>
      <c r="J47" s="101">
        <v>104.59774401473296500920810313</v>
      </c>
      <c r="K47" s="101">
        <v>111.65190607734806629834254144</v>
      </c>
      <c r="L47" s="101">
        <v>92.43055248618784530386740331</v>
      </c>
      <c r="M47" s="101">
        <v>94.58205340699815837937384899</v>
      </c>
      <c r="N47" s="101">
        <v>94.69688766114180478821362799</v>
      </c>
      <c r="O47" s="101">
        <v>51.410469613259668508287292818</v>
      </c>
      <c r="P47" s="101">
        <v>68.078720073664825046040515654</v>
      </c>
      <c r="Q47" s="101">
        <v>95.56536832412523020257826888</v>
      </c>
      <c r="R47" s="101">
        <v>78.160230202578268876611418048</v>
      </c>
      <c r="S47" s="101">
        <v>73.626620626151012891344383057</v>
      </c>
      <c r="T47" s="101">
        <v>93.67715469613259668508287293</v>
      </c>
      <c r="U47" s="101">
        <v>94.01099447513812154696132597</v>
      </c>
      <c r="V47" s="101">
        <v>57.896602209944751381215469613</v>
      </c>
      <c r="W47" s="101">
        <v>90.7053775322283609576427256</v>
      </c>
      <c r="X47" s="101">
        <v>106.14704419889502762430939227</v>
      </c>
      <c r="Y47" s="101">
        <v>97.06558011049723756906077348</v>
      </c>
      <c r="Z47" s="101">
        <v>77.26110497237569060773480663</v>
      </c>
      <c r="AA47" s="101">
        <v>110.57784530386740331491712707</v>
      </c>
      <c r="AB47" s="101">
        <v>105.7288674033149171270718232</v>
      </c>
      <c r="AC47" s="101">
        <v>59.588858195211786372007366483</v>
      </c>
      <c r="AD47" s="101">
        <v>96.60455801104972375690607735</v>
      </c>
      <c r="AE47" s="101">
        <v>105.53868324125230202578268877</v>
      </c>
      <c r="AF47" s="101">
        <v>95.24116942909760589318600368</v>
      </c>
      <c r="AG47" s="277">
        <v>59.688112338858195211786372007</v>
      </c>
      <c r="AH47" s="530"/>
    </row>
    <row r="48" ht="24.95" customHeight="1">
      <c r="A48" s="23"/>
      <c r="B48" s="40" t="s">
        <v>99</v>
      </c>
      <c r="C48" s="581">
        <v>36.750223605226649518711020590</v>
      </c>
      <c r="D48" s="582">
        <v>50.192165016946704088890845700</v>
      </c>
      <c r="E48" s="582">
        <v>47.295486161636510534296873310</v>
      </c>
      <c r="F48" s="582">
        <v>53.111403904701524409667427710</v>
      </c>
      <c r="G48" s="582">
        <v>49.212409148818799376914859890</v>
      </c>
      <c r="H48" s="582">
        <v>38.584410494565484680725209530</v>
      </c>
      <c r="I48" s="582">
        <v>36.979640356745806068516529470</v>
      </c>
      <c r="J48" s="582">
        <v>42.487398398198832927338267080</v>
      </c>
      <c r="K48" s="582">
        <v>42.485153668694843552050743230</v>
      </c>
      <c r="L48" s="582">
        <v>34.690386746113555293829710330</v>
      </c>
      <c r="M48" s="582">
        <v>50.954220860180625697153391790</v>
      </c>
      <c r="N48" s="582">
        <v>60.578116994878121930715772910</v>
      </c>
      <c r="O48" s="582">
        <v>54.589106732788737002813191600</v>
      </c>
      <c r="P48" s="582">
        <v>41.365775226229383894937017990</v>
      </c>
      <c r="Q48" s="582">
        <v>41.541120415659388693791931430</v>
      </c>
      <c r="R48" s="582">
        <v>54.306693377328117079197174750</v>
      </c>
      <c r="S48" s="582">
        <v>44.477542972145964538007853710</v>
      </c>
      <c r="T48" s="582">
        <v>59.699434044748988146281083980</v>
      </c>
      <c r="U48" s="582">
        <v>57.617374402962403395279799020</v>
      </c>
      <c r="V48" s="582">
        <v>31.693504739823472542607762580</v>
      </c>
      <c r="W48" s="582">
        <v>31.639716973775680315501649420</v>
      </c>
      <c r="X48" s="582">
        <v>70.909951164783432313068423680</v>
      </c>
      <c r="Y48" s="582">
        <v>69.241514183341783500479519710</v>
      </c>
      <c r="Z48" s="582">
        <v>11.843653592163159641548831680</v>
      </c>
      <c r="AA48" s="582">
        <v>2.9901573898606339259597131800</v>
      </c>
      <c r="AB48" s="582">
        <v>3.747666733517072046266456100</v>
      </c>
      <c r="AC48" s="582">
        <v>8.742703883147216430585148790</v>
      </c>
      <c r="AD48" s="582">
        <v>61.518947708569440566318711810</v>
      </c>
      <c r="AE48" s="582">
        <v>66.463934489257466594104669120</v>
      </c>
      <c r="AF48" s="582">
        <v>80.22079764920164954138848114</v>
      </c>
      <c r="AG48" s="583">
        <v>32.813940226773969090334980150</v>
      </c>
      <c r="AH48" s="531"/>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125.06767731414984834712067705</v>
      </c>
      <c r="D50" s="574">
        <v>30.098452883306924934869189400</v>
      </c>
      <c r="E50" s="574">
        <v>12.842639594040374655363600440</v>
      </c>
      <c r="F50" s="574">
        <v>-33.006042296025702861875999830</v>
      </c>
      <c r="G50" s="574">
        <v>-41.801745635886640358268906680</v>
      </c>
      <c r="H50" s="574">
        <v>10.730593607027845541169564770</v>
      </c>
      <c r="I50" s="574">
        <v>-5.3154710457794817760294060700</v>
      </c>
      <c r="J50" s="574">
        <v>-7.1131587818751672276415187300</v>
      </c>
      <c r="K50" s="574">
        <v>-21.110515021505782421392888220</v>
      </c>
      <c r="L50" s="574">
        <v>-39.812291855903163840906835440</v>
      </c>
      <c r="M50" s="574">
        <v>-9.170128685704616790626918600</v>
      </c>
      <c r="N50" s="574">
        <v>7.4846378564228264943943175800</v>
      </c>
      <c r="O50" s="574">
        <v>34.848876259294833956983056140</v>
      </c>
      <c r="P50" s="574">
        <v>-16.724960254432919742898188960</v>
      </c>
      <c r="Q50" s="574">
        <v>17.542184017783810690601292400</v>
      </c>
      <c r="R50" s="574">
        <v>31.386253952417845190942161880</v>
      </c>
      <c r="S50" s="574">
        <v>19.877976776116622969263897570</v>
      </c>
      <c r="T50" s="574">
        <v>907.9457364294204074274600601</v>
      </c>
      <c r="U50" s="574">
        <v>180.56251740466954539416396595</v>
      </c>
      <c r="V50" s="574">
        <v>-61.569643058248783116263259740</v>
      </c>
      <c r="W50" s="574">
        <v>-59.076970254543858632039252570</v>
      </c>
      <c r="X50" s="574">
        <v>-12.060301507576355395065764170</v>
      </c>
      <c r="Y50" s="574">
        <v>-29.040131690949690923588080700</v>
      </c>
      <c r="Z50" s="574">
        <v>-88.13523875915283785604485107</v>
      </c>
      <c r="AA50" s="574">
        <v>-93.16894368544501605096423357</v>
      </c>
      <c r="AB50" s="574">
        <v>-87.68176500084846616362940657</v>
      </c>
      <c r="AC50" s="574">
        <v>-74.653413549617463965402257590</v>
      </c>
      <c r="AD50" s="574">
        <v>58.480286738351254480286738350</v>
      </c>
      <c r="AE50" s="574">
        <v>113.22111456097979814786888859</v>
      </c>
      <c r="AF50" s="574">
        <v>262.61801480000839531776474319</v>
      </c>
      <c r="AG50" s="575">
        <v>-11.962300628493064667707118290</v>
      </c>
      <c r="AH50" s="530"/>
    </row>
    <row r="51" ht="24.95" customHeight="1">
      <c r="B51" s="38" t="s">
        <v>35</v>
      </c>
      <c r="C51" s="271">
        <v>68.995327359912288279005906780</v>
      </c>
      <c r="D51" s="97">
        <v>63.714370916580679037370496490</v>
      </c>
      <c r="E51" s="97">
        <v>23.420502009602161614768500190</v>
      </c>
      <c r="F51" s="97">
        <v>-16.938894134087584680835092500</v>
      </c>
      <c r="G51" s="97">
        <v>-16.357694897555333060907565160</v>
      </c>
      <c r="H51" s="97">
        <v>-24.125988593535760987925953610</v>
      </c>
      <c r="I51" s="97">
        <v>-17.273314574487683839981860770</v>
      </c>
      <c r="J51" s="97">
        <v>-5.8326043762856560722272822800</v>
      </c>
      <c r="K51" s="97">
        <v>-5.9253819129878821881981208200</v>
      </c>
      <c r="L51" s="97">
        <v>-20.257772317928424775929376180</v>
      </c>
      <c r="M51" s="97">
        <v>-6.5820835076169180824169154100</v>
      </c>
      <c r="N51" s="97">
        <v>17.245910505790493120828072700</v>
      </c>
      <c r="O51" s="97">
        <v>3.9252647840770250578793193200</v>
      </c>
      <c r="P51" s="97">
        <v>0.0446411053235332343863818500</v>
      </c>
      <c r="Q51" s="97">
        <v>24.541913858884545883072148890</v>
      </c>
      <c r="R51" s="97">
        <v>-0.2150591989434997602831098700</v>
      </c>
      <c r="S51" s="97">
        <v>-6.660748222101874718680455500</v>
      </c>
      <c r="T51" s="97">
        <v>2.7971555247722538450705234700</v>
      </c>
      <c r="U51" s="97">
        <v>13.122975325749892258828853590</v>
      </c>
      <c r="V51" s="97">
        <v>27.259212602777536055608032840</v>
      </c>
      <c r="W51" s="97">
        <v>28.449106694455827805843378050</v>
      </c>
      <c r="X51" s="97">
        <v>29.093771071080578042953905690</v>
      </c>
      <c r="Y51" s="97">
        <v>22.793755078151463861159587660</v>
      </c>
      <c r="Z51" s="97">
        <v>12.769787871038027606159453710</v>
      </c>
      <c r="AA51" s="97">
        <v>15.638610432461078819840058870</v>
      </c>
      <c r="AB51" s="97">
        <v>15.605342662704535417184795830</v>
      </c>
      <c r="AC51" s="97">
        <v>23.235054677716178833629445070</v>
      </c>
      <c r="AD51" s="97">
        <v>29.952225664209036906687967040</v>
      </c>
      <c r="AE51" s="97">
        <v>20.673203012824597714722691940</v>
      </c>
      <c r="AF51" s="97">
        <v>12.364091172402181525577894600</v>
      </c>
      <c r="AG51" s="272">
        <v>-4.681848547209603594875822500</v>
      </c>
      <c r="AH51" s="530"/>
    </row>
    <row r="52" ht="24.95" customHeight="1">
      <c r="A52" s="23"/>
      <c r="B52" s="40" t="s">
        <v>99</v>
      </c>
      <c r="C52" s="581">
        <v>33.179822679369586902499422980</v>
      </c>
      <c r="D52" s="582">
        <v>-20.533272580318922721206853240</v>
      </c>
      <c r="E52" s="582">
        <v>-8.570587741521919433619522620</v>
      </c>
      <c r="F52" s="582">
        <v>-19.343768656255235995945021920</v>
      </c>
      <c r="G52" s="582">
        <v>-30.420073558657122831676390580</v>
      </c>
      <c r="H52" s="582">
        <v>45.940080871649876033537897210</v>
      </c>
      <c r="I52" s="582">
        <v>14.454638750661148531493025180</v>
      </c>
      <c r="J52" s="582">
        <v>-1.3598702577806681439805315300</v>
      </c>
      <c r="K52" s="582">
        <v>-16.141583582467868913312465870</v>
      </c>
      <c r="L52" s="582">
        <v>-24.522163609390289583894363160</v>
      </c>
      <c r="M52" s="582">
        <v>-2.7703948829167548967529900900</v>
      </c>
      <c r="N52" s="582">
        <v>-8.325469611111077648002806830</v>
      </c>
      <c r="O52" s="582">
        <v>29.755624428227672844954674460</v>
      </c>
      <c r="P52" s="582">
        <v>-16.762118564813257930899265580</v>
      </c>
      <c r="Q52" s="582">
        <v>-5.6203808213341999729759091700</v>
      </c>
      <c r="R52" s="582">
        <v>31.669421154854017343029930290</v>
      </c>
      <c r="S52" s="582">
        <v>28.432545250485248460143298540</v>
      </c>
      <c r="T52" s="582">
        <v>880.5190924674462281791410656</v>
      </c>
      <c r="U52" s="582">
        <v>148.01550400922818532501284653</v>
      </c>
      <c r="V52" s="582">
        <v>-69.801512868259751261504047810</v>
      </c>
      <c r="W52" s="582">
        <v>-68.140666137263189696197988040</v>
      </c>
      <c r="X52" s="582">
        <v>-31.879208607192114730264541910</v>
      </c>
      <c r="Y52" s="582">
        <v>-42.212152186503548240669711480</v>
      </c>
      <c r="Z52" s="582">
        <v>-89.47877666098601908511080696</v>
      </c>
      <c r="AA52" s="582">
        <v>-94.09275475637882561082101499</v>
      </c>
      <c r="AB52" s="582">
        <v>-89.34457983044464163637919665</v>
      </c>
      <c r="AC52" s="582">
        <v>-79.43232425489634992637177878</v>
      </c>
      <c r="AD52" s="582">
        <v>21.952729880919256860896227030</v>
      </c>
      <c r="AE52" s="582">
        <v>76.693009912367310514389652710</v>
      </c>
      <c r="AF52" s="582">
        <v>222.71699171577529553819052176</v>
      </c>
      <c r="AG52" s="583">
        <v>-7.6380542112806329633218211300</v>
      </c>
      <c r="AH52" s="531"/>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81"/>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159</v>
      </c>
      <c r="AD1" s="75"/>
      <c r="AG1" s="688"/>
      <c r="AI1" s="236"/>
    </row>
    <row r="2" ht="21" customHeight="1">
      <c r="B2" s="66" t="s">
        <v>170</v>
      </c>
    </row>
    <row r="3" ht="21" customHeight="1">
      <c r="B3" s="66" t="s">
        <v>171</v>
      </c>
      <c r="U3" s="99" t="s">
        <v>260</v>
      </c>
      <c r="V3" s="99"/>
      <c r="W3" s="99"/>
      <c r="X3" s="99"/>
      <c r="Y3" s="99"/>
      <c r="Z3" s="99"/>
      <c r="AA3" s="99"/>
      <c r="AB3" s="99"/>
      <c r="AC3" s="99"/>
      <c r="AD3" s="99"/>
      <c r="AE3" s="99"/>
      <c r="AF3" s="99"/>
      <c r="AG3" s="99"/>
    </row>
    <row r="4" ht="21" customHeight="1">
      <c r="A4" s="54"/>
      <c r="B4" s="211" t="s">
        <v>172</v>
      </c>
      <c r="C4" s="88"/>
      <c r="D4" s="88"/>
      <c r="E4" s="88"/>
      <c r="F4" s="88"/>
      <c r="G4" s="88"/>
      <c r="H4" s="212"/>
      <c r="I4" s="212"/>
      <c r="J4" s="212"/>
      <c r="K4" s="212"/>
      <c r="L4" s="212"/>
      <c r="M4" s="212"/>
      <c r="N4" s="212"/>
      <c r="O4" s="212"/>
      <c r="P4" s="212"/>
      <c r="Q4" s="212"/>
      <c r="R4" s="212"/>
      <c r="S4" s="212"/>
      <c r="T4" s="212"/>
      <c r="U4" s="212"/>
      <c r="V4" s="212"/>
      <c r="W4" s="212"/>
      <c r="X4" s="54"/>
      <c r="Y4" s="54"/>
      <c r="AC4" s="212"/>
    </row>
    <row r="5" ht="24.95" customHeight="1"/>
    <row r="6" ht="24.95" customHeight="1">
      <c r="D6" s="802" t="s">
        <v>91</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101</v>
      </c>
      <c r="N7" s="839"/>
      <c r="O7" s="283"/>
      <c r="Q7" s="839" t="s">
        <v>20</v>
      </c>
      <c r="R7" s="839"/>
      <c r="S7" s="283"/>
      <c r="T7" s="839" t="s">
        <v>18</v>
      </c>
      <c r="U7" s="839"/>
      <c r="V7" s="283"/>
      <c r="W7" s="839" t="s">
        <v>17</v>
      </c>
      <c r="X7" s="839"/>
      <c r="Y7" s="283"/>
      <c r="Z7" s="839" t="s">
        <v>101</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180</v>
      </c>
      <c r="D9" s="434">
        <v>117.62047297297297297297297297</v>
      </c>
      <c r="E9" s="435">
        <v>142.37903615076512272773955017</v>
      </c>
      <c r="F9" s="436">
        <v>128.54935905261872787205469418</v>
      </c>
      <c r="G9" s="434"/>
      <c r="H9" s="435"/>
      <c r="I9" s="436"/>
      <c r="J9" s="434"/>
      <c r="K9" s="435"/>
      <c r="L9" s="436"/>
      <c r="M9" s="434"/>
      <c r="N9" s="435"/>
      <c r="O9" s="436"/>
      <c r="P9" s="75"/>
      <c r="Q9" s="415">
        <v>7.3052871538292183944411291200</v>
      </c>
      <c r="R9" s="416">
        <v>5.145103624665942812599963100</v>
      </c>
      <c r="S9" s="417">
        <v>7.3085632558375789967439624900</v>
      </c>
      <c r="T9" s="415"/>
      <c r="U9" s="416"/>
      <c r="V9" s="417"/>
      <c r="W9" s="415"/>
      <c r="X9" s="416"/>
      <c r="Y9" s="417"/>
      <c r="Z9" s="415"/>
      <c r="AA9" s="416"/>
      <c r="AB9" s="417"/>
      <c r="AC9" s="75"/>
      <c r="AD9" s="460" t="s">
        <v>182</v>
      </c>
      <c r="AE9" s="461"/>
      <c r="AF9" s="461"/>
      <c r="AG9" s="462"/>
    </row>
    <row r="10" ht="20.1" customHeight="1">
      <c r="A10" s="58"/>
      <c r="B10" s="286"/>
      <c r="C10" s="287" t="s">
        <v>183</v>
      </c>
      <c r="D10" s="437">
        <v>114.08175337186897880539499037</v>
      </c>
      <c r="E10" s="147">
        <v>139.9661972115578904829258436</v>
      </c>
      <c r="F10" s="438">
        <v>127.50264370932754880694143167</v>
      </c>
      <c r="G10" s="437"/>
      <c r="H10" s="147"/>
      <c r="I10" s="438"/>
      <c r="J10" s="437"/>
      <c r="K10" s="147"/>
      <c r="L10" s="438"/>
      <c r="M10" s="437"/>
      <c r="N10" s="147"/>
      <c r="O10" s="438"/>
      <c r="P10" s="75"/>
      <c r="Q10" s="446">
        <v>3.878622823206542039004647600</v>
      </c>
      <c r="R10" s="148">
        <v>5.2765893633239340814064061500</v>
      </c>
      <c r="S10" s="447">
        <v>6.8940976291338897261490894300</v>
      </c>
      <c r="T10" s="446"/>
      <c r="U10" s="148"/>
      <c r="V10" s="447"/>
      <c r="W10" s="446"/>
      <c r="X10" s="148"/>
      <c r="Y10" s="447"/>
      <c r="Z10" s="446"/>
      <c r="AA10" s="148"/>
      <c r="AB10" s="447"/>
      <c r="AC10" s="75"/>
      <c r="AD10" s="446" t="s">
        <v>185</v>
      </c>
      <c r="AE10" s="148"/>
      <c r="AF10" s="148"/>
      <c r="AG10" s="447"/>
    </row>
    <row r="11" ht="20.1" customHeight="1">
      <c r="A11" s="58"/>
      <c r="B11" s="288"/>
      <c r="C11" s="289" t="s">
        <v>186</v>
      </c>
      <c r="D11" s="439">
        <v>117.82745454545454545454545455</v>
      </c>
      <c r="E11" s="149">
        <v>141.94785792230467044958533391</v>
      </c>
      <c r="F11" s="442">
        <v>129.81345628415300546448087432</v>
      </c>
      <c r="G11" s="439"/>
      <c r="H11" s="149"/>
      <c r="I11" s="442"/>
      <c r="J11" s="439"/>
      <c r="K11" s="149"/>
      <c r="L11" s="442"/>
      <c r="M11" s="439"/>
      <c r="N11" s="149"/>
      <c r="O11" s="442"/>
      <c r="P11" s="75"/>
      <c r="Q11" s="497">
        <v>5.476468327719782638637544500</v>
      </c>
      <c r="R11" s="216">
        <v>3.1749469759971631078091178900</v>
      </c>
      <c r="S11" s="498">
        <v>7.4213032338823601633928926300</v>
      </c>
      <c r="T11" s="497"/>
      <c r="U11" s="216"/>
      <c r="V11" s="498"/>
      <c r="W11" s="497"/>
      <c r="X11" s="216"/>
      <c r="Y11" s="498"/>
      <c r="Z11" s="497"/>
      <c r="AA11" s="216"/>
      <c r="AB11" s="498"/>
      <c r="AC11" s="75"/>
      <c r="AD11" s="448" t="s">
        <v>185</v>
      </c>
      <c r="AE11" s="150"/>
      <c r="AF11" s="150"/>
      <c r="AG11" s="449"/>
    </row>
    <row r="12" ht="20.1" customHeight="1">
      <c r="A12" s="58"/>
      <c r="B12" s="286"/>
      <c r="C12" s="287" t="s">
        <v>187</v>
      </c>
      <c r="D12" s="437">
        <v>117.52575480329368709972552608</v>
      </c>
      <c r="E12" s="147">
        <v>141.20826207971498552660877309</v>
      </c>
      <c r="F12" s="438">
        <v>132.11236370758884850595225141</v>
      </c>
      <c r="G12" s="437"/>
      <c r="H12" s="147"/>
      <c r="I12" s="438"/>
      <c r="J12" s="437"/>
      <c r="K12" s="147"/>
      <c r="L12" s="438"/>
      <c r="M12" s="437"/>
      <c r="N12" s="147"/>
      <c r="O12" s="438"/>
      <c r="P12" s="75"/>
      <c r="Q12" s="446">
        <v>10.226214005229359300678140410</v>
      </c>
      <c r="R12" s="148">
        <v>3.6189903803210685505260510300</v>
      </c>
      <c r="S12" s="447">
        <v>8.174776967958106466911479970</v>
      </c>
      <c r="T12" s="446"/>
      <c r="U12" s="148"/>
      <c r="V12" s="447"/>
      <c r="W12" s="446"/>
      <c r="X12" s="148"/>
      <c r="Y12" s="447"/>
      <c r="Z12" s="446"/>
      <c r="AA12" s="148"/>
      <c r="AB12" s="447"/>
      <c r="AC12" s="75"/>
      <c r="AD12" s="446" t="s">
        <v>182</v>
      </c>
      <c r="AE12" s="148"/>
      <c r="AF12" s="148"/>
      <c r="AG12" s="447"/>
    </row>
    <row r="13" ht="20.1" customHeight="1">
      <c r="A13" s="58"/>
      <c r="B13" s="288"/>
      <c r="C13" s="289" t="s">
        <v>188</v>
      </c>
      <c r="D13" s="439">
        <v>109.39709314227226202661207779</v>
      </c>
      <c r="E13" s="149">
        <v>138.55117039773962182134318626</v>
      </c>
      <c r="F13" s="442">
        <v>127.45271568945038332793434834</v>
      </c>
      <c r="G13" s="439"/>
      <c r="H13" s="149"/>
      <c r="I13" s="442"/>
      <c r="J13" s="439"/>
      <c r="K13" s="149"/>
      <c r="L13" s="442"/>
      <c r="M13" s="439"/>
      <c r="N13" s="149"/>
      <c r="O13" s="442"/>
      <c r="P13" s="75"/>
      <c r="Q13" s="448">
        <v>-1.3795264710813315756653270900</v>
      </c>
      <c r="R13" s="150">
        <v>0.7626931534247070126745672500</v>
      </c>
      <c r="S13" s="498">
        <v>2.9931422383351941752657794600</v>
      </c>
      <c r="T13" s="448"/>
      <c r="U13" s="150"/>
      <c r="V13" s="498"/>
      <c r="W13" s="448"/>
      <c r="X13" s="150"/>
      <c r="Y13" s="498"/>
      <c r="Z13" s="448"/>
      <c r="AA13" s="150"/>
      <c r="AB13" s="498"/>
      <c r="AC13" s="75"/>
      <c r="AD13" s="448" t="s">
        <v>184</v>
      </c>
      <c r="AE13" s="150"/>
      <c r="AF13" s="150"/>
      <c r="AG13" s="449"/>
    </row>
    <row r="14" ht="20.1" customHeight="1">
      <c r="A14" s="58"/>
      <c r="B14" s="286"/>
      <c r="C14" s="287" t="s">
        <v>189</v>
      </c>
      <c r="D14" s="437">
        <v>109.38009060562708631378159275</v>
      </c>
      <c r="E14" s="147">
        <v>137.82991548380106187019178675</v>
      </c>
      <c r="F14" s="438">
        <v>125.11385161361872019518686925</v>
      </c>
      <c r="G14" s="437"/>
      <c r="H14" s="147"/>
      <c r="I14" s="438"/>
      <c r="J14" s="437"/>
      <c r="K14" s="147"/>
      <c r="L14" s="438"/>
      <c r="M14" s="437"/>
      <c r="N14" s="147"/>
      <c r="O14" s="438"/>
      <c r="P14" s="75"/>
      <c r="Q14" s="446">
        <v>0.7102988985575264292281716200</v>
      </c>
      <c r="R14" s="148">
        <v>4.3376094386158889208936714200</v>
      </c>
      <c r="S14" s="447">
        <v>4.1094534793265940288027053900</v>
      </c>
      <c r="T14" s="446"/>
      <c r="U14" s="148"/>
      <c r="V14" s="447"/>
      <c r="W14" s="446"/>
      <c r="X14" s="148"/>
      <c r="Y14" s="447"/>
      <c r="Z14" s="446"/>
      <c r="AA14" s="148"/>
      <c r="AB14" s="447"/>
      <c r="AC14" s="75"/>
      <c r="AD14" s="446" t="s">
        <v>185</v>
      </c>
      <c r="AE14" s="148"/>
      <c r="AF14" s="148"/>
      <c r="AG14" s="447"/>
    </row>
    <row r="15" ht="20.1" customHeight="1">
      <c r="A15" s="58"/>
      <c r="B15" s="288"/>
      <c r="C15" s="289" t="s">
        <v>190</v>
      </c>
      <c r="D15" s="439">
        <v>106.55835941443715295305401312</v>
      </c>
      <c r="E15" s="149">
        <v>134.57845210580380071905495636</v>
      </c>
      <c r="F15" s="442">
        <v>123.2612169489898747540668938</v>
      </c>
      <c r="G15" s="439"/>
      <c r="H15" s="149"/>
      <c r="I15" s="442"/>
      <c r="J15" s="439"/>
      <c r="K15" s="149"/>
      <c r="L15" s="442"/>
      <c r="M15" s="439"/>
      <c r="N15" s="149"/>
      <c r="O15" s="442"/>
      <c r="P15" s="75"/>
      <c r="Q15" s="448">
        <v>2.4680984472401921575587216500</v>
      </c>
      <c r="R15" s="150">
        <v>2.6157705886378468229330834700</v>
      </c>
      <c r="S15" s="498">
        <v>3.4644204847495866121546140900</v>
      </c>
      <c r="T15" s="448"/>
      <c r="U15" s="150"/>
      <c r="V15" s="498"/>
      <c r="W15" s="448"/>
      <c r="X15" s="150"/>
      <c r="Y15" s="498"/>
      <c r="Z15" s="448"/>
      <c r="AA15" s="150"/>
      <c r="AB15" s="498"/>
      <c r="AC15" s="75"/>
      <c r="AD15" s="448" t="s">
        <v>185</v>
      </c>
      <c r="AE15" s="150"/>
      <c r="AF15" s="150"/>
      <c r="AG15" s="449"/>
    </row>
    <row r="16" ht="20.1" customHeight="1">
      <c r="A16" s="58"/>
      <c r="B16" s="286"/>
      <c r="C16" s="287" t="s">
        <v>191</v>
      </c>
      <c r="D16" s="437">
        <v>113.41747701736465781409601634</v>
      </c>
      <c r="E16" s="147">
        <v>143.80249740932642487046632123</v>
      </c>
      <c r="F16" s="438">
        <v>126.21182538220666789463989685</v>
      </c>
      <c r="G16" s="437"/>
      <c r="H16" s="147"/>
      <c r="I16" s="438"/>
      <c r="J16" s="437"/>
      <c r="K16" s="147"/>
      <c r="L16" s="438"/>
      <c r="M16" s="437"/>
      <c r="N16" s="147"/>
      <c r="O16" s="438"/>
      <c r="P16" s="75"/>
      <c r="Q16" s="446">
        <v>3.0511771464398959703073851300</v>
      </c>
      <c r="R16" s="148">
        <v>5.4704977749635496837495312600</v>
      </c>
      <c r="S16" s="447">
        <v>5.3016260696120401847664599200</v>
      </c>
      <c r="T16" s="446"/>
      <c r="U16" s="148"/>
      <c r="V16" s="447"/>
      <c r="W16" s="446"/>
      <c r="X16" s="148"/>
      <c r="Y16" s="447"/>
      <c r="Z16" s="446"/>
      <c r="AA16" s="148"/>
      <c r="AB16" s="447"/>
      <c r="AC16" s="75"/>
      <c r="AD16" s="446" t="s">
        <v>185</v>
      </c>
      <c r="AE16" s="148"/>
      <c r="AF16" s="148"/>
      <c r="AG16" s="447"/>
    </row>
    <row r="17" ht="20.1" customHeight="1">
      <c r="A17" s="58"/>
      <c r="B17" s="288"/>
      <c r="C17" s="289" t="s">
        <v>192</v>
      </c>
      <c r="D17" s="439">
        <v>115.5049691738594327990135635</v>
      </c>
      <c r="E17" s="149">
        <v>148.3283264830037769384581204</v>
      </c>
      <c r="F17" s="442">
        <v>132.62477944657227697207040496</v>
      </c>
      <c r="G17" s="439"/>
      <c r="H17" s="149"/>
      <c r="I17" s="442"/>
      <c r="J17" s="439"/>
      <c r="K17" s="149"/>
      <c r="L17" s="442"/>
      <c r="M17" s="439"/>
      <c r="N17" s="149"/>
      <c r="O17" s="442"/>
      <c r="P17" s="75"/>
      <c r="Q17" s="448">
        <v>-3.9553383285127001908727005800</v>
      </c>
      <c r="R17" s="150">
        <v>1.0205278258138634103270525100</v>
      </c>
      <c r="S17" s="498">
        <v>0.7027861737643878804031561400</v>
      </c>
      <c r="T17" s="448"/>
      <c r="U17" s="150"/>
      <c r="V17" s="498"/>
      <c r="W17" s="448"/>
      <c r="X17" s="150"/>
      <c r="Y17" s="498"/>
      <c r="Z17" s="448"/>
      <c r="AA17" s="150"/>
      <c r="AB17" s="498"/>
      <c r="AC17" s="75"/>
      <c r="AD17" s="448" t="s">
        <v>185</v>
      </c>
      <c r="AE17" s="150"/>
      <c r="AF17" s="150"/>
      <c r="AG17" s="449"/>
    </row>
    <row r="18" ht="20.1" customHeight="1">
      <c r="A18" s="58"/>
      <c r="B18" s="286"/>
      <c r="C18" s="287" t="s">
        <v>193</v>
      </c>
      <c r="D18" s="437">
        <v>119.96041147807255008121277748</v>
      </c>
      <c r="E18" s="147">
        <v>141.43044335578689528475199019</v>
      </c>
      <c r="F18" s="438">
        <v>129.33809876543209876543209877</v>
      </c>
      <c r="G18" s="437"/>
      <c r="H18" s="147"/>
      <c r="I18" s="438"/>
      <c r="J18" s="437"/>
      <c r="K18" s="147"/>
      <c r="L18" s="438"/>
      <c r="M18" s="437"/>
      <c r="N18" s="147"/>
      <c r="O18" s="438"/>
      <c r="P18" s="75"/>
      <c r="Q18" s="446">
        <v>8.674807644302534639762149560</v>
      </c>
      <c r="R18" s="148">
        <v>2.1412662890634182816844979400</v>
      </c>
      <c r="S18" s="447">
        <v>6.3370804429546164173161859900</v>
      </c>
      <c r="T18" s="446"/>
      <c r="U18" s="148"/>
      <c r="V18" s="447"/>
      <c r="W18" s="446"/>
      <c r="X18" s="148"/>
      <c r="Y18" s="447"/>
      <c r="Z18" s="446"/>
      <c r="AA18" s="148"/>
      <c r="AB18" s="447"/>
      <c r="AC18" s="75"/>
      <c r="AD18" s="446" t="s">
        <v>194</v>
      </c>
      <c r="AE18" s="148"/>
      <c r="AF18" s="148"/>
      <c r="AG18" s="447"/>
    </row>
    <row r="19" ht="20.1" customHeight="1">
      <c r="A19" s="58"/>
      <c r="B19" s="288"/>
      <c r="C19" s="289" t="s">
        <v>195</v>
      </c>
      <c r="D19" s="439">
        <v>112.97590395480225988700564972</v>
      </c>
      <c r="E19" s="149">
        <v>130.7352521186440677966101695</v>
      </c>
      <c r="F19" s="442">
        <v>121.94267718202508865717461494</v>
      </c>
      <c r="G19" s="439"/>
      <c r="H19" s="149"/>
      <c r="I19" s="442"/>
      <c r="J19" s="439"/>
      <c r="K19" s="149"/>
      <c r="L19" s="442"/>
      <c r="M19" s="439"/>
      <c r="N19" s="149"/>
      <c r="O19" s="442"/>
      <c r="P19" s="75"/>
      <c r="Q19" s="448">
        <v>6.9165239108966313909585985800</v>
      </c>
      <c r="R19" s="150">
        <v>2.3708200831142928700288273100</v>
      </c>
      <c r="S19" s="498">
        <v>5.2341377781561400717476950700</v>
      </c>
      <c r="T19" s="448"/>
      <c r="U19" s="150"/>
      <c r="V19" s="498"/>
      <c r="W19" s="448"/>
      <c r="X19" s="150"/>
      <c r="Y19" s="498"/>
      <c r="Z19" s="448"/>
      <c r="AA19" s="150"/>
      <c r="AB19" s="498"/>
      <c r="AC19" s="75"/>
      <c r="AD19" s="448" t="s">
        <v>194</v>
      </c>
      <c r="AE19" s="150"/>
      <c r="AF19" s="150"/>
      <c r="AG19" s="449"/>
    </row>
    <row r="20" ht="20.1" customHeight="1">
      <c r="A20" s="58"/>
      <c r="B20" s="286">
        <v>2025</v>
      </c>
      <c r="C20" s="287" t="s">
        <v>196</v>
      </c>
      <c r="D20" s="437">
        <v>109.71301504251144538914323087</v>
      </c>
      <c r="E20" s="147">
        <v>134.77290423317140874392782791</v>
      </c>
      <c r="F20" s="438">
        <v>123.58492955516859268640177299</v>
      </c>
      <c r="G20" s="437"/>
      <c r="H20" s="147"/>
      <c r="I20" s="438"/>
      <c r="J20" s="437"/>
      <c r="K20" s="147"/>
      <c r="L20" s="438"/>
      <c r="M20" s="437"/>
      <c r="N20" s="147"/>
      <c r="O20" s="438"/>
      <c r="P20" s="75"/>
      <c r="Q20" s="446">
        <v>-0.4817835894056870062383912400</v>
      </c>
      <c r="R20" s="148">
        <v>-0.9262572963433338434696739800</v>
      </c>
      <c r="S20" s="447">
        <v>1.7641851455423863723925596400</v>
      </c>
      <c r="T20" s="446"/>
      <c r="U20" s="148"/>
      <c r="V20" s="447"/>
      <c r="W20" s="446"/>
      <c r="X20" s="148"/>
      <c r="Y20" s="447"/>
      <c r="Z20" s="446"/>
      <c r="AA20" s="148"/>
      <c r="AB20" s="447"/>
      <c r="AC20" s="75"/>
      <c r="AD20" s="446" t="s">
        <v>182</v>
      </c>
      <c r="AE20" s="148"/>
      <c r="AF20" s="148"/>
      <c r="AG20" s="447"/>
    </row>
    <row r="21" ht="20.1" customHeight="1">
      <c r="A21" s="58"/>
      <c r="B21" s="288"/>
      <c r="C21" s="289" t="s">
        <v>180</v>
      </c>
      <c r="D21" s="439">
        <v>117.42785225718194254445964432</v>
      </c>
      <c r="E21" s="149">
        <v>140.8465501385041551246537396</v>
      </c>
      <c r="F21" s="442">
        <v>131.88390204159877312374197259</v>
      </c>
      <c r="G21" s="439"/>
      <c r="H21" s="149"/>
      <c r="I21" s="442"/>
      <c r="J21" s="439"/>
      <c r="K21" s="149"/>
      <c r="L21" s="442"/>
      <c r="M21" s="439"/>
      <c r="N21" s="149"/>
      <c r="O21" s="442"/>
      <c r="P21" s="75"/>
      <c r="Q21" s="448">
        <v>-0.1637646159289581345597669700</v>
      </c>
      <c r="R21" s="150">
        <v>-1.076342454427574895274243500</v>
      </c>
      <c r="S21" s="498">
        <v>2.5939786970344522131003786100</v>
      </c>
      <c r="T21" s="448"/>
      <c r="U21" s="150"/>
      <c r="V21" s="498"/>
      <c r="W21" s="448"/>
      <c r="X21" s="150"/>
      <c r="Y21" s="498"/>
      <c r="Z21" s="448"/>
      <c r="AA21" s="150"/>
      <c r="AB21" s="498"/>
      <c r="AC21" s="75"/>
      <c r="AD21" s="448" t="s">
        <v>194</v>
      </c>
      <c r="AE21" s="150"/>
      <c r="AF21" s="150"/>
      <c r="AG21" s="449"/>
    </row>
    <row r="22" ht="20.1" customHeight="1">
      <c r="A22" s="58"/>
      <c r="B22" s="286"/>
      <c r="C22" s="287" t="s">
        <v>183</v>
      </c>
      <c r="D22" s="437">
        <v>114.9407459831675592960979342</v>
      </c>
      <c r="E22" s="147">
        <v>133.82462907527349915637076145</v>
      </c>
      <c r="F22" s="438">
        <v>127.54082913236764299236381426</v>
      </c>
      <c r="G22" s="437"/>
      <c r="H22" s="147"/>
      <c r="I22" s="438"/>
      <c r="J22" s="437"/>
      <c r="K22" s="147"/>
      <c r="L22" s="438"/>
      <c r="M22" s="437"/>
      <c r="N22" s="147"/>
      <c r="O22" s="438"/>
      <c r="P22" s="75"/>
      <c r="Q22" s="446">
        <v>0.7529623150753060801343672300</v>
      </c>
      <c r="R22" s="148">
        <v>-4.3878938334244499706619180400</v>
      </c>
      <c r="S22" s="447">
        <v>0.0299487304394283398164138800</v>
      </c>
      <c r="T22" s="446"/>
      <c r="U22" s="148"/>
      <c r="V22" s="447"/>
      <c r="W22" s="446"/>
      <c r="X22" s="148"/>
      <c r="Y22" s="447"/>
      <c r="Z22" s="446"/>
      <c r="AA22" s="148"/>
      <c r="AB22" s="447"/>
      <c r="AC22" s="75"/>
      <c r="AD22" s="446" t="s">
        <v>194</v>
      </c>
      <c r="AE22" s="148"/>
      <c r="AF22" s="148"/>
      <c r="AG22" s="447"/>
    </row>
    <row r="23" ht="20.1" customHeight="1">
      <c r="A23" s="58"/>
      <c r="B23" s="288"/>
      <c r="C23" s="289" t="s">
        <v>186</v>
      </c>
      <c r="D23" s="439">
        <v>110.37336654431043523859465128</v>
      </c>
      <c r="E23" s="149">
        <v>138.94153855264716333056970272</v>
      </c>
      <c r="F23" s="442">
        <v>130.83379408748383644713960851</v>
      </c>
      <c r="G23" s="439"/>
      <c r="H23" s="149"/>
      <c r="I23" s="442"/>
      <c r="J23" s="439"/>
      <c r="K23" s="149"/>
      <c r="L23" s="442"/>
      <c r="M23" s="439"/>
      <c r="N23" s="149"/>
      <c r="O23" s="442"/>
      <c r="P23" s="75"/>
      <c r="Q23" s="448">
        <v>-6.3262743220096551817564348800</v>
      </c>
      <c r="R23" s="150">
        <v>-2.1179040062009587226377464700</v>
      </c>
      <c r="S23" s="498">
        <v>0.786003109762377491278663500</v>
      </c>
      <c r="T23" s="448"/>
      <c r="U23" s="150"/>
      <c r="V23" s="498"/>
      <c r="W23" s="448"/>
      <c r="X23" s="150"/>
      <c r="Y23" s="498"/>
      <c r="Z23" s="448"/>
      <c r="AA23" s="150"/>
      <c r="AB23" s="498"/>
      <c r="AC23" s="75"/>
      <c r="AD23" s="448" t="s">
        <v>185</v>
      </c>
      <c r="AE23" s="150"/>
      <c r="AF23" s="150"/>
      <c r="AG23" s="449"/>
    </row>
    <row r="24" ht="20.1" customHeight="1">
      <c r="A24" s="59"/>
      <c r="B24" s="286"/>
      <c r="C24" s="287" t="s">
        <v>187</v>
      </c>
      <c r="D24" s="437">
        <v>109.63275043936731107205623902</v>
      </c>
      <c r="E24" s="147">
        <v>136.04742655826558265582655827</v>
      </c>
      <c r="F24" s="438">
        <v>129.97679302959096674915261286</v>
      </c>
      <c r="G24" s="437"/>
      <c r="H24" s="147"/>
      <c r="I24" s="438"/>
      <c r="J24" s="437"/>
      <c r="K24" s="147"/>
      <c r="L24" s="438"/>
      <c r="M24" s="437"/>
      <c r="N24" s="147"/>
      <c r="O24" s="438"/>
      <c r="P24" s="96"/>
      <c r="Q24" s="446">
        <v>-6.7159784484201088825050433900</v>
      </c>
      <c r="R24" s="148">
        <v>-3.6547688112764723367150381600</v>
      </c>
      <c r="S24" s="447">
        <v>-1.6164805609985318340129726400</v>
      </c>
      <c r="T24" s="446"/>
      <c r="U24" s="148"/>
      <c r="V24" s="447"/>
      <c r="W24" s="446"/>
      <c r="X24" s="148"/>
      <c r="Y24" s="447"/>
      <c r="Z24" s="446"/>
      <c r="AA24" s="148"/>
      <c r="AB24" s="447"/>
      <c r="AC24" s="96"/>
      <c r="AD24" s="446" t="s">
        <v>185</v>
      </c>
      <c r="AE24" s="148"/>
      <c r="AF24" s="148"/>
      <c r="AG24" s="447"/>
    </row>
    <row r="25" ht="20.1" customHeight="1">
      <c r="A25" s="60"/>
      <c r="B25" s="288"/>
      <c r="C25" s="289" t="s">
        <v>188</v>
      </c>
      <c r="D25" s="439">
        <v>103.99178947368421052631578947</v>
      </c>
      <c r="E25" s="149">
        <v>136.99934096391726120207360263</v>
      </c>
      <c r="F25" s="442">
        <v>129.41200064174554789026151131</v>
      </c>
      <c r="G25" s="439"/>
      <c r="H25" s="149"/>
      <c r="I25" s="442"/>
      <c r="J25" s="439"/>
      <c r="K25" s="149"/>
      <c r="L25" s="442"/>
      <c r="M25" s="439"/>
      <c r="N25" s="149"/>
      <c r="O25" s="442"/>
      <c r="P25" s="96"/>
      <c r="Q25" s="448">
        <v>-4.9409938722821046016522355700</v>
      </c>
      <c r="R25" s="150">
        <v>-1.1200406530874745558608498700</v>
      </c>
      <c r="S25" s="498">
        <v>1.537264185895225008360108200</v>
      </c>
      <c r="T25" s="448"/>
      <c r="U25" s="150"/>
      <c r="V25" s="498"/>
      <c r="W25" s="448"/>
      <c r="X25" s="150"/>
      <c r="Y25" s="498"/>
      <c r="Z25" s="448"/>
      <c r="AA25" s="150"/>
      <c r="AB25" s="498"/>
      <c r="AC25" s="96"/>
      <c r="AD25" s="448" t="s">
        <v>181</v>
      </c>
      <c r="AE25" s="150"/>
      <c r="AF25" s="150"/>
      <c r="AG25" s="449"/>
    </row>
    <row r="26" ht="20.1" customHeight="1">
      <c r="A26" s="60"/>
      <c r="B26" s="290"/>
      <c r="C26" s="291" t="s">
        <v>189</v>
      </c>
      <c r="D26" s="443">
        <v>100.05007102272727272727272727</v>
      </c>
      <c r="E26" s="444">
        <v>135.53630260373086577742776985</v>
      </c>
      <c r="F26" s="445">
        <v>129.7553249260845954262957823</v>
      </c>
      <c r="G26" s="443"/>
      <c r="H26" s="444"/>
      <c r="I26" s="445"/>
      <c r="J26" s="443"/>
      <c r="K26" s="444"/>
      <c r="L26" s="445"/>
      <c r="M26" s="443"/>
      <c r="N26" s="444"/>
      <c r="O26" s="445"/>
      <c r="P26" s="184"/>
      <c r="Q26" s="450">
        <v>-8.529906613914481894155664330</v>
      </c>
      <c r="R26" s="451">
        <v>-1.6640893031228163886367081200</v>
      </c>
      <c r="S26" s="452">
        <v>3.7097997165168102496890089400</v>
      </c>
      <c r="T26" s="450"/>
      <c r="U26" s="451"/>
      <c r="V26" s="452"/>
      <c r="W26" s="450"/>
      <c r="X26" s="451"/>
      <c r="Y26" s="452"/>
      <c r="Z26" s="450"/>
      <c r="AA26" s="451"/>
      <c r="AB26" s="452"/>
      <c r="AC26" s="184"/>
      <c r="AD26" s="450" t="s">
        <v>184</v>
      </c>
      <c r="AE26" s="451"/>
      <c r="AF26" s="451"/>
      <c r="AG26" s="452"/>
    </row>
    <row r="27" ht="21" customHeight="1">
      <c r="A27" s="112"/>
      <c r="B27" s="114"/>
      <c r="C27" s="114"/>
      <c r="D27" s="151"/>
      <c r="E27" s="151"/>
      <c r="F27" s="151"/>
      <c r="G27" s="151"/>
      <c r="H27" s="151"/>
      <c r="I27" s="151"/>
      <c r="J27" s="151"/>
      <c r="K27" s="151"/>
      <c r="L27" s="151"/>
      <c r="M27" s="151"/>
      <c r="N27" s="151"/>
      <c r="O27" s="151"/>
      <c r="P27" s="152"/>
      <c r="Q27" s="151"/>
      <c r="R27" s="151"/>
      <c r="S27" s="151"/>
      <c r="T27" s="151"/>
      <c r="U27" s="151"/>
      <c r="V27" s="151"/>
      <c r="W27" s="151"/>
      <c r="X27" s="151"/>
      <c r="Y27" s="151"/>
      <c r="Z27" s="151"/>
      <c r="AA27" s="151"/>
      <c r="AB27" s="151"/>
      <c r="AC27" s="152"/>
      <c r="AD27" s="151"/>
      <c r="AE27" s="151"/>
      <c r="AF27" s="151"/>
      <c r="AG27" s="151"/>
      <c r="AH27" s="9"/>
    </row>
    <row r="28" ht="24.95" customHeight="1">
      <c r="A28" s="112"/>
      <c r="B28" s="847" t="s">
        <v>58</v>
      </c>
      <c r="C28" s="847"/>
      <c r="D28" s="847"/>
      <c r="E28" s="847"/>
      <c r="F28" s="847"/>
      <c r="G28" s="847"/>
      <c r="H28" s="847"/>
      <c r="I28" s="847"/>
      <c r="J28" s="847"/>
      <c r="K28" s="847"/>
      <c r="L28" s="847"/>
      <c r="M28" s="847"/>
      <c r="N28" s="847"/>
      <c r="O28" s="973"/>
      <c r="P28" s="433"/>
      <c r="Q28" s="836"/>
      <c r="R28" s="836"/>
      <c r="S28" s="836"/>
      <c r="T28" s="836"/>
      <c r="U28" s="836"/>
      <c r="V28" s="836"/>
      <c r="W28" s="836"/>
      <c r="X28" s="836"/>
      <c r="Y28" s="836"/>
      <c r="Z28" s="836"/>
      <c r="AA28" s="836"/>
      <c r="AB28" s="971"/>
      <c r="AC28" s="433"/>
      <c r="AD28" s="836"/>
      <c r="AE28" s="836"/>
      <c r="AF28" s="836"/>
      <c r="AG28" s="971"/>
      <c r="AH28" s="9"/>
    </row>
    <row r="29" ht="20.1" customHeight="1">
      <c r="A29" s="58"/>
      <c r="B29" s="284">
        <v>2023</v>
      </c>
      <c r="C29" s="285"/>
      <c r="D29" s="454">
        <v>108.81160012657560255260798481</v>
      </c>
      <c r="E29" s="455">
        <v>134.60502567624518082632244369</v>
      </c>
      <c r="F29" s="436">
        <v>120.46185552324591148809136713</v>
      </c>
      <c r="G29" s="454"/>
      <c r="H29" s="455"/>
      <c r="I29" s="436"/>
      <c r="J29" s="454"/>
      <c r="K29" s="455"/>
      <c r="L29" s="436"/>
      <c r="M29" s="454"/>
      <c r="N29" s="455"/>
      <c r="O29" s="436"/>
      <c r="P29" s="217"/>
      <c r="Q29" s="460">
        <v>-7.1825552524087344237898828100</v>
      </c>
      <c r="R29" s="461">
        <v>2.1549483145506141452044369700</v>
      </c>
      <c r="S29" s="417">
        <v>0.6056747583846665217217685300</v>
      </c>
      <c r="T29" s="460"/>
      <c r="U29" s="461"/>
      <c r="V29" s="417"/>
      <c r="W29" s="460"/>
      <c r="X29" s="461"/>
      <c r="Y29" s="417"/>
      <c r="Z29" s="460"/>
      <c r="AA29" s="461"/>
      <c r="AB29" s="417"/>
      <c r="AC29" s="75"/>
      <c r="AD29" s="460" t="s">
        <v>185</v>
      </c>
      <c r="AE29" s="461"/>
      <c r="AF29" s="461"/>
      <c r="AG29" s="462"/>
    </row>
    <row r="30" ht="20.1" customHeight="1">
      <c r="A30" s="58"/>
      <c r="B30" s="286">
        <v>2024</v>
      </c>
      <c r="C30" s="287"/>
      <c r="D30" s="437">
        <v>113.88855187412050658820519381</v>
      </c>
      <c r="E30" s="147">
        <v>139.77691119181265753587476201</v>
      </c>
      <c r="F30" s="438">
        <v>127.58388526434938140825735001</v>
      </c>
      <c r="G30" s="437"/>
      <c r="H30" s="147"/>
      <c r="I30" s="438"/>
      <c r="J30" s="437"/>
      <c r="K30" s="147"/>
      <c r="L30" s="438"/>
      <c r="M30" s="437"/>
      <c r="N30" s="147"/>
      <c r="O30" s="438"/>
      <c r="P30" s="217"/>
      <c r="Q30" s="446">
        <v>4.6658184803950869135505899900</v>
      </c>
      <c r="R30" s="148">
        <v>3.8422677679612948245583598400</v>
      </c>
      <c r="S30" s="447">
        <v>5.9122696642986167900593818400</v>
      </c>
      <c r="T30" s="446"/>
      <c r="U30" s="148"/>
      <c r="V30" s="447"/>
      <c r="W30" s="446"/>
      <c r="X30" s="148"/>
      <c r="Y30" s="447"/>
      <c r="Z30" s="446"/>
      <c r="AA30" s="148"/>
      <c r="AB30" s="447"/>
      <c r="AC30" s="75"/>
      <c r="AD30" s="446" t="s">
        <v>185</v>
      </c>
      <c r="AE30" s="148"/>
      <c r="AF30" s="148"/>
      <c r="AG30" s="447"/>
    </row>
    <row r="31" ht="20.1" customHeight="1">
      <c r="A31" s="58"/>
      <c r="B31" s="425">
        <v>2025</v>
      </c>
      <c r="C31" s="426"/>
      <c r="D31" s="457">
        <v>109.59283549057742606129702904</v>
      </c>
      <c r="E31" s="458">
        <v>136.71783335582563964149909898</v>
      </c>
      <c r="F31" s="499">
        <v>129.10600207411027875164879235</v>
      </c>
      <c r="G31" s="457"/>
      <c r="H31" s="458"/>
      <c r="I31" s="499"/>
      <c r="J31" s="457"/>
      <c r="K31" s="458"/>
      <c r="L31" s="499"/>
      <c r="M31" s="457"/>
      <c r="N31" s="458"/>
      <c r="O31" s="499"/>
      <c r="P31" s="496"/>
      <c r="Q31" s="463">
        <v>-3.7718596933880986498788632900</v>
      </c>
      <c r="R31" s="464">
        <v>-2.1885430217990257651997829600</v>
      </c>
      <c r="S31" s="500">
        <v>1.1930321816560882242547725900</v>
      </c>
      <c r="T31" s="463"/>
      <c r="U31" s="464"/>
      <c r="V31" s="500"/>
      <c r="W31" s="463"/>
      <c r="X31" s="464"/>
      <c r="Y31" s="500"/>
      <c r="Z31" s="463"/>
      <c r="AA31" s="464"/>
      <c r="AB31" s="500"/>
      <c r="AC31" s="184"/>
      <c r="AD31" s="463" t="s">
        <v>185</v>
      </c>
      <c r="AE31" s="464"/>
      <c r="AF31" s="464"/>
      <c r="AG31" s="465"/>
    </row>
    <row r="32" ht="21" customHeight="1"/>
    <row r="33" ht="24.95" customHeight="1">
      <c r="A33" s="112"/>
      <c r="B33" s="842" t="s">
        <v>44</v>
      </c>
      <c r="C33" s="842"/>
      <c r="D33" s="842"/>
      <c r="E33" s="842"/>
      <c r="F33" s="842"/>
      <c r="G33" s="842"/>
      <c r="H33" s="842"/>
      <c r="I33" s="842"/>
      <c r="J33" s="842"/>
      <c r="K33" s="842"/>
      <c r="L33" s="842"/>
      <c r="M33" s="842"/>
      <c r="N33" s="842"/>
      <c r="O33" s="972"/>
      <c r="P33" s="433"/>
      <c r="Q33" s="836"/>
      <c r="R33" s="836"/>
      <c r="S33" s="836"/>
      <c r="T33" s="836"/>
      <c r="U33" s="836"/>
      <c r="V33" s="836"/>
      <c r="W33" s="836"/>
      <c r="X33" s="836"/>
      <c r="Y33" s="836"/>
      <c r="Z33" s="836"/>
      <c r="AA33" s="836"/>
      <c r="AB33" s="971"/>
      <c r="AC33" s="433"/>
      <c r="AD33" s="836"/>
      <c r="AE33" s="836"/>
      <c r="AF33" s="836"/>
      <c r="AG33" s="971"/>
      <c r="AH33" s="9"/>
    </row>
    <row r="34" ht="20.1" customHeight="1">
      <c r="A34" s="58"/>
      <c r="B34" s="284">
        <v>2023</v>
      </c>
      <c r="C34" s="285"/>
      <c r="D34" s="454">
        <v>108.91091629464285714285714286</v>
      </c>
      <c r="E34" s="455">
        <v>135.3864403323390127576385729</v>
      </c>
      <c r="F34" s="436">
        <v>122.08091877002939852212834706</v>
      </c>
      <c r="G34" s="454"/>
      <c r="H34" s="455"/>
      <c r="I34" s="436"/>
      <c r="J34" s="454"/>
      <c r="K34" s="455"/>
      <c r="L34" s="436"/>
      <c r="M34" s="454"/>
      <c r="N34" s="455"/>
      <c r="O34" s="436"/>
      <c r="P34" s="75"/>
      <c r="Q34" s="460">
        <v>-8.170829692595451830555710610</v>
      </c>
      <c r="R34" s="461">
        <v>1.5010301016317921425399554700</v>
      </c>
      <c r="S34" s="417">
        <v>0.0650974355483850611836760600</v>
      </c>
      <c r="T34" s="460"/>
      <c r="U34" s="461"/>
      <c r="V34" s="417"/>
      <c r="W34" s="460"/>
      <c r="X34" s="461"/>
      <c r="Y34" s="417"/>
      <c r="Z34" s="460"/>
      <c r="AA34" s="461"/>
      <c r="AB34" s="417"/>
      <c r="AC34" s="75"/>
      <c r="AD34" s="460" t="s">
        <v>185</v>
      </c>
      <c r="AE34" s="461"/>
      <c r="AF34" s="461"/>
      <c r="AG34" s="462"/>
    </row>
    <row r="35" ht="20.1" customHeight="1">
      <c r="A35" s="58"/>
      <c r="B35" s="286">
        <v>2024</v>
      </c>
      <c r="C35" s="287"/>
      <c r="D35" s="437">
        <v>112.2403831970498637165303832</v>
      </c>
      <c r="E35" s="147">
        <v>139.17895779374749206580819319</v>
      </c>
      <c r="F35" s="438">
        <v>128.2438855678285119303329717</v>
      </c>
      <c r="G35" s="437"/>
      <c r="H35" s="147"/>
      <c r="I35" s="438"/>
      <c r="J35" s="437"/>
      <c r="K35" s="147"/>
      <c r="L35" s="438"/>
      <c r="M35" s="437"/>
      <c r="N35" s="147"/>
      <c r="O35" s="438"/>
      <c r="P35" s="75"/>
      <c r="Q35" s="446">
        <v>3.0570552665664651110138280200</v>
      </c>
      <c r="R35" s="148">
        <v>2.801253546617317458379766300</v>
      </c>
      <c r="S35" s="447">
        <v>5.04826377448839372814377100</v>
      </c>
      <c r="T35" s="446"/>
      <c r="U35" s="148"/>
      <c r="V35" s="447"/>
      <c r="W35" s="446"/>
      <c r="X35" s="148"/>
      <c r="Y35" s="447"/>
      <c r="Z35" s="446"/>
      <c r="AA35" s="148"/>
      <c r="AB35" s="447"/>
      <c r="AC35" s="75"/>
      <c r="AD35" s="446" t="s">
        <v>185</v>
      </c>
      <c r="AE35" s="148"/>
      <c r="AF35" s="148"/>
      <c r="AG35" s="447"/>
    </row>
    <row r="36" ht="20.1" customHeight="1">
      <c r="A36" s="58"/>
      <c r="B36" s="425">
        <v>2025</v>
      </c>
      <c r="C36" s="426"/>
      <c r="D36" s="457">
        <v>104.66874175164967006598680264</v>
      </c>
      <c r="E36" s="458">
        <v>136.18754060085836909871244635</v>
      </c>
      <c r="F36" s="499">
        <v>129.71151606262527764234248876</v>
      </c>
      <c r="G36" s="457"/>
      <c r="H36" s="458"/>
      <c r="I36" s="499"/>
      <c r="J36" s="457"/>
      <c r="K36" s="458"/>
      <c r="L36" s="499"/>
      <c r="M36" s="457"/>
      <c r="N36" s="458"/>
      <c r="O36" s="499"/>
      <c r="P36" s="184"/>
      <c r="Q36" s="463">
        <v>-6.7459155338599266293568705100</v>
      </c>
      <c r="R36" s="464">
        <v>-2.1493315083417292167085638200</v>
      </c>
      <c r="S36" s="500">
        <v>1.1444058235816400727769097300</v>
      </c>
      <c r="T36" s="463"/>
      <c r="U36" s="464"/>
      <c r="V36" s="500"/>
      <c r="W36" s="463"/>
      <c r="X36" s="464"/>
      <c r="Y36" s="500"/>
      <c r="Z36" s="463"/>
      <c r="AA36" s="464"/>
      <c r="AB36" s="500"/>
      <c r="AC36" s="184"/>
      <c r="AD36" s="463" t="s">
        <v>184</v>
      </c>
      <c r="AE36" s="464"/>
      <c r="AF36" s="464"/>
      <c r="AG36" s="465"/>
    </row>
    <row r="37" ht="21" customHeight="1"/>
    <row r="38" ht="24.95" customHeight="1">
      <c r="A38" s="112"/>
      <c r="B38" s="842" t="s">
        <v>45</v>
      </c>
      <c r="C38" s="842"/>
      <c r="D38" s="842"/>
      <c r="E38" s="842"/>
      <c r="F38" s="842"/>
      <c r="G38" s="842"/>
      <c r="H38" s="842"/>
      <c r="I38" s="842"/>
      <c r="J38" s="842"/>
      <c r="K38" s="842"/>
      <c r="L38" s="842"/>
      <c r="M38" s="842"/>
      <c r="N38" s="842"/>
      <c r="O38" s="972"/>
      <c r="P38" s="433"/>
      <c r="Q38" s="836"/>
      <c r="R38" s="836"/>
      <c r="S38" s="836"/>
      <c r="T38" s="836"/>
      <c r="U38" s="836"/>
      <c r="V38" s="836"/>
      <c r="W38" s="836"/>
      <c r="X38" s="836"/>
      <c r="Y38" s="836"/>
      <c r="Z38" s="836"/>
      <c r="AA38" s="836"/>
      <c r="AB38" s="971"/>
      <c r="AC38" s="433"/>
      <c r="AD38" s="836"/>
      <c r="AE38" s="836"/>
      <c r="AF38" s="836"/>
      <c r="AG38" s="971"/>
      <c r="AH38" s="9"/>
    </row>
    <row r="39" ht="20.1" customHeight="1">
      <c r="A39" s="58"/>
      <c r="B39" s="284">
        <v>2023</v>
      </c>
      <c r="C39" s="285"/>
      <c r="D39" s="454">
        <v>110.65440506751125187531255209</v>
      </c>
      <c r="E39" s="455">
        <v>135.14460308073960827299737503</v>
      </c>
      <c r="F39" s="436">
        <v>120.96328343299901459213563532</v>
      </c>
      <c r="G39" s="454"/>
      <c r="H39" s="455"/>
      <c r="I39" s="436"/>
      <c r="J39" s="454"/>
      <c r="K39" s="455"/>
      <c r="L39" s="436"/>
      <c r="M39" s="454"/>
      <c r="N39" s="455"/>
      <c r="O39" s="436"/>
      <c r="P39" s="75"/>
      <c r="Q39" s="460">
        <v>-9.088367589916442791584329830</v>
      </c>
      <c r="R39" s="461">
        <v>3.1517387494874309725115740600</v>
      </c>
      <c r="S39" s="417">
        <v>1.7988070697572675445293555800</v>
      </c>
      <c r="T39" s="460"/>
      <c r="U39" s="461"/>
      <c r="V39" s="417"/>
      <c r="W39" s="460"/>
      <c r="X39" s="461"/>
      <c r="Y39" s="417"/>
      <c r="Z39" s="460"/>
      <c r="AA39" s="461"/>
      <c r="AB39" s="417"/>
      <c r="AC39" s="75"/>
      <c r="AD39" s="460" t="s">
        <v>185</v>
      </c>
      <c r="AE39" s="461"/>
      <c r="AF39" s="461"/>
      <c r="AG39" s="462"/>
    </row>
    <row r="40" ht="20.1" customHeight="1">
      <c r="A40" s="58"/>
      <c r="B40" s="286">
        <v>2024</v>
      </c>
      <c r="C40" s="287"/>
      <c r="D40" s="437">
        <v>112.30674627489207631249129648</v>
      </c>
      <c r="E40" s="147">
        <v>138.55751054005850687672185204</v>
      </c>
      <c r="F40" s="438">
        <v>125.25433476760533378775614536</v>
      </c>
      <c r="G40" s="437"/>
      <c r="H40" s="147"/>
      <c r="I40" s="438"/>
      <c r="J40" s="437"/>
      <c r="K40" s="147"/>
      <c r="L40" s="438"/>
      <c r="M40" s="437"/>
      <c r="N40" s="147"/>
      <c r="O40" s="438"/>
      <c r="P40" s="75"/>
      <c r="Q40" s="446">
        <v>1.4932448521901464630015837300</v>
      </c>
      <c r="R40" s="148">
        <v>2.5253745851179344442868199100</v>
      </c>
      <c r="S40" s="447">
        <v>3.5473998496263468964165459200</v>
      </c>
      <c r="T40" s="446"/>
      <c r="U40" s="148"/>
      <c r="V40" s="447"/>
      <c r="W40" s="446"/>
      <c r="X40" s="148"/>
      <c r="Y40" s="447"/>
      <c r="Z40" s="446"/>
      <c r="AA40" s="148"/>
      <c r="AB40" s="447"/>
      <c r="AC40" s="75"/>
      <c r="AD40" s="446" t="s">
        <v>185</v>
      </c>
      <c r="AE40" s="148"/>
      <c r="AF40" s="148"/>
      <c r="AG40" s="447"/>
    </row>
    <row r="41" ht="20.1" customHeight="1">
      <c r="A41" s="58"/>
      <c r="B41" s="425">
        <v>2025</v>
      </c>
      <c r="C41" s="426"/>
      <c r="D41" s="457">
        <v>111.29881919686581782566111655</v>
      </c>
      <c r="E41" s="458">
        <v>138.06757274466003825208415459</v>
      </c>
      <c r="F41" s="499">
        <v>128.2231992484542844343465465</v>
      </c>
      <c r="G41" s="457"/>
      <c r="H41" s="458"/>
      <c r="I41" s="499"/>
      <c r="J41" s="457"/>
      <c r="K41" s="458"/>
      <c r="L41" s="499"/>
      <c r="M41" s="457"/>
      <c r="N41" s="458"/>
      <c r="O41" s="499"/>
      <c r="P41" s="184"/>
      <c r="Q41" s="463">
        <v>-0.8974768760257894411293763900</v>
      </c>
      <c r="R41" s="464">
        <v>-0.3535988727930909237329404500</v>
      </c>
      <c r="S41" s="500">
        <v>2.3702688504655661161975129700</v>
      </c>
      <c r="T41" s="463"/>
      <c r="U41" s="464"/>
      <c r="V41" s="500"/>
      <c r="W41" s="463"/>
      <c r="X41" s="464"/>
      <c r="Y41" s="500"/>
      <c r="Z41" s="463"/>
      <c r="AA41" s="464"/>
      <c r="AB41" s="500"/>
      <c r="AC41" s="184"/>
      <c r="AD41" s="463" t="s">
        <v>185</v>
      </c>
      <c r="AE41" s="464"/>
      <c r="AF41" s="464"/>
      <c r="AG41" s="465"/>
    </row>
    <row r="42" ht="14.1" customHeight="1"/>
    <row r="43" ht="20.1" customHeight="1">
      <c r="B43" s="167" t="s">
        <v>102</v>
      </c>
    </row>
    <row r="44" ht="14.1" customHeight="1">
      <c r="B44" s="167"/>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161</v>
      </c>
      <c r="AD1" s="75"/>
      <c r="AG1" s="688"/>
      <c r="AI1" s="236"/>
    </row>
    <row r="2" ht="21" customHeight="1">
      <c r="B2" s="66" t="s">
        <v>170</v>
      </c>
    </row>
    <row r="3" ht="21" customHeight="1">
      <c r="B3" s="66" t="s">
        <v>171</v>
      </c>
      <c r="U3" s="99" t="s">
        <v>260</v>
      </c>
      <c r="V3" s="99"/>
      <c r="W3" s="99"/>
      <c r="X3" s="99"/>
      <c r="Y3" s="99"/>
      <c r="Z3" s="99"/>
      <c r="AA3" s="99"/>
      <c r="AB3" s="99"/>
      <c r="AC3" s="99"/>
      <c r="AD3" s="99"/>
      <c r="AE3" s="99"/>
      <c r="AF3" s="99"/>
      <c r="AG3" s="99"/>
    </row>
    <row r="4" ht="21" customHeight="1">
      <c r="A4" s="54"/>
      <c r="B4" s="211" t="s">
        <v>172</v>
      </c>
      <c r="C4" s="88"/>
      <c r="D4" s="88"/>
      <c r="E4" s="88"/>
      <c r="F4" s="88"/>
      <c r="G4" s="88"/>
      <c r="H4" s="212"/>
      <c r="I4" s="212"/>
      <c r="J4" s="212"/>
      <c r="K4" s="212"/>
      <c r="L4" s="212"/>
      <c r="M4" s="212"/>
      <c r="N4" s="212"/>
      <c r="O4" s="212"/>
      <c r="P4" s="212"/>
      <c r="Q4" s="212"/>
      <c r="R4" s="212"/>
      <c r="S4" s="212"/>
      <c r="T4" s="212"/>
      <c r="U4" s="212"/>
      <c r="V4" s="212"/>
      <c r="W4" s="212"/>
      <c r="X4" s="54"/>
      <c r="Y4" s="54"/>
      <c r="AC4" s="212"/>
    </row>
    <row r="5" ht="24.95" customHeight="1"/>
    <row r="6" ht="24.95" customHeight="1">
      <c r="D6" s="802" t="s">
        <v>92</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103</v>
      </c>
      <c r="N7" s="839"/>
      <c r="O7" s="283"/>
      <c r="Q7" s="839" t="s">
        <v>20</v>
      </c>
      <c r="R7" s="839"/>
      <c r="S7" s="283"/>
      <c r="T7" s="839" t="s">
        <v>18</v>
      </c>
      <c r="U7" s="839"/>
      <c r="V7" s="283"/>
      <c r="W7" s="839" t="s">
        <v>17</v>
      </c>
      <c r="X7" s="839"/>
      <c r="Y7" s="283"/>
      <c r="Z7" s="839" t="s">
        <v>103</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180</v>
      </c>
      <c r="D9" s="434">
        <v>51.636129032258064516129032258</v>
      </c>
      <c r="E9" s="435">
        <v>88.03865339429729503250789266</v>
      </c>
      <c r="F9" s="436">
        <v>85.27274052478134110787172012</v>
      </c>
      <c r="G9" s="434"/>
      <c r="H9" s="435"/>
      <c r="I9" s="436"/>
      <c r="J9" s="434"/>
      <c r="K9" s="435"/>
      <c r="L9" s="436"/>
      <c r="M9" s="434"/>
      <c r="N9" s="435"/>
      <c r="O9" s="436"/>
      <c r="P9" s="75"/>
      <c r="Q9" s="415">
        <v>-12.660417138870887119715226190</v>
      </c>
      <c r="R9" s="416">
        <v>13.275024239765803880900337970</v>
      </c>
      <c r="S9" s="417">
        <v>9.139321747926963232500404160</v>
      </c>
      <c r="T9" s="415"/>
      <c r="U9" s="416"/>
      <c r="V9" s="417"/>
      <c r="W9" s="415"/>
      <c r="X9" s="416"/>
      <c r="Y9" s="417"/>
      <c r="Z9" s="415"/>
      <c r="AA9" s="416"/>
      <c r="AB9" s="417"/>
      <c r="AC9" s="75"/>
      <c r="AD9" s="460" t="s">
        <v>181</v>
      </c>
      <c r="AE9" s="461"/>
      <c r="AF9" s="461"/>
      <c r="AG9" s="462"/>
    </row>
    <row r="10" ht="20.1" customHeight="1">
      <c r="A10" s="58"/>
      <c r="B10" s="286"/>
      <c r="C10" s="287" t="s">
        <v>183</v>
      </c>
      <c r="D10" s="437">
        <v>51.342724592438432188692334374</v>
      </c>
      <c r="E10" s="147">
        <v>82.30175369809303154517911246</v>
      </c>
      <c r="F10" s="438">
        <v>82.55075707702435813034891376</v>
      </c>
      <c r="G10" s="437"/>
      <c r="H10" s="147"/>
      <c r="I10" s="438"/>
      <c r="J10" s="437"/>
      <c r="K10" s="147"/>
      <c r="L10" s="438"/>
      <c r="M10" s="437"/>
      <c r="N10" s="147"/>
      <c r="O10" s="438"/>
      <c r="P10" s="75"/>
      <c r="Q10" s="446">
        <v>-4.9153346644153312349941984500</v>
      </c>
      <c r="R10" s="148">
        <v>5.2234354758919183618295285500</v>
      </c>
      <c r="S10" s="447">
        <v>-2.1408881578316269599369272900</v>
      </c>
      <c r="T10" s="446"/>
      <c r="U10" s="148"/>
      <c r="V10" s="447"/>
      <c r="W10" s="446"/>
      <c r="X10" s="148"/>
      <c r="Y10" s="447"/>
      <c r="Z10" s="446"/>
      <c r="AA10" s="148"/>
      <c r="AB10" s="447"/>
      <c r="AC10" s="75"/>
      <c r="AD10" s="446" t="s">
        <v>185</v>
      </c>
      <c r="AE10" s="148"/>
      <c r="AF10" s="148"/>
      <c r="AG10" s="447"/>
    </row>
    <row r="11" ht="20.1" customHeight="1">
      <c r="A11" s="58"/>
      <c r="B11" s="288"/>
      <c r="C11" s="289" t="s">
        <v>186</v>
      </c>
      <c r="D11" s="439">
        <v>47.616650537634408602150537634</v>
      </c>
      <c r="E11" s="149">
        <v>79.8532946593001841620626151</v>
      </c>
      <c r="F11" s="442">
        <v>86.18907029478458049886621315</v>
      </c>
      <c r="G11" s="439"/>
      <c r="H11" s="149"/>
      <c r="I11" s="442"/>
      <c r="J11" s="439"/>
      <c r="K11" s="149"/>
      <c r="L11" s="442"/>
      <c r="M11" s="439"/>
      <c r="N11" s="149"/>
      <c r="O11" s="442"/>
      <c r="P11" s="75"/>
      <c r="Q11" s="497">
        <v>-9.734559362771999342678643710</v>
      </c>
      <c r="R11" s="216">
        <v>12.038774035848980612499971150</v>
      </c>
      <c r="S11" s="498">
        <v>0.2580568242142763179342311300</v>
      </c>
      <c r="T11" s="497"/>
      <c r="U11" s="216"/>
      <c r="V11" s="498"/>
      <c r="W11" s="497"/>
      <c r="X11" s="216"/>
      <c r="Y11" s="498"/>
      <c r="Z11" s="497"/>
      <c r="AA11" s="216"/>
      <c r="AB11" s="498"/>
      <c r="AC11" s="75"/>
      <c r="AD11" s="448" t="s">
        <v>184</v>
      </c>
      <c r="AE11" s="150"/>
      <c r="AF11" s="150"/>
      <c r="AG11" s="449"/>
    </row>
    <row r="12" ht="20.1" customHeight="1">
      <c r="A12" s="58"/>
      <c r="B12" s="286"/>
      <c r="C12" s="287" t="s">
        <v>187</v>
      </c>
      <c r="D12" s="437">
        <v>44.556243496357960457856399584</v>
      </c>
      <c r="E12" s="147">
        <v>75.347983722449949503950573279</v>
      </c>
      <c r="F12" s="438">
        <v>88.80741716041255211762124205</v>
      </c>
      <c r="G12" s="437"/>
      <c r="H12" s="147"/>
      <c r="I12" s="438"/>
      <c r="J12" s="437"/>
      <c r="K12" s="147"/>
      <c r="L12" s="438"/>
      <c r="M12" s="437"/>
      <c r="N12" s="147"/>
      <c r="O12" s="438"/>
      <c r="P12" s="75"/>
      <c r="Q12" s="446">
        <v>-9.108070986195240707175412560</v>
      </c>
      <c r="R12" s="148">
        <v>6.4941668968608354570424656200</v>
      </c>
      <c r="S12" s="447">
        <v>1.4785902064429453586473327700</v>
      </c>
      <c r="T12" s="446"/>
      <c r="U12" s="148"/>
      <c r="V12" s="447"/>
      <c r="W12" s="446"/>
      <c r="X12" s="148"/>
      <c r="Y12" s="447"/>
      <c r="Z12" s="446"/>
      <c r="AA12" s="148"/>
      <c r="AB12" s="447"/>
      <c r="AC12" s="75"/>
      <c r="AD12" s="446" t="s">
        <v>181</v>
      </c>
      <c r="AE12" s="148"/>
      <c r="AF12" s="148"/>
      <c r="AG12" s="447"/>
    </row>
    <row r="13" ht="20.1" customHeight="1">
      <c r="A13" s="58"/>
      <c r="B13" s="288"/>
      <c r="C13" s="289" t="s">
        <v>188</v>
      </c>
      <c r="D13" s="439">
        <v>38.30858781362007168458781362</v>
      </c>
      <c r="E13" s="149">
        <v>78.265676488643339472068753837</v>
      </c>
      <c r="F13" s="442">
        <v>89.21690098261526832955404384</v>
      </c>
      <c r="G13" s="439"/>
      <c r="H13" s="149"/>
      <c r="I13" s="442"/>
      <c r="J13" s="439"/>
      <c r="K13" s="149"/>
      <c r="L13" s="442"/>
      <c r="M13" s="439"/>
      <c r="N13" s="149"/>
      <c r="O13" s="442"/>
      <c r="P13" s="75"/>
      <c r="Q13" s="448">
        <v>-43.964988288624132992069287490</v>
      </c>
      <c r="R13" s="150">
        <v>-17.887149982492582030921235500</v>
      </c>
      <c r="S13" s="498">
        <v>-11.297359781584029208499387620</v>
      </c>
      <c r="T13" s="448"/>
      <c r="U13" s="150"/>
      <c r="V13" s="498"/>
      <c r="W13" s="448"/>
      <c r="X13" s="150"/>
      <c r="Y13" s="498"/>
      <c r="Z13" s="448"/>
      <c r="AA13" s="150"/>
      <c r="AB13" s="498"/>
      <c r="AC13" s="75"/>
      <c r="AD13" s="448" t="s">
        <v>181</v>
      </c>
      <c r="AE13" s="150"/>
      <c r="AF13" s="150"/>
      <c r="AG13" s="449"/>
    </row>
    <row r="14" ht="20.1" customHeight="1">
      <c r="A14" s="58"/>
      <c r="B14" s="286"/>
      <c r="C14" s="287" t="s">
        <v>189</v>
      </c>
      <c r="D14" s="437">
        <v>39.779751994450225459590704128</v>
      </c>
      <c r="E14" s="147">
        <v>75.56777104497118754826828254</v>
      </c>
      <c r="F14" s="438">
        <v>82.52151269109794455416575232</v>
      </c>
      <c r="G14" s="437"/>
      <c r="H14" s="147"/>
      <c r="I14" s="438"/>
      <c r="J14" s="437"/>
      <c r="K14" s="147"/>
      <c r="L14" s="438"/>
      <c r="M14" s="437"/>
      <c r="N14" s="147"/>
      <c r="O14" s="438"/>
      <c r="P14" s="75"/>
      <c r="Q14" s="446">
        <v>-26.414809480785131019138690630</v>
      </c>
      <c r="R14" s="148">
        <v>-0.0797138622203536817149202200</v>
      </c>
      <c r="S14" s="447">
        <v>-2.7841698746347301326630807800</v>
      </c>
      <c r="T14" s="446"/>
      <c r="U14" s="148"/>
      <c r="V14" s="447"/>
      <c r="W14" s="446"/>
      <c r="X14" s="148"/>
      <c r="Y14" s="447"/>
      <c r="Z14" s="446"/>
      <c r="AA14" s="148"/>
      <c r="AB14" s="447"/>
      <c r="AC14" s="75"/>
      <c r="AD14" s="446" t="s">
        <v>181</v>
      </c>
      <c r="AE14" s="148"/>
      <c r="AF14" s="148"/>
      <c r="AG14" s="447"/>
    </row>
    <row r="15" ht="20.1" customHeight="1">
      <c r="A15" s="58"/>
      <c r="B15" s="288"/>
      <c r="C15" s="289" t="s">
        <v>190</v>
      </c>
      <c r="D15" s="439">
        <v>36.609800554977454040929587236</v>
      </c>
      <c r="E15" s="149">
        <v>62.264420186538347294005821897</v>
      </c>
      <c r="F15" s="442">
        <v>75.15589203423304805793285056</v>
      </c>
      <c r="G15" s="439"/>
      <c r="H15" s="149"/>
      <c r="I15" s="442"/>
      <c r="J15" s="439"/>
      <c r="K15" s="149"/>
      <c r="L15" s="442"/>
      <c r="M15" s="439"/>
      <c r="N15" s="149"/>
      <c r="O15" s="442"/>
      <c r="P15" s="75"/>
      <c r="Q15" s="448">
        <v>-9.621859739982332590239049250</v>
      </c>
      <c r="R15" s="150">
        <v>0.9820092676423936832988026100</v>
      </c>
      <c r="S15" s="498">
        <v>-4.6439760080648529808986196900</v>
      </c>
      <c r="T15" s="448"/>
      <c r="U15" s="150"/>
      <c r="V15" s="498"/>
      <c r="W15" s="448"/>
      <c r="X15" s="150"/>
      <c r="Y15" s="498"/>
      <c r="Z15" s="448"/>
      <c r="AA15" s="150"/>
      <c r="AB15" s="498"/>
      <c r="AC15" s="75"/>
      <c r="AD15" s="448" t="s">
        <v>184</v>
      </c>
      <c r="AE15" s="150"/>
      <c r="AF15" s="150"/>
      <c r="AG15" s="449"/>
    </row>
    <row r="16" ht="20.1" customHeight="1">
      <c r="A16" s="58"/>
      <c r="B16" s="286"/>
      <c r="C16" s="287" t="s">
        <v>191</v>
      </c>
      <c r="D16" s="437">
        <v>59.69661827956989247311827957</v>
      </c>
      <c r="E16" s="147">
        <v>68.149495395948434622467771639</v>
      </c>
      <c r="F16" s="438">
        <v>82.86669690098261526832955404</v>
      </c>
      <c r="G16" s="437"/>
      <c r="H16" s="147"/>
      <c r="I16" s="438"/>
      <c r="J16" s="437"/>
      <c r="K16" s="147"/>
      <c r="L16" s="438"/>
      <c r="M16" s="437"/>
      <c r="N16" s="147"/>
      <c r="O16" s="438"/>
      <c r="P16" s="75"/>
      <c r="Q16" s="446">
        <v>0.252172003579827430114328600</v>
      </c>
      <c r="R16" s="148">
        <v>12.852701707967331593098589860</v>
      </c>
      <c r="S16" s="447">
        <v>5.3695563417602688554153482900</v>
      </c>
      <c r="T16" s="446"/>
      <c r="U16" s="148"/>
      <c r="V16" s="447"/>
      <c r="W16" s="446"/>
      <c r="X16" s="148"/>
      <c r="Y16" s="447"/>
      <c r="Z16" s="446"/>
      <c r="AA16" s="148"/>
      <c r="AB16" s="447"/>
      <c r="AC16" s="75"/>
      <c r="AD16" s="446" t="s">
        <v>182</v>
      </c>
      <c r="AE16" s="148"/>
      <c r="AF16" s="148"/>
      <c r="AG16" s="447"/>
    </row>
    <row r="17" ht="20.1" customHeight="1">
      <c r="A17" s="58"/>
      <c r="B17" s="288"/>
      <c r="C17" s="289" t="s">
        <v>192</v>
      </c>
      <c r="D17" s="439">
        <v>48.73804890738813735691987513</v>
      </c>
      <c r="E17" s="149">
        <v>79.32344769203350561397255391</v>
      </c>
      <c r="F17" s="442">
        <v>90.17049228293467924804330334</v>
      </c>
      <c r="G17" s="439"/>
      <c r="H17" s="149"/>
      <c r="I17" s="442"/>
      <c r="J17" s="439"/>
      <c r="K17" s="149"/>
      <c r="L17" s="442"/>
      <c r="M17" s="439"/>
      <c r="N17" s="149"/>
      <c r="O17" s="442"/>
      <c r="P17" s="75"/>
      <c r="Q17" s="448">
        <v>-15.731459846152867457443652470</v>
      </c>
      <c r="R17" s="150">
        <v>-4.0984137634965002733049435300</v>
      </c>
      <c r="S17" s="498">
        <v>0.3056557211828672499248984700</v>
      </c>
      <c r="T17" s="448"/>
      <c r="U17" s="150"/>
      <c r="V17" s="498"/>
      <c r="W17" s="448"/>
      <c r="X17" s="150"/>
      <c r="Y17" s="498"/>
      <c r="Z17" s="448"/>
      <c r="AA17" s="150"/>
      <c r="AB17" s="498"/>
      <c r="AC17" s="75"/>
      <c r="AD17" s="448" t="s">
        <v>184</v>
      </c>
      <c r="AE17" s="150"/>
      <c r="AF17" s="150"/>
      <c r="AG17" s="449"/>
    </row>
    <row r="18" ht="20.1" customHeight="1">
      <c r="A18" s="58"/>
      <c r="B18" s="286"/>
      <c r="C18" s="287" t="s">
        <v>193</v>
      </c>
      <c r="D18" s="437">
        <v>39.707326164874551971326164875</v>
      </c>
      <c r="E18" s="147">
        <v>70.888862492326580724370779619</v>
      </c>
      <c r="F18" s="438">
        <v>80.16824303642485460667278849</v>
      </c>
      <c r="G18" s="437"/>
      <c r="H18" s="147"/>
      <c r="I18" s="438"/>
      <c r="J18" s="437"/>
      <c r="K18" s="147"/>
      <c r="L18" s="438"/>
      <c r="M18" s="437"/>
      <c r="N18" s="147"/>
      <c r="O18" s="438"/>
      <c r="P18" s="75"/>
      <c r="Q18" s="446">
        <v>-22.471081607120345418385740430</v>
      </c>
      <c r="R18" s="148">
        <v>0.0760111897531788916549899400</v>
      </c>
      <c r="S18" s="447">
        <v>5.9728265531350781303469955200</v>
      </c>
      <c r="T18" s="446"/>
      <c r="U18" s="148"/>
      <c r="V18" s="447"/>
      <c r="W18" s="446"/>
      <c r="X18" s="148"/>
      <c r="Y18" s="447"/>
      <c r="Z18" s="446"/>
      <c r="AA18" s="148"/>
      <c r="AB18" s="447"/>
      <c r="AC18" s="75"/>
      <c r="AD18" s="446" t="s">
        <v>181</v>
      </c>
      <c r="AE18" s="148"/>
      <c r="AF18" s="148"/>
      <c r="AG18" s="447"/>
    </row>
    <row r="19" ht="20.1" customHeight="1">
      <c r="A19" s="58"/>
      <c r="B19" s="288"/>
      <c r="C19" s="289" t="s">
        <v>195</v>
      </c>
      <c r="D19" s="439">
        <v>27.744342698577870274020117933</v>
      </c>
      <c r="E19" s="149">
        <v>54.987559258599180181785777936</v>
      </c>
      <c r="F19" s="442">
        <v>68.244408898367842649367576054</v>
      </c>
      <c r="G19" s="439"/>
      <c r="H19" s="149"/>
      <c r="I19" s="442"/>
      <c r="J19" s="439"/>
      <c r="K19" s="149"/>
      <c r="L19" s="442"/>
      <c r="M19" s="439"/>
      <c r="N19" s="149"/>
      <c r="O19" s="442"/>
      <c r="P19" s="75"/>
      <c r="Q19" s="448">
        <v>-38.532765790520028260549492340</v>
      </c>
      <c r="R19" s="150">
        <v>-2.8177251022093367469024587900</v>
      </c>
      <c r="S19" s="498">
        <v>8.943252366667545639573321190</v>
      </c>
      <c r="T19" s="448"/>
      <c r="U19" s="150"/>
      <c r="V19" s="498"/>
      <c r="W19" s="448"/>
      <c r="X19" s="150"/>
      <c r="Y19" s="498"/>
      <c r="Z19" s="448"/>
      <c r="AA19" s="150"/>
      <c r="AB19" s="498"/>
      <c r="AC19" s="75"/>
      <c r="AD19" s="448" t="s">
        <v>181</v>
      </c>
      <c r="AE19" s="150"/>
      <c r="AF19" s="150"/>
      <c r="AG19" s="449"/>
    </row>
    <row r="20" ht="20.1" customHeight="1">
      <c r="A20" s="58"/>
      <c r="B20" s="286">
        <v>2025</v>
      </c>
      <c r="C20" s="287" t="s">
        <v>196</v>
      </c>
      <c r="D20" s="437">
        <v>29.093166840097121054457162678</v>
      </c>
      <c r="E20" s="147">
        <v>57.686614091368145903879284738</v>
      </c>
      <c r="F20" s="438">
        <v>68.526311169629141979372394119</v>
      </c>
      <c r="G20" s="437"/>
      <c r="H20" s="147"/>
      <c r="I20" s="438"/>
      <c r="J20" s="437"/>
      <c r="K20" s="147"/>
      <c r="L20" s="438"/>
      <c r="M20" s="437"/>
      <c r="N20" s="147"/>
      <c r="O20" s="438"/>
      <c r="P20" s="75"/>
      <c r="Q20" s="446">
        <v>-30.168263932104018744927954770</v>
      </c>
      <c r="R20" s="148">
        <v>-10.435844895891366659130995200</v>
      </c>
      <c r="S20" s="447">
        <v>5.5082787259138651526686600800</v>
      </c>
      <c r="T20" s="446"/>
      <c r="U20" s="148"/>
      <c r="V20" s="447"/>
      <c r="W20" s="446"/>
      <c r="X20" s="148"/>
      <c r="Y20" s="447"/>
      <c r="Z20" s="446"/>
      <c r="AA20" s="148"/>
      <c r="AB20" s="447"/>
      <c r="AC20" s="75"/>
      <c r="AD20" s="446" t="s">
        <v>181</v>
      </c>
      <c r="AE20" s="148"/>
      <c r="AF20" s="148"/>
      <c r="AG20" s="447"/>
    </row>
    <row r="21" ht="20.1" customHeight="1">
      <c r="A21" s="58"/>
      <c r="B21" s="288"/>
      <c r="C21" s="289" t="s">
        <v>180</v>
      </c>
      <c r="D21" s="439">
        <v>49.446866359447004608294930876</v>
      </c>
      <c r="E21" s="149">
        <v>83.60563766114180478821362799</v>
      </c>
      <c r="F21" s="442">
        <v>89.14446064139941690962099125</v>
      </c>
      <c r="G21" s="439"/>
      <c r="H21" s="149"/>
      <c r="I21" s="442"/>
      <c r="J21" s="439"/>
      <c r="K21" s="149"/>
      <c r="L21" s="442"/>
      <c r="M21" s="439"/>
      <c r="N21" s="149"/>
      <c r="O21" s="442"/>
      <c r="P21" s="75"/>
      <c r="Q21" s="448">
        <v>-4.2397885238135176603058353200</v>
      </c>
      <c r="R21" s="150">
        <v>-5.0353061550180499042280908600</v>
      </c>
      <c r="S21" s="498">
        <v>4.5403960196088674982340835100</v>
      </c>
      <c r="T21" s="448"/>
      <c r="U21" s="150"/>
      <c r="V21" s="498"/>
      <c r="W21" s="448"/>
      <c r="X21" s="150"/>
      <c r="Y21" s="498"/>
      <c r="Z21" s="448"/>
      <c r="AA21" s="150"/>
      <c r="AB21" s="498"/>
      <c r="AC21" s="75"/>
      <c r="AD21" s="448" t="s">
        <v>181</v>
      </c>
      <c r="AE21" s="150"/>
      <c r="AF21" s="150"/>
      <c r="AG21" s="449"/>
    </row>
    <row r="22" ht="20.1" customHeight="1">
      <c r="A22" s="58"/>
      <c r="B22" s="286"/>
      <c r="C22" s="287" t="s">
        <v>183</v>
      </c>
      <c r="D22" s="437">
        <v>52.10806625043357613596947624</v>
      </c>
      <c r="E22" s="147">
        <v>73.03391879047109843759282362</v>
      </c>
      <c r="F22" s="438">
        <v>87.71965474361787725843025382</v>
      </c>
      <c r="G22" s="437"/>
      <c r="H22" s="147"/>
      <c r="I22" s="438"/>
      <c r="J22" s="437"/>
      <c r="K22" s="147"/>
      <c r="L22" s="438"/>
      <c r="M22" s="437"/>
      <c r="N22" s="147"/>
      <c r="O22" s="438"/>
      <c r="P22" s="75"/>
      <c r="Q22" s="446">
        <v>1.4906525980252823073191516900</v>
      </c>
      <c r="R22" s="148">
        <v>-11.260798817999982350253584020</v>
      </c>
      <c r="S22" s="447">
        <v>6.2614782100623729430878830800</v>
      </c>
      <c r="T22" s="446"/>
      <c r="U22" s="148"/>
      <c r="V22" s="447"/>
      <c r="W22" s="446"/>
      <c r="X22" s="148"/>
      <c r="Y22" s="447"/>
      <c r="Z22" s="446"/>
      <c r="AA22" s="148"/>
      <c r="AB22" s="447"/>
      <c r="AC22" s="75"/>
      <c r="AD22" s="446" t="s">
        <v>182</v>
      </c>
      <c r="AE22" s="148"/>
      <c r="AF22" s="148"/>
      <c r="AG22" s="447"/>
    </row>
    <row r="23" ht="20.1" customHeight="1">
      <c r="A23" s="58"/>
      <c r="B23" s="288"/>
      <c r="C23" s="289" t="s">
        <v>186</v>
      </c>
      <c r="D23" s="439">
        <v>37.720790322580645161290322581</v>
      </c>
      <c r="E23" s="149">
        <v>72.012486801718845917740945365</v>
      </c>
      <c r="F23" s="442">
        <v>88.71381708238851095993953137</v>
      </c>
      <c r="G23" s="439"/>
      <c r="H23" s="149"/>
      <c r="I23" s="442"/>
      <c r="J23" s="439"/>
      <c r="K23" s="149"/>
      <c r="L23" s="442"/>
      <c r="M23" s="439"/>
      <c r="N23" s="149"/>
      <c r="O23" s="442"/>
      <c r="P23" s="75"/>
      <c r="Q23" s="448">
        <v>-20.782352608370028584775291310</v>
      </c>
      <c r="R23" s="150">
        <v>-9.819016098251852887226654110</v>
      </c>
      <c r="S23" s="498">
        <v>2.9293120101573194304054489600</v>
      </c>
      <c r="T23" s="448"/>
      <c r="U23" s="150"/>
      <c r="V23" s="498"/>
      <c r="W23" s="448"/>
      <c r="X23" s="150"/>
      <c r="Y23" s="498"/>
      <c r="Z23" s="448"/>
      <c r="AA23" s="150"/>
      <c r="AB23" s="498"/>
      <c r="AC23" s="75"/>
      <c r="AD23" s="448" t="s">
        <v>184</v>
      </c>
      <c r="AE23" s="150"/>
      <c r="AF23" s="150"/>
      <c r="AG23" s="449"/>
    </row>
    <row r="24" ht="20.1" customHeight="1">
      <c r="A24" s="59"/>
      <c r="B24" s="286"/>
      <c r="C24" s="287" t="s">
        <v>187</v>
      </c>
      <c r="D24" s="437">
        <v>43.275084980922650017343045439</v>
      </c>
      <c r="E24" s="147">
        <v>74.558160161587358165508227886</v>
      </c>
      <c r="F24" s="438">
        <v>91.44106502816180235535074245</v>
      </c>
      <c r="G24" s="437"/>
      <c r="H24" s="147"/>
      <c r="I24" s="438"/>
      <c r="J24" s="437"/>
      <c r="K24" s="147"/>
      <c r="L24" s="438"/>
      <c r="M24" s="437"/>
      <c r="N24" s="147"/>
      <c r="O24" s="438"/>
      <c r="P24" s="96"/>
      <c r="Q24" s="446">
        <v>-2.8753737185695724921816157400</v>
      </c>
      <c r="R24" s="148">
        <v>-1.0482345005044074011217168900</v>
      </c>
      <c r="S24" s="447">
        <v>2.9655719668155925766634243600</v>
      </c>
      <c r="T24" s="446"/>
      <c r="U24" s="148"/>
      <c r="V24" s="447"/>
      <c r="W24" s="446"/>
      <c r="X24" s="148"/>
      <c r="Y24" s="447"/>
      <c r="Z24" s="446"/>
      <c r="AA24" s="148"/>
      <c r="AB24" s="447"/>
      <c r="AC24" s="96"/>
      <c r="AD24" s="446" t="s">
        <v>185</v>
      </c>
      <c r="AE24" s="148"/>
      <c r="AF24" s="148"/>
      <c r="AG24" s="447"/>
    </row>
    <row r="25" ht="20.1" customHeight="1">
      <c r="A25" s="60"/>
      <c r="B25" s="288"/>
      <c r="C25" s="289" t="s">
        <v>188</v>
      </c>
      <c r="D25" s="439">
        <v>42.491268817204301075268817204</v>
      </c>
      <c r="E25" s="149">
        <v>81.92627869858809085328422345</v>
      </c>
      <c r="F25" s="442">
        <v>97.55102040816326530612244898</v>
      </c>
      <c r="G25" s="439"/>
      <c r="H25" s="149"/>
      <c r="I25" s="442"/>
      <c r="J25" s="439"/>
      <c r="K25" s="149"/>
      <c r="L25" s="442"/>
      <c r="M25" s="439"/>
      <c r="N25" s="149"/>
      <c r="O25" s="442"/>
      <c r="P25" s="96"/>
      <c r="Q25" s="448">
        <v>10.918389954639361677116857900</v>
      </c>
      <c r="R25" s="150">
        <v>4.6771488783097477288291690600</v>
      </c>
      <c r="S25" s="498">
        <v>9.341413267861289213273966220</v>
      </c>
      <c r="T25" s="448"/>
      <c r="U25" s="150"/>
      <c r="V25" s="498"/>
      <c r="W25" s="448"/>
      <c r="X25" s="150"/>
      <c r="Y25" s="498"/>
      <c r="Z25" s="448"/>
      <c r="AA25" s="150"/>
      <c r="AB25" s="498"/>
      <c r="AC25" s="96"/>
      <c r="AD25" s="448" t="s">
        <v>184</v>
      </c>
      <c r="AE25" s="150"/>
      <c r="AF25" s="150"/>
      <c r="AG25" s="449"/>
    </row>
    <row r="26" ht="20.1" customHeight="1">
      <c r="A26" s="60"/>
      <c r="B26" s="290"/>
      <c r="C26" s="291" t="s">
        <v>189</v>
      </c>
      <c r="D26" s="443">
        <v>36.646852237252861602497398543</v>
      </c>
      <c r="E26" s="444">
        <v>81.79442345392978078773837106</v>
      </c>
      <c r="F26" s="445">
        <v>94.37941628264208909370199693</v>
      </c>
      <c r="G26" s="443"/>
      <c r="H26" s="444"/>
      <c r="I26" s="445"/>
      <c r="J26" s="443"/>
      <c r="K26" s="444"/>
      <c r="L26" s="445"/>
      <c r="M26" s="443"/>
      <c r="N26" s="444"/>
      <c r="O26" s="445"/>
      <c r="P26" s="453"/>
      <c r="Q26" s="450">
        <v>-7.8756141005612533055346106500</v>
      </c>
      <c r="R26" s="451">
        <v>8.239825421371578299062388420</v>
      </c>
      <c r="S26" s="452">
        <v>14.369469493281564479372487520</v>
      </c>
      <c r="T26" s="450"/>
      <c r="U26" s="451"/>
      <c r="V26" s="452"/>
      <c r="W26" s="450"/>
      <c r="X26" s="451"/>
      <c r="Y26" s="452"/>
      <c r="Z26" s="450"/>
      <c r="AA26" s="451"/>
      <c r="AB26" s="452"/>
      <c r="AC26" s="453"/>
      <c r="AD26" s="450" t="s">
        <v>197</v>
      </c>
      <c r="AE26" s="451"/>
      <c r="AF26" s="451"/>
      <c r="AG26" s="452"/>
    </row>
    <row r="27" ht="21" customHeight="1">
      <c r="A27" s="112"/>
      <c r="B27" s="114"/>
      <c r="C27" s="114"/>
      <c r="D27" s="151"/>
      <c r="E27" s="151"/>
      <c r="F27" s="151"/>
      <c r="G27" s="151"/>
      <c r="H27" s="151"/>
      <c r="I27" s="151"/>
      <c r="J27" s="151"/>
      <c r="K27" s="151"/>
      <c r="L27" s="151"/>
      <c r="M27" s="151"/>
      <c r="N27" s="151"/>
      <c r="O27" s="151"/>
      <c r="P27" s="152"/>
      <c r="Q27" s="151"/>
      <c r="R27" s="151"/>
      <c r="S27" s="151"/>
      <c r="T27" s="151"/>
      <c r="U27" s="151"/>
      <c r="V27" s="151"/>
      <c r="W27" s="151"/>
      <c r="X27" s="151"/>
      <c r="Y27" s="151"/>
      <c r="Z27" s="151"/>
      <c r="AA27" s="151"/>
      <c r="AB27" s="151"/>
      <c r="AC27" s="152"/>
      <c r="AD27" s="151"/>
      <c r="AE27" s="151"/>
      <c r="AF27" s="151"/>
      <c r="AG27" s="151"/>
      <c r="AH27" s="9"/>
    </row>
    <row r="28" ht="24.95" customHeight="1">
      <c r="A28" s="112"/>
      <c r="B28" s="847" t="s">
        <v>58</v>
      </c>
      <c r="C28" s="847"/>
      <c r="D28" s="847"/>
      <c r="E28" s="847"/>
      <c r="F28" s="847"/>
      <c r="G28" s="847"/>
      <c r="H28" s="847"/>
      <c r="I28" s="847"/>
      <c r="J28" s="847"/>
      <c r="K28" s="847"/>
      <c r="L28" s="847"/>
      <c r="M28" s="847"/>
      <c r="N28" s="847"/>
      <c r="O28" s="973"/>
      <c r="P28" s="501"/>
      <c r="Q28" s="836"/>
      <c r="R28" s="836"/>
      <c r="S28" s="836"/>
      <c r="T28" s="836"/>
      <c r="U28" s="836"/>
      <c r="V28" s="836"/>
      <c r="W28" s="836"/>
      <c r="X28" s="836"/>
      <c r="Y28" s="836"/>
      <c r="Z28" s="836"/>
      <c r="AA28" s="836"/>
      <c r="AB28" s="971"/>
      <c r="AC28" s="501"/>
      <c r="AD28" s="836"/>
      <c r="AE28" s="836"/>
      <c r="AF28" s="836"/>
      <c r="AG28" s="971"/>
      <c r="AH28" s="9"/>
    </row>
    <row r="29" ht="20.1" customHeight="1">
      <c r="A29" s="58"/>
      <c r="B29" s="284">
        <v>2023</v>
      </c>
      <c r="C29" s="285"/>
      <c r="D29" s="454">
        <v>52.322396784337593832420369243</v>
      </c>
      <c r="E29" s="455">
        <v>74.913480141770040654644011258</v>
      </c>
      <c r="F29" s="436">
        <v>83.21392418602661190262268429</v>
      </c>
      <c r="G29" s="454"/>
      <c r="H29" s="455"/>
      <c r="I29" s="436"/>
      <c r="J29" s="454"/>
      <c r="K29" s="455"/>
      <c r="L29" s="436"/>
      <c r="M29" s="454"/>
      <c r="N29" s="455"/>
      <c r="O29" s="436"/>
      <c r="P29" s="75"/>
      <c r="Q29" s="460">
        <v>-4.3474335639012762281488634800</v>
      </c>
      <c r="R29" s="461">
        <v>2.5567424105423898215538166500</v>
      </c>
      <c r="S29" s="417">
        <v>14.248225561366473733104904540</v>
      </c>
      <c r="T29" s="460"/>
      <c r="U29" s="461"/>
      <c r="V29" s="417"/>
      <c r="W29" s="460"/>
      <c r="X29" s="461"/>
      <c r="Y29" s="417"/>
      <c r="Z29" s="460"/>
      <c r="AA29" s="461"/>
      <c r="AB29" s="417"/>
      <c r="AC29" s="75"/>
      <c r="AD29" s="460" t="s">
        <v>184</v>
      </c>
      <c r="AE29" s="461"/>
      <c r="AF29" s="461"/>
      <c r="AG29" s="462"/>
    </row>
    <row r="30" ht="20.1" customHeight="1">
      <c r="A30" s="58"/>
      <c r="B30" s="286">
        <v>2024</v>
      </c>
      <c r="C30" s="287"/>
      <c r="D30" s="437">
        <v>44.942541773941137866626280983</v>
      </c>
      <c r="E30" s="147">
        <v>77.523805650012996227060095903</v>
      </c>
      <c r="F30" s="438">
        <v>82.70517691353270868095665939</v>
      </c>
      <c r="G30" s="437"/>
      <c r="H30" s="147"/>
      <c r="I30" s="438"/>
      <c r="J30" s="437"/>
      <c r="K30" s="147"/>
      <c r="L30" s="438"/>
      <c r="M30" s="437"/>
      <c r="N30" s="147"/>
      <c r="O30" s="438"/>
      <c r="P30" s="75"/>
      <c r="Q30" s="446">
        <v>-14.104581334036443458219866260</v>
      </c>
      <c r="R30" s="148">
        <v>3.4844536701165677029485252900</v>
      </c>
      <c r="S30" s="447">
        <v>-0.6113727689733006326597474600</v>
      </c>
      <c r="T30" s="446"/>
      <c r="U30" s="148"/>
      <c r="V30" s="447"/>
      <c r="W30" s="446"/>
      <c r="X30" s="148"/>
      <c r="Y30" s="447"/>
      <c r="Z30" s="446"/>
      <c r="AA30" s="148"/>
      <c r="AB30" s="447"/>
      <c r="AC30" s="75"/>
      <c r="AD30" s="446" t="s">
        <v>181</v>
      </c>
      <c r="AE30" s="148"/>
      <c r="AF30" s="148"/>
      <c r="AG30" s="447"/>
    </row>
    <row r="31" ht="20.1" customHeight="1">
      <c r="A31" s="58"/>
      <c r="B31" s="425">
        <v>2025</v>
      </c>
      <c r="C31" s="426"/>
      <c r="D31" s="457">
        <v>41.441944867113004666260904849</v>
      </c>
      <c r="E31" s="458">
        <v>74.803714296883143959136870635</v>
      </c>
      <c r="F31" s="499">
        <v>88.15117871047790185256492534</v>
      </c>
      <c r="G31" s="457"/>
      <c r="H31" s="458"/>
      <c r="I31" s="499"/>
      <c r="J31" s="457"/>
      <c r="K31" s="458"/>
      <c r="L31" s="499"/>
      <c r="M31" s="457"/>
      <c r="N31" s="458"/>
      <c r="O31" s="499"/>
      <c r="P31" s="453"/>
      <c r="Q31" s="463">
        <v>-7.7890496812530912538332488500</v>
      </c>
      <c r="R31" s="464">
        <v>-3.5087175227147224561764394800</v>
      </c>
      <c r="S31" s="500">
        <v>6.5848378544353838897552113400</v>
      </c>
      <c r="T31" s="463"/>
      <c r="U31" s="464"/>
      <c r="V31" s="500"/>
      <c r="W31" s="463"/>
      <c r="X31" s="464"/>
      <c r="Y31" s="500"/>
      <c r="Z31" s="463"/>
      <c r="AA31" s="464"/>
      <c r="AB31" s="500"/>
      <c r="AC31" s="453"/>
      <c r="AD31" s="463" t="s">
        <v>181</v>
      </c>
      <c r="AE31" s="464"/>
      <c r="AF31" s="464"/>
      <c r="AG31" s="465"/>
    </row>
    <row r="32" ht="21" customHeight="1"/>
    <row r="33" ht="24.95" customHeight="1">
      <c r="A33" s="112"/>
      <c r="B33" s="842" t="s">
        <v>44</v>
      </c>
      <c r="C33" s="842"/>
      <c r="D33" s="842"/>
      <c r="E33" s="842"/>
      <c r="F33" s="842"/>
      <c r="G33" s="842"/>
      <c r="H33" s="842"/>
      <c r="I33" s="842"/>
      <c r="J33" s="842"/>
      <c r="K33" s="842"/>
      <c r="L33" s="842"/>
      <c r="M33" s="842"/>
      <c r="N33" s="842"/>
      <c r="O33" s="972"/>
      <c r="P33" s="501"/>
      <c r="Q33" s="836"/>
      <c r="R33" s="836"/>
      <c r="S33" s="836"/>
      <c r="T33" s="836"/>
      <c r="U33" s="836"/>
      <c r="V33" s="836"/>
      <c r="W33" s="836"/>
      <c r="X33" s="836"/>
      <c r="Y33" s="836"/>
      <c r="Z33" s="836"/>
      <c r="AA33" s="836"/>
      <c r="AB33" s="971"/>
      <c r="AC33" s="501"/>
      <c r="AD33" s="836"/>
      <c r="AE33" s="836"/>
      <c r="AF33" s="836"/>
      <c r="AG33" s="971"/>
      <c r="AH33" s="9"/>
    </row>
    <row r="34" ht="20.1" customHeight="1">
      <c r="A34" s="58"/>
      <c r="B34" s="284">
        <v>2023</v>
      </c>
      <c r="C34" s="285"/>
      <c r="D34" s="454">
        <v>57.026753740065451145395044413</v>
      </c>
      <c r="E34" s="455">
        <v>80.40500850748658819761390023</v>
      </c>
      <c r="F34" s="436">
        <v>90.88847973972197574682046732</v>
      </c>
      <c r="G34" s="454"/>
      <c r="H34" s="455"/>
      <c r="I34" s="436"/>
      <c r="J34" s="454"/>
      <c r="K34" s="455"/>
      <c r="L34" s="436"/>
      <c r="M34" s="454"/>
      <c r="N34" s="455"/>
      <c r="O34" s="436"/>
      <c r="P34" s="75"/>
      <c r="Q34" s="460">
        <v>9.413479515291783522625043440</v>
      </c>
      <c r="R34" s="461">
        <v>1.2893598012015916614007822800</v>
      </c>
      <c r="S34" s="417">
        <v>13.832508816503991804216341950</v>
      </c>
      <c r="T34" s="460"/>
      <c r="U34" s="461"/>
      <c r="V34" s="417"/>
      <c r="W34" s="460"/>
      <c r="X34" s="461"/>
      <c r="Y34" s="417"/>
      <c r="Z34" s="460"/>
      <c r="AA34" s="461"/>
      <c r="AB34" s="417"/>
      <c r="AC34" s="75"/>
      <c r="AD34" s="460" t="s">
        <v>184</v>
      </c>
      <c r="AE34" s="461"/>
      <c r="AF34" s="461"/>
      <c r="AG34" s="462"/>
    </row>
    <row r="35" ht="20.1" customHeight="1">
      <c r="A35" s="58"/>
      <c r="B35" s="286">
        <v>2024</v>
      </c>
      <c r="C35" s="287"/>
      <c r="D35" s="437">
        <v>40.909494506778868630201028518</v>
      </c>
      <c r="E35" s="147">
        <v>76.373464048362559051965729842</v>
      </c>
      <c r="F35" s="438">
        <v>86.82286798777482007295671892</v>
      </c>
      <c r="G35" s="437"/>
      <c r="H35" s="147"/>
      <c r="I35" s="438"/>
      <c r="J35" s="437"/>
      <c r="K35" s="147"/>
      <c r="L35" s="438"/>
      <c r="M35" s="437"/>
      <c r="N35" s="147"/>
      <c r="O35" s="438"/>
      <c r="P35" s="75"/>
      <c r="Q35" s="446">
        <v>-28.262627935610189867110189980</v>
      </c>
      <c r="R35" s="148">
        <v>-5.0140464306541146199060616500</v>
      </c>
      <c r="S35" s="447">
        <v>-4.473187100905291793525159200</v>
      </c>
      <c r="T35" s="446"/>
      <c r="U35" s="148"/>
      <c r="V35" s="447"/>
      <c r="W35" s="446"/>
      <c r="X35" s="148"/>
      <c r="Y35" s="447"/>
      <c r="Z35" s="446"/>
      <c r="AA35" s="148"/>
      <c r="AB35" s="447"/>
      <c r="AC35" s="75"/>
      <c r="AD35" s="446" t="s">
        <v>181</v>
      </c>
      <c r="AE35" s="148"/>
      <c r="AF35" s="148"/>
      <c r="AG35" s="447"/>
    </row>
    <row r="36" ht="20.1" customHeight="1">
      <c r="A36" s="58"/>
      <c r="B36" s="425">
        <v>2025</v>
      </c>
      <c r="C36" s="426"/>
      <c r="D36" s="457">
        <v>40.786066503038803179055633474</v>
      </c>
      <c r="E36" s="458">
        <v>79.39911361998558731683881816</v>
      </c>
      <c r="F36" s="499">
        <v>94.42353840086759341417726511</v>
      </c>
      <c r="G36" s="457"/>
      <c r="H36" s="458"/>
      <c r="I36" s="499"/>
      <c r="J36" s="457"/>
      <c r="K36" s="458"/>
      <c r="L36" s="499"/>
      <c r="M36" s="457"/>
      <c r="N36" s="458"/>
      <c r="O36" s="499"/>
      <c r="P36" s="453"/>
      <c r="Q36" s="463">
        <v>-0.3017099214967824798778320700</v>
      </c>
      <c r="R36" s="464">
        <v>3.9616503052266276269845903400</v>
      </c>
      <c r="S36" s="500">
        <v>8.754226379777743615322808540</v>
      </c>
      <c r="T36" s="463"/>
      <c r="U36" s="464"/>
      <c r="V36" s="500"/>
      <c r="W36" s="463"/>
      <c r="X36" s="464"/>
      <c r="Y36" s="500"/>
      <c r="Z36" s="463"/>
      <c r="AA36" s="464"/>
      <c r="AB36" s="500"/>
      <c r="AC36" s="453"/>
      <c r="AD36" s="463" t="s">
        <v>184</v>
      </c>
      <c r="AE36" s="464"/>
      <c r="AF36" s="464"/>
      <c r="AG36" s="465"/>
    </row>
    <row r="37" ht="21" customHeight="1"/>
    <row r="38" ht="24.95" customHeight="1">
      <c r="A38" s="112"/>
      <c r="B38" s="842" t="s">
        <v>45</v>
      </c>
      <c r="C38" s="842"/>
      <c r="D38" s="842"/>
      <c r="E38" s="842"/>
      <c r="F38" s="842"/>
      <c r="G38" s="842"/>
      <c r="H38" s="842"/>
      <c r="I38" s="842"/>
      <c r="J38" s="842"/>
      <c r="K38" s="842"/>
      <c r="L38" s="842"/>
      <c r="M38" s="842"/>
      <c r="N38" s="842"/>
      <c r="O38" s="972"/>
      <c r="P38" s="501"/>
      <c r="Q38" s="836"/>
      <c r="R38" s="836"/>
      <c r="S38" s="836"/>
      <c r="T38" s="836"/>
      <c r="U38" s="836"/>
      <c r="V38" s="836"/>
      <c r="W38" s="836"/>
      <c r="X38" s="836"/>
      <c r="Y38" s="836"/>
      <c r="Z38" s="836"/>
      <c r="AA38" s="836"/>
      <c r="AB38" s="971"/>
      <c r="AC38" s="501"/>
      <c r="AD38" s="836"/>
      <c r="AE38" s="836"/>
      <c r="AF38" s="836"/>
      <c r="AG38" s="971"/>
      <c r="AH38" s="9"/>
    </row>
    <row r="39" ht="20.1" customHeight="1">
      <c r="A39" s="58"/>
      <c r="B39" s="284">
        <v>2023</v>
      </c>
      <c r="C39" s="285"/>
      <c r="D39" s="454">
        <v>48.889068787744881425835911033</v>
      </c>
      <c r="E39" s="455">
        <v>70.915885188829183380004540982</v>
      </c>
      <c r="F39" s="436">
        <v>77.939386823222439660795825179</v>
      </c>
      <c r="G39" s="454"/>
      <c r="H39" s="455"/>
      <c r="I39" s="436"/>
      <c r="J39" s="454"/>
      <c r="K39" s="455"/>
      <c r="L39" s="436"/>
      <c r="M39" s="454"/>
      <c r="N39" s="455"/>
      <c r="O39" s="436"/>
      <c r="P39" s="75"/>
      <c r="Q39" s="460">
        <v>-14.143307385215462219156404340</v>
      </c>
      <c r="R39" s="461">
        <v>-3.0182025295891901412958470300</v>
      </c>
      <c r="S39" s="417">
        <v>6.6773261842635305124977222100</v>
      </c>
      <c r="T39" s="460"/>
      <c r="U39" s="461"/>
      <c r="V39" s="417"/>
      <c r="W39" s="460"/>
      <c r="X39" s="461"/>
      <c r="Y39" s="417"/>
      <c r="Z39" s="460"/>
      <c r="AA39" s="461"/>
      <c r="AB39" s="417"/>
      <c r="AC39" s="75"/>
      <c r="AD39" s="460" t="s">
        <v>184</v>
      </c>
      <c r="AE39" s="461"/>
      <c r="AF39" s="461"/>
      <c r="AG39" s="462"/>
    </row>
    <row r="40" ht="20.1" customHeight="1">
      <c r="A40" s="58"/>
      <c r="B40" s="286">
        <v>2024</v>
      </c>
      <c r="C40" s="287"/>
      <c r="D40" s="437">
        <v>47.386729243786356425171866737</v>
      </c>
      <c r="E40" s="147">
        <v>72.880321709462378332824995585</v>
      </c>
      <c r="F40" s="438">
        <v>80.3678936414748547820954866</v>
      </c>
      <c r="G40" s="437"/>
      <c r="H40" s="147"/>
      <c r="I40" s="438"/>
      <c r="J40" s="437"/>
      <c r="K40" s="147"/>
      <c r="L40" s="438"/>
      <c r="M40" s="437"/>
      <c r="N40" s="147"/>
      <c r="O40" s="438"/>
      <c r="P40" s="75"/>
      <c r="Q40" s="446">
        <v>-3.0729559412095350762682272200</v>
      </c>
      <c r="R40" s="148">
        <v>2.7700937743813551601210321800</v>
      </c>
      <c r="S40" s="447">
        <v>3.1158916143178687769374919500</v>
      </c>
      <c r="T40" s="446"/>
      <c r="U40" s="148"/>
      <c r="V40" s="447"/>
      <c r="W40" s="446"/>
      <c r="X40" s="148"/>
      <c r="Y40" s="447"/>
      <c r="Z40" s="446"/>
      <c r="AA40" s="148"/>
      <c r="AB40" s="447"/>
      <c r="AC40" s="75"/>
      <c r="AD40" s="446" t="s">
        <v>185</v>
      </c>
      <c r="AE40" s="148"/>
      <c r="AF40" s="148"/>
      <c r="AG40" s="447"/>
    </row>
    <row r="41" ht="20.1" customHeight="1">
      <c r="A41" s="58"/>
      <c r="B41" s="425">
        <v>2025</v>
      </c>
      <c r="C41" s="426"/>
      <c r="D41" s="457">
        <v>41.84566740315215790248932096</v>
      </c>
      <c r="E41" s="458">
        <v>71.570894270793915083629758571</v>
      </c>
      <c r="F41" s="499">
        <v>84.45896924467552647109358075</v>
      </c>
      <c r="G41" s="457"/>
      <c r="H41" s="458"/>
      <c r="I41" s="499"/>
      <c r="J41" s="457"/>
      <c r="K41" s="458"/>
      <c r="L41" s="499"/>
      <c r="M41" s="457"/>
      <c r="N41" s="458"/>
      <c r="O41" s="499"/>
      <c r="P41" s="453"/>
      <c r="Q41" s="463">
        <v>-11.693277694140127458886322990</v>
      </c>
      <c r="R41" s="464">
        <v>-1.7966817489163198222040656100</v>
      </c>
      <c r="S41" s="500">
        <v>5.0904352693685576877003397200</v>
      </c>
      <c r="T41" s="463"/>
      <c r="U41" s="464"/>
      <c r="V41" s="500"/>
      <c r="W41" s="463"/>
      <c r="X41" s="464"/>
      <c r="Y41" s="500"/>
      <c r="Z41" s="463"/>
      <c r="AA41" s="464"/>
      <c r="AB41" s="500"/>
      <c r="AC41" s="453"/>
      <c r="AD41" s="463" t="s">
        <v>184</v>
      </c>
      <c r="AE41" s="464"/>
      <c r="AF41" s="464"/>
      <c r="AG41" s="465"/>
    </row>
    <row r="42" ht="12.75" customHeight="1"/>
    <row r="43" ht="20.1" customHeight="1">
      <c r="B43" s="167" t="s">
        <v>104</v>
      </c>
    </row>
    <row r="44" ht="14.1" customHeight="1">
      <c r="B44" s="167"/>
      <c r="AW44" s="236"/>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5"/>
      <c r="E1" s="65"/>
      <c r="AS1" s="236"/>
    </row>
    <row r="2" ht="15" customHeight="1">
      <c r="B2" s="199"/>
      <c r="C2" s="4" t="s">
        <v>170</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199"/>
    </row>
    <row r="3" ht="15" customHeight="1">
      <c r="B3" s="199"/>
      <c r="C3" s="4" t="s">
        <v>171</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199"/>
    </row>
    <row r="4" ht="15" customHeight="1">
      <c r="B4" s="199"/>
      <c r="C4" s="4" t="s">
        <v>200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199"/>
    </row>
    <row r="5" ht="12.75" customHeight="1">
      <c r="C5" s="67"/>
      <c r="D5" s="67"/>
      <c r="E5" s="67"/>
    </row>
    <row r="6" ht="18" customHeight="1">
      <c r="B6" s="68"/>
      <c r="C6" s="68" t="s">
        <v>7</v>
      </c>
      <c r="D6" s="69"/>
      <c r="E6" s="69"/>
      <c r="F6" s="69"/>
      <c r="H6" s="987" t="s">
        <v>202</v>
      </c>
      <c r="I6" s="987"/>
      <c r="J6" s="987"/>
      <c r="K6" s="987"/>
      <c r="L6" s="987"/>
      <c r="M6" s="987"/>
      <c r="N6" s="987"/>
      <c r="O6" s="987"/>
      <c r="P6" s="987"/>
      <c r="Q6" s="987"/>
      <c r="R6" s="987"/>
      <c r="S6" s="987"/>
      <c r="T6" s="987"/>
      <c r="U6" s="987"/>
      <c r="Z6" s="987" t="s">
        <v>203</v>
      </c>
      <c r="AA6" s="987"/>
      <c r="AB6" s="987"/>
      <c r="AC6" s="987"/>
      <c r="AD6" s="987"/>
      <c r="AE6" s="987"/>
      <c r="AF6" s="987"/>
      <c r="AG6" s="987"/>
      <c r="AH6" s="987"/>
      <c r="AI6" s="987"/>
      <c r="AJ6" s="987"/>
      <c r="AK6" s="987"/>
      <c r="AL6" s="987"/>
      <c r="AM6" s="987"/>
    </row>
    <row r="7" ht="15" customHeight="1">
      <c r="D7" s="174" t="s">
        <v>205</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c r="E8" s="71"/>
      <c r="F8" s="71"/>
      <c r="G8" s="71"/>
      <c r="H8" s="910"/>
      <c r="I8" s="910"/>
      <c r="J8" s="906"/>
      <c r="K8" s="906"/>
      <c r="L8" s="906">
        <v>1</v>
      </c>
      <c r="M8" s="906"/>
      <c r="N8" s="906">
        <v>2</v>
      </c>
      <c r="O8" s="906"/>
      <c r="P8" s="906">
        <v>3</v>
      </c>
      <c r="Q8" s="906"/>
      <c r="R8" s="906">
        <v>4</v>
      </c>
      <c r="S8" s="906"/>
      <c r="T8" s="906">
        <v>5</v>
      </c>
      <c r="U8" s="907"/>
      <c r="Z8" s="910"/>
      <c r="AA8" s="910"/>
      <c r="AB8" s="906">
        <v>1</v>
      </c>
      <c r="AC8" s="906"/>
      <c r="AD8" s="906">
        <v>2</v>
      </c>
      <c r="AE8" s="906"/>
      <c r="AF8" s="906">
        <v>3</v>
      </c>
      <c r="AG8" s="906"/>
      <c r="AH8" s="906">
        <v>4</v>
      </c>
      <c r="AI8" s="906"/>
      <c r="AJ8" s="906">
        <v>5</v>
      </c>
      <c r="AK8" s="906"/>
      <c r="AL8" s="906">
        <v>6</v>
      </c>
      <c r="AM8" s="907"/>
    </row>
    <row r="9" ht="15" customHeight="1">
      <c r="D9" s="175"/>
      <c r="H9" s="905">
        <v>6</v>
      </c>
      <c r="I9" s="905"/>
      <c r="J9" s="898">
        <v>7</v>
      </c>
      <c r="K9" s="898"/>
      <c r="L9" s="898">
        <v>8</v>
      </c>
      <c r="M9" s="898"/>
      <c r="N9" s="898">
        <v>9</v>
      </c>
      <c r="O9" s="898"/>
      <c r="P9" s="898">
        <v>10</v>
      </c>
      <c r="Q9" s="898"/>
      <c r="R9" s="898">
        <v>11</v>
      </c>
      <c r="S9" s="898"/>
      <c r="T9" s="898">
        <v>12</v>
      </c>
      <c r="U9" s="902"/>
      <c r="Z9" s="905">
        <v>7</v>
      </c>
      <c r="AA9" s="905"/>
      <c r="AB9" s="898">
        <v>8</v>
      </c>
      <c r="AC9" s="898"/>
      <c r="AD9" s="898">
        <v>9</v>
      </c>
      <c r="AE9" s="898"/>
      <c r="AF9" s="898">
        <v>10</v>
      </c>
      <c r="AG9" s="898"/>
      <c r="AH9" s="898">
        <v>11</v>
      </c>
      <c r="AI9" s="898"/>
      <c r="AJ9" s="898">
        <v>12</v>
      </c>
      <c r="AK9" s="898"/>
      <c r="AL9" s="898">
        <v>13</v>
      </c>
      <c r="AM9" s="902"/>
    </row>
    <row r="10" ht="15" customHeight="1">
      <c r="H10" s="899">
        <v>13</v>
      </c>
      <c r="I10" s="899"/>
      <c r="J10" s="900">
        <v>14</v>
      </c>
      <c r="K10" s="900"/>
      <c r="L10" s="900">
        <v>15</v>
      </c>
      <c r="M10" s="900"/>
      <c r="N10" s="900">
        <v>16</v>
      </c>
      <c r="O10" s="900"/>
      <c r="P10" s="900">
        <v>17</v>
      </c>
      <c r="Q10" s="900"/>
      <c r="R10" s="900">
        <v>18</v>
      </c>
      <c r="S10" s="900"/>
      <c r="T10" s="900">
        <v>19</v>
      </c>
      <c r="U10" s="903"/>
      <c r="Z10" s="899">
        <v>14</v>
      </c>
      <c r="AA10" s="899"/>
      <c r="AB10" s="900">
        <v>15</v>
      </c>
      <c r="AC10" s="900"/>
      <c r="AD10" s="900">
        <v>16</v>
      </c>
      <c r="AE10" s="900"/>
      <c r="AF10" s="900">
        <v>17</v>
      </c>
      <c r="AG10" s="900"/>
      <c r="AH10" s="900">
        <v>18</v>
      </c>
      <c r="AI10" s="900"/>
      <c r="AJ10" s="900">
        <v>19</v>
      </c>
      <c r="AK10" s="900"/>
      <c r="AL10" s="900">
        <v>20</v>
      </c>
      <c r="AM10" s="903"/>
    </row>
    <row r="11" ht="15" customHeight="1">
      <c r="H11" s="905">
        <v>20</v>
      </c>
      <c r="I11" s="905"/>
      <c r="J11" s="898">
        <v>21</v>
      </c>
      <c r="K11" s="898"/>
      <c r="L11" s="898">
        <v>22</v>
      </c>
      <c r="M11" s="898"/>
      <c r="N11" s="898">
        <v>23</v>
      </c>
      <c r="O11" s="898"/>
      <c r="P11" s="898">
        <v>24</v>
      </c>
      <c r="Q11" s="898"/>
      <c r="R11" s="898">
        <v>25</v>
      </c>
      <c r="S11" s="898"/>
      <c r="T11" s="898">
        <v>26</v>
      </c>
      <c r="U11" s="902"/>
      <c r="Z11" s="905">
        <v>21</v>
      </c>
      <c r="AA11" s="905"/>
      <c r="AB11" s="898">
        <v>22</v>
      </c>
      <c r="AC11" s="898"/>
      <c r="AD11" s="898">
        <v>23</v>
      </c>
      <c r="AE11" s="898"/>
      <c r="AF11" s="898">
        <v>24</v>
      </c>
      <c r="AG11" s="898"/>
      <c r="AH11" s="898">
        <v>25</v>
      </c>
      <c r="AI11" s="898"/>
      <c r="AJ11" s="898">
        <v>26</v>
      </c>
      <c r="AK11" s="898"/>
      <c r="AL11" s="898">
        <v>27</v>
      </c>
      <c r="AM11" s="902"/>
      <c r="AN11" t="s">
        <v>27</v>
      </c>
    </row>
    <row r="12" ht="15" customHeight="1">
      <c r="A12" s="68"/>
      <c r="H12" s="899">
        <v>27</v>
      </c>
      <c r="I12" s="899"/>
      <c r="J12" s="900">
        <v>28</v>
      </c>
      <c r="K12" s="900"/>
      <c r="L12" s="900">
        <v>29</v>
      </c>
      <c r="M12" s="900"/>
      <c r="N12" s="900">
        <v>30</v>
      </c>
      <c r="O12" s="900"/>
      <c r="P12" s="900">
        <v>31</v>
      </c>
      <c r="Q12" s="900"/>
      <c r="R12" s="900"/>
      <c r="S12" s="900"/>
      <c r="T12" s="900"/>
      <c r="U12" s="903"/>
      <c r="Z12" s="899">
        <v>28</v>
      </c>
      <c r="AA12" s="899"/>
      <c r="AB12" s="900">
        <v>29</v>
      </c>
      <c r="AC12" s="900"/>
      <c r="AD12" s="900">
        <v>30</v>
      </c>
      <c r="AE12" s="900"/>
      <c r="AF12" s="900">
        <v>31</v>
      </c>
      <c r="AG12" s="900"/>
      <c r="AH12" s="900"/>
      <c r="AI12" s="900"/>
      <c r="AJ12" s="900"/>
      <c r="AK12" s="900"/>
      <c r="AL12" s="900"/>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s">
        <v>27</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205</v>
      </c>
      <c r="F15" s="64"/>
      <c r="P15" s="234"/>
      <c r="Q15" s="234"/>
      <c r="R15" s="234"/>
      <c r="S15" s="234"/>
      <c r="T15" s="234"/>
      <c r="U15" s="234"/>
      <c r="V15" s="234"/>
      <c r="W15" s="47"/>
      <c r="X15" s="234"/>
      <c r="Y15" s="234"/>
      <c r="Z15" s="234"/>
      <c r="AA15" s="234"/>
      <c r="AB15" s="234"/>
      <c r="AC15" s="234"/>
      <c r="AD15" s="234"/>
      <c r="AE15" s="47"/>
      <c r="AF15" s="234"/>
      <c r="AG15" s="234"/>
      <c r="AH15" s="234"/>
      <c r="AI15" s="234"/>
      <c r="AJ15" s="234"/>
      <c r="AK15" s="234"/>
      <c r="AL15" s="234"/>
      <c r="AM15" s="47"/>
      <c r="AN15" s="47"/>
    </row>
    <row r="16" ht="15" customHeight="1">
      <c r="C16" s="70"/>
      <c r="D16" s="73"/>
      <c r="F16" s="64"/>
      <c r="P16" s="21"/>
      <c r="Q16" s="21"/>
      <c r="R16" s="21"/>
      <c r="S16" s="21"/>
      <c r="T16" s="21"/>
      <c r="U16" s="21"/>
      <c r="V16" s="21"/>
      <c r="W16" s="47"/>
      <c r="X16" s="21"/>
      <c r="Y16" s="21"/>
      <c r="Z16" s="21"/>
      <c r="AA16" s="21"/>
      <c r="AB16" s="21"/>
      <c r="AC16" s="21"/>
      <c r="AD16" s="21"/>
      <c r="AE16" s="47"/>
      <c r="AF16" s="21"/>
      <c r="AG16" s="21"/>
      <c r="AH16" s="21"/>
      <c r="AI16" s="21"/>
      <c r="AJ16" s="21"/>
      <c r="AK16" s="21"/>
      <c r="AL16" s="21"/>
      <c r="AM16" s="47"/>
      <c r="AN16" s="47"/>
    </row>
    <row r="17" ht="15" customHeight="1">
      <c r="C17" s="70"/>
      <c r="D17" s="73"/>
      <c r="F17" s="64"/>
      <c r="P17" s="21"/>
      <c r="Q17" s="21"/>
      <c r="R17" s="21"/>
      <c r="S17" s="21"/>
      <c r="T17" s="21"/>
      <c r="U17" s="21"/>
      <c r="V17" s="21"/>
      <c r="W17" s="47"/>
      <c r="X17" s="21"/>
      <c r="Y17" s="21"/>
      <c r="Z17" s="21"/>
      <c r="AA17" s="21"/>
      <c r="AB17" s="21"/>
      <c r="AC17" s="21"/>
      <c r="AD17" s="21"/>
      <c r="AE17" s="47"/>
      <c r="AF17" s="21"/>
      <c r="AG17" s="21"/>
      <c r="AH17" s="21"/>
      <c r="AI17" s="21"/>
      <c r="AJ17" s="21"/>
      <c r="AK17" s="21"/>
      <c r="AL17" s="21"/>
      <c r="AM17" s="47"/>
      <c r="AN17" s="47"/>
    </row>
    <row r="18" ht="15" customHeight="1">
      <c r="C18" s="70"/>
      <c r="D18" s="71"/>
      <c r="F18" s="64"/>
      <c r="P18" s="21"/>
      <c r="Q18" s="21"/>
      <c r="R18" s="21"/>
      <c r="S18" s="21"/>
      <c r="T18" s="21"/>
      <c r="U18" s="21"/>
      <c r="V18" s="21"/>
      <c r="W18" s="47"/>
      <c r="X18" s="21"/>
      <c r="Y18" s="21"/>
      <c r="Z18" s="21"/>
      <c r="AA18" s="21"/>
      <c r="AB18" s="21"/>
      <c r="AC18" s="21"/>
      <c r="AD18" s="21"/>
      <c r="AE18" s="47"/>
      <c r="AF18" s="21"/>
      <c r="AG18" s="21"/>
      <c r="AH18" s="21"/>
      <c r="AI18" s="21"/>
      <c r="AJ18" s="21"/>
      <c r="AK18" s="21"/>
      <c r="AL18" s="21"/>
      <c r="AM18" s="47"/>
      <c r="AN18" s="47"/>
    </row>
    <row r="19" ht="15" customHeight="1">
      <c r="C19" s="74"/>
      <c r="D19" s="71"/>
      <c r="F19" s="64"/>
      <c r="P19" s="21"/>
      <c r="Q19" s="21"/>
      <c r="R19" s="21"/>
      <c r="S19" s="21"/>
      <c r="T19" s="21"/>
      <c r="U19" s="21"/>
      <c r="V19" s="21"/>
      <c r="W19" s="47"/>
      <c r="X19" s="21"/>
      <c r="Y19" s="21"/>
      <c r="Z19" s="21"/>
      <c r="AA19" s="21"/>
      <c r="AB19" s="21"/>
      <c r="AC19" s="21"/>
      <c r="AD19" s="21"/>
      <c r="AE19" s="47"/>
      <c r="AF19" s="21"/>
      <c r="AG19" s="21"/>
      <c r="AH19" s="21"/>
      <c r="AI19" s="21"/>
      <c r="AJ19" s="21"/>
      <c r="AK19" s="21"/>
      <c r="AL19" s="21"/>
      <c r="AM19" s="47"/>
      <c r="AN19" s="47"/>
    </row>
    <row r="20" ht="15" customHeight="1">
      <c r="C20" s="74"/>
      <c r="D20" s="71"/>
      <c r="F20" s="64"/>
      <c r="P20" s="21"/>
      <c r="Q20" s="21"/>
      <c r="R20" s="21"/>
      <c r="S20" s="21"/>
      <c r="T20" s="21"/>
      <c r="U20" s="21"/>
      <c r="V20" s="21"/>
      <c r="W20" s="47"/>
      <c r="X20" s="21"/>
      <c r="Y20" s="21"/>
      <c r="Z20" s="21"/>
      <c r="AA20" s="21"/>
      <c r="AB20" s="21"/>
      <c r="AC20" s="21"/>
      <c r="AD20" s="21"/>
      <c r="AE20" s="47"/>
      <c r="AF20" s="21"/>
      <c r="AG20" s="21"/>
      <c r="AH20" s="21"/>
      <c r="AI20" s="21"/>
      <c r="AJ20" s="21"/>
      <c r="AK20" s="21"/>
      <c r="AL20" s="21"/>
      <c r="AM20" s="47"/>
      <c r="AN20" s="47"/>
    </row>
    <row r="21" ht="30" customHeight="1">
      <c r="R21" s="993">
        <v>2023</v>
      </c>
      <c r="S21" s="993"/>
      <c r="T21" s="993"/>
      <c r="U21" s="993"/>
      <c r="V21" s="993"/>
      <c r="W21" s="995">
        <v>2024</v>
      </c>
      <c r="X21" s="995"/>
      <c r="Y21" s="995"/>
      <c r="Z21" s="995"/>
      <c r="AA21" s="995"/>
      <c r="AB21" s="995"/>
      <c r="AC21" s="995"/>
      <c r="AD21" s="995"/>
      <c r="AE21" s="995"/>
      <c r="AF21" s="995"/>
      <c r="AG21" s="995"/>
      <c r="AH21" s="995"/>
      <c r="AI21" s="995">
        <v>2025</v>
      </c>
      <c r="AJ21" s="995"/>
      <c r="AK21" s="995"/>
      <c r="AL21" s="995"/>
      <c r="AM21" s="995"/>
      <c r="AN21" s="995"/>
      <c r="AO21" s="995"/>
    </row>
    <row r="22" s="5" customFormat="1" ht="30" customHeight="1">
      <c r="B22" s="76"/>
      <c r="C22" s="77" t="s">
        <v>71</v>
      </c>
      <c r="D22" s="77" t="s">
        <v>21</v>
      </c>
      <c r="E22" s="177" t="s">
        <v>201</v>
      </c>
      <c r="F22" s="158" t="s">
        <v>60</v>
      </c>
      <c r="G22" s="158" t="s">
        <v>61</v>
      </c>
      <c r="H22" s="914" t="s">
        <v>34</v>
      </c>
      <c r="I22" s="914"/>
      <c r="J22" s="914"/>
      <c r="K22" s="914"/>
      <c r="L22" s="914" t="s">
        <v>62</v>
      </c>
      <c r="M22" s="914"/>
      <c r="N22" s="914"/>
      <c r="O22" s="914"/>
      <c r="R22" s="617" t="s">
        <v>190</v>
      </c>
      <c r="S22" s="618" t="s">
        <v>191</v>
      </c>
      <c r="T22" s="618" t="s">
        <v>192</v>
      </c>
      <c r="U22" s="618" t="s">
        <v>193</v>
      </c>
      <c r="V22" s="1015" t="s">
        <v>195</v>
      </c>
      <c r="W22" s="618" t="s">
        <v>196</v>
      </c>
      <c r="X22" s="618" t="s">
        <v>180</v>
      </c>
      <c r="Y22" s="618" t="s">
        <v>183</v>
      </c>
      <c r="Z22" s="618" t="s">
        <v>186</v>
      </c>
      <c r="AA22" s="618" t="s">
        <v>187</v>
      </c>
      <c r="AB22" s="618" t="s">
        <v>188</v>
      </c>
      <c r="AC22" s="618" t="s">
        <v>189</v>
      </c>
      <c r="AD22" s="618" t="s">
        <v>190</v>
      </c>
      <c r="AE22" s="618" t="s">
        <v>191</v>
      </c>
      <c r="AF22" s="618" t="s">
        <v>192</v>
      </c>
      <c r="AG22" s="618" t="s">
        <v>193</v>
      </c>
      <c r="AH22" s="1015" t="s">
        <v>195</v>
      </c>
      <c r="AI22" s="618" t="s">
        <v>196</v>
      </c>
      <c r="AJ22" s="618" t="s">
        <v>180</v>
      </c>
      <c r="AK22" s="618" t="s">
        <v>183</v>
      </c>
      <c r="AL22" s="618" t="s">
        <v>186</v>
      </c>
      <c r="AM22" s="618" t="s">
        <v>187</v>
      </c>
      <c r="AN22" s="618" t="s">
        <v>188</v>
      </c>
      <c r="AO22" s="1015" t="s">
        <v>189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33"/>
      <c r="C23" s="1016">
        <v>60180</v>
      </c>
      <c r="D23" s="1016" t="s">
        <v>175</v>
      </c>
      <c r="E23" s="1016" t="s">
        <v>207</v>
      </c>
      <c r="F23" s="1017" t="s">
        <v>208</v>
      </c>
      <c r="G23" s="1016" t="s">
        <v>209</v>
      </c>
      <c r="H23" s="1018" t="s">
        <v>210</v>
      </c>
      <c r="I23" s="1018"/>
      <c r="J23" s="1018"/>
      <c r="K23" s="1018"/>
      <c r="L23" s="1018" t="s">
        <v>211</v>
      </c>
      <c r="M23" s="1018"/>
      <c r="N23" s="1018"/>
      <c r="O23" s="1018"/>
      <c r="P23" s="80"/>
      <c r="Q23" s="90"/>
      <c r="R23" s="1019" t="s">
        <v>212</v>
      </c>
      <c r="S23" s="1020" t="s">
        <v>212</v>
      </c>
      <c r="T23" s="1020" t="s">
        <v>212</v>
      </c>
      <c r="U23" s="1020" t="s">
        <v>212</v>
      </c>
      <c r="V23" s="1020" t="s">
        <v>212</v>
      </c>
      <c r="W23" s="1020" t="s">
        <v>212</v>
      </c>
      <c r="X23" s="1020" t="s">
        <v>212</v>
      </c>
      <c r="Y23" s="1020" t="s">
        <v>212</v>
      </c>
      <c r="Z23" s="1020" t="s">
        <v>212</v>
      </c>
      <c r="AA23" s="1020" t="s">
        <v>212</v>
      </c>
      <c r="AB23" s="1020" t="s">
        <v>212</v>
      </c>
      <c r="AC23" s="1020" t="s">
        <v>212</v>
      </c>
      <c r="AD23" s="1020" t="s">
        <v>212</v>
      </c>
      <c r="AE23" s="1020" t="s">
        <v>212</v>
      </c>
      <c r="AF23" s="1020" t="s">
        <v>212</v>
      </c>
      <c r="AG23" s="1020" t="s">
        <v>212</v>
      </c>
      <c r="AH23" s="1020" t="s">
        <v>212</v>
      </c>
      <c r="AI23" s="1020" t="s">
        <v>212</v>
      </c>
      <c r="AJ23" s="1020" t="s">
        <v>212</v>
      </c>
      <c r="AK23" s="1020" t="s">
        <v>212</v>
      </c>
      <c r="AL23" s="1020" t="s">
        <v>212</v>
      </c>
      <c r="AM23" s="1020" t="s">
        <v>212</v>
      </c>
      <c r="AN23" s="1020" t="s">
        <v>212</v>
      </c>
      <c r="AO23" s="1021" t="s">
        <v>212</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33"/>
      <c r="C24" s="1022">
        <v>7790</v>
      </c>
      <c r="D24" s="1022" t="s">
        <v>213</v>
      </c>
      <c r="E24" s="1022" t="s">
        <v>207</v>
      </c>
      <c r="F24" s="1023" t="s">
        <v>214</v>
      </c>
      <c r="G24" s="1022" t="s">
        <v>215</v>
      </c>
      <c r="H24" s="1024" t="s">
        <v>216</v>
      </c>
      <c r="I24" s="1024"/>
      <c r="J24" s="1024"/>
      <c r="K24" s="1024"/>
      <c r="L24" s="1024" t="s">
        <v>217</v>
      </c>
      <c r="M24" s="1024"/>
      <c r="N24" s="1024"/>
      <c r="O24" s="1024"/>
      <c r="P24" s="80"/>
      <c r="Q24" s="90"/>
      <c r="R24" s="1025" t="s">
        <v>212</v>
      </c>
      <c r="S24" s="1026" t="s">
        <v>212</v>
      </c>
      <c r="T24" s="1026" t="s">
        <v>212</v>
      </c>
      <c r="U24" s="1026" t="s">
        <v>212</v>
      </c>
      <c r="V24" s="1026" t="s">
        <v>212</v>
      </c>
      <c r="W24" s="1026" t="s">
        <v>212</v>
      </c>
      <c r="X24" s="1026" t="s">
        <v>212</v>
      </c>
      <c r="Y24" s="1026" t="s">
        <v>212</v>
      </c>
      <c r="Z24" s="1026" t="s">
        <v>212</v>
      </c>
      <c r="AA24" s="1026" t="s">
        <v>212</v>
      </c>
      <c r="AB24" s="1026" t="s">
        <v>212</v>
      </c>
      <c r="AC24" s="1026" t="s">
        <v>212</v>
      </c>
      <c r="AD24" s="1026" t="s">
        <v>212</v>
      </c>
      <c r="AE24" s="1026" t="s">
        <v>212</v>
      </c>
      <c r="AF24" s="1026" t="s">
        <v>212</v>
      </c>
      <c r="AG24" s="1026" t="s">
        <v>212</v>
      </c>
      <c r="AH24" s="1026" t="s">
        <v>212</v>
      </c>
      <c r="AI24" s="1026" t="s">
        <v>212</v>
      </c>
      <c r="AJ24" s="1026" t="s">
        <v>212</v>
      </c>
      <c r="AK24" s="1026" t="s">
        <v>212</v>
      </c>
      <c r="AL24" s="1026" t="s">
        <v>212</v>
      </c>
      <c r="AM24" s="1026" t="s">
        <v>212</v>
      </c>
      <c r="AN24" s="1026" t="s">
        <v>212</v>
      </c>
      <c r="AO24" s="1027" t="s">
        <v>212</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33"/>
      <c r="C25" s="1016">
        <v>27821</v>
      </c>
      <c r="D25" s="1016" t="s">
        <v>218</v>
      </c>
      <c r="E25" s="1016" t="s">
        <v>207</v>
      </c>
      <c r="F25" s="1017" t="s">
        <v>219</v>
      </c>
      <c r="G25" s="1016" t="s">
        <v>220</v>
      </c>
      <c r="H25" s="1018" t="s">
        <v>221</v>
      </c>
      <c r="I25" s="1018"/>
      <c r="J25" s="1018"/>
      <c r="K25" s="1018"/>
      <c r="L25" s="1018" t="s">
        <v>222</v>
      </c>
      <c r="M25" s="1018"/>
      <c r="N25" s="1018"/>
      <c r="O25" s="1018"/>
      <c r="P25" s="80"/>
      <c r="Q25" s="90"/>
      <c r="R25" s="1019" t="s">
        <v>212</v>
      </c>
      <c r="S25" s="1020" t="s">
        <v>212</v>
      </c>
      <c r="T25" s="1020" t="s">
        <v>212</v>
      </c>
      <c r="U25" s="1020" t="s">
        <v>212</v>
      </c>
      <c r="V25" s="1020" t="s">
        <v>212</v>
      </c>
      <c r="W25" s="1020" t="s">
        <v>212</v>
      </c>
      <c r="X25" s="1020" t="s">
        <v>212</v>
      </c>
      <c r="Y25" s="1020" t="s">
        <v>212</v>
      </c>
      <c r="Z25" s="1020" t="s">
        <v>212</v>
      </c>
      <c r="AA25" s="1020" t="s">
        <v>212</v>
      </c>
      <c r="AB25" s="1020" t="s">
        <v>212</v>
      </c>
      <c r="AC25" s="1020" t="s">
        <v>212</v>
      </c>
      <c r="AD25" s="1020" t="s">
        <v>212</v>
      </c>
      <c r="AE25" s="1020" t="s">
        <v>212</v>
      </c>
      <c r="AF25" s="1020" t="s">
        <v>212</v>
      </c>
      <c r="AG25" s="1020" t="s">
        <v>212</v>
      </c>
      <c r="AH25" s="1020" t="s">
        <v>212</v>
      </c>
      <c r="AI25" s="1020" t="s">
        <v>212</v>
      </c>
      <c r="AJ25" s="1020" t="s">
        <v>212</v>
      </c>
      <c r="AK25" s="1020" t="s">
        <v>212</v>
      </c>
      <c r="AL25" s="1020" t="s">
        <v>212</v>
      </c>
      <c r="AM25" s="1020" t="s">
        <v>212</v>
      </c>
      <c r="AN25" s="1020" t="s">
        <v>212</v>
      </c>
      <c r="AO25" s="1021" t="s">
        <v>212</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33"/>
      <c r="C26" s="1022">
        <v>31502</v>
      </c>
      <c r="D26" s="1022" t="s">
        <v>223</v>
      </c>
      <c r="E26" s="1022" t="s">
        <v>207</v>
      </c>
      <c r="F26" s="1023" t="s">
        <v>214</v>
      </c>
      <c r="G26" s="1022" t="s">
        <v>224</v>
      </c>
      <c r="H26" s="1024" t="s">
        <v>225</v>
      </c>
      <c r="I26" s="1024"/>
      <c r="J26" s="1024"/>
      <c r="K26" s="1024"/>
      <c r="L26" s="1024" t="s">
        <v>226</v>
      </c>
      <c r="M26" s="1024"/>
      <c r="N26" s="1024"/>
      <c r="O26" s="1024"/>
      <c r="P26" s="80"/>
      <c r="Q26" s="90"/>
      <c r="R26" s="1025" t="s">
        <v>212</v>
      </c>
      <c r="S26" s="1026" t="s">
        <v>212</v>
      </c>
      <c r="T26" s="1026" t="s">
        <v>212</v>
      </c>
      <c r="U26" s="1026" t="s">
        <v>212</v>
      </c>
      <c r="V26" s="1026" t="s">
        <v>212</v>
      </c>
      <c r="W26" s="1026" t="s">
        <v>212</v>
      </c>
      <c r="X26" s="1026" t="s">
        <v>212</v>
      </c>
      <c r="Y26" s="1026" t="s">
        <v>212</v>
      </c>
      <c r="Z26" s="1026" t="s">
        <v>212</v>
      </c>
      <c r="AA26" s="1026" t="s">
        <v>212</v>
      </c>
      <c r="AB26" s="1026" t="s">
        <v>212</v>
      </c>
      <c r="AC26" s="1026" t="s">
        <v>212</v>
      </c>
      <c r="AD26" s="1026" t="s">
        <v>212</v>
      </c>
      <c r="AE26" s="1026" t="s">
        <v>212</v>
      </c>
      <c r="AF26" s="1026" t="s">
        <v>212</v>
      </c>
      <c r="AG26" s="1026" t="s">
        <v>212</v>
      </c>
      <c r="AH26" s="1026" t="s">
        <v>212</v>
      </c>
      <c r="AI26" s="1026" t="s">
        <v>212</v>
      </c>
      <c r="AJ26" s="1026" t="s">
        <v>212</v>
      </c>
      <c r="AK26" s="1026" t="s">
        <v>212</v>
      </c>
      <c r="AL26" s="1026" t="s">
        <v>212</v>
      </c>
      <c r="AM26" s="1026" t="s">
        <v>212</v>
      </c>
      <c r="AN26" s="1026" t="s">
        <v>212</v>
      </c>
      <c r="AO26" s="1027" t="s">
        <v>212</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33"/>
      <c r="C27" s="1016">
        <v>33288</v>
      </c>
      <c r="D27" s="1016" t="s">
        <v>227</v>
      </c>
      <c r="E27" s="1016" t="s">
        <v>207</v>
      </c>
      <c r="F27" s="1017" t="s">
        <v>219</v>
      </c>
      <c r="G27" s="1016" t="s">
        <v>228</v>
      </c>
      <c r="H27" s="1018" t="s">
        <v>229</v>
      </c>
      <c r="I27" s="1018"/>
      <c r="J27" s="1018"/>
      <c r="K27" s="1018"/>
      <c r="L27" s="1018" t="s">
        <v>230</v>
      </c>
      <c r="M27" s="1018"/>
      <c r="N27" s="1018"/>
      <c r="O27" s="1018"/>
      <c r="P27" s="80"/>
      <c r="Q27" s="90"/>
      <c r="R27" s="1019" t="s">
        <v>212</v>
      </c>
      <c r="S27" s="1020" t="s">
        <v>212</v>
      </c>
      <c r="T27" s="1020" t="s">
        <v>212</v>
      </c>
      <c r="U27" s="1020" t="s">
        <v>212</v>
      </c>
      <c r="V27" s="1020" t="s">
        <v>212</v>
      </c>
      <c r="W27" s="1020" t="s">
        <v>212</v>
      </c>
      <c r="X27" s="1020" t="s">
        <v>212</v>
      </c>
      <c r="Y27" s="1020" t="s">
        <v>212</v>
      </c>
      <c r="Z27" s="1020" t="s">
        <v>212</v>
      </c>
      <c r="AA27" s="1020" t="s">
        <v>212</v>
      </c>
      <c r="AB27" s="1020" t="s">
        <v>212</v>
      </c>
      <c r="AC27" s="1020" t="s">
        <v>212</v>
      </c>
      <c r="AD27" s="1020" t="s">
        <v>212</v>
      </c>
      <c r="AE27" s="1020" t="s">
        <v>212</v>
      </c>
      <c r="AF27" s="1020" t="s">
        <v>212</v>
      </c>
      <c r="AG27" s="1020" t="s">
        <v>212</v>
      </c>
      <c r="AH27" s="1020" t="s">
        <v>212</v>
      </c>
      <c r="AI27" s="1020" t="s">
        <v>212</v>
      </c>
      <c r="AJ27" s="1020" t="s">
        <v>212</v>
      </c>
      <c r="AK27" s="1020" t="s">
        <v>212</v>
      </c>
      <c r="AL27" s="1020" t="s">
        <v>212</v>
      </c>
      <c r="AM27" s="1020" t="s">
        <v>212</v>
      </c>
      <c r="AN27" s="1020" t="s">
        <v>212</v>
      </c>
      <c r="AO27" s="1021" t="s">
        <v>212</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33"/>
      <c r="C28" s="1022">
        <v>57305</v>
      </c>
      <c r="D28" s="1022" t="s">
        <v>231</v>
      </c>
      <c r="E28" s="1022" t="s">
        <v>232</v>
      </c>
      <c r="F28" s="1023" t="s">
        <v>233</v>
      </c>
      <c r="G28" s="1022" t="s">
        <v>234</v>
      </c>
      <c r="H28" s="1024" t="s">
        <v>235</v>
      </c>
      <c r="I28" s="1024"/>
      <c r="J28" s="1024"/>
      <c r="K28" s="1024"/>
      <c r="L28" s="1024" t="s">
        <v>236</v>
      </c>
      <c r="M28" s="1024"/>
      <c r="N28" s="1024"/>
      <c r="O28" s="1024"/>
      <c r="P28" s="80"/>
      <c r="Q28" s="90"/>
      <c r="R28" s="1025" t="s">
        <v>212</v>
      </c>
      <c r="S28" s="1026" t="s">
        <v>212</v>
      </c>
      <c r="T28" s="1026" t="s">
        <v>212</v>
      </c>
      <c r="U28" s="1026" t="s">
        <v>212</v>
      </c>
      <c r="V28" s="1026" t="s">
        <v>212</v>
      </c>
      <c r="W28" s="1026" t="s">
        <v>212</v>
      </c>
      <c r="X28" s="1026" t="s">
        <v>212</v>
      </c>
      <c r="Y28" s="1026" t="s">
        <v>212</v>
      </c>
      <c r="Z28" s="1026" t="s">
        <v>212</v>
      </c>
      <c r="AA28" s="1026" t="s">
        <v>212</v>
      </c>
      <c r="AB28" s="1026" t="s">
        <v>212</v>
      </c>
      <c r="AC28" s="1026" t="s">
        <v>212</v>
      </c>
      <c r="AD28" s="1026" t="s">
        <v>212</v>
      </c>
      <c r="AE28" s="1026" t="s">
        <v>212</v>
      </c>
      <c r="AF28" s="1026" t="s">
        <v>212</v>
      </c>
      <c r="AG28" s="1026" t="s">
        <v>212</v>
      </c>
      <c r="AH28" s="1026" t="s">
        <v>212</v>
      </c>
      <c r="AI28" s="1026" t="s">
        <v>212</v>
      </c>
      <c r="AJ28" s="1026" t="s">
        <v>212</v>
      </c>
      <c r="AK28" s="1026" t="s">
        <v>212</v>
      </c>
      <c r="AL28" s="1026" t="s">
        <v>212</v>
      </c>
      <c r="AM28" s="1026" t="s">
        <v>212</v>
      </c>
      <c r="AN28" s="1026" t="s">
        <v>212</v>
      </c>
      <c r="AO28" s="1027" t="s">
        <v>212</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33"/>
      <c r="C29" s="1016">
        <v>58062</v>
      </c>
      <c r="D29" s="1016" t="s">
        <v>237</v>
      </c>
      <c r="E29" s="1016" t="s">
        <v>232</v>
      </c>
      <c r="F29" s="1016" t="s">
        <v>238</v>
      </c>
      <c r="G29" s="1016" t="s">
        <v>239</v>
      </c>
      <c r="H29" s="1018" t="s">
        <v>240</v>
      </c>
      <c r="I29" s="1018"/>
      <c r="J29" s="1018"/>
      <c r="K29" s="1018"/>
      <c r="L29" s="1018" t="s">
        <v>241</v>
      </c>
      <c r="M29" s="1018"/>
      <c r="N29" s="1018"/>
      <c r="O29" s="1018"/>
      <c r="P29" s="80"/>
      <c r="Q29" s="90"/>
      <c r="R29" s="1019" t="s">
        <v>212</v>
      </c>
      <c r="S29" s="1020" t="s">
        <v>212</v>
      </c>
      <c r="T29" s="1020" t="s">
        <v>212</v>
      </c>
      <c r="U29" s="1020" t="s">
        <v>212</v>
      </c>
      <c r="V29" s="1020" t="s">
        <v>212</v>
      </c>
      <c r="W29" s="1020" t="s">
        <v>212</v>
      </c>
      <c r="X29" s="1020" t="s">
        <v>212</v>
      </c>
      <c r="Y29" s="1020" t="s">
        <v>212</v>
      </c>
      <c r="Z29" s="1020" t="s">
        <v>212</v>
      </c>
      <c r="AA29" s="1020" t="s">
        <v>212</v>
      </c>
      <c r="AB29" s="1020" t="s">
        <v>212</v>
      </c>
      <c r="AC29" s="1020" t="s">
        <v>212</v>
      </c>
      <c r="AD29" s="1020" t="s">
        <v>212</v>
      </c>
      <c r="AE29" s="1020" t="s">
        <v>212</v>
      </c>
      <c r="AF29" s="1020" t="s">
        <v>212</v>
      </c>
      <c r="AG29" s="1020" t="s">
        <v>212</v>
      </c>
      <c r="AH29" s="1020" t="s">
        <v>212</v>
      </c>
      <c r="AI29" s="1020" t="s">
        <v>212</v>
      </c>
      <c r="AJ29" s="1020" t="s">
        <v>212</v>
      </c>
      <c r="AK29" s="1020" t="s">
        <v>212</v>
      </c>
      <c r="AL29" s="1020" t="s">
        <v>212</v>
      </c>
      <c r="AM29" s="1020" t="s">
        <v>212</v>
      </c>
      <c r="AN29" s="1020" t="s">
        <v>212</v>
      </c>
      <c r="AO29" s="1021" t="s">
        <v>212</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33"/>
      <c r="C30" s="1022">
        <v>66136</v>
      </c>
      <c r="D30" s="1022" t="s">
        <v>242</v>
      </c>
      <c r="E30" s="1022" t="s">
        <v>207</v>
      </c>
      <c r="F30" s="1022" t="s">
        <v>243</v>
      </c>
      <c r="G30" s="1022" t="s">
        <v>244</v>
      </c>
      <c r="H30" s="1024" t="s">
        <v>245</v>
      </c>
      <c r="I30" s="1024"/>
      <c r="J30" s="1024"/>
      <c r="K30" s="1024"/>
      <c r="L30" s="1024" t="s">
        <v>246</v>
      </c>
      <c r="M30" s="1024"/>
      <c r="N30" s="1024"/>
      <c r="O30" s="1024"/>
      <c r="P30" s="80"/>
      <c r="Q30" s="90"/>
      <c r="R30" s="1025" t="s">
        <v>212</v>
      </c>
      <c r="S30" s="1026" t="s">
        <v>212</v>
      </c>
      <c r="T30" s="1026" t="s">
        <v>212</v>
      </c>
      <c r="U30" s="1026" t="s">
        <v>212</v>
      </c>
      <c r="V30" s="1026" t="s">
        <v>212</v>
      </c>
      <c r="W30" s="1026" t="s">
        <v>212</v>
      </c>
      <c r="X30" s="1026" t="s">
        <v>212</v>
      </c>
      <c r="Y30" s="1026" t="s">
        <v>212</v>
      </c>
      <c r="Z30" s="1026" t="s">
        <v>212</v>
      </c>
      <c r="AA30" s="1026" t="s">
        <v>212</v>
      </c>
      <c r="AB30" s="1026" t="s">
        <v>212</v>
      </c>
      <c r="AC30" s="1026" t="s">
        <v>212</v>
      </c>
      <c r="AD30" s="1026" t="s">
        <v>212</v>
      </c>
      <c r="AE30" s="1026" t="s">
        <v>212</v>
      </c>
      <c r="AF30" s="1026" t="s">
        <v>212</v>
      </c>
      <c r="AG30" s="1026" t="s">
        <v>212</v>
      </c>
      <c r="AH30" s="1026" t="s">
        <v>212</v>
      </c>
      <c r="AI30" s="1026" t="s">
        <v>212</v>
      </c>
      <c r="AJ30" s="1026" t="s">
        <v>212</v>
      </c>
      <c r="AK30" s="1026" t="s">
        <v>212</v>
      </c>
      <c r="AL30" s="1026" t="s">
        <v>212</v>
      </c>
      <c r="AM30" s="1026" t="s">
        <v>212</v>
      </c>
      <c r="AN30" s="1026" t="s">
        <v>212</v>
      </c>
      <c r="AO30" s="1027" t="s">
        <v>212</v>
      </c>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33"/>
      <c r="C31" s="181"/>
      <c r="D31" s="183"/>
      <c r="E31" s="183"/>
      <c r="F31" s="201"/>
      <c r="G31" s="181"/>
      <c r="H31" s="1018">
        <v>1272</v>
      </c>
      <c r="I31" s="1018"/>
      <c r="J31" s="1018"/>
      <c r="K31" s="1018"/>
      <c r="L31" s="895"/>
      <c r="M31" s="895"/>
      <c r="N31" s="895"/>
      <c r="O31" s="895"/>
      <c r="P31" s="80"/>
      <c r="Q31" s="90"/>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33"/>
      <c r="C32" s="181"/>
      <c r="D32" s="183"/>
      <c r="E32" s="183"/>
      <c r="F32" s="201"/>
      <c r="G32" s="181"/>
      <c r="H32" s="181"/>
      <c r="I32" s="181"/>
      <c r="J32" s="181"/>
      <c r="K32" s="181"/>
      <c r="L32" s="895"/>
      <c r="M32" s="895"/>
      <c r="N32" s="895"/>
      <c r="O32" s="895"/>
      <c r="P32" s="80"/>
      <c r="Q32" s="90"/>
      <c r="R32" s="182"/>
      <c r="S32" s="182"/>
      <c r="T32" s="182"/>
      <c r="U32" s="182"/>
      <c r="V32" s="182"/>
      <c r="W32" s="182"/>
      <c r="X32" s="1028" t="s">
        <v>247</v>
      </c>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33"/>
      <c r="C33" s="181"/>
      <c r="D33" s="183"/>
      <c r="E33" s="183"/>
      <c r="F33" s="201"/>
      <c r="G33" s="181"/>
      <c r="H33" s="181"/>
      <c r="I33" s="181"/>
      <c r="J33" s="181"/>
      <c r="K33" s="181"/>
      <c r="L33" s="895"/>
      <c r="M33" s="895"/>
      <c r="N33" s="895"/>
      <c r="O33" s="895"/>
      <c r="P33" s="80"/>
      <c r="Q33" s="90"/>
      <c r="R33" s="182"/>
      <c r="S33" s="182"/>
      <c r="T33" s="182"/>
      <c r="U33" s="182"/>
      <c r="V33" s="182"/>
      <c r="W33" s="182"/>
      <c r="X33" s="182"/>
      <c r="Y33" s="182"/>
      <c r="Z33" s="182"/>
      <c r="AA33" s="1029" t="s">
        <v>248</v>
      </c>
      <c r="AB33" s="1028" t="s">
        <v>249</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33"/>
      <c r="C34" s="181"/>
      <c r="D34" s="183"/>
      <c r="E34" s="183"/>
      <c r="F34" s="201"/>
      <c r="G34" s="181"/>
      <c r="H34" s="181"/>
      <c r="I34" s="181"/>
      <c r="J34" s="181"/>
      <c r="K34" s="181"/>
      <c r="L34" s="895"/>
      <c r="M34" s="895"/>
      <c r="N34" s="895"/>
      <c r="O34" s="895"/>
      <c r="P34" s="80"/>
      <c r="Q34" s="90"/>
      <c r="R34" s="182"/>
      <c r="S34" s="182"/>
      <c r="T34" s="182"/>
      <c r="U34" s="182"/>
      <c r="V34" s="182"/>
      <c r="W34" s="182"/>
      <c r="X34" s="182"/>
      <c r="Y34" s="182"/>
      <c r="Z34" s="182"/>
      <c r="AA34" s="1029" t="s">
        <v>212</v>
      </c>
      <c r="AB34" s="1028" t="s">
        <v>250</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33"/>
      <c r="C35" s="181"/>
      <c r="D35" s="183"/>
      <c r="E35" s="183"/>
      <c r="F35" s="201"/>
      <c r="G35" s="181"/>
      <c r="H35" s="181"/>
      <c r="I35" s="181"/>
      <c r="J35" s="181"/>
      <c r="K35" s="181"/>
      <c r="L35" s="895"/>
      <c r="M35" s="895"/>
      <c r="N35" s="895"/>
      <c r="O35" s="895"/>
      <c r="P35" s="80"/>
      <c r="Q35" s="9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33"/>
      <c r="C36" s="181"/>
      <c r="D36" s="183"/>
      <c r="E36" s="183"/>
      <c r="F36" s="201"/>
      <c r="G36" s="181"/>
      <c r="H36" s="181"/>
      <c r="I36" s="181"/>
      <c r="J36" s="181"/>
      <c r="K36" s="181"/>
      <c r="L36" s="895"/>
      <c r="M36" s="895"/>
      <c r="N36" s="895"/>
      <c r="O36" s="895"/>
      <c r="P36" s="80"/>
      <c r="Q36" s="9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33"/>
      <c r="C37" s="181"/>
      <c r="D37" s="183"/>
      <c r="E37" s="183"/>
      <c r="F37" s="201"/>
      <c r="G37" s="181"/>
      <c r="H37" s="181"/>
      <c r="I37" s="181"/>
      <c r="J37" s="181"/>
      <c r="K37" s="181"/>
      <c r="L37" s="895"/>
      <c r="M37" s="895"/>
      <c r="N37" s="895"/>
      <c r="O37" s="895"/>
      <c r="P37" s="80"/>
      <c r="Q37" s="9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33"/>
      <c r="C38" s="181"/>
      <c r="D38" s="183"/>
      <c r="E38" s="183"/>
      <c r="F38" s="201"/>
      <c r="G38" s="181"/>
      <c r="H38" s="181"/>
      <c r="I38" s="181"/>
      <c r="J38" s="181"/>
      <c r="K38" s="181"/>
      <c r="L38" s="895"/>
      <c r="M38" s="895"/>
      <c r="N38" s="895"/>
      <c r="O38" s="895"/>
      <c r="P38" s="80"/>
      <c r="Q38" s="9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3"/>
      <c r="E39" s="183"/>
      <c r="F39" s="201"/>
      <c r="G39" s="181"/>
      <c r="H39" s="181"/>
      <c r="I39" s="181"/>
      <c r="J39" s="181"/>
      <c r="K39" s="181"/>
      <c r="L39" s="895"/>
      <c r="M39" s="895"/>
      <c r="N39" s="895"/>
      <c r="O39" s="895"/>
      <c r="P39" s="80"/>
      <c r="Q39" s="9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86"/>
      <c r="AQ39" s="79"/>
      <c r="AR39" s="79"/>
    </row>
    <row r="40" ht="18" customHeight="1">
      <c r="C40" s="181"/>
      <c r="D40" s="183"/>
      <c r="E40" s="183"/>
      <c r="F40" s="201"/>
      <c r="G40" s="181"/>
      <c r="H40" s="181"/>
      <c r="I40" s="181"/>
      <c r="J40" s="181"/>
      <c r="K40" s="181"/>
      <c r="L40" s="895"/>
      <c r="M40" s="895"/>
      <c r="N40" s="895"/>
      <c r="O40" s="895"/>
      <c r="P40" s="80"/>
      <c r="Q40" s="9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86"/>
      <c r="AQ40" s="79"/>
      <c r="AR40" s="79"/>
    </row>
    <row r="41" ht="18" customHeight="1">
      <c r="C41" s="181"/>
      <c r="D41" s="183"/>
      <c r="E41" s="183"/>
      <c r="F41" s="201"/>
      <c r="G41" s="181"/>
      <c r="H41" s="181"/>
      <c r="I41" s="181"/>
      <c r="J41" s="181"/>
      <c r="K41" s="181"/>
      <c r="L41" s="895"/>
      <c r="M41" s="895"/>
      <c r="N41" s="895"/>
      <c r="O41" s="895"/>
      <c r="P41" s="80"/>
      <c r="Q41" s="9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86"/>
      <c r="AQ41" s="79"/>
      <c r="AR41" s="79"/>
    </row>
    <row r="42" ht="18" customHeight="1">
      <c r="C42" s="181"/>
      <c r="D42" s="183"/>
      <c r="E42" s="183"/>
      <c r="F42" s="201"/>
      <c r="G42" s="181"/>
      <c r="H42" s="181"/>
      <c r="I42" s="181"/>
      <c r="J42" s="181"/>
      <c r="K42" s="181"/>
      <c r="L42" s="895"/>
      <c r="M42" s="895"/>
      <c r="N42" s="895"/>
      <c r="O42" s="895"/>
      <c r="P42" s="80"/>
      <c r="Q42" s="9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86"/>
      <c r="AQ42" s="79"/>
      <c r="AR42" s="79"/>
    </row>
    <row r="43" ht="18" customHeight="1">
      <c r="C43" s="181"/>
      <c r="D43" s="183"/>
      <c r="E43" s="183"/>
      <c r="F43" s="201"/>
      <c r="G43" s="181"/>
      <c r="H43" s="181"/>
      <c r="I43" s="181"/>
      <c r="J43" s="181"/>
      <c r="K43" s="181"/>
      <c r="L43" s="895"/>
      <c r="M43" s="895"/>
      <c r="N43" s="895"/>
      <c r="O43" s="895"/>
      <c r="P43" s="80"/>
      <c r="Q43" s="90"/>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86"/>
      <c r="AQ43" s="79"/>
      <c r="AR43" s="79"/>
    </row>
    <row r="44" ht="18" customHeight="1">
      <c r="C44" s="181"/>
      <c r="D44" s="183"/>
      <c r="E44" s="183"/>
      <c r="F44" s="201"/>
      <c r="G44" s="181"/>
      <c r="H44" s="181"/>
      <c r="I44" s="181"/>
      <c r="J44" s="181"/>
      <c r="K44" s="181"/>
      <c r="L44" s="895"/>
      <c r="M44" s="895"/>
      <c r="N44" s="895"/>
      <c r="O44" s="895"/>
      <c r="P44" s="80"/>
      <c r="Q44" s="90"/>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86"/>
      <c r="AQ44" s="79"/>
      <c r="AR44" s="79"/>
    </row>
    <row r="45" ht="18" customHeight="1">
      <c r="C45" s="181"/>
      <c r="D45" s="183"/>
      <c r="E45" s="183"/>
      <c r="F45" s="201"/>
      <c r="G45" s="181"/>
      <c r="H45" s="181"/>
      <c r="I45" s="181"/>
      <c r="J45" s="181"/>
      <c r="K45" s="181"/>
      <c r="L45" s="895"/>
      <c r="M45" s="895"/>
      <c r="N45" s="895"/>
      <c r="O45" s="895"/>
      <c r="P45" s="80"/>
      <c r="Q45" s="90"/>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86"/>
      <c r="AQ45" s="79"/>
      <c r="AR45" s="79"/>
    </row>
    <row r="46" ht="18" customHeight="1">
      <c r="C46" s="181"/>
      <c r="D46" s="183"/>
      <c r="E46" s="183"/>
      <c r="F46" s="201"/>
      <c r="G46" s="181"/>
      <c r="H46" s="181"/>
      <c r="I46" s="181"/>
      <c r="J46" s="181"/>
      <c r="K46" s="181"/>
      <c r="L46" s="895"/>
      <c r="M46" s="895"/>
      <c r="N46" s="895"/>
      <c r="O46" s="895"/>
      <c r="P46" s="80"/>
      <c r="Q46" s="90"/>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86"/>
      <c r="AQ46" s="79"/>
      <c r="AR46" s="79"/>
    </row>
    <row r="47" ht="0" hidden="1" customHeight="1">
      <c r="C47" s="181"/>
      <c r="D47" s="183"/>
      <c r="E47" s="183"/>
      <c r="F47" s="201"/>
      <c r="G47" s="181"/>
      <c r="H47" s="181"/>
      <c r="I47" s="181"/>
      <c r="J47" s="181"/>
      <c r="K47" s="181"/>
      <c r="L47" s="895"/>
      <c r="M47" s="895"/>
      <c r="N47" s="895"/>
      <c r="O47" s="895"/>
      <c r="P47" s="80"/>
      <c r="Q47" s="90"/>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86"/>
      <c r="AQ47" s="79"/>
      <c r="AR47" s="79"/>
    </row>
    <row r="48" ht="0" hidden="1" customHeight="1">
      <c r="C48" s="181"/>
      <c r="D48" s="183"/>
      <c r="E48" s="183"/>
      <c r="F48" s="201"/>
      <c r="G48" s="181"/>
      <c r="H48" s="181"/>
      <c r="I48" s="181"/>
      <c r="J48" s="181"/>
      <c r="K48" s="181"/>
      <c r="L48" s="895"/>
      <c r="M48" s="895"/>
      <c r="N48" s="895"/>
      <c r="O48" s="895"/>
      <c r="P48" s="80"/>
      <c r="Q48" s="90"/>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86"/>
      <c r="AQ48" s="79"/>
      <c r="AR48" s="79"/>
    </row>
    <row r="49" ht="0" hidden="1" customHeight="1">
      <c r="C49" s="181"/>
      <c r="D49" s="183"/>
      <c r="E49" s="183"/>
      <c r="F49" s="201"/>
      <c r="G49" s="181"/>
      <c r="H49" s="181"/>
      <c r="I49" s="181"/>
      <c r="J49" s="181"/>
      <c r="K49" s="181"/>
      <c r="L49" s="895"/>
      <c r="M49" s="895"/>
      <c r="N49" s="895"/>
      <c r="O49" s="895"/>
      <c r="P49" s="80"/>
      <c r="Q49" s="90"/>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86"/>
      <c r="AQ49" s="79"/>
      <c r="AR49" s="79"/>
    </row>
    <row r="50" ht="0" hidden="1" customHeight="1">
      <c r="C50" s="181"/>
      <c r="D50" s="183"/>
      <c r="E50" s="183"/>
      <c r="F50" s="201"/>
      <c r="G50" s="181"/>
      <c r="H50" s="181"/>
      <c r="I50" s="181"/>
      <c r="J50" s="181"/>
      <c r="K50" s="181"/>
      <c r="L50" s="895"/>
      <c r="M50" s="895"/>
      <c r="N50" s="895"/>
      <c r="O50" s="895"/>
      <c r="P50" s="80"/>
      <c r="Q50" s="90"/>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86"/>
      <c r="AQ50" s="79"/>
      <c r="AR50" s="79"/>
    </row>
    <row r="51" ht="0" hidden="1" customHeight="1">
      <c r="C51" s="181"/>
      <c r="D51" s="183"/>
      <c r="E51" s="183"/>
      <c r="F51" s="201"/>
      <c r="G51" s="181"/>
      <c r="H51" s="181"/>
      <c r="I51" s="181"/>
      <c r="J51" s="181"/>
      <c r="K51" s="181"/>
      <c r="L51" s="895"/>
      <c r="M51" s="895"/>
      <c r="N51" s="895"/>
      <c r="O51" s="895"/>
      <c r="P51" s="80"/>
      <c r="Q51" s="90"/>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86"/>
      <c r="AQ51" s="79"/>
      <c r="AR51" s="79"/>
    </row>
    <row r="52" s="0" customFormat="1" ht="0" hidden="1" customHeight="1">
      <c r="B52" s="33"/>
      <c r="C52" s="181"/>
      <c r="D52" s="183"/>
      <c r="E52" s="183"/>
      <c r="F52" s="201"/>
      <c r="G52" s="181"/>
      <c r="H52" s="181"/>
      <c r="I52" s="181"/>
      <c r="J52" s="181"/>
      <c r="K52" s="181"/>
      <c r="L52" s="895"/>
      <c r="M52" s="895"/>
      <c r="N52" s="895"/>
      <c r="O52" s="895"/>
      <c r="P52" s="80"/>
      <c r="Q52" s="90"/>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33"/>
      <c r="C53" s="181"/>
      <c r="D53" s="183"/>
      <c r="E53" s="183"/>
      <c r="F53" s="201"/>
      <c r="G53" s="181"/>
      <c r="H53" s="181"/>
      <c r="I53" s="181"/>
      <c r="J53" s="181"/>
      <c r="K53" s="181"/>
      <c r="L53" s="895"/>
      <c r="M53" s="895"/>
      <c r="N53" s="895"/>
      <c r="O53" s="895"/>
      <c r="P53" s="80"/>
      <c r="Q53" s="90"/>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33"/>
      <c r="C54" s="181"/>
      <c r="D54" s="183"/>
      <c r="E54" s="183"/>
      <c r="F54" s="201"/>
      <c r="G54" s="181"/>
      <c r="H54" s="181"/>
      <c r="I54" s="181"/>
      <c r="J54" s="181"/>
      <c r="K54" s="181"/>
      <c r="L54" s="895"/>
      <c r="M54" s="895"/>
      <c r="N54" s="895"/>
      <c r="O54" s="895"/>
      <c r="P54" s="80"/>
      <c r="Q54" s="90"/>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33"/>
      <c r="C55" s="181"/>
      <c r="D55" s="183"/>
      <c r="E55" s="183"/>
      <c r="F55" s="201"/>
      <c r="G55" s="181"/>
      <c r="H55" s="181"/>
      <c r="I55" s="181"/>
      <c r="J55" s="181"/>
      <c r="K55" s="181"/>
      <c r="L55" s="895"/>
      <c r="M55" s="895"/>
      <c r="N55" s="895"/>
      <c r="O55" s="895"/>
      <c r="P55" s="80"/>
      <c r="Q55" s="90"/>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33"/>
      <c r="C56" s="181"/>
      <c r="D56" s="183"/>
      <c r="E56" s="183"/>
      <c r="F56" s="201"/>
      <c r="G56" s="181"/>
      <c r="H56" s="181"/>
      <c r="I56" s="181"/>
      <c r="J56" s="181"/>
      <c r="K56" s="181"/>
      <c r="L56" s="895"/>
      <c r="M56" s="895"/>
      <c r="N56" s="895"/>
      <c r="O56" s="895"/>
      <c r="P56" s="80"/>
      <c r="Q56" s="90"/>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33"/>
      <c r="C57" s="181"/>
      <c r="D57" s="183"/>
      <c r="E57" s="183"/>
      <c r="F57" s="201"/>
      <c r="G57" s="181"/>
      <c r="H57" s="181"/>
      <c r="I57" s="181"/>
      <c r="J57" s="181"/>
      <c r="K57" s="181"/>
      <c r="L57" s="895"/>
      <c r="M57" s="895"/>
      <c r="N57" s="895"/>
      <c r="O57" s="895"/>
      <c r="P57" s="80"/>
      <c r="Q57" s="90"/>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33"/>
      <c r="C58" s="181"/>
      <c r="D58" s="183"/>
      <c r="E58" s="183"/>
      <c r="F58" s="201"/>
      <c r="G58" s="181"/>
      <c r="H58" s="181"/>
      <c r="I58" s="181"/>
      <c r="J58" s="181"/>
      <c r="K58" s="181"/>
      <c r="L58" s="895"/>
      <c r="M58" s="895"/>
      <c r="N58" s="895"/>
      <c r="O58" s="895"/>
      <c r="P58" s="80"/>
      <c r="Q58" s="90"/>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3"/>
      <c r="E59" s="183"/>
      <c r="F59" s="201"/>
      <c r="G59" s="181"/>
      <c r="H59" s="181"/>
      <c r="I59" s="181"/>
      <c r="J59" s="181"/>
      <c r="K59" s="181"/>
      <c r="L59" s="895"/>
      <c r="M59" s="895"/>
      <c r="N59" s="895"/>
      <c r="O59" s="895"/>
      <c r="P59" s="80"/>
      <c r="Q59" s="90"/>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86"/>
      <c r="AQ59" s="79"/>
      <c r="AR59" s="79"/>
    </row>
    <row r="60" ht="0" hidden="1" customHeight="1">
      <c r="C60" s="181"/>
      <c r="D60" s="183"/>
      <c r="E60" s="183"/>
      <c r="F60" s="201"/>
      <c r="G60" s="181"/>
      <c r="H60" s="181"/>
      <c r="I60" s="181"/>
      <c r="J60" s="181"/>
      <c r="K60" s="181"/>
      <c r="L60" s="895"/>
      <c r="M60" s="895"/>
      <c r="N60" s="895"/>
      <c r="O60" s="895"/>
      <c r="P60" s="80"/>
      <c r="Q60" s="90"/>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86"/>
      <c r="AQ60" s="79"/>
      <c r="AR60" s="79"/>
    </row>
    <row r="61" ht="0" hidden="1" customHeight="1">
      <c r="C61" s="181"/>
      <c r="D61" s="183"/>
      <c r="E61" s="183"/>
      <c r="F61" s="201"/>
      <c r="G61" s="181"/>
      <c r="H61" s="181"/>
      <c r="I61" s="181"/>
      <c r="J61" s="181"/>
      <c r="K61" s="181"/>
      <c r="L61" s="895"/>
      <c r="M61" s="895"/>
      <c r="N61" s="895"/>
      <c r="O61" s="895"/>
      <c r="P61" s="80"/>
      <c r="Q61" s="90"/>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86"/>
      <c r="AQ61" s="79"/>
      <c r="AR61" s="79"/>
    </row>
    <row r="62" ht="0" hidden="1" customHeight="1">
      <c r="C62" s="181"/>
      <c r="D62" s="183"/>
      <c r="E62" s="183"/>
      <c r="F62" s="201"/>
      <c r="G62" s="181"/>
      <c r="H62" s="181"/>
      <c r="I62" s="181"/>
      <c r="J62" s="181"/>
      <c r="K62" s="181"/>
      <c r="L62" s="895"/>
      <c r="M62" s="895"/>
      <c r="N62" s="895"/>
      <c r="O62" s="895"/>
      <c r="P62" s="80"/>
      <c r="Q62" s="90"/>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86"/>
      <c r="AQ62" s="79"/>
      <c r="AR62" s="79"/>
    </row>
    <row r="63" ht="0" hidden="1" customHeight="1">
      <c r="C63" s="181"/>
      <c r="D63" s="183"/>
      <c r="E63" s="183"/>
      <c r="F63" s="201"/>
      <c r="G63" s="181"/>
      <c r="H63" s="181"/>
      <c r="I63" s="181"/>
      <c r="J63" s="181"/>
      <c r="K63" s="181"/>
      <c r="L63" s="895"/>
      <c r="M63" s="895"/>
      <c r="N63" s="895"/>
      <c r="O63" s="895"/>
      <c r="P63" s="80"/>
      <c r="Q63" s="90"/>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86"/>
      <c r="AQ63" s="79"/>
      <c r="AR63" s="79"/>
    </row>
    <row r="64" ht="0" hidden="1" customHeight="1">
      <c r="C64" s="181"/>
      <c r="D64" s="183"/>
      <c r="E64" s="183"/>
      <c r="F64" s="201"/>
      <c r="G64" s="181"/>
      <c r="H64" s="181"/>
      <c r="I64" s="181"/>
      <c r="J64" s="181"/>
      <c r="K64" s="181"/>
      <c r="L64" s="895"/>
      <c r="M64" s="895"/>
      <c r="N64" s="895"/>
      <c r="O64" s="895"/>
      <c r="P64" s="80"/>
      <c r="Q64" s="90"/>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86"/>
      <c r="AQ64" s="79"/>
      <c r="AR64" s="79"/>
    </row>
    <row r="65" ht="0" hidden="1" customHeight="1">
      <c r="C65" s="181"/>
      <c r="D65" s="183"/>
      <c r="E65" s="183"/>
      <c r="F65" s="201"/>
      <c r="G65" s="181"/>
      <c r="H65" s="181"/>
      <c r="I65" s="181"/>
      <c r="J65" s="181"/>
      <c r="K65" s="181"/>
      <c r="L65" s="895"/>
      <c r="M65" s="895"/>
      <c r="N65" s="895"/>
      <c r="O65" s="895"/>
      <c r="P65" s="80"/>
      <c r="Q65" s="90"/>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86"/>
      <c r="AQ65" s="79"/>
      <c r="AR65" s="79"/>
    </row>
    <row r="66" ht="0" hidden="1" customHeight="1">
      <c r="C66" s="181"/>
      <c r="D66" s="183"/>
      <c r="E66" s="183"/>
      <c r="F66" s="201"/>
      <c r="G66" s="181"/>
      <c r="H66" s="181"/>
      <c r="I66" s="181"/>
      <c r="J66" s="181"/>
      <c r="K66" s="181"/>
      <c r="L66" s="895"/>
      <c r="M66" s="895"/>
      <c r="N66" s="895"/>
      <c r="O66" s="895"/>
      <c r="P66" s="80"/>
      <c r="Q66" s="90"/>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86"/>
      <c r="AQ66" s="79"/>
      <c r="AR66" s="79"/>
    </row>
    <row r="67" ht="0" hidden="1" customHeight="1">
      <c r="C67" s="181"/>
      <c r="D67" s="183"/>
      <c r="E67" s="183"/>
      <c r="F67" s="201"/>
      <c r="G67" s="181"/>
      <c r="H67" s="181"/>
      <c r="I67" s="181"/>
      <c r="J67" s="181"/>
      <c r="K67" s="181"/>
      <c r="L67" s="895"/>
      <c r="M67" s="895"/>
      <c r="N67" s="895"/>
      <c r="O67" s="895"/>
      <c r="P67" s="80"/>
      <c r="Q67" s="90"/>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86"/>
      <c r="AQ67" s="79"/>
      <c r="AR67" s="79"/>
    </row>
    <row r="68" ht="0" hidden="1" customHeight="1">
      <c r="C68" s="181"/>
      <c r="D68" s="183"/>
      <c r="E68" s="183"/>
      <c r="F68" s="201"/>
      <c r="G68" s="181"/>
      <c r="H68" s="181"/>
      <c r="I68" s="181"/>
      <c r="J68" s="181"/>
      <c r="K68" s="181"/>
      <c r="L68" s="895"/>
      <c r="M68" s="895"/>
      <c r="N68" s="895"/>
      <c r="O68" s="895"/>
      <c r="P68" s="80"/>
      <c r="Q68" s="90"/>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86"/>
      <c r="AQ68" s="79"/>
      <c r="AR68" s="79"/>
    </row>
    <row r="69" ht="0" hidden="1" customHeight="1">
      <c r="C69" s="181"/>
      <c r="D69" s="183"/>
      <c r="E69" s="183"/>
      <c r="F69" s="201"/>
      <c r="G69" s="181"/>
      <c r="H69" s="181"/>
      <c r="I69" s="181"/>
      <c r="J69" s="181"/>
      <c r="K69" s="181"/>
      <c r="L69" s="895"/>
      <c r="M69" s="895"/>
      <c r="N69" s="895"/>
      <c r="O69" s="895"/>
      <c r="P69" s="80"/>
      <c r="Q69" s="90"/>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86"/>
      <c r="AQ69" s="79"/>
      <c r="AR69" s="79"/>
    </row>
    <row r="70" ht="0" hidden="1" customHeight="1">
      <c r="C70" s="181"/>
      <c r="D70" s="183"/>
      <c r="E70" s="183"/>
      <c r="F70" s="201"/>
      <c r="G70" s="181"/>
      <c r="H70" s="181"/>
      <c r="I70" s="181"/>
      <c r="J70" s="181"/>
      <c r="K70" s="181"/>
      <c r="L70" s="895"/>
      <c r="M70" s="895"/>
      <c r="N70" s="895"/>
      <c r="O70" s="895"/>
      <c r="P70" s="80"/>
      <c r="Q70" s="90"/>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86"/>
      <c r="AQ70" s="79"/>
      <c r="AR70" s="79"/>
    </row>
    <row r="71" ht="0" hidden="1" customHeight="1">
      <c r="C71" s="181"/>
      <c r="D71" s="183"/>
      <c r="E71" s="183"/>
      <c r="F71" s="201"/>
      <c r="G71" s="181"/>
      <c r="H71" s="181"/>
      <c r="I71" s="181"/>
      <c r="J71" s="181"/>
      <c r="K71" s="181"/>
      <c r="L71" s="895"/>
      <c r="M71" s="895"/>
      <c r="N71" s="895"/>
      <c r="O71" s="895"/>
      <c r="P71" s="80"/>
      <c r="Q71" s="90"/>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86"/>
      <c r="AQ71" s="79"/>
      <c r="AR71" s="79"/>
    </row>
    <row r="72" ht="0" hidden="1" customHeight="1">
      <c r="C72" s="181"/>
      <c r="D72" s="183"/>
      <c r="E72" s="183"/>
      <c r="F72" s="201"/>
      <c r="G72" s="181"/>
      <c r="H72" s="181"/>
      <c r="I72" s="181"/>
      <c r="J72" s="181"/>
      <c r="K72" s="181"/>
      <c r="L72" s="895"/>
      <c r="M72" s="895"/>
      <c r="N72" s="895"/>
      <c r="O72" s="895"/>
      <c r="P72" s="80"/>
      <c r="Q72" s="90"/>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86"/>
      <c r="AQ72" s="79"/>
      <c r="AR72" s="79"/>
    </row>
    <row r="73" ht="0" hidden="1" customHeight="1">
      <c r="C73" s="181"/>
      <c r="D73" s="183"/>
      <c r="E73" s="183"/>
      <c r="F73" s="201"/>
      <c r="G73" s="181"/>
      <c r="H73" s="181"/>
      <c r="I73" s="181"/>
      <c r="J73" s="181"/>
      <c r="K73" s="181"/>
      <c r="L73" s="895"/>
      <c r="M73" s="895"/>
      <c r="N73" s="895"/>
      <c r="O73" s="895"/>
      <c r="P73" s="80"/>
      <c r="Q73" s="90"/>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86"/>
      <c r="AQ73" s="79"/>
      <c r="AR73" s="79"/>
    </row>
    <row r="74" ht="0" hidden="1" customHeight="1">
      <c r="C74" s="181"/>
      <c r="D74" s="183"/>
      <c r="E74" s="183"/>
      <c r="F74" s="201"/>
      <c r="G74" s="181"/>
      <c r="H74" s="181"/>
      <c r="I74" s="181"/>
      <c r="J74" s="181"/>
      <c r="K74" s="181"/>
      <c r="L74" s="895"/>
      <c r="M74" s="895"/>
      <c r="N74" s="895"/>
      <c r="O74" s="895"/>
      <c r="P74" s="80"/>
      <c r="Q74" s="90"/>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86"/>
      <c r="AQ74" s="79"/>
      <c r="AR74" s="79"/>
    </row>
    <row r="75" ht="0" hidden="1" customHeight="1">
      <c r="C75" s="181"/>
      <c r="D75" s="183"/>
      <c r="E75" s="183"/>
      <c r="F75" s="201"/>
      <c r="G75" s="181"/>
      <c r="H75" s="181"/>
      <c r="I75" s="181"/>
      <c r="J75" s="181"/>
      <c r="K75" s="181"/>
      <c r="L75" s="895"/>
      <c r="M75" s="895"/>
      <c r="N75" s="895"/>
      <c r="O75" s="895"/>
      <c r="P75" s="80"/>
      <c r="Q75" s="90"/>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86"/>
      <c r="AQ75" s="79"/>
      <c r="AR75" s="79"/>
    </row>
    <row r="76" ht="0" hidden="1" customHeight="1">
      <c r="C76" s="181"/>
      <c r="D76" s="183"/>
      <c r="E76" s="183"/>
      <c r="F76" s="201"/>
      <c r="G76" s="181"/>
      <c r="H76" s="181"/>
      <c r="I76" s="181"/>
      <c r="J76" s="181"/>
      <c r="K76" s="181"/>
      <c r="L76" s="895"/>
      <c r="M76" s="895"/>
      <c r="N76" s="895"/>
      <c r="O76" s="895"/>
      <c r="P76" s="80"/>
      <c r="Q76" s="90"/>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86"/>
      <c r="AQ76" s="79"/>
      <c r="AR76" s="79"/>
    </row>
    <row r="77" ht="0" hidden="1" customHeight="1">
      <c r="C77" s="181"/>
      <c r="D77" s="183"/>
      <c r="E77" s="183"/>
      <c r="F77" s="201"/>
      <c r="G77" s="181"/>
      <c r="H77" s="181"/>
      <c r="I77" s="181"/>
      <c r="J77" s="181"/>
      <c r="K77" s="181"/>
      <c r="L77" s="895"/>
      <c r="M77" s="895"/>
      <c r="N77" s="895"/>
      <c r="O77" s="895"/>
      <c r="P77" s="80"/>
      <c r="Q77" s="90"/>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86"/>
      <c r="AQ77" s="79"/>
      <c r="AR77" s="79"/>
    </row>
    <row r="78" ht="0" hidden="1" customHeight="1">
      <c r="C78" s="181"/>
      <c r="D78" s="183"/>
      <c r="E78" s="183"/>
      <c r="F78" s="201"/>
      <c r="G78" s="181"/>
      <c r="H78" s="181"/>
      <c r="I78" s="181"/>
      <c r="J78" s="181"/>
      <c r="K78" s="181"/>
      <c r="L78" s="895"/>
      <c r="M78" s="895"/>
      <c r="N78" s="895"/>
      <c r="O78" s="895"/>
      <c r="P78" s="80"/>
      <c r="Q78" s="90"/>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86"/>
      <c r="AQ78" s="79"/>
      <c r="AR78" s="79"/>
    </row>
    <row r="79" ht="0" hidden="1" customHeight="1">
      <c r="C79" s="181"/>
      <c r="D79" s="183"/>
      <c r="E79" s="183"/>
      <c r="F79" s="201"/>
      <c r="G79" s="181"/>
      <c r="H79" s="181"/>
      <c r="I79" s="181"/>
      <c r="J79" s="181"/>
      <c r="K79" s="181"/>
      <c r="L79" s="895"/>
      <c r="M79" s="895"/>
      <c r="N79" s="895"/>
      <c r="O79" s="895"/>
      <c r="P79" s="80"/>
      <c r="Q79" s="90"/>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86"/>
      <c r="AQ79" s="79"/>
      <c r="AR79" s="79"/>
    </row>
    <row r="80" ht="0" hidden="1" customHeight="1">
      <c r="C80" s="181"/>
      <c r="D80" s="183"/>
      <c r="E80" s="183"/>
      <c r="F80" s="201"/>
      <c r="G80" s="181"/>
      <c r="H80" s="181"/>
      <c r="I80" s="181"/>
      <c r="J80" s="181"/>
      <c r="K80" s="181"/>
      <c r="L80" s="895"/>
      <c r="M80" s="895"/>
      <c r="N80" s="895"/>
      <c r="O80" s="895"/>
      <c r="P80" s="80"/>
      <c r="Q80" s="90"/>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86"/>
      <c r="AQ80" s="79"/>
      <c r="AR80" s="79"/>
    </row>
    <row r="81" ht="0" hidden="1" customHeight="1">
      <c r="C81" s="181"/>
      <c r="D81" s="183"/>
      <c r="E81" s="183"/>
      <c r="F81" s="201"/>
      <c r="G81" s="181"/>
      <c r="H81" s="181"/>
      <c r="I81" s="181"/>
      <c r="J81" s="181"/>
      <c r="K81" s="181"/>
      <c r="L81" s="895"/>
      <c r="M81" s="895"/>
      <c r="N81" s="895"/>
      <c r="O81" s="895"/>
      <c r="P81" s="80"/>
      <c r="Q81" s="90"/>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86"/>
      <c r="AQ81" s="79"/>
      <c r="AR81" s="79"/>
    </row>
    <row r="82" ht="0" hidden="1" customHeight="1">
      <c r="C82" s="181"/>
      <c r="D82" s="183"/>
      <c r="E82" s="183"/>
      <c r="F82" s="201"/>
      <c r="G82" s="181"/>
      <c r="H82" s="181"/>
      <c r="I82" s="181"/>
      <c r="J82" s="181"/>
      <c r="K82" s="181"/>
      <c r="L82" s="895"/>
      <c r="M82" s="895"/>
      <c r="N82" s="895"/>
      <c r="O82" s="895"/>
      <c r="P82" s="80"/>
      <c r="Q82" s="90"/>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86"/>
      <c r="AQ82" s="79"/>
      <c r="AR82" s="79"/>
    </row>
    <row r="83" ht="0" hidden="1" customHeight="1">
      <c r="C83" s="181"/>
      <c r="D83" s="183"/>
      <c r="E83" s="183"/>
      <c r="F83" s="201"/>
      <c r="G83" s="181"/>
      <c r="H83" s="181"/>
      <c r="I83" s="181"/>
      <c r="J83" s="181"/>
      <c r="K83" s="181"/>
      <c r="L83" s="895"/>
      <c r="M83" s="895"/>
      <c r="N83" s="895"/>
      <c r="O83" s="895"/>
      <c r="P83" s="80"/>
      <c r="Q83" s="90"/>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86"/>
      <c r="AQ83" s="79"/>
      <c r="AR83" s="79"/>
    </row>
    <row r="84" ht="0" hidden="1" customHeight="1">
      <c r="C84" s="181"/>
      <c r="D84" s="183"/>
      <c r="E84" s="183"/>
      <c r="F84" s="201"/>
      <c r="G84" s="181"/>
      <c r="H84" s="181"/>
      <c r="I84" s="181"/>
      <c r="J84" s="181"/>
      <c r="K84" s="181"/>
      <c r="L84" s="895"/>
      <c r="M84" s="895"/>
      <c r="N84" s="895"/>
      <c r="O84" s="895"/>
      <c r="P84" s="80"/>
      <c r="Q84" s="90"/>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86"/>
      <c r="AQ84" s="79"/>
      <c r="AR84" s="79"/>
    </row>
    <row r="85" ht="0" hidden="1" customHeight="1">
      <c r="C85" s="181"/>
      <c r="D85" s="183"/>
      <c r="E85" s="183"/>
      <c r="F85" s="201"/>
      <c r="G85" s="181"/>
      <c r="H85" s="181"/>
      <c r="I85" s="181"/>
      <c r="J85" s="181"/>
      <c r="K85" s="181"/>
      <c r="L85" s="895"/>
      <c r="M85" s="895"/>
      <c r="N85" s="895"/>
      <c r="O85" s="895"/>
      <c r="P85" s="80"/>
      <c r="Q85" s="90"/>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86"/>
      <c r="AQ85" s="79"/>
      <c r="AR85" s="79"/>
    </row>
    <row r="86" ht="0" hidden="1" customHeight="1">
      <c r="C86" s="181"/>
      <c r="D86" s="183"/>
      <c r="E86" s="183"/>
      <c r="F86" s="201"/>
      <c r="G86" s="181"/>
      <c r="H86" s="181"/>
      <c r="I86" s="181"/>
      <c r="J86" s="181"/>
      <c r="K86" s="181"/>
      <c r="L86" s="895"/>
      <c r="M86" s="895"/>
      <c r="N86" s="895"/>
      <c r="O86" s="895"/>
      <c r="P86" s="80"/>
      <c r="Q86" s="90"/>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86"/>
      <c r="AQ86" s="79"/>
      <c r="AR86" s="79"/>
    </row>
    <row r="87" ht="0" hidden="1" customHeight="1">
      <c r="C87" s="181"/>
      <c r="D87" s="183"/>
      <c r="E87" s="183"/>
      <c r="F87" s="201"/>
      <c r="G87" s="181"/>
      <c r="H87" s="181"/>
      <c r="I87" s="181"/>
      <c r="J87" s="181"/>
      <c r="K87" s="181"/>
      <c r="L87" s="895"/>
      <c r="M87" s="895"/>
      <c r="N87" s="895"/>
      <c r="O87" s="895"/>
      <c r="P87" s="80"/>
      <c r="Q87" s="90"/>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86"/>
      <c r="AQ87" s="79"/>
      <c r="AR87" s="79"/>
    </row>
    <row r="88" ht="0" hidden="1" customHeight="1">
      <c r="C88" s="181"/>
      <c r="D88" s="183"/>
      <c r="E88" s="183"/>
      <c r="F88" s="201"/>
      <c r="G88" s="181"/>
      <c r="H88" s="181"/>
      <c r="I88" s="181"/>
      <c r="J88" s="181"/>
      <c r="K88" s="181"/>
      <c r="L88" s="895"/>
      <c r="M88" s="895"/>
      <c r="N88" s="895"/>
      <c r="O88" s="895"/>
      <c r="P88" s="80"/>
      <c r="Q88" s="90"/>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86"/>
      <c r="AQ88" s="79"/>
      <c r="AR88" s="79"/>
    </row>
    <row r="89" ht="0" hidden="1" customHeight="1">
      <c r="C89" s="181"/>
      <c r="D89" s="183"/>
      <c r="E89" s="183"/>
      <c r="F89" s="201"/>
      <c r="G89" s="181"/>
      <c r="H89" s="181"/>
      <c r="I89" s="181"/>
      <c r="J89" s="181"/>
      <c r="K89" s="181"/>
      <c r="L89" s="895"/>
      <c r="M89" s="895"/>
      <c r="N89" s="895"/>
      <c r="O89" s="895"/>
      <c r="P89" s="80"/>
      <c r="Q89" s="90"/>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86"/>
      <c r="AQ89" s="79"/>
      <c r="AR89" s="79"/>
    </row>
    <row r="90" ht="0" hidden="1" customHeight="1">
      <c r="C90" s="181"/>
      <c r="D90" s="183"/>
      <c r="E90" s="183"/>
      <c r="F90" s="201"/>
      <c r="G90" s="181"/>
      <c r="H90" s="181"/>
      <c r="I90" s="181"/>
      <c r="J90" s="181"/>
      <c r="K90" s="181"/>
      <c r="L90" s="895"/>
      <c r="M90" s="895"/>
      <c r="N90" s="895"/>
      <c r="O90" s="895"/>
      <c r="P90" s="80"/>
      <c r="Q90" s="90"/>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86"/>
      <c r="AQ90" s="79"/>
      <c r="AR90" s="79"/>
    </row>
    <row r="91" ht="0" hidden="1" customHeight="1">
      <c r="C91" s="181"/>
      <c r="D91" s="183"/>
      <c r="E91" s="183"/>
      <c r="F91" s="201"/>
      <c r="G91" s="181"/>
      <c r="H91" s="181"/>
      <c r="I91" s="181"/>
      <c r="J91" s="181"/>
      <c r="K91" s="181"/>
      <c r="L91" s="895"/>
      <c r="M91" s="895"/>
      <c r="N91" s="895"/>
      <c r="O91" s="895"/>
      <c r="P91" s="80"/>
      <c r="Q91" s="90"/>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86"/>
      <c r="AQ91" s="79"/>
      <c r="AR91" s="79"/>
    </row>
    <row r="92" ht="0" hidden="1" customHeight="1">
      <c r="C92" s="181"/>
      <c r="D92" s="183"/>
      <c r="E92" s="183"/>
      <c r="F92" s="201"/>
      <c r="G92" s="181"/>
      <c r="H92" s="181"/>
      <c r="I92" s="181"/>
      <c r="J92" s="181"/>
      <c r="K92" s="181"/>
      <c r="L92" s="895"/>
      <c r="M92" s="895"/>
      <c r="N92" s="895"/>
      <c r="O92" s="895"/>
      <c r="P92" s="80"/>
      <c r="Q92" s="90"/>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86"/>
      <c r="AQ92" s="79"/>
      <c r="AR92" s="79"/>
    </row>
    <row r="93" ht="0" hidden="1" customHeight="1">
      <c r="C93" s="181"/>
      <c r="D93" s="183"/>
      <c r="E93" s="183"/>
      <c r="F93" s="201"/>
      <c r="G93" s="181"/>
      <c r="H93" s="181"/>
      <c r="I93" s="181"/>
      <c r="J93" s="181"/>
      <c r="K93" s="181"/>
      <c r="L93" s="895"/>
      <c r="M93" s="895"/>
      <c r="N93" s="895"/>
      <c r="O93" s="895"/>
      <c r="P93" s="80"/>
      <c r="Q93" s="90"/>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86"/>
      <c r="AQ93" s="79"/>
      <c r="AR93" s="79"/>
    </row>
    <row r="94" ht="0" hidden="1" customHeight="1">
      <c r="C94" s="181"/>
      <c r="D94" s="183"/>
      <c r="E94" s="183"/>
      <c r="F94" s="201"/>
      <c r="G94" s="181"/>
      <c r="H94" s="181"/>
      <c r="I94" s="181"/>
      <c r="J94" s="181"/>
      <c r="K94" s="181"/>
      <c r="L94" s="895"/>
      <c r="M94" s="895"/>
      <c r="N94" s="895"/>
      <c r="O94" s="895"/>
      <c r="P94" s="80"/>
      <c r="Q94" s="90"/>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86"/>
      <c r="AQ94" s="79"/>
      <c r="AR94" s="79"/>
    </row>
    <row r="95" ht="0" hidden="1" customHeight="1">
      <c r="C95" s="181"/>
      <c r="D95" s="183"/>
      <c r="E95" s="183"/>
      <c r="F95" s="201"/>
      <c r="G95" s="181"/>
      <c r="H95" s="181"/>
      <c r="I95" s="181"/>
      <c r="J95" s="181"/>
      <c r="K95" s="181"/>
      <c r="L95" s="895"/>
      <c r="M95" s="895"/>
      <c r="N95" s="895"/>
      <c r="O95" s="895"/>
      <c r="P95" s="80"/>
      <c r="Q95" s="90"/>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86"/>
      <c r="AQ95" s="79"/>
      <c r="AR95" s="79"/>
    </row>
    <row r="96" ht="0" hidden="1" customHeight="1">
      <c r="C96" s="181"/>
      <c r="D96" s="183"/>
      <c r="E96" s="183"/>
      <c r="F96" s="201"/>
      <c r="G96" s="181"/>
      <c r="H96" s="181"/>
      <c r="I96" s="181"/>
      <c r="J96" s="181"/>
      <c r="K96" s="181"/>
      <c r="L96" s="895"/>
      <c r="M96" s="895"/>
      <c r="N96" s="895"/>
      <c r="O96" s="895"/>
      <c r="P96" s="80"/>
      <c r="Q96" s="90"/>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86"/>
      <c r="AQ96" s="79"/>
      <c r="AR96" s="79"/>
    </row>
    <row r="97" ht="0" hidden="1" customHeight="1">
      <c r="C97" s="181"/>
      <c r="D97" s="183"/>
      <c r="E97" s="183"/>
      <c r="F97" s="201"/>
      <c r="G97" s="181"/>
      <c r="H97" s="181"/>
      <c r="I97" s="181"/>
      <c r="J97" s="181"/>
      <c r="K97" s="181"/>
      <c r="L97" s="895"/>
      <c r="M97" s="895"/>
      <c r="N97" s="895"/>
      <c r="O97" s="895"/>
      <c r="P97" s="80"/>
      <c r="Q97" s="90"/>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86"/>
      <c r="AQ97" s="79"/>
      <c r="AR97" s="79"/>
    </row>
    <row r="98" ht="0" hidden="1" customHeight="1">
      <c r="C98" s="181"/>
      <c r="D98" s="183"/>
      <c r="E98" s="183"/>
      <c r="F98" s="201"/>
      <c r="G98" s="181"/>
      <c r="H98" s="181"/>
      <c r="I98" s="181"/>
      <c r="J98" s="181"/>
      <c r="K98" s="181"/>
      <c r="L98" s="895"/>
      <c r="M98" s="895"/>
      <c r="N98" s="895"/>
      <c r="O98" s="895"/>
      <c r="P98" s="80"/>
      <c r="Q98" s="90"/>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86"/>
      <c r="AQ98" s="79"/>
      <c r="AR98" s="79"/>
    </row>
    <row r="99" ht="0" hidden="1" customHeight="1">
      <c r="C99" s="181"/>
      <c r="D99" s="183"/>
      <c r="E99" s="183"/>
      <c r="F99" s="201"/>
      <c r="G99" s="181"/>
      <c r="H99" s="181"/>
      <c r="I99" s="181"/>
      <c r="J99" s="181"/>
      <c r="K99" s="181"/>
      <c r="L99" s="895"/>
      <c r="M99" s="895"/>
      <c r="N99" s="895"/>
      <c r="O99" s="895"/>
      <c r="P99" s="80"/>
      <c r="Q99" s="90"/>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86"/>
      <c r="AQ99" s="79"/>
      <c r="AR99" s="79"/>
    </row>
    <row r="100" ht="0" hidden="1" customHeight="1">
      <c r="C100" s="181"/>
      <c r="D100" s="183"/>
      <c r="E100" s="183"/>
      <c r="F100" s="201"/>
      <c r="G100" s="181"/>
      <c r="H100" s="181"/>
      <c r="I100" s="181"/>
      <c r="J100" s="181"/>
      <c r="K100" s="181"/>
      <c r="L100" s="895"/>
      <c r="M100" s="895"/>
      <c r="N100" s="895"/>
      <c r="O100" s="895"/>
      <c r="P100" s="80"/>
      <c r="Q100" s="90"/>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86"/>
      <c r="AQ100" s="48"/>
      <c r="AR100" s="48"/>
    </row>
    <row r="101" ht="0" hidden="1" customHeight="1">
      <c r="C101" s="181"/>
      <c r="D101" s="183"/>
      <c r="E101" s="183"/>
      <c r="F101" s="201"/>
      <c r="G101" s="181"/>
      <c r="H101" s="181"/>
      <c r="I101" s="181"/>
      <c r="J101" s="181"/>
      <c r="K101" s="181"/>
      <c r="L101" s="895"/>
      <c r="M101" s="895"/>
      <c r="N101" s="895"/>
      <c r="O101" s="895"/>
      <c r="P101" s="80"/>
      <c r="Q101" s="54"/>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79"/>
      <c r="AR101" s="79"/>
    </row>
    <row r="102" ht="18" customHeight="1">
      <c r="C102" s="181"/>
      <c r="D102" s="183"/>
      <c r="E102" s="183"/>
      <c r="F102" s="201"/>
      <c r="G102" s="181"/>
      <c r="H102" s="181"/>
      <c r="I102" s="181"/>
      <c r="J102" s="181"/>
      <c r="K102" s="181"/>
      <c r="L102" s="895"/>
      <c r="M102" s="895"/>
      <c r="N102" s="895"/>
      <c r="O102" s="895"/>
      <c r="P102" s="80"/>
      <c r="Q102" s="54"/>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79"/>
      <c r="AR102" s="79"/>
    </row>
    <row r="103" ht="18" customHeight="1">
      <c r="C103" s="181"/>
      <c r="D103" s="183"/>
      <c r="E103" s="183"/>
      <c r="F103" s="201"/>
      <c r="G103" s="181"/>
      <c r="H103" s="181"/>
      <c r="I103" s="181"/>
      <c r="J103" s="181"/>
      <c r="K103" s="181"/>
      <c r="L103" s="895"/>
      <c r="M103" s="895"/>
      <c r="N103" s="895"/>
      <c r="O103" s="895"/>
      <c r="P103" s="80"/>
      <c r="Q103" s="54"/>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ht="9" customHeight="1">
      <c r="E104" s="81"/>
      <c r="F104" s="202"/>
      <c r="R104" s="47"/>
      <c r="S104" s="47"/>
      <c r="T104" s="47"/>
      <c r="U104" s="47"/>
      <c r="V104" s="47"/>
      <c r="W104" s="47"/>
      <c r="X104" s="47"/>
      <c r="Y104" s="47"/>
      <c r="Z104" s="87"/>
      <c r="AA104" s="47"/>
      <c r="AB104" s="47"/>
      <c r="AC104" s="88"/>
      <c r="AD104" s="88"/>
      <c r="AE104" s="88"/>
      <c r="AF104" s="83"/>
      <c r="AG104" s="47"/>
      <c r="AH104" s="47"/>
      <c r="AI104" s="47"/>
      <c r="AJ104" s="88"/>
      <c r="AK104" s="47"/>
      <c r="AL104" s="47"/>
      <c r="AM104" s="47"/>
      <c r="AN104" s="47"/>
      <c r="AO104" s="47"/>
      <c r="AP104" s="47"/>
    </row>
    <row r="105" ht="39.95" customHeight="1">
      <c r="B105" s="34"/>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5"/>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V21"/>
    <mergeCell ref="W21:AH21"/>
    <mergeCell ref="AI21:AO21"/>
    <mergeCell ref="H31:K31"/>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83" display="For all STR definitions, please click here or visit www.str.com/data-insights/resources/glossary"/>
    <hyperlink ref="A14:I14" r:id="rId84" display="For the latest in industry news, visit HotelNewsNow.com."/>
    <hyperlink ref="A15:I15" r:id="rId85" display="To learn more about the Hotel Data Conference, visit HotelDataConference.com."/>
    <hyperlink ref="A9:F9" r:id="rId86" display="For all STR FAQs, please click here or visit www.str.com/data-insights/resources/FAQ"/>
    <hyperlink ref="A12:E12" r:id="rId87"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8"/>
      <c r="AB1" s="998"/>
      <c r="AC1" s="998"/>
      <c r="AD1" s="998"/>
      <c r="AE1" s="998"/>
      <c r="AF1" s="998"/>
      <c r="AH1" s="236"/>
    </row>
    <row r="2" ht="20.1" customHeight="1">
      <c r="A2" s="6"/>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171</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2024</v>
      </c>
      <c r="D19" s="1002"/>
      <c r="E19" s="1002"/>
      <c r="F19" s="1002"/>
      <c r="G19" s="1002"/>
      <c r="H19" s="1002"/>
      <c r="I19" s="1002"/>
      <c r="J19" s="1002"/>
      <c r="K19" s="1002"/>
      <c r="L19" s="1002"/>
      <c r="M19" s="1002"/>
      <c r="N19" s="1002">
        <v>2025</v>
      </c>
      <c r="O19" s="1002"/>
      <c r="P19" s="1002"/>
      <c r="Q19" s="1002"/>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180</v>
      </c>
      <c r="D20" s="269" t="s">
        <v>183</v>
      </c>
      <c r="E20" s="269" t="s">
        <v>186</v>
      </c>
      <c r="F20" s="269" t="s">
        <v>187</v>
      </c>
      <c r="G20" s="269" t="s">
        <v>188</v>
      </c>
      <c r="H20" s="269" t="s">
        <v>189</v>
      </c>
      <c r="I20" s="269" t="s">
        <v>190</v>
      </c>
      <c r="J20" s="269" t="s">
        <v>191</v>
      </c>
      <c r="K20" s="269" t="s">
        <v>192</v>
      </c>
      <c r="L20" s="269" t="s">
        <v>193</v>
      </c>
      <c r="M20" s="1005" t="s">
        <v>195</v>
      </c>
      <c r="N20" s="269" t="s">
        <v>196</v>
      </c>
      <c r="O20" s="269" t="s">
        <v>180</v>
      </c>
      <c r="P20" s="269" t="s">
        <v>183</v>
      </c>
      <c r="Q20" s="269" t="s">
        <v>186</v>
      </c>
      <c r="R20" s="269" t="s">
        <v>187</v>
      </c>
      <c r="S20" s="269" t="s">
        <v>188</v>
      </c>
      <c r="T20" s="1005" t="s">
        <v>189</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43.900630329996292176492398960</v>
      </c>
      <c r="D21" s="574">
        <v>45.005202913631633714880332990</v>
      </c>
      <c r="E21" s="574">
        <v>40.412186379928315412186379930</v>
      </c>
      <c r="F21" s="574">
        <v>37.911897329171002428026361430</v>
      </c>
      <c r="G21" s="574">
        <v>35.017921146953405017921146950</v>
      </c>
      <c r="H21" s="574">
        <v>36.368366285119667013527575440</v>
      </c>
      <c r="I21" s="574">
        <v>34.356573014221297259798820670</v>
      </c>
      <c r="J21" s="574">
        <v>52.634408602150537634408602150</v>
      </c>
      <c r="K21" s="574">
        <v>42.195629552549427679500520290</v>
      </c>
      <c r="L21" s="574">
        <v>33.100358422939068100358422940</v>
      </c>
      <c r="M21" s="1006">
        <v>24.557752341311134235171696150</v>
      </c>
      <c r="N21" s="574">
        <v>26.517516475893166840097121050</v>
      </c>
      <c r="O21" s="574">
        <v>42.108294930875576036866359450</v>
      </c>
      <c r="P21" s="574">
        <v>45.334720776968435657301422130</v>
      </c>
      <c r="Q21" s="574">
        <v>34.175627240143369175627240140</v>
      </c>
      <c r="R21" s="574">
        <v>39.472771418661116892126257370</v>
      </c>
      <c r="S21" s="574">
        <v>40.860215053763440860215053760</v>
      </c>
      <c r="T21" s="1006">
        <v>36.628511966701352757544224770</v>
      </c>
      <c r="U21" s="113"/>
      <c r="V21" s="573">
        <v>48.085311422195171434368025970</v>
      </c>
      <c r="W21" s="574">
        <v>39.461860770356908475945277400</v>
      </c>
      <c r="X21" s="575">
        <v>37.814465408805031446540880500</v>
      </c>
      <c r="Y21" s="113"/>
      <c r="Z21" s="573">
        <v>52.360916316035530621785881250</v>
      </c>
      <c r="AA21" s="574">
        <v>36.448106591865357643758765780</v>
      </c>
      <c r="AB21" s="575">
        <v>38.966806919121084618980832160</v>
      </c>
      <c r="AC21" s="113"/>
      <c r="AD21" s="573">
        <v>44.181764619237001031079687730</v>
      </c>
      <c r="AE21" s="574">
        <v>42.194018449967683177625007340</v>
      </c>
      <c r="AF21" s="575">
        <v>37.597584327588746501693916630</v>
      </c>
      <c r="AG21" s="113"/>
    </row>
    <row r="22" ht="21.95" customHeight="1">
      <c r="B22" s="38" t="s">
        <v>35</v>
      </c>
      <c r="C22" s="271">
        <v>61.834000127008296961325966850</v>
      </c>
      <c r="D22" s="92">
        <v>58.801164379492663221053882260</v>
      </c>
      <c r="E22" s="92">
        <v>56.255371393492940454266421120</v>
      </c>
      <c r="F22" s="92">
        <v>53.359472464801283193726608450</v>
      </c>
      <c r="G22" s="92">
        <v>56.488643339472068753836709640</v>
      </c>
      <c r="H22" s="92">
        <v>54.826828254024832174894552370</v>
      </c>
      <c r="I22" s="92">
        <v>46.266262698271252896096952410</v>
      </c>
      <c r="J22" s="92">
        <v>47.391037446286065070595457340</v>
      </c>
      <c r="K22" s="92">
        <v>53.478286698746509831877858970</v>
      </c>
      <c r="L22" s="92">
        <v>50.122774708410067526089625540</v>
      </c>
      <c r="M22" s="1007">
        <v>42.060238816610229905542684010</v>
      </c>
      <c r="N22" s="92">
        <v>42.802827778767896393987999760</v>
      </c>
      <c r="O22" s="92">
        <v>59.359379110760326229939489610</v>
      </c>
      <c r="P22" s="92">
        <v>54.574348006891225568823145010</v>
      </c>
      <c r="Q22" s="92">
        <v>51.829343155310006138735420500</v>
      </c>
      <c r="R22" s="92">
        <v>54.803065407235786847264302260</v>
      </c>
      <c r="S22" s="92">
        <v>59.800491098833640270104358500</v>
      </c>
      <c r="T22" s="1007">
        <v>60.348719776629240182973920280</v>
      </c>
      <c r="U22" s="113"/>
      <c r="V22" s="271">
        <v>55.654296535668369297056881750</v>
      </c>
      <c r="W22" s="92">
        <v>55.462525955827462272837833150</v>
      </c>
      <c r="X22" s="272">
        <v>54.713940720664373327773723900</v>
      </c>
      <c r="Y22" s="113"/>
      <c r="Z22" s="271">
        <v>59.389262551044919529185683400</v>
      </c>
      <c r="AA22" s="92">
        <v>54.874289374649691728721274720</v>
      </c>
      <c r="AB22" s="272">
        <v>58.301305148530707022179517970</v>
      </c>
      <c r="AC22" s="113"/>
      <c r="AD22" s="271">
        <v>52.474078558994929236358132140</v>
      </c>
      <c r="AE22" s="92">
        <v>52.599329639653039415726935590</v>
      </c>
      <c r="AF22" s="272">
        <v>51.837584197381366835692121400</v>
      </c>
      <c r="AG22" s="113"/>
    </row>
    <row r="23" ht="21.95" customHeight="1">
      <c r="B23" s="40" t="s">
        <v>97</v>
      </c>
      <c r="C23" s="576">
        <v>70.997558365671625727090976300</v>
      </c>
      <c r="D23" s="113">
        <v>76.537945104573324505998837860</v>
      </c>
      <c r="E23" s="113">
        <v>71.837027076489485539434544540</v>
      </c>
      <c r="F23" s="113">
        <v>71.049985275211626660853616970</v>
      </c>
      <c r="G23" s="113">
        <v>61.991081882589535787803705870</v>
      </c>
      <c r="H23" s="113">
        <v>66.333157403586155318740564260</v>
      </c>
      <c r="I23" s="113">
        <v>74.258371025684098679609689650</v>
      </c>
      <c r="J23" s="113">
        <v>111.06405649336530345288551681</v>
      </c>
      <c r="K23" s="113">
        <v>78.902358615716756575720362640</v>
      </c>
      <c r="L23" s="113">
        <v>66.038559548044791499387324330</v>
      </c>
      <c r="M23" s="1008">
        <v>58.387096774207749316566433200</v>
      </c>
      <c r="N23" s="113">
        <v>61.952721004632183888278390880</v>
      </c>
      <c r="O23" s="113">
        <v>70.937896523945081514978802480</v>
      </c>
      <c r="P23" s="113">
        <v>83.06965164519533919815761010</v>
      </c>
      <c r="Q23" s="113">
        <v>65.938762020850759688861983730</v>
      </c>
      <c r="R23" s="113">
        <v>72.026575749675497966122204390</v>
      </c>
      <c r="S23" s="113">
        <v>68.327557688875520877589515330</v>
      </c>
      <c r="T23" s="1008">
        <v>60.694762212509977908879451660</v>
      </c>
      <c r="U23" s="113"/>
      <c r="V23" s="576">
        <v>86.39999859013647210092630572</v>
      </c>
      <c r="W23" s="113">
        <v>71.150493220964055044321980090</v>
      </c>
      <c r="X23" s="577">
        <v>69.113035746845105322388054020</v>
      </c>
      <c r="Y23" s="113"/>
      <c r="Z23" s="576">
        <v>88.16562803936327769975357014</v>
      </c>
      <c r="AA23" s="113">
        <v>66.421099949107162435222322970</v>
      </c>
      <c r="AB23" s="577">
        <v>66.836937560605602810231283820</v>
      </c>
      <c r="AC23" s="113"/>
      <c r="AD23" s="576">
        <v>84.19731385956703528187757869</v>
      </c>
      <c r="AE23" s="113">
        <v>80.21778744898912468339962424</v>
      </c>
      <c r="AF23" s="577">
        <v>72.529584296242176527578639010</v>
      </c>
      <c r="AG23" s="113"/>
    </row>
    <row r="24" ht="21.95" customHeight="1">
      <c r="A24" s="23"/>
      <c r="B24" s="39" t="s">
        <v>23</v>
      </c>
      <c r="C24" s="273" t="s">
        <v>181</v>
      </c>
      <c r="D24" s="274" t="s">
        <v>184</v>
      </c>
      <c r="E24" s="274" t="s">
        <v>181</v>
      </c>
      <c r="F24" s="274" t="s">
        <v>181</v>
      </c>
      <c r="G24" s="274" t="s">
        <v>181</v>
      </c>
      <c r="H24" s="274" t="s">
        <v>181</v>
      </c>
      <c r="I24" s="274" t="s">
        <v>184</v>
      </c>
      <c r="J24" s="274" t="s">
        <v>182</v>
      </c>
      <c r="K24" s="274" t="s">
        <v>184</v>
      </c>
      <c r="L24" s="274" t="s">
        <v>181</v>
      </c>
      <c r="M24" s="1009" t="s">
        <v>181</v>
      </c>
      <c r="N24" s="274" t="s">
        <v>181</v>
      </c>
      <c r="O24" s="274" t="s">
        <v>181</v>
      </c>
      <c r="P24" s="274" t="s">
        <v>184</v>
      </c>
      <c r="Q24" s="274" t="s">
        <v>197</v>
      </c>
      <c r="R24" s="274" t="s">
        <v>184</v>
      </c>
      <c r="S24" s="274" t="s">
        <v>181</v>
      </c>
      <c r="T24" s="1009" t="s">
        <v>181</v>
      </c>
      <c r="U24" s="113"/>
      <c r="V24" s="273" t="s">
        <v>184</v>
      </c>
      <c r="W24" s="274" t="s">
        <v>181</v>
      </c>
      <c r="X24" s="275" t="s">
        <v>197</v>
      </c>
      <c r="Y24" s="113"/>
      <c r="Z24" s="273" t="s">
        <v>184</v>
      </c>
      <c r="AA24" s="274" t="s">
        <v>181</v>
      </c>
      <c r="AB24" s="275" t="s">
        <v>181</v>
      </c>
      <c r="AC24" s="113"/>
      <c r="AD24" s="273" t="s">
        <v>184</v>
      </c>
      <c r="AE24" s="274" t="s">
        <v>184</v>
      </c>
      <c r="AF24" s="275" t="s">
        <v>184</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-18.606449712097646576320543470</v>
      </c>
      <c r="D26" s="574">
        <v>-8.465608465536594160297807560</v>
      </c>
      <c r="E26" s="574">
        <v>-14.421252371876236187074431320</v>
      </c>
      <c r="F26" s="574">
        <v>-17.540550735565634712764347920</v>
      </c>
      <c r="G26" s="574">
        <v>-43.181157313209442921668627760</v>
      </c>
      <c r="H26" s="574">
        <v>-26.933797909413724653692529460</v>
      </c>
      <c r="I26" s="574">
        <v>-11.798753339274918148738154180</v>
      </c>
      <c r="J26" s="574">
        <v>-2.7161311692078531890496472500</v>
      </c>
      <c r="K26" s="574">
        <v>-12.261089073143329402880157780</v>
      </c>
      <c r="L26" s="574">
        <v>-28.659714175410186693234149260</v>
      </c>
      <c r="M26" s="1006">
        <v>-42.509135200957195185456072440</v>
      </c>
      <c r="N26" s="574">
        <v>-29.830197338229382475846354320</v>
      </c>
      <c r="O26" s="574">
        <v>-4.0827099420930432074131919400</v>
      </c>
      <c r="P26" s="574">
        <v>0.7321772640399751411674793500</v>
      </c>
      <c r="Q26" s="574">
        <v>-15.432372505483983657897412290</v>
      </c>
      <c r="R26" s="574">
        <v>4.1171088745772718179147789600</v>
      </c>
      <c r="S26" s="574">
        <v>16.683725690735221245242624570</v>
      </c>
      <c r="T26" s="1006">
        <v>0.715307582314836031854241800</v>
      </c>
      <c r="U26" s="113"/>
      <c r="V26" s="573">
        <v>3.0545138323335816525024878900</v>
      </c>
      <c r="W26" s="574">
        <v>-17.933648336239789004276864140</v>
      </c>
      <c r="X26" s="575">
        <v>-4.1746520043237939421725457700</v>
      </c>
      <c r="Y26" s="113"/>
      <c r="Z26" s="573">
        <v>19.148936170099954730647458550</v>
      </c>
      <c r="AA26" s="574">
        <v>-30.390624999952765066964253660</v>
      </c>
      <c r="AB26" s="575">
        <v>6.9103735769386299992682231400</v>
      </c>
      <c r="AC26" s="113"/>
      <c r="AD26" s="573">
        <v>-5.5602783288044701169643767200</v>
      </c>
      <c r="AE26" s="574">
        <v>-4.4990194175460911631540926700</v>
      </c>
      <c r="AF26" s="575">
        <v>-10.893568072588387225076172780</v>
      </c>
      <c r="AG26" s="113"/>
    </row>
    <row r="27" ht="21.95" customHeight="1">
      <c r="B27" s="38" t="s">
        <v>35</v>
      </c>
      <c r="C27" s="271">
        <v>7.7320962505314599428002285800</v>
      </c>
      <c r="D27" s="92">
        <v>-0.0504897506163608266467553300</v>
      </c>
      <c r="E27" s="92">
        <v>8.591065292154896937757107050</v>
      </c>
      <c r="F27" s="92">
        <v>2.7747582813967157987278383300</v>
      </c>
      <c r="G27" s="92">
        <v>-18.508678710563207501534937420</v>
      </c>
      <c r="H27" s="92">
        <v>-4.2336826813198934597660118700</v>
      </c>
      <c r="I27" s="92">
        <v>-1.592115238762486284035535300</v>
      </c>
      <c r="J27" s="92">
        <v>6.9993069993839676234687183500</v>
      </c>
      <c r="K27" s="92">
        <v>-5.067229106281079380759458700</v>
      </c>
      <c r="L27" s="92">
        <v>-2.0219595608760346062652893800</v>
      </c>
      <c r="M27" s="1007">
        <v>-5.068382944542676640028862100</v>
      </c>
      <c r="N27" s="92">
        <v>-9.598494353878754992451273630</v>
      </c>
      <c r="O27" s="92">
        <v>-4.0020393491559397687881535800</v>
      </c>
      <c r="P27" s="92">
        <v>-7.1883208729151972543667356800</v>
      </c>
      <c r="Q27" s="92">
        <v>-7.8677433435296761343468944700</v>
      </c>
      <c r="R27" s="92">
        <v>2.7054108216457564427452099100</v>
      </c>
      <c r="S27" s="92">
        <v>5.8628559008387659210662012100</v>
      </c>
      <c r="T27" s="1007">
        <v>10.071513706843655751142551370</v>
      </c>
      <c r="U27" s="113"/>
      <c r="V27" s="271">
        <v>0.3933182901634679459699614200</v>
      </c>
      <c r="W27" s="92">
        <v>-0.3445746183307241848220978200</v>
      </c>
      <c r="X27" s="272">
        <v>-1.3497135628698196454570720100</v>
      </c>
      <c r="Y27" s="113"/>
      <c r="Z27" s="271">
        <v>-0.2085400515375968123497387800</v>
      </c>
      <c r="AA27" s="92">
        <v>-7.6023391812166640204670442400</v>
      </c>
      <c r="AB27" s="272">
        <v>6.2452121257300343320982425200</v>
      </c>
      <c r="AC27" s="113"/>
      <c r="AD27" s="271">
        <v>-5.9814224693362600529746720400</v>
      </c>
      <c r="AE27" s="92">
        <v>0.238691338833537640523117300</v>
      </c>
      <c r="AF27" s="272">
        <v>-1.4482037081774827262464158100</v>
      </c>
      <c r="AG27" s="113"/>
    </row>
    <row r="28" ht="21.95" customHeight="1">
      <c r="B28" s="40" t="s">
        <v>97</v>
      </c>
      <c r="C28" s="576">
        <v>-24.448188496548465655703156380</v>
      </c>
      <c r="D28" s="113">
        <v>-8.419369633751301579133307590</v>
      </c>
      <c r="E28" s="113">
        <v>-21.191722912167390769796361560</v>
      </c>
      <c r="F28" s="113">
        <v>-19.766827338401489633228532930</v>
      </c>
      <c r="G28" s="113">
        <v>-30.276203910121404853833962820</v>
      </c>
      <c r="H28" s="113">
        <v>-23.703652665828147315927950420</v>
      </c>
      <c r="I28" s="113">
        <v>-10.371768609077633807288820380</v>
      </c>
      <c r="J28" s="113">
        <v>-9.079907563043327646216170500</v>
      </c>
      <c r="K28" s="113">
        <v>-7.5778468268500321611341715100</v>
      </c>
      <c r="L28" s="113">
        <v>-27.187474351456374885190644550</v>
      </c>
      <c r="M28" s="1008">
        <v>-39.439707673510397874302623940</v>
      </c>
      <c r="N28" s="113">
        <v>-22.379829671895632157999416760</v>
      </c>
      <c r="O28" s="113">
        <v>-0.0840336528864942318372247600</v>
      </c>
      <c r="P28" s="113">
        <v>8.533945524234851327414076260</v>
      </c>
      <c r="Q28" s="113">
        <v>-8.210619642385974971810491850</v>
      </c>
      <c r="R28" s="113">
        <v>1.3745118604780019673286953900</v>
      </c>
      <c r="S28" s="113">
        <v>10.221592548224389000348385620</v>
      </c>
      <c r="T28" s="1008">
        <v>-8.500115796966447314672460080</v>
      </c>
      <c r="U28" s="113"/>
      <c r="V28" s="576">
        <v>2.6507695804551365688566690800</v>
      </c>
      <c r="W28" s="113">
        <v>-17.649890761552956947700416570</v>
      </c>
      <c r="X28" s="577">
        <v>-2.8635886863445397079546774500</v>
      </c>
      <c r="Y28" s="113"/>
      <c r="Z28" s="576">
        <v>19.397928672250910466232088040</v>
      </c>
      <c r="AA28" s="113">
        <v>-24.663271360779632453398394490</v>
      </c>
      <c r="AB28" s="577">
        <v>0.6260625190252323921391351700</v>
      </c>
      <c r="AC28" s="113"/>
      <c r="AD28" s="576">
        <v>0.4479371541240954602253504300</v>
      </c>
      <c r="AE28" s="113">
        <v>-4.726429179494706784364812500</v>
      </c>
      <c r="AF28" s="577">
        <v>-9.584162562007517820215616240</v>
      </c>
      <c r="AG28" s="113"/>
    </row>
    <row r="29" ht="21.95" customHeight="1">
      <c r="A29" s="23"/>
      <c r="B29" s="39" t="s">
        <v>23</v>
      </c>
      <c r="C29" s="273" t="s">
        <v>197</v>
      </c>
      <c r="D29" s="274" t="s">
        <v>185</v>
      </c>
      <c r="E29" s="274" t="s">
        <v>184</v>
      </c>
      <c r="F29" s="274" t="s">
        <v>181</v>
      </c>
      <c r="G29" s="274" t="s">
        <v>181</v>
      </c>
      <c r="H29" s="274" t="s">
        <v>184</v>
      </c>
      <c r="I29" s="274" t="s">
        <v>185</v>
      </c>
      <c r="J29" s="274" t="s">
        <v>182</v>
      </c>
      <c r="K29" s="274" t="s">
        <v>181</v>
      </c>
      <c r="L29" s="274" t="s">
        <v>181</v>
      </c>
      <c r="M29" s="1009" t="s">
        <v>181</v>
      </c>
      <c r="N29" s="274" t="s">
        <v>184</v>
      </c>
      <c r="O29" s="274" t="s">
        <v>185</v>
      </c>
      <c r="P29" s="274" t="s">
        <v>185</v>
      </c>
      <c r="Q29" s="274" t="s">
        <v>182</v>
      </c>
      <c r="R29" s="274" t="s">
        <v>194</v>
      </c>
      <c r="S29" s="274" t="s">
        <v>198</v>
      </c>
      <c r="T29" s="1009" t="s">
        <v>185</v>
      </c>
      <c r="U29" s="113"/>
      <c r="V29" s="273" t="s">
        <v>194</v>
      </c>
      <c r="W29" s="274" t="s">
        <v>184</v>
      </c>
      <c r="X29" s="275" t="s">
        <v>185</v>
      </c>
      <c r="Y29" s="113"/>
      <c r="Z29" s="273" t="s">
        <v>199</v>
      </c>
      <c r="AA29" s="274" t="s">
        <v>181</v>
      </c>
      <c r="AB29" s="275" t="s">
        <v>185</v>
      </c>
      <c r="AC29" s="113"/>
      <c r="AD29" s="273" t="s">
        <v>194</v>
      </c>
      <c r="AE29" s="274" t="s">
        <v>182</v>
      </c>
      <c r="AF29" s="275" t="s">
        <v>181</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2024</v>
      </c>
      <c r="D31" s="1002"/>
      <c r="E31" s="1002"/>
      <c r="F31" s="1002"/>
      <c r="G31" s="1002"/>
      <c r="H31" s="1002"/>
      <c r="I31" s="1002"/>
      <c r="J31" s="1002"/>
      <c r="K31" s="1002"/>
      <c r="L31" s="1002"/>
      <c r="M31" s="1002"/>
      <c r="N31" s="1002">
        <v>2025</v>
      </c>
      <c r="O31" s="1002"/>
      <c r="P31" s="1002"/>
      <c r="Q31" s="1002"/>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180</v>
      </c>
      <c r="D32" s="269" t="s">
        <v>183</v>
      </c>
      <c r="E32" s="269" t="s">
        <v>186</v>
      </c>
      <c r="F32" s="269" t="s">
        <v>187</v>
      </c>
      <c r="G32" s="269" t="s">
        <v>188</v>
      </c>
      <c r="H32" s="269" t="s">
        <v>189</v>
      </c>
      <c r="I32" s="269" t="s">
        <v>190</v>
      </c>
      <c r="J32" s="269" t="s">
        <v>191</v>
      </c>
      <c r="K32" s="269" t="s">
        <v>192</v>
      </c>
      <c r="L32" s="269" t="s">
        <v>193</v>
      </c>
      <c r="M32" s="1005" t="s">
        <v>195</v>
      </c>
      <c r="N32" s="269" t="s">
        <v>196</v>
      </c>
      <c r="O32" s="269" t="s">
        <v>180</v>
      </c>
      <c r="P32" s="269" t="s">
        <v>183</v>
      </c>
      <c r="Q32" s="269" t="s">
        <v>186</v>
      </c>
      <c r="R32" s="269" t="s">
        <v>187</v>
      </c>
      <c r="S32" s="269" t="s">
        <v>188</v>
      </c>
      <c r="T32" s="1005" t="s">
        <v>189</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117.62047297297297297297297297</v>
      </c>
      <c r="D33" s="579">
        <v>114.08175337186897880539499037</v>
      </c>
      <c r="E33" s="579">
        <v>117.82745454545454545454545455</v>
      </c>
      <c r="F33" s="579">
        <v>117.52575480329368709972552608</v>
      </c>
      <c r="G33" s="579">
        <v>109.39709314227226202661207779</v>
      </c>
      <c r="H33" s="579">
        <v>109.38009060562708631378159275</v>
      </c>
      <c r="I33" s="579">
        <v>106.55835941443715295305401312</v>
      </c>
      <c r="J33" s="579">
        <v>113.41747701736465781409601634</v>
      </c>
      <c r="K33" s="579">
        <v>115.5049691738594327990135635</v>
      </c>
      <c r="L33" s="579">
        <v>119.96041147807255008121277748</v>
      </c>
      <c r="M33" s="1010">
        <v>112.97590395480225988700564972</v>
      </c>
      <c r="N33" s="579">
        <v>109.71301504251144538914323087</v>
      </c>
      <c r="O33" s="579">
        <v>117.42785225718194254445964432</v>
      </c>
      <c r="P33" s="579">
        <v>114.9407459831675592960979342</v>
      </c>
      <c r="Q33" s="579">
        <v>110.37336654431043523859465128</v>
      </c>
      <c r="R33" s="579">
        <v>109.63275043936731107205623902</v>
      </c>
      <c r="S33" s="579">
        <v>103.99178947368421052631578947</v>
      </c>
      <c r="T33" s="1010">
        <v>100.05007102272727272727272727</v>
      </c>
      <c r="U33" s="113"/>
      <c r="V33" s="578">
        <v>108.81160012657560255260798481</v>
      </c>
      <c r="W33" s="579">
        <v>113.88855187412050658820519381</v>
      </c>
      <c r="X33" s="580">
        <v>109.59283549057742606129702904</v>
      </c>
      <c r="Y33" s="113"/>
      <c r="Z33" s="578">
        <v>108.91091629464285714285714286</v>
      </c>
      <c r="AA33" s="579">
        <v>112.2403831970498637165303832</v>
      </c>
      <c r="AB33" s="580">
        <v>104.66874175164967006598680264</v>
      </c>
      <c r="AC33" s="113"/>
      <c r="AD33" s="578">
        <v>110.65440506751125187531255209</v>
      </c>
      <c r="AE33" s="579">
        <v>112.30674627489207631249129648</v>
      </c>
      <c r="AF33" s="580">
        <v>111.29881919686581782566111655</v>
      </c>
      <c r="AG33" s="113"/>
    </row>
    <row r="34" ht="21.95" customHeight="1">
      <c r="B34" s="38" t="s">
        <v>35</v>
      </c>
      <c r="C34" s="276">
        <v>142.37903615076512272773955017</v>
      </c>
      <c r="D34" s="94">
        <v>139.9661972115578904829258436</v>
      </c>
      <c r="E34" s="94">
        <v>141.94785792230467044958533391</v>
      </c>
      <c r="F34" s="94">
        <v>141.20826207971498552660877309</v>
      </c>
      <c r="G34" s="94">
        <v>138.55117039773962182134318626</v>
      </c>
      <c r="H34" s="94">
        <v>137.82991548380106187019178675</v>
      </c>
      <c r="I34" s="94">
        <v>134.57845210580380071905495636</v>
      </c>
      <c r="J34" s="94">
        <v>143.80249740932642487046632123</v>
      </c>
      <c r="K34" s="94">
        <v>148.3283264830037769384581204</v>
      </c>
      <c r="L34" s="94">
        <v>141.43044335578689528475199019</v>
      </c>
      <c r="M34" s="1011">
        <v>130.7352521186440677966101695</v>
      </c>
      <c r="N34" s="94">
        <v>134.77290423317140874392782791</v>
      </c>
      <c r="O34" s="94">
        <v>140.8465501385041551246537396</v>
      </c>
      <c r="P34" s="94">
        <v>133.82462907527349915637076145</v>
      </c>
      <c r="Q34" s="94">
        <v>138.94153855264716333056970272</v>
      </c>
      <c r="R34" s="94">
        <v>136.04742655826558265582655827</v>
      </c>
      <c r="S34" s="94">
        <v>136.99934096391726120207360263</v>
      </c>
      <c r="T34" s="1011">
        <v>135.53630260373086577742776985</v>
      </c>
      <c r="U34" s="113"/>
      <c r="V34" s="276">
        <v>134.60502567624518082632244369</v>
      </c>
      <c r="W34" s="94">
        <v>139.77691119181265753587476201</v>
      </c>
      <c r="X34" s="277">
        <v>136.71783335582563964149909898</v>
      </c>
      <c r="Y34" s="113"/>
      <c r="Z34" s="276">
        <v>135.3864403323390127576385729</v>
      </c>
      <c r="AA34" s="94">
        <v>139.17895779374749206580819319</v>
      </c>
      <c r="AB34" s="277">
        <v>136.18754060085836909871244635</v>
      </c>
      <c r="AC34" s="113"/>
      <c r="AD34" s="276">
        <v>135.14460308073960827299737503</v>
      </c>
      <c r="AE34" s="94">
        <v>138.55751054005850687672185204</v>
      </c>
      <c r="AF34" s="277">
        <v>138.06757274466003825208415459</v>
      </c>
      <c r="AG34" s="113"/>
    </row>
    <row r="35" ht="21.95" customHeight="1">
      <c r="B35" s="40" t="s">
        <v>98</v>
      </c>
      <c r="C35" s="576">
        <v>82.61080855217749449876125813</v>
      </c>
      <c r="D35" s="113">
        <v>81.50664635076204515807663390</v>
      </c>
      <c r="E35" s="113">
        <v>83.00756085375477820729983627</v>
      </c>
      <c r="F35" s="113">
        <v>83.22866741108989725621499255</v>
      </c>
      <c r="G35" s="113">
        <v>78.957898968487020231542756610</v>
      </c>
      <c r="H35" s="113">
        <v>79.35874459596777663142975123</v>
      </c>
      <c r="I35" s="113">
        <v>79.179361738137237775706333400</v>
      </c>
      <c r="J35" s="113">
        <v>78.870311059027350998986525740</v>
      </c>
      <c r="K35" s="113">
        <v>77.871147010545910656388595010</v>
      </c>
      <c r="L35" s="113">
        <v>84.81937030790834086949363559</v>
      </c>
      <c r="M35" s="1008">
        <v>86.41579231614831032723580452</v>
      </c>
      <c r="N35" s="113">
        <v>81.40584019223406068392901985</v>
      </c>
      <c r="O35" s="113">
        <v>83.37289918830846560931199199</v>
      </c>
      <c r="P35" s="113">
        <v>85.88908243376716570121876327</v>
      </c>
      <c r="Q35" s="113">
        <v>79.43871047787891993669721700</v>
      </c>
      <c r="R35" s="113">
        <v>80.58421479393931339611897716</v>
      </c>
      <c r="S35" s="113">
        <v>75.906780822461444105212426380</v>
      </c>
      <c r="T35" s="1008">
        <v>73.817913799277574447201614170</v>
      </c>
      <c r="U35" s="113"/>
      <c r="V35" s="576">
        <v>80.83769501172122577396278937</v>
      </c>
      <c r="W35" s="113">
        <v>81.47880140078654728712426340</v>
      </c>
      <c r="X35" s="577">
        <v>80.15986854133989513365800799</v>
      </c>
      <c r="Y35" s="113"/>
      <c r="Z35" s="576">
        <v>80.44447880254909877384063547</v>
      </c>
      <c r="AA35" s="113">
        <v>80.64464986396850045816365405</v>
      </c>
      <c r="AB35" s="577">
        <v>76.856327157256824066306320550</v>
      </c>
      <c r="AC35" s="113"/>
      <c r="AD35" s="576">
        <v>81.87852311160016040318770454</v>
      </c>
      <c r="AE35" s="113">
        <v>81.05424659920497303263117036</v>
      </c>
      <c r="AF35" s="577">
        <v>80.61184605792111722825295758</v>
      </c>
      <c r="AG35" s="113"/>
    </row>
    <row r="36" ht="21.95" customHeight="1">
      <c r="A36" s="23"/>
      <c r="B36" s="39" t="s">
        <v>23</v>
      </c>
      <c r="C36" s="273" t="s">
        <v>182</v>
      </c>
      <c r="D36" s="274" t="s">
        <v>185</v>
      </c>
      <c r="E36" s="274" t="s">
        <v>185</v>
      </c>
      <c r="F36" s="274" t="s">
        <v>182</v>
      </c>
      <c r="G36" s="274" t="s">
        <v>184</v>
      </c>
      <c r="H36" s="274" t="s">
        <v>185</v>
      </c>
      <c r="I36" s="274" t="s">
        <v>185</v>
      </c>
      <c r="J36" s="274" t="s">
        <v>185</v>
      </c>
      <c r="K36" s="274" t="s">
        <v>185</v>
      </c>
      <c r="L36" s="274" t="s">
        <v>194</v>
      </c>
      <c r="M36" s="1009" t="s">
        <v>194</v>
      </c>
      <c r="N36" s="274" t="s">
        <v>182</v>
      </c>
      <c r="O36" s="274" t="s">
        <v>194</v>
      </c>
      <c r="P36" s="274" t="s">
        <v>194</v>
      </c>
      <c r="Q36" s="274" t="s">
        <v>185</v>
      </c>
      <c r="R36" s="274" t="s">
        <v>185</v>
      </c>
      <c r="S36" s="274" t="s">
        <v>181</v>
      </c>
      <c r="T36" s="1009" t="s">
        <v>184</v>
      </c>
      <c r="U36" s="113"/>
      <c r="V36" s="273" t="s">
        <v>185</v>
      </c>
      <c r="W36" s="274" t="s">
        <v>185</v>
      </c>
      <c r="X36" s="275" t="s">
        <v>185</v>
      </c>
      <c r="Y36" s="113"/>
      <c r="Z36" s="273" t="s">
        <v>185</v>
      </c>
      <c r="AA36" s="274" t="s">
        <v>185</v>
      </c>
      <c r="AB36" s="275" t="s">
        <v>184</v>
      </c>
      <c r="AC36" s="113"/>
      <c r="AD36" s="273" t="s">
        <v>185</v>
      </c>
      <c r="AE36" s="274" t="s">
        <v>185</v>
      </c>
      <c r="AF36" s="275" t="s">
        <v>185</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7.3052871538292183944411291200</v>
      </c>
      <c r="D38" s="574">
        <v>3.878622823206542039004647600</v>
      </c>
      <c r="E38" s="574">
        <v>5.476468327719782638637544500</v>
      </c>
      <c r="F38" s="574">
        <v>10.226214005229359300678140410</v>
      </c>
      <c r="G38" s="574">
        <v>-1.3795264710813315756653270900</v>
      </c>
      <c r="H38" s="574">
        <v>0.7102988985575264292281716200</v>
      </c>
      <c r="I38" s="574">
        <v>2.4680984472401921575587216500</v>
      </c>
      <c r="J38" s="574">
        <v>3.0511771464398959703073851300</v>
      </c>
      <c r="K38" s="574">
        <v>-3.9553383285127001908727005800</v>
      </c>
      <c r="L38" s="574">
        <v>8.674807644302534639762149560</v>
      </c>
      <c r="M38" s="1006">
        <v>6.9165239108966313909585985800</v>
      </c>
      <c r="N38" s="574">
        <v>-0.4817835894056870062383912400</v>
      </c>
      <c r="O38" s="574">
        <v>-0.1637646159289581345597669700</v>
      </c>
      <c r="P38" s="574">
        <v>0.7529623150753060801343672300</v>
      </c>
      <c r="Q38" s="574">
        <v>-6.3262743220096551817564348800</v>
      </c>
      <c r="R38" s="574">
        <v>-6.7159784484201088825050433900</v>
      </c>
      <c r="S38" s="574">
        <v>-4.9409938722821046016522355700</v>
      </c>
      <c r="T38" s="1006">
        <v>-8.529906613914481894155664330</v>
      </c>
      <c r="U38" s="113"/>
      <c r="V38" s="573">
        <v>-7.1825552524087344237898828100</v>
      </c>
      <c r="W38" s="574">
        <v>4.6658184803950869135505899900</v>
      </c>
      <c r="X38" s="575">
        <v>-3.7718596933880986498788632900</v>
      </c>
      <c r="Y38" s="113"/>
      <c r="Z38" s="573">
        <v>-8.170829692595451830555710610</v>
      </c>
      <c r="AA38" s="574">
        <v>3.0570552665664651110138280200</v>
      </c>
      <c r="AB38" s="575">
        <v>-6.7459155338599266293568705100</v>
      </c>
      <c r="AC38" s="113"/>
      <c r="AD38" s="573">
        <v>-9.088367589916442791584329830</v>
      </c>
      <c r="AE38" s="574">
        <v>1.4932448521901464630015837300</v>
      </c>
      <c r="AF38" s="575">
        <v>-0.8974768760257894411293763900</v>
      </c>
      <c r="AG38" s="113"/>
    </row>
    <row r="39" ht="21.95" customHeight="1">
      <c r="B39" s="38" t="s">
        <v>35</v>
      </c>
      <c r="C39" s="271">
        <v>5.145103624665942812599963100</v>
      </c>
      <c r="D39" s="92">
        <v>5.2765893633239340814064061500</v>
      </c>
      <c r="E39" s="92">
        <v>3.1749469759971631078091178900</v>
      </c>
      <c r="F39" s="92">
        <v>3.6189903803210685505260510300</v>
      </c>
      <c r="G39" s="92">
        <v>0.7626931534247070126745672500</v>
      </c>
      <c r="H39" s="92">
        <v>4.3376094386158889208936714200</v>
      </c>
      <c r="I39" s="92">
        <v>2.6157705886378468229330834700</v>
      </c>
      <c r="J39" s="92">
        <v>5.4704977749635496837495312600</v>
      </c>
      <c r="K39" s="92">
        <v>1.0205278258138634103270525100</v>
      </c>
      <c r="L39" s="92">
        <v>2.1412662890634182816844979400</v>
      </c>
      <c r="M39" s="1007">
        <v>2.3708200831142928700288273100</v>
      </c>
      <c r="N39" s="92">
        <v>-0.9262572963433338434696739800</v>
      </c>
      <c r="O39" s="92">
        <v>-1.076342454427574895274243500</v>
      </c>
      <c r="P39" s="92">
        <v>-4.3878938334244499706619180400</v>
      </c>
      <c r="Q39" s="92">
        <v>-2.1179040062009587226377464700</v>
      </c>
      <c r="R39" s="92">
        <v>-3.6547688112764723367150381600</v>
      </c>
      <c r="S39" s="92">
        <v>-1.1200406530874745558608498700</v>
      </c>
      <c r="T39" s="1007">
        <v>-1.6640893031228163886367081200</v>
      </c>
      <c r="U39" s="113"/>
      <c r="V39" s="271">
        <v>2.1549483145506141452044369700</v>
      </c>
      <c r="W39" s="92">
        <v>3.8422677679612948245583598400</v>
      </c>
      <c r="X39" s="272">
        <v>-2.1885430217990257651997829600</v>
      </c>
      <c r="Y39" s="113"/>
      <c r="Z39" s="271">
        <v>1.5010301016317921425399554700</v>
      </c>
      <c r="AA39" s="92">
        <v>2.801253546617317458379766300</v>
      </c>
      <c r="AB39" s="272">
        <v>-2.1493315083417292167085638200</v>
      </c>
      <c r="AC39" s="113"/>
      <c r="AD39" s="271">
        <v>3.1517387494874309725115740600</v>
      </c>
      <c r="AE39" s="92">
        <v>2.5253745851179344442868199100</v>
      </c>
      <c r="AF39" s="272">
        <v>-0.3535988727930909237329404500</v>
      </c>
      <c r="AG39" s="113"/>
    </row>
    <row r="40" ht="21.95" customHeight="1">
      <c r="B40" s="40" t="s">
        <v>98</v>
      </c>
      <c r="C40" s="576">
        <v>2.054478482309720806973291500</v>
      </c>
      <c r="D40" s="113">
        <v>-1.3278987746390660175753642100</v>
      </c>
      <c r="E40" s="113">
        <v>2.2306978769506045231117723300</v>
      </c>
      <c r="F40" s="113">
        <v>6.3764601456560894551221139900</v>
      </c>
      <c r="G40" s="113">
        <v>-2.1260047320128311287665574500</v>
      </c>
      <c r="H40" s="113">
        <v>-3.4765129847447528523961180300</v>
      </c>
      <c r="I40" s="113">
        <v>-0.1439078422814350011782826400</v>
      </c>
      <c r="J40" s="113">
        <v>-2.2938363613728854746239995600</v>
      </c>
      <c r="K40" s="113">
        <v>-4.92559904546174707908315400</v>
      </c>
      <c r="L40" s="113">
        <v>6.3965736794458451187201443600</v>
      </c>
      <c r="M40" s="1008">
        <v>4.4404292397046989199451268400</v>
      </c>
      <c r="N40" s="113">
        <v>0.4486291672699293745844650900</v>
      </c>
      <c r="O40" s="113">
        <v>0.9225071748655224261994594600</v>
      </c>
      <c r="P40" s="113">
        <v>5.3767837092761839925027829300</v>
      </c>
      <c r="Q40" s="113">
        <v>-4.2994280752410541363878938100</v>
      </c>
      <c r="R40" s="113">
        <v>-3.1773338435165219853690567400</v>
      </c>
      <c r="S40" s="113">
        <v>-3.8642342132935802559476049400</v>
      </c>
      <c r="T40" s="1008">
        <v>-6.982004094104212576672431800</v>
      </c>
      <c r="U40" s="113"/>
      <c r="V40" s="576">
        <v>-9.140529872505552039301257330</v>
      </c>
      <c r="W40" s="113">
        <v>0.7930785124362552657757269500</v>
      </c>
      <c r="X40" s="577">
        <v>-1.6187435710697076083564409800</v>
      </c>
      <c r="Y40" s="113"/>
      <c r="Z40" s="576">
        <v>-9.528829199599936463179132510</v>
      </c>
      <c r="AA40" s="113">
        <v>0.2488313237256994635044009600</v>
      </c>
      <c r="AB40" s="577">
        <v>-4.697549946750148783922903500</v>
      </c>
      <c r="AC40" s="113"/>
      <c r="AD40" s="576">
        <v>-11.866117321736339588081065950</v>
      </c>
      <c r="AE40" s="113">
        <v>-1.0067066198440614025522384100</v>
      </c>
      <c r="AF40" s="577">
        <v>-0.5458079740923151527261015100</v>
      </c>
      <c r="AG40" s="113"/>
    </row>
    <row r="41" ht="21.95" customHeight="1">
      <c r="A41" s="23"/>
      <c r="B41" s="39" t="s">
        <v>23</v>
      </c>
      <c r="C41" s="273" t="s">
        <v>194</v>
      </c>
      <c r="D41" s="274" t="s">
        <v>185</v>
      </c>
      <c r="E41" s="274" t="s">
        <v>184</v>
      </c>
      <c r="F41" s="274" t="s">
        <v>198</v>
      </c>
      <c r="G41" s="274" t="s">
        <v>184</v>
      </c>
      <c r="H41" s="274" t="s">
        <v>194</v>
      </c>
      <c r="I41" s="274" t="s">
        <v>182</v>
      </c>
      <c r="J41" s="274" t="s">
        <v>184</v>
      </c>
      <c r="K41" s="274" t="s">
        <v>181</v>
      </c>
      <c r="L41" s="274" t="s">
        <v>198</v>
      </c>
      <c r="M41" s="1009" t="s">
        <v>198</v>
      </c>
      <c r="N41" s="274" t="s">
        <v>194</v>
      </c>
      <c r="O41" s="274" t="s">
        <v>185</v>
      </c>
      <c r="P41" s="274" t="s">
        <v>198</v>
      </c>
      <c r="Q41" s="274" t="s">
        <v>184</v>
      </c>
      <c r="R41" s="274" t="s">
        <v>181</v>
      </c>
      <c r="S41" s="274" t="s">
        <v>181</v>
      </c>
      <c r="T41" s="1009" t="s">
        <v>184</v>
      </c>
      <c r="U41" s="113"/>
      <c r="V41" s="273" t="s">
        <v>197</v>
      </c>
      <c r="W41" s="274" t="s">
        <v>185</v>
      </c>
      <c r="X41" s="275" t="s">
        <v>185</v>
      </c>
      <c r="Y41" s="113"/>
      <c r="Z41" s="273" t="s">
        <v>197</v>
      </c>
      <c r="AA41" s="274" t="s">
        <v>194</v>
      </c>
      <c r="AB41" s="275" t="s">
        <v>181</v>
      </c>
      <c r="AC41" s="113"/>
      <c r="AD41" s="273" t="s">
        <v>197</v>
      </c>
      <c r="AE41" s="274" t="s">
        <v>184</v>
      </c>
      <c r="AF41" s="275" t="s">
        <v>185</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2024</v>
      </c>
      <c r="D43" s="1002"/>
      <c r="E43" s="1002"/>
      <c r="F43" s="1002"/>
      <c r="G43" s="1002"/>
      <c r="H43" s="1002"/>
      <c r="I43" s="1002"/>
      <c r="J43" s="1002"/>
      <c r="K43" s="1002"/>
      <c r="L43" s="1002"/>
      <c r="M43" s="1002"/>
      <c r="N43" s="1002">
        <v>2025</v>
      </c>
      <c r="O43" s="1002"/>
      <c r="P43" s="1002"/>
      <c r="Q43" s="1002"/>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180</v>
      </c>
      <c r="D44" s="269" t="s">
        <v>183</v>
      </c>
      <c r="E44" s="269" t="s">
        <v>186</v>
      </c>
      <c r="F44" s="269" t="s">
        <v>187</v>
      </c>
      <c r="G44" s="269" t="s">
        <v>188</v>
      </c>
      <c r="H44" s="269" t="s">
        <v>189</v>
      </c>
      <c r="I44" s="269" t="s">
        <v>190</v>
      </c>
      <c r="J44" s="269" t="s">
        <v>191</v>
      </c>
      <c r="K44" s="269" t="s">
        <v>192</v>
      </c>
      <c r="L44" s="269" t="s">
        <v>193</v>
      </c>
      <c r="M44" s="1005" t="s">
        <v>195</v>
      </c>
      <c r="N44" s="269" t="s">
        <v>196</v>
      </c>
      <c r="O44" s="269" t="s">
        <v>180</v>
      </c>
      <c r="P44" s="269" t="s">
        <v>183</v>
      </c>
      <c r="Q44" s="269" t="s">
        <v>186</v>
      </c>
      <c r="R44" s="269" t="s">
        <v>187</v>
      </c>
      <c r="S44" s="269" t="s">
        <v>188</v>
      </c>
      <c r="T44" s="1005" t="s">
        <v>189</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51.636129032258064516129032258</v>
      </c>
      <c r="D45" s="579">
        <v>51.342724592438432188692334374</v>
      </c>
      <c r="E45" s="579">
        <v>47.616650537634408602150537634</v>
      </c>
      <c r="F45" s="579">
        <v>44.556243496357960457856399584</v>
      </c>
      <c r="G45" s="579">
        <v>38.30858781362007168458781362</v>
      </c>
      <c r="H45" s="579">
        <v>39.779751994450225459590704128</v>
      </c>
      <c r="I45" s="579">
        <v>36.609800554977454040929587236</v>
      </c>
      <c r="J45" s="579">
        <v>59.69661827956989247311827957</v>
      </c>
      <c r="K45" s="579">
        <v>48.73804890738813735691987513</v>
      </c>
      <c r="L45" s="579">
        <v>39.707326164874551971326164875</v>
      </c>
      <c r="M45" s="1010">
        <v>27.744342698577870274020117933</v>
      </c>
      <c r="N45" s="579">
        <v>29.093166840097121054457162678</v>
      </c>
      <c r="O45" s="579">
        <v>49.446866359447004608294930876</v>
      </c>
      <c r="P45" s="579">
        <v>52.10806625043357613596947624</v>
      </c>
      <c r="Q45" s="579">
        <v>37.720790322580645161290322581</v>
      </c>
      <c r="R45" s="579">
        <v>43.275084980922650017343045439</v>
      </c>
      <c r="S45" s="579">
        <v>42.491268817204301075268817204</v>
      </c>
      <c r="T45" s="1010">
        <v>36.646852237252861602497398543</v>
      </c>
      <c r="U45" s="113"/>
      <c r="V45" s="578">
        <v>52.322396784337593832420369243</v>
      </c>
      <c r="W45" s="579">
        <v>44.942541773941137866626280983</v>
      </c>
      <c r="X45" s="580">
        <v>41.441944867113004666260904849</v>
      </c>
      <c r="Y45" s="113"/>
      <c r="Z45" s="578">
        <v>57.026753740065451145395044413</v>
      </c>
      <c r="AA45" s="579">
        <v>40.909494506778868630201028518</v>
      </c>
      <c r="AB45" s="580">
        <v>40.786066503038803179055633474</v>
      </c>
      <c r="AC45" s="113"/>
      <c r="AD45" s="578">
        <v>48.889068787744881425835911033</v>
      </c>
      <c r="AE45" s="579">
        <v>47.386729243786356425171866737</v>
      </c>
      <c r="AF45" s="580">
        <v>41.84566740315215790248932096</v>
      </c>
      <c r="AG45" s="113"/>
    </row>
    <row r="46" ht="21.95" customHeight="1">
      <c r="B46" s="38" t="s">
        <v>35</v>
      </c>
      <c r="C46" s="276">
        <v>88.03865339429729503250789266</v>
      </c>
      <c r="D46" s="94">
        <v>82.30175369809303154517911246</v>
      </c>
      <c r="E46" s="94">
        <v>79.8532946593001841620626151</v>
      </c>
      <c r="F46" s="94">
        <v>75.347983722449949503950573279</v>
      </c>
      <c r="G46" s="94">
        <v>78.265676488643339472068753837</v>
      </c>
      <c r="H46" s="94">
        <v>75.56777104497118754826828254</v>
      </c>
      <c r="I46" s="94">
        <v>62.264420186538347294005821897</v>
      </c>
      <c r="J46" s="94">
        <v>68.149495395948434622467771639</v>
      </c>
      <c r="K46" s="94">
        <v>79.32344769203350561397255391</v>
      </c>
      <c r="L46" s="94">
        <v>70.888862492326580724370779619</v>
      </c>
      <c r="M46" s="1011">
        <v>54.987559258599180181785777936</v>
      </c>
      <c r="N46" s="94">
        <v>57.686614091368145903879284738</v>
      </c>
      <c r="O46" s="94">
        <v>83.60563766114180478821362799</v>
      </c>
      <c r="P46" s="94">
        <v>73.03391879047109843759282362</v>
      </c>
      <c r="Q46" s="94">
        <v>72.012486801718845917740945365</v>
      </c>
      <c r="R46" s="94">
        <v>74.558160161587358165508227886</v>
      </c>
      <c r="S46" s="94">
        <v>81.92627869858809085328422345</v>
      </c>
      <c r="T46" s="1011">
        <v>81.79442345392978078773837106</v>
      </c>
      <c r="U46" s="113"/>
      <c r="V46" s="276">
        <v>74.913480141770040654644011258</v>
      </c>
      <c r="W46" s="94">
        <v>77.523805650012996227060095903</v>
      </c>
      <c r="X46" s="277">
        <v>74.803714296883143959136870635</v>
      </c>
      <c r="Y46" s="113"/>
      <c r="Z46" s="276">
        <v>80.40500850748658819761390023</v>
      </c>
      <c r="AA46" s="94">
        <v>76.373464048362559051965729842</v>
      </c>
      <c r="AB46" s="277">
        <v>79.39911361998558731683881816</v>
      </c>
      <c r="AC46" s="113"/>
      <c r="AD46" s="276">
        <v>70.915885188829183380004540982</v>
      </c>
      <c r="AE46" s="94">
        <v>72.880321709462378332824995585</v>
      </c>
      <c r="AF46" s="277">
        <v>71.570894270793915083629758571</v>
      </c>
      <c r="AG46" s="113"/>
    </row>
    <row r="47" ht="21.95" customHeight="1">
      <c r="B47" s="40" t="s">
        <v>99</v>
      </c>
      <c r="C47" s="576">
        <v>58.651657018190158921905853820</v>
      </c>
      <c r="D47" s="113">
        <v>62.383512240546241144388534400</v>
      </c>
      <c r="E47" s="113">
        <v>59.630163966050965379056902640</v>
      </c>
      <c r="F47" s="113">
        <v>59.133955940365733140665946390</v>
      </c>
      <c r="G47" s="113">
        <v>48.946855802364416087373060720</v>
      </c>
      <c r="H47" s="113">
        <v>52.641160966308908363529334970</v>
      </c>
      <c r="I47" s="113">
        <v>58.797304215345588506742798970</v>
      </c>
      <c r="J47" s="113">
        <v>87.59656683116299598191296719</v>
      </c>
      <c r="K47" s="113">
        <v>61.442171672403885050387422750</v>
      </c>
      <c r="L47" s="113">
        <v>56.013490369079614910939352740</v>
      </c>
      <c r="M47" s="1008">
        <v>50.455672287797866673395767060</v>
      </c>
      <c r="N47" s="113">
        <v>50.433133055792176398952993580</v>
      </c>
      <c r="O47" s="113">
        <v>59.142980955282665345784316280</v>
      </c>
      <c r="P47" s="113">
        <v>71.347761578982413149618373610</v>
      </c>
      <c r="Q47" s="113">
        <v>52.380902254427033372447100400</v>
      </c>
      <c r="R47" s="113">
        <v>58.042050510804848713919992010</v>
      </c>
      <c r="S47" s="113">
        <v>51.865249456192393329901740930</v>
      </c>
      <c r="T47" s="1008">
        <v>44.803607250691515106853448280</v>
      </c>
      <c r="U47" s="113"/>
      <c r="V47" s="576">
        <v>69.843767350414280219705345270</v>
      </c>
      <c r="W47" s="113">
        <v>57.972569067165161630098948820</v>
      </c>
      <c r="X47" s="577">
        <v>55.400918599613486228783325160</v>
      </c>
      <c r="Y47" s="113"/>
      <c r="Z47" s="576">
        <v>70.924379959173964453292728750</v>
      </c>
      <c r="AA47" s="113">
        <v>53.565063489660987357081394970</v>
      </c>
      <c r="AB47" s="577">
        <v>51.368415393449833299355204410</v>
      </c>
      <c r="AC47" s="113"/>
      <c r="AD47" s="576">
        <v>68.939517087866947107750421350</v>
      </c>
      <c r="AE47" s="113">
        <v>65.019923255373698104726348120</v>
      </c>
      <c r="AF47" s="577">
        <v>58.467436839369840680592577760</v>
      </c>
      <c r="AG47" s="113"/>
    </row>
    <row r="48" ht="21.95" customHeight="1">
      <c r="A48" s="23"/>
      <c r="B48" s="39" t="s">
        <v>23</v>
      </c>
      <c r="C48" s="273" t="s">
        <v>181</v>
      </c>
      <c r="D48" s="274" t="s">
        <v>185</v>
      </c>
      <c r="E48" s="274" t="s">
        <v>184</v>
      </c>
      <c r="F48" s="274" t="s">
        <v>181</v>
      </c>
      <c r="G48" s="274" t="s">
        <v>181</v>
      </c>
      <c r="H48" s="274" t="s">
        <v>181</v>
      </c>
      <c r="I48" s="274" t="s">
        <v>184</v>
      </c>
      <c r="J48" s="274" t="s">
        <v>182</v>
      </c>
      <c r="K48" s="274" t="s">
        <v>184</v>
      </c>
      <c r="L48" s="274" t="s">
        <v>181</v>
      </c>
      <c r="M48" s="1009" t="s">
        <v>181</v>
      </c>
      <c r="N48" s="274" t="s">
        <v>181</v>
      </c>
      <c r="O48" s="274" t="s">
        <v>181</v>
      </c>
      <c r="P48" s="274" t="s">
        <v>182</v>
      </c>
      <c r="Q48" s="274" t="s">
        <v>184</v>
      </c>
      <c r="R48" s="274" t="s">
        <v>185</v>
      </c>
      <c r="S48" s="274" t="s">
        <v>184</v>
      </c>
      <c r="T48" s="1009" t="s">
        <v>197</v>
      </c>
      <c r="U48" s="113"/>
      <c r="V48" s="273" t="s">
        <v>184</v>
      </c>
      <c r="W48" s="274" t="s">
        <v>181</v>
      </c>
      <c r="X48" s="275" t="s">
        <v>181</v>
      </c>
      <c r="Y48" s="113"/>
      <c r="Z48" s="273" t="s">
        <v>184</v>
      </c>
      <c r="AA48" s="274" t="s">
        <v>181</v>
      </c>
      <c r="AB48" s="275" t="s">
        <v>184</v>
      </c>
      <c r="AC48" s="113"/>
      <c r="AD48" s="273" t="s">
        <v>184</v>
      </c>
      <c r="AE48" s="274" t="s">
        <v>185</v>
      </c>
      <c r="AF48" s="275" t="s">
        <v>184</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-12.660417138870887119715226190</v>
      </c>
      <c r="D50" s="574">
        <v>-4.9153346644153312349941984500</v>
      </c>
      <c r="E50" s="574">
        <v>-9.734559362771999342678643710</v>
      </c>
      <c r="F50" s="574">
        <v>-9.108070986195240707175412560</v>
      </c>
      <c r="G50" s="574">
        <v>-43.964988288624132992069287490</v>
      </c>
      <c r="H50" s="574">
        <v>-26.414809480785131019138690630</v>
      </c>
      <c r="I50" s="574">
        <v>-9.621859739982332590239049250</v>
      </c>
      <c r="J50" s="574">
        <v>0.252172003579827430114328600</v>
      </c>
      <c r="K50" s="574">
        <v>-15.731459846152867457443652470</v>
      </c>
      <c r="L50" s="574">
        <v>-22.471081607120345418385740430</v>
      </c>
      <c r="M50" s="1006">
        <v>-38.532765790520028260549492340</v>
      </c>
      <c r="N50" s="574">
        <v>-30.168263932104018744927954770</v>
      </c>
      <c r="O50" s="574">
        <v>-4.2397885238135176603058353200</v>
      </c>
      <c r="P50" s="574">
        <v>1.4906525980252823073191516900</v>
      </c>
      <c r="Q50" s="574">
        <v>-20.782352608370028584775291310</v>
      </c>
      <c r="R50" s="574">
        <v>-2.8753737185695724921816157400</v>
      </c>
      <c r="S50" s="574">
        <v>10.918389954639361677116857900</v>
      </c>
      <c r="T50" s="1006">
        <v>-7.8756141005612533055346106500</v>
      </c>
      <c r="U50" s="113"/>
      <c r="V50" s="573">
        <v>-4.3474335639012762281488634800</v>
      </c>
      <c r="W50" s="574">
        <v>-14.104581334036443458219866260</v>
      </c>
      <c r="X50" s="575">
        <v>-7.7890496812530912538332488500</v>
      </c>
      <c r="Y50" s="113"/>
      <c r="Z50" s="573">
        <v>9.413479515291783522625043440</v>
      </c>
      <c r="AA50" s="574">
        <v>-28.262627935610189867110189980</v>
      </c>
      <c r="AB50" s="575">
        <v>-0.3017099214967824798778320700</v>
      </c>
      <c r="AC50" s="113"/>
      <c r="AD50" s="573">
        <v>-14.143307385215462219156404340</v>
      </c>
      <c r="AE50" s="574">
        <v>-3.0729559412095350762682272200</v>
      </c>
      <c r="AF50" s="575">
        <v>-11.693277694140127458886322990</v>
      </c>
      <c r="AG50" s="113"/>
    </row>
    <row r="51" ht="21.95" customHeight="1">
      <c r="B51" s="38" t="s">
        <v>35</v>
      </c>
      <c r="C51" s="271">
        <v>13.275024239765803880900337970</v>
      </c>
      <c r="D51" s="92">
        <v>5.2234354758919183618295285500</v>
      </c>
      <c r="E51" s="92">
        <v>12.038774035848980612499971150</v>
      </c>
      <c r="F51" s="92">
        <v>6.4941668968608354570424656200</v>
      </c>
      <c r="G51" s="92">
        <v>-17.887149982492582030921235500</v>
      </c>
      <c r="H51" s="92">
        <v>-0.0797138622203536817149202200</v>
      </c>
      <c r="I51" s="92">
        <v>0.9820092676423936832988026100</v>
      </c>
      <c r="J51" s="92">
        <v>12.852701707967331593098589860</v>
      </c>
      <c r="K51" s="92">
        <v>-4.0984137634965002733049435300</v>
      </c>
      <c r="L51" s="92">
        <v>0.0760111897531788916549899400</v>
      </c>
      <c r="M51" s="1007">
        <v>-2.8177251022093367469024587900</v>
      </c>
      <c r="N51" s="92">
        <v>-10.435844895891366659130995200</v>
      </c>
      <c r="O51" s="92">
        <v>-5.0353061550180499042280908600</v>
      </c>
      <c r="P51" s="92">
        <v>-11.260798817999982350253584020</v>
      </c>
      <c r="Q51" s="92">
        <v>-9.819016098251852887226654110</v>
      </c>
      <c r="R51" s="92">
        <v>-1.0482345005044074011217168900</v>
      </c>
      <c r="S51" s="92">
        <v>4.6771488783097477288291690600</v>
      </c>
      <c r="T51" s="1007">
        <v>8.239825421371578299062388420</v>
      </c>
      <c r="U51" s="113"/>
      <c r="V51" s="271">
        <v>2.5567424105423898215538166500</v>
      </c>
      <c r="W51" s="92">
        <v>3.4844536701165677029485252900</v>
      </c>
      <c r="X51" s="272">
        <v>-3.5087175227147224561764394800</v>
      </c>
      <c r="Y51" s="113"/>
      <c r="Z51" s="271">
        <v>1.2893598012015916614007822800</v>
      </c>
      <c r="AA51" s="92">
        <v>-5.0140464306541146199060616500</v>
      </c>
      <c r="AB51" s="272">
        <v>3.9616503052266276269845903400</v>
      </c>
      <c r="AC51" s="113"/>
      <c r="AD51" s="271">
        <v>-3.0182025295891901412958470300</v>
      </c>
      <c r="AE51" s="92">
        <v>2.7700937743813551601210321800</v>
      </c>
      <c r="AF51" s="272">
        <v>-1.7966817489163198222040656100</v>
      </c>
      <c r="AG51" s="113"/>
    </row>
    <row r="52" ht="21.95" customHeight="1">
      <c r="B52" s="40" t="s">
        <v>99</v>
      </c>
      <c r="C52" s="576">
        <v>-22.895992786337831024130529250</v>
      </c>
      <c r="D52" s="113">
        <v>-9.635467702218302858821044240</v>
      </c>
      <c r="E52" s="113">
        <v>-19.433748348271491561875817460</v>
      </c>
      <c r="F52" s="113">
        <v>-14.650791059982615973678345320</v>
      </c>
      <c r="G52" s="113">
        <v>-31.758535114234425591908138920</v>
      </c>
      <c r="H52" s="113">
        <v>-26.356105087846420123958799780</v>
      </c>
      <c r="I52" s="113">
        <v>-10.500750662853061395878491570</v>
      </c>
      <c r="J52" s="113">
        <v>-11.165465703082909000227387840</v>
      </c>
      <c r="K52" s="113">
        <v>-12.130191521391486674899406320</v>
      </c>
      <c r="L52" s="113">
        <v>-22.529967500512545796758679720</v>
      </c>
      <c r="M52" s="1008">
        <v>-36.750570745406131262948507990</v>
      </c>
      <c r="N52" s="113">
        <v>-22.031602948094423873022413850</v>
      </c>
      <c r="O52" s="113">
        <v>0.8376983056594705485546514700</v>
      </c>
      <c r="P52" s="113">
        <v>14.369581026351274967083541740</v>
      </c>
      <c r="Q52" s="113">
        <v>-12.157038031614674949192281960</v>
      </c>
      <c r="R52" s="113">
        <v>-1.8464948137338590962278728800</v>
      </c>
      <c r="S52" s="113">
        <v>5.9623720583279966279302234800</v>
      </c>
      <c r="T52" s="1008">
        <v>-14.888641458014113830994928250</v>
      </c>
      <c r="U52" s="113"/>
      <c r="V52" s="576">
        <v>-6.7320546773771428656017819500</v>
      </c>
      <c r="W52" s="113">
        <v>-16.996789740275731576698730660</v>
      </c>
      <c r="X52" s="577">
        <v>-4.4359780995828156042162332900</v>
      </c>
      <c r="Y52" s="113"/>
      <c r="Z52" s="576">
        <v>8.020703981095862043255499630</v>
      </c>
      <c r="AA52" s="113">
        <v>-24.475809981737088312181702630</v>
      </c>
      <c r="AB52" s="577">
        <v>-4.1008970271687610235786950500</v>
      </c>
      <c r="AC52" s="113"/>
      <c r="AD52" s="576">
        <v>-11.471332915729195253723693220</v>
      </c>
      <c r="AE52" s="113">
        <v>-5.6855545238715546393957987100</v>
      </c>
      <c r="AF52" s="577">
        <v>-10.077659412626214859651663210</v>
      </c>
      <c r="AG52" s="113"/>
    </row>
    <row r="53" ht="21.95" customHeight="1">
      <c r="A53" s="23"/>
      <c r="B53" s="39" t="s">
        <v>23</v>
      </c>
      <c r="C53" s="273" t="s">
        <v>197</v>
      </c>
      <c r="D53" s="274" t="s">
        <v>185</v>
      </c>
      <c r="E53" s="274" t="s">
        <v>184</v>
      </c>
      <c r="F53" s="274" t="s">
        <v>184</v>
      </c>
      <c r="G53" s="274" t="s">
        <v>181</v>
      </c>
      <c r="H53" s="274" t="s">
        <v>184</v>
      </c>
      <c r="I53" s="274" t="s">
        <v>184</v>
      </c>
      <c r="J53" s="274" t="s">
        <v>185</v>
      </c>
      <c r="K53" s="274" t="s">
        <v>181</v>
      </c>
      <c r="L53" s="274" t="s">
        <v>181</v>
      </c>
      <c r="M53" s="1009" t="s">
        <v>197</v>
      </c>
      <c r="N53" s="274" t="s">
        <v>184</v>
      </c>
      <c r="O53" s="274" t="s">
        <v>182</v>
      </c>
      <c r="P53" s="274" t="s">
        <v>185</v>
      </c>
      <c r="Q53" s="274" t="s">
        <v>185</v>
      </c>
      <c r="R53" s="274" t="s">
        <v>185</v>
      </c>
      <c r="S53" s="274" t="s">
        <v>185</v>
      </c>
      <c r="T53" s="1009" t="s">
        <v>181</v>
      </c>
      <c r="U53" s="113"/>
      <c r="V53" s="273" t="s">
        <v>181</v>
      </c>
      <c r="W53" s="274" t="s">
        <v>181</v>
      </c>
      <c r="X53" s="275" t="s">
        <v>185</v>
      </c>
      <c r="Y53" s="113"/>
      <c r="Z53" s="273" t="s">
        <v>194</v>
      </c>
      <c r="AA53" s="274" t="s">
        <v>181</v>
      </c>
      <c r="AB53" s="275" t="s">
        <v>185</v>
      </c>
      <c r="AC53" s="113"/>
      <c r="AD53" s="273" t="s">
        <v>184</v>
      </c>
      <c r="AE53" s="274" t="s">
        <v>185</v>
      </c>
      <c r="AF53" s="275" t="s">
        <v>181</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M19"/>
    <mergeCell ref="C31:M31"/>
    <mergeCell ref="C43:M43"/>
    <mergeCell ref="N19:T19"/>
    <mergeCell ref="N31:T31"/>
    <mergeCell ref="N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139</v>
      </c>
      <c r="C1" s="12"/>
      <c r="D1" s="12"/>
      <c r="E1" s="12"/>
      <c r="F1" s="12"/>
      <c r="G1" s="12"/>
      <c r="H1" s="2"/>
      <c r="I1" s="2"/>
      <c r="J1" s="2"/>
      <c r="K1" s="2"/>
      <c r="L1" s="2"/>
      <c r="M1" s="2"/>
      <c r="N1" s="2"/>
      <c r="O1" s="2"/>
      <c r="P1" s="131"/>
      <c r="Q1" s="2"/>
      <c r="R1" s="2"/>
      <c r="S1" s="222"/>
      <c r="T1" s="2"/>
      <c r="U1" s="236"/>
    </row>
    <row r="2" ht="14.25" customHeight="1">
      <c r="B2" s="999" t="s">
        <v>170</v>
      </c>
      <c r="C2" s="999"/>
      <c r="D2" s="999"/>
      <c r="E2" s="999"/>
      <c r="F2" s="999"/>
      <c r="G2" s="999"/>
      <c r="H2" s="999"/>
      <c r="I2" s="999"/>
      <c r="J2" s="999"/>
      <c r="K2" s="999"/>
      <c r="L2" s="999"/>
      <c r="M2" s="999"/>
      <c r="N2" s="999"/>
      <c r="O2" s="999"/>
      <c r="P2" s="999"/>
      <c r="Q2" s="999"/>
      <c r="R2" s="999"/>
      <c r="S2" s="999"/>
      <c r="T2" s="2"/>
    </row>
    <row r="3" ht="14.25" customHeight="1">
      <c r="B3" s="1030" t="s">
        <v>171</v>
      </c>
      <c r="C3" s="1030"/>
      <c r="D3" s="1030"/>
      <c r="E3" s="1030"/>
      <c r="F3" s="1030"/>
      <c r="G3" s="1030"/>
      <c r="H3" s="1030"/>
      <c r="I3" s="1030"/>
      <c r="J3" s="1030"/>
      <c r="K3" s="1030"/>
      <c r="L3" s="1030"/>
      <c r="M3" s="1030"/>
      <c r="N3" s="1030"/>
      <c r="O3" s="1030"/>
      <c r="P3" s="1030"/>
      <c r="Q3" s="1030"/>
      <c r="R3" s="1030"/>
      <c r="S3" s="1030"/>
      <c r="T3" s="2"/>
    </row>
    <row r="4" ht="14.25" customHeight="1">
      <c r="B4" s="1030" t="s">
        <v>172</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173</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30.887963926465487339576829690</v>
      </c>
      <c r="F10" s="113">
        <v>2.7104959632375434521459764700</v>
      </c>
      <c r="G10" s="659"/>
      <c r="H10" s="18" t="s">
        <v>19</v>
      </c>
      <c r="I10" s="667">
        <v>4.5612209503988900450919181400</v>
      </c>
      <c r="J10" s="113">
        <v>-9.310344826758116527935363780</v>
      </c>
      <c r="K10" s="9"/>
      <c r="L10" s="18" t="s">
        <v>19</v>
      </c>
      <c r="M10" s="667">
        <v>1.1793270898369753728754769300</v>
      </c>
      <c r="N10" s="113">
        <v>-6.8493150662218052166832169200</v>
      </c>
      <c r="O10" s="9"/>
      <c r="P10" s="18" t="s">
        <v>19</v>
      </c>
      <c r="Q10" s="667">
        <v>36.628511966701352757544224770</v>
      </c>
      <c r="R10" s="113">
        <v>0.715307582314836031854241800</v>
      </c>
      <c r="S10" s="674"/>
      <c r="T10" s="9"/>
    </row>
    <row r="11" ht="15" customHeight="1">
      <c r="A11" s="2"/>
      <c r="B11" s="44"/>
      <c r="C11" s="45"/>
      <c r="D11" s="133" t="s">
        <v>16</v>
      </c>
      <c r="E11" s="92">
        <v>43.324545771994853851917172450</v>
      </c>
      <c r="F11" s="92">
        <v>11.188846398993318476951818250</v>
      </c>
      <c r="G11" s="661"/>
      <c r="H11" s="133" t="s">
        <v>16</v>
      </c>
      <c r="I11" s="668">
        <v>12.371825971562089083021570460</v>
      </c>
      <c r="J11" s="92">
        <v>12.413230433151707232495287840</v>
      </c>
      <c r="K11" s="120"/>
      <c r="L11" s="133" t="s">
        <v>16</v>
      </c>
      <c r="M11" s="668">
        <v>4.6523480330722972480351773700</v>
      </c>
      <c r="N11" s="92">
        <v>-4.2003394095041092567988152800</v>
      </c>
      <c r="O11" s="120"/>
      <c r="P11" s="133" t="s">
        <v>16</v>
      </c>
      <c r="Q11" s="668">
        <v>60.348719776629240182973920280</v>
      </c>
      <c r="R11" s="92">
        <v>10.071513706843655751142551370</v>
      </c>
      <c r="S11" s="674"/>
      <c r="T11" s="9"/>
    </row>
    <row r="12" ht="15" customHeight="1">
      <c r="A12" s="2"/>
      <c r="B12" s="44"/>
      <c r="C12" s="45"/>
      <c r="D12" s="19" t="s">
        <v>97</v>
      </c>
      <c r="E12" s="113">
        <v>71.294374530818306254940485590</v>
      </c>
      <c r="F12" s="113">
        <v>-7.6251806817870280925207497900</v>
      </c>
      <c r="G12" s="113"/>
      <c r="H12" s="19" t="s">
        <v>97</v>
      </c>
      <c r="I12" s="667">
        <v>36.867807232896318613230356020</v>
      </c>
      <c r="J12" s="113">
        <v>-19.324749566688769291189006470</v>
      </c>
      <c r="K12" s="9"/>
      <c r="L12" s="19" t="s">
        <v>97</v>
      </c>
      <c r="M12" s="667">
        <v>25.349072800367304336517801220</v>
      </c>
      <c r="N12" s="113">
        <v>-2.7651200884111337768983030700</v>
      </c>
      <c r="O12" s="9"/>
      <c r="P12" s="19" t="s">
        <v>97</v>
      </c>
      <c r="Q12" s="667">
        <v>60.694762212509977908879451660</v>
      </c>
      <c r="R12" s="113">
        <v>-8.500115796966447314672460080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96.0960134755755193711398091</v>
      </c>
      <c r="F14" s="113">
        <v>-12.534519255350634045889226340</v>
      </c>
      <c r="G14" s="664"/>
      <c r="H14" s="53" t="s">
        <v>19</v>
      </c>
      <c r="I14" s="670">
        <v>127.09505703422053231939163498</v>
      </c>
      <c r="J14" s="113">
        <v>16.094136764244503461468910460</v>
      </c>
      <c r="K14" s="671"/>
      <c r="L14" s="53" t="s">
        <v>19</v>
      </c>
      <c r="M14" s="670">
        <v>99</v>
      </c>
      <c r="N14" s="113">
        <v>1.6169853768764760616256158600</v>
      </c>
      <c r="O14" s="671"/>
      <c r="P14" s="53" t="s">
        <v>19</v>
      </c>
      <c r="Q14" s="670">
        <v>100.05007102272727272727272727</v>
      </c>
      <c r="R14" s="113">
        <v>-8.529906613914481894155664330</v>
      </c>
      <c r="S14" s="675"/>
      <c r="T14" s="9"/>
    </row>
    <row r="15" ht="15" customHeight="1">
      <c r="A15" s="2"/>
      <c r="B15" s="44"/>
      <c r="C15" s="45"/>
      <c r="D15" s="133" t="s">
        <v>16</v>
      </c>
      <c r="E15" s="665">
        <v>136.86834837172151783687219318</v>
      </c>
      <c r="F15" s="92">
        <v>-2.8769220189790420691335270700</v>
      </c>
      <c r="G15" s="666"/>
      <c r="H15" s="143" t="s">
        <v>16</v>
      </c>
      <c r="I15" s="672">
        <v>134.70332086179185765037284306</v>
      </c>
      <c r="J15" s="92">
        <v>0.3957771208134142333185465900</v>
      </c>
      <c r="K15" s="673"/>
      <c r="L15" s="143" t="s">
        <v>16</v>
      </c>
      <c r="M15" s="672">
        <v>125.34687301678742387719705328</v>
      </c>
      <c r="N15" s="92">
        <v>3.3320305947367196414818895700</v>
      </c>
      <c r="O15" s="673"/>
      <c r="P15" s="143" t="s">
        <v>16</v>
      </c>
      <c r="Q15" s="672">
        <v>135.53630260373086577742776985</v>
      </c>
      <c r="R15" s="92">
        <v>-1.6640893031228163886367081200</v>
      </c>
      <c r="S15" s="675"/>
      <c r="T15" s="9"/>
    </row>
    <row r="16" ht="15" customHeight="1">
      <c r="A16" s="2"/>
      <c r="B16" s="44"/>
      <c r="C16" s="45"/>
      <c r="D16" s="19" t="s">
        <v>98</v>
      </c>
      <c r="E16" s="113">
        <v>70.21054511054880504236808700</v>
      </c>
      <c r="F16" s="113">
        <v>-9.943668834590520435404920110</v>
      </c>
      <c r="G16" s="113"/>
      <c r="H16" s="19" t="s">
        <v>98</v>
      </c>
      <c r="I16" s="667">
        <v>94.35183648116201258048978345</v>
      </c>
      <c r="J16" s="113">
        <v>15.636474056675297580078329320</v>
      </c>
      <c r="K16" s="9"/>
      <c r="L16" s="19" t="s">
        <v>98</v>
      </c>
      <c r="M16" s="667">
        <v>78.980829451350749413727356480</v>
      </c>
      <c r="N16" s="113">
        <v>-1.6597421032445098369746676300</v>
      </c>
      <c r="O16" s="9"/>
      <c r="P16" s="19" t="s">
        <v>98</v>
      </c>
      <c r="Q16" s="667">
        <v>73.817913799277574447201614170</v>
      </c>
      <c r="R16" s="113">
        <v>-6.982004094104212576672431800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29.682101977107180020811654527</v>
      </c>
      <c r="F18" s="113">
        <v>-10.163770930610954630562234500</v>
      </c>
      <c r="G18" s="664"/>
      <c r="H18" s="53" t="s">
        <v>19</v>
      </c>
      <c r="I18" s="670">
        <v>5.7970863683662851196670135276</v>
      </c>
      <c r="J18" s="113">
        <v>5.2853723069852865903214028300</v>
      </c>
      <c r="K18" s="671"/>
      <c r="L18" s="53" t="s">
        <v>19</v>
      </c>
      <c r="M18" s="670">
        <v>1.1675338189386056191467221644</v>
      </c>
      <c r="N18" s="113">
        <v>-5.3430821142778124331736722100</v>
      </c>
      <c r="O18" s="671"/>
      <c r="P18" s="53" t="s">
        <v>19</v>
      </c>
      <c r="Q18" s="670">
        <v>36.646852237252861602497398543</v>
      </c>
      <c r="R18" s="113">
        <v>-7.8756141005612533055346106500</v>
      </c>
      <c r="S18" s="675"/>
      <c r="T18" s="9"/>
    </row>
    <row r="19" ht="15" customHeight="1">
      <c r="A19" s="2"/>
      <c r="B19" s="44"/>
      <c r="C19" s="45"/>
      <c r="D19" s="133" t="s">
        <v>16</v>
      </c>
      <c r="E19" s="665">
        <v>59.297590237679862251723108543</v>
      </c>
      <c r="F19" s="92">
        <v>7.990029994128816639189437430</v>
      </c>
      <c r="G19" s="666"/>
      <c r="H19" s="143" t="s">
        <v>16</v>
      </c>
      <c r="I19" s="672">
        <v>16.665260434935778721783827449</v>
      </c>
      <c r="J19" s="92">
        <v>12.858136279254606205231667560</v>
      </c>
      <c r="K19" s="673"/>
      <c r="L19" s="143" t="s">
        <v>16</v>
      </c>
      <c r="M19" s="672">
        <v>5.8315727813141398142314350668</v>
      </c>
      <c r="N19" s="92">
        <v>-1.0082654088792296263319873600</v>
      </c>
      <c r="O19" s="673"/>
      <c r="P19" s="143" t="s">
        <v>16</v>
      </c>
      <c r="Q19" s="672">
        <v>81.79442345392978078773837106</v>
      </c>
      <c r="R19" s="92">
        <v>8.239825421371578299062388420</v>
      </c>
      <c r="S19" s="675"/>
      <c r="T19" s="9"/>
    </row>
    <row r="20" ht="15" customHeight="1">
      <c r="A20" s="2"/>
      <c r="B20" s="44"/>
      <c r="C20" s="45"/>
      <c r="D20" s="19" t="s">
        <v>99</v>
      </c>
      <c r="E20" s="113">
        <v>50.056168991224881700369459750</v>
      </c>
      <c r="F20" s="113">
        <v>-16.810626801157657958653311010</v>
      </c>
      <c r="G20" s="113"/>
      <c r="H20" s="19" t="s">
        <v>99</v>
      </c>
      <c r="I20" s="667">
        <v>34.785453194755732437863754630</v>
      </c>
      <c r="J20" s="113">
        <v>-6.7099849615498439650912394700</v>
      </c>
      <c r="K20" s="9"/>
      <c r="L20" s="19" t="s">
        <v>99</v>
      </c>
      <c r="M20" s="667">
        <v>20.020907956126611451071973340</v>
      </c>
      <c r="N20" s="113">
        <v>-4.3789683287364373638198954100</v>
      </c>
      <c r="O20" s="9"/>
      <c r="P20" s="19" t="s">
        <v>99</v>
      </c>
      <c r="Q20" s="667">
        <v>44.803607250691515106853448280</v>
      </c>
      <c r="R20" s="113">
        <v>-14.888641458014113830994928250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32.187056198011767092716575370</v>
      </c>
      <c r="F27" s="113">
        <v>0.0931548237401488020395409100</v>
      </c>
      <c r="G27" s="9"/>
      <c r="H27" s="18" t="s">
        <v>19</v>
      </c>
      <c r="I27" s="667">
        <v>4.3036112801785351998376952700</v>
      </c>
      <c r="J27" s="113">
        <v>-28.631029008268502801792169370</v>
      </c>
      <c r="K27" s="9"/>
      <c r="L27" s="18" t="s">
        <v>19</v>
      </c>
      <c r="M27" s="667">
        <v>1.3237979306147291539866098600</v>
      </c>
      <c r="N27" s="113">
        <v>3.8539136912999627635838894800</v>
      </c>
      <c r="O27" s="9"/>
      <c r="P27" s="18" t="s">
        <v>19</v>
      </c>
      <c r="Q27" s="667">
        <v>37.814465408805031446540880500</v>
      </c>
      <c r="R27" s="113">
        <v>-4.1746520043237939421725457700</v>
      </c>
      <c r="S27" s="674"/>
      <c r="T27" s="9"/>
    </row>
    <row r="28" ht="15" customHeight="1">
      <c r="A28" s="2"/>
      <c r="B28" s="44"/>
      <c r="C28" s="45"/>
      <c r="D28" s="133" t="s">
        <v>16</v>
      </c>
      <c r="E28" s="668">
        <v>40.341578066984572767679911290</v>
      </c>
      <c r="F28" s="92">
        <v>7.8224191847445693813788535300</v>
      </c>
      <c r="G28" s="120"/>
      <c r="H28" s="133" t="s">
        <v>16</v>
      </c>
      <c r="I28" s="668">
        <v>10.726722166198818821240314990</v>
      </c>
      <c r="J28" s="92">
        <v>-17.345514282009879273604872250</v>
      </c>
      <c r="K28" s="120"/>
      <c r="L28" s="133" t="s">
        <v>16</v>
      </c>
      <c r="M28" s="668">
        <v>3.6456404874809817388534976100</v>
      </c>
      <c r="N28" s="92">
        <v>-28.092558328794296564965573740</v>
      </c>
      <c r="O28" s="120"/>
      <c r="P28" s="133" t="s">
        <v>16</v>
      </c>
      <c r="Q28" s="668">
        <v>54.713940720664373327773723900</v>
      </c>
      <c r="R28" s="92">
        <v>-1.3497135628698196454570720100</v>
      </c>
      <c r="S28" s="674"/>
      <c r="T28" s="9"/>
    </row>
    <row r="29" ht="15" customHeight="1">
      <c r="A29" s="2"/>
      <c r="B29" s="44"/>
      <c r="C29" s="45"/>
      <c r="D29" s="19" t="s">
        <v>97</v>
      </c>
      <c r="E29" s="667">
        <v>79.78630916360024378100532418</v>
      </c>
      <c r="F29" s="113">
        <v>-7.1685132086924419558286025200</v>
      </c>
      <c r="G29" s="676"/>
      <c r="H29" s="19" t="s">
        <v>97</v>
      </c>
      <c r="I29" s="667">
        <v>40.120469361453714574700655490</v>
      </c>
      <c r="J29" s="113">
        <v>-13.653844227199601890801318320</v>
      </c>
      <c r="K29" s="676"/>
      <c r="L29" s="19" t="s">
        <v>97</v>
      </c>
      <c r="M29" s="667">
        <v>36.311806804694675862127501130</v>
      </c>
      <c r="N29" s="113">
        <v>44.427212648656593716087733240</v>
      </c>
      <c r="O29" s="676"/>
      <c r="P29" s="19" t="s">
        <v>97</v>
      </c>
      <c r="Q29" s="667">
        <v>69.113035746845105322388054020</v>
      </c>
      <c r="R29" s="113">
        <v>-2.8635886863445397079546774500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108.25496375669713205168610148</v>
      </c>
      <c r="F31" s="113">
        <v>-6.0258599553622859552125059100</v>
      </c>
      <c r="G31" s="671"/>
      <c r="H31" s="53" t="s">
        <v>19</v>
      </c>
      <c r="I31" s="670">
        <v>123.54095462581025338833235121</v>
      </c>
      <c r="J31" s="113">
        <v>11.556457052543200520718950780</v>
      </c>
      <c r="K31" s="671"/>
      <c r="L31" s="53" t="s">
        <v>19</v>
      </c>
      <c r="M31" s="670">
        <v>96.77394636015325670498084291</v>
      </c>
      <c r="N31" s="113">
        <v>1.0479755848956049037488609400</v>
      </c>
      <c r="O31" s="671"/>
      <c r="P31" s="53" t="s">
        <v>19</v>
      </c>
      <c r="Q31" s="670">
        <v>109.59283549057742606129702904</v>
      </c>
      <c r="R31" s="113">
        <v>-3.7718596933880986498788632900</v>
      </c>
      <c r="S31" s="675"/>
      <c r="T31" s="9"/>
    </row>
    <row r="32" ht="15" customHeight="1">
      <c r="A32" s="2"/>
      <c r="B32" s="44"/>
      <c r="C32" s="45"/>
      <c r="D32" s="133" t="s">
        <v>16</v>
      </c>
      <c r="E32" s="672">
        <v>135.98909747025916588269833</v>
      </c>
      <c r="F32" s="92">
        <v>-4.7999916642529733988040771500</v>
      </c>
      <c r="G32" s="673"/>
      <c r="H32" s="143" t="s">
        <v>16</v>
      </c>
      <c r="I32" s="672">
        <v>140.71180076061799644556042398</v>
      </c>
      <c r="J32" s="92">
        <v>2.2221767879259149160310821900</v>
      </c>
      <c r="K32" s="673"/>
      <c r="L32" s="143" t="s">
        <v>16</v>
      </c>
      <c r="M32" s="672">
        <v>133.03018968376461622479897311</v>
      </c>
      <c r="N32" s="92">
        <v>8.536695446477425955885181380</v>
      </c>
      <c r="O32" s="673"/>
      <c r="P32" s="143" t="s">
        <v>16</v>
      </c>
      <c r="Q32" s="672">
        <v>136.71783335582563964149909898</v>
      </c>
      <c r="R32" s="92">
        <v>-2.1885430217990257651997829600</v>
      </c>
      <c r="S32" s="675"/>
      <c r="T32" s="9"/>
    </row>
    <row r="33" ht="15" customHeight="1">
      <c r="A33" s="2"/>
      <c r="B33" s="44"/>
      <c r="C33" s="45"/>
      <c r="D33" s="19" t="s">
        <v>98</v>
      </c>
      <c r="E33" s="667">
        <v>79.60561969340226050152775876</v>
      </c>
      <c r="F33" s="113">
        <v>-1.2876766637191407802306571500</v>
      </c>
      <c r="G33" s="676"/>
      <c r="H33" s="19" t="s">
        <v>98</v>
      </c>
      <c r="I33" s="667">
        <v>87.79715273205595387758152907</v>
      </c>
      <c r="J33" s="113">
        <v>9.131365186985273498077622710</v>
      </c>
      <c r="K33" s="676"/>
      <c r="L33" s="19" t="s">
        <v>98</v>
      </c>
      <c r="M33" s="667">
        <v>72.745853095583524456528211560</v>
      </c>
      <c r="N33" s="113">
        <v>-6.8997124252470518723980966600</v>
      </c>
      <c r="O33" s="676"/>
      <c r="P33" s="19" t="s">
        <v>98</v>
      </c>
      <c r="Q33" s="667">
        <v>80.15986854133989513365800799</v>
      </c>
      <c r="R33" s="113">
        <v>-1.6187435710697076083564409800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34.844086021505376344086021505</v>
      </c>
      <c r="F35" s="113">
        <v>-5.9383185110952036061028300</v>
      </c>
      <c r="G35" s="671"/>
      <c r="H35" s="53" t="s">
        <v>19</v>
      </c>
      <c r="I35" s="670">
        <v>5.3167224589166159464394400487</v>
      </c>
      <c r="J35" s="113">
        <v>-20.383304526967218359295136410</v>
      </c>
      <c r="K35" s="671"/>
      <c r="L35" s="53" t="s">
        <v>19</v>
      </c>
      <c r="M35" s="670">
        <v>1.2810914992899168188273483465</v>
      </c>
      <c r="N35" s="113">
        <v>4.9422773530170470601241882100</v>
      </c>
      <c r="O35" s="671"/>
      <c r="P35" s="53" t="s">
        <v>19</v>
      </c>
      <c r="Q35" s="670">
        <v>41.441944867113004666260904849</v>
      </c>
      <c r="R35" s="113">
        <v>-7.7890496812530912538332488500</v>
      </c>
      <c r="S35" s="675"/>
      <c r="T35" s="9"/>
    </row>
    <row r="36" ht="15" customHeight="1">
      <c r="A36" s="2"/>
      <c r="B36" s="44"/>
      <c r="C36" s="45"/>
      <c r="D36" s="133" t="s">
        <v>16</v>
      </c>
      <c r="E36" s="672">
        <v>54.860147918552344157795047687</v>
      </c>
      <c r="F36" s="92">
        <v>2.6469520516287196184117564100</v>
      </c>
      <c r="G36" s="673"/>
      <c r="H36" s="143" t="s">
        <v>16</v>
      </c>
      <c r="I36" s="672">
        <v>15.093763922646728766929303407</v>
      </c>
      <c r="J36" s="92">
        <v>-15.508785486449990462305178400</v>
      </c>
      <c r="K36" s="673"/>
      <c r="L36" s="143" t="s">
        <v>16</v>
      </c>
      <c r="M36" s="672">
        <v>4.8498024556840710344125195399</v>
      </c>
      <c r="N36" s="92">
        <v>-21.954039030430542711373935620</v>
      </c>
      <c r="O36" s="673"/>
      <c r="P36" s="143" t="s">
        <v>16</v>
      </c>
      <c r="Q36" s="672">
        <v>74.803714296883143959136870635</v>
      </c>
      <c r="R36" s="92">
        <v>-3.5087175227147224561764394800</v>
      </c>
      <c r="S36" s="675"/>
      <c r="T36" s="9"/>
    </row>
    <row r="37" ht="15" customHeight="1">
      <c r="A37" s="2"/>
      <c r="B37" s="44"/>
      <c r="C37" s="45"/>
      <c r="D37" s="19" t="s">
        <v>99</v>
      </c>
      <c r="E37" s="667">
        <v>63.514385840165955108216457900</v>
      </c>
      <c r="F37" s="113">
        <v>-8.363882600588610673915313220</v>
      </c>
      <c r="G37" s="676"/>
      <c r="H37" s="19" t="s">
        <v>99</v>
      </c>
      <c r="I37" s="667">
        <v>35.224629762201657468498400590</v>
      </c>
      <c r="J37" s="113">
        <v>-5.7692614180537566384136375400</v>
      </c>
      <c r="K37" s="676"/>
      <c r="L37" s="19" t="s">
        <v>99</v>
      </c>
      <c r="M37" s="667">
        <v>26.415333634553357975597685260</v>
      </c>
      <c r="N37" s="113">
        <v>34.462150313576654205413592700</v>
      </c>
      <c r="O37" s="676"/>
      <c r="P37" s="19" t="s">
        <v>99</v>
      </c>
      <c r="Q37" s="667">
        <v>55.400918599613486228783325160</v>
      </c>
      <c r="R37" s="113">
        <v>-4.4359780995828156042162332900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141</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1035" t="s">
        <v>260</v>
      </c>
      <c r="S3" s="1035"/>
      <c r="T3" s="1035"/>
      <c r="U3" s="1035"/>
      <c r="V3" s="1035"/>
      <c r="W3" s="1035"/>
      <c r="X3" s="1035"/>
      <c r="Y3" s="1035"/>
      <c r="Z3" s="1035"/>
      <c r="AA3" s="1035"/>
      <c r="AB3" s="1035"/>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180</v>
      </c>
      <c r="D9" s="415">
        <v>33.129403040415276232851316280</v>
      </c>
      <c r="E9" s="416">
        <v>40.343827638527589017228446340</v>
      </c>
      <c r="F9" s="417">
        <v>57.689209342509747676050288590</v>
      </c>
      <c r="G9" s="415">
        <v>9.640341119762699295513533560</v>
      </c>
      <c r="H9" s="416">
        <v>16.385115370571442063749460420</v>
      </c>
      <c r="I9" s="417">
        <v>8.017854066762192565465018190</v>
      </c>
      <c r="J9" s="415">
        <v>1.1308861698183166481275491300</v>
      </c>
      <c r="K9" s="416">
        <v>5.105057117909265880348060100</v>
      </c>
      <c r="L9" s="417">
        <v>0.6275656804591903059417712800</v>
      </c>
      <c r="M9" s="415">
        <v>43.900630329996292176492398960</v>
      </c>
      <c r="N9" s="416">
        <v>61.834000127008296961325966850</v>
      </c>
      <c r="O9" s="417">
        <v>66.334629089731130547457078070</v>
      </c>
      <c r="P9" s="5"/>
      <c r="Q9" s="415">
        <v>-16.080772843148776561393030530</v>
      </c>
      <c r="R9" s="416">
        <v>4.6250393643588674352124400</v>
      </c>
      <c r="S9" s="417">
        <v>3.3979235288185330733331757900</v>
      </c>
      <c r="T9" s="415">
        <v>-27.863654379495264258476562580</v>
      </c>
      <c r="U9" s="416">
        <v>10.190027772843253335905787200</v>
      </c>
      <c r="V9" s="417">
        <v>2.8486412733296576508612863800</v>
      </c>
      <c r="W9" s="415">
        <v>3.3272837249480434298337194100</v>
      </c>
      <c r="X9" s="416">
        <v>28.726576691972301909153122700</v>
      </c>
      <c r="Y9" s="417">
        <v>-61.563307459876733355253453200</v>
      </c>
      <c r="Z9" s="415">
        <v>-18.606449712097646576320543470</v>
      </c>
      <c r="AA9" s="416">
        <v>7.7320962505314599428002285800</v>
      </c>
      <c r="AB9" s="417">
        <v>1.7060693354879802159247283500</v>
      </c>
    </row>
    <row r="10" ht="18" customHeight="1">
      <c r="A10" s="58"/>
      <c r="B10" s="286"/>
      <c r="C10" s="287" t="s">
        <v>183</v>
      </c>
      <c r="D10" s="271">
        <v>33.714880332986472424557752340</v>
      </c>
      <c r="E10" s="92">
        <v>36.020910819112973869621108870</v>
      </c>
      <c r="F10" s="272">
        <v>57.116637940895538899753256020</v>
      </c>
      <c r="G10" s="271">
        <v>9.573361082206035379812695110</v>
      </c>
      <c r="H10" s="92">
        <v>18.316299815481029452879270200</v>
      </c>
      <c r="I10" s="272">
        <v>7.3227225587505588297296473700</v>
      </c>
      <c r="J10" s="271">
        <v>1.7169614984391259105098855400</v>
      </c>
      <c r="K10" s="92">
        <v>4.4639537448986598985535031900</v>
      </c>
      <c r="L10" s="272">
        <v>0.3049888529981857903766533400</v>
      </c>
      <c r="M10" s="271">
        <v>45.005202913631633714880332990</v>
      </c>
      <c r="N10" s="92">
        <v>58.801164379492663221053882260</v>
      </c>
      <c r="O10" s="272">
        <v>64.744349352644283519859556730</v>
      </c>
      <c r="P10" s="5"/>
      <c r="Q10" s="271">
        <v>-23.884103367195386603169435280</v>
      </c>
      <c r="R10" s="92">
        <v>-14.919058836045345145866221290</v>
      </c>
      <c r="S10" s="272">
        <v>-9.196691972716524961420813320</v>
      </c>
      <c r="T10" s="271">
        <v>150.90909091115520661158723149</v>
      </c>
      <c r="U10" s="92">
        <v>47.076511306575390454944349510</v>
      </c>
      <c r="V10" s="272">
        <v>18.625510388753189883673587200</v>
      </c>
      <c r="W10" s="271">
        <v>62.295081961923891427208120120</v>
      </c>
      <c r="X10" s="92">
        <v>10.492389876457104212671638370</v>
      </c>
      <c r="Y10" s="272">
        <v>-81.48774469421022259902932574</v>
      </c>
      <c r="Z10" s="271">
        <v>-8.465608465536594160297807560</v>
      </c>
      <c r="AA10" s="92">
        <v>-0.0504897506163608266467553300</v>
      </c>
      <c r="AB10" s="272">
        <v>-8.452277522602990616272585780</v>
      </c>
    </row>
    <row r="11" ht="18" customHeight="1">
      <c r="A11" s="58"/>
      <c r="B11" s="288"/>
      <c r="C11" s="289" t="s">
        <v>186</v>
      </c>
      <c r="D11" s="420">
        <v>33.154121863799283154121863800</v>
      </c>
      <c r="E11" s="91">
        <v>35.817595300858219285258609280</v>
      </c>
      <c r="F11" s="421">
        <v>58.835811897170079486569790520</v>
      </c>
      <c r="G11" s="420">
        <v>5.9318996415770609318996415800</v>
      </c>
      <c r="H11" s="91">
        <v>15.428688356865152445262942500</v>
      </c>
      <c r="I11" s="421">
        <v>7.328845721059468661359073600</v>
      </c>
      <c r="J11" s="420">
        <v>1.3261648745519713261648745500</v>
      </c>
      <c r="K11" s="91">
        <v>5.0090877357695687237448693400</v>
      </c>
      <c r="L11" s="421">
        <v>0.2299002048997035527514079900</v>
      </c>
      <c r="M11" s="420">
        <v>40.412186379928315412186379930</v>
      </c>
      <c r="N11" s="91">
        <v>56.255371393492940454266421120</v>
      </c>
      <c r="O11" s="421">
        <v>66.394557823129251700680272110</v>
      </c>
      <c r="P11" s="5"/>
      <c r="Q11" s="420">
        <v>-16.289592760127966257857094640</v>
      </c>
      <c r="R11" s="91">
        <v>-7.2463982328772273154950480900</v>
      </c>
      <c r="S11" s="421">
        <v>-2.2089006058155564335506898500</v>
      </c>
      <c r="T11" s="420">
        <v>-7.0224719099347620249965045600</v>
      </c>
      <c r="U11" s="91">
        <v>53.061445027981584804090231180</v>
      </c>
      <c r="V11" s="421">
        <v>-20.835722579699934191633527580</v>
      </c>
      <c r="W11" s="420">
        <v>7.2463768102885948330341676700</v>
      </c>
      <c r="X11" s="91">
        <v>61.122328052243634429125967410</v>
      </c>
      <c r="Y11" s="421">
        <v>-86.60068519472996578286307549</v>
      </c>
      <c r="Z11" s="420">
        <v>-14.421252371876236187074431320</v>
      </c>
      <c r="AA11" s="91">
        <v>8.591065292154896937757107050</v>
      </c>
      <c r="AB11" s="421">
        <v>-6.6683666964632997678249655400</v>
      </c>
    </row>
    <row r="12" ht="18" customHeight="1">
      <c r="A12" s="58"/>
      <c r="B12" s="286"/>
      <c r="C12" s="287" t="s">
        <v>187</v>
      </c>
      <c r="D12" s="271">
        <v>32.813041970169961845300034690</v>
      </c>
      <c r="E12" s="92">
        <v>38.135955640374720040763537890</v>
      </c>
      <c r="F12" s="272">
        <v>60.507627173593299601421392860</v>
      </c>
      <c r="G12" s="271">
        <v>3.7981269510926118626430801200</v>
      </c>
      <c r="H12" s="92">
        <v>9.218475608033025851580250880</v>
      </c>
      <c r="I12" s="272">
        <v>6.4847636172592750272425205300</v>
      </c>
      <c r="J12" s="271">
        <v>1.3007284079084287200832466200</v>
      </c>
      <c r="K12" s="92">
        <v>6.0050412163935373013828196800</v>
      </c>
      <c r="L12" s="272">
        <v>0.2287342182908676945019120800</v>
      </c>
      <c r="M12" s="271">
        <v>37.911897329171002428026361430</v>
      </c>
      <c r="N12" s="92">
        <v>53.359472464801283193726608450</v>
      </c>
      <c r="O12" s="272">
        <v>67.221125009143442323165825470</v>
      </c>
      <c r="P12" s="5"/>
      <c r="Q12" s="271">
        <v>-21.232306411234504274470035490</v>
      </c>
      <c r="R12" s="92">
        <v>-3.1695220210184901375119237100</v>
      </c>
      <c r="S12" s="272">
        <v>-2.8534043243345338612476460500</v>
      </c>
      <c r="T12" s="271">
        <v>19.021739131753077741035395350</v>
      </c>
      <c r="U12" s="92">
        <v>0.721112652165672805366702900</v>
      </c>
      <c r="V12" s="272">
        <v>-15.968041595973853396598749160</v>
      </c>
      <c r="W12" s="271">
        <v>15.384615386727810650926247780</v>
      </c>
      <c r="X12" s="92">
        <v>77.552268453640691322987691720</v>
      </c>
      <c r="Y12" s="272">
        <v>-86.17840640223471413638099668</v>
      </c>
      <c r="Z12" s="271">
        <v>-17.540550735565634712764347920</v>
      </c>
      <c r="AA12" s="92">
        <v>2.7747582813967157987278383300</v>
      </c>
      <c r="AB12" s="272">
        <v>-6.1901553664219961822368282200</v>
      </c>
    </row>
    <row r="13" ht="18" customHeight="1">
      <c r="A13" s="58"/>
      <c r="B13" s="288"/>
      <c r="C13" s="289" t="s">
        <v>188</v>
      </c>
      <c r="D13" s="420">
        <v>30.394265232974910394265232970</v>
      </c>
      <c r="E13" s="91">
        <v>42.359380588167105114691860020</v>
      </c>
      <c r="F13" s="421">
        <v>62.194267515923566878980891720</v>
      </c>
      <c r="G13" s="420">
        <v>3.3512544802867383512544802900</v>
      </c>
      <c r="H13" s="91">
        <v>9.750931267927476791427935920</v>
      </c>
      <c r="I13" s="421">
        <v>7.5796178343949044585987261100</v>
      </c>
      <c r="J13" s="420">
        <v>1.2724014336917562724014336900</v>
      </c>
      <c r="K13" s="91">
        <v>4.3783314833774868477169136900</v>
      </c>
      <c r="L13" s="421">
        <v>0.2261146496815286624203821700</v>
      </c>
      <c r="M13" s="420">
        <v>35.017921146953405017921146950</v>
      </c>
      <c r="N13" s="91">
        <v>56.488643339472068753836709640</v>
      </c>
      <c r="O13" s="421">
        <v>70.0</v>
      </c>
      <c r="P13" s="5"/>
      <c r="Q13" s="420">
        <v>-40.761439049949262691189662620</v>
      </c>
      <c r="R13" s="91">
        <v>-13.579443229298879768223944700</v>
      </c>
      <c r="S13" s="421">
        <v>-6.8502671551906231941611108800</v>
      </c>
      <c r="T13" s="420">
        <v>-63.261296660185725699684529270</v>
      </c>
      <c r="U13" s="91">
        <v>-41.867043165447011075381876670</v>
      </c>
      <c r="V13" s="421">
        <v>-37.994925074968172495108365410</v>
      </c>
      <c r="W13" s="420">
        <v>5.9701492518017375807880876200</v>
      </c>
      <c r="X13" s="91">
        <v>24.042526889498726101175230330</v>
      </c>
      <c r="Y13" s="421">
        <v>-90.10505223272115841387125523</v>
      </c>
      <c r="Z13" s="420">
        <v>-43.181157313209442921668627760</v>
      </c>
      <c r="AA13" s="91">
        <v>-18.508678710563207501534937420</v>
      </c>
      <c r="AB13" s="421">
        <v>-13.875197619238925950250938190</v>
      </c>
    </row>
    <row r="14" ht="18" customHeight="1">
      <c r="A14" s="58"/>
      <c r="B14" s="286"/>
      <c r="C14" s="287" t="s">
        <v>189</v>
      </c>
      <c r="D14" s="271">
        <v>30.072840790842872008324661810</v>
      </c>
      <c r="E14" s="92">
        <v>38.964830713825182413055227970</v>
      </c>
      <c r="F14" s="272">
        <v>57.704849763188743314029463260</v>
      </c>
      <c r="G14" s="271">
        <v>5.0294831772459243843218869200</v>
      </c>
      <c r="H14" s="92">
        <v>11.005667147837021441784345980</v>
      </c>
      <c r="I14" s="272">
        <v>8.029085756272645575300236870</v>
      </c>
      <c r="J14" s="271">
        <v>1.2660423170308706208810267100</v>
      </c>
      <c r="K14" s="92">
        <v>4.8563303923626283200549784200</v>
      </c>
      <c r="L14" s="272">
        <v>0.2232000229276097208670667500</v>
      </c>
      <c r="M14" s="271">
        <v>36.368366285119667013527575440</v>
      </c>
      <c r="N14" s="92">
        <v>54.826828254024832174894552370</v>
      </c>
      <c r="O14" s="272">
        <v>65.957135542388998610196766880</v>
      </c>
      <c r="P14" s="5"/>
      <c r="Q14" s="271">
        <v>-33.867276887902876906723066160</v>
      </c>
      <c r="R14" s="92">
        <v>-5.6826667104832591361454977500</v>
      </c>
      <c r="S14" s="272">
        <v>-2.8348044294463290792384604700</v>
      </c>
      <c r="T14" s="271">
        <v>67.630057803958501787565335160</v>
      </c>
      <c r="U14" s="92">
        <v>-8.199815498618002557792859550</v>
      </c>
      <c r="V14" s="272">
        <v>-7.8125488317144616865248198800</v>
      </c>
      <c r="W14" s="271">
        <v>-2.6666666660359466666625794700</v>
      </c>
      <c r="X14" s="92">
        <v>22.962592629496439066925024880</v>
      </c>
      <c r="Y14" s="272">
        <v>-91.19968527634788054967661637</v>
      </c>
      <c r="Z14" s="271">
        <v>-26.933797909413724653692529460</v>
      </c>
      <c r="AA14" s="92">
        <v>-4.2336826813198934597660118700</v>
      </c>
      <c r="AB14" s="272">
        <v>-6.6215152644418194466967421400</v>
      </c>
    </row>
    <row r="15" ht="18" customHeight="1">
      <c r="A15" s="58"/>
      <c r="B15" s="288"/>
      <c r="C15" s="289" t="s">
        <v>190</v>
      </c>
      <c r="D15" s="420">
        <v>24.887270204647936177592785290</v>
      </c>
      <c r="E15" s="91">
        <v>33.484044261251688037362112920</v>
      </c>
      <c r="F15" s="421">
        <v>54.797569213034002517845239970</v>
      </c>
      <c r="G15" s="420">
        <v>8.46340617412417620534165800</v>
      </c>
      <c r="H15" s="91">
        <v>8.508697901490253018863306020</v>
      </c>
      <c r="I15" s="421">
        <v>6.0032627922695978942418817700</v>
      </c>
      <c r="J15" s="420">
        <v>1.0058966354491848768643773800</v>
      </c>
      <c r="K15" s="91">
        <v>4.2735205355293118398715334600</v>
      </c>
      <c r="L15" s="421">
        <v>0.1720302578812434179179985900</v>
      </c>
      <c r="M15" s="420">
        <v>34.356573014221297259798820670</v>
      </c>
      <c r="N15" s="91">
        <v>46.266262698271252896096952410</v>
      </c>
      <c r="O15" s="421">
        <v>60.972862263184843830005120330</v>
      </c>
      <c r="P15" s="5"/>
      <c r="Q15" s="420">
        <v>-32.022738038913640422222654850</v>
      </c>
      <c r="R15" s="91">
        <v>-1.8363159167376966242882252500</v>
      </c>
      <c r="S15" s="421">
        <v>-7.1822377698680900637793802400</v>
      </c>
      <c r="T15" s="420">
        <v>577.77777777348518518521237199</v>
      </c>
      <c r="U15" s="91">
        <v>-10.563241432031458040969068850</v>
      </c>
      <c r="V15" s="421">
        <v>9.573389869376282612625026650</v>
      </c>
      <c r="W15" s="420">
        <v>-7.936507932878004535004269690</v>
      </c>
      <c r="X15" s="91">
        <v>26.035575815069083789052190540</v>
      </c>
      <c r="Y15" s="421">
        <v>-89.51671243194295437620871860</v>
      </c>
      <c r="Z15" s="420">
        <v>-11.798753339274918148738154180</v>
      </c>
      <c r="AA15" s="91">
        <v>-1.592115238762486284035535300</v>
      </c>
      <c r="AB15" s="421">
        <v>-7.8368935473706168155780760700</v>
      </c>
    </row>
    <row r="16" ht="18" customHeight="1">
      <c r="A16" s="58"/>
      <c r="B16" s="286"/>
      <c r="C16" s="287" t="s">
        <v>191</v>
      </c>
      <c r="D16" s="271">
        <v>45.143369175627240143369175630</v>
      </c>
      <c r="E16" s="92">
        <v>31.578794975888482250022262250</v>
      </c>
      <c r="F16" s="272">
        <v>57.605676742872985273000746990</v>
      </c>
      <c r="G16" s="271">
        <v>6.7204301075268817204301075300</v>
      </c>
      <c r="H16" s="92">
        <v>11.545502670650379987904633440</v>
      </c>
      <c r="I16" s="272">
        <v>7.923743807121520710905555420</v>
      </c>
      <c r="J16" s="271">
        <v>0.77060931899641577060931900</v>
      </c>
      <c r="K16" s="92">
        <v>4.2667397997472028326685616400</v>
      </c>
      <c r="L16" s="272">
        <v>0.1274199639888651423219666700</v>
      </c>
      <c r="M16" s="271">
        <v>52.634408602150537634408602150</v>
      </c>
      <c r="N16" s="92">
        <v>47.391037446286065070595457340</v>
      </c>
      <c r="O16" s="272">
        <v>65.656840513983371126228269090</v>
      </c>
      <c r="P16" s="5"/>
      <c r="Q16" s="271">
        <v>1.8600889607088352018214466300</v>
      </c>
      <c r="R16" s="92">
        <v>-0.3387849297737119709849680500</v>
      </c>
      <c r="S16" s="272">
        <v>2.2294466764503621239710919300</v>
      </c>
      <c r="T16" s="271">
        <v>-22.680412371121266872143690070</v>
      </c>
      <c r="U16" s="92">
        <v>28.278458796318834662379479340</v>
      </c>
      <c r="V16" s="272">
        <v>0.4968206743955740215216102100</v>
      </c>
      <c r="W16" s="271">
        <v>-29.508196724038699274283092620</v>
      </c>
      <c r="X16" s="92">
        <v>18.372941322336552782150074410</v>
      </c>
      <c r="Y16" s="272">
        <v>-90.77030672437303295202411779</v>
      </c>
      <c r="Z16" s="271">
        <v>-2.7161311692078531890496472500</v>
      </c>
      <c r="AA16" s="92">
        <v>6.9993069993839676234687183500</v>
      </c>
      <c r="AB16" s="272">
        <v>0.0645101833251104442927551200</v>
      </c>
    </row>
    <row r="17" ht="18" customHeight="1">
      <c r="A17" s="58"/>
      <c r="B17" s="288"/>
      <c r="C17" s="289" t="s">
        <v>192</v>
      </c>
      <c r="D17" s="420">
        <v>38.154699965313909122441900800</v>
      </c>
      <c r="E17" s="91">
        <v>36.179879905386043017018328030</v>
      </c>
      <c r="F17" s="421">
        <v>59.729296302380194630632847260</v>
      </c>
      <c r="G17" s="420">
        <v>2.9483177245924384321886923300</v>
      </c>
      <c r="H17" s="91">
        <v>12.835767303436968608278597400</v>
      </c>
      <c r="I17" s="421">
        <v>8.076712671729564869738028120</v>
      </c>
      <c r="J17" s="420">
        <v>1.0926118626430801248699271600</v>
      </c>
      <c r="K17" s="91">
        <v>4.4626394899234982065809335400</v>
      </c>
      <c r="L17" s="421">
        <v>0.1831651901796121622726766600</v>
      </c>
      <c r="M17" s="420">
        <v>42.195629552549427679500520290</v>
      </c>
      <c r="N17" s="91">
        <v>53.478286698746509831877858970</v>
      </c>
      <c r="O17" s="421">
        <v>67.989174164289371662643552040</v>
      </c>
      <c r="P17" s="5"/>
      <c r="Q17" s="420">
        <v>-5.9427105600586738503443925600</v>
      </c>
      <c r="R17" s="91">
        <v>-4.7875135155883604396904778500</v>
      </c>
      <c r="S17" s="421">
        <v>1.94824836576959637578117100</v>
      </c>
      <c r="T17" s="420">
        <v>-54.301075268634408602149806520</v>
      </c>
      <c r="U17" s="91">
        <v>3.8878989427432540264067811200</v>
      </c>
      <c r="V17" s="421">
        <v>-1.0355878316704524904435063100</v>
      </c>
      <c r="W17" s="420">
        <v>1.6129032262129032258080774900</v>
      </c>
      <c r="X17" s="91">
        <v>-25.352767589835642630256947660</v>
      </c>
      <c r="Y17" s="421">
        <v>-87.86397537334876582236996111</v>
      </c>
      <c r="Z17" s="420">
        <v>-12.261089073143329402880157780</v>
      </c>
      <c r="AA17" s="91">
        <v>-5.067229106281079380759458700</v>
      </c>
      <c r="AB17" s="421">
        <v>-0.3943589524011320268872639500</v>
      </c>
    </row>
    <row r="18" ht="18" customHeight="1">
      <c r="A18" s="58"/>
      <c r="B18" s="286"/>
      <c r="C18" s="287" t="s">
        <v>193</v>
      </c>
      <c r="D18" s="271">
        <v>31.164874551971326164874551970</v>
      </c>
      <c r="E18" s="92">
        <v>38.152519553001046714094346520</v>
      </c>
      <c r="F18" s="272">
        <v>57.776641825176894724098038690</v>
      </c>
      <c r="G18" s="271">
        <v>0.6810035842293906810035842300</v>
      </c>
      <c r="H18" s="92">
        <v>7.995589576160543925253683700</v>
      </c>
      <c r="I18" s="272">
        <v>3.9928190403048483707097067700</v>
      </c>
      <c r="J18" s="271">
        <v>1.2544802867383512544802867400</v>
      </c>
      <c r="K18" s="92">
        <v>3.9746655792484768867415953200</v>
      </c>
      <c r="L18" s="272">
        <v>0.2140102088984221944484528900</v>
      </c>
      <c r="M18" s="271">
        <v>33.100358422939068100358422940</v>
      </c>
      <c r="N18" s="92">
        <v>50.122774708410067526089625540</v>
      </c>
      <c r="O18" s="272">
        <v>61.983471074380165289256198350</v>
      </c>
      <c r="P18" s="5"/>
      <c r="Q18" s="271">
        <v>-19.453450671604240980108257690</v>
      </c>
      <c r="R18" s="92">
        <v>14.054559581934005109715981520</v>
      </c>
      <c r="S18" s="272">
        <v>5.4223438517849673788738097700</v>
      </c>
      <c r="T18" s="271">
        <v>-89.75741239890140292500050414</v>
      </c>
      <c r="U18" s="92">
        <v>-33.581751460516904874201970480</v>
      </c>
      <c r="V18" s="272">
        <v>-33.830848022981391930566554610</v>
      </c>
      <c r="W18" s="271">
        <v>18.644067791100258546650598320</v>
      </c>
      <c r="X18" s="92">
        <v>-29.872825418148192917356835020</v>
      </c>
      <c r="Y18" s="272">
        <v>-84.23302906930443192515957748</v>
      </c>
      <c r="Z18" s="271">
        <v>-28.659714175410186693234149260</v>
      </c>
      <c r="AA18" s="92">
        <v>-2.0219595608760346062652893800</v>
      </c>
      <c r="AB18" s="272">
        <v>-0.342546446102601698790629400</v>
      </c>
    </row>
    <row r="19" ht="18" customHeight="1">
      <c r="A19" s="58"/>
      <c r="B19" s="288"/>
      <c r="C19" s="289" t="s">
        <v>195</v>
      </c>
      <c r="D19" s="420">
        <v>20.482136663198057578910856750</v>
      </c>
      <c r="E19" s="91">
        <v>34.762958358508910343068855740</v>
      </c>
      <c r="F19" s="421">
        <v>51.805831753000776726445492040</v>
      </c>
      <c r="G19" s="420">
        <v>2.8616024973985431841831425600</v>
      </c>
      <c r="H19" s="91">
        <v>4.8112809768268775184632972700</v>
      </c>
      <c r="I19" s="421">
        <v>3.9537953446264211196248549400</v>
      </c>
      <c r="J19" s="420">
        <v>1.2140131807145334720776968400</v>
      </c>
      <c r="K19" s="91">
        <v>2.48599948127444204401053100</v>
      </c>
      <c r="L19" s="421">
        <v>0.2047083388490010934717010700</v>
      </c>
      <c r="M19" s="420">
        <v>24.557752341311134235171696150</v>
      </c>
      <c r="N19" s="91">
        <v>42.060238816610229905542684010</v>
      </c>
      <c r="O19" s="421">
        <v>55.964335436476198939542048050</v>
      </c>
      <c r="P19" s="5"/>
      <c r="Q19" s="420">
        <v>-31.575898030052853905036245340</v>
      </c>
      <c r="R19" s="91">
        <v>11.979105133391232248128403980</v>
      </c>
      <c r="S19" s="421">
        <v>12.939293502012871890398767130</v>
      </c>
      <c r="T19" s="420">
        <v>-75.627769571736283324860142310</v>
      </c>
      <c r="U19" s="91">
        <v>-39.923976751994428264193901190</v>
      </c>
      <c r="V19" s="421">
        <v>-43.660723537052608313612944170</v>
      </c>
      <c r="W19" s="420">
        <v>16.666666669665000000077056820</v>
      </c>
      <c r="X19" s="91">
        <v>-52.674908864819561910240680560</v>
      </c>
      <c r="Y19" s="421">
        <v>-82.51273863347675286250328412</v>
      </c>
      <c r="Z19" s="420">
        <v>-42.509135200957195185456072440</v>
      </c>
      <c r="AA19" s="91">
        <v>-5.068382944542676640028862100</v>
      </c>
      <c r="AB19" s="421">
        <v>3.5246305683133397974306832100</v>
      </c>
    </row>
    <row r="20" ht="18" customHeight="1">
      <c r="A20" s="58"/>
      <c r="B20" s="286">
        <v>2025</v>
      </c>
      <c r="C20" s="287" t="s">
        <v>196</v>
      </c>
      <c r="D20" s="271">
        <v>22.459243843218869233437391610</v>
      </c>
      <c r="E20" s="92">
        <v>32.233630169101244098771363980</v>
      </c>
      <c r="F20" s="272">
        <v>50.520048294750932393096879660</v>
      </c>
      <c r="G20" s="271">
        <v>2.9483177245924384321886923300</v>
      </c>
      <c r="H20" s="92">
        <v>7.499492868417693360751293300</v>
      </c>
      <c r="I20" s="272">
        <v>4.7362545276328999118528324700</v>
      </c>
      <c r="J20" s="271">
        <v>1.1099549080818591744710371100</v>
      </c>
      <c r="K20" s="92">
        <v>3.0697047412489589344653424800</v>
      </c>
      <c r="L20" s="272">
        <v>0.1924573268371464091165595400</v>
      </c>
      <c r="M20" s="271">
        <v>26.517516475893166840097121050</v>
      </c>
      <c r="N20" s="92">
        <v>42.802827778767896393987999760</v>
      </c>
      <c r="O20" s="272">
        <v>55.448760149220978714066271670</v>
      </c>
      <c r="P20" s="5"/>
      <c r="Q20" s="271">
        <v>-29.504627109335405499191060290</v>
      </c>
      <c r="R20" s="92">
        <v>5.1573533109685060675996340400</v>
      </c>
      <c r="S20" s="272">
        <v>6.6001080739203384045063763300</v>
      </c>
      <c r="T20" s="271">
        <v>-41.379310344292318668247193400</v>
      </c>
      <c r="U20" s="92">
        <v>-32.094625690768879638816372950</v>
      </c>
      <c r="V20" s="272">
        <v>-3.5835476409114361855584581900</v>
      </c>
      <c r="W20" s="271">
        <v>23.076923079176331360987996990</v>
      </c>
      <c r="X20" s="92">
        <v>-45.675469147284573635516387840</v>
      </c>
      <c r="Y20" s="272">
        <v>-83.64411217090652739735191063</v>
      </c>
      <c r="Z20" s="271">
        <v>-29.830197338229382475846354320</v>
      </c>
      <c r="AA20" s="92">
        <v>-9.598494353878754992451273630</v>
      </c>
      <c r="AB20" s="272">
        <v>3.6791859287763593928876379600</v>
      </c>
    </row>
    <row r="21" ht="18" customHeight="1">
      <c r="A21" s="58"/>
      <c r="B21" s="288"/>
      <c r="C21" s="289" t="s">
        <v>180</v>
      </c>
      <c r="D21" s="420">
        <v>30.721966205837173579109062980</v>
      </c>
      <c r="E21" s="91">
        <v>43.878700853433530126397540530</v>
      </c>
      <c r="F21" s="421">
        <v>59.213211706540002417263383660</v>
      </c>
      <c r="G21" s="420">
        <v>9.927035330261136712749615980</v>
      </c>
      <c r="H21" s="91">
        <v>12.243597961397531085392607060</v>
      </c>
      <c r="I21" s="421">
        <v>8.147400164023769062579951980</v>
      </c>
      <c r="J21" s="420">
        <v>1.4592933947772657450076804900</v>
      </c>
      <c r="K21" s="91">
        <v>3.2370802959292650181493420300</v>
      </c>
      <c r="L21" s="421">
        <v>0.2325206205279032853008172600</v>
      </c>
      <c r="M21" s="420">
        <v>42.108294930875576036866359450</v>
      </c>
      <c r="N21" s="91">
        <v>59.359379110760326229939489610</v>
      </c>
      <c r="O21" s="421">
        <v>67.593132491091674765144152900</v>
      </c>
      <c r="P21" s="5"/>
      <c r="Q21" s="420">
        <v>-7.2667679270497333693663140800</v>
      </c>
      <c r="R21" s="91">
        <v>8.761868721549391780072510260</v>
      </c>
      <c r="S21" s="421">
        <v>2.6417459719234882617742884300</v>
      </c>
      <c r="T21" s="420">
        <v>2.9739010985026691145408485100</v>
      </c>
      <c r="U21" s="91">
        <v>-25.2760955021021151442449700</v>
      </c>
      <c r="V21" s="421">
        <v>1.6157203179861829632365687900</v>
      </c>
      <c r="W21" s="420">
        <v>29.039812648460045302755853900</v>
      </c>
      <c r="X21" s="91">
        <v>-36.590713459816096328160104760</v>
      </c>
      <c r="Y21" s="421">
        <v>-62.948799185027568552513084720</v>
      </c>
      <c r="Z21" s="420">
        <v>-4.0827099420930432074131919400</v>
      </c>
      <c r="AA21" s="91">
        <v>-4.0020393491559397687881535800</v>
      </c>
      <c r="AB21" s="421">
        <v>1.8972042486133186244819520900</v>
      </c>
    </row>
    <row r="22" ht="18" customHeight="1">
      <c r="A22" s="58"/>
      <c r="B22" s="286"/>
      <c r="C22" s="287" t="s">
        <v>183</v>
      </c>
      <c r="D22" s="271">
        <v>39.281997918834547346514047870</v>
      </c>
      <c r="E22" s="92">
        <v>39.821321956870433077882730350</v>
      </c>
      <c r="F22" s="272">
        <v>58.884429278276394039541574450</v>
      </c>
      <c r="G22" s="271">
        <v>4.6826222684703433922996878300</v>
      </c>
      <c r="H22" s="92">
        <v>12.117659508109071466761718050</v>
      </c>
      <c r="I22" s="272">
        <v>9.665744419559578302602177740</v>
      </c>
      <c r="J22" s="271">
        <v>1.3701005896635449184876864400</v>
      </c>
      <c r="K22" s="92">
        <v>2.6353665419117210241786966100</v>
      </c>
      <c r="L22" s="272">
        <v>0.227530932403220109030265800</v>
      </c>
      <c r="M22" s="271">
        <v>45.334720776968435657301422130</v>
      </c>
      <c r="N22" s="92">
        <v>54.574348006891225568823145010</v>
      </c>
      <c r="O22" s="272">
        <v>68.777704630239192451174017990</v>
      </c>
      <c r="P22" s="5"/>
      <c r="Q22" s="271">
        <v>16.512345678965596898338686650</v>
      </c>
      <c r="R22" s="92">
        <v>10.550569242561391181017845430</v>
      </c>
      <c r="S22" s="272">
        <v>3.0950549631537688243580650300</v>
      </c>
      <c r="T22" s="271">
        <v>-51.086956521708293950850642130</v>
      </c>
      <c r="U22" s="92">
        <v>-33.842208141544976629498118240</v>
      </c>
      <c r="V22" s="272">
        <v>31.996594735709028957539613350</v>
      </c>
      <c r="W22" s="271">
        <v>-20.202020200201775329006618100</v>
      </c>
      <c r="X22" s="92">
        <v>-40.963399432115808701181315640</v>
      </c>
      <c r="Y22" s="272">
        <v>-25.396967736647047546270223850</v>
      </c>
      <c r="Z22" s="271">
        <v>0.7321772640399751411674793500</v>
      </c>
      <c r="AA22" s="92">
        <v>-7.1883208729151972543667356800</v>
      </c>
      <c r="AB22" s="272">
        <v>6.2296637744761291558761160600</v>
      </c>
    </row>
    <row r="23" ht="18" customHeight="1">
      <c r="A23" s="58"/>
      <c r="B23" s="288"/>
      <c r="C23" s="289" t="s">
        <v>186</v>
      </c>
      <c r="D23" s="420">
        <v>31.021505376344086021505376340</v>
      </c>
      <c r="E23" s="91">
        <v>38.211596459250123403963749300</v>
      </c>
      <c r="F23" s="421">
        <v>62.101699686525522091732781340</v>
      </c>
      <c r="G23" s="420">
        <v>1.8996415770609318996415770600</v>
      </c>
      <c r="H23" s="91">
        <v>10.721531264901116019302757120</v>
      </c>
      <c r="I23" s="421">
        <v>5.4918214655910326478652525800</v>
      </c>
      <c r="J23" s="420">
        <v>1.2544802867383512544802867400</v>
      </c>
      <c r="K23" s="91">
        <v>2.8962154311587667154689140900</v>
      </c>
      <c r="L23" s="421">
        <v>0.2129792258123946179227521800</v>
      </c>
      <c r="M23" s="420">
        <v>34.175627240143369175627240140</v>
      </c>
      <c r="N23" s="91">
        <v>51.829343155310006138735420500</v>
      </c>
      <c r="O23" s="421">
        <v>67.806500377928949357520786090</v>
      </c>
      <c r="P23" s="5"/>
      <c r="Q23" s="420">
        <v>-6.4324324324344555149744338600</v>
      </c>
      <c r="R23" s="91">
        <v>6.6838690264892478215178953400</v>
      </c>
      <c r="S23" s="421">
        <v>5.5508502118264231816675605200</v>
      </c>
      <c r="T23" s="420">
        <v>-67.975830815833809475999192530</v>
      </c>
      <c r="U23" s="91">
        <v>-30.509120303112186978502952120</v>
      </c>
      <c r="V23" s="421">
        <v>-25.065669621344478053768583920</v>
      </c>
      <c r="W23" s="420">
        <v>-5.4054054088312636960044892400</v>
      </c>
      <c r="X23" s="91">
        <v>-42.180780534956771729442102420</v>
      </c>
      <c r="Y23" s="421">
        <v>-7.3601409337436315078498740400</v>
      </c>
      <c r="Z23" s="420">
        <v>-15.432372505483983657897412290</v>
      </c>
      <c r="AA23" s="91">
        <v>-7.8677433435296761343468944700</v>
      </c>
      <c r="AB23" s="421">
        <v>2.1265938069666700726358106800</v>
      </c>
    </row>
    <row r="24" ht="18" customHeight="1">
      <c r="A24" s="59"/>
      <c r="B24" s="286"/>
      <c r="C24" s="287" t="s">
        <v>187</v>
      </c>
      <c r="D24" s="271">
        <v>36.021505376344086021505376340</v>
      </c>
      <c r="E24" s="92">
        <v>41.054263645545157034393943610</v>
      </c>
      <c r="F24" s="272">
        <v>62.829425800466583155924491710</v>
      </c>
      <c r="G24" s="271">
        <v>1.9771071800208116545265348600</v>
      </c>
      <c r="H24" s="92">
        <v>9.720943688648757931874176970</v>
      </c>
      <c r="I24" s="272">
        <v>7.2625986719488495051557573500</v>
      </c>
      <c r="J24" s="271">
        <v>1.4741588622962192160943461700</v>
      </c>
      <c r="K24" s="92">
        <v>4.0278580730418718809961816700</v>
      </c>
      <c r="L24" s="272">
        <v>0.259815188179988303004309500</v>
      </c>
      <c r="M24" s="271">
        <v>39.472771418661116892126257370</v>
      </c>
      <c r="N24" s="92">
        <v>54.803065407235786847264302260</v>
      </c>
      <c r="O24" s="272">
        <v>70.351839660595420964084558550</v>
      </c>
      <c r="P24" s="93"/>
      <c r="Q24" s="271">
        <v>9.778012684888934715660556210</v>
      </c>
      <c r="R24" s="92">
        <v>7.6523793783040689442146816300</v>
      </c>
      <c r="S24" s="272">
        <v>3.8371999288704613707712761100</v>
      </c>
      <c r="T24" s="271">
        <v>-47.945205479553312066053471630</v>
      </c>
      <c r="U24" s="92">
        <v>5.4506634503941720672628694100</v>
      </c>
      <c r="V24" s="272">
        <v>11.994809688571337111393174450</v>
      </c>
      <c r="W24" s="271">
        <v>13.333333334067733333338092460</v>
      </c>
      <c r="X24" s="92">
        <v>-32.925388387982490834112675750</v>
      </c>
      <c r="Y24" s="272">
        <v>13.588246704401508868736453500</v>
      </c>
      <c r="Z24" s="271">
        <v>4.1171088745772718179147789600</v>
      </c>
      <c r="AA24" s="92">
        <v>2.7054108216457564427452099100</v>
      </c>
      <c r="AB24" s="272">
        <v>4.6573374829290691774914705100</v>
      </c>
    </row>
    <row r="25" ht="18" customHeight="1">
      <c r="A25" s="60"/>
      <c r="B25" s="288"/>
      <c r="C25" s="289" t="s">
        <v>188</v>
      </c>
      <c r="D25" s="420">
        <v>34.820788530465949820788530470</v>
      </c>
      <c r="E25" s="91">
        <v>44.267214155940818371272535290</v>
      </c>
      <c r="F25" s="421">
        <v>64.948172000057103087116697110</v>
      </c>
      <c r="G25" s="420">
        <v>4.6057347670250896057347670300</v>
      </c>
      <c r="H25" s="91">
        <v>10.553027840970642400606651500</v>
      </c>
      <c r="I25" s="421">
        <v>10.180043254325148262733325170</v>
      </c>
      <c r="J25" s="420">
        <v>1.4336917562724014336917562700</v>
      </c>
      <c r="K25" s="91">
        <v>4.9802491019221794982251717100</v>
      </c>
      <c r="L25" s="421">
        <v>0.2519812686714145609587456700</v>
      </c>
      <c r="M25" s="420">
        <v>40.860215053763440860215053760</v>
      </c>
      <c r="N25" s="91">
        <v>59.800491098833640270104358500</v>
      </c>
      <c r="O25" s="421">
        <v>75.380196523053665910808767950</v>
      </c>
      <c r="P25" s="93"/>
      <c r="Q25" s="420">
        <v>14.563679245188449793075905770</v>
      </c>
      <c r="R25" s="91">
        <v>4.5039222511017576043180921500</v>
      </c>
      <c r="S25" s="421">
        <v>4.4279072560072611730840669300</v>
      </c>
      <c r="T25" s="420">
        <v>37.433155079670050616262268400</v>
      </c>
      <c r="U25" s="91">
        <v>8.225845829835134947404765510</v>
      </c>
      <c r="V25" s="421">
        <v>34.308133691426370771395011830</v>
      </c>
      <c r="W25" s="420">
        <v>12.676056337298155127955532890</v>
      </c>
      <c r="X25" s="91">
        <v>13.747648409086638006591177920</v>
      </c>
      <c r="Y25" s="421">
        <v>11.439603318817852321908035130</v>
      </c>
      <c r="Z25" s="420">
        <v>16.683725690735221245242624570</v>
      </c>
      <c r="AA25" s="91">
        <v>5.8628559008387659210662012100</v>
      </c>
      <c r="AB25" s="421">
        <v>7.6859950329338084440125256400</v>
      </c>
    </row>
    <row r="26" ht="18" customHeight="1">
      <c r="A26" s="60"/>
      <c r="B26" s="290"/>
      <c r="C26" s="291" t="s">
        <v>189</v>
      </c>
      <c r="D26" s="273">
        <v>30.887963926465487339576829690</v>
      </c>
      <c r="E26" s="274">
        <v>43.324545771994853851917172450</v>
      </c>
      <c r="F26" s="275">
        <v>63.760449047260066920783721940</v>
      </c>
      <c r="G26" s="273">
        <v>4.5612209503988900450919181400</v>
      </c>
      <c r="H26" s="274">
        <v>12.371825971562089083021570460</v>
      </c>
      <c r="I26" s="275">
        <v>8.768321560314396327516887760</v>
      </c>
      <c r="J26" s="273">
        <v>1.1793270898369753728754769300</v>
      </c>
      <c r="K26" s="274">
        <v>4.6523480330722972480351773700</v>
      </c>
      <c r="L26" s="275">
        <v>0.2076788109026049983528904100</v>
      </c>
      <c r="M26" s="273">
        <v>36.628511966701352757544224770</v>
      </c>
      <c r="N26" s="274">
        <v>60.348719776629240182973920280</v>
      </c>
      <c r="O26" s="275">
        <v>72.736449418477068246653500110</v>
      </c>
      <c r="P26" s="184"/>
      <c r="Q26" s="273">
        <v>2.7104959632375434521459764700</v>
      </c>
      <c r="R26" s="274">
        <v>11.188846398993318476951818250</v>
      </c>
      <c r="S26" s="275">
        <v>10.494090720121573396398409740</v>
      </c>
      <c r="T26" s="273">
        <v>-9.310344826758116527935363780</v>
      </c>
      <c r="U26" s="274">
        <v>12.413230433151707232495287840</v>
      </c>
      <c r="V26" s="275">
        <v>9.206973576466747689168504090</v>
      </c>
      <c r="W26" s="273">
        <v>-6.8493150662218052166832169200</v>
      </c>
      <c r="X26" s="274">
        <v>-4.2003394095041092567988152800</v>
      </c>
      <c r="Y26" s="275">
        <v>-6.9539473140416965643194788400</v>
      </c>
      <c r="Z26" s="273">
        <v>0.715307582314836031854241800</v>
      </c>
      <c r="AA26" s="274">
        <v>10.071513706843655751142551370</v>
      </c>
      <c r="AB26" s="275">
        <v>10.278363091919057484962820640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27">
        <v>41.255832826131061067153580850</v>
      </c>
      <c r="E29" s="428">
        <v>40.049306451094164961619579630</v>
      </c>
      <c r="F29" s="429">
        <v>59.298548103039198463707905990</v>
      </c>
      <c r="G29" s="427">
        <v>5.6553053357679042402109961500</v>
      </c>
      <c r="H29" s="428">
        <v>12.040330740676992180922332060</v>
      </c>
      <c r="I29" s="429">
        <v>7.9099198747032507847284517900</v>
      </c>
      <c r="J29" s="427">
        <v>1.1741732602962061270034489800</v>
      </c>
      <c r="K29" s="428">
        <v>3.5646593438972121545149700600</v>
      </c>
      <c r="L29" s="429">
        <v>1.8705976107571015152653493200</v>
      </c>
      <c r="M29" s="427">
        <v>48.085311422195171434368025970</v>
      </c>
      <c r="N29" s="428">
        <v>55.654296535668369297056881750</v>
      </c>
      <c r="O29" s="429">
        <v>69.079065588499550763701707100</v>
      </c>
      <c r="P29" s="5"/>
      <c r="Q29" s="427">
        <v>10.719390185906451970935688620</v>
      </c>
      <c r="R29" s="428">
        <v>2.0386055406331591843489570900</v>
      </c>
      <c r="S29" s="429">
        <v>12.168711400306241877650151430</v>
      </c>
      <c r="T29" s="427">
        <v>-32.46517262253496641904505800</v>
      </c>
      <c r="U29" s="428">
        <v>10.937006689185954457264886200</v>
      </c>
      <c r="V29" s="429">
        <v>18.706651013573334288365154650</v>
      </c>
      <c r="W29" s="427">
        <v>14.603960393543280070635691370</v>
      </c>
      <c r="X29" s="428">
        <v>-33.168244228098877938017227770</v>
      </c>
      <c r="Y29" s="429">
        <v>43.746644813957734481624832280</v>
      </c>
      <c r="Z29" s="427">
        <v>3.0545138323335816525024878900</v>
      </c>
      <c r="AA29" s="428">
        <v>0.3933182901634679459699614200</v>
      </c>
      <c r="AB29" s="429">
        <v>13.560418769279191016969996960</v>
      </c>
    </row>
    <row r="30" ht="18" customHeight="1">
      <c r="A30" s="58"/>
      <c r="B30" s="286">
        <v>2024</v>
      </c>
      <c r="C30" s="287"/>
      <c r="D30" s="271">
        <v>32.157100307940834974001716390</v>
      </c>
      <c r="E30" s="92">
        <v>37.414832992992248986694254980</v>
      </c>
      <c r="F30" s="272">
        <v>57.313954917414910538681807750</v>
      </c>
      <c r="G30" s="271">
        <v>6.0300873340400827906507143200</v>
      </c>
      <c r="H30" s="92">
        <v>12.977785867323974128766890090</v>
      </c>
      <c r="I30" s="272">
        <v>7.0800401000499724466942721700</v>
      </c>
      <c r="J30" s="271">
        <v>1.2746731283759907112928466900</v>
      </c>
      <c r="K30" s="92">
        <v>5.0699070955112391573766880700</v>
      </c>
      <c r="L30" s="272">
        <v>0.4301610600604667771704481300</v>
      </c>
      <c r="M30" s="271">
        <v>39.461860770356908475945277400</v>
      </c>
      <c r="N30" s="92">
        <v>55.462525955827462272837833150</v>
      </c>
      <c r="O30" s="272">
        <v>64.824156077525349762546528050</v>
      </c>
      <c r="P30" s="5"/>
      <c r="Q30" s="271">
        <v>-22.054414842409781028900550420</v>
      </c>
      <c r="R30" s="92">
        <v>-6.5780751068047326625574884600</v>
      </c>
      <c r="S30" s="272">
        <v>-3.3467820867011851825039147900</v>
      </c>
      <c r="T30" s="271">
        <v>6.6270868854345615198730525800</v>
      </c>
      <c r="U30" s="92">
        <v>7.7859582665373893284025216500</v>
      </c>
      <c r="V30" s="272">
        <v>-10.491633136568307560959114680</v>
      </c>
      <c r="W30" s="271">
        <v>8.559202587385877236779268700</v>
      </c>
      <c r="X30" s="92">
        <v>42.226973362464060766058775760</v>
      </c>
      <c r="Y30" s="272">
        <v>-77.004083744312094618524350250</v>
      </c>
      <c r="Z30" s="271">
        <v>-17.933648336239789004276864140</v>
      </c>
      <c r="AA30" s="92">
        <v>-0.3445746183307241848220978200</v>
      </c>
      <c r="AB30" s="272">
        <v>-6.1594775127980164100905902200</v>
      </c>
    </row>
    <row r="31" ht="18" customHeight="1">
      <c r="A31" s="58"/>
      <c r="B31" s="425">
        <v>2025</v>
      </c>
      <c r="C31" s="426"/>
      <c r="D31" s="430">
        <v>32.187056198011767092716575370</v>
      </c>
      <c r="E31" s="431">
        <v>40.341578066984572767679911290</v>
      </c>
      <c r="F31" s="432">
        <v>60.307976431245151390748140550</v>
      </c>
      <c r="G31" s="430">
        <v>4.3036112801785351998376952700</v>
      </c>
      <c r="H31" s="431">
        <v>10.726722166198818821240314990</v>
      </c>
      <c r="I31" s="432">
        <v>7.7438850978928226723167608600</v>
      </c>
      <c r="J31" s="430">
        <v>1.3237979306147291539866098600</v>
      </c>
      <c r="K31" s="431">
        <v>3.6456404874809817388534976100</v>
      </c>
      <c r="L31" s="432">
        <v>0.2262799161193741592428896300</v>
      </c>
      <c r="M31" s="430">
        <v>37.814465408805031446540880500</v>
      </c>
      <c r="N31" s="431">
        <v>54.713940720664373327773723900</v>
      </c>
      <c r="O31" s="432">
        <v>68.278141445257348222307791040</v>
      </c>
      <c r="P31" s="184"/>
      <c r="Q31" s="430">
        <v>0.0931548237401488020395409100</v>
      </c>
      <c r="R31" s="431">
        <v>7.8224191847445693813788535300</v>
      </c>
      <c r="S31" s="432">
        <v>5.2238962014749979357845551700</v>
      </c>
      <c r="T31" s="430">
        <v>-28.631029008268502801792169370</v>
      </c>
      <c r="U31" s="431">
        <v>-17.345514282009879273604872250</v>
      </c>
      <c r="V31" s="432">
        <v>9.376288672331427505852132960</v>
      </c>
      <c r="W31" s="430">
        <v>3.8539136912999627635838894800</v>
      </c>
      <c r="X31" s="431">
        <v>-28.092558328794296564965573740</v>
      </c>
      <c r="Y31" s="432">
        <v>-47.396466786935426923621339200</v>
      </c>
      <c r="Z31" s="430">
        <v>-4.1746520043237939421725457700</v>
      </c>
      <c r="AA31" s="431">
        <v>-1.3497135628698196454570720100</v>
      </c>
      <c r="AB31" s="432">
        <v>5.3282380778362370224838829300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27">
        <v>46.090462833099579242636746140</v>
      </c>
      <c r="E34" s="428">
        <v>43.174571485290123251850197330</v>
      </c>
      <c r="F34" s="429">
        <v>62.770791540959924665768336490</v>
      </c>
      <c r="G34" s="427">
        <v>5.0607760635811126694717157600</v>
      </c>
      <c r="H34" s="428">
        <v>12.593283303357292270643272730</v>
      </c>
      <c r="I34" s="429">
        <v>9.521179213174245164504184850</v>
      </c>
      <c r="J34" s="427">
        <v>1.2096774193548387096774193500</v>
      </c>
      <c r="K34" s="428">
        <v>3.6214077623975040066922133400</v>
      </c>
      <c r="L34" s="429">
        <v>2.1574031983453727113818215700</v>
      </c>
      <c r="M34" s="427">
        <v>52.360916316035530621785881250</v>
      </c>
      <c r="N34" s="428">
        <v>59.389262551044919529185683400</v>
      </c>
      <c r="O34" s="429">
        <v>74.449373952479542541654342900</v>
      </c>
      <c r="P34" s="5"/>
      <c r="Q34" s="427">
        <v>29.827160493988723182441902010</v>
      </c>
      <c r="R34" s="428">
        <v>4.9549916322237831010076274500</v>
      </c>
      <c r="S34" s="429">
        <v>15.070033295062296412148740250</v>
      </c>
      <c r="T34" s="427">
        <v>-32.131661441813940507659560440</v>
      </c>
      <c r="U34" s="428">
        <v>-2.9978543272527665173522520300</v>
      </c>
      <c r="V34" s="429">
        <v>11.697116380577181127105006160</v>
      </c>
      <c r="W34" s="427">
        <v>22.485207099733594762094173620</v>
      </c>
      <c r="X34" s="428">
        <v>-32.870012337365782186496470280</v>
      </c>
      <c r="Y34" s="429">
        <v>-9.006918860802780564550779370</v>
      </c>
      <c r="Z34" s="427">
        <v>19.148936170099954730647458550</v>
      </c>
      <c r="AA34" s="428">
        <v>-0.2085400515375968123497387800</v>
      </c>
      <c r="AB34" s="429">
        <v>13.758454979534270155906600910</v>
      </c>
    </row>
    <row r="35" ht="18" customHeight="1">
      <c r="A35" s="58"/>
      <c r="B35" s="286">
        <v>2024</v>
      </c>
      <c r="C35" s="287"/>
      <c r="D35" s="271">
        <v>31.100981767180925666199158490</v>
      </c>
      <c r="E35" s="92">
        <v>39.792454289404457929447147200</v>
      </c>
      <c r="F35" s="272">
        <v>60.113204462151634095091340120</v>
      </c>
      <c r="G35" s="271">
        <v>4.0673211781206171107994389900</v>
      </c>
      <c r="H35" s="92">
        <v>9.994308298584736628664571530</v>
      </c>
      <c r="I35" s="272">
        <v>7.3621507131667029612694267700</v>
      </c>
      <c r="J35" s="271">
        <v>1.279803646563814866760168300</v>
      </c>
      <c r="K35" s="92">
        <v>5.08752678666049717060955600</v>
      </c>
      <c r="L35" s="272">
        <v>0.2260152279154202146635848800</v>
      </c>
      <c r="M35" s="271">
        <v>36.448106591865357643758765780</v>
      </c>
      <c r="N35" s="92">
        <v>54.874289374649691728721274720</v>
      </c>
      <c r="O35" s="272">
        <v>67.701370403233757271024351770</v>
      </c>
      <c r="P35" s="5"/>
      <c r="Q35" s="271">
        <v>-32.521871434005941222930994230</v>
      </c>
      <c r="R35" s="92">
        <v>-7.8335860196020224901001046600</v>
      </c>
      <c r="S35" s="272">
        <v>-4.2337957091277233045026894800</v>
      </c>
      <c r="T35" s="271">
        <v>-19.630484988752603086046595370</v>
      </c>
      <c r="U35" s="92">
        <v>-20.637787161617960328426962480</v>
      </c>
      <c r="V35" s="272">
        <v>-22.676061984423703072269078020</v>
      </c>
      <c r="W35" s="271">
        <v>5.7971014453256038648817569200</v>
      </c>
      <c r="X35" s="92">
        <v>40.484781622295480243695740970</v>
      </c>
      <c r="Y35" s="272">
        <v>-89.52373723680781220506894249</v>
      </c>
      <c r="Z35" s="271">
        <v>-30.390624999952765066964253660</v>
      </c>
      <c r="AA35" s="92">
        <v>-7.6023391812166640204670442400</v>
      </c>
      <c r="AB35" s="272">
        <v>-9.063882194055233790349780890</v>
      </c>
    </row>
    <row r="36" ht="18" customHeight="1">
      <c r="A36" s="58"/>
      <c r="B36" s="425">
        <v>2025</v>
      </c>
      <c r="C36" s="426"/>
      <c r="D36" s="430">
        <v>33.900187003272557269752220660</v>
      </c>
      <c r="E36" s="431">
        <v>42.866951267630053137106746260</v>
      </c>
      <c r="F36" s="432">
        <v>63.834035655230861358602777570</v>
      </c>
      <c r="G36" s="430">
        <v>3.7050023375409069658719027600</v>
      </c>
      <c r="H36" s="431">
        <v>10.885507551039734016086605600</v>
      </c>
      <c r="I36" s="432">
        <v>8.721302443803424659726649490</v>
      </c>
      <c r="J36" s="430">
        <v>1.3616175783076203833567087400</v>
      </c>
      <c r="K36" s="431">
        <v>4.5488463298609198689861661100</v>
      </c>
      <c r="L36" s="432">
        <v>0.239692956866335099682995300</v>
      </c>
      <c r="M36" s="430">
        <v>38.966806919121084618980832160</v>
      </c>
      <c r="N36" s="431">
        <v>58.301305148530707022179517970</v>
      </c>
      <c r="O36" s="432">
        <v>72.795031055900621118012422360</v>
      </c>
      <c r="P36" s="184"/>
      <c r="Q36" s="430">
        <v>9.000375798505115139683141530</v>
      </c>
      <c r="R36" s="431">
        <v>7.7263316202364634966780910300</v>
      </c>
      <c r="S36" s="432">
        <v>6.1897069476150960889155125500</v>
      </c>
      <c r="T36" s="430">
        <v>-8.908045976549752279030556750</v>
      </c>
      <c r="U36" s="431">
        <v>8.917067853155710295936993900</v>
      </c>
      <c r="V36" s="432">
        <v>18.461340762374338236423723880</v>
      </c>
      <c r="W36" s="430">
        <v>6.3926940609187965222593185900</v>
      </c>
      <c r="X36" s="431">
        <v>-10.588257898657525136482519030</v>
      </c>
      <c r="Y36" s="432">
        <v>6.0516846999295040345355862600</v>
      </c>
      <c r="Z36" s="430">
        <v>6.9103735769386299992682231400</v>
      </c>
      <c r="AA36" s="431">
        <v>6.2452121257300343320982425200</v>
      </c>
      <c r="AB36" s="432">
        <v>7.5237186815643278621171955900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2023</v>
      </c>
      <c r="C39" s="285"/>
      <c r="D39" s="427">
        <v>37.369273825305641478862866400</v>
      </c>
      <c r="E39" s="428">
        <v>38.310157610545541696528209120</v>
      </c>
      <c r="F39" s="429">
        <v>55.787902719945777803625881840</v>
      </c>
      <c r="G39" s="427">
        <v>5.6709382825158344380615701900</v>
      </c>
      <c r="H39" s="428">
        <v>10.657672522054036046918611400</v>
      </c>
      <c r="I39" s="429">
        <v>6.8311682826168168915770470200</v>
      </c>
      <c r="J39" s="427">
        <v>1.1415525114155251141552511400</v>
      </c>
      <c r="K39" s="428">
        <v>3.5062484263953514929113116300</v>
      </c>
      <c r="L39" s="429">
        <v>1.8131968817600841480238595800</v>
      </c>
      <c r="M39" s="427">
        <v>44.181764619237001031079687730</v>
      </c>
      <c r="N39" s="428">
        <v>52.474078558994929236358132140</v>
      </c>
      <c r="O39" s="429">
        <v>64.432267884322678843226788430</v>
      </c>
      <c r="P39" s="5"/>
      <c r="Q39" s="427">
        <v>1.7404555662854627287627385800</v>
      </c>
      <c r="R39" s="428">
        <v>-4.692688403762912530947520700</v>
      </c>
      <c r="S39" s="429">
        <v>2.562797474156251811865036100</v>
      </c>
      <c r="T39" s="427">
        <v>-35.467650016571924670011845690</v>
      </c>
      <c r="U39" s="428">
        <v>3.5943221988860173462500542700</v>
      </c>
      <c r="V39" s="429">
        <v>10.644013852847571864055784480</v>
      </c>
      <c r="W39" s="427">
        <v>-9.778812569682679185292206960</v>
      </c>
      <c r="X39" s="428">
        <v>-34.193430524190669795689912070</v>
      </c>
      <c r="Y39" s="429">
        <v>97.56396611864727288111692532</v>
      </c>
      <c r="Z39" s="427">
        <v>-5.5602783288044701169643767200</v>
      </c>
      <c r="AA39" s="428">
        <v>-5.9814224693362600529746720400</v>
      </c>
      <c r="AB39" s="429">
        <v>4.7923146202343705595641646900</v>
      </c>
    </row>
    <row r="40" ht="18" customHeight="1">
      <c r="A40" s="58"/>
      <c r="B40" s="286">
        <v>2024</v>
      </c>
      <c r="C40" s="287"/>
      <c r="D40" s="271">
        <v>34.590751513014865738292496620</v>
      </c>
      <c r="E40" s="92">
        <v>35.846097732483922817795453630</v>
      </c>
      <c r="F40" s="272">
        <v>56.311149859829812271128228970</v>
      </c>
      <c r="G40" s="271">
        <v>6.4134202949644514953875080800</v>
      </c>
      <c r="H40" s="92">
        <v>11.804539717767086973913828980</v>
      </c>
      <c r="I40" s="272">
        <v>7.0107558856612420503641830600</v>
      </c>
      <c r="J40" s="271">
        <v>1.1898466419883659439450026400</v>
      </c>
      <c r="K40" s="92">
        <v>4.9486921894020296240176529800</v>
      </c>
      <c r="L40" s="272">
        <v>0.8418565630853442744756555700</v>
      </c>
      <c r="M40" s="271">
        <v>42.194018449967683177625007340</v>
      </c>
      <c r="N40" s="92">
        <v>52.599329639653039415726935590</v>
      </c>
      <c r="O40" s="272">
        <v>64.163762308576398595968067590</v>
      </c>
      <c r="P40" s="5"/>
      <c r="Q40" s="271">
        <v>-7.4353125652765566525205917900</v>
      </c>
      <c r="R40" s="92">
        <v>-6.4318708971866269169301212800</v>
      </c>
      <c r="S40" s="272">
        <v>0.9379222276143493521812811400</v>
      </c>
      <c r="T40" s="271">
        <v>13.092754240611002371414153720</v>
      </c>
      <c r="U40" s="92">
        <v>10.760953606792817351186352790</v>
      </c>
      <c r="V40" s="272">
        <v>2.6289442102996985589760774800</v>
      </c>
      <c r="W40" s="271">
        <v>4.230565839598392385000769400</v>
      </c>
      <c r="X40" s="92">
        <v>41.139234520328671255889450630</v>
      </c>
      <c r="Y40" s="272">
        <v>-53.570592827756523308419051020</v>
      </c>
      <c r="Z40" s="271">
        <v>-4.4990194175460911631540926700</v>
      </c>
      <c r="AA40" s="92">
        <v>0.238691338833537640523117300</v>
      </c>
      <c r="AB40" s="272">
        <v>-0.4167253218616370937398114400</v>
      </c>
    </row>
    <row r="41" ht="18" customHeight="1">
      <c r="A41" s="58"/>
      <c r="B41" s="425">
        <v>2025</v>
      </c>
      <c r="C41" s="426"/>
      <c r="D41" s="430">
        <v>32.060686404477831786713801740</v>
      </c>
      <c r="E41" s="431">
        <v>38.031746148895784052034431930</v>
      </c>
      <c r="F41" s="432">
        <v>58.646549079473303097571220110</v>
      </c>
      <c r="G41" s="430">
        <v>4.3202238915893356900869052900</v>
      </c>
      <c r="H41" s="431">
        <v>10.057879447322888715099883600</v>
      </c>
      <c r="I41" s="432">
        <v>7.015122493041064055360636700</v>
      </c>
      <c r="J41" s="430">
        <v>1.216674031521579024893209600</v>
      </c>
      <c r="K41" s="431">
        <v>3.7479586011626940685578058600</v>
      </c>
      <c r="L41" s="432">
        <v>0.207039970879500706994585400</v>
      </c>
      <c r="M41" s="430">
        <v>37.597584327588746501693916630</v>
      </c>
      <c r="N41" s="431">
        <v>51.837584197381366835692121400</v>
      </c>
      <c r="O41" s="432">
        <v>65.868711543393867859926442210</v>
      </c>
      <c r="P41" s="184"/>
      <c r="Q41" s="430">
        <v>-7.3142819911597224316893905700</v>
      </c>
      <c r="R41" s="431">
        <v>6.0973119939193762059367334200</v>
      </c>
      <c r="S41" s="432">
        <v>4.1473122560768779905773599900</v>
      </c>
      <c r="T41" s="430">
        <v>-32.637755006366136026223035960</v>
      </c>
      <c r="U41" s="431">
        <v>-14.796513140138212639968626220</v>
      </c>
      <c r="V41" s="432">
        <v>0.0622844014576334738609040300</v>
      </c>
      <c r="W41" s="430">
        <v>2.2546930482137734934423254900</v>
      </c>
      <c r="X41" s="431">
        <v>-24.263654765379292261749460190</v>
      </c>
      <c r="Y41" s="432">
        <v>-75.406740298239208798230321710</v>
      </c>
      <c r="Z41" s="430">
        <v>-10.893568072588387225076172780</v>
      </c>
      <c r="AA41" s="431">
        <v>-1.4482037081774827262464158100</v>
      </c>
      <c r="AB41" s="432">
        <v>2.6571840139201906412045071300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143</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1035" t="s">
        <v>260</v>
      </c>
      <c r="S3" s="1035"/>
      <c r="T3" s="1035"/>
      <c r="U3" s="1035"/>
      <c r="V3" s="1035"/>
      <c r="W3" s="1035"/>
      <c r="X3" s="1035"/>
      <c r="Y3" s="1035"/>
      <c r="Z3" s="1035"/>
      <c r="AA3" s="1035"/>
      <c r="AB3" s="1035"/>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180</v>
      </c>
      <c r="D9" s="434">
        <v>118.14941242305540011191941802</v>
      </c>
      <c r="E9" s="435">
        <v>144.62856111563642984310319399</v>
      </c>
      <c r="F9" s="436">
        <v>129.56717787026775298158095241</v>
      </c>
      <c r="G9" s="434">
        <v>118.65</v>
      </c>
      <c r="H9" s="435">
        <v>143.22028301846951121678668325</v>
      </c>
      <c r="I9" s="436">
        <v>124.14281114225132381594380911</v>
      </c>
      <c r="J9" s="434">
        <v>93.3442622950819672131147541</v>
      </c>
      <c r="K9" s="435">
        <v>121.90162090950060759119303853</v>
      </c>
      <c r="L9" s="436">
        <v>91.28456671491950731173668124</v>
      </c>
      <c r="M9" s="434">
        <v>117.62047297297297297297297297</v>
      </c>
      <c r="N9" s="435">
        <v>142.37903615076512272773955017</v>
      </c>
      <c r="O9" s="436">
        <v>128.54935905261872787205469418</v>
      </c>
      <c r="P9" s="5"/>
      <c r="Q9" s="415">
        <v>9.698964017825814319576991020</v>
      </c>
      <c r="R9" s="416">
        <v>3.859445811818923939008730800</v>
      </c>
      <c r="S9" s="417">
        <v>7.8108927685948000021937399400</v>
      </c>
      <c r="T9" s="415">
        <v>1.7275616546044144530656804900</v>
      </c>
      <c r="U9" s="416">
        <v>6.8307019798486402153552474300</v>
      </c>
      <c r="V9" s="417">
        <v>0.7486095066382412164543858800</v>
      </c>
      <c r="W9" s="415">
        <v>0.6359551885828746516712892700</v>
      </c>
      <c r="X9" s="416">
        <v>18.222280091280334054544057230</v>
      </c>
      <c r="Y9" s="417">
        <v>1.1492463610983021987188878600</v>
      </c>
      <c r="Z9" s="415">
        <v>7.3052871538292183944411291200</v>
      </c>
      <c r="AA9" s="416">
        <v>5.145103624665942812599963100</v>
      </c>
      <c r="AB9" s="417">
        <v>7.3085632558375789967439624900</v>
      </c>
    </row>
    <row r="10" ht="18" customHeight="1">
      <c r="A10" s="58"/>
      <c r="B10" s="286"/>
      <c r="C10" s="287" t="s">
        <v>183</v>
      </c>
      <c r="D10" s="276">
        <v>120.34773662551440329218106996</v>
      </c>
      <c r="E10" s="94">
        <v>145.00890114072649670452961856</v>
      </c>
      <c r="F10" s="277">
        <v>128.76923015518635579422256978</v>
      </c>
      <c r="G10" s="276">
        <v>94.95289855072463768115942029</v>
      </c>
      <c r="H10" s="94">
        <v>132.01950478893802256613101314</v>
      </c>
      <c r="I10" s="277">
        <v>119.0468391168717564660214847</v>
      </c>
      <c r="J10" s="276">
        <v>97.6969696969696969696969697</v>
      </c>
      <c r="K10" s="94">
        <v>131.88170762496710186219118409</v>
      </c>
      <c r="L10" s="277">
        <v>93.32549820079131715859486256</v>
      </c>
      <c r="M10" s="276">
        <v>114.08175337186897880539499037</v>
      </c>
      <c r="N10" s="94">
        <v>139.9661972115578904829258436</v>
      </c>
      <c r="O10" s="277">
        <v>127.50264370932754880694143167</v>
      </c>
      <c r="P10" s="5"/>
      <c r="Q10" s="271">
        <v>9.743365029722032930219314260</v>
      </c>
      <c r="R10" s="92">
        <v>7.446486558522781045834165300</v>
      </c>
      <c r="S10" s="272">
        <v>8.086120884740476448544893940</v>
      </c>
      <c r="T10" s="271">
        <v>-18.438084955660792545473610430</v>
      </c>
      <c r="U10" s="92">
        <v>-0.8369981112530028963677795800</v>
      </c>
      <c r="V10" s="272">
        <v>-7.0795356217522301299699337900</v>
      </c>
      <c r="W10" s="271">
        <v>5.3662509108165437174147816600</v>
      </c>
      <c r="X10" s="92">
        <v>18.447619773746003882541425280</v>
      </c>
      <c r="Y10" s="272">
        <v>1.8277549183800275964113442400</v>
      </c>
      <c r="Z10" s="271">
        <v>3.878622823206542039004647600</v>
      </c>
      <c r="AA10" s="92">
        <v>5.2765893633239340814064061500</v>
      </c>
      <c r="AB10" s="272">
        <v>6.8940976291338897261490894300</v>
      </c>
    </row>
    <row r="11" ht="18" customHeight="1">
      <c r="A11" s="58"/>
      <c r="B11" s="288"/>
      <c r="C11" s="289" t="s">
        <v>186</v>
      </c>
      <c r="D11" s="439">
        <v>117.30756756756756756756756757</v>
      </c>
      <c r="E11" s="95">
        <v>143.89840510721321798308329761</v>
      </c>
      <c r="F11" s="440">
        <v>129.92593706903818624881873457</v>
      </c>
      <c r="G11" s="439">
        <v>125.98791540785498489425981873</v>
      </c>
      <c r="H11" s="95">
        <v>140.85718080987800786679398688</v>
      </c>
      <c r="I11" s="440">
        <v>130.12843251440014207701992076</v>
      </c>
      <c r="J11" s="439">
        <v>94.32432432432432432432432432</v>
      </c>
      <c r="K11" s="95">
        <v>131.35986361748184283614641294</v>
      </c>
      <c r="L11" s="440">
        <v>90.9865639691726140756969821</v>
      </c>
      <c r="M11" s="439">
        <v>117.82745454545454545454545455</v>
      </c>
      <c r="N11" s="95">
        <v>141.94785792230467044958533391</v>
      </c>
      <c r="O11" s="440">
        <v>129.81345628415300546448087432</v>
      </c>
      <c r="P11" s="5"/>
      <c r="Q11" s="420">
        <v>5.433640514372532254725774800</v>
      </c>
      <c r="R11" s="91">
        <v>4.450610956222960274871159100</v>
      </c>
      <c r="S11" s="421">
        <v>6.3507093432827457310073391900</v>
      </c>
      <c r="T11" s="420">
        <v>6.8711825324316362542434859200</v>
      </c>
      <c r="U11" s="91">
        <v>-2.960398397173770715938089800</v>
      </c>
      <c r="V11" s="421">
        <v>10.307280506030369823102026070</v>
      </c>
      <c r="W11" s="420">
        <v>0.1751328055298283709620894800</v>
      </c>
      <c r="X11" s="91">
        <v>18.667618541500930308189566480</v>
      </c>
      <c r="Y11" s="421">
        <v>1.0991017474879938266272598100</v>
      </c>
      <c r="Z11" s="420">
        <v>5.476468327719782638637544500</v>
      </c>
      <c r="AA11" s="91">
        <v>3.1749469759971631078091178900</v>
      </c>
      <c r="AB11" s="421">
        <v>7.4213032338823601633928926300</v>
      </c>
    </row>
    <row r="12" ht="18" customHeight="1">
      <c r="A12" s="58"/>
      <c r="B12" s="286"/>
      <c r="C12" s="287" t="s">
        <v>187</v>
      </c>
      <c r="D12" s="276">
        <v>117.7219873150105708245243129</v>
      </c>
      <c r="E12" s="94">
        <v>145.05831512432188627357686407</v>
      </c>
      <c r="F12" s="277">
        <v>132.95955997884306030214994335</v>
      </c>
      <c r="G12" s="276">
        <v>122.82191780821917808219178082</v>
      </c>
      <c r="H12" s="94">
        <v>140.33196699021595540128767116</v>
      </c>
      <c r="I12" s="277">
        <v>125.57223762114158079567135117</v>
      </c>
      <c r="J12" s="276">
        <v>97.10666666666666666666666667</v>
      </c>
      <c r="K12" s="94">
        <v>118.10311721651947248867499252</v>
      </c>
      <c r="L12" s="277">
        <v>93.41826497430761908767196558</v>
      </c>
      <c r="M12" s="276">
        <v>117.52575480329368709972552608</v>
      </c>
      <c r="N12" s="94">
        <v>141.20826207971498552660877309</v>
      </c>
      <c r="O12" s="277">
        <v>132.11236370758884850595225141</v>
      </c>
      <c r="P12" s="5"/>
      <c r="Q12" s="271">
        <v>11.198671416106790332251048320</v>
      </c>
      <c r="R12" s="92">
        <v>6.0518286693754465121533083400</v>
      </c>
      <c r="S12" s="272">
        <v>7.940266433852219977356771370</v>
      </c>
      <c r="T12" s="271">
        <v>1.2283667490167863635441550300</v>
      </c>
      <c r="U12" s="92">
        <v>-2.733380005821236349133507500</v>
      </c>
      <c r="V12" s="272">
        <v>4.4738534562063591251529134800</v>
      </c>
      <c r="W12" s="271">
        <v>4.5022075054928112619329626100</v>
      </c>
      <c r="X12" s="92">
        <v>8.591677193452035587631204120</v>
      </c>
      <c r="Y12" s="272">
        <v>1.9632719488100915529826838800</v>
      </c>
      <c r="Z12" s="271">
        <v>10.226214005229359300678140410</v>
      </c>
      <c r="AA12" s="92">
        <v>3.6189903803210685505260510300</v>
      </c>
      <c r="AB12" s="272">
        <v>8.174776967958106466911479970</v>
      </c>
    </row>
    <row r="13" ht="18" customHeight="1">
      <c r="A13" s="58"/>
      <c r="B13" s="288"/>
      <c r="C13" s="289" t="s">
        <v>188</v>
      </c>
      <c r="D13" s="439">
        <v>110.42511792452830188679245283</v>
      </c>
      <c r="E13" s="95">
        <v>140.0851875515677929549671116</v>
      </c>
      <c r="F13" s="440">
        <v>128.63066526594138771356119598</v>
      </c>
      <c r="G13" s="439">
        <v>105.54010695187165775401069519</v>
      </c>
      <c r="H13" s="95">
        <v>140.60707370458836751135783945</v>
      </c>
      <c r="I13" s="440">
        <v>118.83999071357564767446956605</v>
      </c>
      <c r="J13" s="439">
        <v>95</v>
      </c>
      <c r="K13" s="95">
        <v>119.1312181604136614662904344</v>
      </c>
      <c r="L13" s="440">
        <v>92.15846446816934400877201565</v>
      </c>
      <c r="M13" s="439">
        <v>109.39709314227226202661207779</v>
      </c>
      <c r="N13" s="95">
        <v>138.55117039773962182134318626</v>
      </c>
      <c r="O13" s="440">
        <v>127.45271568945038332793434834</v>
      </c>
      <c r="P13" s="5"/>
      <c r="Q13" s="420">
        <v>-0.5016310083238092794903051400</v>
      </c>
      <c r="R13" s="91">
        <v>-0.243898221893614351956625600</v>
      </c>
      <c r="S13" s="421">
        <v>1.6774251262870498028179979800</v>
      </c>
      <c r="T13" s="420">
        <v>-6.4862402282088546363710218200</v>
      </c>
      <c r="U13" s="91">
        <v>4.4114192326099246789701685100</v>
      </c>
      <c r="V13" s="421">
        <v>3.8256991527914535718046419700</v>
      </c>
      <c r="W13" s="420">
        <v>1.1602034329242746215236538900</v>
      </c>
      <c r="X13" s="91">
        <v>7.949529328592034035524846350</v>
      </c>
      <c r="Y13" s="421">
        <v>-0.6856619238249656577096836900</v>
      </c>
      <c r="Z13" s="420">
        <v>-1.3795264710813315756653270900</v>
      </c>
      <c r="AA13" s="91">
        <v>0.7626931534247070126745672500</v>
      </c>
      <c r="AB13" s="421">
        <v>2.9931422383351941752657794600</v>
      </c>
    </row>
    <row r="14" ht="18" customHeight="1">
      <c r="A14" s="58"/>
      <c r="B14" s="286"/>
      <c r="C14" s="287" t="s">
        <v>189</v>
      </c>
      <c r="D14" s="276">
        <v>109.86735870818915801614763552</v>
      </c>
      <c r="E14" s="94">
        <v>140.92258113821429124943517961</v>
      </c>
      <c r="F14" s="277">
        <v>125.91295617381523447740467271</v>
      </c>
      <c r="G14" s="276">
        <v>109.47586206896551724137931034</v>
      </c>
      <c r="H14" s="94">
        <v>134.17229760537150957395452608</v>
      </c>
      <c r="I14" s="277">
        <v>120.23082301235627084109896332</v>
      </c>
      <c r="J14" s="276">
        <v>97.42465753424657534246575342</v>
      </c>
      <c r="K14" s="94">
        <v>121.30495480960421236589556217</v>
      </c>
      <c r="L14" s="277">
        <v>94.17320424822663739434078787</v>
      </c>
      <c r="M14" s="276">
        <v>109.38009060562708631378159275</v>
      </c>
      <c r="N14" s="94">
        <v>137.82991548380106187019178675</v>
      </c>
      <c r="O14" s="277">
        <v>125.11385161361872019518686925</v>
      </c>
      <c r="P14" s="5"/>
      <c r="Q14" s="271">
        <v>0.866327681826929395457441500</v>
      </c>
      <c r="R14" s="92">
        <v>4.9370690491651770996200913700</v>
      </c>
      <c r="S14" s="272">
        <v>3.0000860492230348669406512500</v>
      </c>
      <c r="T14" s="271">
        <v>-0.2983568228588210075946628100</v>
      </c>
      <c r="U14" s="92">
        <v>1.4918483801382760961804075100</v>
      </c>
      <c r="V14" s="272">
        <v>5.7118119558266368989896061300</v>
      </c>
      <c r="W14" s="271">
        <v>2.7252820900955033134392170200</v>
      </c>
      <c r="X14" s="92">
        <v>11.430731230646605636930583410</v>
      </c>
      <c r="Y14" s="272">
        <v>0.3783521707847660732708977100</v>
      </c>
      <c r="Z14" s="271">
        <v>0.7102988985575264292281716200</v>
      </c>
      <c r="AA14" s="92">
        <v>4.3376094386158889208936714200</v>
      </c>
      <c r="AB14" s="272">
        <v>4.1094534793265940288027053900</v>
      </c>
    </row>
    <row r="15" ht="18" customHeight="1">
      <c r="A15" s="58"/>
      <c r="B15" s="288"/>
      <c r="C15" s="289" t="s">
        <v>190</v>
      </c>
      <c r="D15" s="439">
        <v>106.50871080139372822299651568</v>
      </c>
      <c r="E15" s="95">
        <v>135.52933859657684793654457654</v>
      </c>
      <c r="F15" s="440">
        <v>123.56957858536924407130671954</v>
      </c>
      <c r="G15" s="439">
        <v>107.67827868852459016393442623</v>
      </c>
      <c r="H15" s="95">
        <v>138.79383790697685015122482841</v>
      </c>
      <c r="I15" s="440">
        <v>121.25866294846445355380398999</v>
      </c>
      <c r="J15" s="439">
        <v>98.37931034482758620689655172</v>
      </c>
      <c r="K15" s="95">
        <v>118.73508149321872303950197988</v>
      </c>
      <c r="L15" s="440">
        <v>94.91963186200029498383132368</v>
      </c>
      <c r="M15" s="439">
        <v>106.55835941443715295305401312</v>
      </c>
      <c r="N15" s="95">
        <v>134.57845210580380071905495636</v>
      </c>
      <c r="O15" s="440">
        <v>123.2612169489898747540668938</v>
      </c>
      <c r="P15" s="5"/>
      <c r="Q15" s="420">
        <v>2.0265042617744654262535580400</v>
      </c>
      <c r="R15" s="91">
        <v>2.3905206348491866890389010300</v>
      </c>
      <c r="S15" s="421">
        <v>2.6890553792342396369654286900</v>
      </c>
      <c r="T15" s="420">
        <v>5.4951158739576314534119653400</v>
      </c>
      <c r="U15" s="91">
        <v>3.3469572529900996542974763400</v>
      </c>
      <c r="V15" s="421">
        <v>5.9599145796745753672301486600</v>
      </c>
      <c r="W15" s="420">
        <v>6.0920327237483659394670541100</v>
      </c>
      <c r="X15" s="91">
        <v>7.8801770357130431128231683900</v>
      </c>
      <c r="Y15" s="421">
        <v>3.5725590330711060748135337100</v>
      </c>
      <c r="Z15" s="420">
        <v>2.4680984472401921575587216500</v>
      </c>
      <c r="AA15" s="91">
        <v>2.6157705886378468229330834700</v>
      </c>
      <c r="AB15" s="421">
        <v>3.4644204847495866121546140900</v>
      </c>
    </row>
    <row r="16" ht="18" customHeight="1">
      <c r="A16" s="58"/>
      <c r="B16" s="286"/>
      <c r="C16" s="287" t="s">
        <v>191</v>
      </c>
      <c r="D16" s="276">
        <v>111.02461294164350932909884875</v>
      </c>
      <c r="E16" s="94">
        <v>141.76586926043836517695252346</v>
      </c>
      <c r="F16" s="277">
        <v>126.44804513391316363459223338</v>
      </c>
      <c r="G16" s="276">
        <v>131.87733333333333333333333333</v>
      </c>
      <c r="H16" s="94">
        <v>156.59083299772979734489815855</v>
      </c>
      <c r="I16" s="277">
        <v>125.0878781574714226311272843</v>
      </c>
      <c r="J16" s="276">
        <v>92.60465116279069767441860465</v>
      </c>
      <c r="K16" s="94">
        <v>124.271543134082716277149095</v>
      </c>
      <c r="L16" s="277">
        <v>89.3123580744803574285771963</v>
      </c>
      <c r="M16" s="276">
        <v>113.41747701736465781409601634</v>
      </c>
      <c r="N16" s="94">
        <v>143.80249740932642487046632123</v>
      </c>
      <c r="O16" s="277">
        <v>126.21182538220666789463989685</v>
      </c>
      <c r="P16" s="5"/>
      <c r="Q16" s="271">
        <v>2.5747436432663093534109712400</v>
      </c>
      <c r="R16" s="92">
        <v>5.3482215150712531406170483400</v>
      </c>
      <c r="S16" s="272">
        <v>5.1904861556802097849459375700</v>
      </c>
      <c r="T16" s="271">
        <v>8.562201552487286646445943460</v>
      </c>
      <c r="U16" s="92">
        <v>2.7250705069508010369702376400</v>
      </c>
      <c r="V16" s="272">
        <v>2.4321187471524192195733385900</v>
      </c>
      <c r="W16" s="271">
        <v>-0.5828278611293518685658154500</v>
      </c>
      <c r="X16" s="92">
        <v>11.191755004542377459800770260</v>
      </c>
      <c r="Y16" s="272">
        <v>-3.5638833155475192902511321400</v>
      </c>
      <c r="Z16" s="271">
        <v>3.0511771464398959703073851300</v>
      </c>
      <c r="AA16" s="92">
        <v>5.4704977749635496837495312600</v>
      </c>
      <c r="AB16" s="272">
        <v>5.3016260696120401847664599200</v>
      </c>
    </row>
    <row r="17" ht="18" customHeight="1">
      <c r="A17" s="58"/>
      <c r="B17" s="288"/>
      <c r="C17" s="289" t="s">
        <v>192</v>
      </c>
      <c r="D17" s="439">
        <v>114.73136363636363636363636364</v>
      </c>
      <c r="E17" s="95">
        <v>146.57119152200161151777501636</v>
      </c>
      <c r="F17" s="440">
        <v>132.95191922091151379398980794</v>
      </c>
      <c r="G17" s="439">
        <v>133.23529411764705882352941176</v>
      </c>
      <c r="H17" s="95">
        <v>159.10274514302494849987732205</v>
      </c>
      <c r="I17" s="440">
        <v>131.16200417493305851951162959</v>
      </c>
      <c r="J17" s="439">
        <v>94.68253968253968253968253968</v>
      </c>
      <c r="K17" s="95">
        <v>131.58375210007320172721258283</v>
      </c>
      <c r="L17" s="440">
        <v>90.44748072575430223708727944</v>
      </c>
      <c r="M17" s="439">
        <v>115.5049691738594327990135635</v>
      </c>
      <c r="N17" s="95">
        <v>148.3283264830037769384581204</v>
      </c>
      <c r="O17" s="440">
        <v>132.62477944657227697207040496</v>
      </c>
      <c r="P17" s="5"/>
      <c r="Q17" s="420">
        <v>-6.4467160263749704797187343500</v>
      </c>
      <c r="R17" s="91">
        <v>-2.6189696483851672248505433100</v>
      </c>
      <c r="S17" s="421">
        <v>0.1465296506659290790294574300</v>
      </c>
      <c r="T17" s="420">
        <v>21.238544584953621291304217800</v>
      </c>
      <c r="U17" s="91">
        <v>6.995162997285926827537361700</v>
      </c>
      <c r="V17" s="421">
        <v>-0.3390117084002604480875497100</v>
      </c>
      <c r="W17" s="420">
        <v>1.9860573370167503500410295500</v>
      </c>
      <c r="X17" s="91">
        <v>10.063944708750941702695166570</v>
      </c>
      <c r="Y17" s="421">
        <v>-0.732119582006254911566673700</v>
      </c>
      <c r="Z17" s="420">
        <v>-3.9553383285127001908727005800</v>
      </c>
      <c r="AA17" s="91">
        <v>1.0205278258138634103270525100</v>
      </c>
      <c r="AB17" s="421">
        <v>0.7027861737643878804031561400</v>
      </c>
    </row>
    <row r="18" ht="18" customHeight="1">
      <c r="A18" s="58"/>
      <c r="B18" s="286"/>
      <c r="C18" s="287" t="s">
        <v>193</v>
      </c>
      <c r="D18" s="276">
        <v>120.77573317998849913743530765</v>
      </c>
      <c r="E18" s="94">
        <v>138.03221724417133271302517538</v>
      </c>
      <c r="F18" s="277">
        <v>128.69588378364195038375423708</v>
      </c>
      <c r="G18" s="276">
        <v>133.13157894736842105263157895</v>
      </c>
      <c r="H18" s="94">
        <v>163.89479516642320846101230741</v>
      </c>
      <c r="I18" s="277">
        <v>140.7385933989046456148626465</v>
      </c>
      <c r="J18" s="276">
        <v>92.55714285714285714285714286</v>
      </c>
      <c r="K18" s="94">
        <v>128.85961242493843170999637312</v>
      </c>
      <c r="L18" s="277">
        <v>90.01713783050464064531688079</v>
      </c>
      <c r="M18" s="276">
        <v>119.96041147807255008121277748</v>
      </c>
      <c r="N18" s="94">
        <v>141.43044335578689528475199019</v>
      </c>
      <c r="O18" s="277">
        <v>129.33809876543209876543209877</v>
      </c>
      <c r="P18" s="5"/>
      <c r="Q18" s="271">
        <v>8.381399033895798763138512240</v>
      </c>
      <c r="R18" s="92">
        <v>-1.3839157587143271154749010200</v>
      </c>
      <c r="S18" s="272">
        <v>5.1444717776725158058448297200</v>
      </c>
      <c r="T18" s="271">
        <v>24.196775854199051670101290260</v>
      </c>
      <c r="U18" s="92">
        <v>14.482406358870853679754946980</v>
      </c>
      <c r="V18" s="272">
        <v>16.057126196740596559977358940</v>
      </c>
      <c r="W18" s="271">
        <v>0.6241280370170069693688226200</v>
      </c>
      <c r="X18" s="92">
        <v>7.7275226444896334445227825900</v>
      </c>
      <c r="Y18" s="272">
        <v>-2.3726217602266616898858956200</v>
      </c>
      <c r="Z18" s="271">
        <v>8.674807644302534639762149560</v>
      </c>
      <c r="AA18" s="92">
        <v>2.1412662890634182816844979400</v>
      </c>
      <c r="AB18" s="272">
        <v>6.3370804429546164173161859900</v>
      </c>
    </row>
    <row r="19" ht="18" customHeight="1">
      <c r="A19" s="58"/>
      <c r="B19" s="288"/>
      <c r="C19" s="289" t="s">
        <v>195</v>
      </c>
      <c r="D19" s="439">
        <v>111.44877222692633361558001693</v>
      </c>
      <c r="E19" s="95">
        <v>128.27841161819148437620819888</v>
      </c>
      <c r="F19" s="440">
        <v>120.37556178420626340779623011</v>
      </c>
      <c r="G19" s="439">
        <v>132.53939393939393939393939394</v>
      </c>
      <c r="H19" s="95">
        <v>144.91619485240237345910759644</v>
      </c>
      <c r="I19" s="440">
        <v>144.1016165147413282620160378</v>
      </c>
      <c r="J19" s="439">
        <v>92.62857142857142857142857143</v>
      </c>
      <c r="K19" s="95">
        <v>137.64536780117918056782413596</v>
      </c>
      <c r="L19" s="440">
        <v>90.55072424671270789992437733</v>
      </c>
      <c r="M19" s="439">
        <v>112.97590395480225988700564972</v>
      </c>
      <c r="N19" s="95">
        <v>130.7352521186440677966101695</v>
      </c>
      <c r="O19" s="440">
        <v>121.94267718202508865717461494</v>
      </c>
      <c r="P19" s="5"/>
      <c r="Q19" s="420">
        <v>2.7309280595371712229300438300</v>
      </c>
      <c r="R19" s="91">
        <v>-0.9511294942019233838749650800</v>
      </c>
      <c r="S19" s="421">
        <v>3.6230914353210075014820255100</v>
      </c>
      <c r="T19" s="420">
        <v>33.247950247949456456631983810</v>
      </c>
      <c r="U19" s="91">
        <v>14.486205488103955138451162270</v>
      </c>
      <c r="V19" s="421">
        <v>22.055839095918365184438387240</v>
      </c>
      <c r="W19" s="420">
        <v>-2.0149103364554757390870032400</v>
      </c>
      <c r="X19" s="91">
        <v>15.888759458169118357616015810</v>
      </c>
      <c r="Y19" s="421">
        <v>-0.9801355121825552933844583400</v>
      </c>
      <c r="Z19" s="420">
        <v>6.9165239108966313909585985800</v>
      </c>
      <c r="AA19" s="91">
        <v>2.3708200831142928700288273100</v>
      </c>
      <c r="AB19" s="421">
        <v>5.2341377781561400717476950700</v>
      </c>
    </row>
    <row r="20" ht="18" customHeight="1">
      <c r="A20" s="58"/>
      <c r="B20" s="286">
        <v>2025</v>
      </c>
      <c r="C20" s="287" t="s">
        <v>196</v>
      </c>
      <c r="D20" s="276">
        <v>107.83243243243243243243243243</v>
      </c>
      <c r="E20" s="94">
        <v>130.19042131521356011275170936</v>
      </c>
      <c r="F20" s="277">
        <v>121.47106276149193922884702977</v>
      </c>
      <c r="G20" s="276">
        <v>130.56470588235294117647058824</v>
      </c>
      <c r="H20" s="94">
        <v>151.49710134653648687395646475</v>
      </c>
      <c r="I20" s="277">
        <v>147.51541213958226836242899888</v>
      </c>
      <c r="J20" s="276">
        <v>92.390625</v>
      </c>
      <c r="K20" s="94">
        <v>142.03323202708040292995072767</v>
      </c>
      <c r="L20" s="277">
        <v>89.56074304448482545478935578</v>
      </c>
      <c r="M20" s="276">
        <v>109.71301504251144538914323087</v>
      </c>
      <c r="N20" s="94">
        <v>134.77290423317140874392782791</v>
      </c>
      <c r="O20" s="277">
        <v>123.58492955516859268640177299</v>
      </c>
      <c r="P20" s="5"/>
      <c r="Q20" s="271">
        <v>-3.3598349172728343853306934200</v>
      </c>
      <c r="R20" s="92">
        <v>-7.2567151474438119066959565100</v>
      </c>
      <c r="S20" s="272">
        <v>-0.3951861898773013530759742700</v>
      </c>
      <c r="T20" s="271">
        <v>24.678997352143233630966772470</v>
      </c>
      <c r="U20" s="92">
        <v>13.132305933366876671989186150</v>
      </c>
      <c r="V20" s="272">
        <v>18.963129218728025165914134410</v>
      </c>
      <c r="W20" s="271">
        <v>-1.5106088560966370964447645200</v>
      </c>
      <c r="X20" s="92">
        <v>21.798544035926526443867448130</v>
      </c>
      <c r="Y20" s="272">
        <v>-0.7075029964776095644023377600</v>
      </c>
      <c r="Z20" s="271">
        <v>-0.4817835894056870062383912400</v>
      </c>
      <c r="AA20" s="92">
        <v>-0.9262572963433338434696739800</v>
      </c>
      <c r="AB20" s="272">
        <v>1.7641851455423863723925596400</v>
      </c>
    </row>
    <row r="21" ht="18" customHeight="1">
      <c r="A21" s="58"/>
      <c r="B21" s="288"/>
      <c r="C21" s="289" t="s">
        <v>180</v>
      </c>
      <c r="D21" s="441">
        <v>117.3875</v>
      </c>
      <c r="E21" s="154">
        <v>139.24182669347771596031942681</v>
      </c>
      <c r="F21" s="442">
        <v>132.07942047134394245575697216</v>
      </c>
      <c r="G21" s="441">
        <v>120.98452611218568665377176015</v>
      </c>
      <c r="H21" s="154">
        <v>146.39832862979669968292912065</v>
      </c>
      <c r="I21" s="442">
        <v>131.6194433042050700445946524</v>
      </c>
      <c r="J21" s="441">
        <v>94.06578947368421052631578947</v>
      </c>
      <c r="K21" s="154">
        <v>141.60014163320820143681842581</v>
      </c>
      <c r="L21" s="442">
        <v>91.3600853099069842809921299</v>
      </c>
      <c r="M21" s="441">
        <v>117.42785225718194254445964432</v>
      </c>
      <c r="N21" s="154">
        <v>140.8465501385041551246537396</v>
      </c>
      <c r="O21" s="442">
        <v>131.88390204159877312374197259</v>
      </c>
      <c r="P21" s="5"/>
      <c r="Q21" s="420">
        <v>-0.6448719527876675067628595400</v>
      </c>
      <c r="R21" s="91">
        <v>-3.7245301900063343228819449500</v>
      </c>
      <c r="S21" s="421">
        <v>1.938949850060607487557983300</v>
      </c>
      <c r="T21" s="420">
        <v>1.9675736301607135725004299600</v>
      </c>
      <c r="U21" s="91">
        <v>2.2189912939120405826564336200</v>
      </c>
      <c r="V21" s="421">
        <v>6.0226058143108278503781780600</v>
      </c>
      <c r="W21" s="420">
        <v>0.7729743219815303721061004700</v>
      </c>
      <c r="X21" s="91">
        <v>16.159359142838979525208858610</v>
      </c>
      <c r="Y21" s="421">
        <v>0.0827287653594763625619180600</v>
      </c>
      <c r="Z21" s="420">
        <v>-0.1637646159289581345597669700</v>
      </c>
      <c r="AA21" s="91">
        <v>-1.076342454427574895274243500</v>
      </c>
      <c r="AB21" s="421">
        <v>2.5939786970344522131003786100</v>
      </c>
    </row>
    <row r="22" ht="18" customHeight="1">
      <c r="A22" s="58"/>
      <c r="B22" s="286"/>
      <c r="C22" s="287" t="s">
        <v>183</v>
      </c>
      <c r="D22" s="276">
        <v>113.94481236203090507726269316</v>
      </c>
      <c r="E22" s="94">
        <v>135.23423893814296805660699836</v>
      </c>
      <c r="F22" s="277">
        <v>128.36635248616698071481925352</v>
      </c>
      <c r="G22" s="276">
        <v>128.72222222222222222222222222</v>
      </c>
      <c r="H22" s="94">
        <v>128.13876628301586083681589806</v>
      </c>
      <c r="I22" s="277">
        <v>123.3329704903459724029205145</v>
      </c>
      <c r="J22" s="276">
        <v>96.39240506329113924050632911</v>
      </c>
      <c r="K22" s="94">
        <v>138.66904860495231353781157961</v>
      </c>
      <c r="L22" s="277">
        <v>92.65157133739633618945569191</v>
      </c>
      <c r="M22" s="276">
        <v>114.9407459831675592960979342</v>
      </c>
      <c r="N22" s="94">
        <v>133.82462907527349915637076145</v>
      </c>
      <c r="O22" s="277">
        <v>127.54082913236764299236381426</v>
      </c>
      <c r="P22" s="5"/>
      <c r="Q22" s="271">
        <v>-5.3203528732690806085784676800</v>
      </c>
      <c r="R22" s="92">
        <v>-6.740732552047147259369040700</v>
      </c>
      <c r="S22" s="272">
        <v>-0.3128679643012917018958191800</v>
      </c>
      <c r="T22" s="271">
        <v>35.564289439243529228889998450</v>
      </c>
      <c r="U22" s="92">
        <v>-2.93951905977034522160895900</v>
      </c>
      <c r="V22" s="272">
        <v>3.6003739412494062657135806600</v>
      </c>
      <c r="W22" s="271">
        <v>-1.3353173980266455300654737300</v>
      </c>
      <c r="X22" s="92">
        <v>5.1465370764320307213731981800</v>
      </c>
      <c r="Y22" s="272">
        <v>-0.7221251173539267638278481500</v>
      </c>
      <c r="Z22" s="271">
        <v>0.7529623150753060801343672300</v>
      </c>
      <c r="AA22" s="92">
        <v>-4.3878938334244499706619180400</v>
      </c>
      <c r="AB22" s="272">
        <v>0.0299487304394283398164138800</v>
      </c>
    </row>
    <row r="23" ht="18" customHeight="1">
      <c r="A23" s="58"/>
      <c r="B23" s="288"/>
      <c r="C23" s="289" t="s">
        <v>186</v>
      </c>
      <c r="D23" s="439">
        <v>109.56152512998266897746967071</v>
      </c>
      <c r="E23" s="95">
        <v>135.70607905430494768833894349</v>
      </c>
      <c r="F23" s="440">
        <v>130.32025360972796170124441562</v>
      </c>
      <c r="G23" s="439">
        <v>131.10377358490566037735849057</v>
      </c>
      <c r="H23" s="95">
        <v>150.66871455568694320950117245</v>
      </c>
      <c r="I23" s="440">
        <v>138.04729034162210616615372515</v>
      </c>
      <c r="J23" s="439">
        <v>99.05714285714285714285714286</v>
      </c>
      <c r="K23" s="95">
        <v>138.21603608066847171070871205</v>
      </c>
      <c r="L23" s="440">
        <v>94.56970769827787352780106021</v>
      </c>
      <c r="M23" s="439">
        <v>110.37336654431043523859465128</v>
      </c>
      <c r="N23" s="95">
        <v>138.94153855264716333056970272</v>
      </c>
      <c r="O23" s="440">
        <v>130.83379408748383644713960851</v>
      </c>
      <c r="P23" s="5"/>
      <c r="Q23" s="420">
        <v>-6.603190738869914835676962500</v>
      </c>
      <c r="R23" s="91">
        <v>-5.6931319334582025971683725900</v>
      </c>
      <c r="S23" s="421">
        <v>0.3034933205973733404995401500</v>
      </c>
      <c r="T23" s="420">
        <v>4.0605943518015168489454749200</v>
      </c>
      <c r="U23" s="91">
        <v>6.9655900319547995641395424600</v>
      </c>
      <c r="V23" s="421">
        <v>6.0854170562192902078169176100</v>
      </c>
      <c r="W23" s="420">
        <v>5.0176013098920020830230175900</v>
      </c>
      <c r="X23" s="91">
        <v>5.219381532804118976314155700</v>
      </c>
      <c r="Y23" s="421">
        <v>3.938102037011540467887780300</v>
      </c>
      <c r="Z23" s="420">
        <v>-6.3262743220096551817564348800</v>
      </c>
      <c r="AA23" s="91">
        <v>-2.1179040062009587226377464700</v>
      </c>
      <c r="AB23" s="421">
        <v>0.786003109762377491278663500</v>
      </c>
    </row>
    <row r="24" ht="18" customHeight="1">
      <c r="A24" s="59"/>
      <c r="B24" s="286"/>
      <c r="C24" s="287" t="s">
        <v>187</v>
      </c>
      <c r="D24" s="276">
        <v>109.71497351949927780452575831</v>
      </c>
      <c r="E24" s="94">
        <v>136.52176089879955852129412328</v>
      </c>
      <c r="F24" s="277">
        <v>129.82885552894528975604043194</v>
      </c>
      <c r="G24" s="276">
        <v>115.79824561403508771929824561</v>
      </c>
      <c r="H24" s="94">
        <v>135.08794378762719377766714606</v>
      </c>
      <c r="I24" s="277">
        <v>132.55773810175055864747261995</v>
      </c>
      <c r="J24" s="276">
        <v>99.35294117647058823529411765</v>
      </c>
      <c r="K24" s="94">
        <v>133.52837824404567530544382792</v>
      </c>
      <c r="L24" s="277">
        <v>93.6065557863050872551825178</v>
      </c>
      <c r="M24" s="276">
        <v>109.63275043936731107205623902</v>
      </c>
      <c r="N24" s="94">
        <v>136.04742655826558265582655827</v>
      </c>
      <c r="O24" s="277">
        <v>129.97679302959096674915261286</v>
      </c>
      <c r="P24" s="93"/>
      <c r="Q24" s="271">
        <v>-6.8016298213481465091373119500</v>
      </c>
      <c r="R24" s="92">
        <v>-5.8849120218896075247372717400</v>
      </c>
      <c r="S24" s="272">
        <v>-2.3546290694357679934259340800</v>
      </c>
      <c r="T24" s="271">
        <v>-5.7185820898295634244979442800</v>
      </c>
      <c r="U24" s="92">
        <v>-3.7368700197432702445250371400</v>
      </c>
      <c r="V24" s="272">
        <v>5.5629338243764636161338787300</v>
      </c>
      <c r="W24" s="271">
        <v>2.3132031886960907259006099300</v>
      </c>
      <c r="X24" s="92">
        <v>13.060841568871508538455434610</v>
      </c>
      <c r="Y24" s="272">
        <v>0.2015567427385718821328257100</v>
      </c>
      <c r="Z24" s="271">
        <v>-6.7159784484201088825050433900</v>
      </c>
      <c r="AA24" s="92">
        <v>-3.6547688112764723367150381600</v>
      </c>
      <c r="AB24" s="272">
        <v>-1.6164805609985318340129726400</v>
      </c>
    </row>
    <row r="25" ht="18" customHeight="1">
      <c r="A25" s="60"/>
      <c r="B25" s="288"/>
      <c r="C25" s="289" t="s">
        <v>188</v>
      </c>
      <c r="D25" s="439">
        <v>102.80391147709727225939269171</v>
      </c>
      <c r="E25" s="95">
        <v>136.88927545318230107479440339</v>
      </c>
      <c r="F25" s="440">
        <v>130.22691624279149224737609192</v>
      </c>
      <c r="G25" s="439">
        <v>115.27237354085603112840466926</v>
      </c>
      <c r="H25" s="95">
        <v>144.06853678655387256098285731</v>
      </c>
      <c r="I25" s="440">
        <v>125.16691776387953703894118186</v>
      </c>
      <c r="J25" s="439">
        <v>96.6</v>
      </c>
      <c r="K25" s="95">
        <v>122.99820861739319868583341077</v>
      </c>
      <c r="L25" s="440">
        <v>90.86885273794022823731966944</v>
      </c>
      <c r="M25" s="439">
        <v>103.99178947368421052631578947</v>
      </c>
      <c r="N25" s="95">
        <v>136.99934096391726120207360263</v>
      </c>
      <c r="O25" s="440">
        <v>129.41200064174554789026151131</v>
      </c>
      <c r="P25" s="93"/>
      <c r="Q25" s="420">
        <v>-6.9016964533499602535054825900</v>
      </c>
      <c r="R25" s="91">
        <v>-2.2814061602626568540732157500</v>
      </c>
      <c r="S25" s="421">
        <v>1.2409567917508536071943437300</v>
      </c>
      <c r="T25" s="420">
        <v>9.221391630189952813413422600</v>
      </c>
      <c r="U25" s="91">
        <v>2.4617986782272603556675849800</v>
      </c>
      <c r="V25" s="421">
        <v>5.3239040261515992287809598100</v>
      </c>
      <c r="W25" s="420">
        <v>1.6842105263157894736842105300</v>
      </c>
      <c r="X25" s="91">
        <v>3.2459925422626222524176363900</v>
      </c>
      <c r="Y25" s="421">
        <v>-1.3993415989529235170225305100</v>
      </c>
      <c r="Z25" s="420">
        <v>-4.9409938722821046016522355700</v>
      </c>
      <c r="AA25" s="91">
        <v>-1.1200406530874745558608498700</v>
      </c>
      <c r="AB25" s="421">
        <v>1.537264185895225008360108200</v>
      </c>
    </row>
    <row r="26" ht="18" customHeight="1">
      <c r="A26" s="60"/>
      <c r="B26" s="290"/>
      <c r="C26" s="291" t="s">
        <v>189</v>
      </c>
      <c r="D26" s="443">
        <v>96.0960134755755193711398091</v>
      </c>
      <c r="E26" s="444">
        <v>136.86834837172151783687219318</v>
      </c>
      <c r="F26" s="445">
        <v>131.09197994772118082301212636</v>
      </c>
      <c r="G26" s="443">
        <v>127.09505703422053231939163498</v>
      </c>
      <c r="H26" s="444">
        <v>134.70332086179185765037284306</v>
      </c>
      <c r="I26" s="445">
        <v>120.8700811703917163849588792</v>
      </c>
      <c r="J26" s="443">
        <v>99</v>
      </c>
      <c r="K26" s="444">
        <v>125.34687301678742387719705328</v>
      </c>
      <c r="L26" s="445">
        <v>94.5227945714855130796948103</v>
      </c>
      <c r="M26" s="443">
        <v>100.05007102272727272727272727</v>
      </c>
      <c r="N26" s="444">
        <v>135.53630260373086577742776985</v>
      </c>
      <c r="O26" s="445">
        <v>129.7553249260845954262957823</v>
      </c>
      <c r="P26" s="184"/>
      <c r="Q26" s="273">
        <v>-12.534519255350634045889226340</v>
      </c>
      <c r="R26" s="274">
        <v>-2.8769220189790420691335270700</v>
      </c>
      <c r="S26" s="275">
        <v>4.1131778105284715802507589100</v>
      </c>
      <c r="T26" s="273">
        <v>16.094136764244503461468910460</v>
      </c>
      <c r="U26" s="274">
        <v>0.3957771208134142333185465900</v>
      </c>
      <c r="V26" s="275">
        <v>0.5316924079657897096579978300</v>
      </c>
      <c r="W26" s="273">
        <v>1.6169853768764760616256158600</v>
      </c>
      <c r="X26" s="274">
        <v>3.3320305947367196414818895700</v>
      </c>
      <c r="Y26" s="275">
        <v>0.3712205887824986588930845200</v>
      </c>
      <c r="Z26" s="273">
        <v>-8.529906613914481894155664330</v>
      </c>
      <c r="AA26" s="274">
        <v>-1.6640893031228163886367081200</v>
      </c>
      <c r="AB26" s="275">
        <v>3.7097997165168102496890089400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2023</v>
      </c>
      <c r="C29" s="285"/>
      <c r="D29" s="454">
        <v>108.30913449717236292107204328</v>
      </c>
      <c r="E29" s="455">
        <v>136.68152681602422078676514671</v>
      </c>
      <c r="F29" s="456">
        <v>121.55750027969913950072298461</v>
      </c>
      <c r="G29" s="454">
        <v>115.55470852017937219730941704</v>
      </c>
      <c r="H29" s="455">
        <v>135.91575807361572512439107281</v>
      </c>
      <c r="I29" s="456">
        <v>118.93882352208548522495152489</v>
      </c>
      <c r="J29" s="454">
        <v>93.98920086393088552915766739</v>
      </c>
      <c r="K29" s="455">
        <v>106.84807262003976740906200627</v>
      </c>
      <c r="L29" s="456">
        <v>92.16978357027441281757257405</v>
      </c>
      <c r="M29" s="454">
        <v>108.81160012657560255260798481</v>
      </c>
      <c r="N29" s="455">
        <v>134.60502567624518082632244369</v>
      </c>
      <c r="O29" s="456">
        <v>120.46185552324591148809136713</v>
      </c>
      <c r="P29" s="5"/>
      <c r="Q29" s="427">
        <v>-6.4076054825371966809971101200</v>
      </c>
      <c r="R29" s="428">
        <v>0.1529077779388740391522457900</v>
      </c>
      <c r="S29" s="429">
        <v>0.5140663752790525327040720600</v>
      </c>
      <c r="T29" s="427">
        <v>-8.946033281557784300779797590</v>
      </c>
      <c r="U29" s="428">
        <v>2.0898989873264657211729995400</v>
      </c>
      <c r="V29" s="429">
        <v>2.7167495658729534786805973900</v>
      </c>
      <c r="W29" s="427">
        <v>1.0932540375373397892279273900</v>
      </c>
      <c r="X29" s="428">
        <v>13.254870881952628178325784960</v>
      </c>
      <c r="Y29" s="429">
        <v>1.0475898134977401495665315800</v>
      </c>
      <c r="Z29" s="427">
        <v>-7.1825552524087344237898828100</v>
      </c>
      <c r="AA29" s="428">
        <v>2.1549483145506141452044369700</v>
      </c>
      <c r="AB29" s="429">
        <v>0.6056747583846665217217685300</v>
      </c>
    </row>
    <row r="30" ht="18" customHeight="1">
      <c r="A30" s="58"/>
      <c r="B30" s="286">
        <v>2024</v>
      </c>
      <c r="C30" s="287"/>
      <c r="D30" s="276">
        <v>115.19654631083202511773940345</v>
      </c>
      <c r="E30" s="94">
        <v>142.84567811240095373930723994</v>
      </c>
      <c r="F30" s="277">
        <v>128.42426408167635307130546568</v>
      </c>
      <c r="G30" s="276">
        <v>110.74298869820008371703641691</v>
      </c>
      <c r="H30" s="94">
        <v>137.65290975215562068661328393</v>
      </c>
      <c r="I30" s="277">
        <v>122.97388164849366189650106493</v>
      </c>
      <c r="J30" s="276">
        <v>95.77029702970297029702970297</v>
      </c>
      <c r="K30" s="94">
        <v>122.56701674626661541291365601</v>
      </c>
      <c r="L30" s="277">
        <v>91.48944383347663642469913066</v>
      </c>
      <c r="M30" s="276">
        <v>113.88855187412050658820519381</v>
      </c>
      <c r="N30" s="94">
        <v>139.77691119181265753587476201</v>
      </c>
      <c r="O30" s="277">
        <v>127.58388526434938140825735001</v>
      </c>
      <c r="P30" s="5"/>
      <c r="Q30" s="271">
        <v>6.3590313463451025872956877200</v>
      </c>
      <c r="R30" s="92">
        <v>4.5098642369565449289334341500</v>
      </c>
      <c r="S30" s="272">
        <v>5.6489840496687943437318535700</v>
      </c>
      <c r="T30" s="271">
        <v>-4.1640188302312099028460434300</v>
      </c>
      <c r="U30" s="92">
        <v>1.2781091046226828132842325600</v>
      </c>
      <c r="V30" s="272">
        <v>3.3925492172401625609580617800</v>
      </c>
      <c r="W30" s="271">
        <v>1.8950008611968799150858368700</v>
      </c>
      <c r="X30" s="92">
        <v>14.71149056864158848587909700</v>
      </c>
      <c r="Y30" s="272">
        <v>-0.7381375006749938957232644800</v>
      </c>
      <c r="Z30" s="271">
        <v>4.6658184803950869135505899900</v>
      </c>
      <c r="AA30" s="92">
        <v>3.8422677679612948245583598400</v>
      </c>
      <c r="AB30" s="272">
        <v>5.9122696642986167900593818400</v>
      </c>
    </row>
    <row r="31" ht="18" customHeight="1">
      <c r="A31" s="58"/>
      <c r="B31" s="425">
        <v>2025</v>
      </c>
      <c r="C31" s="426"/>
      <c r="D31" s="457">
        <v>108.25496375669713205168610148</v>
      </c>
      <c r="E31" s="458">
        <v>135.98909747025916588269833</v>
      </c>
      <c r="F31" s="459">
        <v>129.21566101077302136752251661</v>
      </c>
      <c r="G31" s="457">
        <v>123.54095462581025338833235121</v>
      </c>
      <c r="H31" s="458">
        <v>140.71180076061799644556042398</v>
      </c>
      <c r="I31" s="459">
        <v>129.32228790758629704046993983</v>
      </c>
      <c r="J31" s="457">
        <v>96.77394636015325670498084291</v>
      </c>
      <c r="K31" s="458">
        <v>133.03018968376461622479897311</v>
      </c>
      <c r="L31" s="459">
        <v>92.47791173090940159160814551</v>
      </c>
      <c r="M31" s="457">
        <v>109.59283549057742606129702904</v>
      </c>
      <c r="N31" s="458">
        <v>136.71783335582563964149909898</v>
      </c>
      <c r="O31" s="459">
        <v>129.10600207411027875164879235</v>
      </c>
      <c r="P31" s="93"/>
      <c r="Q31" s="430">
        <v>-6.0258599553622859552125059100</v>
      </c>
      <c r="R31" s="431">
        <v>-4.7999916642529733988040771500</v>
      </c>
      <c r="S31" s="432">
        <v>0.6162362967247032952421156300</v>
      </c>
      <c r="T31" s="430">
        <v>11.556457052543200520718950780</v>
      </c>
      <c r="U31" s="431">
        <v>2.2221767879259149160310821900</v>
      </c>
      <c r="V31" s="432">
        <v>5.1624021084673414243624877500</v>
      </c>
      <c r="W31" s="430">
        <v>1.0479755848956049037488609400</v>
      </c>
      <c r="X31" s="431">
        <v>8.536695446477425955885181380</v>
      </c>
      <c r="Y31" s="432">
        <v>1.0804174295870642867505103100</v>
      </c>
      <c r="Z31" s="430">
        <v>-3.7718596933880986498788632900</v>
      </c>
      <c r="AA31" s="431">
        <v>-2.1885430217990257651997829600</v>
      </c>
      <c r="AB31" s="432">
        <v>1.1930321816560882242547725900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2023</v>
      </c>
      <c r="C34" s="285"/>
      <c r="D34" s="454">
        <v>108.73969823760618739698237606</v>
      </c>
      <c r="E34" s="455">
        <v>137.3285205392050485886490851</v>
      </c>
      <c r="F34" s="456">
        <v>124.03621212887077766447064377</v>
      </c>
      <c r="G34" s="454">
        <v>114.0496535796766743648960739</v>
      </c>
      <c r="H34" s="455">
        <v>136.22844209926293254263708862</v>
      </c>
      <c r="I34" s="456">
        <v>115.80306566059517920469204157</v>
      </c>
      <c r="J34" s="454">
        <v>93.93719806763285024154589372</v>
      </c>
      <c r="K34" s="455">
        <v>109.30485722671979581095879438</v>
      </c>
      <c r="L34" s="456">
        <v>92.89641243915965091532950985</v>
      </c>
      <c r="M34" s="454">
        <v>108.91091629464285714285714286</v>
      </c>
      <c r="N34" s="455">
        <v>135.3864403323390127576385729</v>
      </c>
      <c r="O34" s="456">
        <v>122.08091877002939852212834706</v>
      </c>
      <c r="P34" s="5"/>
      <c r="Q34" s="427">
        <v>-7.1469601381250770930973496100</v>
      </c>
      <c r="R34" s="428">
        <v>-0.7282845298647744612605282500</v>
      </c>
      <c r="S34" s="429">
        <v>-0.4384638396064582371387525400</v>
      </c>
      <c r="T34" s="427">
        <v>-11.653285838860599672056572220</v>
      </c>
      <c r="U34" s="428">
        <v>1.5964704714412104816411085600</v>
      </c>
      <c r="V34" s="429">
        <v>1.5414822458027817451964095100</v>
      </c>
      <c r="W34" s="427">
        <v>0.9820397775076274389595632300</v>
      </c>
      <c r="X34" s="428">
        <v>16.365254868430737711945851340</v>
      </c>
      <c r="Y34" s="429">
        <v>1.8325239621614269714601909600</v>
      </c>
      <c r="Z34" s="427">
        <v>-8.170829692595451830555710610</v>
      </c>
      <c r="AA34" s="428">
        <v>1.5010301016317921425399554700</v>
      </c>
      <c r="AB34" s="429">
        <v>0.0650974355483850611836760600</v>
      </c>
    </row>
    <row r="35" ht="18" customHeight="1">
      <c r="A35" s="58"/>
      <c r="B35" s="286">
        <v>2024</v>
      </c>
      <c r="C35" s="287"/>
      <c r="D35" s="276">
        <v>112.83746711762495302517850432</v>
      </c>
      <c r="E35" s="94">
        <v>141.96745396704336488350670246</v>
      </c>
      <c r="F35" s="277">
        <v>129.21982373581386783480966821</v>
      </c>
      <c r="G35" s="276">
        <v>112.61781609195402298850574713</v>
      </c>
      <c r="H35" s="94">
        <v>138.13391918703217327616570384</v>
      </c>
      <c r="I35" s="277">
        <v>121.34922378735099418640621902</v>
      </c>
      <c r="J35" s="276">
        <v>96.52968036529680365296803653</v>
      </c>
      <c r="K35" s="94">
        <v>119.42148570413141685507314961</v>
      </c>
      <c r="L35" s="277">
        <v>93.25849293183020949294207641</v>
      </c>
      <c r="M35" s="276">
        <v>112.2403831970498637165303832</v>
      </c>
      <c r="N35" s="94">
        <v>139.17895779374749206580819319</v>
      </c>
      <c r="O35" s="277">
        <v>128.2438855678285119303329717</v>
      </c>
      <c r="P35" s="5"/>
      <c r="Q35" s="271">
        <v>3.7684203160755388102908140400</v>
      </c>
      <c r="R35" s="92">
        <v>3.3779825265933712095020356300</v>
      </c>
      <c r="S35" s="272">
        <v>4.1791115013468753057160000500</v>
      </c>
      <c r="T35" s="271">
        <v>-1.2554509749083828514150389200</v>
      </c>
      <c r="U35" s="92">
        <v>1.3987366062244386720541340700</v>
      </c>
      <c r="V35" s="272">
        <v>4.7893016433657153464222241800</v>
      </c>
      <c r="W35" s="271">
        <v>2.7598037316710003744825774700</v>
      </c>
      <c r="X35" s="92">
        <v>9.255424446920386743568616410</v>
      </c>
      <c r="Y35" s="272">
        <v>0.3897680040843218132081732100</v>
      </c>
      <c r="Z35" s="271">
        <v>3.0570552665664651110138280200</v>
      </c>
      <c r="AA35" s="92">
        <v>2.801253546617317458379766300</v>
      </c>
      <c r="AB35" s="272">
        <v>5.04826377448839372814377100</v>
      </c>
    </row>
    <row r="36" ht="18" customHeight="1">
      <c r="A36" s="58"/>
      <c r="B36" s="425">
        <v>2025</v>
      </c>
      <c r="C36" s="426"/>
      <c r="D36" s="457">
        <v>103.21892777107395276676435097</v>
      </c>
      <c r="E36" s="458">
        <v>136.76354882993035420986142874</v>
      </c>
      <c r="F36" s="459">
        <v>130.38605082693596690292881028</v>
      </c>
      <c r="G36" s="457">
        <v>120.2712933753943217665615142</v>
      </c>
      <c r="H36" s="458">
        <v>137.77965618072464363428881754</v>
      </c>
      <c r="I36" s="459">
        <v>125.78511425437552938563548711</v>
      </c>
      <c r="J36" s="457">
        <v>98.30472103004291845493562232</v>
      </c>
      <c r="K36" s="458">
        <v>126.94943937587593565425127098</v>
      </c>
      <c r="L36" s="459">
        <v>92.93555641282120063492865288</v>
      </c>
      <c r="M36" s="457">
        <v>104.66874175164967006598680264</v>
      </c>
      <c r="N36" s="458">
        <v>136.18754060085836909871244635</v>
      </c>
      <c r="O36" s="459">
        <v>129.71151606262527764234248876</v>
      </c>
      <c r="P36" s="93"/>
      <c r="Q36" s="430">
        <v>-8.524242516452038075161729970</v>
      </c>
      <c r="R36" s="431">
        <v>-3.6655620648654312498582693300</v>
      </c>
      <c r="S36" s="432">
        <v>0.9025140705348809926269253100</v>
      </c>
      <c r="T36" s="430">
        <v>6.7959738067927243983422727300</v>
      </c>
      <c r="U36" s="431">
        <v>-0.2564634438524615563155631200</v>
      </c>
      <c r="V36" s="432">
        <v>3.6554749412712100332657089300</v>
      </c>
      <c r="W36" s="430">
        <v>1.8388548040619028838565414100</v>
      </c>
      <c r="X36" s="431">
        <v>6.303684489764712908919134100</v>
      </c>
      <c r="Y36" s="432">
        <v>-0.3462810826408733233898844200</v>
      </c>
      <c r="Z36" s="430">
        <v>-6.7459155338599266293568705100</v>
      </c>
      <c r="AA36" s="431">
        <v>-2.1493315083417292167085638200</v>
      </c>
      <c r="AB36" s="432">
        <v>1.1444058235816400727769097300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2023</v>
      </c>
      <c r="C39" s="285"/>
      <c r="D39" s="454">
        <v>109.94406779661016949152542373</v>
      </c>
      <c r="E39" s="455">
        <v>137.07315177246175219743305391</v>
      </c>
      <c r="F39" s="456">
        <v>122.08485458028768881758736167</v>
      </c>
      <c r="G39" s="454">
        <v>118.72675324675324675324675325</v>
      </c>
      <c r="H39" s="455">
        <v>138.59797037968726748887214773</v>
      </c>
      <c r="I39" s="456">
        <v>119.72005622676291852571698374</v>
      </c>
      <c r="J39" s="454">
        <v>93.80387096774193548387096774</v>
      </c>
      <c r="K39" s="455">
        <v>103.57585818611860664275774118</v>
      </c>
      <c r="L39" s="456">
        <v>91.13893929083457161496378385</v>
      </c>
      <c r="M39" s="454">
        <v>110.65440506751125187531255209</v>
      </c>
      <c r="N39" s="455">
        <v>135.14460308073960827299737503</v>
      </c>
      <c r="O39" s="456">
        <v>120.96328343299901459213563532</v>
      </c>
      <c r="P39" s="5"/>
      <c r="Q39" s="427">
        <v>-10.812632437492134783915228800</v>
      </c>
      <c r="R39" s="428">
        <v>0.5902508449935937979664952300</v>
      </c>
      <c r="S39" s="429">
        <v>1.7727834572492234908499164900</v>
      </c>
      <c r="T39" s="427">
        <v>-0.5506791375126980794346522200</v>
      </c>
      <c r="U39" s="428">
        <v>5.605259181641584699388734600</v>
      </c>
      <c r="V39" s="429">
        <v>6.0146750662516183380412364200</v>
      </c>
      <c r="W39" s="427">
        <v>1.1632310470334572261640537300</v>
      </c>
      <c r="X39" s="428">
        <v>13.88825833951758043824715600</v>
      </c>
      <c r="Y39" s="429">
        <v>-0.2720251339185445970100791900</v>
      </c>
      <c r="Z39" s="427">
        <v>-9.088367589916442791584329830</v>
      </c>
      <c r="AA39" s="428">
        <v>3.1517387494874309725115740600</v>
      </c>
      <c r="AB39" s="429">
        <v>1.7988070697572675445293555800</v>
      </c>
    </row>
    <row r="40" ht="18" customHeight="1">
      <c r="A40" s="58"/>
      <c r="B40" s="286">
        <v>2024</v>
      </c>
      <c r="C40" s="287"/>
      <c r="D40" s="276">
        <v>113.39969424154917615084083574</v>
      </c>
      <c r="E40" s="94">
        <v>140.88612695622520685452267802</v>
      </c>
      <c r="F40" s="277">
        <v>126.08103102863464054784446918</v>
      </c>
      <c r="G40" s="276">
        <v>109.67017865322950068712780577</v>
      </c>
      <c r="H40" s="94">
        <v>139.15557881746250398808832388</v>
      </c>
      <c r="I40" s="277">
        <v>122.64351805311541166129133135</v>
      </c>
      <c r="J40" s="276">
        <v>94.74444444444444444444444444</v>
      </c>
      <c r="K40" s="94">
        <v>120.26343830743711928182638476</v>
      </c>
      <c r="L40" s="277">
        <v>91.69942810706821093663676923</v>
      </c>
      <c r="M40" s="276">
        <v>112.30674627489207631249129648</v>
      </c>
      <c r="N40" s="94">
        <v>138.55751054005850687672185204</v>
      </c>
      <c r="O40" s="277">
        <v>125.25433476760533378775614536</v>
      </c>
      <c r="P40" s="5"/>
      <c r="Q40" s="271">
        <v>3.1430767609419312032339241900</v>
      </c>
      <c r="R40" s="92">
        <v>2.7817082589985186477249081900</v>
      </c>
      <c r="S40" s="272">
        <v>3.2732778050746650727011458500</v>
      </c>
      <c r="T40" s="271">
        <v>-7.6280824211072224788119735300</v>
      </c>
      <c r="U40" s="92">
        <v>0.4023207816354683840019088500</v>
      </c>
      <c r="V40" s="272">
        <v>2.4419148457273932374218096700</v>
      </c>
      <c r="W40" s="271">
        <v>1.0027021987912601758769864400</v>
      </c>
      <c r="X40" s="92">
        <v>16.111457258074267967493131530</v>
      </c>
      <c r="Y40" s="272">
        <v>0.6149828170370086321645110700</v>
      </c>
      <c r="Z40" s="271">
        <v>1.4932448521901464630015837300</v>
      </c>
      <c r="AA40" s="92">
        <v>2.5253745851179344442868199100</v>
      </c>
      <c r="AB40" s="272">
        <v>3.5473998496263468964165459200</v>
      </c>
    </row>
    <row r="41" ht="18" customHeight="1">
      <c r="A41" s="58"/>
      <c r="B41" s="425">
        <v>2025</v>
      </c>
      <c r="C41" s="426"/>
      <c r="D41" s="457">
        <v>110.28861527152439584673343747</v>
      </c>
      <c r="E41" s="458">
        <v>136.77381820755478391251272774</v>
      </c>
      <c r="F41" s="459">
        <v>128.16852792873457358097805131</v>
      </c>
      <c r="G41" s="457">
        <v>123.15990453460620525059665871</v>
      </c>
      <c r="H41" s="458">
        <v>145.75109815689817231584114352</v>
      </c>
      <c r="I41" s="459">
        <v>129.75020279096106501767433245</v>
      </c>
      <c r="J41" s="457">
        <v>95.8014527845036319612590799</v>
      </c>
      <c r="K41" s="458">
        <v>130.5765006223975284921173412</v>
      </c>
      <c r="L41" s="459">
        <v>91.97013839780544018690802605</v>
      </c>
      <c r="M41" s="457">
        <v>111.29881919686581782566111655</v>
      </c>
      <c r="N41" s="458">
        <v>138.06757274466003825208415459</v>
      </c>
      <c r="O41" s="459">
        <v>128.2231992484542844343465465</v>
      </c>
      <c r="P41" s="93"/>
      <c r="Q41" s="430">
        <v>-2.7434632789662909800823358600</v>
      </c>
      <c r="R41" s="431">
        <v>-2.9188883515292383510954763200</v>
      </c>
      <c r="S41" s="432">
        <v>1.6556787988678879414476197900</v>
      </c>
      <c r="T41" s="430">
        <v>12.300267991778817691257345780</v>
      </c>
      <c r="U41" s="431">
        <v>4.7396729584575803928250894900</v>
      </c>
      <c r="V41" s="432">
        <v>5.7945864980684422206479674100</v>
      </c>
      <c r="W41" s="430">
        <v>1.1156414988785211935413666200</v>
      </c>
      <c r="X41" s="431">
        <v>8.575392870971118260191533580</v>
      </c>
      <c r="Y41" s="432">
        <v>0.2952148080893864762649262500</v>
      </c>
      <c r="Z41" s="430">
        <v>-0.8974768760257894411293763900</v>
      </c>
      <c r="AA41" s="431">
        <v>-0.3535988727930909237329404500</v>
      </c>
      <c r="AB41" s="432">
        <v>2.3702688504655661161975129700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145</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1035" t="s">
        <v>260</v>
      </c>
      <c r="S3" s="1035"/>
      <c r="T3" s="1035"/>
      <c r="U3" s="1035"/>
      <c r="V3" s="1035"/>
      <c r="W3" s="1035"/>
      <c r="X3" s="1035"/>
      <c r="Y3" s="1035"/>
      <c r="Z3" s="1035"/>
      <c r="AA3" s="1035"/>
      <c r="AB3" s="1035"/>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180</v>
      </c>
      <c r="D9" s="434">
        <v>39.14219503151649981460882462</v>
      </c>
      <c r="E9" s="435">
        <v>58.348697412574895526859975536</v>
      </c>
      <c r="F9" s="436">
        <v>74.746280480760726871581316016</v>
      </c>
      <c r="G9" s="434">
        <v>11.438264738598442714126807564</v>
      </c>
      <c r="H9" s="435">
        <v>23.466808606635168762134149036</v>
      </c>
      <c r="I9" s="436">
        <v>9.953589431761906087600994874</v>
      </c>
      <c r="J9" s="434">
        <v>1.0556173526140155728587319244</v>
      </c>
      <c r="K9" s="435">
        <v>6.2231473750872307435137680847</v>
      </c>
      <c r="L9" s="436">
        <v>0.5728706122587081486894092253</v>
      </c>
      <c r="M9" s="434">
        <v>51.636129032258064516129032258</v>
      </c>
      <c r="N9" s="435">
        <v>88.03865339429729503250789266</v>
      </c>
      <c r="O9" s="436">
        <v>85.27274052478134110787172012</v>
      </c>
      <c r="P9" s="5"/>
      <c r="Q9" s="415">
        <v>-7.941477197164404342633280010</v>
      </c>
      <c r="R9" s="416">
        <v>8.662986064026119867836604430</v>
      </c>
      <c r="S9" s="417">
        <v>11.474224460596997661971027090</v>
      </c>
      <c r="T9" s="415">
        <v>-26.617454533672514453876025070</v>
      </c>
      <c r="U9" s="416">
        <v>17.716780181528548344085328620</v>
      </c>
      <c r="V9" s="417">
        <v>3.6185759795518684304411519100</v>
      </c>
      <c r="W9" s="415">
        <v>3.9843989500723590141011749300</v>
      </c>
      <c r="X9" s="416">
        <v>52.183494049774618461525710210</v>
      </c>
      <c r="Y9" s="417">
        <v>-61.121575169358053756716110900</v>
      </c>
      <c r="Z9" s="415">
        <v>-12.660417138870887119715226190</v>
      </c>
      <c r="AA9" s="416">
        <v>13.275024239765803880900337970</v>
      </c>
      <c r="AB9" s="417">
        <v>9.139321747926963232500404160</v>
      </c>
    </row>
    <row r="10" ht="18" customHeight="1">
      <c r="A10" s="58"/>
      <c r="B10" s="286"/>
      <c r="C10" s="287" t="s">
        <v>183</v>
      </c>
      <c r="D10" s="276">
        <v>40.575095386749913284772806105</v>
      </c>
      <c r="E10" s="94">
        <v>52.233526959676787233555314834</v>
      </c>
      <c r="F10" s="277">
        <v>73.548654967016269518218810478</v>
      </c>
      <c r="G10" s="276">
        <v>9.090183836281651057925771766</v>
      </c>
      <c r="H10" s="94">
        <v>24.181088312055223869325063506</v>
      </c>
      <c r="I10" s="277">
        <v>8.717469743490652657173907588</v>
      </c>
      <c r="J10" s="276">
        <v>1.6774193548387096774193548387</v>
      </c>
      <c r="K10" s="94">
        <v>5.8871384263610204422987341193</v>
      </c>
      <c r="L10" s="277">
        <v>0.2846323665174359549561956928</v>
      </c>
      <c r="M10" s="276">
        <v>51.342724592438432188692334374</v>
      </c>
      <c r="N10" s="94">
        <v>82.30175369809303154517911246</v>
      </c>
      <c r="O10" s="277">
        <v>82.55075707702435813034891376</v>
      </c>
      <c r="P10" s="5"/>
      <c r="Q10" s="271">
        <v>-16.467853712740364620619475130</v>
      </c>
      <c r="R10" s="92">
        <v>-8.583517988489229611299891610</v>
      </c>
      <c r="S10" s="272">
        <v>-1.8542267182291283199232560500</v>
      </c>
      <c r="T10" s="271">
        <v>104.64625956491123728728518625</v>
      </c>
      <c r="U10" s="92">
        <v>45.845483684669917496015562020</v>
      </c>
      <c r="V10" s="272">
        <v>10.227375124192320534936713270</v>
      </c>
      <c r="W10" s="271">
        <v>71.004243284494417314082291680</v>
      </c>
      <c r="X10" s="92">
        <v>30.875605838382376805089399840</v>
      </c>
      <c r="Y10" s="272">
        <v>-81.14938603768489611636960023</v>
      </c>
      <c r="Z10" s="271">
        <v>-4.9153346644153312349941984500</v>
      </c>
      <c r="AA10" s="92">
        <v>5.2234354758919183618295285500</v>
      </c>
      <c r="AB10" s="272">
        <v>-2.1408881578316269599369272900</v>
      </c>
    </row>
    <row r="11" ht="18" customHeight="1">
      <c r="A11" s="58"/>
      <c r="B11" s="288"/>
      <c r="C11" s="289" t="s">
        <v>186</v>
      </c>
      <c r="D11" s="439">
        <v>38.89229390681003584229390681</v>
      </c>
      <c r="E11" s="95">
        <v>51.540948385691125389097261387</v>
      </c>
      <c r="F11" s="440">
        <v>76.442979939574879655143520342</v>
      </c>
      <c r="G11" s="439">
        <v>7.473476702508960573476702509</v>
      </c>
      <c r="H11" s="95">
        <v>21.732415455422144041653911625</v>
      </c>
      <c r="I11" s="440">
        <v>9.536912058213373158293454231</v>
      </c>
      <c r="J11" s="439">
        <v>1.2508960573476702508960573477</v>
      </c>
      <c r="K11" s="95">
        <v>6.5799308181869147313114420909</v>
      </c>
      <c r="L11" s="440">
        <v>0.2091782969963276854292385808</v>
      </c>
      <c r="M11" s="439">
        <v>47.616650537634408602150537634</v>
      </c>
      <c r="N11" s="95">
        <v>79.8532946593001841620626151</v>
      </c>
      <c r="O11" s="440">
        <v>86.18907029478458049886621315</v>
      </c>
      <c r="P11" s="5"/>
      <c r="Q11" s="420">
        <v>-11.74107015775676256190022700</v>
      </c>
      <c r="R11" s="91">
        <v>-3.118296270271788406920123400</v>
      </c>
      <c r="S11" s="421">
        <v>4.0015278803898942011180674700</v>
      </c>
      <c r="T11" s="420">
        <v>-0.6338162408791876395049708600</v>
      </c>
      <c r="U11" s="91">
        <v>48.530216463132814404929151600</v>
      </c>
      <c r="V11" s="421">
        <v>-12.676038445334703767341815550</v>
      </c>
      <c r="W11" s="420">
        <v>7.4342003967452187651957818200</v>
      </c>
      <c r="X11" s="91">
        <v>91.20002963437844358412279677</v>
      </c>
      <c r="Y11" s="421">
        <v>-86.45341309172330281229090689</v>
      </c>
      <c r="Z11" s="420">
        <v>-9.734559362771999342678643710</v>
      </c>
      <c r="AA11" s="91">
        <v>12.038774035848980612499971150</v>
      </c>
      <c r="AB11" s="421">
        <v>0.2580568242142763179342311300</v>
      </c>
    </row>
    <row r="12" ht="18" customHeight="1">
      <c r="A12" s="58"/>
      <c r="B12" s="286"/>
      <c r="C12" s="287" t="s">
        <v>187</v>
      </c>
      <c r="D12" s="276">
        <v>38.628165105792577176552202567</v>
      </c>
      <c r="E12" s="94">
        <v>55.319374708486367977667282139</v>
      </c>
      <c r="F12" s="277">
        <v>80.45067484364852514581456868</v>
      </c>
      <c r="G12" s="276">
        <v>4.6649323621227887617065556712</v>
      </c>
      <c r="H12" s="94">
        <v>12.93646814726601542232969787</v>
      </c>
      <c r="I12" s="277">
        <v>8.143062778634152984797612335</v>
      </c>
      <c r="J12" s="276">
        <v>1.263093999306278182448838016</v>
      </c>
      <c r="K12" s="94">
        <v>7.0921408666975661039535932665</v>
      </c>
      <c r="L12" s="277">
        <v>0.2136795381298739870090610301</v>
      </c>
      <c r="M12" s="276">
        <v>44.556243496357960457856399584</v>
      </c>
      <c r="N12" s="94">
        <v>75.347983722449949503950573279</v>
      </c>
      <c r="O12" s="277">
        <v>88.80741716041255211762124205</v>
      </c>
      <c r="P12" s="5"/>
      <c r="Q12" s="271">
        <v>-12.411371224255103014526447670</v>
      </c>
      <c r="R12" s="92">
        <v>2.6904926061586923648475846300</v>
      </c>
      <c r="S12" s="272">
        <v>4.8602942037292798825875442600</v>
      </c>
      <c r="T12" s="271">
        <v>20.483762598215305936806432930</v>
      </c>
      <c r="U12" s="92">
        <v>-2.031978103320795812759863100</v>
      </c>
      <c r="V12" s="272">
        <v>-12.208574920148099842948303260</v>
      </c>
      <c r="W12" s="271">
        <v>20.579470198935022038507641610</v>
      </c>
      <c r="X12" s="92">
        <v>92.80698620604523994993975725</v>
      </c>
      <c r="Y12" s="272">
        <v>-85.90705093277468104202015717</v>
      </c>
      <c r="Z12" s="271">
        <v>-9.108070986195240707175412560</v>
      </c>
      <c r="AA12" s="92">
        <v>6.4941668968608354570424656200</v>
      </c>
      <c r="AB12" s="272">
        <v>1.4785902064429453586473327700</v>
      </c>
    </row>
    <row r="13" ht="18" customHeight="1">
      <c r="A13" s="58"/>
      <c r="B13" s="288"/>
      <c r="C13" s="289" t="s">
        <v>188</v>
      </c>
      <c r="D13" s="439">
        <v>33.562903225806451612903225806</v>
      </c>
      <c r="E13" s="95">
        <v>59.339217742616289691950724834</v>
      </c>
      <c r="F13" s="440">
        <v>80.00090006301176307828460498</v>
      </c>
      <c r="G13" s="439">
        <v>3.536917562724014336917562724</v>
      </c>
      <c r="H13" s="95">
        <v>13.710499114778540317025890534</v>
      </c>
      <c r="I13" s="440">
        <v>9.007617130519428072141323796</v>
      </c>
      <c r="J13" s="439">
        <v>1.2087813620071684587813620072</v>
      </c>
      <c r="K13" s="95">
        <v>5.2159596312485094630921384669</v>
      </c>
      <c r="L13" s="440">
        <v>0.2083837890840771791281150672</v>
      </c>
      <c r="M13" s="439">
        <v>38.30858781362007168458781362</v>
      </c>
      <c r="N13" s="95">
        <v>78.265676488643339472068753837</v>
      </c>
      <c r="O13" s="440">
        <v>89.21690098261526832955404384</v>
      </c>
      <c r="P13" s="5"/>
      <c r="Q13" s="420">
        <v>-41.058598040523162242821085130</v>
      </c>
      <c r="R13" s="91">
        <v>-13.790221430607667613751093590</v>
      </c>
      <c r="S13" s="421">
        <v>-5.2877501313556458180225263400</v>
      </c>
      <c r="T13" s="420">
        <v>-65.644257215628611297731875220</v>
      </c>
      <c r="U13" s="91">
        <v>-39.302554727440233865240633510</v>
      </c>
      <c r="V13" s="421">
        <v>-35.622797449255693507351800610</v>
      </c>
      <c r="W13" s="420">
        <v>7.1996185640386494682049869500</v>
      </c>
      <c r="X13" s="91">
        <v>33.903323942846701864321621530</v>
      </c>
      <c r="Y13" s="421">
        <v>-90.17289812196660406453739934</v>
      </c>
      <c r="Z13" s="420">
        <v>-43.964988288624132992069287490</v>
      </c>
      <c r="AA13" s="91">
        <v>-17.887149982492582030921235500</v>
      </c>
      <c r="AB13" s="421">
        <v>-11.297359781584029208499387620</v>
      </c>
    </row>
    <row r="14" ht="18" customHeight="1">
      <c r="A14" s="58"/>
      <c r="B14" s="286"/>
      <c r="C14" s="287" t="s">
        <v>189</v>
      </c>
      <c r="D14" s="276">
        <v>33.040235865417967395074575095</v>
      </c>
      <c r="E14" s="94">
        <v>54.910245178058135492091218535</v>
      </c>
      <c r="F14" s="277">
        <v>72.6578821924897664866674691</v>
      </c>
      <c r="G14" s="276">
        <v>5.5060700659035726673603884842</v>
      </c>
      <c r="H14" s="94">
        <v>14.766556479052490836370337071</v>
      </c>
      <c r="I14" s="277">
        <v>9.653435885134471481165706597</v>
      </c>
      <c r="J14" s="276">
        <v>1.2334373916059660076309399931</v>
      </c>
      <c r="K14" s="94">
        <v>5.8909693878605612198067269316</v>
      </c>
      <c r="L14" s="277">
        <v>0.2101946134737065863325766251</v>
      </c>
      <c r="M14" s="276">
        <v>39.779751994450225459590704128</v>
      </c>
      <c r="N14" s="94">
        <v>75.56777104497118754826828254</v>
      </c>
      <c r="O14" s="277">
        <v>82.52151269109794455416575232</v>
      </c>
      <c r="P14" s="5"/>
      <c r="Q14" s="271">
        <v>-33.294350800716403478259730600</v>
      </c>
      <c r="R14" s="92">
        <v>-1.0261548406869160630943079100</v>
      </c>
      <c r="S14" s="272">
        <v>0.0802350476315015016963611500</v>
      </c>
      <c r="T14" s="271">
        <v>67.129922086348057183203779470</v>
      </c>
      <c r="U14" s="92">
        <v>-6.8302959331728499698843974200</v>
      </c>
      <c r="V14" s="272">
        <v>-2.5469749747429296246363361600</v>
      </c>
      <c r="W14" s="271">
        <v>-0.0140587688537587748404373300</v>
      </c>
      <c r="X14" s="92">
        <v>37.018116109185919984817111160</v>
      </c>
      <c r="Y14" s="272">
        <v>-91.16638909442063326545492932</v>
      </c>
      <c r="Z14" s="271">
        <v>-26.414809480785131019138690630</v>
      </c>
      <c r="AA14" s="92">
        <v>-0.0797138622203536817149202200</v>
      </c>
      <c r="AB14" s="272">
        <v>-2.7841698746347301326630807800</v>
      </c>
    </row>
    <row r="15" ht="18" customHeight="1">
      <c r="A15" s="58"/>
      <c r="B15" s="288"/>
      <c r="C15" s="289" t="s">
        <v>190</v>
      </c>
      <c r="D15" s="439">
        <v>26.507110648629899410336455082</v>
      </c>
      <c r="E15" s="95">
        <v>45.380703722659459126314828073</v>
      </c>
      <c r="F15" s="440">
        <v>67.713125351572154579598976716</v>
      </c>
      <c r="G15" s="439">
        <v>9.113250086715227193895248006</v>
      </c>
      <c r="H15" s="95">
        <v>11.809548373388722561708379902</v>
      </c>
      <c r="I15" s="440">
        <v>7.279476195188767477436557704</v>
      </c>
      <c r="J15" s="439">
        <v>0.9895941727367325702393340271</v>
      </c>
      <c r="K15" s="95">
        <v>5.0741680904901656059826139227</v>
      </c>
      <c r="L15" s="440">
        <v>0.1632904874721260008973161391</v>
      </c>
      <c r="M15" s="439">
        <v>36.609800554977454040929587236</v>
      </c>
      <c r="N15" s="95">
        <v>62.264420186538347294005821897</v>
      </c>
      <c r="O15" s="440">
        <v>75.15589203423304805793285056</v>
      </c>
      <c r="P15" s="5"/>
      <c r="Q15" s="420">
        <v>-30.645175928276558864901638800</v>
      </c>
      <c r="R15" s="91">
        <v>0.5103072071227463930110548600</v>
      </c>
      <c r="S15" s="421">
        <v>-4.686316741830550088811979900</v>
      </c>
      <c r="T15" s="420">
        <v>615.02245203197475379529718344</v>
      </c>
      <c r="U15" s="91">
        <v>-7.5698313535978923370983675700</v>
      </c>
      <c r="V15" s="421">
        <v>16.103870306814426917575670280</v>
      </c>
      <c r="W15" s="420">
        <v>-2.327969870104296163117105300</v>
      </c>
      <c r="X15" s="91">
        <v>35.967402316965463257051046060</v>
      </c>
      <c r="Y15" s="421">
        <v>-89.14219079526510082087807109</v>
      </c>
      <c r="Z15" s="420">
        <v>-9.621859739982332590239049250</v>
      </c>
      <c r="AA15" s="91">
        <v>0.9820092676423936832988026100</v>
      </c>
      <c r="AB15" s="421">
        <v>-4.6439760080648529808986196900</v>
      </c>
    </row>
    <row r="16" ht="18" customHeight="1">
      <c r="A16" s="58"/>
      <c r="B16" s="286"/>
      <c r="C16" s="287" t="s">
        <v>191</v>
      </c>
      <c r="D16" s="276">
        <v>50.120250896057347670250896057</v>
      </c>
      <c r="E16" s="94">
        <v>44.767953199539944710440394754</v>
      </c>
      <c r="F16" s="277">
        <v>72.841252127524150870345099651</v>
      </c>
      <c r="G16" s="276">
        <v>8.862724014336917562724014337</v>
      </c>
      <c r="H16" s="94">
        <v>18.079198805746570232551205816</v>
      </c>
      <c r="I16" s="277">
        <v>9.9116429989623552373223789</v>
      </c>
      <c r="J16" s="276">
        <v>0.7136200716845878136200716846</v>
      </c>
      <c r="K16" s="94">
        <v>5.3023433906619196794761710641</v>
      </c>
      <c r="L16" s="277">
        <v>0.1138017744961091606620754949</v>
      </c>
      <c r="M16" s="276">
        <v>59.69661827956989247311827957</v>
      </c>
      <c r="N16" s="94">
        <v>68.149495395948434622467771639</v>
      </c>
      <c r="O16" s="277">
        <v>82.86669690098261526832955404</v>
      </c>
      <c r="P16" s="5"/>
      <c r="Q16" s="271">
        <v>4.4827251263137617605236408900</v>
      </c>
      <c r="R16" s="92">
        <v>4.9913176166866066715364018700</v>
      </c>
      <c r="S16" s="272">
        <v>7.5356519531761274268740211400</v>
      </c>
      <c r="T16" s="271">
        <v>-16.060153439047818804532715870</v>
      </c>
      <c r="U16" s="92">
        <v>31.774137244452342242760110390</v>
      </c>
      <c r="V16" s="272">
        <v>2.9410226906106345052106661700</v>
      </c>
      <c r="W16" s="271">
        <v>-29.919042591155121473279036410</v>
      </c>
      <c r="X16" s="92">
        <v>31.620950905972985546435509080</v>
      </c>
      <c r="Y16" s="272">
        <v>-91.09924222324512784990598072</v>
      </c>
      <c r="Z16" s="271">
        <v>0.252172003579827430114328600</v>
      </c>
      <c r="AA16" s="92">
        <v>12.852701707967331593098589860</v>
      </c>
      <c r="AB16" s="272">
        <v>5.3695563417602688554153482900</v>
      </c>
    </row>
    <row r="17" ht="18" customHeight="1">
      <c r="A17" s="58"/>
      <c r="B17" s="288"/>
      <c r="C17" s="289" t="s">
        <v>192</v>
      </c>
      <c r="D17" s="439">
        <v>43.775407561567811307665626084</v>
      </c>
      <c r="E17" s="95">
        <v>53.029281068553552549126895506</v>
      </c>
      <c r="F17" s="440">
        <v>79.41124577115940407744700025</v>
      </c>
      <c r="G17" s="439">
        <v>3.9281997918834547346514047867</v>
      </c>
      <c r="H17" s="95">
        <v>20.422058139939045975864362134</v>
      </c>
      <c r="I17" s="440">
        <v>10.593578211691279248117878167</v>
      </c>
      <c r="J17" s="439">
        <v>1.0345126604231703087062088103</v>
      </c>
      <c r="K17" s="95">
        <v>5.8721084835409070889812962672</v>
      </c>
      <c r="L17" s="440">
        <v>0.1656683000839959224784249317</v>
      </c>
      <c r="M17" s="439">
        <v>48.73804890738813735691987513</v>
      </c>
      <c r="N17" s="95">
        <v>79.32344769203350561397255391</v>
      </c>
      <c r="O17" s="440">
        <v>90.17049228293467924804330334</v>
      </c>
      <c r="P17" s="5"/>
      <c r="Q17" s="420">
        <v>-12.006316912411983281493140880</v>
      </c>
      <c r="R17" s="91">
        <v>-7.2810996381424555189322321300</v>
      </c>
      <c r="S17" s="421">
        <v>2.0976327779937808906983418200</v>
      </c>
      <c r="T17" s="420">
        <v>-44.595288764738885531024606850</v>
      </c>
      <c r="U17" s="91">
        <v>11.155026808115584199333828640</v>
      </c>
      <c r="V17" s="421">
        <v>-1.3710887759328064492829918100</v>
      </c>
      <c r="W17" s="420">
        <v>3.6309937411016953758688796200</v>
      </c>
      <c r="X17" s="91">
        <v>-17.840311393116914542892248160</v>
      </c>
      <c r="Y17" s="421">
        <v>-87.95282558611133536991342355</v>
      </c>
      <c r="Z17" s="420">
        <v>-15.731459846152867457443652470</v>
      </c>
      <c r="AA17" s="91">
        <v>-4.0984137634965002733049435300</v>
      </c>
      <c r="AB17" s="421">
        <v>0.3056557211828672499248984700</v>
      </c>
    </row>
    <row r="18" ht="18" customHeight="1">
      <c r="A18" s="58"/>
      <c r="B18" s="286"/>
      <c r="C18" s="287" t="s">
        <v>193</v>
      </c>
      <c r="D18" s="276">
        <v>37.639605734767025089605734767</v>
      </c>
      <c r="E18" s="94">
        <v>52.662768673523350268830249159</v>
      </c>
      <c r="F18" s="277">
        <v>74.356159817420723842210504487</v>
      </c>
      <c r="G18" s="276">
        <v>0.9066308243727598566308243728</v>
      </c>
      <c r="H18" s="94">
        <v>13.104355158196209045200110556</v>
      </c>
      <c r="I18" s="277">
        <v>5.6194373542886871504910805537</v>
      </c>
      <c r="J18" s="276">
        <v>1.1611111111111111111111111111</v>
      </c>
      <c r="K18" s="94">
        <v>5.1217386606070214103404199067</v>
      </c>
      <c r="L18" s="277">
        <v>0.1926458647154436139712034484</v>
      </c>
      <c r="M18" s="276">
        <v>39.707326164874551971326164875</v>
      </c>
      <c r="N18" s="94">
        <v>70.888862492326580724370779619</v>
      </c>
      <c r="O18" s="277">
        <v>80.16824303642485460667278849</v>
      </c>
      <c r="P18" s="5"/>
      <c r="Q18" s="271">
        <v>-12.702522964385039941945092640</v>
      </c>
      <c r="R18" s="92">
        <v>12.476140558319602454556691800</v>
      </c>
      <c r="S18" s="272">
        <v>10.845766578623511581576712890</v>
      </c>
      <c r="T18" s="271">
        <v>-87.27903643541515858902987678</v>
      </c>
      <c r="U18" s="92">
        <v>-23.962790810744209697096597080</v>
      </c>
      <c r="V18" s="272">
        <v>-23.205983786822497371205739890</v>
      </c>
      <c r="W18" s="271">
        <v>19.384558683289650879751139750</v>
      </c>
      <c r="X18" s="92">
        <v>-24.453732122838682973794979930</v>
      </c>
      <c r="Y18" s="272">
        <v>-84.60711965205192342331030221</v>
      </c>
      <c r="Z18" s="271">
        <v>-22.471081607120345418385740430</v>
      </c>
      <c r="AA18" s="92">
        <v>0.0760111897531788916549899400</v>
      </c>
      <c r="AB18" s="272">
        <v>5.9728265531350781303469955200</v>
      </c>
    </row>
    <row r="19" ht="18" customHeight="1">
      <c r="A19" s="58"/>
      <c r="B19" s="288"/>
      <c r="C19" s="289" t="s">
        <v>195</v>
      </c>
      <c r="D19" s="439">
        <v>22.82708983697537287547693375</v>
      </c>
      <c r="E19" s="95">
        <v>44.593370813788561771052749421</v>
      </c>
      <c r="F19" s="440">
        <v>62.361561009655396736353206797</v>
      </c>
      <c r="G19" s="439">
        <v>3.7927506070065903572667360388</v>
      </c>
      <c r="H19" s="95">
        <v>6.9723253152750061090574982083</v>
      </c>
      <c r="I19" s="440">
        <v>5.6974830052912606700365037192</v>
      </c>
      <c r="J19" s="439">
        <v>1.1245230662504335761359694762</v>
      </c>
      <c r="K19" s="95">
        <v>3.4218631295356123016755303033</v>
      </c>
      <c r="L19" s="440">
        <v>0.1853648834211852429778655373</v>
      </c>
      <c r="M19" s="439">
        <v>27.744342698577870274020117933</v>
      </c>
      <c r="N19" s="95">
        <v>54.987559258599180181785777936</v>
      </c>
      <c r="O19" s="440">
        <v>68.244408898367842649367576054</v>
      </c>
      <c r="P19" s="5"/>
      <c r="Q19" s="420">
        <v>-29.707285030040638115555626660</v>
      </c>
      <c r="R19" s="91">
        <v>10.914038837274123407540160640</v>
      </c>
      <c r="S19" s="421">
        <v>17.031187372043984534098297260</v>
      </c>
      <c r="T19" s="420">
        <v>-67.524502524575346007110025580</v>
      </c>
      <c r="U19" s="91">
        <v>-31.221240575310622728858907170</v>
      </c>
      <c r="V19" s="421">
        <v>-31.234623371896961582498279060</v>
      </c>
      <c r="W19" s="420">
        <v>14.315937939314547894209664220</v>
      </c>
      <c r="X19" s="91">
        <v>-45.155538970480452690627386830</v>
      </c>
      <c r="Y19" s="421">
        <v>-82.68413749154258978560293623</v>
      </c>
      <c r="Z19" s="420">
        <v>-38.532765790520028260549492340</v>
      </c>
      <c r="AA19" s="91">
        <v>-2.8177251022093367469024587900</v>
      </c>
      <c r="AB19" s="421">
        <v>8.943252366667545639573321190</v>
      </c>
    </row>
    <row r="20" ht="18" customHeight="1">
      <c r="A20" s="58"/>
      <c r="B20" s="286">
        <v>2025</v>
      </c>
      <c r="C20" s="287" t="s">
        <v>196</v>
      </c>
      <c r="D20" s="276">
        <v>24.218348942074228234477974332</v>
      </c>
      <c r="E20" s="94">
        <v>41.965098922340694818030115131</v>
      </c>
      <c r="F20" s="277">
        <v>61.367239571252943291845734676</v>
      </c>
      <c r="G20" s="276">
        <v>3.8494623655913978494623655914</v>
      </c>
      <c r="H20" s="94">
        <v>11.361514311343029132185262285</v>
      </c>
      <c r="I20" s="277">
        <v>6.986705386417297657605590929</v>
      </c>
      <c r="J20" s="276">
        <v>1.0254942767950052029136316337</v>
      </c>
      <c r="K20" s="94">
        <v>4.3600008576844219536639073225</v>
      </c>
      <c r="L20" s="277">
        <v>0.1723662119589010299210685134</v>
      </c>
      <c r="M20" s="276">
        <v>29.093166840097121054457162678</v>
      </c>
      <c r="N20" s="94">
        <v>57.686614091368145903879284738</v>
      </c>
      <c r="O20" s="277">
        <v>68.526311169629141979372394119</v>
      </c>
      <c r="P20" s="5"/>
      <c r="Q20" s="271">
        <v>-31.873155262765339566501278960</v>
      </c>
      <c r="R20" s="92">
        <v>-2.4736162755035549757801447300</v>
      </c>
      <c r="S20" s="272">
        <v>6.1788391684770124696854862800</v>
      </c>
      <c r="T20" s="271">
        <v>-26.912311896961242696589639830</v>
      </c>
      <c r="U20" s="92">
        <v>-23.177084191138222449544295250</v>
      </c>
      <c r="V20" s="272">
        <v>14.700028807855219390344970710</v>
      </c>
      <c r="W20" s="271">
        <v>21.217712177643618687111626890</v>
      </c>
      <c r="X20" s="92">
        <v>-33.833512367436438352717819850</v>
      </c>
      <c r="Y20" s="272">
        <v>-83.75983056655617139156970065</v>
      </c>
      <c r="Z20" s="271">
        <v>-30.168263932104018744927954770</v>
      </c>
      <c r="AA20" s="92">
        <v>-10.435844895891366659130995200</v>
      </c>
      <c r="AB20" s="272">
        <v>5.5082787259138651526686600800</v>
      </c>
    </row>
    <row r="21" ht="18" customHeight="1">
      <c r="A21" s="58"/>
      <c r="B21" s="288"/>
      <c r="C21" s="289" t="s">
        <v>180</v>
      </c>
      <c r="D21" s="439">
        <v>36.063748079877112135176651306</v>
      </c>
      <c r="E21" s="95">
        <v>61.097504597687443515708075737</v>
      </c>
      <c r="F21" s="440">
        <v>78.208466864468023772986917004</v>
      </c>
      <c r="G21" s="439">
        <v>12.010176651305683563748079877</v>
      </c>
      <c r="H21" s="95">
        <v>17.924422779637846825623069901</v>
      </c>
      <c r="I21" s="440">
        <v>10.723562739653975603555980506</v>
      </c>
      <c r="J21" s="439">
        <v>1.3726958525345622119815668203</v>
      </c>
      <c r="K21" s="95">
        <v>4.5837102838165144468824823494</v>
      </c>
      <c r="L21" s="440">
        <v>0.2124310372774175330780937441</v>
      </c>
      <c r="M21" s="439">
        <v>49.446866359447004608294930876</v>
      </c>
      <c r="N21" s="95">
        <v>83.60563766114180478821362799</v>
      </c>
      <c r="O21" s="440">
        <v>89.14446064139941690962099125</v>
      </c>
      <c r="P21" s="5"/>
      <c r="Q21" s="420">
        <v>-7.8647785315705535353309244200</v>
      </c>
      <c r="R21" s="91">
        <v>4.7110000856571949880671529200</v>
      </c>
      <c r="S21" s="421">
        <v>4.6319179514990742846056925400</v>
      </c>
      <c r="T21" s="420">
        <v>4.9999884228565547405582399800</v>
      </c>
      <c r="U21" s="91">
        <v>-23.617978566558754772406727190</v>
      </c>
      <c r="V21" s="421">
        <v>7.7356345982489874588638596500</v>
      </c>
      <c r="W21" s="420">
        <v>30.037257265011182611888301420</v>
      </c>
      <c r="X21" s="91">
        <v>-26.344179118161111747724864680</v>
      </c>
      <c r="Y21" s="421">
        <v>-62.918147184311843416567286860</v>
      </c>
      <c r="Z21" s="420">
        <v>-4.2397885238135176603058353200</v>
      </c>
      <c r="AA21" s="91">
        <v>-5.0353061550180499042280908600</v>
      </c>
      <c r="AB21" s="421">
        <v>4.5403960196088674982340835100</v>
      </c>
    </row>
    <row r="22" ht="18" customHeight="1">
      <c r="A22" s="58"/>
      <c r="B22" s="286"/>
      <c r="C22" s="287" t="s">
        <v>183</v>
      </c>
      <c r="D22" s="276">
        <v>44.759798820672910163024627125</v>
      </c>
      <c r="E22" s="94">
        <v>53.852061683481350545736272777</v>
      </c>
      <c r="F22" s="277">
        <v>75.587794046819987439054335411</v>
      </c>
      <c r="G22" s="276">
        <v>6.0275754422476586888657648283</v>
      </c>
      <c r="H22" s="94">
        <v>15.527419396067532481715725259</v>
      </c>
      <c r="I22" s="277">
        <v>11.921049712647677304145292581</v>
      </c>
      <c r="J22" s="276">
        <v>1.3206729101630246271245230663</v>
      </c>
      <c r="K22" s="94">
        <v>3.6544377109222154101408255861</v>
      </c>
      <c r="L22" s="277">
        <v>0.2108109841502125152306258299</v>
      </c>
      <c r="M22" s="276">
        <v>52.10806625043357613596947624</v>
      </c>
      <c r="N22" s="94">
        <v>73.03391879047109843759282362</v>
      </c>
      <c r="O22" s="277">
        <v>87.71965474361787725843025382</v>
      </c>
      <c r="P22" s="5"/>
      <c r="Q22" s="271">
        <v>10.313477748088308138692317420</v>
      </c>
      <c r="R22" s="92">
        <v>3.0986510350528443404990994500</v>
      </c>
      <c r="S22" s="272">
        <v>2.7725035634369025714861995200</v>
      </c>
      <c r="T22" s="271">
        <v>-33.691380165738456366208739480</v>
      </c>
      <c r="U22" s="92">
        <v>-35.786929042818346203645659940</v>
      </c>
      <c r="V22" s="272">
        <v>36.748965736719190531542021880</v>
      </c>
      <c r="W22" s="271">
        <v>-21.267576507695091302369473150</v>
      </c>
      <c r="X22" s="92">
        <v>-37.925058895601452845416218900</v>
      </c>
      <c r="Y22" s="272">
        <v>-25.935694965943897588812750180</v>
      </c>
      <c r="Z22" s="271">
        <v>1.4906525980252823073191516900</v>
      </c>
      <c r="AA22" s="92">
        <v>-11.260798817999982350253584020</v>
      </c>
      <c r="AB22" s="272">
        <v>6.2614782100623729430878830800</v>
      </c>
    </row>
    <row r="23" ht="18" customHeight="1">
      <c r="A23" s="58"/>
      <c r="B23" s="288"/>
      <c r="C23" s="289" t="s">
        <v>186</v>
      </c>
      <c r="D23" s="439">
        <v>33.987634408602150537634408602</v>
      </c>
      <c r="E23" s="95">
        <v>51.855459298901962742255490224</v>
      </c>
      <c r="F23" s="440">
        <v>80.93109252743169497999721137</v>
      </c>
      <c r="G23" s="439">
        <v>2.4905017921146953405017921147</v>
      </c>
      <c r="H23" s="95">
        <v>16.153993337512594229111433199</v>
      </c>
      <c r="I23" s="440">
        <v>7.5813107236479792110302410541</v>
      </c>
      <c r="J23" s="439">
        <v>1.2426523297491039426523297491</v>
      </c>
      <c r="K23" s="95">
        <v>4.0030341653042889463740219438</v>
      </c>
      <c r="L23" s="440">
        <v>0.2014138313088367689120789408</v>
      </c>
      <c r="M23" s="439">
        <v>37.720790322580645161290322581</v>
      </c>
      <c r="N23" s="95">
        <v>72.012486801718845917740945365</v>
      </c>
      <c r="O23" s="440">
        <v>88.71381708238851095993953137</v>
      </c>
      <c r="P23" s="5"/>
      <c r="Q23" s="420">
        <v>-12.610877388593193264800599110</v>
      </c>
      <c r="R23" s="91">
        <v>0.6102156111842590282153971100</v>
      </c>
      <c r="S23" s="421">
        <v>5.8711899920409875899526259600</v>
      </c>
      <c r="T23" s="420">
        <v>-66.675459210549464605067562060</v>
      </c>
      <c r="U23" s="91">
        <v>-25.668670513572836944618752010</v>
      </c>
      <c r="V23" s="421">
        <v>-20.505603098967042847526956410</v>
      </c>
      <c r="W23" s="420">
        <v>-0.659025784179842529884217500</v>
      </c>
      <c r="X23" s="91">
        <v>-39.162974871529798261822978030</v>
      </c>
      <c r="Y23" s="421">
        <v>-3.7118887583080529085295398500</v>
      </c>
      <c r="Z23" s="420">
        <v>-20.782352608370028584775291310</v>
      </c>
      <c r="AA23" s="91">
        <v>-9.819016098251852887226654110</v>
      </c>
      <c r="AB23" s="421">
        <v>2.9293120101573194304054489600</v>
      </c>
    </row>
    <row r="24" ht="18" customHeight="1">
      <c r="A24" s="59"/>
      <c r="B24" s="286"/>
      <c r="C24" s="287" t="s">
        <v>187</v>
      </c>
      <c r="D24" s="276">
        <v>39.520985084980922650017343045</v>
      </c>
      <c r="E24" s="94">
        <v>56.048003652933950378446439004</v>
      </c>
      <c r="F24" s="277">
        <v>81.57072445215363792129402608</v>
      </c>
      <c r="G24" s="276">
        <v>2.2894554283732223378425251474</v>
      </c>
      <c r="H24" s="94">
        <v>13.131822945748727568829624105</v>
      </c>
      <c r="I24" s="277">
        <v>9.627136526943170142090547061</v>
      </c>
      <c r="J24" s="276">
        <v>1.464620187304890738813735692</v>
      </c>
      <c r="K24" s="94">
        <v>5.3783335629046802182321647787</v>
      </c>
      <c r="L24" s="277">
        <v>0.2432040490649942919661693069</v>
      </c>
      <c r="M24" s="276">
        <v>43.275084980922650017343045439</v>
      </c>
      <c r="N24" s="94">
        <v>74.558160161587358165508227886</v>
      </c>
      <c r="O24" s="277">
        <v>91.44106502816180235535074245</v>
      </c>
      <c r="P24" s="93"/>
      <c r="Q24" s="271">
        <v>2.3113186368949897883641220100</v>
      </c>
      <c r="R24" s="92">
        <v>1.3171315624469525965889994700</v>
      </c>
      <c r="S24" s="272">
        <v>1.3922190344966881772550030100</v>
      </c>
      <c r="T24" s="271">
        <v>-50.922001635569601866864222090</v>
      </c>
      <c r="U24" s="92">
        <v>1.5101092216541384041848071300</v>
      </c>
      <c r="V24" s="272">
        <v>18.225006839482087817617148350</v>
      </c>
      <c r="W24" s="271">
        <v>15.954963614471724520505818540</v>
      </c>
      <c r="X24" s="92">
        <v>-24.164879632357906190823394140</v>
      </c>
      <c r="Y24" s="272">
        <v>13.817191495040157036996752520</v>
      </c>
      <c r="Z24" s="271">
        <v>-2.8753737185695724921816157400</v>
      </c>
      <c r="AA24" s="92">
        <v>-1.0482345005044074011217168900</v>
      </c>
      <c r="AB24" s="272">
        <v>2.9655719668155925766634243600</v>
      </c>
    </row>
    <row r="25" ht="18" customHeight="1">
      <c r="A25" s="60"/>
      <c r="B25" s="288"/>
      <c r="C25" s="289" t="s">
        <v>188</v>
      </c>
      <c r="D25" s="439">
        <v>35.797132616487455197132616487</v>
      </c>
      <c r="E25" s="95">
        <v>60.597068721375935431101509451</v>
      </c>
      <c r="F25" s="440">
        <v>84.58000155173851957562399907</v>
      </c>
      <c r="G25" s="439">
        <v>5.3091397849462365591397849462</v>
      </c>
      <c r="H25" s="95">
        <v>15.203592797164061851942525234</v>
      </c>
      <c r="I25" s="440">
        <v>12.742046368468524517645267231</v>
      </c>
      <c r="J25" s="439">
        <v>1.3849462365591397849462365591</v>
      </c>
      <c r="K25" s="95">
        <v>6.125617180048093570240188764</v>
      </c>
      <c r="L25" s="440">
        <v>0.2289724879562212128531826821</v>
      </c>
      <c r="M25" s="439">
        <v>42.491268817204301075268817204</v>
      </c>
      <c r="N25" s="95">
        <v>81.92627869858809085328422345</v>
      </c>
      <c r="O25" s="440">
        <v>97.55102040816326530612244898</v>
      </c>
      <c r="P25" s="93"/>
      <c r="Q25" s="420">
        <v>6.65684185797726222257937100</v>
      </c>
      <c r="R25" s="91">
        <v>2.1197633312798396598617405700</v>
      </c>
      <c r="S25" s="421">
        <v>5.7238124635254324933881701300</v>
      </c>
      <c r="T25" s="420">
        <v>50.106404540946202787215585280</v>
      </c>
      <c r="U25" s="91">
        <v>10.890148271497424245926294880</v>
      </c>
      <c r="V25" s="421">
        <v>41.458569828902482098512049220</v>
      </c>
      <c r="W25" s="420">
        <v>14.573758340190207610616398560</v>
      </c>
      <c r="X25" s="91">
        <v>17.439888595127315183968572660</v>
      </c>
      <c r="Y25" s="421">
        <v>9.880182592486131567891085100</v>
      </c>
      <c r="Z25" s="420">
        <v>10.918389954639361677116857900</v>
      </c>
      <c r="AA25" s="91">
        <v>4.6771488783097477288291690600</v>
      </c>
      <c r="AB25" s="421">
        <v>9.341413267861289213273966220</v>
      </c>
    </row>
    <row r="26" ht="18" customHeight="1">
      <c r="A26" s="60"/>
      <c r="B26" s="290"/>
      <c r="C26" s="291" t="s">
        <v>189</v>
      </c>
      <c r="D26" s="443">
        <v>29.682101977107180020811654527</v>
      </c>
      <c r="E26" s="444">
        <v>59.297590237679862251723108543</v>
      </c>
      <c r="F26" s="445">
        <v>83.58483507961114761192783477</v>
      </c>
      <c r="G26" s="443">
        <v>5.7970863683662851196670135276</v>
      </c>
      <c r="H26" s="444">
        <v>16.665260434935778721783827449</v>
      </c>
      <c r="I26" s="445">
        <v>10.598277387232968300502794821</v>
      </c>
      <c r="J26" s="443">
        <v>1.1675338189386056191467221644</v>
      </c>
      <c r="K26" s="444">
        <v>5.8315727813141398142314350668</v>
      </c>
      <c r="L26" s="445">
        <v>0.196303815797973181271367335</v>
      </c>
      <c r="M26" s="443">
        <v>36.646852237252861602497398543</v>
      </c>
      <c r="N26" s="444">
        <v>81.79442345392978078773837106</v>
      </c>
      <c r="O26" s="445">
        <v>94.37941628264208909370199693</v>
      </c>
      <c r="P26" s="184"/>
      <c r="Q26" s="273">
        <v>-10.163770930610954630562234500</v>
      </c>
      <c r="R26" s="274">
        <v>7.990029994128816639189437430</v>
      </c>
      <c r="S26" s="275">
        <v>15.038909141559132585817054980</v>
      </c>
      <c r="T26" s="273">
        <v>5.2853723069852865903214028300</v>
      </c>
      <c r="U26" s="274">
        <v>12.858136279254606205231667560</v>
      </c>
      <c r="V26" s="275">
        <v>9.787618764748036462854145580</v>
      </c>
      <c r="W26" s="273">
        <v>-5.3430821142778124331736722100</v>
      </c>
      <c r="X26" s="274">
        <v>-1.0082654088792296263319873600</v>
      </c>
      <c r="Y26" s="275">
        <v>-6.6085412326833098073812747800</v>
      </c>
      <c r="Z26" s="273">
        <v>-7.8756141005612533055346106500</v>
      </c>
      <c r="AA26" s="274">
        <v>8.239825421371578299062388420</v>
      </c>
      <c r="AB26" s="275">
        <v>14.369469493281564479372487520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54">
        <v>44.683835463582876851288293772</v>
      </c>
      <c r="E29" s="455">
        <v>54.740003536583989264543781507</v>
      </c>
      <c r="F29" s="456">
        <v>72.081832776209402453144668656</v>
      </c>
      <c r="G29" s="454">
        <v>6.5349715966727530939338608237</v>
      </c>
      <c r="H29" s="455">
        <v>16.364706800761725036425653294</v>
      </c>
      <c r="I29" s="456">
        <v>9.407965640511664784843628849</v>
      </c>
      <c r="J29" s="454">
        <v>1.1035960641103672144451207141</v>
      </c>
      <c r="K29" s="455">
        <v>3.8087698044243263536745764524</v>
      </c>
      <c r="L29" s="456">
        <v>1.724125769305544664634386789</v>
      </c>
      <c r="M29" s="454">
        <v>52.322396784337593832420369243</v>
      </c>
      <c r="N29" s="455">
        <v>74.913480141770040654644011258</v>
      </c>
      <c r="O29" s="456">
        <v>83.21392418602661190262268429</v>
      </c>
      <c r="P29" s="5"/>
      <c r="Q29" s="427">
        <v>3.624928470093265666414311800</v>
      </c>
      <c r="R29" s="428">
        <v>2.1946305050692674523052715700</v>
      </c>
      <c r="S29" s="429">
        <v>12.745333029331495692376180930</v>
      </c>
      <c r="T29" s="427">
        <v>-38.506860756721030909382743750</v>
      </c>
      <c r="U29" s="428">
        <v>13.255478069184630017185220450</v>
      </c>
      <c r="V29" s="429">
        <v>21.931613438822345026265496090</v>
      </c>
      <c r="W29" s="427">
        <v>15.856872823800343826539350920</v>
      </c>
      <c r="X29" s="428">
        <v>-24.309781292506602624516723990</v>
      </c>
      <c r="Y29" s="429">
        <v>45.252520021675694559499126130</v>
      </c>
      <c r="Z29" s="427">
        <v>-4.3474335639012762281488634800</v>
      </c>
      <c r="AA29" s="428">
        <v>2.5567424105423898215538166500</v>
      </c>
      <c r="AB29" s="429">
        <v>14.248225561366473733104904540</v>
      </c>
    </row>
    <row r="30" ht="18" customHeight="1">
      <c r="A30" s="58"/>
      <c r="B30" s="286">
        <v>2024</v>
      </c>
      <c r="C30" s="287"/>
      <c r="D30" s="276">
        <v>37.043868948457771719925286486</v>
      </c>
      <c r="E30" s="94">
        <v>53.445471903462099676583818522</v>
      </c>
      <c r="F30" s="277">
        <v>73.605024818793854863037190164</v>
      </c>
      <c r="G30" s="276">
        <v>6.6778989348276036145186531375</v>
      </c>
      <c r="H30" s="94">
        <v>17.864299867775476684405246785</v>
      </c>
      <c r="I30" s="277">
        <v>8.70660013330134536568536673</v>
      </c>
      <c r="J30" s="276">
        <v>1.220758241203493361603311626</v>
      </c>
      <c r="K30" s="94">
        <v>6.2140338787754198660710305939</v>
      </c>
      <c r="L30" s="277">
        <v>0.3935519614375084522341024976</v>
      </c>
      <c r="M30" s="276">
        <v>44.942541773941137866626280983</v>
      </c>
      <c r="N30" s="94">
        <v>77.523805650012996227060095903</v>
      </c>
      <c r="O30" s="277">
        <v>82.70517691353270868095665939</v>
      </c>
      <c r="P30" s="5"/>
      <c r="Q30" s="271">
        <v>-17.097830649219534067057927280</v>
      </c>
      <c r="R30" s="92">
        <v>-2.3648731266017488637536192200</v>
      </c>
      <c r="S30" s="272">
        <v>2.1131427766592289588425762900</v>
      </c>
      <c r="T30" s="271">
        <v>2.187114909570202363763444900</v>
      </c>
      <c r="U30" s="92">
        <v>9.163580412587459502204751440</v>
      </c>
      <c r="V30" s="272">
        <v>-7.4550177370904975544657790900</v>
      </c>
      <c r="W30" s="271">
        <v>10.616400412685502400507485280</v>
      </c>
      <c r="X30" s="92">
        <v>63.150681135856251960760545510</v>
      </c>
      <c r="Y30" s="272">
        <v>-77.173825225215926349874637440</v>
      </c>
      <c r="Z30" s="271">
        <v>-14.104581334036443458219866260</v>
      </c>
      <c r="AA30" s="92">
        <v>3.4844536701165677029485252900</v>
      </c>
      <c r="AB30" s="272">
        <v>-0.6113727689733006326597474600</v>
      </c>
    </row>
    <row r="31" ht="18" customHeight="1">
      <c r="A31" s="58"/>
      <c r="B31" s="425">
        <v>2025</v>
      </c>
      <c r="C31" s="426"/>
      <c r="D31" s="457">
        <v>34.844086021505376344086021505</v>
      </c>
      <c r="E31" s="458">
        <v>54.860147918552344157795047687</v>
      </c>
      <c r="F31" s="459">
        <v>77.927350387854624087264386078</v>
      </c>
      <c r="G31" s="457">
        <v>5.3167224589166159464394400487</v>
      </c>
      <c r="H31" s="458">
        <v>15.093763922646728766929303407</v>
      </c>
      <c r="I31" s="459">
        <v>10.01456938152962709572879099</v>
      </c>
      <c r="J31" s="457">
        <v>1.2810914992899168188273483465</v>
      </c>
      <c r="K31" s="458">
        <v>4.8498024556840710344125195399</v>
      </c>
      <c r="L31" s="459">
        <v>0.2092589410936506695717482739</v>
      </c>
      <c r="M31" s="457">
        <v>41.441944867113004666260904849</v>
      </c>
      <c r="N31" s="458">
        <v>74.803714296883143959136870635</v>
      </c>
      <c r="O31" s="459">
        <v>88.15117871047790185256492534</v>
      </c>
      <c r="P31" s="93"/>
      <c r="Q31" s="430">
        <v>-5.9383185110952036061028300</v>
      </c>
      <c r="R31" s="431">
        <v>2.6469520516287196184117564100</v>
      </c>
      <c r="S31" s="432">
        <v>5.8723240426795252805086145800</v>
      </c>
      <c r="T31" s="430">
        <v>-20.383304526967218359295136410</v>
      </c>
      <c r="U31" s="431">
        <v>-15.508785486449990462305178400</v>
      </c>
      <c r="V31" s="432">
        <v>15.022732504127037738353084840</v>
      </c>
      <c r="W31" s="430">
        <v>4.9422773530170470601241882100</v>
      </c>
      <c r="X31" s="431">
        <v>-21.954039030430542711373935620</v>
      </c>
      <c r="Y31" s="432">
        <v>-46.828129035554930009872827460</v>
      </c>
      <c r="Z31" s="430">
        <v>-7.7890496812530912538332488500</v>
      </c>
      <c r="AA31" s="431">
        <v>-3.5087175227147224561764394800</v>
      </c>
      <c r="AB31" s="432">
        <v>6.5848378544353838897552113400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54">
        <v>50.118630201028517999064983637</v>
      </c>
      <c r="E34" s="455">
        <v>59.291000269890413123141390667</v>
      </c>
      <c r="F34" s="456">
        <v>77.858512150716326198451516105</v>
      </c>
      <c r="G34" s="454">
        <v>5.7717975689574567554932211314</v>
      </c>
      <c r="H34" s="455">
        <v>17.155633653310235263998482446</v>
      </c>
      <c r="I34" s="456">
        <v>11.025817415895110576778430645</v>
      </c>
      <c r="J34" s="454">
        <v>1.1363370733987844787283777466</v>
      </c>
      <c r="K34" s="455">
        <v>3.9583745842859398104740271183</v>
      </c>
      <c r="L34" s="456">
        <v>2.0041501731105389715905205664</v>
      </c>
      <c r="M34" s="454">
        <v>57.026753740065451145395044413</v>
      </c>
      <c r="N34" s="455">
        <v>80.40500850748658819761390023</v>
      </c>
      <c r="O34" s="456">
        <v>90.88847973972197574682046732</v>
      </c>
      <c r="P34" s="5"/>
      <c r="Q34" s="427">
        <v>20.548465084883730253273268230</v>
      </c>
      <c r="R34" s="428">
        <v>4.1906206648973349366286086100</v>
      </c>
      <c r="S34" s="429">
        <v>14.565492808917647537079228040</v>
      </c>
      <c r="T34" s="427">
        <v>-40.040552928538987997237076580</v>
      </c>
      <c r="U34" s="428">
        <v>-1.4492437147152729089757646300</v>
      </c>
      <c r="V34" s="429">
        <v>13.418907598212167225007469800</v>
      </c>
      <c r="W34" s="427">
        <v>23.688060550594244566223262750</v>
      </c>
      <c r="X34" s="428">
        <v>-21.884018763715812775311086030</v>
      </c>
      <c r="Y34" s="429">
        <v>-7.339448843931182476275142500</v>
      </c>
      <c r="Z34" s="427">
        <v>9.413479515291783522625043440</v>
      </c>
      <c r="AA34" s="428">
        <v>1.2893598012015916614007822800</v>
      </c>
      <c r="AB34" s="429">
        <v>13.832508816503991804216341950</v>
      </c>
    </row>
    <row r="35" ht="18" customHeight="1">
      <c r="A35" s="58"/>
      <c r="B35" s="286">
        <v>2024</v>
      </c>
      <c r="C35" s="287"/>
      <c r="D35" s="276">
        <v>35.093560074801309022907900888</v>
      </c>
      <c r="E35" s="94">
        <v>56.492334225667046720880818108</v>
      </c>
      <c r="F35" s="277">
        <v>77.67817684794173840169001435</v>
      </c>
      <c r="G35" s="276">
        <v>4.5805282842449742870500233754</v>
      </c>
      <c r="H35" s="94">
        <v>13.805529748469890255766063034</v>
      </c>
      <c r="I35" s="277">
        <v>8.933912744482719571838071748</v>
      </c>
      <c r="J35" s="276">
        <v>1.2353903693314633006077606358</v>
      </c>
      <c r="K35" s="94">
        <v>6.0756000742256220753188486973</v>
      </c>
      <c r="L35" s="277">
        <v>0.2107783953503620994286328188</v>
      </c>
      <c r="M35" s="276">
        <v>40.909494506778868630201028518</v>
      </c>
      <c r="N35" s="94">
        <v>76.373464048362559051965729842</v>
      </c>
      <c r="O35" s="277">
        <v>86.82286798777482007295671892</v>
      </c>
      <c r="P35" s="5"/>
      <c r="Q35" s="271">
        <v>-29.979011928180951876474647930</v>
      </c>
      <c r="R35" s="92">
        <v>-4.7202206599535810121341632600</v>
      </c>
      <c r="S35" s="272">
        <v>-0.2316192510964136932230225700</v>
      </c>
      <c r="T35" s="271">
        <v>-20.639484848762992244677883720</v>
      </c>
      <c r="U35" s="92">
        <v>-19.527718838794946070404713650</v>
      </c>
      <c r="V35" s="272">
        <v>-18.972785350141999970808062330</v>
      </c>
      <c r="W35" s="271">
        <v>8.716893802917906331133931990</v>
      </c>
      <c r="X35" s="92">
        <v>53.487244444300937386625709120</v>
      </c>
      <c r="Y35" s="272">
        <v>-89.48290411669440284276904725</v>
      </c>
      <c r="Z35" s="271">
        <v>-28.262627935610189867110189980</v>
      </c>
      <c r="AA35" s="92">
        <v>-5.0140464306541146199060616500</v>
      </c>
      <c r="AB35" s="272">
        <v>-4.473187100905291793525159200</v>
      </c>
    </row>
    <row r="36" ht="18" customHeight="1">
      <c r="A36" s="58"/>
      <c r="B36" s="425">
        <v>2025</v>
      </c>
      <c r="C36" s="426"/>
      <c r="D36" s="457">
        <v>34.991409537166900420757363254</v>
      </c>
      <c r="E36" s="458">
        <v>58.626363828807676679003274538</v>
      </c>
      <c r="F36" s="459">
        <v>83.23067817431373846520214846</v>
      </c>
      <c r="G36" s="457">
        <v>4.4560542309490416082281439925</v>
      </c>
      <c r="H36" s="458">
        <v>14.998014877349364680079269078</v>
      </c>
      <c r="I36" s="459">
        <v>10.970100243407782904888604514</v>
      </c>
      <c r="J36" s="457">
        <v>1.338534361851332398316970547</v>
      </c>
      <c r="K36" s="458">
        <v>5.7747349138285459577562745449</v>
      </c>
      <c r="L36" s="459">
        <v>0.2227599831460720440865121343</v>
      </c>
      <c r="M36" s="457">
        <v>40.786066503038803179055633474</v>
      </c>
      <c r="N36" s="458">
        <v>79.39911361998558731683881816</v>
      </c>
      <c r="O36" s="459">
        <v>94.42353840086759341417726511</v>
      </c>
      <c r="P36" s="93"/>
      <c r="Q36" s="430">
        <v>-0.2910805783607342960611790100</v>
      </c>
      <c r="R36" s="431">
        <v>3.7775560743900802878933331500</v>
      </c>
      <c r="S36" s="432">
        <v>7.1480839944093618735398332900</v>
      </c>
      <c r="T36" s="430">
        <v>-2.7174606405186312891855673300</v>
      </c>
      <c r="U36" s="431">
        <v>8.637735389900055888313665880</v>
      </c>
      <c r="V36" s="432">
        <v>22.791665389404261881848341510</v>
      </c>
      <c r="W36" s="430">
        <v>8.349101232655400004903579350</v>
      </c>
      <c r="X36" s="431">
        <v>-4.9520237786729277514716746200</v>
      </c>
      <c r="Y36" s="432">
        <v>5.6844477458585132043908397200</v>
      </c>
      <c r="Z36" s="430">
        <v>-0.3017099214967824798778320700</v>
      </c>
      <c r="AA36" s="431">
        <v>3.9616503052266276269845903400</v>
      </c>
      <c r="AB36" s="432">
        <v>8.754226379777743615322808540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2023</v>
      </c>
      <c r="C39" s="285"/>
      <c r="D39" s="454">
        <v>41.08529974959493297982029754</v>
      </c>
      <c r="E39" s="455">
        <v>52.512940485772397041468416115</v>
      </c>
      <c r="F39" s="456">
        <v>68.108579909038163044098375392</v>
      </c>
      <c r="G39" s="454">
        <v>6.7329209014582412726469288555</v>
      </c>
      <c r="H39" s="455">
        <v>14.771317805280521840996777236</v>
      </c>
      <c r="I39" s="456">
        <v>8.178278508893648015078492564</v>
      </c>
      <c r="J39" s="454">
        <v>1.0708204448372367064368831934</v>
      </c>
      <c r="K39" s="455">
        <v>3.6316268977762644975393476294</v>
      </c>
      <c r="L39" s="456">
        <v>1.6525284052906286016189572232</v>
      </c>
      <c r="M39" s="454">
        <v>48.889068787744881425835911033</v>
      </c>
      <c r="N39" s="455">
        <v>70.915885188829183380004540982</v>
      </c>
      <c r="O39" s="456">
        <v>77.939386823222439660795825179</v>
      </c>
      <c r="P39" s="5"/>
      <c r="Q39" s="427">
        <v>-9.260365934434268545994949450</v>
      </c>
      <c r="R39" s="428">
        <v>-4.130136191746839376387908700</v>
      </c>
      <c r="S39" s="429">
        <v>4.3810137808720716899380764800</v>
      </c>
      <c r="T39" s="427">
        <v>-35.823016204983485804759413450</v>
      </c>
      <c r="U39" s="428">
        <v>9.401052456045209711262183680</v>
      </c>
      <c r="V39" s="429">
        <v>17.298891766838924756183151750</v>
      </c>
      <c r="W39" s="427">
        <v>-8.729331705810811665585230470</v>
      </c>
      <c r="X39" s="428">
        <v>-25.054044151850457462650465650</v>
      </c>
      <c r="Y39" s="429">
        <v>97.02654247245953237841953976</v>
      </c>
      <c r="Z39" s="427">
        <v>-14.143307385215462219156404340</v>
      </c>
      <c r="AA39" s="428">
        <v>-3.0182025295891901412958470300</v>
      </c>
      <c r="AB39" s="429">
        <v>6.6773261842635305124977222100</v>
      </c>
    </row>
    <row r="40" ht="18" customHeight="1">
      <c r="A40" s="58"/>
      <c r="B40" s="286">
        <v>2024</v>
      </c>
      <c r="C40" s="287"/>
      <c r="D40" s="276">
        <v>39.225806451612903225806451613</v>
      </c>
      <c r="E40" s="94">
        <v>50.502178760239864622540807417</v>
      </c>
      <c r="F40" s="277">
        <v>70.997678327352977507523277806</v>
      </c>
      <c r="G40" s="276">
        <v>7.033609495269992361478347729</v>
      </c>
      <c r="H40" s="94">
        <v>16.426675570996044533439741471</v>
      </c>
      <c r="I40" s="277">
        <v>8.598237660290796662299145636</v>
      </c>
      <c r="J40" s="276">
        <v>1.1273135906927551560021152829</v>
      </c>
      <c r="K40" s="94">
        <v>5.9514673782264691768444466962</v>
      </c>
      <c r="L40" s="277">
        <v>0.7719776538310806122730631542</v>
      </c>
      <c r="M40" s="276">
        <v>47.386729243786356425171866737</v>
      </c>
      <c r="N40" s="94">
        <v>72.880321709462378332824995585</v>
      </c>
      <c r="O40" s="277">
        <v>80.3678936414748547820954866</v>
      </c>
      <c r="P40" s="5"/>
      <c r="Q40" s="271">
        <v>-4.5259333857122473780573972200</v>
      </c>
      <c r="R40" s="92">
        <v>-3.8290785222813118370759277200</v>
      </c>
      <c r="S40" s="272">
        <v>4.2419008327777605484522506600</v>
      </c>
      <c r="T40" s="271">
        <v>4.4659457339384928088085861300</v>
      </c>
      <c r="U40" s="92">
        <v>11.206567941433745556159877330</v>
      </c>
      <c r="V40" s="272">
        <v>5.1350556346763773184411371500</v>
      </c>
      <c r="W40" s="271">
        <v>5.2756880172666606152302783200</v>
      </c>
      <c r="X40" s="92">
        <v>63.878821963561379613164475890</v>
      </c>
      <c r="Y40" s="272">
        <v>-53.285059950849329447646550890</v>
      </c>
      <c r="Z40" s="271">
        <v>-3.0729559412095350762682272200</v>
      </c>
      <c r="AA40" s="92">
        <v>2.7700937743813551601210321800</v>
      </c>
      <c r="AB40" s="272">
        <v>3.1158916143178687769374919500</v>
      </c>
    </row>
    <row r="41" ht="18" customHeight="1">
      <c r="A41" s="58"/>
      <c r="B41" s="425">
        <v>2025</v>
      </c>
      <c r="C41" s="426"/>
      <c r="D41" s="457">
        <v>35.359287082044483723670643688</v>
      </c>
      <c r="E41" s="458">
        <v>52.017471338849437226498624905</v>
      </c>
      <c r="F41" s="459">
        <v>75.166418636163769451607795771</v>
      </c>
      <c r="G41" s="457">
        <v>5.3207836205626749153041685079</v>
      </c>
      <c r="H41" s="458">
        <v>14.659469745770070934156408934</v>
      </c>
      <c r="I41" s="459">
        <v>9.102135660755104138031845153</v>
      </c>
      <c r="J41" s="457">
        <v>1.1655913978494623655913978495</v>
      </c>
      <c r="K41" s="458">
        <v>4.8939531861744069229747247309</v>
      </c>
      <c r="L41" s="459">
        <v>0.1904149477566528814539398261</v>
      </c>
      <c r="M41" s="457">
        <v>41.84566740315215790248932096</v>
      </c>
      <c r="N41" s="458">
        <v>71.570894270793915083629758571</v>
      </c>
      <c r="O41" s="459">
        <v>84.45896924467552647109358075</v>
      </c>
      <c r="P41" s="93"/>
      <c r="Q41" s="430">
        <v>-9.857080629626680336244124370</v>
      </c>
      <c r="R41" s="431">
        <v>3.0004499129523027466958344300</v>
      </c>
      <c r="S41" s="432">
        <v>5.8716572245362217317532635700</v>
      </c>
      <c r="T41" s="430">
        <v>-24.352018346794344312051524540</v>
      </c>
      <c r="U41" s="431">
        <v>-10.758146513527006978614851870</v>
      </c>
      <c r="V41" s="432">
        <v>5.8604800235019637496428455500</v>
      </c>
      <c r="W41" s="430">
        <v>3.3954888387084860496038593100</v>
      </c>
      <c r="X41" s="431">
        <v>-17.768965615088937244530039570</v>
      </c>
      <c r="Y41" s="432">
        <v>-75.334137352376704060764637370</v>
      </c>
      <c r="Z41" s="430">
        <v>-11.693277694140127458886322990</v>
      </c>
      <c r="AA41" s="431">
        <v>-1.7966817489163198222040656100</v>
      </c>
      <c r="AB41" s="432">
        <v>5.0904352693685576877003397200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147</v>
      </c>
      <c r="Y1" s="21"/>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180</v>
      </c>
      <c r="D9" s="415">
        <v>82.11764966197699375700825591</v>
      </c>
      <c r="E9" s="416">
        <v>81.69161852382662446484262547</v>
      </c>
      <c r="F9" s="417">
        <v>67.083237102503014813992136790</v>
      </c>
      <c r="G9" s="415">
        <v>58.835967289314750133356217310</v>
      </c>
      <c r="H9" s="416">
        <v>82.84441107037456695430542133</v>
      </c>
      <c r="I9" s="417">
        <v>48.742310598559406218627814410</v>
      </c>
      <c r="J9" s="415">
        <v>22.152272613230121370422231020</v>
      </c>
      <c r="K9" s="416">
        <v>76.573438153362151551624979010</v>
      </c>
      <c r="L9" s="417">
        <v>16.962756768990270234275813760</v>
      </c>
      <c r="M9" s="415">
        <v>70.997558365671625727090976300</v>
      </c>
      <c r="N9" s="416">
        <v>82.61080855217749449876125813</v>
      </c>
      <c r="O9" s="417">
        <v>58.651657018190158921905853820</v>
      </c>
      <c r="P9" s="5"/>
      <c r="Q9" s="415">
        <v>-19.790494066451662270697375070</v>
      </c>
      <c r="R9" s="416">
        <v>5.6225200898970519682134966800</v>
      </c>
      <c r="S9" s="417">
        <v>-15.280698481358698803553033900</v>
      </c>
      <c r="T9" s="415">
        <v>-34.534597115392152908593781430</v>
      </c>
      <c r="U9" s="416">
        <v>-4.7768480696223077498404589500</v>
      </c>
      <c r="V9" s="417">
        <v>-37.661779949130540985781157400</v>
      </c>
      <c r="W9" s="415">
        <v>-19.731195855411406653481739610</v>
      </c>
      <c r="X9" s="416">
        <v>-14.875643482022929028679786560</v>
      </c>
      <c r="Y9" s="417">
        <v>-31.671696988082349923308628860</v>
      </c>
      <c r="Z9" s="415">
        <v>-24.448188496548465655703156380</v>
      </c>
      <c r="AA9" s="416">
        <v>2.054478482309720806973291500</v>
      </c>
      <c r="AB9" s="417">
        <v>-22.895992786337831024130529250</v>
      </c>
    </row>
    <row r="10" ht="18.95" customHeight="1">
      <c r="A10" s="58"/>
      <c r="B10" s="286"/>
      <c r="C10" s="287" t="s">
        <v>183</v>
      </c>
      <c r="D10" s="271">
        <v>93.59807835594551223444399830</v>
      </c>
      <c r="E10" s="92">
        <v>82.99334432494096884920817846</v>
      </c>
      <c r="F10" s="272">
        <v>77.680175451401212082974015090</v>
      </c>
      <c r="G10" s="271">
        <v>52.266894398095988514600623050</v>
      </c>
      <c r="H10" s="92">
        <v>71.923386398513542652975034890</v>
      </c>
      <c r="I10" s="272">
        <v>37.592120416404105714054544740</v>
      </c>
      <c r="J10" s="271">
        <v>38.462797702613486829767744980</v>
      </c>
      <c r="K10" s="92">
        <v>74.079242266688611183121211650</v>
      </c>
      <c r="L10" s="272">
        <v>28.492949092492391838475606300</v>
      </c>
      <c r="M10" s="271">
        <v>76.537945104573324505998837860</v>
      </c>
      <c r="N10" s="92">
        <v>81.50664635076204515807663390</v>
      </c>
      <c r="O10" s="272">
        <v>62.383512240546241144388534400</v>
      </c>
      <c r="P10" s="5"/>
      <c r="Q10" s="271">
        <v>-10.537077291985738551073548020</v>
      </c>
      <c r="R10" s="92">
        <v>2.1376952795872283739749481700</v>
      </c>
      <c r="S10" s="272">
        <v>-8.624632616295774627922474350</v>
      </c>
      <c r="T10" s="271">
        <v>70.597662862512563881324203520</v>
      </c>
      <c r="U10" s="92">
        <v>-17.749651088768368792277112510</v>
      </c>
      <c r="V10" s="272">
        <v>40.317172939185620193429843520</v>
      </c>
      <c r="W10" s="271">
        <v>46.883493196775776136820073500</v>
      </c>
      <c r="X10" s="92">
        <v>-11.044011596006159291137865940</v>
      </c>
      <c r="Y10" s="272">
        <v>30.661663176070639925875790730</v>
      </c>
      <c r="Z10" s="271">
        <v>-8.419369633751301579133307590</v>
      </c>
      <c r="AA10" s="92">
        <v>-1.3278987746390660175753642100</v>
      </c>
      <c r="AB10" s="272">
        <v>-9.635467702218302858821044240</v>
      </c>
    </row>
    <row r="11" ht="18.95" customHeight="1">
      <c r="A11" s="58"/>
      <c r="B11" s="288"/>
      <c r="C11" s="289" t="s">
        <v>186</v>
      </c>
      <c r="D11" s="420">
        <v>92.56378488079630820496399161</v>
      </c>
      <c r="E11" s="91">
        <v>81.52110336468075845637746611</v>
      </c>
      <c r="F11" s="421">
        <v>75.459018751002795912244615630</v>
      </c>
      <c r="G11" s="420">
        <v>38.447206297508781408314178970</v>
      </c>
      <c r="H11" s="91">
        <v>89.44372923229772301410589083</v>
      </c>
      <c r="I11" s="421">
        <v>34.388615098244752900540955990</v>
      </c>
      <c r="J11" s="420">
        <v>26.475177607169020873768392540</v>
      </c>
      <c r="K11" s="91">
        <v>71.806046174790840939740384410</v>
      </c>
      <c r="L11" s="421">
        <v>19.010778257541988253484603300</v>
      </c>
      <c r="M11" s="420">
        <v>71.837027076489485539434544540</v>
      </c>
      <c r="N11" s="91">
        <v>83.00756085375477820729983627</v>
      </c>
      <c r="O11" s="421">
        <v>59.630163966050965379056902640</v>
      </c>
      <c r="P11" s="5"/>
      <c r="Q11" s="420">
        <v>-9.749696351533140913591813270</v>
      </c>
      <c r="R11" s="91">
        <v>0.9411429470759997969517616700</v>
      </c>
      <c r="S11" s="421">
        <v>-8.900311984006476162314015450</v>
      </c>
      <c r="T11" s="420">
        <v>-39.254769172838236510775008320</v>
      </c>
      <c r="U11" s="91">
        <v>10.131514110935576186999365640</v>
      </c>
      <c r="V11" s="421">
        <v>-33.100357539805918047415998940</v>
      </c>
      <c r="W11" s="420">
        <v>-33.437917570156768897967083430</v>
      </c>
      <c r="X11" s="91">
        <v>-15.583430394285087436971904500</v>
      </c>
      <c r="Y11" s="421">
        <v>-43.810573353255512940741824320</v>
      </c>
      <c r="Z11" s="420">
        <v>-21.191722912167390769796361560</v>
      </c>
      <c r="AA11" s="91">
        <v>2.2306978769506045231117723300</v>
      </c>
      <c r="AB11" s="421">
        <v>-19.433748348271491561875817460</v>
      </c>
    </row>
    <row r="12" ht="18.95" customHeight="1">
      <c r="A12" s="58"/>
      <c r="B12" s="286"/>
      <c r="C12" s="287" t="s">
        <v>187</v>
      </c>
      <c r="D12" s="271">
        <v>86.04227013367113504636264085</v>
      </c>
      <c r="E12" s="92">
        <v>81.15493911130498207508629904</v>
      </c>
      <c r="F12" s="272">
        <v>69.827551936983906764782304190</v>
      </c>
      <c r="G12" s="271">
        <v>41.201247501230160684535166150</v>
      </c>
      <c r="H12" s="92">
        <v>87.52240878715565509270816037</v>
      </c>
      <c r="I12" s="272">
        <v>36.060324263206395455108265760</v>
      </c>
      <c r="J12" s="271">
        <v>21.660607496849298729207080680</v>
      </c>
      <c r="K12" s="92">
        <v>82.22193364181588901852206572</v>
      </c>
      <c r="L12" s="272">
        <v>17.809770322483746760247327960</v>
      </c>
      <c r="M12" s="271">
        <v>71.049985275211626660853616970</v>
      </c>
      <c r="N12" s="92">
        <v>83.22866741108989725621499255</v>
      </c>
      <c r="O12" s="272">
        <v>59.133955940365733140665946390</v>
      </c>
      <c r="P12" s="5"/>
      <c r="Q12" s="271">
        <v>-18.654027912889743411925217150</v>
      </c>
      <c r="R12" s="92">
        <v>4.8531390842337796116866671700</v>
      </c>
      <c r="S12" s="272">
        <v>-14.706194748100485763363032570</v>
      </c>
      <c r="T12" s="271">
        <v>18.169603171444699460757455130</v>
      </c>
      <c r="U12" s="92">
        <v>4.0730794953408987939600235200</v>
      </c>
      <c r="V12" s="272">
        <v>22.982745047719684278660470080</v>
      </c>
      <c r="W12" s="271">
        <v>-35.013719402513268580463196480</v>
      </c>
      <c r="X12" s="92">
        <v>-3.7659144730356784595975048700</v>
      </c>
      <c r="Y12" s="272">
        <v>-37.461047148027482891087800630</v>
      </c>
      <c r="Z12" s="271">
        <v>-19.766827338401489633228532930</v>
      </c>
      <c r="AA12" s="92">
        <v>6.3764601456560894551221139900</v>
      </c>
      <c r="AB12" s="272">
        <v>-14.650791059982615973678345320</v>
      </c>
    </row>
    <row r="13" ht="18.95" customHeight="1">
      <c r="A13" s="58"/>
      <c r="B13" s="288"/>
      <c r="C13" s="289" t="s">
        <v>188</v>
      </c>
      <c r="D13" s="420">
        <v>71.753327860138264348845431800</v>
      </c>
      <c r="E13" s="91">
        <v>78.827119308280547737225743580</v>
      </c>
      <c r="F13" s="421">
        <v>56.561081360045349828607374410</v>
      </c>
      <c r="G13" s="420">
        <v>34.368558122433346531275269330</v>
      </c>
      <c r="H13" s="91">
        <v>75.060311100421460121313447140</v>
      </c>
      <c r="I13" s="421">
        <v>25.797146647316702227964048330</v>
      </c>
      <c r="J13" s="420">
        <v>29.061331662893440764860880380</v>
      </c>
      <c r="K13" s="91">
        <v>79.74400116692387223662408029</v>
      </c>
      <c r="L13" s="421">
        <v>23.174668660713396565394837010</v>
      </c>
      <c r="M13" s="420">
        <v>61.991081882589535787803705870</v>
      </c>
      <c r="N13" s="91">
        <v>78.957898968487020231542756610</v>
      </c>
      <c r="O13" s="421">
        <v>48.946855802364416087373060720</v>
      </c>
      <c r="P13" s="5"/>
      <c r="Q13" s="420">
        <v>-31.453159799514201682731855270</v>
      </c>
      <c r="R13" s="91">
        <v>-0.2583629289569760109503215700</v>
      </c>
      <c r="S13" s="421">
        <v>-31.630259423533371508060586300</v>
      </c>
      <c r="T13" s="420">
        <v>-36.802279910647802187880574650</v>
      </c>
      <c r="U13" s="91">
        <v>-10.437229510850224243506398910</v>
      </c>
      <c r="V13" s="421">
        <v>-43.398371001976812632999374590</v>
      </c>
      <c r="W13" s="420">
        <v>-14.569501355259218804441823370</v>
      </c>
      <c r="X13" s="91">
        <v>-6.2893520127854509769608907500</v>
      </c>
      <c r="Y13" s="421">
        <v>-19.942526139250630583299834460</v>
      </c>
      <c r="Z13" s="420">
        <v>-30.276203910121404853833962820</v>
      </c>
      <c r="AA13" s="91">
        <v>-2.1260047320128311287665574500</v>
      </c>
      <c r="AB13" s="421">
        <v>-31.758535114234425591908138920</v>
      </c>
    </row>
    <row r="14" ht="18.95" customHeight="1">
      <c r="A14" s="58"/>
      <c r="B14" s="286"/>
      <c r="C14" s="287" t="s">
        <v>189</v>
      </c>
      <c r="D14" s="271">
        <v>77.179446798397377228039191130</v>
      </c>
      <c r="E14" s="92">
        <v>77.962919654760228279716931980</v>
      </c>
      <c r="F14" s="272">
        <v>60.171350097332096900543988680</v>
      </c>
      <c r="G14" s="271">
        <v>45.699030414992180219185666400</v>
      </c>
      <c r="H14" s="92">
        <v>81.59349137102312594469878225</v>
      </c>
      <c r="I14" s="272">
        <v>37.287434438060399964710879460</v>
      </c>
      <c r="J14" s="271">
        <v>26.069937889979353557152074750</v>
      </c>
      <c r="K14" s="92">
        <v>80.31383193470053333446730918</v>
      </c>
      <c r="L14" s="272">
        <v>20.937766102459057180444459820</v>
      </c>
      <c r="M14" s="271">
        <v>66.333157403586155318740564260</v>
      </c>
      <c r="N14" s="92">
        <v>79.35874459596777663142975123</v>
      </c>
      <c r="O14" s="272">
        <v>52.641160966308908363529334970</v>
      </c>
      <c r="P14" s="5"/>
      <c r="Q14" s="271">
        <v>-29.882747098922839765706442320</v>
      </c>
      <c r="R14" s="92">
        <v>-3.8792215221480441896715376800</v>
      </c>
      <c r="S14" s="272">
        <v>-32.602750664315849822995429110</v>
      </c>
      <c r="T14" s="271">
        <v>82.60318180652954003153194304</v>
      </c>
      <c r="U14" s="92">
        <v>-1.7638906292049513633497176900</v>
      </c>
      <c r="V14" s="272">
        <v>79.38226139329762329102263865</v>
      </c>
      <c r="W14" s="271">
        <v>-20.843135094064488401958062270</v>
      </c>
      <c r="X14" s="92">
        <v>-7.8124311349201310368405254300</v>
      </c>
      <c r="Y14" s="272">
        <v>-27.027210654361359783902213410</v>
      </c>
      <c r="Z14" s="271">
        <v>-23.703652665828147315927950420</v>
      </c>
      <c r="AA14" s="92">
        <v>-3.4765129847447528523961180300</v>
      </c>
      <c r="AB14" s="272">
        <v>-26.356105087846420123958799780</v>
      </c>
    </row>
    <row r="15" ht="18.95" customHeight="1">
      <c r="A15" s="58"/>
      <c r="B15" s="288"/>
      <c r="C15" s="289" t="s">
        <v>190</v>
      </c>
      <c r="D15" s="420">
        <v>74.325759488414023808972838160</v>
      </c>
      <c r="E15" s="91">
        <v>78.587198834057980847664586060</v>
      </c>
      <c r="F15" s="421">
        <v>58.410532394125718585694643960</v>
      </c>
      <c r="G15" s="420">
        <v>99.46770084094959691455744417</v>
      </c>
      <c r="H15" s="91">
        <v>77.581454848647778709871010580</v>
      </c>
      <c r="I15" s="421">
        <v>77.168489416936937053414110760</v>
      </c>
      <c r="J15" s="420">
        <v>23.537891700606872557390039950</v>
      </c>
      <c r="K15" s="91">
        <v>82.85614420575590712243538015</v>
      </c>
      <c r="L15" s="421">
        <v>19.502589490274840753018093720</v>
      </c>
      <c r="M15" s="420">
        <v>74.258371025684098679609689650</v>
      </c>
      <c r="N15" s="91">
        <v>79.179361738137237775706333400</v>
      </c>
      <c r="O15" s="421">
        <v>58.797304215345588506742798970</v>
      </c>
      <c r="P15" s="5"/>
      <c r="Q15" s="420">
        <v>-30.751109643158515294765382740</v>
      </c>
      <c r="R15" s="91">
        <v>-0.3555176502972228759924458200</v>
      </c>
      <c r="S15" s="421">
        <v>-30.997301670920272422918502320</v>
      </c>
      <c r="T15" s="420">
        <v>657.82909469302707265887365800</v>
      </c>
      <c r="U15" s="91">
        <v>2.0785891312612064374865359800</v>
      </c>
      <c r="V15" s="421">
        <v>673.58124788308735506374525173</v>
      </c>
      <c r="W15" s="420">
        <v>-26.954360728221373425785061780</v>
      </c>
      <c r="X15" s="91">
        <v>-1.6575281585720636889791771100</v>
      </c>
      <c r="Y15" s="421">
        <v>-28.165112768199280173374563440</v>
      </c>
      <c r="Z15" s="420">
        <v>-10.371768609077633807288820380</v>
      </c>
      <c r="AA15" s="91">
        <v>-0.1439078422814350011782826400</v>
      </c>
      <c r="AB15" s="421">
        <v>-10.500750662853061395878491570</v>
      </c>
    </row>
    <row r="16" ht="18.95" customHeight="1">
      <c r="A16" s="58"/>
      <c r="B16" s="286"/>
      <c r="C16" s="287" t="s">
        <v>191</v>
      </c>
      <c r="D16" s="271">
        <v>142.95469225497464667926076812</v>
      </c>
      <c r="E16" s="92">
        <v>78.315474324578093044312022990</v>
      </c>
      <c r="F16" s="272">
        <v>111.95564530883472666066642888</v>
      </c>
      <c r="G16" s="271">
        <v>58.208207119313101943918357050</v>
      </c>
      <c r="H16" s="92">
        <v>84.21778644939601440249662741</v>
      </c>
      <c r="I16" s="272">
        <v>49.021663568092866700169926420</v>
      </c>
      <c r="J16" s="271">
        <v>18.060846341054083251865540280</v>
      </c>
      <c r="K16" s="92">
        <v>74.517986038736220082560118790</v>
      </c>
      <c r="L16" s="272">
        <v>13.458578954660606410431811730</v>
      </c>
      <c r="M16" s="271">
        <v>111.06405649336530345288551681</v>
      </c>
      <c r="N16" s="92">
        <v>78.870311059027350998986525740</v>
      </c>
      <c r="O16" s="272">
        <v>87.59656683116299598191296719</v>
      </c>
      <c r="P16" s="5"/>
      <c r="Q16" s="271">
        <v>2.2063486672610914072380776800</v>
      </c>
      <c r="R16" s="92">
        <v>-2.6326765007554857249997591400</v>
      </c>
      <c r="S16" s="272">
        <v>-0.4844138561693720670365134200</v>
      </c>
      <c r="T16" s="271">
        <v>-39.725197547573919563001093030</v>
      </c>
      <c r="U16" s="92">
        <v>5.6822847789498984904492634300</v>
      </c>
      <c r="V16" s="272">
        <v>-36.300211622173817056344691510</v>
      </c>
      <c r="W16" s="271">
        <v>-40.449394522030967813518378600</v>
      </c>
      <c r="X16" s="92">
        <v>-10.589438816949280999406926610</v>
      </c>
      <c r="Y16" s="272">
        <v>-46.755469455021379432818625750</v>
      </c>
      <c r="Z16" s="271">
        <v>-9.079907563043327646216170500</v>
      </c>
      <c r="AA16" s="92">
        <v>-2.2938363613728854746239995600</v>
      </c>
      <c r="AB16" s="272">
        <v>-11.165465703082909000227387840</v>
      </c>
    </row>
    <row r="17" ht="18.95" customHeight="1">
      <c r="A17" s="58"/>
      <c r="B17" s="288"/>
      <c r="C17" s="289" t="s">
        <v>192</v>
      </c>
      <c r="D17" s="420">
        <v>105.45833779735448729719182535</v>
      </c>
      <c r="E17" s="91">
        <v>78.276885413149364739075279600</v>
      </c>
      <c r="F17" s="421">
        <v>82.54950223620579123753997965</v>
      </c>
      <c r="G17" s="420">
        <v>22.969547942891375119665698330</v>
      </c>
      <c r="H17" s="91">
        <v>83.74166894348458427561790731</v>
      </c>
      <c r="I17" s="421">
        <v>19.235082796129429770821004120</v>
      </c>
      <c r="J17" s="420">
        <v>24.483534130774333711655061200</v>
      </c>
      <c r="K17" s="91">
        <v>71.956102612510717755304098040</v>
      </c>
      <c r="L17" s="421">
        <v>17.617396942342615164429272930</v>
      </c>
      <c r="M17" s="420">
        <v>78.902358615716756575720362640</v>
      </c>
      <c r="N17" s="91">
        <v>77.871147010545910656388595010</v>
      </c>
      <c r="O17" s="421">
        <v>61.442171672403885050387422750</v>
      </c>
      <c r="P17" s="5"/>
      <c r="Q17" s="420">
        <v>-1.21328313879732831563482500</v>
      </c>
      <c r="R17" s="91">
        <v>-3.9306899549186268352419823500</v>
      </c>
      <c r="S17" s="421">
        <v>-5.0962826951738696259115185900</v>
      </c>
      <c r="T17" s="420">
        <v>-56.011311041613135076966902930</v>
      </c>
      <c r="U17" s="91">
        <v>13.312173362506825421194029990</v>
      </c>
      <c r="V17" s="421">
        <v>-50.155460507602368099619284640</v>
      </c>
      <c r="W17" s="420">
        <v>36.124140099170449573444499200</v>
      </c>
      <c r="X17" s="91">
        <v>-7.3392675440806444462144905900</v>
      </c>
      <c r="Y17" s="421">
        <v>26.133625264901272712344684140</v>
      </c>
      <c r="Z17" s="420">
        <v>-7.5778468268500321611341715100</v>
      </c>
      <c r="AA17" s="91">
        <v>-4.92559904546174707908315400</v>
      </c>
      <c r="AB17" s="421">
        <v>-12.130191521391486674899406320</v>
      </c>
    </row>
    <row r="18" ht="18.95" customHeight="1">
      <c r="A18" s="58"/>
      <c r="B18" s="286"/>
      <c r="C18" s="287" t="s">
        <v>193</v>
      </c>
      <c r="D18" s="271">
        <v>81.68497105067541216515617933</v>
      </c>
      <c r="E18" s="92">
        <v>87.49822004693139557617106132</v>
      </c>
      <c r="F18" s="272">
        <v>71.472895715236754071654942430</v>
      </c>
      <c r="G18" s="271">
        <v>8.517240382829227404529871720</v>
      </c>
      <c r="H18" s="92">
        <v>81.22990044449054450630925338</v>
      </c>
      <c r="I18" s="272">
        <v>6.918545883621286730571239600</v>
      </c>
      <c r="J18" s="271">
        <v>31.561907832025619552538347050</v>
      </c>
      <c r="K18" s="92">
        <v>71.827891699647633046616926060</v>
      </c>
      <c r="L18" s="272">
        <v>22.670252975677786598682963480</v>
      </c>
      <c r="M18" s="271">
        <v>66.038559548044791499387324330</v>
      </c>
      <c r="N18" s="92">
        <v>84.81937030790834086949363559</v>
      </c>
      <c r="O18" s="272">
        <v>56.013490369079614910939352740</v>
      </c>
      <c r="P18" s="5"/>
      <c r="Q18" s="271">
        <v>-29.378930904973833793801222220</v>
      </c>
      <c r="R18" s="92">
        <v>9.902355044573283436749488990</v>
      </c>
      <c r="S18" s="272">
        <v>-22.385781906920570526048044850</v>
      </c>
      <c r="T18" s="271">
        <v>-84.57865447183689987357788203</v>
      </c>
      <c r="U18" s="92">
        <v>8.485469343599775824537862540</v>
      </c>
      <c r="V18" s="272">
        <v>-83.27008092454519621460244700</v>
      </c>
      <c r="W18" s="271">
        <v>69.184155080004490547063382880</v>
      </c>
      <c r="X18" s="92">
        <v>-6.5938531148477206231105330300</v>
      </c>
      <c r="Y18" s="272">
        <v>58.028400400182418646360300660</v>
      </c>
      <c r="Z18" s="271">
        <v>-27.187474351456374885190644550</v>
      </c>
      <c r="AA18" s="92">
        <v>6.3965736794458451187201443600</v>
      </c>
      <c r="AB18" s="272">
        <v>-22.529967500512545796758679720</v>
      </c>
    </row>
    <row r="19" ht="18.95" customHeight="1">
      <c r="A19" s="58"/>
      <c r="B19" s="288"/>
      <c r="C19" s="289" t="s">
        <v>195</v>
      </c>
      <c r="D19" s="420">
        <v>58.919429272882657556432710390</v>
      </c>
      <c r="E19" s="91">
        <v>86.88038058861815868357034758</v>
      </c>
      <c r="F19" s="421">
        <v>51.189424392899296837315628060</v>
      </c>
      <c r="G19" s="420">
        <v>59.476935793132687286191058270</v>
      </c>
      <c r="H19" s="91">
        <v>91.45933901617270849666616742</v>
      </c>
      <c r="I19" s="421">
        <v>54.397212342972822406778613880</v>
      </c>
      <c r="J19" s="420">
        <v>48.834007804365726199626654770</v>
      </c>
      <c r="K19" s="91">
        <v>67.295088028210338012617121560</v>
      </c>
      <c r="L19" s="421">
        <v>32.862888540335861383142135880</v>
      </c>
      <c r="M19" s="420">
        <v>58.387096774207749316566433200</v>
      </c>
      <c r="N19" s="91">
        <v>86.41579231614831032723580452</v>
      </c>
      <c r="O19" s="421">
        <v>50.455672287797866673395767060</v>
      </c>
      <c r="P19" s="5"/>
      <c r="Q19" s="420">
        <v>-38.895652105476614563889409270</v>
      </c>
      <c r="R19" s="91">
        <v>3.717414984042461427789471700</v>
      </c>
      <c r="S19" s="421">
        <v>-36.624149921044924209135388140</v>
      </c>
      <c r="T19" s="420">
        <v>-59.431019047513051573832647040</v>
      </c>
      <c r="U19" s="91">
        <v>16.387777618998619068258114800</v>
      </c>
      <c r="V19" s="421">
        <v>-52.782664667090245329082832380</v>
      </c>
      <c r="W19" s="420">
        <v>146.52180031157832457021315568</v>
      </c>
      <c r="X19" s="91">
        <v>-15.449013241992882819220618910</v>
      </c>
      <c r="Y19" s="421">
        <v>108.43661473899533479140458267</v>
      </c>
      <c r="Z19" s="420">
        <v>-39.439707673510397874302623940</v>
      </c>
      <c r="AA19" s="91">
        <v>4.4404292397046989199451268400</v>
      </c>
      <c r="AB19" s="421">
        <v>-36.750570745406131262948507990</v>
      </c>
    </row>
    <row r="20" ht="18.95" customHeight="1">
      <c r="A20" s="58"/>
      <c r="B20" s="286">
        <v>2025</v>
      </c>
      <c r="C20" s="287" t="s">
        <v>196</v>
      </c>
      <c r="D20" s="271">
        <v>69.676433356702364664648979850</v>
      </c>
      <c r="E20" s="92">
        <v>82.82670210534357777089412384</v>
      </c>
      <c r="F20" s="272">
        <v>57.710691894031837828240825370</v>
      </c>
      <c r="G20" s="271">
        <v>39.313561281130405457493005350</v>
      </c>
      <c r="H20" s="92">
        <v>86.18297295585143895555159980</v>
      </c>
      <c r="I20" s="272">
        <v>33.881595886938922518790187560</v>
      </c>
      <c r="J20" s="271">
        <v>36.158360547990646419471253540</v>
      </c>
      <c r="K20" s="92">
        <v>65.048597206019947611393222540</v>
      </c>
      <c r="L20" s="272">
        <v>23.520506308706940209500125160</v>
      </c>
      <c r="M20" s="271">
        <v>61.952721004632183888278390880</v>
      </c>
      <c r="N20" s="92">
        <v>81.40584019223406068392901985</v>
      </c>
      <c r="O20" s="272">
        <v>50.433133055792176398952993580</v>
      </c>
      <c r="P20" s="5"/>
      <c r="Q20" s="271">
        <v>-32.962012953925945293372228730</v>
      </c>
      <c r="R20" s="92">
        <v>4.2017923307791096244991608200</v>
      </c>
      <c r="S20" s="272">
        <v>-30.145215955447175018514772620</v>
      </c>
      <c r="T20" s="271">
        <v>-13.672974706873679667389321230</v>
      </c>
      <c r="U20" s="92">
        <v>10.206360882951874525930771480</v>
      </c>
      <c r="V20" s="272">
        <v>-4.8621269660675820318583916200</v>
      </c>
      <c r="W20" s="271">
        <v>126.55864882180555501843167028</v>
      </c>
      <c r="X20" s="92">
        <v>-19.137464307602140657926144960</v>
      </c>
      <c r="Y20" s="272">
        <v>83.20106826533347056974829640</v>
      </c>
      <c r="Z20" s="271">
        <v>-22.379829671895632157999416760</v>
      </c>
      <c r="AA20" s="92">
        <v>0.4486291672699293745844650900</v>
      </c>
      <c r="AB20" s="272">
        <v>-22.031602948094423873022413850</v>
      </c>
    </row>
    <row r="21" ht="18.95" customHeight="1">
      <c r="A21" s="58"/>
      <c r="B21" s="288"/>
      <c r="C21" s="289" t="s">
        <v>180</v>
      </c>
      <c r="D21" s="420">
        <v>70.015669580738375059169415290</v>
      </c>
      <c r="E21" s="91">
        <v>84.30476875198866517662487922</v>
      </c>
      <c r="F21" s="421">
        <v>59.026548330150169090162980560</v>
      </c>
      <c r="G21" s="420">
        <v>81.07939644504649483376996685</v>
      </c>
      <c r="H21" s="91">
        <v>82.64064709244144596075956106</v>
      </c>
      <c r="I21" s="421">
        <v>67.004537880988889033959928910</v>
      </c>
      <c r="J21" s="420">
        <v>45.080543619062154046324671210</v>
      </c>
      <c r="K21" s="91">
        <v>66.430575837523921902813865120</v>
      </c>
      <c r="L21" s="421">
        <v>29.947264716664556572897396790</v>
      </c>
      <c r="M21" s="420">
        <v>70.937896523945081514978802480</v>
      </c>
      <c r="N21" s="91">
        <v>83.37289918830846560931199199</v>
      </c>
      <c r="O21" s="421">
        <v>59.142980955282665345784316280</v>
      </c>
      <c r="P21" s="5"/>
      <c r="Q21" s="420">
        <v>-14.737367826616967478728306020</v>
      </c>
      <c r="R21" s="91">
        <v>3.1987984513091158124297777900</v>
      </c>
      <c r="S21" s="421">
        <v>-12.009988069060521243257812930</v>
      </c>
      <c r="T21" s="420">
        <v>37.805835750730861629087500430</v>
      </c>
      <c r="U21" s="91">
        <v>-0.2459598364280703430857603900</v>
      </c>
      <c r="V21" s="421">
        <v>37.466888742269484197065745360</v>
      </c>
      <c r="W21" s="420">
        <v>103.50301933445760997982783352</v>
      </c>
      <c r="X21" s="91">
        <v>-13.245927779234393111408391830</v>
      </c>
      <c r="Y21" s="421">
        <v>76.547156364313229119894578790</v>
      </c>
      <c r="Z21" s="420">
        <v>-0.0840336528864942318372247600</v>
      </c>
      <c r="AA21" s="91">
        <v>0.9225071748655224261994594600</v>
      </c>
      <c r="AB21" s="421">
        <v>0.8376983056594705485546514700</v>
      </c>
    </row>
    <row r="22" ht="18.95" customHeight="1">
      <c r="A22" s="58"/>
      <c r="B22" s="286"/>
      <c r="C22" s="287" t="s">
        <v>183</v>
      </c>
      <c r="D22" s="271">
        <v>98.64564004517684823719631774</v>
      </c>
      <c r="E22" s="92">
        <v>84.25736947740447356957882707</v>
      </c>
      <c r="F22" s="272">
        <v>83.11622140622164275476791667</v>
      </c>
      <c r="G22" s="271">
        <v>38.642959602390739436984823150</v>
      </c>
      <c r="H22" s="92">
        <v>100.45533132255513884017829491</v>
      </c>
      <c r="I22" s="272">
        <v>38.818913101307718266544444860</v>
      </c>
      <c r="J22" s="271">
        <v>51.988995378068130374926592290</v>
      </c>
      <c r="K22" s="92">
        <v>69.512559603596725953398149160</v>
      </c>
      <c r="L22" s="272">
        <v>36.138881399562142065583703370</v>
      </c>
      <c r="M22" s="271">
        <v>83.06965164519533919815761010</v>
      </c>
      <c r="N22" s="92">
        <v>85.88908243376716570121876327</v>
      </c>
      <c r="O22" s="272">
        <v>71.347761578982413149618373610</v>
      </c>
      <c r="P22" s="5"/>
      <c r="Q22" s="271">
        <v>5.3928048288383185083787106900</v>
      </c>
      <c r="R22" s="92">
        <v>1.5230440016444012766086004700</v>
      </c>
      <c r="S22" s="272">
        <v>6.9979836209595880670407039300</v>
      </c>
      <c r="T22" s="271">
        <v>-26.066088204782483190556743760</v>
      </c>
      <c r="U22" s="92">
        <v>39.669913157273400488185850930</v>
      </c>
      <c r="V22" s="272">
        <v>3.2634303979631744350299650900</v>
      </c>
      <c r="W22" s="271">
        <v>35.166962580451575803688485510</v>
      </c>
      <c r="X22" s="92">
        <v>-6.1645914879397774457066723100</v>
      </c>
      <c r="Y22" s="272">
        <v>26.834471511672083915522488560</v>
      </c>
      <c r="Z22" s="271">
        <v>8.533945524234851327414076260</v>
      </c>
      <c r="AA22" s="92">
        <v>5.3767837092761839925027829300</v>
      </c>
      <c r="AB22" s="272">
        <v>14.369581026351274967083541740</v>
      </c>
    </row>
    <row r="23" ht="18.95" customHeight="1">
      <c r="A23" s="58"/>
      <c r="B23" s="288"/>
      <c r="C23" s="289" t="s">
        <v>186</v>
      </c>
      <c r="D23" s="420">
        <v>81.18348420586343230461934059</v>
      </c>
      <c r="E23" s="91">
        <v>80.73442685360018042814778602</v>
      </c>
      <c r="F23" s="421">
        <v>65.543020673472510858741166760</v>
      </c>
      <c r="G23" s="420">
        <v>17.71800622621837689401911600</v>
      </c>
      <c r="H23" s="91">
        <v>87.01459620964545382683674041</v>
      </c>
      <c r="I23" s="421">
        <v>15.417251574155512372247145700</v>
      </c>
      <c r="J23" s="420">
        <v>43.314467329475475052164232110</v>
      </c>
      <c r="K23" s="91">
        <v>71.668343027365149091508793920</v>
      </c>
      <c r="L23" s="421">
        <v>31.042761026646787551771729290</v>
      </c>
      <c r="M23" s="420">
        <v>65.938762020850759688861983730</v>
      </c>
      <c r="N23" s="91">
        <v>79.43871047787891993669721700</v>
      </c>
      <c r="O23" s="421">
        <v>52.380902254427033372447100400</v>
      </c>
      <c r="P23" s="5"/>
      <c r="Q23" s="420">
        <v>-12.294549849697342342061629700</v>
      </c>
      <c r="R23" s="91">
        <v>-0.9649973793662656027893088300</v>
      </c>
      <c r="S23" s="421">
        <v>-13.140905145146855079940149220</v>
      </c>
      <c r="T23" s="420">
        <v>-53.916011246386771636878472730</v>
      </c>
      <c r="U23" s="91">
        <v>-2.7158226110470978325387700700</v>
      </c>
      <c r="V23" s="421">
        <v>-55.167570633100324819851963580</v>
      </c>
      <c r="W23" s="420">
        <v>63.604067070341323123360867820</v>
      </c>
      <c r="X23" s="91">
        <v>-0.1917709646617156196882462700</v>
      </c>
      <c r="Y23" s="421">
        <v>63.29032197511437178348104400</v>
      </c>
      <c r="Z23" s="420">
        <v>-8.210619642385974971810491850</v>
      </c>
      <c r="AA23" s="91">
        <v>-4.2994280752410541363878938100</v>
      </c>
      <c r="AB23" s="421">
        <v>-12.157038031614674949192281960</v>
      </c>
    </row>
    <row r="24" ht="18.95" customHeight="1">
      <c r="A24" s="59"/>
      <c r="B24" s="286"/>
      <c r="C24" s="287" t="s">
        <v>187</v>
      </c>
      <c r="D24" s="271">
        <v>87.74120439081956404567557436</v>
      </c>
      <c r="E24" s="92">
        <v>80.36445823521724828803344661</v>
      </c>
      <c r="F24" s="272">
        <v>70.512743557702171764763614490</v>
      </c>
      <c r="G24" s="271">
        <v>20.338634224776098190456653440</v>
      </c>
      <c r="H24" s="92">
        <v>85.72063676985543596582622621</v>
      </c>
      <c r="I24" s="272">
        <v>17.434406767743558626454815010</v>
      </c>
      <c r="J24" s="271">
        <v>36.599076620349905166441205190</v>
      </c>
      <c r="K24" s="92">
        <v>74.405862246690575656785940320</v>
      </c>
      <c r="L24" s="272">
        <v>27.231858533429578535554383030</v>
      </c>
      <c r="M24" s="271">
        <v>72.026575749675497966122204390</v>
      </c>
      <c r="N24" s="92">
        <v>80.58421479393931339611897716</v>
      </c>
      <c r="O24" s="272">
        <v>58.042050510804848713919992010</v>
      </c>
      <c r="P24" s="93"/>
      <c r="Q24" s="271">
        <v>1.9745344404321405035197264200</v>
      </c>
      <c r="R24" s="92">
        <v>-0.9740391462787571587704559500</v>
      </c>
      <c r="S24" s="272">
        <v>0.9812625556748247093622214600</v>
      </c>
      <c r="T24" s="271">
        <v>-50.635877653501320021199189950</v>
      </c>
      <c r="U24" s="92">
        <v>-2.0586408010379966332766624700</v>
      </c>
      <c r="V24" s="272">
        <v>-51.652107616970091909545524560</v>
      </c>
      <c r="W24" s="271">
        <v>68.966067206364453614908389370</v>
      </c>
      <c r="X24" s="92">
        <v>-9.506066141864472883078378510</v>
      </c>
      <c r="Y24" s="272">
        <v>52.904041098307535658869151760</v>
      </c>
      <c r="Z24" s="271">
        <v>1.3745118604780019673286953900</v>
      </c>
      <c r="AA24" s="92">
        <v>-3.1773338435165219853690567400</v>
      </c>
      <c r="AB24" s="272">
        <v>-1.8464948137338590962278728800</v>
      </c>
    </row>
    <row r="25" ht="18.95" customHeight="1">
      <c r="A25" s="60"/>
      <c r="B25" s="288"/>
      <c r="C25" s="289" t="s">
        <v>188</v>
      </c>
      <c r="D25" s="420">
        <v>78.660447002231296833611301370</v>
      </c>
      <c r="E25" s="91">
        <v>75.100047930521843320645607760</v>
      </c>
      <c r="F25" s="421">
        <v>59.074033400968142951319745760</v>
      </c>
      <c r="G25" s="420">
        <v>43.643728003172332441255491900</v>
      </c>
      <c r="H25" s="91">
        <v>80.01217761488201838168377908</v>
      </c>
      <c r="I25" s="421">
        <v>34.920297167680029419327948390</v>
      </c>
      <c r="J25" s="420">
        <v>28.787551123204619671551539380</v>
      </c>
      <c r="K25" s="91">
        <v>78.537729196109962791666923900</v>
      </c>
      <c r="L25" s="421">
        <v>22.609088943412225850950688350</v>
      </c>
      <c r="M25" s="420">
        <v>68.327557688875520877589515330</v>
      </c>
      <c r="N25" s="91">
        <v>75.906780822461444105212426380</v>
      </c>
      <c r="O25" s="421">
        <v>51.865249456192393329901740930</v>
      </c>
      <c r="P25" s="93"/>
      <c r="Q25" s="420">
        <v>9.626200412053850951797857870</v>
      </c>
      <c r="R25" s="91">
        <v>-4.7281587992594821348696110800</v>
      </c>
      <c r="S25" s="421">
        <v>4.4428995707732398122590380400</v>
      </c>
      <c r="T25" s="420">
        <v>26.987369815573268412930828700</v>
      </c>
      <c r="U25" s="91">
        <v>6.5971835739642033636440953500</v>
      </c>
      <c r="V25" s="421">
        <v>35.364959718655099135669859310</v>
      </c>
      <c r="W25" s="420">
        <v>-0.9420784390444551766151634800</v>
      </c>
      <c r="X25" s="91">
        <v>-1.5126805190842799848748657700</v>
      </c>
      <c r="Y25" s="421">
        <v>-2.440508322118511750901046400</v>
      </c>
      <c r="Z25" s="420">
        <v>10.221592548224389000348385620</v>
      </c>
      <c r="AA25" s="91">
        <v>-3.8642342132935802559476049400</v>
      </c>
      <c r="AB25" s="421">
        <v>5.9623720583279966279302234800</v>
      </c>
    </row>
    <row r="26" ht="18.95" customHeight="1">
      <c r="A26" s="60"/>
      <c r="B26" s="290"/>
      <c r="C26" s="291" t="s">
        <v>189</v>
      </c>
      <c r="D26" s="273">
        <v>71.294374530818306254940485590</v>
      </c>
      <c r="E26" s="274">
        <v>70.21054511054880504236808700</v>
      </c>
      <c r="F26" s="275">
        <v>50.056168991224881700369459750</v>
      </c>
      <c r="G26" s="273">
        <v>36.867807232896318613230356020</v>
      </c>
      <c r="H26" s="274">
        <v>94.35183648116201258048978345</v>
      </c>
      <c r="I26" s="275">
        <v>34.785453194755732437863754630</v>
      </c>
      <c r="J26" s="273">
        <v>25.349072800367304336517801220</v>
      </c>
      <c r="K26" s="274">
        <v>78.980829451350749413727356480</v>
      </c>
      <c r="L26" s="275">
        <v>20.020907956126611451071973340</v>
      </c>
      <c r="M26" s="273">
        <v>60.694762212509977908879451660</v>
      </c>
      <c r="N26" s="274">
        <v>73.817913799277574447201614170</v>
      </c>
      <c r="O26" s="275">
        <v>44.803607250691515106853448280</v>
      </c>
      <c r="P26" s="184"/>
      <c r="Q26" s="273">
        <v>-7.6251806817870280925207497900</v>
      </c>
      <c r="R26" s="274">
        <v>-9.943668834590520435404920110</v>
      </c>
      <c r="S26" s="275">
        <v>-16.810626801157657958653311010</v>
      </c>
      <c r="T26" s="273">
        <v>-19.324749566688769291189006470</v>
      </c>
      <c r="U26" s="274">
        <v>15.636474056675297580078329320</v>
      </c>
      <c r="V26" s="275">
        <v>-6.7099849615498439650912394700</v>
      </c>
      <c r="W26" s="273">
        <v>-2.7651200884111337768983030700</v>
      </c>
      <c r="X26" s="274">
        <v>-1.6597421032445098369746676300</v>
      </c>
      <c r="Y26" s="275">
        <v>-4.3789683287364373638198954100</v>
      </c>
      <c r="Z26" s="273">
        <v>-8.500115796966447314672460080</v>
      </c>
      <c r="AA26" s="274">
        <v>-6.982004094104212576672431800</v>
      </c>
      <c r="AB26" s="275">
        <v>-14.888641458014113830994928250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v>103.01260241923096383743254622</v>
      </c>
      <c r="E29" s="428">
        <v>79.2419700161658186265486700</v>
      </c>
      <c r="F29" s="429">
        <v>81.62921552189265747905109494</v>
      </c>
      <c r="G29" s="427">
        <v>46.969684284927844517139080170</v>
      </c>
      <c r="H29" s="428">
        <v>85.01936063778941862495179178</v>
      </c>
      <c r="I29" s="429">
        <v>39.933325272612195482493846210</v>
      </c>
      <c r="J29" s="427">
        <v>32.939283870294715344719450290</v>
      </c>
      <c r="K29" s="428">
        <v>87.96527495465353910204923956</v>
      </c>
      <c r="L29" s="429">
        <v>28.975131624795529069625510970</v>
      </c>
      <c r="M29" s="427">
        <v>86.39999859013647210092630572</v>
      </c>
      <c r="N29" s="428">
        <v>80.83769501172122577396278937</v>
      </c>
      <c r="O29" s="429">
        <v>69.843767350414280219705345270</v>
      </c>
      <c r="P29" s="5"/>
      <c r="Q29" s="427">
        <v>8.507353270039279748791497690</v>
      </c>
      <c r="R29" s="428">
        <v>-6.5504970409775057348947514700</v>
      </c>
      <c r="S29" s="429">
        <v>1.3995823048056480478710634200</v>
      </c>
      <c r="T29" s="427">
        <v>-39.123265181963280304375024330</v>
      </c>
      <c r="U29" s="428">
        <v>-10.810013897851801006037110410</v>
      </c>
      <c r="V29" s="429">
        <v>-45.704048676751562267782464340</v>
      </c>
      <c r="W29" s="427">
        <v>71.481295189954654162016092540</v>
      </c>
      <c r="X29" s="428">
        <v>-10.738272667415949787667894790</v>
      </c>
      <c r="Y29" s="429">
        <v>53.067166140132576294994867890</v>
      </c>
      <c r="Z29" s="427">
        <v>2.6507695804551365688566690800</v>
      </c>
      <c r="AA29" s="428">
        <v>-9.140529872505552039301257330</v>
      </c>
      <c r="AB29" s="429">
        <v>-6.7320546773771428656017819500</v>
      </c>
    </row>
    <row r="30" ht="18.95" customHeight="1">
      <c r="A30" s="58"/>
      <c r="B30" s="286">
        <v>2024</v>
      </c>
      <c r="C30" s="287"/>
      <c r="D30" s="271">
        <v>85.94746450948252926764498304</v>
      </c>
      <c r="E30" s="92">
        <v>80.64405436207044921217162660</v>
      </c>
      <c r="F30" s="272">
        <v>69.31152000181304137734038800</v>
      </c>
      <c r="G30" s="271">
        <v>46.464685083408833342869393640</v>
      </c>
      <c r="H30" s="92">
        <v>80.45088832307096521359865818</v>
      </c>
      <c r="I30" s="272">
        <v>37.381251906011534928689634150</v>
      </c>
      <c r="J30" s="271">
        <v>25.141942531991920034047233160</v>
      </c>
      <c r="K30" s="92">
        <v>78.137087425352581677947830520</v>
      </c>
      <c r="L30" s="272">
        <v>19.645181616538523620051036950</v>
      </c>
      <c r="M30" s="271">
        <v>71.150493220964055044321980090</v>
      </c>
      <c r="N30" s="92">
        <v>81.47880140078654728712426340</v>
      </c>
      <c r="O30" s="272">
        <v>57.972569067165161630098948820</v>
      </c>
      <c r="P30" s="5"/>
      <c r="Q30" s="271">
        <v>-16.566068140160669942888626930</v>
      </c>
      <c r="R30" s="92">
        <v>1.7693708846256739059645632600</v>
      </c>
      <c r="S30" s="272">
        <v>-15.089812441946461800644570530</v>
      </c>
      <c r="T30" s="271">
        <v>-1.0751598806328698255827316800</v>
      </c>
      <c r="U30" s="92">
        <v>-5.3734493890064269871219337500</v>
      </c>
      <c r="V30" s="272">
        <v>-6.3908360978381987189983206800</v>
      </c>
      <c r="W30" s="271">
        <v>-23.671860532883723511121116760</v>
      </c>
      <c r="X30" s="92">
        <v>-11.172803739212659104306220900</v>
      </c>
      <c r="Y30" s="272">
        <v>-32.199853754161767634273125020</v>
      </c>
      <c r="Z30" s="271">
        <v>-17.649890761552956947700416570</v>
      </c>
      <c r="AA30" s="92">
        <v>0.7930785124362552657757269500</v>
      </c>
      <c r="AB30" s="272">
        <v>-16.996789740275731576698730660</v>
      </c>
    </row>
    <row r="31" ht="18.95" customHeight="1">
      <c r="A31" s="58"/>
      <c r="B31" s="425">
        <v>2025</v>
      </c>
      <c r="C31" s="426"/>
      <c r="D31" s="430">
        <v>79.78630916360024378100532418</v>
      </c>
      <c r="E31" s="431">
        <v>79.60561969340226050152775876</v>
      </c>
      <c r="F31" s="432">
        <v>63.514385840165955108216457900</v>
      </c>
      <c r="G31" s="430">
        <v>40.120469361453714574700655490</v>
      </c>
      <c r="H31" s="431">
        <v>87.79715273205595387758152907</v>
      </c>
      <c r="I31" s="432">
        <v>35.224629762201657468498400590</v>
      </c>
      <c r="J31" s="430">
        <v>36.311806804694675862127501130</v>
      </c>
      <c r="K31" s="431">
        <v>72.745853095583524456528211560</v>
      </c>
      <c r="L31" s="432">
        <v>26.415333634553357975597685260</v>
      </c>
      <c r="M31" s="430">
        <v>69.113035746845105322388054020</v>
      </c>
      <c r="N31" s="431">
        <v>80.15986854133989513365800799</v>
      </c>
      <c r="O31" s="432">
        <v>55.400918599613486228783325160</v>
      </c>
      <c r="P31" s="184"/>
      <c r="Q31" s="430">
        <v>-7.1685132086924419558286025200</v>
      </c>
      <c r="R31" s="431">
        <v>-1.2876766637191407802306571500</v>
      </c>
      <c r="S31" s="432">
        <v>-8.363882600588610673915313220</v>
      </c>
      <c r="T31" s="430">
        <v>-13.653844227199601890801318320</v>
      </c>
      <c r="U31" s="431">
        <v>9.131365186985273498077622710</v>
      </c>
      <c r="V31" s="432">
        <v>-5.7692614180537566384136375400</v>
      </c>
      <c r="W31" s="430">
        <v>44.427212648656593716087733240</v>
      </c>
      <c r="X31" s="431">
        <v>-6.8997124252470518723980966600</v>
      </c>
      <c r="Y31" s="432">
        <v>34.462150313576654205413592700</v>
      </c>
      <c r="Z31" s="430">
        <v>-2.8635886863445397079546774500</v>
      </c>
      <c r="AA31" s="431">
        <v>-1.6187435710697076083564409800</v>
      </c>
      <c r="AB31" s="432">
        <v>-4.4359780995828156042162332900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v>106.75372388766470248378367207</v>
      </c>
      <c r="E34" s="428">
        <v>79.182166829334462974778255600</v>
      </c>
      <c r="F34" s="429">
        <v>84.52991174526030291040364656</v>
      </c>
      <c r="G34" s="427">
        <v>40.186311557167764791950735810</v>
      </c>
      <c r="H34" s="428">
        <v>83.71941411217438437085473694</v>
      </c>
      <c r="I34" s="429">
        <v>33.643744589097198307525141090</v>
      </c>
      <c r="J34" s="427">
        <v>33.403513183866220943444105490</v>
      </c>
      <c r="K34" s="428">
        <v>85.94055236978684123729206712</v>
      </c>
      <c r="L34" s="429">
        <v>28.707163741041820197409904500</v>
      </c>
      <c r="M34" s="427">
        <v>88.16562803936327769975357014</v>
      </c>
      <c r="N34" s="428">
        <v>80.44447880254909877384063547</v>
      </c>
      <c r="O34" s="429">
        <v>70.924379959173964453292728750</v>
      </c>
      <c r="P34" s="5"/>
      <c r="Q34" s="427">
        <v>23.697938015911552425785944540</v>
      </c>
      <c r="R34" s="428">
        <v>-6.4657647727942835681286564200</v>
      </c>
      <c r="S34" s="429">
        <v>15.699920314923833378714893800</v>
      </c>
      <c r="T34" s="427">
        <v>-30.034188329468581120424048980</v>
      </c>
      <c r="U34" s="428">
        <v>-13.041551787006899198828106850</v>
      </c>
      <c r="V34" s="429">
        <v>-39.158815891582347071926623760</v>
      </c>
      <c r="W34" s="427">
        <v>82.45974916025407980965436907</v>
      </c>
      <c r="X34" s="428">
        <v>-13.219766594635603802650165770</v>
      </c>
      <c r="Y34" s="429">
        <v>58.338996192153665424840089810</v>
      </c>
      <c r="Z34" s="427">
        <v>19.397928672250910466232088040</v>
      </c>
      <c r="AA34" s="428">
        <v>-9.528829199599936463179132510</v>
      </c>
      <c r="AB34" s="429">
        <v>8.020703981095862043255499630</v>
      </c>
    </row>
    <row r="35" ht="18.95" customHeight="1">
      <c r="A35" s="58"/>
      <c r="B35" s="286">
        <v>2024</v>
      </c>
      <c r="C35" s="287"/>
      <c r="D35" s="271">
        <v>78.157988298464094550298578870</v>
      </c>
      <c r="E35" s="92">
        <v>79.48122190305234061124021899</v>
      </c>
      <c r="F35" s="272">
        <v>62.120924114401758115894331470</v>
      </c>
      <c r="G35" s="271">
        <v>40.696374942629760180564528240</v>
      </c>
      <c r="H35" s="92">
        <v>81.52799598735533630385978424</v>
      </c>
      <c r="I35" s="272">
        <v>33.178938930196853699170625310</v>
      </c>
      <c r="J35" s="271">
        <v>25.155713182867650349902152780</v>
      </c>
      <c r="K35" s="92">
        <v>80.83108311386778304442033702</v>
      </c>
      <c r="L35" s="272">
        <v>20.333635430968230476485180430</v>
      </c>
      <c r="M35" s="271">
        <v>66.421099949107162435222322970</v>
      </c>
      <c r="N35" s="92">
        <v>80.64464986396850045816365405</v>
      </c>
      <c r="O35" s="272">
        <v>53.565063489660987357081394970</v>
      </c>
      <c r="P35" s="5"/>
      <c r="Q35" s="271">
        <v>-26.786639892129010926646737310</v>
      </c>
      <c r="R35" s="92">
        <v>0.3776798308601987143375075800</v>
      </c>
      <c r="S35" s="272">
        <v>-26.510127797624511172631172840</v>
      </c>
      <c r="T35" s="271">
        <v>1.2692465809004420231239072600</v>
      </c>
      <c r="U35" s="92">
        <v>-2.6175746068979233266022929700</v>
      </c>
      <c r="V35" s="272">
        <v>-1.3815515026045448419355498200</v>
      </c>
      <c r="W35" s="271">
        <v>-24.691414809049688325462864910</v>
      </c>
      <c r="X35" s="92">
        <v>-5.9453530551517767277412793900</v>
      </c>
      <c r="Y35" s="272">
        <v>-29.168776078260115022885985810</v>
      </c>
      <c r="Z35" s="271">
        <v>-24.663271360779632453398394490</v>
      </c>
      <c r="AA35" s="92">
        <v>0.2488313237256994635044009600</v>
      </c>
      <c r="AB35" s="272">
        <v>-24.475809981737088312181702630</v>
      </c>
    </row>
    <row r="36" ht="18.95" customHeight="1">
      <c r="A36" s="58"/>
      <c r="B36" s="425">
        <v>2025</v>
      </c>
      <c r="C36" s="426"/>
      <c r="D36" s="430">
        <v>79.082337327066304721608936510</v>
      </c>
      <c r="E36" s="431">
        <v>75.472542687125461973471280560</v>
      </c>
      <c r="F36" s="432">
        <v>59.685450797099394029265614750</v>
      </c>
      <c r="G36" s="430">
        <v>34.036100936795969210493479180</v>
      </c>
      <c r="H36" s="431">
        <v>87.29249056744400008604333142</v>
      </c>
      <c r="I36" s="432">
        <v>29.710960199762367042149033410</v>
      </c>
      <c r="J36" s="430">
        <v>29.933250753220182623973778480</v>
      </c>
      <c r="K36" s="431">
        <v>77.436120642455569228584883770</v>
      </c>
      <c r="L36" s="432">
        <v>23.179148165790432240238264410</v>
      </c>
      <c r="M36" s="430">
        <v>66.836937560605602810231283820</v>
      </c>
      <c r="N36" s="431">
        <v>76.856327157256824066306320550</v>
      </c>
      <c r="O36" s="432">
        <v>51.368415393449833299355204410</v>
      </c>
      <c r="P36" s="184"/>
      <c r="Q36" s="430">
        <v>1.1826673750046413774367912300</v>
      </c>
      <c r="R36" s="431">
        <v>-5.043555093883361421521295500</v>
      </c>
      <c r="S36" s="432">
        <v>-3.9205361993899391429404605600</v>
      </c>
      <c r="T36" s="430">
        <v>-16.365767258626797094233337370</v>
      </c>
      <c r="U36" s="431">
        <v>7.0705706797146001131775286500</v>
      </c>
      <c r="V36" s="432">
        <v>-10.452349720204654713503091770</v>
      </c>
      <c r="W36" s="430">
        <v>18.991858968911247197943096880</v>
      </c>
      <c r="X36" s="431">
        <v>-4.2000704935013062726341652300</v>
      </c>
      <c r="Y36" s="432">
        <v>13.994117010931827600535209040</v>
      </c>
      <c r="Z36" s="430">
        <v>0.6260625190252323921391351700</v>
      </c>
      <c r="AA36" s="431">
        <v>-4.697549946750148783922903500</v>
      </c>
      <c r="AB36" s="432">
        <v>-4.1008970271687610235786950500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v>97.54403572347485651663830917</v>
      </c>
      <c r="E39" s="428">
        <v>80.20831678189182530093809055</v>
      </c>
      <c r="F39" s="429">
        <v>78.238429174814139236106775070</v>
      </c>
      <c r="G39" s="427">
        <v>53.209913053309187848287134700</v>
      </c>
      <c r="H39" s="428">
        <v>85.66269254989232752926005022</v>
      </c>
      <c r="I39" s="429">
        <v>45.581044225061936780743057370</v>
      </c>
      <c r="J39" s="427">
        <v>32.557661996232279126314309350</v>
      </c>
      <c r="K39" s="428">
        <v>90.56538136444861578132627564</v>
      </c>
      <c r="L39" s="429">
        <v>29.485970750076998904776731590</v>
      </c>
      <c r="M39" s="427">
        <v>84.19731385956703528187757869</v>
      </c>
      <c r="N39" s="428">
        <v>81.87852311160016040318770454</v>
      </c>
      <c r="O39" s="429">
        <v>68.939517087866947107750421350</v>
      </c>
      <c r="P39" s="5"/>
      <c r="Q39" s="427">
        <v>6.7498955351220881198768010700</v>
      </c>
      <c r="R39" s="428">
        <v>-11.335972608392827401748990390</v>
      </c>
      <c r="S39" s="429">
        <v>-5.3512433823525527699898632300</v>
      </c>
      <c r="T39" s="427">
        <v>-37.70667290135265459959074200</v>
      </c>
      <c r="U39" s="428">
        <v>-5.829196734049226684789879400</v>
      </c>
      <c r="V39" s="429">
        <v>-41.337873490178159415547126540</v>
      </c>
      <c r="W39" s="427">
        <v>37.100578477046142682834991010</v>
      </c>
      <c r="X39" s="428">
        <v>-11.173256556924345056661807940</v>
      </c>
      <c r="Y39" s="429">
        <v>21.781979103265948565044962720</v>
      </c>
      <c r="Z39" s="427">
        <v>0.4479371541240954602253504300</v>
      </c>
      <c r="AA39" s="428">
        <v>-11.866117321736339588081065950</v>
      </c>
      <c r="AB39" s="429">
        <v>-11.471332915729195253723693220</v>
      </c>
    </row>
    <row r="40" ht="18.95" customHeight="1">
      <c r="A40" s="58"/>
      <c r="B40" s="286">
        <v>2024</v>
      </c>
      <c r="C40" s="287"/>
      <c r="D40" s="271">
        <v>96.49795570816912138566629017</v>
      </c>
      <c r="E40" s="92">
        <v>80.49031987145472190781282811</v>
      </c>
      <c r="F40" s="272">
        <v>77.671513219002276961106790590</v>
      </c>
      <c r="G40" s="271">
        <v>54.330117465687294748944506620</v>
      </c>
      <c r="H40" s="92">
        <v>78.811197930526333342580798810</v>
      </c>
      <c r="I40" s="272">
        <v>42.818216411890882662385465880</v>
      </c>
      <c r="J40" s="271">
        <v>24.043658333347014940225747390</v>
      </c>
      <c r="K40" s="92">
        <v>78.780754797873318901611528960</v>
      </c>
      <c r="L40" s="272">
        <v>18.941775516103175134801334240</v>
      </c>
      <c r="M40" s="271">
        <v>80.21778744898912468339962424</v>
      </c>
      <c r="N40" s="92">
        <v>81.05424659920497303263117036</v>
      </c>
      <c r="O40" s="272">
        <v>65.019923255373698104726348120</v>
      </c>
      <c r="P40" s="5"/>
      <c r="Q40" s="271">
        <v>-1.0724182238021348667043187900</v>
      </c>
      <c r="R40" s="92">
        <v>0.3515883400489952649918920300</v>
      </c>
      <c r="S40" s="272">
        <v>-0.7246003808833144810578644100</v>
      </c>
      <c r="T40" s="271">
        <v>2.10525510775631934694271800</v>
      </c>
      <c r="U40" s="92">
        <v>-7.998224682679163441847568160</v>
      </c>
      <c r="V40" s="272">
        <v>-6.0613526086963094031789654800</v>
      </c>
      <c r="W40" s="271">
        <v>-26.150537664058019556221381480</v>
      </c>
      <c r="X40" s="92">
        <v>-13.012286139567955227619306530</v>
      </c>
      <c r="Y40" s="272">
        <v>-35.760041015305778339291610340</v>
      </c>
      <c r="Z40" s="271">
        <v>-4.726429179494706784364812500</v>
      </c>
      <c r="AA40" s="92">
        <v>-1.0067066198440614025522384100</v>
      </c>
      <c r="AB40" s="272">
        <v>-5.6855545238715546393957987100</v>
      </c>
    </row>
    <row r="41" ht="18.95" customHeight="1">
      <c r="A41" s="58"/>
      <c r="B41" s="425">
        <v>2025</v>
      </c>
      <c r="C41" s="426"/>
      <c r="D41" s="430">
        <v>84.29980122120984865730944114</v>
      </c>
      <c r="E41" s="431">
        <v>80.63576546801124374194342916</v>
      </c>
      <c r="F41" s="432">
        <v>67.975790002829063323908571310</v>
      </c>
      <c r="G41" s="430">
        <v>42.953625704363394255085418970</v>
      </c>
      <c r="H41" s="431">
        <v>84.50015546505554375029443042</v>
      </c>
      <c r="I41" s="432">
        <v>36.295880497908881705740697340</v>
      </c>
      <c r="J41" s="430">
        <v>32.462312447422212068301476310</v>
      </c>
      <c r="K41" s="431">
        <v>73.368065714627663441290356720</v>
      </c>
      <c r="L41" s="432">
        <v>23.816970729025449736562865230</v>
      </c>
      <c r="M41" s="430">
        <v>72.529584296242176527578639010</v>
      </c>
      <c r="N41" s="431">
        <v>80.61184605792111722825295758</v>
      </c>
      <c r="O41" s="432">
        <v>58.467436839369840680592577760</v>
      </c>
      <c r="P41" s="184"/>
      <c r="Q41" s="430">
        <v>-12.640842386211920826236924470</v>
      </c>
      <c r="R41" s="431">
        <v>0.180699488762676785237614700</v>
      </c>
      <c r="S41" s="432">
        <v>-12.482984834907490327430630680</v>
      </c>
      <c r="T41" s="430">
        <v>-20.939567760954828575369981910</v>
      </c>
      <c r="U41" s="431">
        <v>7.2184634721228014620711354200</v>
      </c>
      <c r="V41" s="432">
        <v>-15.232619339507183659471504290</v>
      </c>
      <c r="W41" s="430">
        <v>35.014031548030024876902688410</v>
      </c>
      <c r="X41" s="431">
        <v>-6.8705727650842697774919172800</v>
      </c>
      <c r="Y41" s="432">
        <v>25.737794267394125009624420390</v>
      </c>
      <c r="Z41" s="430">
        <v>-9.584162562007517820215616240</v>
      </c>
      <c r="AA41" s="431">
        <v>-0.5458079740923151527261015100</v>
      </c>
      <c r="AB41" s="432">
        <v>-10.077659412626214859651663210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149</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180</v>
      </c>
      <c r="D9" s="415" t="s">
        <v>261</v>
      </c>
      <c r="E9" s="416" t="s">
        <v>262</v>
      </c>
      <c r="F9" s="417" t="s">
        <v>263</v>
      </c>
      <c r="G9" s="415" t="s">
        <v>263</v>
      </c>
      <c r="H9" s="416" t="s">
        <v>263</v>
      </c>
      <c r="I9" s="417" t="s">
        <v>263</v>
      </c>
      <c r="J9" s="415" t="s">
        <v>264</v>
      </c>
      <c r="K9" s="416" t="s">
        <v>265</v>
      </c>
      <c r="L9" s="417" t="s">
        <v>264</v>
      </c>
      <c r="M9" s="415" t="s">
        <v>181</v>
      </c>
      <c r="N9" s="416" t="s">
        <v>182</v>
      </c>
      <c r="O9" s="417" t="s">
        <v>181</v>
      </c>
      <c r="P9" s="5"/>
      <c r="Q9" s="415" t="s">
        <v>261</v>
      </c>
      <c r="R9" s="416" t="s">
        <v>266</v>
      </c>
      <c r="S9" s="417" t="s">
        <v>261</v>
      </c>
      <c r="T9" s="415" t="s">
        <v>263</v>
      </c>
      <c r="U9" s="416" t="s">
        <v>262</v>
      </c>
      <c r="V9" s="417" t="s">
        <v>263</v>
      </c>
      <c r="W9" s="415" t="s">
        <v>265</v>
      </c>
      <c r="X9" s="416" t="s">
        <v>265</v>
      </c>
      <c r="Y9" s="417" t="s">
        <v>265</v>
      </c>
      <c r="Z9" s="415" t="s">
        <v>197</v>
      </c>
      <c r="AA9" s="416" t="s">
        <v>194</v>
      </c>
      <c r="AB9" s="417" t="s">
        <v>197</v>
      </c>
    </row>
    <row r="10" ht="18.95" customHeight="1">
      <c r="A10" s="58"/>
      <c r="B10" s="286"/>
      <c r="C10" s="287" t="s">
        <v>183</v>
      </c>
      <c r="D10" s="271" t="s">
        <v>263</v>
      </c>
      <c r="E10" s="92" t="s">
        <v>262</v>
      </c>
      <c r="F10" s="272" t="s">
        <v>263</v>
      </c>
      <c r="G10" s="271" t="s">
        <v>263</v>
      </c>
      <c r="H10" s="92" t="s">
        <v>261</v>
      </c>
      <c r="I10" s="272" t="s">
        <v>263</v>
      </c>
      <c r="J10" s="271" t="s">
        <v>265</v>
      </c>
      <c r="K10" s="92" t="s">
        <v>264</v>
      </c>
      <c r="L10" s="272" t="s">
        <v>265</v>
      </c>
      <c r="M10" s="271" t="s">
        <v>184</v>
      </c>
      <c r="N10" s="92" t="s">
        <v>185</v>
      </c>
      <c r="O10" s="272" t="s">
        <v>185</v>
      </c>
      <c r="P10" s="5"/>
      <c r="Q10" s="271" t="s">
        <v>263</v>
      </c>
      <c r="R10" s="92" t="s">
        <v>265</v>
      </c>
      <c r="S10" s="272" t="s">
        <v>263</v>
      </c>
      <c r="T10" s="271" t="s">
        <v>266</v>
      </c>
      <c r="U10" s="92" t="s">
        <v>261</v>
      </c>
      <c r="V10" s="272" t="s">
        <v>265</v>
      </c>
      <c r="W10" s="271" t="s">
        <v>265</v>
      </c>
      <c r="X10" s="92" t="s">
        <v>265</v>
      </c>
      <c r="Y10" s="272" t="s">
        <v>265</v>
      </c>
      <c r="Z10" s="271" t="s">
        <v>185</v>
      </c>
      <c r="AA10" s="92" t="s">
        <v>185</v>
      </c>
      <c r="AB10" s="272" t="s">
        <v>185</v>
      </c>
    </row>
    <row r="11" ht="18.95" customHeight="1">
      <c r="A11" s="58"/>
      <c r="B11" s="288"/>
      <c r="C11" s="289" t="s">
        <v>186</v>
      </c>
      <c r="D11" s="420" t="s">
        <v>262</v>
      </c>
      <c r="E11" s="91" t="s">
        <v>262</v>
      </c>
      <c r="F11" s="421" t="s">
        <v>263</v>
      </c>
      <c r="G11" s="420" t="s">
        <v>263</v>
      </c>
      <c r="H11" s="91" t="s">
        <v>262</v>
      </c>
      <c r="I11" s="421" t="s">
        <v>263</v>
      </c>
      <c r="J11" s="420" t="s">
        <v>264</v>
      </c>
      <c r="K11" s="91" t="s">
        <v>264</v>
      </c>
      <c r="L11" s="421" t="s">
        <v>264</v>
      </c>
      <c r="M11" s="420" t="s">
        <v>181</v>
      </c>
      <c r="N11" s="91" t="s">
        <v>185</v>
      </c>
      <c r="O11" s="421" t="s">
        <v>184</v>
      </c>
      <c r="P11" s="5"/>
      <c r="Q11" s="420" t="s">
        <v>263</v>
      </c>
      <c r="R11" s="91" t="s">
        <v>264</v>
      </c>
      <c r="S11" s="421" t="s">
        <v>262</v>
      </c>
      <c r="T11" s="420" t="s">
        <v>262</v>
      </c>
      <c r="U11" s="91" t="s">
        <v>266</v>
      </c>
      <c r="V11" s="421" t="s">
        <v>262</v>
      </c>
      <c r="W11" s="420" t="s">
        <v>265</v>
      </c>
      <c r="X11" s="91" t="s">
        <v>264</v>
      </c>
      <c r="Y11" s="421" t="s">
        <v>265</v>
      </c>
      <c r="Z11" s="420" t="s">
        <v>184</v>
      </c>
      <c r="AA11" s="91" t="s">
        <v>184</v>
      </c>
      <c r="AB11" s="421" t="s">
        <v>184</v>
      </c>
    </row>
    <row r="12" ht="18.95" customHeight="1">
      <c r="A12" s="58"/>
      <c r="B12" s="286"/>
      <c r="C12" s="287" t="s">
        <v>187</v>
      </c>
      <c r="D12" s="271" t="s">
        <v>262</v>
      </c>
      <c r="E12" s="92" t="s">
        <v>263</v>
      </c>
      <c r="F12" s="272" t="s">
        <v>263</v>
      </c>
      <c r="G12" s="271" t="s">
        <v>263</v>
      </c>
      <c r="H12" s="92" t="s">
        <v>262</v>
      </c>
      <c r="I12" s="272" t="s">
        <v>263</v>
      </c>
      <c r="J12" s="271" t="s">
        <v>264</v>
      </c>
      <c r="K12" s="92" t="s">
        <v>265</v>
      </c>
      <c r="L12" s="272" t="s">
        <v>264</v>
      </c>
      <c r="M12" s="271" t="s">
        <v>181</v>
      </c>
      <c r="N12" s="92" t="s">
        <v>182</v>
      </c>
      <c r="O12" s="272" t="s">
        <v>181</v>
      </c>
      <c r="P12" s="5"/>
      <c r="Q12" s="271" t="s">
        <v>261</v>
      </c>
      <c r="R12" s="92" t="s">
        <v>265</v>
      </c>
      <c r="S12" s="272" t="s">
        <v>261</v>
      </c>
      <c r="T12" s="271" t="s">
        <v>264</v>
      </c>
      <c r="U12" s="92" t="s">
        <v>265</v>
      </c>
      <c r="V12" s="272" t="s">
        <v>264</v>
      </c>
      <c r="W12" s="271" t="s">
        <v>264</v>
      </c>
      <c r="X12" s="92" t="s">
        <v>266</v>
      </c>
      <c r="Y12" s="272" t="s">
        <v>264</v>
      </c>
      <c r="Z12" s="271" t="s">
        <v>181</v>
      </c>
      <c r="AA12" s="92" t="s">
        <v>198</v>
      </c>
      <c r="AB12" s="272" t="s">
        <v>184</v>
      </c>
    </row>
    <row r="13" ht="18.95" customHeight="1">
      <c r="A13" s="58"/>
      <c r="B13" s="288"/>
      <c r="C13" s="289" t="s">
        <v>188</v>
      </c>
      <c r="D13" s="420" t="s">
        <v>261</v>
      </c>
      <c r="E13" s="91" t="s">
        <v>261</v>
      </c>
      <c r="F13" s="421" t="s">
        <v>261</v>
      </c>
      <c r="G13" s="420" t="s">
        <v>261</v>
      </c>
      <c r="H13" s="91" t="s">
        <v>261</v>
      </c>
      <c r="I13" s="421" t="s">
        <v>261</v>
      </c>
      <c r="J13" s="420" t="s">
        <v>264</v>
      </c>
      <c r="K13" s="91" t="s">
        <v>265</v>
      </c>
      <c r="L13" s="421" t="s">
        <v>264</v>
      </c>
      <c r="M13" s="420" t="s">
        <v>181</v>
      </c>
      <c r="N13" s="91" t="s">
        <v>184</v>
      </c>
      <c r="O13" s="421" t="s">
        <v>181</v>
      </c>
      <c r="P13" s="5"/>
      <c r="Q13" s="420" t="s">
        <v>261</v>
      </c>
      <c r="R13" s="91" t="s">
        <v>265</v>
      </c>
      <c r="S13" s="421" t="s">
        <v>261</v>
      </c>
      <c r="T13" s="420" t="s">
        <v>263</v>
      </c>
      <c r="U13" s="91" t="s">
        <v>261</v>
      </c>
      <c r="V13" s="421" t="s">
        <v>261</v>
      </c>
      <c r="W13" s="420" t="s">
        <v>265</v>
      </c>
      <c r="X13" s="91" t="s">
        <v>266</v>
      </c>
      <c r="Y13" s="421" t="s">
        <v>265</v>
      </c>
      <c r="Z13" s="420" t="s">
        <v>181</v>
      </c>
      <c r="AA13" s="91" t="s">
        <v>184</v>
      </c>
      <c r="AB13" s="421" t="s">
        <v>181</v>
      </c>
    </row>
    <row r="14" ht="18.95" customHeight="1">
      <c r="A14" s="58"/>
      <c r="B14" s="286"/>
      <c r="C14" s="287" t="s">
        <v>189</v>
      </c>
      <c r="D14" s="271" t="s">
        <v>261</v>
      </c>
      <c r="E14" s="92" t="s">
        <v>263</v>
      </c>
      <c r="F14" s="272" t="s">
        <v>261</v>
      </c>
      <c r="G14" s="271" t="s">
        <v>263</v>
      </c>
      <c r="H14" s="92" t="s">
        <v>263</v>
      </c>
      <c r="I14" s="272" t="s">
        <v>263</v>
      </c>
      <c r="J14" s="271" t="s">
        <v>264</v>
      </c>
      <c r="K14" s="92" t="s">
        <v>264</v>
      </c>
      <c r="L14" s="272" t="s">
        <v>264</v>
      </c>
      <c r="M14" s="271" t="s">
        <v>181</v>
      </c>
      <c r="N14" s="92" t="s">
        <v>185</v>
      </c>
      <c r="O14" s="272" t="s">
        <v>181</v>
      </c>
      <c r="P14" s="5"/>
      <c r="Q14" s="271" t="s">
        <v>261</v>
      </c>
      <c r="R14" s="92" t="s">
        <v>264</v>
      </c>
      <c r="S14" s="272" t="s">
        <v>261</v>
      </c>
      <c r="T14" s="271" t="s">
        <v>264</v>
      </c>
      <c r="U14" s="92" t="s">
        <v>265</v>
      </c>
      <c r="V14" s="272" t="s">
        <v>264</v>
      </c>
      <c r="W14" s="271" t="s">
        <v>263</v>
      </c>
      <c r="X14" s="92" t="s">
        <v>265</v>
      </c>
      <c r="Y14" s="272" t="s">
        <v>263</v>
      </c>
      <c r="Z14" s="271" t="s">
        <v>184</v>
      </c>
      <c r="AA14" s="92" t="s">
        <v>194</v>
      </c>
      <c r="AB14" s="272" t="s">
        <v>184</v>
      </c>
    </row>
    <row r="15" ht="18.95" customHeight="1">
      <c r="A15" s="58"/>
      <c r="B15" s="288"/>
      <c r="C15" s="289" t="s">
        <v>190</v>
      </c>
      <c r="D15" s="420" t="s">
        <v>261</v>
      </c>
      <c r="E15" s="91" t="s">
        <v>263</v>
      </c>
      <c r="F15" s="421" t="s">
        <v>261</v>
      </c>
      <c r="G15" s="420" t="s">
        <v>264</v>
      </c>
      <c r="H15" s="91" t="s">
        <v>263</v>
      </c>
      <c r="I15" s="421" t="s">
        <v>262</v>
      </c>
      <c r="J15" s="420" t="s">
        <v>264</v>
      </c>
      <c r="K15" s="91" t="s">
        <v>265</v>
      </c>
      <c r="L15" s="421" t="s">
        <v>264</v>
      </c>
      <c r="M15" s="420" t="s">
        <v>184</v>
      </c>
      <c r="N15" s="91" t="s">
        <v>185</v>
      </c>
      <c r="O15" s="421" t="s">
        <v>184</v>
      </c>
      <c r="P15" s="5"/>
      <c r="Q15" s="420" t="s">
        <v>261</v>
      </c>
      <c r="R15" s="91" t="s">
        <v>264</v>
      </c>
      <c r="S15" s="421" t="s">
        <v>261</v>
      </c>
      <c r="T15" s="420" t="s">
        <v>266</v>
      </c>
      <c r="U15" s="91" t="s">
        <v>264</v>
      </c>
      <c r="V15" s="421" t="s">
        <v>266</v>
      </c>
      <c r="W15" s="420" t="s">
        <v>263</v>
      </c>
      <c r="X15" s="91" t="s">
        <v>266</v>
      </c>
      <c r="Y15" s="421" t="s">
        <v>263</v>
      </c>
      <c r="Z15" s="420" t="s">
        <v>185</v>
      </c>
      <c r="AA15" s="91" t="s">
        <v>182</v>
      </c>
      <c r="AB15" s="421" t="s">
        <v>184</v>
      </c>
    </row>
    <row r="16" ht="18.95" customHeight="1">
      <c r="A16" s="58"/>
      <c r="B16" s="286"/>
      <c r="C16" s="287" t="s">
        <v>191</v>
      </c>
      <c r="D16" s="271" t="s">
        <v>264</v>
      </c>
      <c r="E16" s="92" t="s">
        <v>261</v>
      </c>
      <c r="F16" s="272" t="s">
        <v>262</v>
      </c>
      <c r="G16" s="271" t="s">
        <v>263</v>
      </c>
      <c r="H16" s="92" t="s">
        <v>262</v>
      </c>
      <c r="I16" s="272" t="s">
        <v>263</v>
      </c>
      <c r="J16" s="271" t="s">
        <v>264</v>
      </c>
      <c r="K16" s="92" t="s">
        <v>264</v>
      </c>
      <c r="L16" s="272" t="s">
        <v>264</v>
      </c>
      <c r="M16" s="271" t="s">
        <v>182</v>
      </c>
      <c r="N16" s="92" t="s">
        <v>185</v>
      </c>
      <c r="O16" s="272" t="s">
        <v>182</v>
      </c>
      <c r="P16" s="5"/>
      <c r="Q16" s="271" t="s">
        <v>262</v>
      </c>
      <c r="R16" s="92" t="s">
        <v>263</v>
      </c>
      <c r="S16" s="272" t="s">
        <v>262</v>
      </c>
      <c r="T16" s="271" t="s">
        <v>262</v>
      </c>
      <c r="U16" s="92" t="s">
        <v>265</v>
      </c>
      <c r="V16" s="272" t="s">
        <v>262</v>
      </c>
      <c r="W16" s="271" t="s">
        <v>261</v>
      </c>
      <c r="X16" s="92" t="s">
        <v>261</v>
      </c>
      <c r="Y16" s="272" t="s">
        <v>261</v>
      </c>
      <c r="Z16" s="271" t="s">
        <v>182</v>
      </c>
      <c r="AA16" s="92" t="s">
        <v>184</v>
      </c>
      <c r="AB16" s="272" t="s">
        <v>185</v>
      </c>
    </row>
    <row r="17" ht="18.95" customHeight="1">
      <c r="A17" s="58"/>
      <c r="B17" s="288"/>
      <c r="C17" s="289" t="s">
        <v>192</v>
      </c>
      <c r="D17" s="420" t="s">
        <v>264</v>
      </c>
      <c r="E17" s="91" t="s">
        <v>263</v>
      </c>
      <c r="F17" s="421" t="s">
        <v>262</v>
      </c>
      <c r="G17" s="420" t="s">
        <v>263</v>
      </c>
      <c r="H17" s="91" t="s">
        <v>262</v>
      </c>
      <c r="I17" s="421" t="s">
        <v>263</v>
      </c>
      <c r="J17" s="420" t="s">
        <v>264</v>
      </c>
      <c r="K17" s="91" t="s">
        <v>264</v>
      </c>
      <c r="L17" s="421" t="s">
        <v>264</v>
      </c>
      <c r="M17" s="420" t="s">
        <v>184</v>
      </c>
      <c r="N17" s="91" t="s">
        <v>185</v>
      </c>
      <c r="O17" s="421" t="s">
        <v>184</v>
      </c>
      <c r="P17" s="5"/>
      <c r="Q17" s="420" t="s">
        <v>262</v>
      </c>
      <c r="R17" s="91" t="s">
        <v>263</v>
      </c>
      <c r="S17" s="421" t="s">
        <v>263</v>
      </c>
      <c r="T17" s="420" t="s">
        <v>263</v>
      </c>
      <c r="U17" s="91" t="s">
        <v>266</v>
      </c>
      <c r="V17" s="421" t="s">
        <v>262</v>
      </c>
      <c r="W17" s="420" t="s">
        <v>266</v>
      </c>
      <c r="X17" s="91" t="s">
        <v>264</v>
      </c>
      <c r="Y17" s="421" t="s">
        <v>265</v>
      </c>
      <c r="Z17" s="420" t="s">
        <v>181</v>
      </c>
      <c r="AA17" s="91" t="s">
        <v>181</v>
      </c>
      <c r="AB17" s="421" t="s">
        <v>181</v>
      </c>
    </row>
    <row r="18" ht="18.95" customHeight="1">
      <c r="A18" s="58"/>
      <c r="B18" s="286"/>
      <c r="C18" s="287" t="s">
        <v>193</v>
      </c>
      <c r="D18" s="271" t="s">
        <v>262</v>
      </c>
      <c r="E18" s="92" t="s">
        <v>264</v>
      </c>
      <c r="F18" s="272" t="s">
        <v>263</v>
      </c>
      <c r="G18" s="271" t="s">
        <v>261</v>
      </c>
      <c r="H18" s="92" t="s">
        <v>263</v>
      </c>
      <c r="I18" s="272" t="s">
        <v>263</v>
      </c>
      <c r="J18" s="271" t="s">
        <v>264</v>
      </c>
      <c r="K18" s="92" t="s">
        <v>265</v>
      </c>
      <c r="L18" s="272" t="s">
        <v>264</v>
      </c>
      <c r="M18" s="271" t="s">
        <v>181</v>
      </c>
      <c r="N18" s="92" t="s">
        <v>194</v>
      </c>
      <c r="O18" s="272" t="s">
        <v>181</v>
      </c>
      <c r="P18" s="5"/>
      <c r="Q18" s="271" t="s">
        <v>261</v>
      </c>
      <c r="R18" s="92" t="s">
        <v>265</v>
      </c>
      <c r="S18" s="272" t="s">
        <v>261</v>
      </c>
      <c r="T18" s="271" t="s">
        <v>261</v>
      </c>
      <c r="U18" s="92" t="s">
        <v>266</v>
      </c>
      <c r="V18" s="272" t="s">
        <v>261</v>
      </c>
      <c r="W18" s="271" t="s">
        <v>266</v>
      </c>
      <c r="X18" s="92" t="s">
        <v>265</v>
      </c>
      <c r="Y18" s="272" t="s">
        <v>266</v>
      </c>
      <c r="Z18" s="271" t="s">
        <v>181</v>
      </c>
      <c r="AA18" s="92" t="s">
        <v>198</v>
      </c>
      <c r="AB18" s="272" t="s">
        <v>181</v>
      </c>
    </row>
    <row r="19" ht="18.95" customHeight="1">
      <c r="A19" s="58"/>
      <c r="B19" s="288"/>
      <c r="C19" s="289" t="s">
        <v>195</v>
      </c>
      <c r="D19" s="420" t="s">
        <v>261</v>
      </c>
      <c r="E19" s="91" t="s">
        <v>264</v>
      </c>
      <c r="F19" s="421" t="s">
        <v>261</v>
      </c>
      <c r="G19" s="420" t="s">
        <v>264</v>
      </c>
      <c r="H19" s="91" t="s">
        <v>263</v>
      </c>
      <c r="I19" s="421" t="s">
        <v>263</v>
      </c>
      <c r="J19" s="420" t="s">
        <v>265</v>
      </c>
      <c r="K19" s="91" t="s">
        <v>264</v>
      </c>
      <c r="L19" s="421" t="s">
        <v>265</v>
      </c>
      <c r="M19" s="420" t="s">
        <v>181</v>
      </c>
      <c r="N19" s="91" t="s">
        <v>194</v>
      </c>
      <c r="O19" s="421" t="s">
        <v>181</v>
      </c>
      <c r="P19" s="5"/>
      <c r="Q19" s="420" t="s">
        <v>261</v>
      </c>
      <c r="R19" s="91" t="s">
        <v>264</v>
      </c>
      <c r="S19" s="421" t="s">
        <v>261</v>
      </c>
      <c r="T19" s="420" t="s">
        <v>262</v>
      </c>
      <c r="U19" s="91" t="s">
        <v>266</v>
      </c>
      <c r="V19" s="421" t="s">
        <v>264</v>
      </c>
      <c r="W19" s="420" t="s">
        <v>266</v>
      </c>
      <c r="X19" s="91" t="s">
        <v>261</v>
      </c>
      <c r="Y19" s="421" t="s">
        <v>266</v>
      </c>
      <c r="Z19" s="420" t="s">
        <v>181</v>
      </c>
      <c r="AA19" s="91" t="s">
        <v>198</v>
      </c>
      <c r="AB19" s="421" t="s">
        <v>197</v>
      </c>
    </row>
    <row r="20" ht="18.95" customHeight="1">
      <c r="A20" s="58"/>
      <c r="B20" s="286">
        <v>2025</v>
      </c>
      <c r="C20" s="287" t="s">
        <v>196</v>
      </c>
      <c r="D20" s="271" t="s">
        <v>263</v>
      </c>
      <c r="E20" s="92" t="s">
        <v>262</v>
      </c>
      <c r="F20" s="272" t="s">
        <v>261</v>
      </c>
      <c r="G20" s="271" t="s">
        <v>262</v>
      </c>
      <c r="H20" s="92" t="s">
        <v>262</v>
      </c>
      <c r="I20" s="272" t="s">
        <v>263</v>
      </c>
      <c r="J20" s="271" t="s">
        <v>265</v>
      </c>
      <c r="K20" s="92" t="s">
        <v>264</v>
      </c>
      <c r="L20" s="272" t="s">
        <v>265</v>
      </c>
      <c r="M20" s="271" t="s">
        <v>181</v>
      </c>
      <c r="N20" s="92" t="s">
        <v>182</v>
      </c>
      <c r="O20" s="272" t="s">
        <v>181</v>
      </c>
      <c r="P20" s="5"/>
      <c r="Q20" s="271" t="s">
        <v>261</v>
      </c>
      <c r="R20" s="92" t="s">
        <v>262</v>
      </c>
      <c r="S20" s="272" t="s">
        <v>261</v>
      </c>
      <c r="T20" s="271" t="s">
        <v>262</v>
      </c>
      <c r="U20" s="92" t="s">
        <v>266</v>
      </c>
      <c r="V20" s="272" t="s">
        <v>262</v>
      </c>
      <c r="W20" s="271" t="s">
        <v>266</v>
      </c>
      <c r="X20" s="92" t="s">
        <v>263</v>
      </c>
      <c r="Y20" s="272" t="s">
        <v>266</v>
      </c>
      <c r="Z20" s="271" t="s">
        <v>184</v>
      </c>
      <c r="AA20" s="92" t="s">
        <v>194</v>
      </c>
      <c r="AB20" s="272" t="s">
        <v>184</v>
      </c>
    </row>
    <row r="21" ht="18.95" customHeight="1">
      <c r="A21" s="58"/>
      <c r="B21" s="288"/>
      <c r="C21" s="289" t="s">
        <v>180</v>
      </c>
      <c r="D21" s="420" t="s">
        <v>261</v>
      </c>
      <c r="E21" s="91" t="s">
        <v>262</v>
      </c>
      <c r="F21" s="421" t="s">
        <v>261</v>
      </c>
      <c r="G21" s="420" t="s">
        <v>263</v>
      </c>
      <c r="H21" s="91" t="s">
        <v>263</v>
      </c>
      <c r="I21" s="421" t="s">
        <v>263</v>
      </c>
      <c r="J21" s="420" t="s">
        <v>265</v>
      </c>
      <c r="K21" s="91" t="s">
        <v>264</v>
      </c>
      <c r="L21" s="421" t="s">
        <v>265</v>
      </c>
      <c r="M21" s="420" t="s">
        <v>181</v>
      </c>
      <c r="N21" s="91" t="s">
        <v>194</v>
      </c>
      <c r="O21" s="421" t="s">
        <v>181</v>
      </c>
      <c r="P21" s="5"/>
      <c r="Q21" s="420" t="s">
        <v>262</v>
      </c>
      <c r="R21" s="91" t="s">
        <v>263</v>
      </c>
      <c r="S21" s="421" t="s">
        <v>262</v>
      </c>
      <c r="T21" s="420" t="s">
        <v>264</v>
      </c>
      <c r="U21" s="91" t="s">
        <v>266</v>
      </c>
      <c r="V21" s="421" t="s">
        <v>265</v>
      </c>
      <c r="W21" s="420" t="s">
        <v>266</v>
      </c>
      <c r="X21" s="91" t="s">
        <v>264</v>
      </c>
      <c r="Y21" s="421" t="s">
        <v>266</v>
      </c>
      <c r="Z21" s="420" t="s">
        <v>185</v>
      </c>
      <c r="AA21" s="91" t="s">
        <v>185</v>
      </c>
      <c r="AB21" s="421" t="s">
        <v>182</v>
      </c>
    </row>
    <row r="22" ht="18.95" customHeight="1">
      <c r="A22" s="58"/>
      <c r="B22" s="286"/>
      <c r="C22" s="287" t="s">
        <v>183</v>
      </c>
      <c r="D22" s="271" t="s">
        <v>262</v>
      </c>
      <c r="E22" s="92" t="s">
        <v>264</v>
      </c>
      <c r="F22" s="272" t="s">
        <v>263</v>
      </c>
      <c r="G22" s="271" t="s">
        <v>263</v>
      </c>
      <c r="H22" s="92" t="s">
        <v>264</v>
      </c>
      <c r="I22" s="272" t="s">
        <v>263</v>
      </c>
      <c r="J22" s="271" t="s">
        <v>265</v>
      </c>
      <c r="K22" s="92" t="s">
        <v>264</v>
      </c>
      <c r="L22" s="272" t="s">
        <v>265</v>
      </c>
      <c r="M22" s="271" t="s">
        <v>184</v>
      </c>
      <c r="N22" s="92" t="s">
        <v>194</v>
      </c>
      <c r="O22" s="272" t="s">
        <v>182</v>
      </c>
      <c r="P22" s="5"/>
      <c r="Q22" s="271" t="s">
        <v>265</v>
      </c>
      <c r="R22" s="92" t="s">
        <v>263</v>
      </c>
      <c r="S22" s="272" t="s">
        <v>265</v>
      </c>
      <c r="T22" s="271" t="s">
        <v>263</v>
      </c>
      <c r="U22" s="92" t="s">
        <v>266</v>
      </c>
      <c r="V22" s="272" t="s">
        <v>263</v>
      </c>
      <c r="W22" s="271" t="s">
        <v>262</v>
      </c>
      <c r="X22" s="92" t="s">
        <v>261</v>
      </c>
      <c r="Y22" s="272" t="s">
        <v>262</v>
      </c>
      <c r="Z22" s="271" t="s">
        <v>185</v>
      </c>
      <c r="AA22" s="92" t="s">
        <v>198</v>
      </c>
      <c r="AB22" s="272" t="s">
        <v>185</v>
      </c>
    </row>
    <row r="23" ht="18.95" customHeight="1">
      <c r="A23" s="58"/>
      <c r="B23" s="288"/>
      <c r="C23" s="289" t="s">
        <v>186</v>
      </c>
      <c r="D23" s="420" t="s">
        <v>261</v>
      </c>
      <c r="E23" s="91" t="s">
        <v>263</v>
      </c>
      <c r="F23" s="421" t="s">
        <v>261</v>
      </c>
      <c r="G23" s="420" t="s">
        <v>263</v>
      </c>
      <c r="H23" s="91" t="s">
        <v>264</v>
      </c>
      <c r="I23" s="421" t="s">
        <v>263</v>
      </c>
      <c r="J23" s="420" t="s">
        <v>265</v>
      </c>
      <c r="K23" s="91" t="s">
        <v>264</v>
      </c>
      <c r="L23" s="421" t="s">
        <v>265</v>
      </c>
      <c r="M23" s="420" t="s">
        <v>197</v>
      </c>
      <c r="N23" s="91" t="s">
        <v>185</v>
      </c>
      <c r="O23" s="421" t="s">
        <v>184</v>
      </c>
      <c r="P23" s="5"/>
      <c r="Q23" s="420" t="s">
        <v>262</v>
      </c>
      <c r="R23" s="91" t="s">
        <v>261</v>
      </c>
      <c r="S23" s="421" t="s">
        <v>262</v>
      </c>
      <c r="T23" s="420" t="s">
        <v>262</v>
      </c>
      <c r="U23" s="91" t="s">
        <v>265</v>
      </c>
      <c r="V23" s="421" t="s">
        <v>262</v>
      </c>
      <c r="W23" s="420" t="s">
        <v>262</v>
      </c>
      <c r="X23" s="91" t="s">
        <v>265</v>
      </c>
      <c r="Y23" s="421" t="s">
        <v>262</v>
      </c>
      <c r="Z23" s="420" t="s">
        <v>182</v>
      </c>
      <c r="AA23" s="91" t="s">
        <v>184</v>
      </c>
      <c r="AB23" s="421" t="s">
        <v>185</v>
      </c>
    </row>
    <row r="24" ht="18.95" customHeight="1">
      <c r="A24" s="59"/>
      <c r="B24" s="286"/>
      <c r="C24" s="287" t="s">
        <v>187</v>
      </c>
      <c r="D24" s="271" t="s">
        <v>262</v>
      </c>
      <c r="E24" s="92" t="s">
        <v>263</v>
      </c>
      <c r="F24" s="272" t="s">
        <v>263</v>
      </c>
      <c r="G24" s="271" t="s">
        <v>263</v>
      </c>
      <c r="H24" s="92" t="s">
        <v>263</v>
      </c>
      <c r="I24" s="272" t="s">
        <v>263</v>
      </c>
      <c r="J24" s="271" t="s">
        <v>264</v>
      </c>
      <c r="K24" s="92" t="s">
        <v>264</v>
      </c>
      <c r="L24" s="272" t="s">
        <v>264</v>
      </c>
      <c r="M24" s="271" t="s">
        <v>184</v>
      </c>
      <c r="N24" s="92" t="s">
        <v>185</v>
      </c>
      <c r="O24" s="272" t="s">
        <v>185</v>
      </c>
      <c r="P24" s="93"/>
      <c r="Q24" s="271" t="s">
        <v>262</v>
      </c>
      <c r="R24" s="92" t="s">
        <v>261</v>
      </c>
      <c r="S24" s="272" t="s">
        <v>262</v>
      </c>
      <c r="T24" s="271" t="s">
        <v>261</v>
      </c>
      <c r="U24" s="92" t="s">
        <v>263</v>
      </c>
      <c r="V24" s="272" t="s">
        <v>261</v>
      </c>
      <c r="W24" s="271" t="s">
        <v>266</v>
      </c>
      <c r="X24" s="92" t="s">
        <v>264</v>
      </c>
      <c r="Y24" s="272" t="s">
        <v>266</v>
      </c>
      <c r="Z24" s="271" t="s">
        <v>194</v>
      </c>
      <c r="AA24" s="92" t="s">
        <v>181</v>
      </c>
      <c r="AB24" s="272" t="s">
        <v>185</v>
      </c>
    </row>
    <row r="25" ht="18.95" customHeight="1">
      <c r="A25" s="60"/>
      <c r="B25" s="288"/>
      <c r="C25" s="289" t="s">
        <v>188</v>
      </c>
      <c r="D25" s="420" t="s">
        <v>262</v>
      </c>
      <c r="E25" s="91" t="s">
        <v>261</v>
      </c>
      <c r="F25" s="421" t="s">
        <v>261</v>
      </c>
      <c r="G25" s="420" t="s">
        <v>263</v>
      </c>
      <c r="H25" s="91" t="s">
        <v>263</v>
      </c>
      <c r="I25" s="421" t="s">
        <v>263</v>
      </c>
      <c r="J25" s="420" t="s">
        <v>264</v>
      </c>
      <c r="K25" s="91" t="s">
        <v>264</v>
      </c>
      <c r="L25" s="421" t="s">
        <v>264</v>
      </c>
      <c r="M25" s="420" t="s">
        <v>181</v>
      </c>
      <c r="N25" s="91" t="s">
        <v>181</v>
      </c>
      <c r="O25" s="421" t="s">
        <v>184</v>
      </c>
      <c r="P25" s="93"/>
      <c r="Q25" s="420" t="s">
        <v>266</v>
      </c>
      <c r="R25" s="91" t="s">
        <v>261</v>
      </c>
      <c r="S25" s="421" t="s">
        <v>265</v>
      </c>
      <c r="T25" s="420" t="s">
        <v>265</v>
      </c>
      <c r="U25" s="91" t="s">
        <v>266</v>
      </c>
      <c r="V25" s="421" t="s">
        <v>265</v>
      </c>
      <c r="W25" s="420" t="s">
        <v>265</v>
      </c>
      <c r="X25" s="91" t="s">
        <v>264</v>
      </c>
      <c r="Y25" s="421" t="s">
        <v>265</v>
      </c>
      <c r="Z25" s="420" t="s">
        <v>198</v>
      </c>
      <c r="AA25" s="91" t="s">
        <v>181</v>
      </c>
      <c r="AB25" s="421" t="s">
        <v>185</v>
      </c>
    </row>
    <row r="26" ht="18.95" customHeight="1">
      <c r="A26" s="60"/>
      <c r="B26" s="290"/>
      <c r="C26" s="291" t="s">
        <v>189</v>
      </c>
      <c r="D26" s="273" t="s">
        <v>261</v>
      </c>
      <c r="E26" s="274" t="s">
        <v>261</v>
      </c>
      <c r="F26" s="275" t="s">
        <v>261</v>
      </c>
      <c r="G26" s="273" t="s">
        <v>263</v>
      </c>
      <c r="H26" s="274" t="s">
        <v>264</v>
      </c>
      <c r="I26" s="275" t="s">
        <v>263</v>
      </c>
      <c r="J26" s="273" t="s">
        <v>264</v>
      </c>
      <c r="K26" s="274" t="s">
        <v>265</v>
      </c>
      <c r="L26" s="275" t="s">
        <v>264</v>
      </c>
      <c r="M26" s="273" t="s">
        <v>181</v>
      </c>
      <c r="N26" s="274" t="s">
        <v>184</v>
      </c>
      <c r="O26" s="275" t="s">
        <v>197</v>
      </c>
      <c r="P26" s="184"/>
      <c r="Q26" s="273" t="s">
        <v>262</v>
      </c>
      <c r="R26" s="274" t="s">
        <v>261</v>
      </c>
      <c r="S26" s="275" t="s">
        <v>261</v>
      </c>
      <c r="T26" s="273" t="s">
        <v>264</v>
      </c>
      <c r="U26" s="274" t="s">
        <v>266</v>
      </c>
      <c r="V26" s="275" t="s">
        <v>264</v>
      </c>
      <c r="W26" s="273" t="s">
        <v>263</v>
      </c>
      <c r="X26" s="274" t="s">
        <v>265</v>
      </c>
      <c r="Y26" s="275" t="s">
        <v>263</v>
      </c>
      <c r="Z26" s="273" t="s">
        <v>185</v>
      </c>
      <c r="AA26" s="274" t="s">
        <v>184</v>
      </c>
      <c r="AB26" s="275" t="s">
        <v>181</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t="s">
        <v>262</v>
      </c>
      <c r="E29" s="428" t="s">
        <v>263</v>
      </c>
      <c r="F29" s="429" t="s">
        <v>263</v>
      </c>
      <c r="G29" s="427" t="s">
        <v>263</v>
      </c>
      <c r="H29" s="428" t="s">
        <v>263</v>
      </c>
      <c r="I29" s="429" t="s">
        <v>263</v>
      </c>
      <c r="J29" s="427" t="s">
        <v>264</v>
      </c>
      <c r="K29" s="428" t="s">
        <v>264</v>
      </c>
      <c r="L29" s="429" t="s">
        <v>264</v>
      </c>
      <c r="M29" s="427" t="s">
        <v>184</v>
      </c>
      <c r="N29" s="428" t="s">
        <v>185</v>
      </c>
      <c r="O29" s="429" t="s">
        <v>184</v>
      </c>
      <c r="P29" s="5"/>
      <c r="Q29" s="427" t="s">
        <v>265</v>
      </c>
      <c r="R29" s="428" t="s">
        <v>261</v>
      </c>
      <c r="S29" s="429" t="s">
        <v>264</v>
      </c>
      <c r="T29" s="427" t="s">
        <v>261</v>
      </c>
      <c r="U29" s="428" t="s">
        <v>261</v>
      </c>
      <c r="V29" s="429" t="s">
        <v>261</v>
      </c>
      <c r="W29" s="427" t="s">
        <v>266</v>
      </c>
      <c r="X29" s="428" t="s">
        <v>265</v>
      </c>
      <c r="Y29" s="429" t="s">
        <v>266</v>
      </c>
      <c r="Z29" s="427" t="s">
        <v>194</v>
      </c>
      <c r="AA29" s="428" t="s">
        <v>197</v>
      </c>
      <c r="AB29" s="429" t="s">
        <v>181</v>
      </c>
    </row>
    <row r="30" ht="18.95" customHeight="1">
      <c r="A30" s="58"/>
      <c r="B30" s="286">
        <v>2024</v>
      </c>
      <c r="C30" s="287"/>
      <c r="D30" s="271" t="s">
        <v>263</v>
      </c>
      <c r="E30" s="92" t="s">
        <v>263</v>
      </c>
      <c r="F30" s="272" t="s">
        <v>263</v>
      </c>
      <c r="G30" s="271" t="s">
        <v>263</v>
      </c>
      <c r="H30" s="92" t="s">
        <v>263</v>
      </c>
      <c r="I30" s="272" t="s">
        <v>263</v>
      </c>
      <c r="J30" s="271" t="s">
        <v>264</v>
      </c>
      <c r="K30" s="92" t="s">
        <v>264</v>
      </c>
      <c r="L30" s="272" t="s">
        <v>264</v>
      </c>
      <c r="M30" s="271" t="s">
        <v>181</v>
      </c>
      <c r="N30" s="92" t="s">
        <v>185</v>
      </c>
      <c r="O30" s="272" t="s">
        <v>181</v>
      </c>
      <c r="P30" s="5"/>
      <c r="Q30" s="271" t="s">
        <v>261</v>
      </c>
      <c r="R30" s="92" t="s">
        <v>265</v>
      </c>
      <c r="S30" s="272" t="s">
        <v>261</v>
      </c>
      <c r="T30" s="271" t="s">
        <v>264</v>
      </c>
      <c r="U30" s="92" t="s">
        <v>261</v>
      </c>
      <c r="V30" s="272" t="s">
        <v>264</v>
      </c>
      <c r="W30" s="271" t="s">
        <v>265</v>
      </c>
      <c r="X30" s="92" t="s">
        <v>264</v>
      </c>
      <c r="Y30" s="272" t="s">
        <v>265</v>
      </c>
      <c r="Z30" s="271" t="s">
        <v>184</v>
      </c>
      <c r="AA30" s="92" t="s">
        <v>185</v>
      </c>
      <c r="AB30" s="272" t="s">
        <v>181</v>
      </c>
    </row>
    <row r="31" ht="18.95" customHeight="1">
      <c r="A31" s="58"/>
      <c r="B31" s="425">
        <v>2025</v>
      </c>
      <c r="C31" s="426"/>
      <c r="D31" s="430" t="s">
        <v>261</v>
      </c>
      <c r="E31" s="431" t="s">
        <v>261</v>
      </c>
      <c r="F31" s="432" t="s">
        <v>261</v>
      </c>
      <c r="G31" s="430" t="s">
        <v>263</v>
      </c>
      <c r="H31" s="431" t="s">
        <v>264</v>
      </c>
      <c r="I31" s="432" t="s">
        <v>263</v>
      </c>
      <c r="J31" s="430" t="s">
        <v>264</v>
      </c>
      <c r="K31" s="431" t="s">
        <v>264</v>
      </c>
      <c r="L31" s="432" t="s">
        <v>264</v>
      </c>
      <c r="M31" s="430" t="s">
        <v>197</v>
      </c>
      <c r="N31" s="431" t="s">
        <v>185</v>
      </c>
      <c r="O31" s="432" t="s">
        <v>181</v>
      </c>
      <c r="P31" s="184"/>
      <c r="Q31" s="430" t="s">
        <v>262</v>
      </c>
      <c r="R31" s="431" t="s">
        <v>261</v>
      </c>
      <c r="S31" s="432" t="s">
        <v>262</v>
      </c>
      <c r="T31" s="430" t="s">
        <v>263</v>
      </c>
      <c r="U31" s="431" t="s">
        <v>266</v>
      </c>
      <c r="V31" s="432" t="s">
        <v>263</v>
      </c>
      <c r="W31" s="430" t="s">
        <v>266</v>
      </c>
      <c r="X31" s="431" t="s">
        <v>264</v>
      </c>
      <c r="Y31" s="432" t="s">
        <v>266</v>
      </c>
      <c r="Z31" s="430" t="s">
        <v>185</v>
      </c>
      <c r="AA31" s="431" t="s">
        <v>185</v>
      </c>
      <c r="AB31" s="432" t="s">
        <v>185</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t="s">
        <v>262</v>
      </c>
      <c r="E34" s="428" t="s">
        <v>263</v>
      </c>
      <c r="F34" s="429" t="s">
        <v>262</v>
      </c>
      <c r="G34" s="427" t="s">
        <v>263</v>
      </c>
      <c r="H34" s="428" t="s">
        <v>261</v>
      </c>
      <c r="I34" s="429" t="s">
        <v>263</v>
      </c>
      <c r="J34" s="427" t="s">
        <v>262</v>
      </c>
      <c r="K34" s="428" t="s">
        <v>264</v>
      </c>
      <c r="L34" s="429" t="s">
        <v>262</v>
      </c>
      <c r="M34" s="427" t="s">
        <v>184</v>
      </c>
      <c r="N34" s="428" t="s">
        <v>185</v>
      </c>
      <c r="O34" s="429" t="s">
        <v>184</v>
      </c>
      <c r="P34" s="5"/>
      <c r="Q34" s="427" t="s">
        <v>266</v>
      </c>
      <c r="R34" s="428" t="s">
        <v>263</v>
      </c>
      <c r="S34" s="429" t="s">
        <v>266</v>
      </c>
      <c r="T34" s="427" t="s">
        <v>261</v>
      </c>
      <c r="U34" s="428" t="s">
        <v>261</v>
      </c>
      <c r="V34" s="429" t="s">
        <v>261</v>
      </c>
      <c r="W34" s="427" t="s">
        <v>266</v>
      </c>
      <c r="X34" s="428" t="s">
        <v>265</v>
      </c>
      <c r="Y34" s="429" t="s">
        <v>266</v>
      </c>
      <c r="Z34" s="427" t="s">
        <v>199</v>
      </c>
      <c r="AA34" s="428" t="s">
        <v>197</v>
      </c>
      <c r="AB34" s="429" t="s">
        <v>194</v>
      </c>
    </row>
    <row r="35" ht="18.95" customHeight="1">
      <c r="A35" s="58"/>
      <c r="B35" s="286">
        <v>2024</v>
      </c>
      <c r="C35" s="287"/>
      <c r="D35" s="271" t="s">
        <v>261</v>
      </c>
      <c r="E35" s="92" t="s">
        <v>263</v>
      </c>
      <c r="F35" s="272" t="s">
        <v>261</v>
      </c>
      <c r="G35" s="271" t="s">
        <v>263</v>
      </c>
      <c r="H35" s="92" t="s">
        <v>263</v>
      </c>
      <c r="I35" s="272" t="s">
        <v>263</v>
      </c>
      <c r="J35" s="271" t="s">
        <v>264</v>
      </c>
      <c r="K35" s="92" t="s">
        <v>265</v>
      </c>
      <c r="L35" s="272" t="s">
        <v>264</v>
      </c>
      <c r="M35" s="271" t="s">
        <v>181</v>
      </c>
      <c r="N35" s="92" t="s">
        <v>185</v>
      </c>
      <c r="O35" s="272" t="s">
        <v>181</v>
      </c>
      <c r="P35" s="5"/>
      <c r="Q35" s="271" t="s">
        <v>261</v>
      </c>
      <c r="R35" s="92" t="s">
        <v>265</v>
      </c>
      <c r="S35" s="272" t="s">
        <v>261</v>
      </c>
      <c r="T35" s="271" t="s">
        <v>262</v>
      </c>
      <c r="U35" s="92" t="s">
        <v>263</v>
      </c>
      <c r="V35" s="272" t="s">
        <v>262</v>
      </c>
      <c r="W35" s="271" t="s">
        <v>264</v>
      </c>
      <c r="X35" s="92" t="s">
        <v>265</v>
      </c>
      <c r="Y35" s="272" t="s">
        <v>264</v>
      </c>
      <c r="Z35" s="271" t="s">
        <v>181</v>
      </c>
      <c r="AA35" s="92" t="s">
        <v>194</v>
      </c>
      <c r="AB35" s="272" t="s">
        <v>181</v>
      </c>
    </row>
    <row r="36" ht="18.95" customHeight="1">
      <c r="A36" s="58"/>
      <c r="B36" s="425">
        <v>2025</v>
      </c>
      <c r="C36" s="426"/>
      <c r="D36" s="430" t="s">
        <v>263</v>
      </c>
      <c r="E36" s="431" t="s">
        <v>261</v>
      </c>
      <c r="F36" s="432" t="s">
        <v>261</v>
      </c>
      <c r="G36" s="430" t="s">
        <v>263</v>
      </c>
      <c r="H36" s="431" t="s">
        <v>263</v>
      </c>
      <c r="I36" s="432" t="s">
        <v>263</v>
      </c>
      <c r="J36" s="430" t="s">
        <v>264</v>
      </c>
      <c r="K36" s="431" t="s">
        <v>264</v>
      </c>
      <c r="L36" s="432" t="s">
        <v>264</v>
      </c>
      <c r="M36" s="430" t="s">
        <v>181</v>
      </c>
      <c r="N36" s="431" t="s">
        <v>184</v>
      </c>
      <c r="O36" s="432" t="s">
        <v>184</v>
      </c>
      <c r="P36" s="184"/>
      <c r="Q36" s="430" t="s">
        <v>262</v>
      </c>
      <c r="R36" s="431" t="s">
        <v>261</v>
      </c>
      <c r="S36" s="432" t="s">
        <v>262</v>
      </c>
      <c r="T36" s="430" t="s">
        <v>264</v>
      </c>
      <c r="U36" s="431" t="s">
        <v>266</v>
      </c>
      <c r="V36" s="432" t="s">
        <v>264</v>
      </c>
      <c r="W36" s="430" t="s">
        <v>266</v>
      </c>
      <c r="X36" s="431" t="s">
        <v>264</v>
      </c>
      <c r="Y36" s="432" t="s">
        <v>266</v>
      </c>
      <c r="Z36" s="430" t="s">
        <v>185</v>
      </c>
      <c r="AA36" s="431" t="s">
        <v>181</v>
      </c>
      <c r="AB36" s="432" t="s">
        <v>185</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t="s">
        <v>262</v>
      </c>
      <c r="E39" s="428" t="s">
        <v>263</v>
      </c>
      <c r="F39" s="429" t="s">
        <v>263</v>
      </c>
      <c r="G39" s="427" t="s">
        <v>263</v>
      </c>
      <c r="H39" s="428" t="s">
        <v>263</v>
      </c>
      <c r="I39" s="429" t="s">
        <v>263</v>
      </c>
      <c r="J39" s="427" t="s">
        <v>264</v>
      </c>
      <c r="K39" s="428" t="s">
        <v>264</v>
      </c>
      <c r="L39" s="429" t="s">
        <v>264</v>
      </c>
      <c r="M39" s="427" t="s">
        <v>184</v>
      </c>
      <c r="N39" s="428" t="s">
        <v>185</v>
      </c>
      <c r="O39" s="429" t="s">
        <v>184</v>
      </c>
      <c r="P39" s="5"/>
      <c r="Q39" s="427" t="s">
        <v>264</v>
      </c>
      <c r="R39" s="428" t="s">
        <v>261</v>
      </c>
      <c r="S39" s="429" t="s">
        <v>262</v>
      </c>
      <c r="T39" s="427" t="s">
        <v>261</v>
      </c>
      <c r="U39" s="428" t="s">
        <v>261</v>
      </c>
      <c r="V39" s="429" t="s">
        <v>261</v>
      </c>
      <c r="W39" s="427" t="s">
        <v>263</v>
      </c>
      <c r="X39" s="428" t="s">
        <v>265</v>
      </c>
      <c r="Y39" s="429" t="s">
        <v>263</v>
      </c>
      <c r="Z39" s="427" t="s">
        <v>194</v>
      </c>
      <c r="AA39" s="428" t="s">
        <v>197</v>
      </c>
      <c r="AB39" s="429" t="s">
        <v>184</v>
      </c>
    </row>
    <row r="40" ht="18.95" customHeight="1">
      <c r="A40" s="58"/>
      <c r="B40" s="286">
        <v>2024</v>
      </c>
      <c r="C40" s="287"/>
      <c r="D40" s="271" t="s">
        <v>262</v>
      </c>
      <c r="E40" s="92" t="s">
        <v>263</v>
      </c>
      <c r="F40" s="272" t="s">
        <v>263</v>
      </c>
      <c r="G40" s="271" t="s">
        <v>263</v>
      </c>
      <c r="H40" s="92" t="s">
        <v>261</v>
      </c>
      <c r="I40" s="272" t="s">
        <v>263</v>
      </c>
      <c r="J40" s="271" t="s">
        <v>264</v>
      </c>
      <c r="K40" s="92" t="s">
        <v>264</v>
      </c>
      <c r="L40" s="272" t="s">
        <v>264</v>
      </c>
      <c r="M40" s="271" t="s">
        <v>184</v>
      </c>
      <c r="N40" s="92" t="s">
        <v>185</v>
      </c>
      <c r="O40" s="272" t="s">
        <v>185</v>
      </c>
      <c r="P40" s="5"/>
      <c r="Q40" s="271" t="s">
        <v>262</v>
      </c>
      <c r="R40" s="92" t="s">
        <v>264</v>
      </c>
      <c r="S40" s="272" t="s">
        <v>262</v>
      </c>
      <c r="T40" s="271" t="s">
        <v>262</v>
      </c>
      <c r="U40" s="92" t="s">
        <v>261</v>
      </c>
      <c r="V40" s="272" t="s">
        <v>262</v>
      </c>
      <c r="W40" s="271" t="s">
        <v>265</v>
      </c>
      <c r="X40" s="92" t="s">
        <v>264</v>
      </c>
      <c r="Y40" s="272" t="s">
        <v>265</v>
      </c>
      <c r="Z40" s="271" t="s">
        <v>182</v>
      </c>
      <c r="AA40" s="92" t="s">
        <v>184</v>
      </c>
      <c r="AB40" s="272" t="s">
        <v>185</v>
      </c>
    </row>
    <row r="41" ht="18.95" customHeight="1">
      <c r="A41" s="58"/>
      <c r="B41" s="425">
        <v>2025</v>
      </c>
      <c r="C41" s="426"/>
      <c r="D41" s="430" t="s">
        <v>263</v>
      </c>
      <c r="E41" s="431" t="s">
        <v>263</v>
      </c>
      <c r="F41" s="432" t="s">
        <v>261</v>
      </c>
      <c r="G41" s="430" t="s">
        <v>263</v>
      </c>
      <c r="H41" s="431" t="s">
        <v>262</v>
      </c>
      <c r="I41" s="432" t="s">
        <v>263</v>
      </c>
      <c r="J41" s="430" t="s">
        <v>264</v>
      </c>
      <c r="K41" s="431" t="s">
        <v>264</v>
      </c>
      <c r="L41" s="432" t="s">
        <v>264</v>
      </c>
      <c r="M41" s="430" t="s">
        <v>184</v>
      </c>
      <c r="N41" s="431" t="s">
        <v>185</v>
      </c>
      <c r="O41" s="432" t="s">
        <v>184</v>
      </c>
      <c r="P41" s="184"/>
      <c r="Q41" s="430" t="s">
        <v>263</v>
      </c>
      <c r="R41" s="431" t="s">
        <v>263</v>
      </c>
      <c r="S41" s="432" t="s">
        <v>261</v>
      </c>
      <c r="T41" s="430" t="s">
        <v>263</v>
      </c>
      <c r="U41" s="431" t="s">
        <v>266</v>
      </c>
      <c r="V41" s="432" t="s">
        <v>263</v>
      </c>
      <c r="W41" s="430" t="s">
        <v>266</v>
      </c>
      <c r="X41" s="431" t="s">
        <v>264</v>
      </c>
      <c r="Y41" s="432" t="s">
        <v>266</v>
      </c>
      <c r="Z41" s="430" t="s">
        <v>181</v>
      </c>
      <c r="AA41" s="431" t="s">
        <v>185</v>
      </c>
      <c r="AB41" s="432" t="s">
        <v>181</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151</v>
      </c>
      <c r="Y1" s="5"/>
      <c r="AB1" s="685"/>
      <c r="AD1" s="236"/>
    </row>
    <row r="2" ht="15" customHeight="1">
      <c r="A2" s="11"/>
      <c r="B2" s="11" t="s">
        <v>170</v>
      </c>
    </row>
    <row r="3" ht="17.1" customHeight="1">
      <c r="A3" s="11"/>
      <c r="B3" s="11" t="s">
        <v>171</v>
      </c>
      <c r="R3" s="1040" t="s">
        <v>260</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17.338709677419354838709677440</v>
      </c>
      <c r="E11" s="428">
        <v>29.212707182320441988950276270</v>
      </c>
      <c r="F11" s="429">
        <v>49.353741496598639455782312970</v>
      </c>
      <c r="G11" s="427">
        <v>0</v>
      </c>
      <c r="H11" s="428">
        <v>6.6298342541436464088397790100</v>
      </c>
      <c r="I11" s="429">
        <v>4.1156462585034013605442176900</v>
      </c>
      <c r="J11" s="427">
        <v>1.0752688172043010752688172100</v>
      </c>
      <c r="K11" s="428">
        <v>5.7320441988950276243093922700</v>
      </c>
      <c r="L11" s="429">
        <v>0.2040816326530612244897959200</v>
      </c>
      <c r="M11" s="427">
        <v>18.413978494623655913978494620</v>
      </c>
      <c r="N11" s="428">
        <v>41.574585635359116022099447510</v>
      </c>
      <c r="O11" s="429">
        <v>53.673469387755102040816326530</v>
      </c>
      <c r="P11" s="5"/>
      <c r="Q11" s="427">
        <v>-16.233766233835857648844603860</v>
      </c>
      <c r="R11" s="428">
        <v>17.827298049939724241742720580</v>
      </c>
      <c r="S11" s="429">
        <v>9.454362584974150270264846860</v>
      </c>
      <c r="T11" s="427">
        <v>-100</v>
      </c>
      <c r="U11" s="428">
        <v>-17.241379310790011890604026090</v>
      </c>
      <c r="V11" s="429">
        <v>-9.476309227510575182986466090</v>
      </c>
      <c r="W11" s="427">
        <v>0.0000000004000000000016005300</v>
      </c>
      <c r="X11" s="428">
        <v>9.691629956020586465873635020</v>
      </c>
      <c r="Y11" s="429">
        <v>-0.000000022999999994709999200</v>
      </c>
      <c r="Z11" s="427">
        <v>-31.840796020006296873839592230</v>
      </c>
      <c r="AA11" s="428">
        <v>9.255898366736246586803228620</v>
      </c>
      <c r="AB11" s="429">
        <v>7.6888080072141828413787102500</v>
      </c>
    </row>
    <row r="12" ht="18" customHeight="1">
      <c r="A12" s="58"/>
      <c r="B12" s="1043" t="s">
        <v>46</v>
      </c>
      <c r="C12" s="1043"/>
      <c r="D12" s="420">
        <v>24.059139784946236559139784970</v>
      </c>
      <c r="E12" s="91">
        <v>42.219152854511970534069981620</v>
      </c>
      <c r="F12" s="421">
        <v>68.662131519274376417233560150</v>
      </c>
      <c r="G12" s="420">
        <v>7.930107526881720430107526890</v>
      </c>
      <c r="H12" s="91">
        <v>10.013812154696132596685082880</v>
      </c>
      <c r="I12" s="421">
        <v>7.3922902494331065759637188300</v>
      </c>
      <c r="J12" s="420">
        <v>1.4784946236559139784946236600</v>
      </c>
      <c r="K12" s="91">
        <v>4.9263351749539594843462246800</v>
      </c>
      <c r="L12" s="421">
        <v>0.2721088435374149659863945600</v>
      </c>
      <c r="M12" s="420">
        <v>33.467741935483870967741935480</v>
      </c>
      <c r="N12" s="91">
        <v>57.136279926335174953959484350</v>
      </c>
      <c r="O12" s="421">
        <v>76.349206349206349206349206350</v>
      </c>
      <c r="P12" s="5"/>
      <c r="Q12" s="420">
        <v>-7.1576763484629655136790947300</v>
      </c>
      <c r="R12" s="91">
        <v>16.488821138056892366275239690</v>
      </c>
      <c r="S12" s="421">
        <v>18.782363094368863755178555230</v>
      </c>
      <c r="T12" s="420">
        <v>75.595238093607568027226025150</v>
      </c>
      <c r="U12" s="91">
        <v>54.036827195777241210507087480</v>
      </c>
      <c r="V12" s="421">
        <v>31.877022653033489647158522810</v>
      </c>
      <c r="W12" s="420">
        <v>-8.333333332966666666665199750</v>
      </c>
      <c r="X12" s="91">
        <v>0.1872659180757900938456011500</v>
      </c>
      <c r="Y12" s="421">
        <v>-6.2499999978759765624518768400</v>
      </c>
      <c r="Z12" s="420">
        <v>4.4463087247936607585244050100</v>
      </c>
      <c r="AA12" s="91">
        <v>19.787644787673000178888216430</v>
      </c>
      <c r="AB12" s="421">
        <v>19.839123006821343484598527130</v>
      </c>
    </row>
    <row r="13" ht="18" customHeight="1">
      <c r="A13" s="58"/>
      <c r="B13" s="1043" t="s">
        <v>47</v>
      </c>
      <c r="C13" s="1043"/>
      <c r="D13" s="420">
        <v>35.376344086021505376344086050</v>
      </c>
      <c r="E13" s="91">
        <v>53.720073664825046040515653820</v>
      </c>
      <c r="F13" s="421">
        <v>71.292517006802721088435374210</v>
      </c>
      <c r="G13" s="420">
        <v>12.473118279569892473118279580</v>
      </c>
      <c r="H13" s="91">
        <v>9.410681399631675874769797430</v>
      </c>
      <c r="I13" s="421">
        <v>10.503401360544217687074829940</v>
      </c>
      <c r="J13" s="420">
        <v>1.1827956989247311827956989300</v>
      </c>
      <c r="K13" s="91">
        <v>4.7513812154696132596685082900</v>
      </c>
      <c r="L13" s="421">
        <v>0.1995464852607709750566893400</v>
      </c>
      <c r="M13" s="420">
        <v>49.032258064516129032258064520</v>
      </c>
      <c r="N13" s="91">
        <v>67.845303867403314917127071820</v>
      </c>
      <c r="O13" s="421">
        <v>81.98639455782312925170068027</v>
      </c>
      <c r="P13" s="184"/>
      <c r="Q13" s="420">
        <v>13.448275862158941736028608910</v>
      </c>
      <c r="R13" s="91">
        <v>30.281375614180358902168962780</v>
      </c>
      <c r="S13" s="421">
        <v>10.657468675165206025321719760</v>
      </c>
      <c r="T13" s="420">
        <v>152.17391304550661625710516212</v>
      </c>
      <c r="U13" s="91">
        <v>2.8169014081197041403360332400</v>
      </c>
      <c r="V13" s="421">
        <v>37.857142858004464285719670860</v>
      </c>
      <c r="W13" s="420">
        <v>0.0000000020909090909528103600</v>
      </c>
      <c r="X13" s="91">
        <v>-3.3707865163979295543470463500</v>
      </c>
      <c r="Y13" s="421">
        <v>-0.0000000196590909052261117400</v>
      </c>
      <c r="Z13" s="420">
        <v>31.412103746359823601225832910</v>
      </c>
      <c r="AA13" s="91">
        <v>22.595673876955922491908994740</v>
      </c>
      <c r="AB13" s="421">
        <v>13.455503953735412498988399130</v>
      </c>
    </row>
    <row r="14" ht="18" customHeight="1">
      <c r="A14" s="58"/>
      <c r="B14" s="1043" t="s">
        <v>48</v>
      </c>
      <c r="C14" s="1043"/>
      <c r="D14" s="420">
        <v>39.139784946236559139784946270</v>
      </c>
      <c r="E14" s="91">
        <v>46.574585635359116022099447560</v>
      </c>
      <c r="F14" s="421">
        <v>66.938775510204081632653061290</v>
      </c>
      <c r="G14" s="420">
        <v>9.247311827956989247311827960</v>
      </c>
      <c r="H14" s="91">
        <v>10.736648250460405156537753230</v>
      </c>
      <c r="I14" s="421">
        <v>9.687074829931972789115646270</v>
      </c>
      <c r="J14" s="420">
        <v>1.5053763440860215053763440900</v>
      </c>
      <c r="K14" s="91">
        <v>4.6777163904235727440147329700</v>
      </c>
      <c r="L14" s="421">
        <v>0.2630385487528344671201814100</v>
      </c>
      <c r="M14" s="420">
        <v>49.892473118279569892473118280</v>
      </c>
      <c r="N14" s="91">
        <v>61.988950276243093922651933700</v>
      </c>
      <c r="O14" s="421">
        <v>76.897959183673469387755102040</v>
      </c>
      <c r="P14" s="5"/>
      <c r="Q14" s="420">
        <v>17.799352750854808810129781900</v>
      </c>
      <c r="R14" s="91">
        <v>16.705122288856553253281757760</v>
      </c>
      <c r="S14" s="421">
        <v>9.300947867276319786238521290</v>
      </c>
      <c r="T14" s="420">
        <v>82.97872340281484834767996827</v>
      </c>
      <c r="U14" s="91">
        <v>7.5645756461712360942813614800</v>
      </c>
      <c r="V14" s="421">
        <v>34.508816120102119802807953470</v>
      </c>
      <c r="W14" s="420">
        <v>-12.499999998632812499978637460</v>
      </c>
      <c r="X14" s="91">
        <v>-1.930501929862017560855084100</v>
      </c>
      <c r="Y14" s="421">
        <v>-12.121212123808539944826867520</v>
      </c>
      <c r="Z14" s="420">
        <v>24.731182795698924731182795700</v>
      </c>
      <c r="AA14" s="91">
        <v>13.333333333302424242424250850</v>
      </c>
      <c r="AB14" s="421">
        <v>11.846965699241274340195357760</v>
      </c>
    </row>
    <row r="15" ht="18" customHeight="1">
      <c r="A15" s="58"/>
      <c r="B15" s="1043" t="s">
        <v>49</v>
      </c>
      <c r="C15" s="1043"/>
      <c r="D15" s="420">
        <v>25.698924731182795698924731200</v>
      </c>
      <c r="E15" s="91">
        <v>37.642725598526703499079189720</v>
      </c>
      <c r="F15" s="421">
        <v>60.145124716553287981859410490</v>
      </c>
      <c r="G15" s="420">
        <v>0.2150537634408602150537634400</v>
      </c>
      <c r="H15" s="91">
        <v>10.036832412523020257826887670</v>
      </c>
      <c r="I15" s="421">
        <v>8.253968253968253968253968260</v>
      </c>
      <c r="J15" s="420">
        <v>0.7526881720430107526881720400</v>
      </c>
      <c r="K15" s="91">
        <v>4.6593001841620626151012891400</v>
      </c>
      <c r="L15" s="421">
        <v>0.1269841269841269841269841300</v>
      </c>
      <c r="M15" s="420">
        <v>26.666666666666666666666666670</v>
      </c>
      <c r="N15" s="91">
        <v>52.283609576427255985267034990</v>
      </c>
      <c r="O15" s="421">
        <v>68.535147392290249433106575960</v>
      </c>
      <c r="P15" s="184"/>
      <c r="Q15" s="420">
        <v>-20.663900414987797042061916360</v>
      </c>
      <c r="R15" s="91">
        <v>1.3763174208722841113104871100</v>
      </c>
      <c r="S15" s="421">
        <v>5.6733067729875162616466999200</v>
      </c>
      <c r="T15" s="420">
        <v>-97.03703703702518518518513779</v>
      </c>
      <c r="U15" s="91">
        <v>-21.014492753362192816634298190</v>
      </c>
      <c r="V15" s="421">
        <v>-10.455104550754737362870839430</v>
      </c>
      <c r="W15" s="420">
        <v>-49.090909092427107437971264640</v>
      </c>
      <c r="X15" s="91">
        <v>1.7085427124720446453490450300</v>
      </c>
      <c r="Y15" s="421">
        <v>-49.090909095814876032585110740</v>
      </c>
      <c r="Z15" s="420">
        <v>-35.163398692866394976291121790</v>
      </c>
      <c r="AA15" s="91">
        <v>-3.8848920862681329976221743500</v>
      </c>
      <c r="AB15" s="421">
        <v>3.2240437158924723416644471600</v>
      </c>
    </row>
    <row r="16" ht="18" customHeight="1">
      <c r="A16" s="58"/>
      <c r="B16" s="1044" t="s">
        <v>75</v>
      </c>
      <c r="C16" s="1044"/>
      <c r="D16" s="430">
        <v>28.985507246376811594202898580</v>
      </c>
      <c r="E16" s="431">
        <v>42.409320201777564256545760310</v>
      </c>
      <c r="F16" s="432">
        <v>63.649807749186631174208814020</v>
      </c>
      <c r="G16" s="430">
        <v>6.1477325853202431042543244600</v>
      </c>
      <c r="H16" s="431">
        <v>9.456321562975418368163984310</v>
      </c>
      <c r="I16" s="432">
        <v>8.184955141476880607315389930</v>
      </c>
      <c r="J16" s="430">
        <v>1.1921458625525946704067321200</v>
      </c>
      <c r="K16" s="431">
        <v>4.9163263672031387621106573800</v>
      </c>
      <c r="L16" s="432">
        <v>0.2109829439021985605836537500</v>
      </c>
      <c r="M16" s="430">
        <v>36.325385694249649368863955120</v>
      </c>
      <c r="N16" s="431">
        <v>56.757946993354151653455040440</v>
      </c>
      <c r="O16" s="432">
        <v>72.051661244207828058759735780</v>
      </c>
      <c r="P16" s="5"/>
      <c r="Q16" s="430">
        <v>0.4048582996943270664984835700</v>
      </c>
      <c r="R16" s="431">
        <v>16.868932038756402743382601170</v>
      </c>
      <c r="S16" s="432">
        <v>10.453378956366751212715715300</v>
      </c>
      <c r="T16" s="430">
        <v>15.350877192596941366575619170</v>
      </c>
      <c r="U16" s="431">
        <v>3.0541012211063338907038642400</v>
      </c>
      <c r="V16" s="432">
        <v>19.763416040845527728104861160</v>
      </c>
      <c r="W16" s="430">
        <v>-16.393442620067078742174116790</v>
      </c>
      <c r="X16" s="431">
        <v>0.7383100902417013636293282700</v>
      </c>
      <c r="Y16" s="432">
        <v>-15.748031501788145575902113170</v>
      </c>
      <c r="Z16" s="629">
        <v>1.9685039368930590861183015200</v>
      </c>
      <c r="AA16" s="214">
        <v>12.685796041717677580902847010</v>
      </c>
      <c r="AB16" s="630">
        <v>11.327422843754717430190187490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34.677419354838709677419354870</v>
      </c>
      <c r="E18" s="480">
        <v>44.521178637200736648250460450</v>
      </c>
      <c r="F18" s="481">
        <v>64.365079365079365079365079420</v>
      </c>
      <c r="G18" s="479">
        <v>0.268817204301075268817204300</v>
      </c>
      <c r="H18" s="480">
        <v>21.040515653775322283609576450</v>
      </c>
      <c r="I18" s="481">
        <v>10.612244897959183673469387760</v>
      </c>
      <c r="J18" s="479">
        <v>1.4784946236559139784946236600</v>
      </c>
      <c r="K18" s="480">
        <v>4.7191528545119705340699815900</v>
      </c>
      <c r="L18" s="481">
        <v>0.2721088435374149659863945600</v>
      </c>
      <c r="M18" s="479">
        <v>36.424731182795698924731182800</v>
      </c>
      <c r="N18" s="480">
        <v>70.257826887661141804788213630</v>
      </c>
      <c r="O18" s="481">
        <v>75.272108843537414965986394560</v>
      </c>
      <c r="P18" s="184"/>
      <c r="Q18" s="479">
        <v>4.0322580646201612903226847700</v>
      </c>
      <c r="R18" s="480">
        <v>-4.9631449631117119209895505400</v>
      </c>
      <c r="S18" s="481">
        <v>8.051008755292924606973760610</v>
      </c>
      <c r="T18" s="479">
        <v>-94.59459459462731921110279679</v>
      </c>
      <c r="U18" s="480">
        <v>22.356091030683685747004172790</v>
      </c>
      <c r="V18" s="481">
        <v>-7.1428571430892857142851338900</v>
      </c>
      <c r="W18" s="479">
        <v>37.500000000550000000002200380</v>
      </c>
      <c r="X18" s="480">
        <v>-4.6511627910666522444550349700</v>
      </c>
      <c r="Y18" s="481">
        <v>41.176470567972318342008680140</v>
      </c>
      <c r="Z18" s="479">
        <v>-7.5085324231905135761627940800</v>
      </c>
      <c r="AA18" s="480">
        <v>1.733333333278804266666695900</v>
      </c>
      <c r="AB18" s="481">
        <v>5.7165605094901715079719645500</v>
      </c>
    </row>
    <row r="19" ht="18" customHeight="1">
      <c r="A19" s="58"/>
      <c r="B19" s="1046" t="s">
        <v>51</v>
      </c>
      <c r="C19" s="1046"/>
      <c r="D19" s="271">
        <v>37.365591397849462365591397880</v>
      </c>
      <c r="E19" s="92">
        <v>47.444751381215469613259668550</v>
      </c>
      <c r="F19" s="272">
        <v>64.433106575963718820861678060</v>
      </c>
      <c r="G19" s="271">
        <v>0.268817204301075268817204300</v>
      </c>
      <c r="H19" s="92">
        <v>19.728360957642725598526703520</v>
      </c>
      <c r="I19" s="272">
        <v>9.569160997732426303854875290</v>
      </c>
      <c r="J19" s="271">
        <v>0.9408602150537634408602150500</v>
      </c>
      <c r="K19" s="92">
        <v>3.8213627992633517495395948500</v>
      </c>
      <c r="L19" s="272">
        <v>0.1587301587301587301587301600</v>
      </c>
      <c r="M19" s="271">
        <v>38.575268817204301075268817200</v>
      </c>
      <c r="N19" s="92">
        <v>70.948434622467771639042357270</v>
      </c>
      <c r="O19" s="272">
        <v>74.183673469387755102040816330</v>
      </c>
      <c r="P19" s="5"/>
      <c r="Q19" s="271">
        <v>14.876033057957571204152820330</v>
      </c>
      <c r="R19" s="92">
        <v>2.3845007452114134430227662700</v>
      </c>
      <c r="S19" s="272">
        <v>13.387869114119762848493225650</v>
      </c>
      <c r="T19" s="271">
        <v>-93.33333333330666666666656003</v>
      </c>
      <c r="U19" s="92">
        <v>30.441400304113809136590837160</v>
      </c>
      <c r="V19" s="272">
        <v>-11.715481171762364104269363240</v>
      </c>
      <c r="W19" s="271">
        <v>-12.499999999649999999998600350</v>
      </c>
      <c r="X19" s="92">
        <v>-22.429906542781028910815130440</v>
      </c>
      <c r="Y19" s="272">
        <v>-12.500000004046874999812831330</v>
      </c>
      <c r="Z19" s="271">
        <v>2.4999999998652857142858913300</v>
      </c>
      <c r="AA19" s="92">
        <v>6.7914067914032390938835846400</v>
      </c>
      <c r="AB19" s="272">
        <v>9.341577540045922314675174910</v>
      </c>
    </row>
    <row r="20" ht="18" customHeight="1">
      <c r="A20" s="58"/>
      <c r="B20" s="1047" t="s">
        <v>76</v>
      </c>
      <c r="C20" s="1047"/>
      <c r="D20" s="273">
        <v>36.021505376344086021505376380</v>
      </c>
      <c r="E20" s="274">
        <v>45.982965009208103130755064500</v>
      </c>
      <c r="F20" s="275">
        <v>64.399092970521541950113378740</v>
      </c>
      <c r="G20" s="273">
        <v>0.268817204301075268817204300</v>
      </c>
      <c r="H20" s="274">
        <v>20.384438305709023941068139980</v>
      </c>
      <c r="I20" s="275">
        <v>10.090702947845804988662131530</v>
      </c>
      <c r="J20" s="273">
        <v>1.2096774193548387096774193600</v>
      </c>
      <c r="K20" s="274">
        <v>4.2702578268876611418047882200</v>
      </c>
      <c r="L20" s="275">
        <v>0.2154195011337868480725623600</v>
      </c>
      <c r="M20" s="273">
        <v>37.500</v>
      </c>
      <c r="N20" s="274">
        <v>70.603130755064456721915285450</v>
      </c>
      <c r="O20" s="275">
        <v>74.727891156462585034013605440</v>
      </c>
      <c r="P20" s="184"/>
      <c r="Q20" s="273">
        <v>9.387755101980094960433186670</v>
      </c>
      <c r="R20" s="274">
        <v>-1.3092885375057179459138364300</v>
      </c>
      <c r="S20" s="275">
        <v>10.656536138643045316042749700</v>
      </c>
      <c r="T20" s="273">
        <v>-94.02985074621162842503843946</v>
      </c>
      <c r="U20" s="274">
        <v>26.139601139407078676309744200</v>
      </c>
      <c r="V20" s="275">
        <v>-9.368635438105221896374526750</v>
      </c>
      <c r="W20" s="273">
        <v>12.500000000450000000001800480</v>
      </c>
      <c r="X20" s="274">
        <v>-13.519813520384409995595037980</v>
      </c>
      <c r="Y20" s="275">
        <v>15.151515171195592289864944570</v>
      </c>
      <c r="Z20" s="273">
        <v>-2.6178010470469998081192396200</v>
      </c>
      <c r="AA20" s="274">
        <v>4.2133876996729737246903052400</v>
      </c>
      <c r="AB20" s="275">
        <v>7.485322896296524408224541600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30.887963926465487339576829690</v>
      </c>
      <c r="E22" s="469">
        <v>43.324545771994853851917172450</v>
      </c>
      <c r="F22" s="470">
        <v>63.760449047260066920783721940</v>
      </c>
      <c r="G22" s="468">
        <v>4.5612209503988900450919181400</v>
      </c>
      <c r="H22" s="469">
        <v>12.371825971562089083021570460</v>
      </c>
      <c r="I22" s="470">
        <v>8.768321560314396327516887760</v>
      </c>
      <c r="J22" s="468">
        <v>1.1793270898369753728754769300</v>
      </c>
      <c r="K22" s="469">
        <v>4.6523480330722972480351773700</v>
      </c>
      <c r="L22" s="470">
        <v>0.2076788109026049983528904100</v>
      </c>
      <c r="M22" s="468">
        <v>36.628511966701352757544224770</v>
      </c>
      <c r="N22" s="469">
        <v>60.348719776629240182973920280</v>
      </c>
      <c r="O22" s="470">
        <v>72.736449418477068246653500110</v>
      </c>
      <c r="P22" s="184"/>
      <c r="Q22" s="468">
        <v>2.7104959632375434521459764700</v>
      </c>
      <c r="R22" s="469">
        <v>11.188846398993318476951818250</v>
      </c>
      <c r="S22" s="470">
        <v>10.494090720121573396398409740</v>
      </c>
      <c r="T22" s="468">
        <v>-9.310344826758116527935363780</v>
      </c>
      <c r="U22" s="469">
        <v>12.413230433151707232495287840</v>
      </c>
      <c r="V22" s="470">
        <v>9.206973576466747689168504090</v>
      </c>
      <c r="W22" s="468">
        <v>-6.8493150662218052166832169200</v>
      </c>
      <c r="X22" s="469">
        <v>-4.2003394095041092567988152800</v>
      </c>
      <c r="Y22" s="470">
        <v>-6.9539473140416965643194788400</v>
      </c>
      <c r="Z22" s="468">
        <v>0.715307582314836031854241800</v>
      </c>
      <c r="AA22" s="469">
        <v>10.071513706843655751142551370</v>
      </c>
      <c r="AB22" s="470">
        <v>10.278363091919057484962820640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91.51151963789315572104293136</v>
      </c>
      <c r="E25" s="455">
        <v>124.74901736216470305486783808</v>
      </c>
      <c r="F25" s="456">
        <v>115.98727628097788426815683821</v>
      </c>
      <c r="G25" s="454">
        <v>0</v>
      </c>
      <c r="H25" s="455">
        <v>139.79575771129170331067753761</v>
      </c>
      <c r="I25" s="456">
        <v>104.56526517526192170218173762</v>
      </c>
      <c r="J25" s="454">
        <v>88.37489544191835537088393115</v>
      </c>
      <c r="K25" s="455">
        <v>116.92800292955717652906335121</v>
      </c>
      <c r="L25" s="456">
        <v>82.42185190009866641861637231</v>
      </c>
      <c r="M25" s="454">
        <v>91.3283591009019265035153985</v>
      </c>
      <c r="N25" s="455">
        <v>126.07018492962278830888105859</v>
      </c>
      <c r="O25" s="456">
        <v>114.98381880944625766639496877</v>
      </c>
      <c r="P25" s="5"/>
      <c r="Q25" s="427">
        <v>-2.2209544536505445451260171700</v>
      </c>
      <c r="R25" s="428">
        <v>-5.5760026419068459680503602600</v>
      </c>
      <c r="S25" s="429">
        <v>0.4458555269303040447078366600</v>
      </c>
      <c r="T25" s="427">
        <v>-100</v>
      </c>
      <c r="U25" s="428">
        <v>9.805274237064912250532419830</v>
      </c>
      <c r="V25" s="429">
        <v>0.0337579258403985267174998900</v>
      </c>
      <c r="W25" s="427">
        <v>8.270317629604963408557979950</v>
      </c>
      <c r="X25" s="428">
        <v>-2.9667499662807381404500072400</v>
      </c>
      <c r="Y25" s="429">
        <v>1.5610351882217139384959887400</v>
      </c>
      <c r="Z25" s="427">
        <v>-4.4047479968852902112142288100</v>
      </c>
      <c r="AA25" s="428">
        <v>-2.5957799070744891917441948100</v>
      </c>
      <c r="AB25" s="429">
        <v>0.5685663845729378024717403900</v>
      </c>
    </row>
    <row r="26" ht="18" customHeight="1">
      <c r="A26" s="58"/>
      <c r="B26" s="1043" t="s">
        <v>46</v>
      </c>
      <c r="C26" s="1043"/>
      <c r="D26" s="439">
        <v>97.51267559263080671714934745</v>
      </c>
      <c r="E26" s="95">
        <v>142.01818629222973675555206757</v>
      </c>
      <c r="F26" s="440">
        <v>132.51608930500172510553119049</v>
      </c>
      <c r="G26" s="439">
        <v>126.66316953395324764730486079</v>
      </c>
      <c r="H26" s="95">
        <v>135.56162377855676879345767358</v>
      </c>
      <c r="I26" s="440">
        <v>117.04625430847514232191589919</v>
      </c>
      <c r="J26" s="439">
        <v>98.55211737655185517192150672</v>
      </c>
      <c r="K26" s="95">
        <v>128.29088950064477748765685299</v>
      </c>
      <c r="L26" s="440">
        <v>93.31334575403568286654224628</v>
      </c>
      <c r="M26" s="439">
        <v>104.4657398583382587166741227</v>
      </c>
      <c r="N26" s="95">
        <v>139.76023785526168977324542565</v>
      </c>
      <c r="O26" s="440">
        <v>130.8391914075309023495371354</v>
      </c>
      <c r="P26" s="5"/>
      <c r="Q26" s="420">
        <v>-12.140142781276324234362067400</v>
      </c>
      <c r="R26" s="91">
        <v>0.9419760058141318820211535600</v>
      </c>
      <c r="S26" s="421">
        <v>7.2569510840316453726206462400</v>
      </c>
      <c r="T26" s="420">
        <v>15.174244368952156993559114660</v>
      </c>
      <c r="U26" s="91">
        <v>3.1814690541785535623561421400</v>
      </c>
      <c r="V26" s="421">
        <v>7.3659311355880945665861727100</v>
      </c>
      <c r="W26" s="420">
        <v>9.747166171343810561152985940</v>
      </c>
      <c r="X26" s="91">
        <v>6.9459495559223275140112633800</v>
      </c>
      <c r="Y26" s="421">
        <v>7.1536607222354405139359872400</v>
      </c>
      <c r="Z26" s="420">
        <v>-4.8387383455644449738982170600</v>
      </c>
      <c r="AA26" s="91">
        <v>1.8825986542477205102234683200</v>
      </c>
      <c r="AB26" s="421">
        <v>7.1682529407367278553726683400</v>
      </c>
    </row>
    <row r="27" ht="18" customHeight="1">
      <c r="A27" s="58"/>
      <c r="B27" s="1043" t="s">
        <v>47</v>
      </c>
      <c r="C27" s="1043"/>
      <c r="D27" s="439">
        <v>96.83879120319235098829721204</v>
      </c>
      <c r="E27" s="95">
        <v>141.26086456099345009324992495</v>
      </c>
      <c r="F27" s="440">
        <v>141.78368661288991209659785849</v>
      </c>
      <c r="G27" s="439">
        <v>120.02572006416907397247397707</v>
      </c>
      <c r="H27" s="95">
        <v>136.76874965347934831840263494</v>
      </c>
      <c r="I27" s="440">
        <v>121.81759380437288159838206725</v>
      </c>
      <c r="J27" s="439">
        <v>97.36352117093435371193693242</v>
      </c>
      <c r="K27" s="95">
        <v>123.55573752870662683644744858</v>
      </c>
      <c r="L27" s="440">
        <v>95.22245640414551046676492209</v>
      </c>
      <c r="M27" s="439">
        <v>102.74987843459248672541243499</v>
      </c>
      <c r="N27" s="95">
        <v>139.47452586312490516734995094</v>
      </c>
      <c r="O27" s="440">
        <v>139.128160686322569664836202</v>
      </c>
      <c r="P27" s="93"/>
      <c r="Q27" s="420">
        <v>-14.442212405679431805577822650</v>
      </c>
      <c r="R27" s="91">
        <v>-4.3948729567034740657852489800</v>
      </c>
      <c r="S27" s="421">
        <v>8.672282230711439695765485540</v>
      </c>
      <c r="T27" s="420">
        <v>4.1545003120420743365611341600</v>
      </c>
      <c r="U27" s="91">
        <v>3.9245563923795296576909149900</v>
      </c>
      <c r="V27" s="421">
        <v>-13.729723205371498234565365770</v>
      </c>
      <c r="W27" s="420">
        <v>13.695099578012249396533699200</v>
      </c>
      <c r="X27" s="91">
        <v>4.3172732866229086910651206500</v>
      </c>
      <c r="Y27" s="421">
        <v>13.282491031719898654056276250</v>
      </c>
      <c r="Z27" s="420">
        <v>-8.734965744272264948528674710</v>
      </c>
      <c r="AA27" s="91">
        <v>-2.0410158333428845840042366700</v>
      </c>
      <c r="AB27" s="421">
        <v>5.849152927875443427566145300</v>
      </c>
    </row>
    <row r="28" ht="18" customHeight="1">
      <c r="A28" s="58"/>
      <c r="B28" s="1043" t="s">
        <v>48</v>
      </c>
      <c r="C28" s="1043"/>
      <c r="D28" s="439">
        <v>97.87211162985309605177922862</v>
      </c>
      <c r="E28" s="95">
        <v>141.31783111526431798719299766</v>
      </c>
      <c r="F28" s="440">
        <v>140.09004324812949384677350152</v>
      </c>
      <c r="G28" s="439">
        <v>128.36647328500176025152159752</v>
      </c>
      <c r="H28" s="95">
        <v>137.97651946088009141818047744</v>
      </c>
      <c r="I28" s="440">
        <v>122.23913683829601598402351373</v>
      </c>
      <c r="J28" s="439">
        <v>99.28412924802798032292599161</v>
      </c>
      <c r="K28" s="95">
        <v>123.68768142084641514204179452</v>
      </c>
      <c r="L28" s="440">
        <v>94.05229940592575957829182531</v>
      </c>
      <c r="M28" s="439">
        <v>103.56668781303678894180918209</v>
      </c>
      <c r="N28" s="95">
        <v>139.40872751547580003936094036</v>
      </c>
      <c r="O28" s="440">
        <v>137.66730761939934615332578636</v>
      </c>
      <c r="P28" s="5"/>
      <c r="Q28" s="420">
        <v>-14.314379936319926924451901470</v>
      </c>
      <c r="R28" s="91">
        <v>-4.9698854702445944938577119700</v>
      </c>
      <c r="S28" s="421">
        <v>5.2019957091372760230481668200</v>
      </c>
      <c r="T28" s="420">
        <v>9.476964908902654006381426960</v>
      </c>
      <c r="U28" s="91">
        <v>3.6513577134260355901591182300</v>
      </c>
      <c r="V28" s="421">
        <v>-0.0910686152047150987853043300</v>
      </c>
      <c r="W28" s="420">
        <v>7.4803500044188661708523775200</v>
      </c>
      <c r="X28" s="91">
        <v>3.8493059889358757369183877600</v>
      </c>
      <c r="Y28" s="421">
        <v>3.8318013452599176592060470800</v>
      </c>
      <c r="Z28" s="420">
        <v>-8.884837281537989997929895450</v>
      </c>
      <c r="AA28" s="91">
        <v>-2.6346722471438145786405101500</v>
      </c>
      <c r="AB28" s="421">
        <v>4.4299821830653726456935431700</v>
      </c>
    </row>
    <row r="29" ht="18" customHeight="1">
      <c r="A29" s="58"/>
      <c r="B29" s="1043" t="s">
        <v>49</v>
      </c>
      <c r="C29" s="1043"/>
      <c r="D29" s="439">
        <v>87.59822272064780470464871836</v>
      </c>
      <c r="E29" s="95">
        <v>134.63699423617645651727449</v>
      </c>
      <c r="F29" s="440">
        <v>126.45419391940653344569265978</v>
      </c>
      <c r="G29" s="439">
        <v>131.99984382838158878593130321</v>
      </c>
      <c r="H29" s="95">
        <v>142.7605366810054007939670447</v>
      </c>
      <c r="I29" s="440">
        <v>124.10321150367273795747838885</v>
      </c>
      <c r="J29" s="439">
        <v>92.28560510079492029838920128</v>
      </c>
      <c r="K29" s="95">
        <v>123.84138988676994088983740288</v>
      </c>
      <c r="L29" s="440">
        <v>95.40612015491700394573869116</v>
      </c>
      <c r="M29" s="439">
        <v>88.08860545805303606480496251</v>
      </c>
      <c r="N29" s="95">
        <v>135.37667500924459866120111301</v>
      </c>
      <c r="O29" s="440">
        <v>126.09679301615878148159524915</v>
      </c>
      <c r="P29" s="93"/>
      <c r="Q29" s="420">
        <v>-20.710533981888761115119734030</v>
      </c>
      <c r="R29" s="91">
        <v>-5.1198836202653083594763683700</v>
      </c>
      <c r="S29" s="421">
        <v>1.3170282168568929905765182700</v>
      </c>
      <c r="T29" s="420">
        <v>28.195187135889055662248013690</v>
      </c>
      <c r="U29" s="91">
        <v>1.5140681794093959798575291500</v>
      </c>
      <c r="V29" s="421">
        <v>8.550501450793868928786796360</v>
      </c>
      <c r="W29" s="420">
        <v>-6.783023880910875480489797800</v>
      </c>
      <c r="X29" s="91">
        <v>1.3450709833396622682215173100</v>
      </c>
      <c r="Y29" s="421">
        <v>-4.1178881018002001809091128300</v>
      </c>
      <c r="Z29" s="420">
        <v>-18.992209075020736972320304490</v>
      </c>
      <c r="AA29" s="91">
        <v>-3.3064976083788016762069243900</v>
      </c>
      <c r="AB29" s="421">
        <v>2.3191737835595680398189603900</v>
      </c>
    </row>
    <row r="30" ht="18" customHeight="1">
      <c r="A30" s="58"/>
      <c r="B30" s="1044" t="s">
        <v>75</v>
      </c>
      <c r="C30" s="1044"/>
      <c r="D30" s="457">
        <v>94.90414607558126391354252984</v>
      </c>
      <c r="E30" s="458">
        <v>138.14940146570399099586896614</v>
      </c>
      <c r="F30" s="459">
        <v>133.03011481754282138801794431</v>
      </c>
      <c r="G30" s="457">
        <v>124.33318220575577471939425141</v>
      </c>
      <c r="H30" s="458">
        <v>138.59615536591582925437943396</v>
      </c>
      <c r="I30" s="459">
        <v>120.1689817645993745784027987</v>
      </c>
      <c r="J30" s="457">
        <v>96.04016142618924131959220728</v>
      </c>
      <c r="K30" s="458">
        <v>123.12316456616597194878360055</v>
      </c>
      <c r="L30" s="459">
        <v>92.34775736570578222067048139</v>
      </c>
      <c r="M30" s="457">
        <v>99.92201820242611796093476687</v>
      </c>
      <c r="N30" s="458">
        <v>136.98074167932195661079145395</v>
      </c>
      <c r="O30" s="459">
        <v>131.43906186621233127111411843</v>
      </c>
      <c r="P30" s="5"/>
      <c r="Q30" s="430">
        <v>-13.758110834852257520885845940</v>
      </c>
      <c r="R30" s="431">
        <v>-3.7619481008522884374725479500</v>
      </c>
      <c r="S30" s="432">
        <v>5.1040888389973545502829640200</v>
      </c>
      <c r="T30" s="430">
        <v>12.813812274922247676623540330</v>
      </c>
      <c r="U30" s="431">
        <v>3.8563981893881225274315509100</v>
      </c>
      <c r="V30" s="432">
        <v>-0.3563206840860638323821565400</v>
      </c>
      <c r="W30" s="430">
        <v>6.3437971292156001732836429300</v>
      </c>
      <c r="X30" s="431">
        <v>2.678261657819512124092588400</v>
      </c>
      <c r="Y30" s="432">
        <v>4.0192250511943748434408105300</v>
      </c>
      <c r="Z30" s="430">
        <v>-8.562683291533887659781522650</v>
      </c>
      <c r="AA30" s="431">
        <v>-1.7008391354972735390401567300</v>
      </c>
      <c r="AB30" s="432">
        <v>4.5042935764768326437398716200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99.9572460796961708127901804</v>
      </c>
      <c r="E32" s="494">
        <v>134.2334721291328131375475139</v>
      </c>
      <c r="F32" s="495">
        <v>125.93631878462180090351917761</v>
      </c>
      <c r="G32" s="493">
        <v>134.99984027902662489470246953</v>
      </c>
      <c r="H32" s="494">
        <v>129.57100488480650726890895472</v>
      </c>
      <c r="I32" s="495">
        <v>122.83067477347267140054121368</v>
      </c>
      <c r="J32" s="493">
        <v>92.54534505323171996148627185</v>
      </c>
      <c r="K32" s="494">
        <v>121.51992749660868531430643843</v>
      </c>
      <c r="L32" s="495">
        <v>91.37780312865352551293821778</v>
      </c>
      <c r="M32" s="493">
        <v>99.91501093987163925854472499</v>
      </c>
      <c r="N32" s="494">
        <v>132.02720140866998320485992673</v>
      </c>
      <c r="O32" s="495">
        <v>125.3356018381316566911425613</v>
      </c>
      <c r="P32" s="93"/>
      <c r="Q32" s="479">
        <v>-4.3468176437817524844214993500</v>
      </c>
      <c r="R32" s="480">
        <v>-1.7196871981788064691403882800</v>
      </c>
      <c r="S32" s="481">
        <v>0.5473171291881117794785479600</v>
      </c>
      <c r="T32" s="479">
        <v>28.874835680255124904971848690</v>
      </c>
      <c r="U32" s="480">
        <v>-6.1326747377655055992471371700</v>
      </c>
      <c r="V32" s="481">
        <v>2.6097837023086688444288152100</v>
      </c>
      <c r="W32" s="479">
        <v>5.1685832372692686790196369400</v>
      </c>
      <c r="X32" s="480">
        <v>-0.0298121888578563283323710500</v>
      </c>
      <c r="Y32" s="481">
        <v>2.3077840769601965020280175700</v>
      </c>
      <c r="Z32" s="479">
        <v>-4.0026656316679145259419831100</v>
      </c>
      <c r="AA32" s="480">
        <v>-2.728685057362528751032480700</v>
      </c>
      <c r="AB32" s="481">
        <v>0.8788527974261551793162981200</v>
      </c>
    </row>
    <row r="33" ht="18" customHeight="1">
      <c r="A33" s="58"/>
      <c r="B33" s="1046" t="s">
        <v>51</v>
      </c>
      <c r="C33" s="1046"/>
      <c r="D33" s="276">
        <v>100.70851394329625412142246298</v>
      </c>
      <c r="E33" s="94">
        <v>132.63982317840412248616584084</v>
      </c>
      <c r="F33" s="277">
        <v>125.2734541123110002978190356</v>
      </c>
      <c r="G33" s="276">
        <v>135.49983968746746424616433039</v>
      </c>
      <c r="H33" s="94">
        <v>132.02682967383419909517097121</v>
      </c>
      <c r="I33" s="277">
        <v>122.02641627854583777369643502</v>
      </c>
      <c r="J33" s="276">
        <v>97.42845615904355362771119984</v>
      </c>
      <c r="K33" s="94">
        <v>134.03854163750016457245626846</v>
      </c>
      <c r="L33" s="277">
        <v>97.70319171593089115844026953</v>
      </c>
      <c r="M33" s="276">
        <v>100.87096079694982038202700965</v>
      </c>
      <c r="N33" s="94">
        <v>132.63078082835555885385368619</v>
      </c>
      <c r="O33" s="277">
        <v>124.75732534668793126237559746</v>
      </c>
      <c r="P33" s="5"/>
      <c r="Q33" s="271">
        <v>-13.162651810748572834720580750</v>
      </c>
      <c r="R33" s="92">
        <v>-0.3335715102827132077342657200</v>
      </c>
      <c r="S33" s="272">
        <v>1.9301212432344737870227626200</v>
      </c>
      <c r="T33" s="271">
        <v>22.363056155793860469700117750</v>
      </c>
      <c r="U33" s="92">
        <v>-3.1827439060206822766673144300</v>
      </c>
      <c r="V33" s="272">
        <v>2.0467178755105170056821136900</v>
      </c>
      <c r="W33" s="271">
        <v>-17.521288985638440939195609280</v>
      </c>
      <c r="X33" s="92">
        <v>9.449025794873479432512060130</v>
      </c>
      <c r="Y33" s="272">
        <v>-19.174041809920384739452221650</v>
      </c>
      <c r="Z33" s="271">
        <v>-12.646184580141120654709091940</v>
      </c>
      <c r="AA33" s="92">
        <v>-0.2413791949264215632388834400</v>
      </c>
      <c r="AB33" s="272">
        <v>1.9549621843806244093150668200</v>
      </c>
    </row>
    <row r="34" ht="18" customHeight="1">
      <c r="A34" s="58"/>
      <c r="B34" s="1047" t="s">
        <v>76</v>
      </c>
      <c r="C34" s="1047"/>
      <c r="D34" s="443">
        <v>100.34689620298128864823752099</v>
      </c>
      <c r="E34" s="444">
        <v>133.41131681312484531965073589</v>
      </c>
      <c r="F34" s="445">
        <v>125.60471139617617767797393931</v>
      </c>
      <c r="G34" s="443">
        <v>135.24983998324704457043339996</v>
      </c>
      <c r="H34" s="444">
        <v>130.75939666583232990872067021</v>
      </c>
      <c r="I34" s="445">
        <v>122.44932973430511657972267818</v>
      </c>
      <c r="J34" s="443">
        <v>94.44433270549187749835152162</v>
      </c>
      <c r="K34" s="444">
        <v>127.12124810951430676134921952</v>
      </c>
      <c r="L34" s="445">
        <v>93.70820945028202864549160527</v>
      </c>
      <c r="M34" s="633">
        <v>100.40669124270575750664403627</v>
      </c>
      <c r="N34" s="634">
        <v>132.33046710339951436726598585</v>
      </c>
      <c r="O34" s="635">
        <v>125.04856928741732688683196774</v>
      </c>
      <c r="P34" s="93"/>
      <c r="Q34" s="273">
        <v>-8.913375056866319827334309350</v>
      </c>
      <c r="R34" s="274">
        <v>-1.0613835216004080605685211300</v>
      </c>
      <c r="S34" s="275">
        <v>1.2094432721225287751489229200</v>
      </c>
      <c r="T34" s="273">
        <v>25.893750050354494462366637800</v>
      </c>
      <c r="U34" s="274">
        <v>-4.7326367948216376890734962300</v>
      </c>
      <c r="V34" s="275">
        <v>2.3443276321646548989089522100</v>
      </c>
      <c r="W34" s="273">
        <v>-8.361065050922804351427033420</v>
      </c>
      <c r="X34" s="274">
        <v>4.1889133971182209432518593100</v>
      </c>
      <c r="Y34" s="275">
        <v>-10.430368756806364239407570480</v>
      </c>
      <c r="Z34" s="273">
        <v>-8.428395801636727365325200290</v>
      </c>
      <c r="AA34" s="274">
        <v>-1.5165272568150323773078208500</v>
      </c>
      <c r="AB34" s="275">
        <v>1.3958745053248221922033626300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96.0960134755755193711398091</v>
      </c>
      <c r="E36" s="483">
        <v>136.86834837172151783687219318</v>
      </c>
      <c r="F36" s="484">
        <v>131.09197994772118082301212636</v>
      </c>
      <c r="G36" s="482">
        <v>127.09505703422053231939163498</v>
      </c>
      <c r="H36" s="483">
        <v>134.70332086179185765037284306</v>
      </c>
      <c r="I36" s="484">
        <v>120.8700811703917163849588792</v>
      </c>
      <c r="J36" s="482">
        <v>99</v>
      </c>
      <c r="K36" s="483">
        <v>125.34687301678742387719705328</v>
      </c>
      <c r="L36" s="484">
        <v>94.5227945714855130796948103</v>
      </c>
      <c r="M36" s="482">
        <v>100.05007102272727272727272727</v>
      </c>
      <c r="N36" s="483">
        <v>135.53630260373086577742776985</v>
      </c>
      <c r="O36" s="484">
        <v>129.7553249260845954262957823</v>
      </c>
      <c r="P36" s="93"/>
      <c r="Q36" s="468">
        <v>-12.534519255350634045889226340</v>
      </c>
      <c r="R36" s="469">
        <v>-2.8769220189790420691335270700</v>
      </c>
      <c r="S36" s="470">
        <v>4.1131778105284715802507589100</v>
      </c>
      <c r="T36" s="468">
        <v>16.094136764244503461468910460</v>
      </c>
      <c r="U36" s="469">
        <v>0.3957771208134142333185465900</v>
      </c>
      <c r="V36" s="470">
        <v>0.5316924079657897096579978300</v>
      </c>
      <c r="W36" s="468">
        <v>1.6169853768764760616256158600</v>
      </c>
      <c r="X36" s="469">
        <v>3.3320305947367196414818895700</v>
      </c>
      <c r="Y36" s="470">
        <v>0.3712205887824986588930845200</v>
      </c>
      <c r="Z36" s="468">
        <v>-8.529906613914481894155664330</v>
      </c>
      <c r="AA36" s="469">
        <v>-1.6640893031228163886367081200</v>
      </c>
      <c r="AB36" s="470">
        <v>3.7097997165168102496890089400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15.8669167114088939355034115</v>
      </c>
      <c r="E39" s="455">
        <v>36.442565154831263392409596378</v>
      </c>
      <c r="F39" s="456">
        <v>57.244060504659493222141351153</v>
      </c>
      <c r="G39" s="454">
        <v>0</v>
      </c>
      <c r="H39" s="455">
        <v>9.268227030582875357613980403</v>
      </c>
      <c r="I39" s="456">
        <v>4.3035364238798273897836701578</v>
      </c>
      <c r="J39" s="454">
        <v>0.9502676929238532835578917337</v>
      </c>
      <c r="K39" s="455">
        <v>6.7023648088074900910996258006</v>
      </c>
      <c r="L39" s="456">
        <v>0.1682078610206095233032987192</v>
      </c>
      <c r="M39" s="454">
        <v>16.817184404332747219061303219</v>
      </c>
      <c r="N39" s="455">
        <v>52.413156994221628841123202535</v>
      </c>
      <c r="O39" s="456">
        <v>61.715804789559930135228319973</v>
      </c>
      <c r="P39" s="5"/>
      <c r="Q39" s="427">
        <v>-18.094176133394799433849014580</v>
      </c>
      <c r="R39" s="428">
        <v>11.257244798090997198953246220</v>
      </c>
      <c r="S39" s="429">
        <v>9.942370909914291395867185300</v>
      </c>
      <c r="T39" s="427">
        <v>-100</v>
      </c>
      <c r="U39" s="428">
        <v>-9.126669596759195067609853430</v>
      </c>
      <c r="V39" s="429">
        <v>-9.445750306652755754849510270</v>
      </c>
      <c r="W39" s="427">
        <v>8.270317629604963408557980050</v>
      </c>
      <c r="X39" s="428">
        <v>6.4373535615345732473410326800</v>
      </c>
      <c r="Y39" s="429">
        <v>1.5610351926017724677650900300</v>
      </c>
      <c r="Z39" s="427">
        <v>-34.843037191846831646210429830</v>
      </c>
      <c r="AA39" s="428">
        <v>6.4198557094519456254138327800</v>
      </c>
      <c r="AB39" s="429">
        <v>8.301090369551802030084027550</v>
      </c>
    </row>
    <row r="40" ht="18" customHeight="1">
      <c r="A40" s="58"/>
      <c r="B40" s="1043" t="s">
        <v>46</v>
      </c>
      <c r="C40" s="1043"/>
      <c r="D40" s="439">
        <v>23.460710928872196777378673668</v>
      </c>
      <c r="E40" s="95">
        <v>59.958875151922038952505177753</v>
      </c>
      <c r="F40" s="440">
        <v>90.98837152279937043527175627</v>
      </c>
      <c r="G40" s="439">
        <v>10.044525540998980660202939238</v>
      </c>
      <c r="H40" s="95">
        <v>13.574886359040560410947073679</v>
      </c>
      <c r="I40" s="440">
        <v>8.652398844572085350781084619</v>
      </c>
      <c r="J40" s="439">
        <v>1.4570877569113849554988394824</v>
      </c>
      <c r="K40" s="95">
        <v>6.3200392157315797381120088776</v>
      </c>
      <c r="L40" s="440">
        <v>0.2539138659973760078001149561</v>
      </c>
      <c r="M40" s="439">
        <v>34.962324226782562393080452356</v>
      </c>
      <c r="N40" s="95">
        <v>79.85380072669417910156426023</v>
      </c>
      <c r="O40" s="440">
        <v>99.89468423336883179385295576</v>
      </c>
      <c r="P40" s="5"/>
      <c r="Q40" s="420">
        <v>-18.428867001186540506507467140</v>
      </c>
      <c r="R40" s="91">
        <v>17.586117882720021362036041800</v>
      </c>
      <c r="S40" s="421">
        <v>27.402341080569032517508327890</v>
      </c>
      <c r="T40" s="420">
        <v>102.24048862326476747605241753</v>
      </c>
      <c r="U40" s="91">
        <v>58.937461184157057590385812500</v>
      </c>
      <c r="V40" s="421">
        <v>41.590993325529753014301223420</v>
      </c>
      <c r="W40" s="420">
        <v>0.6015689938714052105410942400</v>
      </c>
      <c r="X40" s="91">
        <v>7.1462228699453491514047336500</v>
      </c>
      <c r="Y40" s="421">
        <v>0.4565569219155039828527070600</v>
      </c>
      <c r="Z40" s="420">
        <v>-0.6075748660856093378073843900</v>
      </c>
      <c r="AA40" s="91">
        <v>22.042765376294053295970580880</v>
      </c>
      <c r="AB40" s="421">
        <v>28.429494465881447435554439600</v>
      </c>
    </row>
    <row r="41" ht="18" customHeight="1">
      <c r="A41" s="58"/>
      <c r="B41" s="1043" t="s">
        <v>47</v>
      </c>
      <c r="C41" s="1043"/>
      <c r="D41" s="439">
        <v>34.258023984785251048548153536</v>
      </c>
      <c r="E41" s="95">
        <v>75.885440501734418770167593269</v>
      </c>
      <c r="F41" s="440">
        <v>101.08115889136641352192826927</v>
      </c>
      <c r="G41" s="439">
        <v>14.970950029509260839577399303</v>
      </c>
      <c r="H41" s="95">
        <v>12.870871284148793184291666025</v>
      </c>
      <c r="I41" s="440">
        <v>12.794990805030729876728021224</v>
      </c>
      <c r="J41" s="439">
        <v>1.1516115407314816030444153307</v>
      </c>
      <c r="K41" s="95">
        <v>5.8706041035739060264831384461</v>
      </c>
      <c r="L41" s="440">
        <v>0.1900130649334422884597576678</v>
      </c>
      <c r="M41" s="439">
        <v>50.380585555025993491169968126</v>
      </c>
      <c r="N41" s="95">
        <v>94.62691588945711798094239765</v>
      </c>
      <c r="O41" s="440">
        <v>114.06616276133058568711604806</v>
      </c>
      <c r="P41" s="93"/>
      <c r="Q41" s="420">
        <v>-2.9361651085062687300965063400</v>
      </c>
      <c r="R41" s="91">
        <v>24.555674669593649520343904720</v>
      </c>
      <c r="S41" s="421">
        <v>20.25399666808606607363822100</v>
      </c>
      <c r="T41" s="420">
        <v>162.65047904787718905433649140</v>
      </c>
      <c r="U41" s="91">
        <v>6.8520086851641095752245360300</v>
      </c>
      <c r="V41" s="421">
        <v>18.929738723697205093061335660</v>
      </c>
      <c r="W41" s="420">
        <v>13.695099582127998713165962040</v>
      </c>
      <c r="X41" s="91">
        <v>0.800960703760412054255143800</v>
      </c>
      <c r="Y41" s="421">
        <v>13.282491056547806414832620990</v>
      </c>
      <c r="Z41" s="420">
        <v>19.933301500441747814120104470</v>
      </c>
      <c r="AA41" s="91">
        <v>20.093476761986819878556075200</v>
      </c>
      <c r="AB41" s="421">
        <v>20.091689885186683248388104220</v>
      </c>
    </row>
    <row r="42" ht="18" customHeight="1">
      <c r="A42" s="58"/>
      <c r="B42" s="1043" t="s">
        <v>48</v>
      </c>
      <c r="C42" s="1043"/>
      <c r="D42" s="439">
        <v>38.30693401426508275575014973</v>
      </c>
      <c r="E42" s="95">
        <v>65.818194270810950311162263613</v>
      </c>
      <c r="F42" s="440">
        <v>93.77455956201321220763613988</v>
      </c>
      <c r="G42" s="439">
        <v>11.870448067215216539388018706</v>
      </c>
      <c r="H42" s="95">
        <v>14.814053562742742780257682951</v>
      </c>
      <c r="I42" s="440">
        <v>11.841396656988675289880917259</v>
      </c>
      <c r="J42" s="439">
        <v>1.494599795131604004861251488</v>
      </c>
      <c r="K42" s="95">
        <v>5.7857589467578249440292110197</v>
      </c>
      <c r="L42" s="440">
        <v>0.247393803426017870999588475</v>
      </c>
      <c r="M42" s="439">
        <v>51.67198187661190329999941988</v>
      </c>
      <c r="N42" s="95">
        <v>86.4180067803115180354491575</v>
      </c>
      <c r="O42" s="440">
        <v>105.86335002242790536851664551</v>
      </c>
      <c r="P42" s="5"/>
      <c r="Q42" s="420">
        <v>0.9371058355110644858673762300</v>
      </c>
      <c r="R42" s="91">
        <v>10.905011373208889860916096850</v>
      </c>
      <c r="S42" s="421">
        <v>14.986778485457964386115847750</v>
      </c>
      <c r="T42" s="420">
        <v>100.31955281284523395743550270</v>
      </c>
      <c r="U42" s="91">
        <v>11.492143075672789904607268420</v>
      </c>
      <c r="V42" s="421">
        <v>34.386320804774861421699280070</v>
      </c>
      <c r="W42" s="420">
        <v>-5.9546937470624996407190694800</v>
      </c>
      <c r="X42" s="91">
        <v>1.844493132636543199557223100</v>
      </c>
      <c r="Y42" s="421">
        <v>-8.753871546915299917258868600</v>
      </c>
      <c r="Z42" s="420">
        <v>13.649020164963367314410022880</v>
      </c>
      <c r="AA42" s="91">
        <v>10.347371453275933580045482690</v>
      </c>
      <c r="AB42" s="421">
        <v>16.801766351996350488781777730</v>
      </c>
    </row>
    <row r="43" ht="18" customHeight="1">
      <c r="A43" s="58"/>
      <c r="B43" s="1043" t="s">
        <v>49</v>
      </c>
      <c r="C43" s="1043"/>
      <c r="D43" s="439">
        <v>22.511801322833145510119401833</v>
      </c>
      <c r="E43" s="95">
        <v>50.681034294428117333574412118</v>
      </c>
      <c r="F43" s="440">
        <v>76.056032642139203925477372132</v>
      </c>
      <c r="G43" s="439">
        <v>0.2838706318889926640557662437</v>
      </c>
      <c r="H43" s="95">
        <v>14.328635817890965641383432677</v>
      </c>
      <c r="I43" s="440">
        <v>10.243439679668225990141073374</v>
      </c>
      <c r="J43" s="439">
        <v>0.6946228340920047764394886124</v>
      </c>
      <c r="K43" s="95">
        <v>5.7701421070631298425651681322</v>
      </c>
      <c r="L43" s="440">
        <v>0.1211506287681485764390332587</v>
      </c>
      <c r="M43" s="439">
        <v>23.49029478881414295061465667</v>
      </c>
      <c r="N43" s="95">
        <v>70.779812219382212817523012862</v>
      </c>
      <c r="O43" s="440">
        <v>86.42062295057557849205747869</v>
      </c>
      <c r="P43" s="93"/>
      <c r="Q43" s="420">
        <v>-37.094830279482786169334634150</v>
      </c>
      <c r="R43" s="91">
        <v>-3.8140320495383856698586797100</v>
      </c>
      <c r="S43" s="421">
        <v>7.0650540406969391612414066900</v>
      </c>
      <c r="T43" s="420">
        <v>-96.20162408487074404245448796</v>
      </c>
      <c r="U43" s="91">
        <v>-19.818598322201993361237167380</v>
      </c>
      <c r="V43" s="421">
        <v>-2.7985669667860205821968705400</v>
      </c>
      <c r="W43" s="420">
        <v>-52.544084884487453105810815740</v>
      </c>
      <c r="X43" s="91">
        <v>3.0765948092640845061006777600</v>
      </c>
      <c r="Y43" s="421">
        <v>-51.187288479648946780304951990</v>
      </c>
      <c r="Z43" s="420">
        <v>-47.477301570243618243030438640</v>
      </c>
      <c r="AA43" s="91">
        <v>-7.0629358307151642705643111100</v>
      </c>
      <c r="AB43" s="421">
        <v>5.6179886760276098167963954700</v>
      </c>
    </row>
    <row r="44" ht="18" customHeight="1">
      <c r="A44" s="58"/>
      <c r="B44" s="1044" t="s">
        <v>75</v>
      </c>
      <c r="C44" s="1044"/>
      <c r="D44" s="457">
        <v>27.508448137849641714070298532</v>
      </c>
      <c r="E44" s="458">
        <v>58.588222024429593106703497464</v>
      </c>
      <c r="F44" s="459">
        <v>84.67341232988824360455918853</v>
      </c>
      <c r="G44" s="457">
        <v>7.6436715568288379502572903587</v>
      </c>
      <c r="H44" s="458">
        <v>13.106098125322010917561222809</v>
      </c>
      <c r="I44" s="459">
        <v>9.835777251401991597652568626</v>
      </c>
      <c r="J44" s="457">
        <v>1.1449388108311480381718566097</v>
      </c>
      <c r="K44" s="458">
        <v>6.0531366037013297122710489875</v>
      </c>
      <c r="L44" s="459">
        <v>0.1948380171178254697350239873</v>
      </c>
      <c r="M44" s="457">
        <v>36.297058505509627702499445468</v>
      </c>
      <c r="N44" s="458">
        <v>77.747456753452933736535769185</v>
      </c>
      <c r="O44" s="459">
        <v>94.70402759840806067194678106</v>
      </c>
      <c r="P44" s="5"/>
      <c r="Q44" s="430">
        <v>-13.408953388725400737282310720</v>
      </c>
      <c r="R44" s="431">
        <v>12.472383469441918934886019350</v>
      </c>
      <c r="S44" s="432">
        <v>16.091017543931003606234984890</v>
      </c>
      <c r="T44" s="430">
        <v>30.131722054371270763793851260</v>
      </c>
      <c r="U44" s="431">
        <v>7.0282777150104599392906592800</v>
      </c>
      <c r="V44" s="432">
        <v>19.336674217582288177463562750</v>
      </c>
      <c r="W44" s="430">
        <v>-11.089612233868415507125425090</v>
      </c>
      <c r="X44" s="431">
        <v>3.4363456246473946177142077700</v>
      </c>
      <c r="Y44" s="432">
        <v>-12.361755253134012237004437300</v>
      </c>
      <c r="Z44" s="430">
        <v>-6.7627361122642770119691654300</v>
      </c>
      <c r="AA44" s="431">
        <v>10.769191922356605090678499340</v>
      </c>
      <c r="AB44" s="432">
        <v>16.341936799726479011800736420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34.66259339860431729798369162</v>
      </c>
      <c r="E46" s="494">
        <v>59.762323917528282828733170377</v>
      </c>
      <c r="F46" s="495">
        <v>81.05901153518117502599528026</v>
      </c>
      <c r="G46" s="493">
        <v>0.3629027964489963034803829829</v>
      </c>
      <c r="H46" s="494">
        <v>27.262407565541700654646129079</v>
      </c>
      <c r="I46" s="495">
        <v>13.035092016776691658832945137</v>
      </c>
      <c r="J46" s="493">
        <v>1.3682779510558453220112217624</v>
      </c>
      <c r="K46" s="494">
        <v>5.7347111272570857480278130527</v>
      </c>
      <c r="L46" s="495">
        <v>0.2486470833432748993549339262</v>
      </c>
      <c r="M46" s="493">
        <v>36.393774146109158923475296333</v>
      </c>
      <c r="N46" s="494">
        <v>92.75944261032706923140711243</v>
      </c>
      <c r="O46" s="495">
        <v>94.34275063530114158418315924</v>
      </c>
      <c r="P46" s="93"/>
      <c r="Q46" s="479">
        <v>-0.4898344843520485017709550800</v>
      </c>
      <c r="R46" s="480">
        <v>-6.5974815928316770728324089600</v>
      </c>
      <c r="S46" s="481">
        <v>8.642390434362125843556817740</v>
      </c>
      <c r="T46" s="479">
        <v>-93.03379266591004816405905877</v>
      </c>
      <c r="U46" s="480">
        <v>14.852389946290526434712696630</v>
      </c>
      <c r="V46" s="481">
        <v>-4.7194865623210392061279502500</v>
      </c>
      <c r="W46" s="479">
        <v>44.606801955353525752223257650</v>
      </c>
      <c r="X46" s="480">
        <v>-4.6795883661903096091187758300</v>
      </c>
      <c r="Y46" s="481">
        <v>44.434518693755404140553831540</v>
      </c>
      <c r="Z46" s="479">
        <v>-11.210656608058667944198573560</v>
      </c>
      <c r="AA46" s="480">
        <v>-1.0426489316662324088992955200</v>
      </c>
      <c r="AB46" s="481">
        <v>6.645653459000951139771167600</v>
      </c>
    </row>
    <row r="47" ht="18" customHeight="1">
      <c r="A47" s="58"/>
      <c r="B47" s="1046" t="s">
        <v>51</v>
      </c>
      <c r="C47" s="1046"/>
      <c r="D47" s="276">
        <v>37.630331822898331513112156901</v>
      </c>
      <c r="E47" s="94">
        <v>62.930634339477646511046914878</v>
      </c>
      <c r="F47" s="277">
        <v>80.71757819957635087216616553</v>
      </c>
      <c r="G47" s="276">
        <v>0.3642468808802888823821621788</v>
      </c>
      <c r="H47" s="94">
        <v>26.046729518986166810442339419</v>
      </c>
      <c r="I47" s="277">
        <v>11.67690423345722075748296953</v>
      </c>
      <c r="J47" s="276">
        <v>0.9166655821415388110134118273</v>
      </c>
      <c r="K47" s="94">
        <v>5.1220989668105495669953362305</v>
      </c>
      <c r="L47" s="277">
        <v>0.1550844312951283986641909042</v>
      </c>
      <c r="M47" s="276">
        <v>38.911244285920159206507730872</v>
      </c>
      <c r="N47" s="94">
        <v>94.09946282527436288848459044</v>
      </c>
      <c r="O47" s="277">
        <v>92.54956686432870002831332587</v>
      </c>
      <c r="P47" s="5"/>
      <c r="Q47" s="271">
        <v>-0.244699187556278266991728200</v>
      </c>
      <c r="R47" s="92">
        <v>2.042975219686482254905256500</v>
      </c>
      <c r="S47" s="272">
        <v>15.576392463221246028305744660</v>
      </c>
      <c r="T47" s="271">
        <v>-91.84246292292055599485400581</v>
      </c>
      <c r="U47" s="92">
        <v>26.289784585013471791086579350</v>
      </c>
      <c r="V47" s="272">
        <v>-9.908546143614483949688037340</v>
      </c>
      <c r="W47" s="271">
        <v>-27.831127864999627554767991440</v>
      </c>
      <c r="X47" s="92">
        <v>-15.100288402163206888783364480</v>
      </c>
      <c r="Y47" s="272">
        <v>-29.277286597473145793087412190</v>
      </c>
      <c r="Z47" s="271">
        <v>-10.462339194755418994911667180</v>
      </c>
      <c r="AA47" s="92">
        <v>6.5336345534964024709645705800</v>
      </c>
      <c r="AB47" s="272">
        <v>11.479164032753054968869202030</v>
      </c>
    </row>
    <row r="48" ht="18" customHeight="1">
      <c r="A48" s="58"/>
      <c r="B48" s="1047" t="s">
        <v>76</v>
      </c>
      <c r="C48" s="1047"/>
      <c r="D48" s="443">
        <v>36.146462610751324405547924262</v>
      </c>
      <c r="E48" s="444">
        <v>61.346479128502964669890042629</v>
      </c>
      <c r="F48" s="445">
        <v>80.8882948673787629490807229</v>
      </c>
      <c r="G48" s="443">
        <v>0.3635748386646425929312725809</v>
      </c>
      <c r="H48" s="444">
        <v>26.654568542263933732544234249</v>
      </c>
      <c r="I48" s="445">
        <v>12.355998125116956208157957333</v>
      </c>
      <c r="J48" s="443">
        <v>1.1424717665986920665123167949</v>
      </c>
      <c r="K48" s="444">
        <v>5.4284050470338176575115746416</v>
      </c>
      <c r="L48" s="445">
        <v>0.2018657573192016490095624152</v>
      </c>
      <c r="M48" s="443">
        <v>37.652509216014659064991513602</v>
      </c>
      <c r="N48" s="444">
        <v>93.42945271780071605994585143</v>
      </c>
      <c r="O48" s="445">
        <v>93.44615874981492080624824256</v>
      </c>
      <c r="P48" s="93"/>
      <c r="Q48" s="273">
        <v>-0.3623857763919407625948350500</v>
      </c>
      <c r="R48" s="274">
        <v>-2.3567754863237097782209430300</v>
      </c>
      <c r="S48" s="275">
        <v>11.994864170096651711995019910</v>
      </c>
      <c r="T48" s="273">
        <v>-92.48395522092468877995070414</v>
      </c>
      <c r="U48" s="274">
        <v>20.169871962989908303914292740</v>
      </c>
      <c r="V48" s="275">
        <v>-7.2439393152960961106563870600</v>
      </c>
      <c r="W48" s="273">
        <v>3.0938018215130412724752328300</v>
      </c>
      <c r="X48" s="274">
        <v>-9.897233401804292667487557100</v>
      </c>
      <c r="Y48" s="275">
        <v>3.1407875062690750137946052400</v>
      </c>
      <c r="Z48" s="273">
        <v>-10.825558215103403052971228380</v>
      </c>
      <c r="AA48" s="274">
        <v>2.6329632699036788519580319800</v>
      </c>
      <c r="AB48" s="275">
        <v>8.985683115604273856958699160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29.682101977107180020811654527</v>
      </c>
      <c r="E50" s="483">
        <v>59.297590237679862251723108543</v>
      </c>
      <c r="F50" s="484">
        <v>83.58483507961114761192783477</v>
      </c>
      <c r="G50" s="482">
        <v>5.7970863683662851196670135276</v>
      </c>
      <c r="H50" s="483">
        <v>16.665260434935778721783827449</v>
      </c>
      <c r="I50" s="484">
        <v>10.598277387232968300502794821</v>
      </c>
      <c r="J50" s="482">
        <v>1.1675338189386056191467221644</v>
      </c>
      <c r="K50" s="483">
        <v>5.8315727813141398142314350668</v>
      </c>
      <c r="L50" s="484">
        <v>0.196303815797973181271367335</v>
      </c>
      <c r="M50" s="482">
        <v>36.646852237252861602497398543</v>
      </c>
      <c r="N50" s="483">
        <v>81.79442345392978078773837106</v>
      </c>
      <c r="O50" s="484">
        <v>94.37941628264208909370199693</v>
      </c>
      <c r="P50" s="93"/>
      <c r="Q50" s="468">
        <v>-10.163770930610954630562234500</v>
      </c>
      <c r="R50" s="469">
        <v>7.990029994128816639189437430</v>
      </c>
      <c r="S50" s="470">
        <v>15.038909141559132585817054980</v>
      </c>
      <c r="T50" s="468">
        <v>5.2853723069852865903214028300</v>
      </c>
      <c r="U50" s="469">
        <v>12.858136279254606205231667560</v>
      </c>
      <c r="V50" s="470">
        <v>9.787618764748036462854145580</v>
      </c>
      <c r="W50" s="468">
        <v>-5.3430821142778124331736722100</v>
      </c>
      <c r="X50" s="469">
        <v>-1.0082654088792296263319873600</v>
      </c>
      <c r="Y50" s="470">
        <v>-6.6085412326833098073812747800</v>
      </c>
      <c r="Z50" s="468">
        <v>-7.8756141005612533055346106500</v>
      </c>
      <c r="AA50" s="469">
        <v>8.239825421371578299062388420</v>
      </c>
      <c r="AB50" s="470">
        <v>14.369469493281564479372487520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153</v>
      </c>
      <c r="Y1" s="5"/>
      <c r="AB1" s="685"/>
      <c r="AD1" s="236"/>
    </row>
    <row r="2" ht="15" customHeight="1">
      <c r="A2" s="11"/>
      <c r="B2" s="11" t="s">
        <v>170</v>
      </c>
    </row>
    <row r="3" ht="17.1" customHeight="1">
      <c r="A3" s="11"/>
      <c r="B3" s="11" t="s">
        <v>171</v>
      </c>
      <c r="R3" s="1040" t="s">
        <v>260</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17.680314688118582046401303340</v>
      </c>
      <c r="E11" s="428">
        <v>24.653161448741559238796807880</v>
      </c>
      <c r="F11" s="429">
        <v>43.567051222381590700320892900</v>
      </c>
      <c r="G11" s="427">
        <v>1.744163961963930731472610400</v>
      </c>
      <c r="H11" s="428">
        <v>4.0239410681399631675874769800</v>
      </c>
      <c r="I11" s="429">
        <v>3.8796825763189714293605209500</v>
      </c>
      <c r="J11" s="427">
        <v>1.1382964804396179510663352100</v>
      </c>
      <c r="K11" s="428">
        <v>3.9809699201964395334561080500</v>
      </c>
      <c r="L11" s="429">
        <v>0.2041142431032974056756314600</v>
      </c>
      <c r="M11" s="427">
        <v>20.569329660238751147842056930</v>
      </c>
      <c r="N11" s="428">
        <v>32.658072437077961939840392880</v>
      </c>
      <c r="O11" s="429">
        <v>47.654903383833802050258550300</v>
      </c>
      <c r="P11" s="5"/>
      <c r="Q11" s="427">
        <v>-1.9563211099526484727156225500</v>
      </c>
      <c r="R11" s="428">
        <v>14.411437669568665466593044600</v>
      </c>
      <c r="S11" s="429">
        <v>8.126721402858871944430538620</v>
      </c>
      <c r="T11" s="427">
        <v>-35.204269759811013070767644560</v>
      </c>
      <c r="U11" s="428">
        <v>-49.847332290997320996040296480</v>
      </c>
      <c r="V11" s="429">
        <v>2.1435600927479061701575468400</v>
      </c>
      <c r="W11" s="427">
        <v>-2.4653744799147665118826151800</v>
      </c>
      <c r="X11" s="428">
        <v>-26.015084148387609153753535500</v>
      </c>
      <c r="Y11" s="429">
        <v>-53.494538759397200026238218110</v>
      </c>
      <c r="Z11" s="427">
        <v>-6.6854800779913464863332097900</v>
      </c>
      <c r="AA11" s="428">
        <v>-6.5331269609969123869752169100</v>
      </c>
      <c r="AB11" s="429">
        <v>7.0256409907800770046664474100</v>
      </c>
    </row>
    <row r="12" ht="18" customHeight="1">
      <c r="A12" s="58"/>
      <c r="B12" s="1043" t="s">
        <v>46</v>
      </c>
      <c r="C12" s="1043"/>
      <c r="D12" s="420">
        <v>22.767473174894119469381266400</v>
      </c>
      <c r="E12" s="91">
        <v>37.943523634131368937998772290</v>
      </c>
      <c r="F12" s="421">
        <v>61.925237442827791438939538800</v>
      </c>
      <c r="G12" s="420">
        <v>2.8370683083980211176799085900</v>
      </c>
      <c r="H12" s="91">
        <v>6.8569674647022713321055862600</v>
      </c>
      <c r="I12" s="421">
        <v>6.9852429862017334386771655500</v>
      </c>
      <c r="J12" s="420">
        <v>1.4717291849814734547964525800</v>
      </c>
      <c r="K12" s="91">
        <v>3.8367096378146101903007980400</v>
      </c>
      <c r="L12" s="421">
        <v>0.2555207932182019374754201200</v>
      </c>
      <c r="M12" s="420">
        <v>27.084072366087264987584249730</v>
      </c>
      <c r="N12" s="91">
        <v>48.621853898096992019643953350</v>
      </c>
      <c r="O12" s="421">
        <v>69.176570201699476851431854610</v>
      </c>
      <c r="P12" s="5"/>
      <c r="Q12" s="420">
        <v>-15.887107740495421658737286220</v>
      </c>
      <c r="R12" s="91">
        <v>9.934559863755227260846561290</v>
      </c>
      <c r="S12" s="421">
        <v>6.7717085184521538336452822400</v>
      </c>
      <c r="T12" s="420">
        <v>-30.604680269051209284795985270</v>
      </c>
      <c r="U12" s="91">
        <v>-30.589084799124632902652426280</v>
      </c>
      <c r="V12" s="421">
        <v>28.751843707779534246046630810</v>
      </c>
      <c r="W12" s="420">
        <v>12.204120863284864021842987510</v>
      </c>
      <c r="X12" s="91">
        <v>-27.512990967527581697540729480</v>
      </c>
      <c r="Y12" s="421">
        <v>-42.801282062168263161584796250</v>
      </c>
      <c r="Z12" s="420">
        <v>-18.065707627009462138850187340</v>
      </c>
      <c r="AA12" s="91">
        <v>-2.1549412249088102144693095600</v>
      </c>
      <c r="AB12" s="421">
        <v>8.298858442971102885090657700</v>
      </c>
    </row>
    <row r="13" ht="18" customHeight="1">
      <c r="A13" s="58"/>
      <c r="B13" s="1043" t="s">
        <v>47</v>
      </c>
      <c r="C13" s="1043"/>
      <c r="D13" s="420">
        <v>30.988107444255405451083343690</v>
      </c>
      <c r="E13" s="91">
        <v>47.127071823204419889502762470</v>
      </c>
      <c r="F13" s="421">
        <v>69.286957810753384536973980160</v>
      </c>
      <c r="G13" s="420">
        <v>4.888989667954886032021452800</v>
      </c>
      <c r="H13" s="91">
        <v>8.858195211786372007366482510</v>
      </c>
      <c r="I13" s="421">
        <v>8.652931950223489279123250740</v>
      </c>
      <c r="J13" s="420">
        <v>1.4152338512500985882167363400</v>
      </c>
      <c r="K13" s="91">
        <v>3.7998772252915899324739103800</v>
      </c>
      <c r="L13" s="421">
        <v>0.2373773049423532791931417700</v>
      </c>
      <c r="M13" s="420">
        <v>37.316176470588235294117647060</v>
      </c>
      <c r="N13" s="91">
        <v>59.769797421731123388581952120</v>
      </c>
      <c r="O13" s="421">
        <v>78.174423175783966857177416920</v>
      </c>
      <c r="P13" s="184"/>
      <c r="Q13" s="420">
        <v>-9.898843700200669134868713740</v>
      </c>
      <c r="R13" s="91">
        <v>10.657187169418903902744434870</v>
      </c>
      <c r="S13" s="421">
        <v>4.64140813499138058122760300</v>
      </c>
      <c r="T13" s="420">
        <v>-15.834061434628080045324011140</v>
      </c>
      <c r="U13" s="91">
        <v>-26.456996916669572604690305740</v>
      </c>
      <c r="V13" s="421">
        <v>20.911597255951430574441428750</v>
      </c>
      <c r="W13" s="420">
        <v>7.8969362814376289663604960400</v>
      </c>
      <c r="X13" s="91">
        <v>-26.382964586842497365709582040</v>
      </c>
      <c r="Y13" s="421">
        <v>-47.210031899757109373104005550</v>
      </c>
      <c r="Z13" s="420">
        <v>-11.709038354766148158459825930</v>
      </c>
      <c r="AA13" s="91">
        <v>-0.0367212224359488550562182400</v>
      </c>
      <c r="AB13" s="421">
        <v>5.8929032114291115873019162800</v>
      </c>
    </row>
    <row r="14" ht="18" customHeight="1">
      <c r="A14" s="58"/>
      <c r="B14" s="1043" t="s">
        <v>48</v>
      </c>
      <c r="C14" s="1043"/>
      <c r="D14" s="420">
        <v>34.076786229255195172022380650</v>
      </c>
      <c r="E14" s="91">
        <v>45.095942493910770510307134830</v>
      </c>
      <c r="F14" s="421">
        <v>67.417891771725572377385043560</v>
      </c>
      <c r="G14" s="420">
        <v>5.8083478292931194998202544900</v>
      </c>
      <c r="H14" s="91">
        <v>11.940830511495277134200677250</v>
      </c>
      <c r="I14" s="421">
        <v>8.474589740858220691961229310</v>
      </c>
      <c r="J14" s="420">
        <v>1.5122325709402204614916638900</v>
      </c>
      <c r="K14" s="91">
        <v>3.6535376938157191231509534900</v>
      </c>
      <c r="L14" s="421">
        <v>0.2603515660809049504951844700</v>
      </c>
      <c r="M14" s="420">
        <v>41.423169474046063939498109320</v>
      </c>
      <c r="N14" s="91">
        <v>60.669518208281352105982296680</v>
      </c>
      <c r="O14" s="421">
        <v>76.158436695530072548560730170</v>
      </c>
      <c r="P14" s="5"/>
      <c r="Q14" s="420">
        <v>1.7132432359912213909151577900</v>
      </c>
      <c r="R14" s="91">
        <v>9.517059548001275499363455110</v>
      </c>
      <c r="S14" s="421">
        <v>3.4836841686891705814317052600</v>
      </c>
      <c r="T14" s="420">
        <v>-26.143243572598813644868952130</v>
      </c>
      <c r="U14" s="91">
        <v>-17.685860563333075422371125570</v>
      </c>
      <c r="V14" s="421">
        <v>18.712049721427713734421923390</v>
      </c>
      <c r="W14" s="420">
        <v>12.843739342330372427458595670</v>
      </c>
      <c r="X14" s="91">
        <v>-27.542766123597166048339820210</v>
      </c>
      <c r="Y14" s="421">
        <v>-44.285696495998100427554584980</v>
      </c>
      <c r="Z14" s="420">
        <v>-3.8074928766471382620324398200</v>
      </c>
      <c r="AA14" s="91">
        <v>-0.092320364260580492020871200</v>
      </c>
      <c r="AB14" s="421">
        <v>4.6874676920795865513087741500</v>
      </c>
    </row>
    <row r="15" ht="18" customHeight="1">
      <c r="A15" s="58"/>
      <c r="B15" s="1043" t="s">
        <v>49</v>
      </c>
      <c r="C15" s="1043"/>
      <c r="D15" s="420">
        <v>28.749603308897600364494928310</v>
      </c>
      <c r="E15" s="91">
        <v>37.800748529673854927820352910</v>
      </c>
      <c r="F15" s="421">
        <v>59.712655535128902269471381840</v>
      </c>
      <c r="G15" s="420">
        <v>5.7052410630926499229003683200</v>
      </c>
      <c r="H15" s="91">
        <v>12.840848333630368918196399940</v>
      </c>
      <c r="I15" s="421">
        <v>7.8909926910476528534916865900</v>
      </c>
      <c r="J15" s="420">
        <v>1.1169899671717537499654335600</v>
      </c>
      <c r="K15" s="91">
        <v>3.8317590447335590803778292700</v>
      </c>
      <c r="L15" s="421">
        <v>0.1945323499368559461565142400</v>
      </c>
      <c r="M15" s="420">
        <v>35.613612925403918872464764520</v>
      </c>
      <c r="N15" s="91">
        <v>54.455533772945998930671894490</v>
      </c>
      <c r="O15" s="421">
        <v>67.806576175988766674467587180</v>
      </c>
      <c r="P15" s="184"/>
      <c r="Q15" s="420">
        <v>0.1383422700644027854734434500</v>
      </c>
      <c r="R15" s="91">
        <v>6.2447308288591658104958359400</v>
      </c>
      <c r="S15" s="421">
        <v>5.1568013296777421539192306800</v>
      </c>
      <c r="T15" s="420">
        <v>-27.120953193003323016779467730</v>
      </c>
      <c r="U15" s="91">
        <v>-9.615275846288290210913664520</v>
      </c>
      <c r="V15" s="421">
        <v>7.5625344615319521986383055400</v>
      </c>
      <c r="W15" s="420">
        <v>-20.631535056002450625939175940</v>
      </c>
      <c r="X15" s="91">
        <v>-25.363051215618822938148512330</v>
      </c>
      <c r="Y15" s="421">
        <v>-58.051281588745817180690986340</v>
      </c>
      <c r="Z15" s="420">
        <v>-7.8702085657272932911807583600</v>
      </c>
      <c r="AA15" s="91">
        <v>-0.8159779279525696264932738100</v>
      </c>
      <c r="AB15" s="421">
        <v>4.9796030011512392093767019700</v>
      </c>
    </row>
    <row r="16" ht="18" customHeight="1">
      <c r="A16" s="58"/>
      <c r="B16" s="1044" t="s">
        <v>75</v>
      </c>
      <c r="C16" s="1044"/>
      <c r="D16" s="430">
        <v>26.944236164465851635974238820</v>
      </c>
      <c r="E16" s="431">
        <v>38.562566637588446253755936820</v>
      </c>
      <c r="F16" s="432">
        <v>60.424313357130483069904613980</v>
      </c>
      <c r="G16" s="430">
        <v>4.2285657230041941360449754200</v>
      </c>
      <c r="H16" s="431">
        <v>8.950033924590481729184840560</v>
      </c>
      <c r="I16" s="432">
        <v>7.1900743806915521786849502600</v>
      </c>
      <c r="J16" s="430">
        <v>1.3314123812985497909461509500</v>
      </c>
      <c r="K16" s="431">
        <v>3.8195454104875448289231365700</v>
      </c>
      <c r="L16" s="432">
        <v>0.2303401702171913968771176700</v>
      </c>
      <c r="M16" s="430">
        <v>32.526012997620654142547675700</v>
      </c>
      <c r="N16" s="431">
        <v>51.318212658718619753804400500</v>
      </c>
      <c r="O16" s="432">
        <v>67.849917947187826346412054300</v>
      </c>
      <c r="P16" s="5"/>
      <c r="Q16" s="430">
        <v>-5.4756391360506703296415117900</v>
      </c>
      <c r="R16" s="431">
        <v>9.655973812822835286717081520</v>
      </c>
      <c r="S16" s="432">
        <v>5.264463943840649531324027800</v>
      </c>
      <c r="T16" s="430">
        <v>-25.616569471605909457089109730</v>
      </c>
      <c r="U16" s="431">
        <v>-23.762166131931166911873928270</v>
      </c>
      <c r="V16" s="432">
        <v>16.369366534669896829032322370</v>
      </c>
      <c r="W16" s="430">
        <v>1.6776024305038697234201720900</v>
      </c>
      <c r="X16" s="431">
        <v>-26.570067063751570573396020650</v>
      </c>
      <c r="Y16" s="432">
        <v>-49.184676857343395639426096180</v>
      </c>
      <c r="Z16" s="629">
        <v>-9.367935191813111565324034640</v>
      </c>
      <c r="AA16" s="214">
        <v>-1.5068374042098130369145382900</v>
      </c>
      <c r="AB16" s="630">
        <v>5.9564075456184728656522122400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44.770205159875614513816528730</v>
      </c>
      <c r="E18" s="480">
        <v>44.337016574585635359116022140</v>
      </c>
      <c r="F18" s="481">
        <v>59.813411176454596841679875560</v>
      </c>
      <c r="G18" s="479">
        <v>5.2012966343550971659588592100</v>
      </c>
      <c r="H18" s="480">
        <v>16.074278698588090853284223460</v>
      </c>
      <c r="I18" s="481">
        <v>9.650249661697096673003815680</v>
      </c>
      <c r="J18" s="479">
        <v>1.4379011173473135509988655100</v>
      </c>
      <c r="K18" s="480">
        <v>3.5635359116022099447513812200</v>
      </c>
      <c r="L18" s="481">
        <v>0.2463571957488843786530339800</v>
      </c>
      <c r="M18" s="479">
        <v>51.420454545454545454545454550</v>
      </c>
      <c r="N18" s="480">
        <v>63.971761817065684468999386130</v>
      </c>
      <c r="O18" s="481">
        <v>69.709656454513852153016036150</v>
      </c>
      <c r="P18" s="184"/>
      <c r="Q18" s="479">
        <v>11.872118307129686082392319450</v>
      </c>
      <c r="R18" s="480">
        <v>3.6219818887747810830293426600</v>
      </c>
      <c r="S18" s="481">
        <v>4.6656999175341622534532154800</v>
      </c>
      <c r="T18" s="479">
        <v>-18.589979701709113438995396620</v>
      </c>
      <c r="U18" s="480">
        <v>-6.2255470574232327253589322100</v>
      </c>
      <c r="V18" s="481">
        <v>1.0381631670277565585498084500</v>
      </c>
      <c r="W18" s="479">
        <v>24.123127443544829871603216840</v>
      </c>
      <c r="X18" s="480">
        <v>-30.129258224171170822293883170</v>
      </c>
      <c r="Y18" s="481">
        <v>-33.789379870636053759057493400</v>
      </c>
      <c r="Z18" s="479">
        <v>5.8768030862728464624046112800</v>
      </c>
      <c r="AA18" s="480">
        <v>-1.624837399199588602247998300</v>
      </c>
      <c r="AB18" s="481">
        <v>3.9307605321956265656456025100</v>
      </c>
    </row>
    <row r="19" ht="18" customHeight="1">
      <c r="A19" s="58"/>
      <c r="B19" s="1046" t="s">
        <v>51</v>
      </c>
      <c r="C19" s="1046"/>
      <c r="D19" s="271">
        <v>45.320512994909771551853131580</v>
      </c>
      <c r="E19" s="92">
        <v>45.190300798035604665438919620</v>
      </c>
      <c r="F19" s="272">
        <v>60.712647643058572777073935610</v>
      </c>
      <c r="G19" s="271">
        <v>4.1716884268718356109226345200</v>
      </c>
      <c r="H19" s="92">
        <v>14.112952731737262124002455510</v>
      </c>
      <c r="I19" s="272">
        <v>8.125258832867557467413655330</v>
      </c>
      <c r="J19" s="271">
        <v>1.1538712670071034668509414600</v>
      </c>
      <c r="K19" s="92">
        <v>3.3087783916513198281154082300</v>
      </c>
      <c r="L19" s="272">
        <v>0.1980664136780145195815386800</v>
      </c>
      <c r="M19" s="271">
        <v>50.674715909090909090909090910</v>
      </c>
      <c r="N19" s="92">
        <v>62.599754450583179864947820750</v>
      </c>
      <c r="O19" s="272">
        <v>69.040491094378420877559043210</v>
      </c>
      <c r="P19" s="5"/>
      <c r="Q19" s="271">
        <v>15.006830192833669713447347270</v>
      </c>
      <c r="R19" s="92">
        <v>3.9531000564754944672101913500</v>
      </c>
      <c r="S19" s="272">
        <v>5.2795908181255380487513411300</v>
      </c>
      <c r="T19" s="271">
        <v>-34.492144020067658705633691700</v>
      </c>
      <c r="U19" s="92">
        <v>-4.7083120942977973378320661400</v>
      </c>
      <c r="V19" s="272">
        <v>-4.7847174973196135249977557100</v>
      </c>
      <c r="W19" s="271">
        <v>-10.424828639134376716610642710</v>
      </c>
      <c r="X19" s="92">
        <v>-30.003673962051348048073401040</v>
      </c>
      <c r="Y19" s="272">
        <v>-51.154105781857201681532986170</v>
      </c>
      <c r="Z19" s="271">
        <v>4.3028088427210297860197133800</v>
      </c>
      <c r="AA19" s="92">
        <v>-0.6491198266660198988067299100</v>
      </c>
      <c r="AB19" s="272">
        <v>3.6536134023631741469790582700</v>
      </c>
    </row>
    <row r="20" ht="18" customHeight="1">
      <c r="A20" s="58"/>
      <c r="B20" s="1047" t="s">
        <v>76</v>
      </c>
      <c r="C20" s="1047"/>
      <c r="D20" s="273">
        <v>45.045359077392693032834830130</v>
      </c>
      <c r="E20" s="274">
        <v>44.763658686310620012277470880</v>
      </c>
      <c r="F20" s="275">
        <v>60.262945606166396452901938070</v>
      </c>
      <c r="G20" s="273">
        <v>4.6864925306134663884407468600</v>
      </c>
      <c r="H20" s="274">
        <v>15.093615715162676488643339480</v>
      </c>
      <c r="I20" s="275">
        <v>8.887896367526786101714209080</v>
      </c>
      <c r="J20" s="273">
        <v>1.2958861921772085089249034900</v>
      </c>
      <c r="K20" s="274">
        <v>3.4361571516267648864333947200</v>
      </c>
      <c r="L20" s="275">
        <v>0.2222163051324836392468728200</v>
      </c>
      <c r="M20" s="273">
        <v>51.047585227272727272727272730</v>
      </c>
      <c r="N20" s="274">
        <v>63.285758133824432166973603440</v>
      </c>
      <c r="O20" s="275">
        <v>69.375136998208630320254571020</v>
      </c>
      <c r="P20" s="184"/>
      <c r="Q20" s="273">
        <v>13.412919472515725244737893910</v>
      </c>
      <c r="R20" s="274">
        <v>3.7888548397868387030452152500</v>
      </c>
      <c r="S20" s="275">
        <v>4.9738919922153197328984398800</v>
      </c>
      <c r="T20" s="273">
        <v>-26.530087943150099185960522770</v>
      </c>
      <c r="U20" s="274">
        <v>-5.5222774639187957249640201600</v>
      </c>
      <c r="V20" s="275">
        <v>-1.7078941389437177458295875200</v>
      </c>
      <c r="W20" s="273">
        <v>6.0263785623673426416655974700</v>
      </c>
      <c r="X20" s="274">
        <v>-30.068850106329216759842632460</v>
      </c>
      <c r="Y20" s="275">
        <v>-42.843655554877713181319350430</v>
      </c>
      <c r="Z20" s="273">
        <v>5.0896607888607414500673338500</v>
      </c>
      <c r="AA20" s="274">
        <v>-1.1446739171643656318825503600</v>
      </c>
      <c r="AB20" s="275">
        <v>3.7927648632989083578112154100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32.187056198011767092716575370</v>
      </c>
      <c r="E22" s="469">
        <v>40.341578066984572767679911290</v>
      </c>
      <c r="F22" s="470">
        <v>60.307976431245151390748140550</v>
      </c>
      <c r="G22" s="468">
        <v>4.3036112801785351998376952700</v>
      </c>
      <c r="H22" s="469">
        <v>10.726722166198818821240314990</v>
      </c>
      <c r="I22" s="470">
        <v>7.7438850978928226723167608600</v>
      </c>
      <c r="J22" s="468">
        <v>1.3237979306147291539866098600</v>
      </c>
      <c r="K22" s="469">
        <v>3.6456404874809817388534976100</v>
      </c>
      <c r="L22" s="470">
        <v>0.2262799161193741592428896300</v>
      </c>
      <c r="M22" s="468">
        <v>37.814465408805031446540880500</v>
      </c>
      <c r="N22" s="469">
        <v>54.713940720664373327773723900</v>
      </c>
      <c r="O22" s="470">
        <v>68.278141445257348222307791040</v>
      </c>
      <c r="P22" s="184"/>
      <c r="Q22" s="468">
        <v>0.0931548237401488020395409100</v>
      </c>
      <c r="R22" s="469">
        <v>7.8224191847445693813788535300</v>
      </c>
      <c r="S22" s="470">
        <v>5.2238962014749979357845551700</v>
      </c>
      <c r="T22" s="468">
        <v>-28.631029008268502801792169370</v>
      </c>
      <c r="U22" s="469">
        <v>-17.345514282009879273604872250</v>
      </c>
      <c r="V22" s="470">
        <v>9.376288672331427505852132960</v>
      </c>
      <c r="W22" s="468">
        <v>3.8539136912999627635838894800</v>
      </c>
      <c r="X22" s="469">
        <v>-28.092558328794296564965573740</v>
      </c>
      <c r="Y22" s="470">
        <v>-47.396466786935426923621339200</v>
      </c>
      <c r="Z22" s="468">
        <v>-4.1746520043237939421725457700</v>
      </c>
      <c r="AA22" s="469">
        <v>-1.3497135628698196454570720100</v>
      </c>
      <c r="AB22" s="470">
        <v>5.3282380778362370224838829300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98.78223584810644545689821679</v>
      </c>
      <c r="E25" s="455">
        <v>122.94936493211448732224512476</v>
      </c>
      <c r="F25" s="456">
        <v>114.13247688108292909769877646</v>
      </c>
      <c r="G25" s="454">
        <v>127.5761150587346333645093418</v>
      </c>
      <c r="H25" s="455">
        <v>135.81056124470790413664817313</v>
      </c>
      <c r="I25" s="456">
        <v>118.8230709969681913740832362</v>
      </c>
      <c r="J25" s="454">
        <v>93.91379686445992139334324635</v>
      </c>
      <c r="K25" s="455">
        <v>128.63579979719814950221440692</v>
      </c>
      <c r="L25" s="456">
        <v>89.80982561198039351624720403</v>
      </c>
      <c r="M25" s="454">
        <v>100.95507094455608238482915314</v>
      </c>
      <c r="N25" s="455">
        <v>125.22721590822571657892769577</v>
      </c>
      <c r="O25" s="456">
        <v>114.40293317990489035283905071</v>
      </c>
      <c r="P25" s="5"/>
      <c r="Q25" s="427">
        <v>-7.0549127772581008022410156800</v>
      </c>
      <c r="R25" s="428">
        <v>-4.6758559458451932256551490200</v>
      </c>
      <c r="S25" s="429">
        <v>-1.0431425405338978403202518400</v>
      </c>
      <c r="T25" s="427">
        <v>24.900090059781071147387930650</v>
      </c>
      <c r="U25" s="428">
        <v>2.7561074641685376053741985400</v>
      </c>
      <c r="V25" s="429">
        <v>3.9073873766467649713413017300</v>
      </c>
      <c r="W25" s="427">
        <v>-0.7730989779050389717580576800</v>
      </c>
      <c r="X25" s="428">
        <v>4.8327915469188885219723623200</v>
      </c>
      <c r="Y25" s="429">
        <v>-0.3750730043102637836866408900</v>
      </c>
      <c r="Z25" s="427">
        <v>-3.6821804599725822575175342300</v>
      </c>
      <c r="AA25" s="428">
        <v>-2.7589073686216245706063711400</v>
      </c>
      <c r="AB25" s="429">
        <v>-0.529149994637630748281358300</v>
      </c>
    </row>
    <row r="26" ht="18" customHeight="1">
      <c r="A26" s="58"/>
      <c r="B26" s="1043" t="s">
        <v>46</v>
      </c>
      <c r="C26" s="1043"/>
      <c r="D26" s="439">
        <v>106.11645384891363115198370258</v>
      </c>
      <c r="E26" s="95">
        <v>140.04204773573905195938842979</v>
      </c>
      <c r="F26" s="440">
        <v>129.81927667297198104239327668</v>
      </c>
      <c r="G26" s="439">
        <v>125.33629762219814852531319015</v>
      </c>
      <c r="H26" s="95">
        <v>138.14071986637766851219936611</v>
      </c>
      <c r="I26" s="440">
        <v>130.64611413232877488018029061</v>
      </c>
      <c r="J26" s="439">
        <v>95.68981274767458789845345523</v>
      </c>
      <c r="K26" s="95">
        <v>131.39138774408045983398748606</v>
      </c>
      <c r="L26" s="440">
        <v>92.28335195517911533849972785</v>
      </c>
      <c r="M26" s="439">
        <v>107.56358141428539421006471599</v>
      </c>
      <c r="N26" s="95">
        <v>139.13549630520765397201549843</v>
      </c>
      <c r="O26" s="440">
        <v>129.74709408259087336055125087</v>
      </c>
      <c r="P26" s="5"/>
      <c r="Q26" s="420">
        <v>-5.1330646156477630670986291900</v>
      </c>
      <c r="R26" s="91">
        <v>-3.6843678606690764237571205900</v>
      </c>
      <c r="S26" s="421">
        <v>1.6276768704645704629762717100</v>
      </c>
      <c r="T26" s="420">
        <v>24.476045830368626562340214050</v>
      </c>
      <c r="U26" s="91">
        <v>1.9364612095556407229721349500</v>
      </c>
      <c r="V26" s="421">
        <v>7.6931980942127574382894873400</v>
      </c>
      <c r="W26" s="420">
        <v>3.9964131375191018086567305300</v>
      </c>
      <c r="X26" s="91">
        <v>8.836993509229613502506610140</v>
      </c>
      <c r="Y26" s="421">
        <v>2.8620658643283529344563489500</v>
      </c>
      <c r="Z26" s="420">
        <v>-1.9030927700158824478236025400</v>
      </c>
      <c r="AA26" s="91">
        <v>-1.1682562559155543344670814500</v>
      </c>
      <c r="AB26" s="421">
        <v>2.2302593428054583664911257200</v>
      </c>
    </row>
    <row r="27" ht="18" customHeight="1">
      <c r="A27" s="58"/>
      <c r="B27" s="1043" t="s">
        <v>47</v>
      </c>
      <c r="C27" s="1043"/>
      <c r="D27" s="439">
        <v>108.73088549012727686872815445</v>
      </c>
      <c r="E27" s="95">
        <v>144.31412281525723356335519363</v>
      </c>
      <c r="F27" s="440">
        <v>140.67520802865623468657739844</v>
      </c>
      <c r="G27" s="439">
        <v>117.58440680474885672817381996</v>
      </c>
      <c r="H27" s="95">
        <v>139.95891106455345937346563292</v>
      </c>
      <c r="I27" s="440">
        <v>131.53308279589123044234262094</v>
      </c>
      <c r="J27" s="439">
        <v>95.75707189187995092389057593</v>
      </c>
      <c r="K27" s="95">
        <v>130.53967989911210600072717665</v>
      </c>
      <c r="L27" s="440">
        <v>90.94230190813008646938273257</v>
      </c>
      <c r="M27" s="439">
        <v>109.34532989265642409433964478</v>
      </c>
      <c r="N27" s="95">
        <v>142.82999962783657552059147046</v>
      </c>
      <c r="O27" s="440">
        <v>139.52041191732902435340919811</v>
      </c>
      <c r="P27" s="93"/>
      <c r="Q27" s="420">
        <v>-7.3614572644558240528180620200</v>
      </c>
      <c r="R27" s="91">
        <v>-5.1330247429341347394185046100</v>
      </c>
      <c r="S27" s="421">
        <v>3.5102334735723403421187239200</v>
      </c>
      <c r="T27" s="420">
        <v>9.747232554766727385113706450</v>
      </c>
      <c r="U27" s="91">
        <v>1.8430305904269752728710130500</v>
      </c>
      <c r="V27" s="421">
        <v>2.782355789841264409351345500</v>
      </c>
      <c r="W27" s="420">
        <v>1.032226387631682225127247800</v>
      </c>
      <c r="X27" s="91">
        <v>8.911390093806921022833017680</v>
      </c>
      <c r="Y27" s="421">
        <v>-1.1431401904681351886301047500</v>
      </c>
      <c r="Z27" s="420">
        <v>-5.1034582455921128407134193700</v>
      </c>
      <c r="AA27" s="91">
        <v>-2.4232392629144456762635827200</v>
      </c>
      <c r="AB27" s="421">
        <v>3.4556445667214023432045431700</v>
      </c>
    </row>
    <row r="28" ht="18" customHeight="1">
      <c r="A28" s="58"/>
      <c r="B28" s="1043" t="s">
        <v>48</v>
      </c>
      <c r="C28" s="1043"/>
      <c r="D28" s="439">
        <v>110.61037433451619837710001818</v>
      </c>
      <c r="E28" s="95">
        <v>142.68762678781794722423936984</v>
      </c>
      <c r="F28" s="440">
        <v>138.67117406758377951445496813</v>
      </c>
      <c r="G28" s="439">
        <v>127.83592702750901134352457601</v>
      </c>
      <c r="H28" s="95">
        <v>142.68037145070508714831793508</v>
      </c>
      <c r="I28" s="440">
        <v>131.85432946938908170775546101</v>
      </c>
      <c r="J28" s="439">
        <v>96.48246681227450890969372012</v>
      </c>
      <c r="K28" s="95">
        <v>131.80931864813932790817315416</v>
      </c>
      <c r="L28" s="440">
        <v>92.62411138033722002918866001</v>
      </c>
      <c r="M28" s="439">
        <v>112.46447000835013443981480918</v>
      </c>
      <c r="N28" s="95">
        <v>142.0800051437795788700951379</v>
      </c>
      <c r="O28" s="440">
        <v>137.74720563625411987669400723</v>
      </c>
      <c r="P28" s="5"/>
      <c r="Q28" s="420">
        <v>-5.0595975807036311155998726900</v>
      </c>
      <c r="R28" s="91">
        <v>-6.4154673061521752130597582100</v>
      </c>
      <c r="S28" s="421">
        <v>3.1359434517956618265176693800</v>
      </c>
      <c r="T28" s="420">
        <v>9.207495605543673079128132700</v>
      </c>
      <c r="U28" s="91">
        <v>1.8586546511935201712772420100</v>
      </c>
      <c r="V28" s="421">
        <v>4.9844477129867000115793169400</v>
      </c>
      <c r="W28" s="420">
        <v>4.2172414511152900088014419100</v>
      </c>
      <c r="X28" s="91">
        <v>8.958111814298895809791351820</v>
      </c>
      <c r="Y28" s="421">
        <v>4.7851382655345753043633043100</v>
      </c>
      <c r="Z28" s="420">
        <v>-2.9276830349099582195820150300</v>
      </c>
      <c r="AA28" s="91">
        <v>-3.2721597489612162512450145500</v>
      </c>
      <c r="AB28" s="421">
        <v>3.3360371290183518471345871800</v>
      </c>
    </row>
    <row r="29" ht="18" customHeight="1">
      <c r="A29" s="58"/>
      <c r="B29" s="1043" t="s">
        <v>49</v>
      </c>
      <c r="C29" s="1043"/>
      <c r="D29" s="439">
        <v>107.93728348947482401009804601</v>
      </c>
      <c r="E29" s="95">
        <v>133.53166338389872930715870879</v>
      </c>
      <c r="F29" s="440">
        <v>125.8831007360028871906826442</v>
      </c>
      <c r="G29" s="439">
        <v>122.23383848539849233795773754</v>
      </c>
      <c r="H29" s="95">
        <v>142.40735779740744055601125085</v>
      </c>
      <c r="I29" s="440">
        <v>126.88253551579186444637922432</v>
      </c>
      <c r="J29" s="439">
        <v>98.06026805469533471546983099</v>
      </c>
      <c r="K29" s="95">
        <v>131.38411337385152284941690372</v>
      </c>
      <c r="L29" s="440">
        <v>95.80862210943373967994605959</v>
      </c>
      <c r="M29" s="439">
        <v>109.81400920781799072471116739</v>
      </c>
      <c r="N29" s="95">
        <v>135.51718007058070469439187101</v>
      </c>
      <c r="O29" s="440">
        <v>125.89955160696254509739996744</v>
      </c>
      <c r="P29" s="93"/>
      <c r="Q29" s="420">
        <v>-5.3701718188676113940347353400</v>
      </c>
      <c r="R29" s="91">
        <v>-4.2568846678802232647794225100</v>
      </c>
      <c r="S29" s="421">
        <v>1.1734118152570228020528107300</v>
      </c>
      <c r="T29" s="420">
        <v>8.097516077636285607239832590</v>
      </c>
      <c r="U29" s="91">
        <v>3.6292980593631442909642170300</v>
      </c>
      <c r="V29" s="421">
        <v>6.4216513053301453699890396900</v>
      </c>
      <c r="W29" s="420">
        <v>5.9102159124677922957538748900</v>
      </c>
      <c r="X29" s="91">
        <v>8.113634896097133705236751050</v>
      </c>
      <c r="Y29" s="421">
        <v>5.4997560148756153573981300600</v>
      </c>
      <c r="Z29" s="420">
        <v>-2.8735416144749015681646885500</v>
      </c>
      <c r="AA29" s="91">
        <v>-1.2928297528691778164378626600</v>
      </c>
      <c r="AB29" s="421">
        <v>1.8771063574306599931443402200</v>
      </c>
    </row>
    <row r="30" ht="18" customHeight="1">
      <c r="A30" s="58"/>
      <c r="B30" s="1044" t="s">
        <v>75</v>
      </c>
      <c r="C30" s="1044"/>
      <c r="D30" s="457">
        <v>107.34227703034961129602043646</v>
      </c>
      <c r="E30" s="458">
        <v>138.24518714756749702380438757</v>
      </c>
      <c r="F30" s="459">
        <v>131.26501379144845670944507758</v>
      </c>
      <c r="G30" s="457">
        <v>123.62818511557097826505962181</v>
      </c>
      <c r="H30" s="458">
        <v>140.77281252847081855902908432</v>
      </c>
      <c r="I30" s="459">
        <v>129.0457359267906995990044154</v>
      </c>
      <c r="J30" s="457">
        <v>96.00687707296964182308554343</v>
      </c>
      <c r="K30" s="458">
        <v>130.73734479328266450889095534</v>
      </c>
      <c r="L30" s="459">
        <v>92.26398044543233126324005566</v>
      </c>
      <c r="M30" s="457">
        <v>108.94904331895751183784716461</v>
      </c>
      <c r="N30" s="458">
        <v>138.16474790210161091305771626</v>
      </c>
      <c r="O30" s="459">
        <v>130.88992242822814391286685104</v>
      </c>
      <c r="P30" s="5"/>
      <c r="Q30" s="430">
        <v>-5.9286852347407990246678630700</v>
      </c>
      <c r="R30" s="431">
        <v>-5.0377015753238737803148531300</v>
      </c>
      <c r="S30" s="432">
        <v>1.8797491542648784651152116500</v>
      </c>
      <c r="T30" s="430">
        <v>12.272599060291548221962870980</v>
      </c>
      <c r="U30" s="431">
        <v>2.7103417680034831126800135700</v>
      </c>
      <c r="V30" s="432">
        <v>5.2964897639131186893429131700</v>
      </c>
      <c r="W30" s="430">
        <v>2.941751585328194837038083300</v>
      </c>
      <c r="X30" s="431">
        <v>7.908920730632943473200928800</v>
      </c>
      <c r="Y30" s="432">
        <v>2.2884250525447293674094991900</v>
      </c>
      <c r="Z30" s="430">
        <v>-3.2663907785151105822494922500</v>
      </c>
      <c r="AA30" s="431">
        <v>-2.1677352556828331041896270700</v>
      </c>
      <c r="AB30" s="432">
        <v>2.289884923285599491617729500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111.32136990822486911863677762</v>
      </c>
      <c r="E32" s="494">
        <v>131.66886492432408876746808298</v>
      </c>
      <c r="F32" s="495">
        <v>124.30090538647736548803236361</v>
      </c>
      <c r="G32" s="493">
        <v>119.65751312136399906051989691</v>
      </c>
      <c r="H32" s="494">
        <v>140.42208967037362265214585172</v>
      </c>
      <c r="I32" s="495">
        <v>129.291820569152313361056072</v>
      </c>
      <c r="J32" s="493">
        <v>95.539529796594324960917509</v>
      </c>
      <c r="K32" s="494">
        <v>132.91537261840294789143225064</v>
      </c>
      <c r="L32" s="495">
        <v>92.75278475061726668166867467</v>
      </c>
      <c r="M32" s="493">
        <v>111.72335917355901656207479323</v>
      </c>
      <c r="N32" s="494">
        <v>133.94405455549246457044991495</v>
      </c>
      <c r="O32" s="495">
        <v>124.88303432024261468427942855</v>
      </c>
      <c r="P32" s="93"/>
      <c r="Q32" s="479">
        <v>-5.4949824830573442460290372700</v>
      </c>
      <c r="R32" s="480">
        <v>-4.1383994888402166260733038800</v>
      </c>
      <c r="S32" s="481">
        <v>-2.2731109756071081346725136700</v>
      </c>
      <c r="T32" s="479">
        <v>5.9733056883948517380223077300</v>
      </c>
      <c r="U32" s="480">
        <v>0.3459093939251554925815482500</v>
      </c>
      <c r="V32" s="481">
        <v>3.3901883253554106489303009600</v>
      </c>
      <c r="W32" s="479">
        <v>3.0000322505041294396449683400</v>
      </c>
      <c r="X32" s="480">
        <v>8.074908865827678174404757630</v>
      </c>
      <c r="Y32" s="481">
        <v>-1.4492891477755338443652125900</v>
      </c>
      <c r="Z32" s="479">
        <v>-4.1237684258755511942349819600</v>
      </c>
      <c r="AA32" s="480">
        <v>-2.1599545615381265008545061500</v>
      </c>
      <c r="AB32" s="481">
        <v>-1.4326515969316759295492403400</v>
      </c>
    </row>
    <row r="33" ht="18" customHeight="1">
      <c r="A33" s="58"/>
      <c r="B33" s="1046" t="s">
        <v>51</v>
      </c>
      <c r="C33" s="1046"/>
      <c r="D33" s="276">
        <v>109.13610703374121977590956337</v>
      </c>
      <c r="E33" s="94">
        <v>130.64177012766076466033002345</v>
      </c>
      <c r="F33" s="277">
        <v>123.73178676988259001252468303</v>
      </c>
      <c r="G33" s="276">
        <v>118.56375950432627706825069344</v>
      </c>
      <c r="H33" s="94">
        <v>142.69125607619466206592504378</v>
      </c>
      <c r="I33" s="277">
        <v>130.70609267556487060897855805</v>
      </c>
      <c r="J33" s="276">
        <v>95.94875899051119868389522618</v>
      </c>
      <c r="K33" s="94">
        <v>136.17946534666214291920061383</v>
      </c>
      <c r="L33" s="277">
        <v>93.0746644427283304127917786</v>
      </c>
      <c r="M33" s="276">
        <v>109.5738031096850865849296489</v>
      </c>
      <c r="N33" s="94">
        <v>133.67661881204188694974555276</v>
      </c>
      <c r="O33" s="277">
        <v>124.45922694636937558340973109</v>
      </c>
      <c r="P33" s="5"/>
      <c r="Q33" s="271">
        <v>-7.3208106561792477886335023600</v>
      </c>
      <c r="R33" s="92">
        <v>-4.3750918983675644928650952200</v>
      </c>
      <c r="S33" s="272">
        <v>-2.7398162481077994024085712700</v>
      </c>
      <c r="T33" s="271">
        <v>5.1386406400206863657313536800</v>
      </c>
      <c r="U33" s="92">
        <v>1.1675705307693482279814160900</v>
      </c>
      <c r="V33" s="272">
        <v>5.4278433801111958466296300600</v>
      </c>
      <c r="W33" s="271">
        <v>-0.7238212009638152235863437600</v>
      </c>
      <c r="X33" s="92">
        <v>10.802590744963579346876691250</v>
      </c>
      <c r="Y33" s="272">
        <v>-2.6413327647111007354977227300</v>
      </c>
      <c r="Z33" s="271">
        <v>-5.5385917798369363635548057800</v>
      </c>
      <c r="AA33" s="92">
        <v>-2.1569223415580275272365441100</v>
      </c>
      <c r="AB33" s="272">
        <v>-1.6984754064287266770975017300</v>
      </c>
    </row>
    <row r="34" ht="18" customHeight="1">
      <c r="A34" s="58"/>
      <c r="B34" s="1047" t="s">
        <v>76</v>
      </c>
      <c r="C34" s="1047"/>
      <c r="D34" s="443">
        <v>110.22206426910038502563528443</v>
      </c>
      <c r="E34" s="444">
        <v>131.15042290940108681912079655</v>
      </c>
      <c r="F34" s="445">
        <v>124.01427603680518175268793977</v>
      </c>
      <c r="G34" s="443">
        <v>119.17070990165970991623341431</v>
      </c>
      <c r="H34" s="444">
        <v>141.48295668958715993984861991</v>
      </c>
      <c r="I34" s="445">
        <v>129.93815939897296840403042697</v>
      </c>
      <c r="J34" s="443">
        <v>95.72172087607786463210621871</v>
      </c>
      <c r="K34" s="444">
        <v>134.48691882700652638180040406</v>
      </c>
      <c r="L34" s="445">
        <v>92.89620733451709439859767677</v>
      </c>
      <c r="M34" s="633">
        <v>110.65643169420315636124483812</v>
      </c>
      <c r="N34" s="634">
        <v>133.81178615605325874620796071</v>
      </c>
      <c r="O34" s="635">
        <v>124.6721926451598132829032396</v>
      </c>
      <c r="P34" s="93"/>
      <c r="Q34" s="273">
        <v>-6.4137782415055277237858309700</v>
      </c>
      <c r="R34" s="274">
        <v>-4.2579657689147761164474209500</v>
      </c>
      <c r="S34" s="275">
        <v>-2.5081578264312623886633103800</v>
      </c>
      <c r="T34" s="273">
        <v>5.6082522521421076297920881500</v>
      </c>
      <c r="U34" s="274">
        <v>0.7348277058337770776281626300</v>
      </c>
      <c r="V34" s="275">
        <v>4.3304370241643442444770085700</v>
      </c>
      <c r="W34" s="273">
        <v>1.0004367675888123069432873800</v>
      </c>
      <c r="X34" s="274">
        <v>9.387706901324778874551413620</v>
      </c>
      <c r="Y34" s="275">
        <v>-2.1013183937066879351431612800</v>
      </c>
      <c r="Z34" s="273">
        <v>-4.8227745311136468816391081500</v>
      </c>
      <c r="AA34" s="274">
        <v>-2.1589462985863819132327027200</v>
      </c>
      <c r="AB34" s="275">
        <v>-1.5647985109141979253254934900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108.25496375669713205168610148</v>
      </c>
      <c r="E36" s="483">
        <v>135.98909747025916588269833</v>
      </c>
      <c r="F36" s="484">
        <v>129.21566101077302136752251661</v>
      </c>
      <c r="G36" s="482">
        <v>123.54095462581025338833235121</v>
      </c>
      <c r="H36" s="483">
        <v>140.71180076061799644556042398</v>
      </c>
      <c r="I36" s="484">
        <v>129.32228790758629704046993983</v>
      </c>
      <c r="J36" s="482">
        <v>96.77394636015325670498084291</v>
      </c>
      <c r="K36" s="483">
        <v>133.03018968376461622479897311</v>
      </c>
      <c r="L36" s="484">
        <v>92.47791173090940159160814551</v>
      </c>
      <c r="M36" s="482">
        <v>109.59283549057742606129702904</v>
      </c>
      <c r="N36" s="483">
        <v>136.71783335582563964149909898</v>
      </c>
      <c r="O36" s="484">
        <v>129.10600207411027875164879235</v>
      </c>
      <c r="P36" s="93"/>
      <c r="Q36" s="468">
        <v>-6.0258599553622859552125059100</v>
      </c>
      <c r="R36" s="469">
        <v>-4.7999916642529733988040771500</v>
      </c>
      <c r="S36" s="470">
        <v>0.6162362967247032952421156300</v>
      </c>
      <c r="T36" s="468">
        <v>11.556457052543200520718950780</v>
      </c>
      <c r="U36" s="469">
        <v>2.2221767879259149160310821900</v>
      </c>
      <c r="V36" s="470">
        <v>5.1624021084673414243624877500</v>
      </c>
      <c r="W36" s="468">
        <v>1.0479755848956049037488609400</v>
      </c>
      <c r="X36" s="469">
        <v>8.536695446477425955885181380</v>
      </c>
      <c r="Y36" s="470">
        <v>1.0804174295870642867505103100</v>
      </c>
      <c r="Z36" s="468">
        <v>-3.7718596933880986498788632900</v>
      </c>
      <c r="AA36" s="469">
        <v>-2.1885430217990257651997829600</v>
      </c>
      <c r="AB36" s="470">
        <v>1.1930321816560882242547725900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17.465010153904703242740330617</v>
      </c>
      <c r="E39" s="455">
        <v>30.310905436916622534446680262</v>
      </c>
      <c r="F39" s="456">
        <v>49.724154664154226666116473898</v>
      </c>
      <c r="G39" s="454">
        <v>2.225136622928088836839253525</v>
      </c>
      <c r="H39" s="455">
        <v>5.4649369487971780946330802677</v>
      </c>
      <c r="I39" s="456">
        <v>4.6099579821164960569717383465</v>
      </c>
      <c r="J39" s="454">
        <v>1.0690174443553595657753319952</v>
      </c>
      <c r="K39" s="455">
        <v>5.120952496530570899458934497</v>
      </c>
      <c r="L39" s="456">
        <v>0.1833146457802851174330936148</v>
      </c>
      <c r="M39" s="454">
        <v>20.765781351313647800001588893</v>
      </c>
      <c r="N39" s="455">
        <v>40.896794882244371528538694997</v>
      </c>
      <c r="O39" s="456">
        <v>54.518607275155619071347503709</v>
      </c>
      <c r="P39" s="5"/>
      <c r="Q39" s="427">
        <v>-8.873217139158702178016134240</v>
      </c>
      <c r="R39" s="428">
        <v>9.061723658713047718058548920</v>
      </c>
      <c r="S39" s="429">
        <v>6.9988055742242951791993575200</v>
      </c>
      <c r="T39" s="427">
        <v>-19.070074572494253812116269200</v>
      </c>
      <c r="U39" s="428">
        <v>-48.465070872670718034851485820</v>
      </c>
      <c r="V39" s="429">
        <v>6.1347046645829324218251942400</v>
      </c>
      <c r="W39" s="427">
        <v>-3.2194136694121588932237455800</v>
      </c>
      <c r="X39" s="428">
        <v>-22.439547389040882150544478310</v>
      </c>
      <c r="Y39" s="429">
        <v>-53.668968188646664593625139980</v>
      </c>
      <c r="Z39" s="427">
        <v>-10.121489097041873525156906100</v>
      </c>
      <c r="AA39" s="428">
        <v>-9.111791408491472059395182850</v>
      </c>
      <c r="AB39" s="429">
        <v>6.4593148174078114792063488500</v>
      </c>
    </row>
    <row r="40" ht="18" customHeight="1">
      <c r="A40" s="58"/>
      <c r="B40" s="1043" t="s">
        <v>46</v>
      </c>
      <c r="C40" s="1043"/>
      <c r="D40" s="439">
        <v>24.160035164200309337037319659</v>
      </c>
      <c r="E40" s="95">
        <v>53.136887480331680795640263063</v>
      </c>
      <c r="F40" s="440">
        <v>80.39089532629944995702535906</v>
      </c>
      <c r="G40" s="439">
        <v>3.5558763787588061774289196349</v>
      </c>
      <c r="H40" s="95">
        <v>9.47226421674302367882914009</v>
      </c>
      <c r="I40" s="440">
        <v>9.125948524173607404314764833</v>
      </c>
      <c r="J40" s="439">
        <v>1.4082949012616493025161298492</v>
      </c>
      <c r="K40" s="95">
        <v>5.0411060368354995332254253441</v>
      </c>
      <c r="L40" s="440">
        <v>0.2358031529242187420167809676</v>
      </c>
      <c r="M40" s="439">
        <v>29.132598229800247775588652238</v>
      </c>
      <c r="N40" s="95">
        <v>67.650257733910204007694828441</v>
      </c>
      <c r="O40" s="440">
        <v>89.75458962270854331839397668</v>
      </c>
      <c r="P40" s="5"/>
      <c r="Q40" s="420">
        <v>-20.204676850277760897001228610</v>
      </c>
      <c r="R40" s="91">
        <v>5.8841662725400515377946064600</v>
      </c>
      <c r="S40" s="421">
        <v>8.509606922332311331072926900</v>
      </c>
      <c r="T40" s="420">
        <v>-13.619450007765495718536041120</v>
      </c>
      <c r="U40" s="91">
        <v>-29.244969351123427322808469280</v>
      </c>
      <c r="V40" s="421">
        <v>38.656978095853677646652552700</v>
      </c>
      <c r="W40" s="420">
        <v>16.688261093530489539573077640</v>
      </c>
      <c r="X40" s="91">
        <v>-21.107318685241768087182093590</v>
      </c>
      <c r="Y40" s="421">
        <v>-41.164217073623193491082029410</v>
      </c>
      <c r="Z40" s="420">
        <v>-19.624993221340118407975228990</v>
      </c>
      <c r="AA40" s="91">
        <v>-3.2980222452197412585359485900</v>
      </c>
      <c r="AB40" s="421">
        <v>10.714203851483498574649593080</v>
      </c>
    </row>
    <row r="41" ht="18" customHeight="1">
      <c r="A41" s="58"/>
      <c r="B41" s="1043" t="s">
        <v>47</v>
      </c>
      <c r="C41" s="1043"/>
      <c r="D41" s="439">
        <v>33.693643620770951176985812803</v>
      </c>
      <c r="E41" s="95">
        <v>68.011020310173712834001094073</v>
      </c>
      <c r="F41" s="440">
        <v>97.46957203700460330186734292</v>
      </c>
      <c r="G41" s="439">
        <v>5.7486894998102135471548818296</v>
      </c>
      <c r="H41" s="95">
        <v>12.397833558388621355181762337</v>
      </c>
      <c r="I41" s="440">
        <v>11.381468146359587904742716827</v>
      </c>
      <c r="J41" s="439">
        <v>1.3551864963797782706763636907</v>
      </c>
      <c r="K41" s="95">
        <v>4.9603475664549044576089700684</v>
      </c>
      <c r="L41" s="440">
        <v>0.2158763853220575202788805277</v>
      </c>
      <c r="M41" s="439">
        <v>40.803496265090540608733360092</v>
      </c>
      <c r="N41" s="95">
        <v>85.36920143501723864679182641</v>
      </c>
      <c r="O41" s="440">
        <v>109.06927722884971644356218467</v>
      </c>
      <c r="P41" s="93"/>
      <c r="Q41" s="420">
        <v>-16.531601816102351031651376270</v>
      </c>
      <c r="R41" s="91">
        <v>4.9771263720324241966799008400</v>
      </c>
      <c r="S41" s="421">
        <v>8.314565870571653707926294670</v>
      </c>
      <c r="T41" s="420">
        <v>-7.6302116714555010405181885600</v>
      </c>
      <c r="U41" s="91">
        <v>-25.101576872714407138872522850</v>
      </c>
      <c r="V41" s="421">
        <v>24.275788083209050928862932870</v>
      </c>
      <c r="W41" s="420">
        <v>9.010676925940632188668583460</v>
      </c>
      <c r="X41" s="91">
        <v>-19.822663386265425020888566840</v>
      </c>
      <c r="Y41" s="421">
        <v>-47.813495243625196146809803880</v>
      </c>
      <c r="Z41" s="420">
        <v>-16.214930717079245041106580560</v>
      </c>
      <c r="AA41" s="91">
        <v>-2.4590706422968126313032083700</v>
      </c>
      <c r="AB41" s="421">
        <v>9.552185567810609958996675550</v>
      </c>
    </row>
    <row r="42" ht="18" customHeight="1">
      <c r="A42" s="58"/>
      <c r="B42" s="1043" t="s">
        <v>48</v>
      </c>
      <c r="C42" s="1043"/>
      <c r="D42" s="439">
        <v>37.692460809352038617399508275</v>
      </c>
      <c r="E42" s="95">
        <v>64.346330122160401436416625518</v>
      </c>
      <c r="F42" s="440">
        <v>93.48918205146481060223643935</v>
      </c>
      <c r="G42" s="439">
        <v>7.4251552925590559230445933844</v>
      </c>
      <c r="H42" s="95">
        <v>17.037221328100589625623421241</v>
      </c>
      <c r="I42" s="440">
        <v>11.174113478090244697838691148</v>
      </c>
      <c r="J42" s="439">
        <v>1.4590392883818037762608491664</v>
      </c>
      <c r="K42" s="95">
        <v>4.8157031407714422065898229595</v>
      </c>
      <c r="L42" s="440">
        <v>0.2411483245472296598857246857</v>
      </c>
      <c r="M42" s="439">
        <v>46.586348009646583705732844642</v>
      </c>
      <c r="N42" s="95">
        <v>86.19925459103243326862986965</v>
      </c>
      <c r="O42" s="440">
        <v>104.90611840434822597910869951</v>
      </c>
      <c r="P42" s="5"/>
      <c r="Q42" s="420">
        <v>-3.4330375582512093217798278600</v>
      </c>
      <c r="R42" s="91">
        <v>2.4910283979468079670269115500</v>
      </c>
      <c r="S42" s="421">
        <v>6.7288739861424568788781669300</v>
      </c>
      <c r="T42" s="420">
        <v>-19.342885969820648097154123420</v>
      </c>
      <c r="U42" s="91">
        <v>-16.155924982350410370491974140</v>
      </c>
      <c r="V42" s="421">
        <v>24.629189768397258109263358790</v>
      </c>
      <c r="W42" s="420">
        <v>17.602632295770100979148324910</v>
      </c>
      <c r="X42" s="91">
        <v>-21.051966096215828865137145480</v>
      </c>
      <c r="Y42" s="421">
        <v>-41.619690046961839821426804070</v>
      </c>
      <c r="Z42" s="420">
        <v>-6.6237045886282999369457763300</v>
      </c>
      <c r="AA42" s="91">
        <v>-3.3614592434842559699913176600</v>
      </c>
      <c r="AB42" s="421">
        <v>8.179880483797982676632293130</v>
      </c>
    </row>
    <row r="43" ht="18" customHeight="1">
      <c r="A43" s="58"/>
      <c r="B43" s="1043" t="s">
        <v>49</v>
      </c>
      <c r="C43" s="1043"/>
      <c r="D43" s="439">
        <v>31.031540825624237285461776179</v>
      </c>
      <c r="E43" s="95">
        <v>50.475968283238140235338374904</v>
      </c>
      <c r="F43" s="440">
        <v>75.168142319428719929556619441</v>
      </c>
      <c r="G43" s="439">
        <v>6.973735146263301601162956019</v>
      </c>
      <c r="H43" s="95">
        <v>18.286312830695430568634130516</v>
      </c>
      <c r="I43" s="440">
        <v>10.012291603767078322992289706</v>
      </c>
      <c r="J43" s="439">
        <v>1.0953233559526751487989613503</v>
      </c>
      <c r="K43" s="95">
        <v>5.0343226475455493517420485339</v>
      </c>
      <c r="L43" s="440">
        <v>0.186378764031603577560798904</v>
      </c>
      <c r="M43" s="439">
        <v>39.108736177139717563011608601</v>
      </c>
      <c r="N43" s="95">
        <v>73.796603761479120155714553888</v>
      </c>
      <c r="O43" s="440">
        <v>85.36817536560334755478100413</v>
      </c>
      <c r="P43" s="93"/>
      <c r="Q43" s="420">
        <v>-5.2392587663437652467746918300</v>
      </c>
      <c r="R43" s="91">
        <v>1.7220151718203143083697001200</v>
      </c>
      <c r="S43" s="421">
        <v>6.3907236609933634688830075100</v>
      </c>
      <c r="T43" s="420">
        <v>-21.219560660833985872282798670</v>
      </c>
      <c r="U43" s="91">
        <v>-6.3349448062775693372451420100</v>
      </c>
      <c r="V43" s="421">
        <v>14.469825359105723008289574910</v>
      </c>
      <c r="W43" s="420">
        <v>-15.940687412845648512705147910</v>
      </c>
      <c r="X43" s="91">
        <v>-19.307281693863815900491297160</v>
      </c>
      <c r="Y43" s="421">
        <v>-55.744204421369653885147480990</v>
      </c>
      <c r="Z43" s="420">
        <v>-10.517596461965726985603416690</v>
      </c>
      <c r="AA43" s="91">
        <v>-2.0982584753844207963952705500</v>
      </c>
      <c r="AB43" s="421">
        <v>6.950181803068195587864419300</v>
      </c>
    </row>
    <row r="44" ht="18" customHeight="1">
      <c r="A44" s="58"/>
      <c r="B44" s="1044" t="s">
        <v>75</v>
      </c>
      <c r="C44" s="1044"/>
      <c r="D44" s="457">
        <v>28.922556627372580976093650776</v>
      </c>
      <c r="E44" s="458">
        <v>53.31089241703957418912530349</v>
      </c>
      <c r="F44" s="459">
        <v>79.31598326162536057096138156</v>
      </c>
      <c r="G44" s="457">
        <v>5.2276990597692074569257723479</v>
      </c>
      <c r="H44" s="458">
        <v>12.599214477898298157113839369</v>
      </c>
      <c r="I44" s="459">
        <v>9.278484398247052246392527883</v>
      </c>
      <c r="J44" s="457">
        <v>1.2782474482475965463991940331</v>
      </c>
      <c r="K44" s="458">
        <v>4.9935722528451051645861046916</v>
      </c>
      <c r="L44" s="459">
        <v>0.2125210096071650170105754654</v>
      </c>
      <c r="M44" s="457">
        <v>35.43677999070747721591115383</v>
      </c>
      <c r="N44" s="458">
        <v>70.903679147782977510825247528</v>
      </c>
      <c r="O44" s="459">
        <v>88.80870496869059136995974656</v>
      </c>
      <c r="P44" s="5"/>
      <c r="Q44" s="430">
        <v>-11.079690961854552662371315510</v>
      </c>
      <c r="R44" s="431">
        <v>4.1318330928059748633825317500</v>
      </c>
      <c r="S44" s="432">
        <v>7.2431718146491590806645729700</v>
      </c>
      <c r="T44" s="430">
        <v>-16.487789276124095446542842510</v>
      </c>
      <c r="U44" s="431">
        <v>-21.695860277441325507643809120</v>
      </c>
      <c r="V44" s="432">
        <v>22.532858121964545955737131610</v>
      </c>
      <c r="W44" s="430">
        <v>4.6687049141787907534893425500</v>
      </c>
      <c r="X44" s="431">
        <v>-20.762551874890881029397860020</v>
      </c>
      <c r="Y44" s="432">
        <v>-48.021806278970307244826571840</v>
      </c>
      <c r="Z44" s="430">
        <v>-12.328332599082537963832597310</v>
      </c>
      <c r="AA44" s="431">
        <v>-3.6419084142552987807161942600</v>
      </c>
      <c r="AB44" s="432">
        <v>8.382687347283632333580368340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49.838805694696309991368723144</v>
      </c>
      <c r="E46" s="494">
        <v>58.378046465066343224250351758</v>
      </c>
      <c r="F46" s="495">
        <v>74.34861163486950651159553314</v>
      </c>
      <c r="G46" s="493">
        <v>6.223742202734514455973426671</v>
      </c>
      <c r="H46" s="494">
        <v>22.571838047997135108326820936</v>
      </c>
      <c r="I46" s="495">
        <v>12.476983477076638370352595094</v>
      </c>
      <c r="J46" s="493">
        <v>1.3737639664535993601158136201</v>
      </c>
      <c r="K46" s="494">
        <v>4.7364870352966796348051824161</v>
      </c>
      <c r="L46" s="495">
        <v>0.2285031594906195591456746957</v>
      </c>
      <c r="M46" s="493">
        <v>57.448659120494835220839595382</v>
      </c>
      <c r="N46" s="494">
        <v>85.68637154836015796738235505</v>
      </c>
      <c r="O46" s="495">
        <v>87.05553419461375503632446841</v>
      </c>
      <c r="P46" s="93"/>
      <c r="Q46" s="479">
        <v>5.7247650027510961494686345300</v>
      </c>
      <c r="R46" s="480">
        <v>-0.6663096799657905332322391400</v>
      </c>
      <c r="S46" s="481">
        <v>2.2865324051688519229546603200</v>
      </c>
      <c r="T46" s="479">
        <v>-13.727110328737601311029285720</v>
      </c>
      <c r="U46" s="480">
        <v>-5.9011724156298119029171352100</v>
      </c>
      <c r="V46" s="481">
        <v>4.4635471788489187715100815800</v>
      </c>
      <c r="W46" s="479">
        <v>27.846861295530118533239982860</v>
      </c>
      <c r="X46" s="480">
        <v>-24.487259502658021969451696570</v>
      </c>
      <c r="Y46" s="481">
        <v>-34.748963199885412669326192180</v>
      </c>
      <c r="Z46" s="479">
        <v>1.5106889101597930795996458200</v>
      </c>
      <c r="AA46" s="480">
        <v>-3.7496962112157320521196547100</v>
      </c>
      <c r="AB46" s="481">
        <v>2.4417948317637573813752868400</v>
      </c>
    </row>
    <row r="47" ht="18" customHeight="1">
      <c r="A47" s="58"/>
      <c r="B47" s="1046" t="s">
        <v>51</v>
      </c>
      <c r="C47" s="1046"/>
      <c r="D47" s="276">
        <v>49.46104357036532672746815353</v>
      </c>
      <c r="E47" s="94">
        <v>59.037408888568122716207456625</v>
      </c>
      <c r="F47" s="277">
        <v>75.120843724059381262740741055</v>
      </c>
      <c r="G47" s="276">
        <v>4.9461106337061353467402924424</v>
      </c>
      <c r="H47" s="94">
        <v>20.137949522355526586222325104</v>
      </c>
      <c r="I47" s="277">
        <v>10.620208340217390222416878318</v>
      </c>
      <c r="J47" s="276">
        <v>1.10712516104140366631952985</v>
      </c>
      <c r="K47" s="94">
        <v>4.5058767232566540843124082823</v>
      </c>
      <c r="L47" s="277">
        <v>0.1843496499045581823568984609</v>
      </c>
      <c r="M47" s="276">
        <v>55.526213436619537839735301484</v>
      </c>
      <c r="N47" s="94">
        <v>83.68123513418030338674218995</v>
      </c>
      <c r="O47" s="277">
        <v>85.92726149604037660482105811</v>
      </c>
      <c r="P47" s="5"/>
      <c r="Q47" s="271">
        <v>6.5873979128106505982131628200</v>
      </c>
      <c r="R47" s="92">
        <v>-0.5949436021625998062800578700</v>
      </c>
      <c r="S47" s="272">
        <v>2.3951234829833076919906356300</v>
      </c>
      <c r="T47" s="271">
        <v>-31.125930710869767034414430050</v>
      </c>
      <c r="U47" s="92">
        <v>-3.5957144277493366550284478400</v>
      </c>
      <c r="V47" s="272">
        <v>0.3834189106629689389325246100</v>
      </c>
      <c r="W47" s="271">
        <v>-11.073192718213746640064593690</v>
      </c>
      <c r="X47" s="92">
        <v>-22.442257323461208205713517760</v>
      </c>
      <c r="Y47" s="272">
        <v>-52.444288390415830958731433690</v>
      </c>
      <c r="Z47" s="271">
        <v>-1.4740979540240116117181138900</v>
      </c>
      <c r="AA47" s="92">
        <v>-2.7920411577502309839114225200</v>
      </c>
      <c r="AB47" s="272">
        <v>1.893082270775938200286537300</v>
      </c>
    </row>
    <row r="48" ht="18" customHeight="1">
      <c r="A48" s="58"/>
      <c r="B48" s="1047" t="s">
        <v>76</v>
      </c>
      <c r="C48" s="1047"/>
      <c r="D48" s="443">
        <v>49.649924632530818359418438317</v>
      </c>
      <c r="E48" s="444">
        <v>58.707727676817232970228904187</v>
      </c>
      <c r="F48" s="445">
        <v>74.734655711940954576229032586</v>
      </c>
      <c r="G48" s="443">
        <v>5.5849264182203249013568595543</v>
      </c>
      <c r="H48" s="444">
        <v>21.354893785176330847274573019</v>
      </c>
      <c r="I48" s="445">
        <v>11.548768949252483658630923063</v>
      </c>
      <c r="J48" s="443">
        <v>1.2404445637475015132176717346</v>
      </c>
      <c r="K48" s="444">
        <v>4.621181879276666859558795349</v>
      </c>
      <c r="L48" s="445">
        <v>0.2064305195469751529650143639</v>
      </c>
      <c r="M48" s="443">
        <v>56.487436278557186530287448436</v>
      </c>
      <c r="N48" s="444">
        <v>84.68380334127023067706227249</v>
      </c>
      <c r="O48" s="445">
        <v>86.49150444625020447583911643</v>
      </c>
      <c r="P48" s="93"/>
      <c r="Q48" s="273">
        <v>6.1388663202344515619990781600</v>
      </c>
      <c r="R48" s="274">
        <v>-0.6304390712531252190699679400</v>
      </c>
      <c r="S48" s="275">
        <v>2.3409811044683302310639443500</v>
      </c>
      <c r="T48" s="273">
        <v>-22.409709946143599890952634050</v>
      </c>
      <c r="U48" s="274">
        <v>-4.8280289827429237055190292800</v>
      </c>
      <c r="V48" s="275">
        <v>2.5485836059502523756017934400</v>
      </c>
      <c r="W48" s="273">
        <v>7.0871054352050936628133918700</v>
      </c>
      <c r="X48" s="274">
        <v>-23.503918721106674419346214680</v>
      </c>
      <c r="Y48" s="275">
        <v>-44.044692340468508905105725030</v>
      </c>
      <c r="Z48" s="273">
        <v>0.0214233935130279425415878300</v>
      </c>
      <c r="AA48" s="274">
        <v>-3.2789073205006192627291298300</v>
      </c>
      <c r="AB48" s="275">
        <v>2.1686172243801003705896681700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34.844086021505376344086021505</v>
      </c>
      <c r="E50" s="483">
        <v>54.860147918552344157795047687</v>
      </c>
      <c r="F50" s="484">
        <v>77.927350387854624087264386078</v>
      </c>
      <c r="G50" s="482">
        <v>5.3167224589166159464394400487</v>
      </c>
      <c r="H50" s="483">
        <v>15.093763922646728766929303407</v>
      </c>
      <c r="I50" s="484">
        <v>10.01456938152962709572879099</v>
      </c>
      <c r="J50" s="482">
        <v>1.2810914992899168188273483465</v>
      </c>
      <c r="K50" s="483">
        <v>4.8498024556840710344125195399</v>
      </c>
      <c r="L50" s="484">
        <v>0.2092589410936506695717482739</v>
      </c>
      <c r="M50" s="482">
        <v>41.441944867113004666260904849</v>
      </c>
      <c r="N50" s="483">
        <v>74.803714296883143959136870635</v>
      </c>
      <c r="O50" s="484">
        <v>88.15117871047790185256492534</v>
      </c>
      <c r="P50" s="93"/>
      <c r="Q50" s="468">
        <v>-5.9383185110952036061028300</v>
      </c>
      <c r="R50" s="469">
        <v>2.6469520516287196184117564100</v>
      </c>
      <c r="S50" s="470">
        <v>5.8723240426795252805086145800</v>
      </c>
      <c r="T50" s="468">
        <v>-20.383304526967218359295136410</v>
      </c>
      <c r="U50" s="469">
        <v>-15.508785486449990462305178400</v>
      </c>
      <c r="V50" s="470">
        <v>15.022732504127037738353084840</v>
      </c>
      <c r="W50" s="468">
        <v>4.9422773530170470601241882100</v>
      </c>
      <c r="X50" s="469">
        <v>-21.954039030430542711373935620</v>
      </c>
      <c r="Y50" s="470">
        <v>-46.828129035554930009872827460</v>
      </c>
      <c r="Z50" s="468">
        <v>-7.7890496812530912538332488500</v>
      </c>
      <c r="AA50" s="469">
        <v>-3.5087175227147224561764394800</v>
      </c>
      <c r="AB50" s="470">
        <v>6.5848378544353838897552113400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155</v>
      </c>
      <c r="Y1" s="5"/>
      <c r="AB1" s="685"/>
      <c r="AD1" s="236"/>
    </row>
    <row r="2" ht="15" customHeight="1">
      <c r="A2" s="11"/>
      <c r="B2" s="11" t="s">
        <v>170</v>
      </c>
    </row>
    <row r="3" ht="17.1" customHeight="1">
      <c r="A3" s="11"/>
      <c r="B3" s="11" t="s">
        <v>171</v>
      </c>
      <c r="R3" s="1040" t="s">
        <v>260</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20.693295051511568991724370900</v>
      </c>
      <c r="E11" s="428">
        <v>27.886386173678991358549369620</v>
      </c>
      <c r="F11" s="429">
        <v>47.933019361590790162218733690</v>
      </c>
      <c r="G11" s="427">
        <v>0.7346731970950852896470190900</v>
      </c>
      <c r="H11" s="428">
        <v>5.3761155971100722481937951600</v>
      </c>
      <c r="I11" s="429">
        <v>4.6712018140589569160997732500</v>
      </c>
      <c r="J11" s="427">
        <v>1.2652705061082024432809773100</v>
      </c>
      <c r="K11" s="428">
        <v>5.0786230344241393965150871300</v>
      </c>
      <c r="L11" s="429">
        <v>0.2407116692830978545264259600</v>
      </c>
      <c r="M11" s="427">
        <v>22.712418300653594771241830070</v>
      </c>
      <c r="N11" s="428">
        <v>38.305709023941068139963167590</v>
      </c>
      <c r="O11" s="429">
        <v>52.848421419849991278562707130</v>
      </c>
      <c r="P11" s="5"/>
      <c r="Q11" s="427">
        <v>-0.2381110174008506490182820700</v>
      </c>
      <c r="R11" s="428">
        <v>18.228228228437843681519728930</v>
      </c>
      <c r="S11" s="429">
        <v>8.565107458922976649642550530</v>
      </c>
      <c r="T11" s="427">
        <v>-74.563133201754428273840210970</v>
      </c>
      <c r="U11" s="428">
        <v>11.782032399564460427606937950</v>
      </c>
      <c r="V11" s="429">
        <v>12.521008403473865546218600090</v>
      </c>
      <c r="W11" s="427">
        <v>11.204763823691581687985716080</v>
      </c>
      <c r="X11" s="428">
        <v>-5.7818659655036125438368272700</v>
      </c>
      <c r="Y11" s="429">
        <v>16.949152548983481758489153480</v>
      </c>
      <c r="Z11" s="427">
        <v>-7.8546519280342885212728688500</v>
      </c>
      <c r="AA11" s="428">
        <v>13.399035437071787868116907790</v>
      </c>
      <c r="AB11" s="429">
        <v>8.969932383758883722527309540</v>
      </c>
    </row>
    <row r="12" ht="18" customHeight="1">
      <c r="A12" s="58"/>
      <c r="B12" s="1043" t="s">
        <v>46</v>
      </c>
      <c r="C12" s="1043"/>
      <c r="D12" s="420">
        <v>26.203344029724708664077014030</v>
      </c>
      <c r="E12" s="91">
        <v>38.886527836804079898002549970</v>
      </c>
      <c r="F12" s="421">
        <v>63.813012384440955869527298160</v>
      </c>
      <c r="G12" s="420">
        <v>4.4896695378032989922873388500</v>
      </c>
      <c r="H12" s="91">
        <v>7.288567785805354866128346800</v>
      </c>
      <c r="I12" s="421">
        <v>7.7167277167277167277167277200</v>
      </c>
      <c r="J12" s="420">
        <v>1.42853121657377695209142600</v>
      </c>
      <c r="K12" s="91">
        <v>4.8448788780280492987675308200</v>
      </c>
      <c r="L12" s="421">
        <v>0.2511773940345368916797488200</v>
      </c>
      <c r="M12" s="420">
        <v>32.148692810457516339869281050</v>
      </c>
      <c r="N12" s="91">
        <v>50.991641875619776172262360110</v>
      </c>
      <c r="O12" s="421">
        <v>71.794871794871794871794871790</v>
      </c>
      <c r="P12" s="5"/>
      <c r="Q12" s="420">
        <v>4.9468499713122531104714432800</v>
      </c>
      <c r="R12" s="91">
        <v>8.433734939649467314250198260</v>
      </c>
      <c r="S12" s="421">
        <v>8.997735669262387830023965290</v>
      </c>
      <c r="T12" s="420">
        <v>49.927227150481347157804375240</v>
      </c>
      <c r="U12" s="91">
        <v>35.39473684121237049862084700</v>
      </c>
      <c r="V12" s="421">
        <v>29.281122151599002705707271420</v>
      </c>
      <c r="W12" s="420">
        <v>0.8601346321624337155026271900</v>
      </c>
      <c r="X12" s="91">
        <v>-10.236220472884109368216548380</v>
      </c>
      <c r="Y12" s="421">
        <v>0.0000000137500000018906239600</v>
      </c>
      <c r="Z12" s="420">
        <v>7.0737454760864101471247096600</v>
      </c>
      <c r="AA12" s="91">
        <v>9.291027782019361187044454930</v>
      </c>
      <c r="AB12" s="421">
        <v>10.835846617791534582714351170</v>
      </c>
    </row>
    <row r="13" ht="18" customHeight="1">
      <c r="A13" s="58"/>
      <c r="B13" s="1043" t="s">
        <v>47</v>
      </c>
      <c r="C13" s="1043"/>
      <c r="D13" s="420">
        <v>31.760254878534448426921545230</v>
      </c>
      <c r="E13" s="91">
        <v>50.318742031449213769655758650</v>
      </c>
      <c r="F13" s="421">
        <v>71.313448456305599162742019950</v>
      </c>
      <c r="G13" s="420">
        <v>8.173268388322151763011978070</v>
      </c>
      <c r="H13" s="91">
        <v>7.0123246918827029324266893400</v>
      </c>
      <c r="I13" s="421">
        <v>9.726146869004011861154718310</v>
      </c>
      <c r="J13" s="420">
        <v>1.3325981067916551787519529500</v>
      </c>
      <c r="K13" s="91">
        <v>4.6182178778863861736789913600</v>
      </c>
      <c r="L13" s="421">
        <v>0.2128030699459270887842316400</v>
      </c>
      <c r="M13" s="420">
        <v>41.288888888888888888888888890</v>
      </c>
      <c r="N13" s="91">
        <v>61.942201444963875903102422440</v>
      </c>
      <c r="O13" s="421">
        <v>81.24890982033839176696319553</v>
      </c>
      <c r="P13" s="184"/>
      <c r="Q13" s="420">
        <v>3.9524860716315748971109043300</v>
      </c>
      <c r="R13" s="91">
        <v>15.775749673958606059266868900</v>
      </c>
      <c r="S13" s="421">
        <v>6.1977245570407910336691572200</v>
      </c>
      <c r="T13" s="420">
        <v>248.22954822679327065930230707</v>
      </c>
      <c r="U13" s="91">
        <v>-8.333333333559444444443886610</v>
      </c>
      <c r="V13" s="421">
        <v>38.983050847369636852155454100</v>
      </c>
      <c r="W13" s="420">
        <v>2.9075091545027881345723923400</v>
      </c>
      <c r="X13" s="91">
        <v>-12.483221475712430971570587100</v>
      </c>
      <c r="Y13" s="421">
        <v>-6.1538461478399999996156067600</v>
      </c>
      <c r="Z13" s="420">
        <v>18.149743589878098682445912510</v>
      </c>
      <c r="AA13" s="91">
        <v>9.83421250951236208274163100</v>
      </c>
      <c r="AB13" s="421">
        <v>9.235026499661706367060161680</v>
      </c>
    </row>
    <row r="14" ht="18" customHeight="1">
      <c r="A14" s="58"/>
      <c r="B14" s="1043" t="s">
        <v>48</v>
      </c>
      <c r="C14" s="1043"/>
      <c r="D14" s="420">
        <v>33.719978551068213247537606210</v>
      </c>
      <c r="E14" s="91">
        <v>47.407564810879728006799830050</v>
      </c>
      <c r="F14" s="421">
        <v>69.150532007674864817721960640</v>
      </c>
      <c r="G14" s="420">
        <v>4.9925210961533034177179465500</v>
      </c>
      <c r="H14" s="91">
        <v>10.128913443830570902394106820</v>
      </c>
      <c r="I14" s="421">
        <v>9.178440607012035583464154900</v>
      </c>
      <c r="J14" s="420">
        <v>1.4322806423390624559026895800</v>
      </c>
      <c r="K14" s="91">
        <v>4.5473863153421164470888227800</v>
      </c>
      <c r="L14" s="421">
        <v>0.2476888191173905459619745300</v>
      </c>
      <c r="M14" s="420">
        <v>40.171990171990171990171990170</v>
      </c>
      <c r="N14" s="91">
        <v>62.055531945034707465646692170</v>
      </c>
      <c r="O14" s="421">
        <v>78.583638583638583638583638580</v>
      </c>
      <c r="P14" s="5"/>
      <c r="Q14" s="420">
        <v>14.315710536022259375213792320</v>
      </c>
      <c r="R14" s="91">
        <v>11.249361843667783871011960260</v>
      </c>
      <c r="S14" s="421">
        <v>4.9342242086226293650131203900</v>
      </c>
      <c r="T14" s="420">
        <v>72.829628688366494323420537070</v>
      </c>
      <c r="U14" s="91">
        <v>4.0540540541876369612857814900</v>
      </c>
      <c r="V14" s="421">
        <v>41.882053850062615976273666430</v>
      </c>
      <c r="W14" s="420">
        <v>-2.212744237061182239265364900</v>
      </c>
      <c r="X14" s="91">
        <v>-10.326249625201750215744074150</v>
      </c>
      <c r="Y14" s="421">
        <v>-1.9723865992328933380620804100</v>
      </c>
      <c r="Z14" s="420">
        <v>17.142063166582214044863685410</v>
      </c>
      <c r="AA14" s="91">
        <v>8.049966524587441203265348060</v>
      </c>
      <c r="AB14" s="421">
        <v>8.211121557606468059445524690</v>
      </c>
    </row>
    <row r="15" ht="18" customHeight="1">
      <c r="A15" s="58"/>
      <c r="B15" s="1043" t="s">
        <v>49</v>
      </c>
      <c r="C15" s="1043"/>
      <c r="D15" s="420">
        <v>28.672960923157618672960923180</v>
      </c>
      <c r="E15" s="91">
        <v>40.272296764009471191791633820</v>
      </c>
      <c r="F15" s="421">
        <v>63.006154842889536767087787550</v>
      </c>
      <c r="G15" s="420">
        <v>2.433779176501442433779176500</v>
      </c>
      <c r="H15" s="91">
        <v>11.470665614312023151802157340</v>
      </c>
      <c r="I15" s="421">
        <v>8.675089083252348558471007460</v>
      </c>
      <c r="J15" s="420">
        <v>1.1788617886178861788617886200</v>
      </c>
      <c r="K15" s="91">
        <v>4.6566692975532754538279400200</v>
      </c>
      <c r="L15" s="421">
        <v>0.2137998056365403304178814400</v>
      </c>
      <c r="M15" s="420">
        <v>32.343987823439878234398782340</v>
      </c>
      <c r="N15" s="91">
        <v>56.386477242830833991054985530</v>
      </c>
      <c r="O15" s="421">
        <v>71.904761904761904761904761900</v>
      </c>
      <c r="P15" s="184"/>
      <c r="Q15" s="420">
        <v>-5.2740874619866762063920371700</v>
      </c>
      <c r="R15" s="91">
        <v>4.0183471851909778030507899400</v>
      </c>
      <c r="S15" s="421">
        <v>6.0710300446310859376338964600</v>
      </c>
      <c r="T15" s="420">
        <v>-51.886271777220133565354922940</v>
      </c>
      <c r="U15" s="91">
        <v>-4.7394957981147978250119186400</v>
      </c>
      <c r="V15" s="421">
        <v>3.1831653826140157341847854800</v>
      </c>
      <c r="W15" s="420">
        <v>-11.723154894812934851011921630</v>
      </c>
      <c r="X15" s="91">
        <v>-8.563481024641092958928958290</v>
      </c>
      <c r="Y15" s="421">
        <v>-11.180124229839184444606632950</v>
      </c>
      <c r="Z15" s="420">
        <v>-13.677966272603564061017065750</v>
      </c>
      <c r="AA15" s="91">
        <v>0.9721316228206270197324128200</v>
      </c>
      <c r="AB15" s="421">
        <v>5.6674869270319914282816752300</v>
      </c>
    </row>
    <row r="16" ht="18" customHeight="1">
      <c r="A16" s="58"/>
      <c r="B16" s="1044" t="s">
        <v>75</v>
      </c>
      <c r="C16" s="1044"/>
      <c r="D16" s="430">
        <v>28.156133996773065249523293740</v>
      </c>
      <c r="E16" s="431">
        <v>40.943970087616496456275461840</v>
      </c>
      <c r="F16" s="432">
        <v>63.042671614100185528756957360</v>
      </c>
      <c r="G16" s="430">
        <v>4.0737230477608909047828588800</v>
      </c>
      <c r="H16" s="431">
        <v>8.304034823371839946425581790</v>
      </c>
      <c r="I16" s="432">
        <v>8.003848003848003848003848010</v>
      </c>
      <c r="J16" s="430">
        <v>1.3251870155366753545679179500</v>
      </c>
      <c r="K16" s="431">
        <v>4.7477537809029521736704057200</v>
      </c>
      <c r="L16" s="432">
        <v>0.2329416615130900845186559500</v>
      </c>
      <c r="M16" s="430">
        <v>33.587098886705959397511460380</v>
      </c>
      <c r="N16" s="431">
        <v>53.973436017634912662536971930</v>
      </c>
      <c r="O16" s="432">
        <v>71.285645571359857074142788430</v>
      </c>
      <c r="P16" s="5"/>
      <c r="Q16" s="430">
        <v>3.1268550102382388945823877800</v>
      </c>
      <c r="R16" s="431">
        <v>10.852156832987222292569599830</v>
      </c>
      <c r="S16" s="432">
        <v>6.6107347454942027797840219900</v>
      </c>
      <c r="T16" s="430">
        <v>25.690160533386106590143398530</v>
      </c>
      <c r="U16" s="431">
        <v>4.4393753289117730655948730700</v>
      </c>
      <c r="V16" s="432">
        <v>25.059050890810053224303747060</v>
      </c>
      <c r="W16" s="430">
        <v>-0.5583870464060191232434216800</v>
      </c>
      <c r="X16" s="431">
        <v>-9.446514103828571638970596410</v>
      </c>
      <c r="Y16" s="432">
        <v>-1.166180762112036651225619700</v>
      </c>
      <c r="Z16" s="629">
        <v>3.9624876279997977508616159100</v>
      </c>
      <c r="AA16" s="214">
        <v>7.6584850003604384610316102700</v>
      </c>
      <c r="AB16" s="630">
        <v>8.386355325661885909972965670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47.633561933790534247735162170</v>
      </c>
      <c r="E18" s="480">
        <v>47.598810029749256268593285210</v>
      </c>
      <c r="F18" s="481">
        <v>65.546834118262689691261119890</v>
      </c>
      <c r="G18" s="479">
        <v>3.1510174131459374029859170900</v>
      </c>
      <c r="H18" s="480">
        <v>17.573310667233319167020824500</v>
      </c>
      <c r="I18" s="481">
        <v>10.842490842490842490842490850</v>
      </c>
      <c r="J18" s="479">
        <v>1.5141252504727231676685575600</v>
      </c>
      <c r="K18" s="480">
        <v>4.4836379090522736931576710600</v>
      </c>
      <c r="L18" s="481">
        <v>0.2721088435374149659863945600</v>
      </c>
      <c r="M18" s="479">
        <v>52.334152334152334152334152330</v>
      </c>
      <c r="N18" s="480">
        <v>69.669924918543703074089814420</v>
      </c>
      <c r="O18" s="481">
        <v>76.664922379208093493807779520</v>
      </c>
      <c r="P18" s="184"/>
      <c r="Q18" s="479">
        <v>21.100140260094032131933138790</v>
      </c>
      <c r="R18" s="480">
        <v>-0.2967359049655761695532486200</v>
      </c>
      <c r="S18" s="481">
        <v>3.8123653241031910271725564800</v>
      </c>
      <c r="T18" s="479">
        <v>-50.717631815294039596995546930</v>
      </c>
      <c r="U18" s="480">
        <v>7.3561228903972268912756901100</v>
      </c>
      <c r="V18" s="481">
        <v>6.6941297636274536215567416700</v>
      </c>
      <c r="W18" s="479">
        <v>33.629278479142878090607839560</v>
      </c>
      <c r="X18" s="480">
        <v>-11.344537815812198997240646730</v>
      </c>
      <c r="Y18" s="481">
        <v>34.482758617026159334225840180</v>
      </c>
      <c r="Z18" s="479">
        <v>9.278048656197537469963648590</v>
      </c>
      <c r="AA18" s="480">
        <v>0.7064605303402096114999114600</v>
      </c>
      <c r="AB18" s="481">
        <v>4.2950026102093156182907616600</v>
      </c>
    </row>
    <row r="19" ht="18" customHeight="1">
      <c r="A19" s="58"/>
      <c r="B19" s="1046" t="s">
        <v>51</v>
      </c>
      <c r="C19" s="1046"/>
      <c r="D19" s="271">
        <v>48.370163406993480653627973960</v>
      </c>
      <c r="E19" s="92">
        <v>48.292959342683099589176937290</v>
      </c>
      <c r="F19" s="272">
        <v>66.537589394732251875109018030</v>
      </c>
      <c r="G19" s="271">
        <v>2.9054835887449552676883131600</v>
      </c>
      <c r="H19" s="92">
        <v>16.595835104122396940076498100</v>
      </c>
      <c r="I19" s="272">
        <v>9.827315541601255886970172690</v>
      </c>
      <c r="J19" s="271">
        <v>1.3504360342054017441368216100</v>
      </c>
      <c r="K19" s="92">
        <v>3.9169854086981158804363224300</v>
      </c>
      <c r="L19" s="272">
        <v>0.2372230943659515088086516700</v>
      </c>
      <c r="M19" s="271">
        <v>52.661752661752661752661752660</v>
      </c>
      <c r="N19" s="92">
        <v>68.819946168012466355007791470</v>
      </c>
      <c r="O19" s="272">
        <v>76.605616605616605616605616610</v>
      </c>
      <c r="P19" s="5"/>
      <c r="Q19" s="271">
        <v>28.389119629406145360195930190</v>
      </c>
      <c r="R19" s="92">
        <v>4.6668713540913687050277319300</v>
      </c>
      <c r="S19" s="272">
        <v>6.2621873084168625365979950600</v>
      </c>
      <c r="T19" s="271">
        <v>-50.217472816218877076323982210</v>
      </c>
      <c r="U19" s="92">
        <v>20.462724935386929084529907630</v>
      </c>
      <c r="V19" s="272">
        <v>10.861865406930561924928431680</v>
      </c>
      <c r="W19" s="271">
        <v>4.8456833516297789889843460400</v>
      </c>
      <c r="X19" s="92">
        <v>-17.462686567754259300508144820</v>
      </c>
      <c r="Y19" s="272">
        <v>4.6153846220800000004285064700</v>
      </c>
      <c r="Z19" s="271">
        <v>14.408012521314431871905376980</v>
      </c>
      <c r="AA19" s="92">
        <v>6.4067462489967906676666157400</v>
      </c>
      <c r="AB19" s="272">
        <v>6.8252578322039207258017298300</v>
      </c>
    </row>
    <row r="20" ht="18" customHeight="1">
      <c r="A20" s="58"/>
      <c r="B20" s="1047" t="s">
        <v>76</v>
      </c>
      <c r="C20" s="1047"/>
      <c r="D20" s="273">
        <v>48.001862670392007450681568060</v>
      </c>
      <c r="E20" s="274">
        <v>47.945884686216177928885111250</v>
      </c>
      <c r="F20" s="275">
        <v>66.042211756497470783185068960</v>
      </c>
      <c r="G20" s="273">
        <v>3.0282505009454463353371151200</v>
      </c>
      <c r="H20" s="274">
        <v>17.084572885677858053548661300</v>
      </c>
      <c r="I20" s="275">
        <v>10.334903192046049188906331770</v>
      </c>
      <c r="J20" s="273">
        <v>1.4322806423390624559026895800</v>
      </c>
      <c r="K20" s="274">
        <v>4.2003116588751947867969967500</v>
      </c>
      <c r="L20" s="275">
        <v>0.2546659689516832373975231100</v>
      </c>
      <c r="M20" s="273">
        <v>52.497952497952497952497952500</v>
      </c>
      <c r="N20" s="274">
        <v>69.244935543278084714548802950</v>
      </c>
      <c r="O20" s="275">
        <v>76.635269492412349555206698060</v>
      </c>
      <c r="P20" s="184"/>
      <c r="Q20" s="273">
        <v>24.673301450506656674419826440</v>
      </c>
      <c r="R20" s="274">
        <v>2.1427493586570745505700138100</v>
      </c>
      <c r="S20" s="275">
        <v>5.0321793165433295534198782100</v>
      </c>
      <c r="T20" s="273">
        <v>-50.472898808223371034079332220</v>
      </c>
      <c r="U20" s="274">
        <v>13.345864661809027149641231620</v>
      </c>
      <c r="V20" s="275">
        <v>8.635863585879992702242630020</v>
      </c>
      <c r="W20" s="273">
        <v>18.296150480065192866527377440</v>
      </c>
      <c r="X20" s="274">
        <v>-14.306358382141629773793227390</v>
      </c>
      <c r="Y20" s="275">
        <v>18.699186994359706523946731210</v>
      </c>
      <c r="Z20" s="273">
        <v>11.792205319403452172867826390</v>
      </c>
      <c r="AA20" s="274">
        <v>3.460683670199455543913386600</v>
      </c>
      <c r="AB20" s="275">
        <v>5.5444783434199185476689151400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33.900187003272557269752220660</v>
      </c>
      <c r="E22" s="469">
        <v>42.866951267630053137106746260</v>
      </c>
      <c r="F22" s="470">
        <v>63.834035655230861358602777570</v>
      </c>
      <c r="G22" s="468">
        <v>3.7050023375409069658719027600</v>
      </c>
      <c r="H22" s="469">
        <v>10.885507551039734016086605600</v>
      </c>
      <c r="I22" s="470">
        <v>8.721302443803424659726649490</v>
      </c>
      <c r="J22" s="468">
        <v>1.3616175783076203833567087400</v>
      </c>
      <c r="K22" s="469">
        <v>4.5488463298609198689861661100</v>
      </c>
      <c r="L22" s="470">
        <v>0.239692956866335099682995300</v>
      </c>
      <c r="M22" s="468">
        <v>38.966806919121084618980832160</v>
      </c>
      <c r="N22" s="469">
        <v>58.301305148530707022179517970</v>
      </c>
      <c r="O22" s="470">
        <v>72.795031055900621118012422360</v>
      </c>
      <c r="P22" s="184"/>
      <c r="Q22" s="468">
        <v>9.000375798505115139683141530</v>
      </c>
      <c r="R22" s="469">
        <v>7.7263316202364634966780910300</v>
      </c>
      <c r="S22" s="470">
        <v>6.1897069476150960889155125500</v>
      </c>
      <c r="T22" s="468">
        <v>-8.908045976549752279030556750</v>
      </c>
      <c r="U22" s="469">
        <v>8.917067853155710295936993900</v>
      </c>
      <c r="V22" s="470">
        <v>18.461340762374338236423723880</v>
      </c>
      <c r="W22" s="468">
        <v>6.3926940609187965222593185900</v>
      </c>
      <c r="X22" s="469">
        <v>-10.588257898657525136482519030</v>
      </c>
      <c r="Y22" s="470">
        <v>6.0516846999295040345355862600</v>
      </c>
      <c r="Z22" s="468">
        <v>6.9103735769386299992682231400</v>
      </c>
      <c r="AA22" s="469">
        <v>6.2452121257300343320982425200</v>
      </c>
      <c r="AB22" s="470">
        <v>7.5237186815643278621171955900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95.46749145022491730900916232</v>
      </c>
      <c r="E25" s="455">
        <v>123.24629241737642609990586268</v>
      </c>
      <c r="F25" s="456">
        <v>114.4067116603298079586008355</v>
      </c>
      <c r="G25" s="454">
        <v>111.83692933580967542230476694</v>
      </c>
      <c r="H25" s="455">
        <v>136.39808764090179153044000173</v>
      </c>
      <c r="I25" s="456">
        <v>118.05989470827895495308224164</v>
      </c>
      <c r="J25" s="454">
        <v>95.43366150623628965019756826</v>
      </c>
      <c r="K25" s="455">
        <v>122.96658471091016654534701477</v>
      </c>
      <c r="L25" s="456">
        <v>89.18547272602109453923899059</v>
      </c>
      <c r="M25" s="454">
        <v>95.99555107914016584968571172</v>
      </c>
      <c r="N25" s="455">
        <v>125.168979845484104796587861</v>
      </c>
      <c r="O25" s="456">
        <v>114.60718297217060779962770425</v>
      </c>
      <c r="P25" s="5"/>
      <c r="Q25" s="427">
        <v>-7.8839619304210536635501526600</v>
      </c>
      <c r="R25" s="428">
        <v>-5.5202516779749434304711047200</v>
      </c>
      <c r="S25" s="429">
        <v>-1.5629035526878518029907133700</v>
      </c>
      <c r="T25" s="427">
        <v>-0.339293740118697357019094700</v>
      </c>
      <c r="U25" s="428">
        <v>0.5249536937449251323304340300</v>
      </c>
      <c r="V25" s="429">
        <v>3.8309393244753319282398219500</v>
      </c>
      <c r="W25" s="427">
        <v>-2.6577741941005001021842488600</v>
      </c>
      <c r="X25" s="428">
        <v>3.8914671775933826520492030100</v>
      </c>
      <c r="Y25" s="429">
        <v>-6.9327688574411546780175456900</v>
      </c>
      <c r="Z25" s="427">
        <v>-7.511490631719734609440801500</v>
      </c>
      <c r="AA25" s="428">
        <v>-3.1887787941397861896692295200</v>
      </c>
      <c r="AB25" s="429">
        <v>-1.1547362559820586236747266600</v>
      </c>
    </row>
    <row r="26" ht="18" customHeight="1">
      <c r="A26" s="58"/>
      <c r="B26" s="1043" t="s">
        <v>46</v>
      </c>
      <c r="C26" s="1043"/>
      <c r="D26" s="439">
        <v>100.76319479122727436027914306</v>
      </c>
      <c r="E26" s="95">
        <v>139.28678612450150358007666807</v>
      </c>
      <c r="F26" s="440">
        <v>129.98240031807390253011201401</v>
      </c>
      <c r="G26" s="439">
        <v>118.05839205356085159218131518</v>
      </c>
      <c r="H26" s="95">
        <v>135.11914185446819159373229324</v>
      </c>
      <c r="I26" s="440">
        <v>122.88174686423016564478958244</v>
      </c>
      <c r="J26" s="439">
        <v>97.88814649071422153617530727</v>
      </c>
      <c r="K26" s="95">
        <v>126.18602807875926344826694459</v>
      </c>
      <c r="L26" s="440">
        <v>94.54366435786697632367547051</v>
      </c>
      <c r="M26" s="439">
        <v>103.05270560233113286938410454</v>
      </c>
      <c r="N26" s="95">
        <v>137.52372496147136546786859668</v>
      </c>
      <c r="O26" s="440">
        <v>129.06995308628043604384782072</v>
      </c>
      <c r="P26" s="5"/>
      <c r="Q26" s="420">
        <v>-3.0396005584215803974371933400</v>
      </c>
      <c r="R26" s="91">
        <v>-2.1292102031866277888606255100</v>
      </c>
      <c r="S26" s="421">
        <v>2.5048982466744504423452029900</v>
      </c>
      <c r="T26" s="420">
        <v>8.445372942191183938045012770</v>
      </c>
      <c r="U26" s="91">
        <v>-1.3755745624969327472160596600</v>
      </c>
      <c r="V26" s="421">
        <v>3.4616026522221146477863280700</v>
      </c>
      <c r="W26" s="420">
        <v>7.6371978068284320370513639200</v>
      </c>
      <c r="X26" s="91">
        <v>7.7733412116691363549066886400</v>
      </c>
      <c r="Y26" s="421">
        <v>6.6110699187918323999757742200</v>
      </c>
      <c r="Z26" s="420">
        <v>-0.719986535808659567717381800</v>
      </c>
      <c r="AA26" s="91">
        <v>-0.8779588032744110550274782200</v>
      </c>
      <c r="AB26" s="421">
        <v>2.5200754684810426525310540400</v>
      </c>
    </row>
    <row r="27" ht="18" customHeight="1">
      <c r="A27" s="58"/>
      <c r="B27" s="1043" t="s">
        <v>47</v>
      </c>
      <c r="C27" s="1043"/>
      <c r="D27" s="439">
        <v>100.91218550455215575313311908</v>
      </c>
      <c r="E27" s="95">
        <v>142.53651101793158934309058778</v>
      </c>
      <c r="F27" s="440">
        <v>141.24601743762825241430126065</v>
      </c>
      <c r="G27" s="439">
        <v>113.72852796757816374552187254</v>
      </c>
      <c r="H27" s="95">
        <v>136.29647914695903181107224262</v>
      </c>
      <c r="I27" s="440">
        <v>123.01472222776035766811507787</v>
      </c>
      <c r="J27" s="439">
        <v>97.85036142988364945226404941</v>
      </c>
      <c r="K27" s="95">
        <v>125.78591484403629560715089787</v>
      </c>
      <c r="L27" s="440">
        <v>94.10506563727612928034997733</v>
      </c>
      <c r="M27" s="439">
        <v>103.35174663582958339745331127</v>
      </c>
      <c r="N27" s="95">
        <v>140.59751916583043075153109675</v>
      </c>
      <c r="O27" s="440">
        <v>138.94618046521539102266863701</v>
      </c>
      <c r="P27" s="93"/>
      <c r="Q27" s="420">
        <v>-12.879278092724476420250223890</v>
      </c>
      <c r="R27" s="91">
        <v>-3.1339378882010026311484285300</v>
      </c>
      <c r="S27" s="421">
        <v>4.4310799556207890307938173600</v>
      </c>
      <c r="T27" s="420">
        <v>-3.0526659141816274974419808600</v>
      </c>
      <c r="U27" s="91">
        <v>-1.207513344456800289976299300</v>
      </c>
      <c r="V27" s="421">
        <v>-6.9055749070974915313399393400</v>
      </c>
      <c r="W27" s="420">
        <v>3.2722329465231424238174943200</v>
      </c>
      <c r="X27" s="91">
        <v>7.6704588599154438568837995500</v>
      </c>
      <c r="Y27" s="421">
        <v>3.2549591072804407546488883700</v>
      </c>
      <c r="Z27" s="420">
        <v>-10.233138608409476436268642960</v>
      </c>
      <c r="AA27" s="91">
        <v>-1.711851351017991671821715700</v>
      </c>
      <c r="AB27" s="421">
        <v>3.0611812789990471929312054300</v>
      </c>
    </row>
    <row r="28" ht="18" customHeight="1">
      <c r="A28" s="58"/>
      <c r="B28" s="1043" t="s">
        <v>48</v>
      </c>
      <c r="C28" s="1043"/>
      <c r="D28" s="439">
        <v>101.88915205687994665786803907</v>
      </c>
      <c r="E28" s="95">
        <v>141.48485780269143034715797704</v>
      </c>
      <c r="F28" s="440">
        <v>139.45141336812647438769646792</v>
      </c>
      <c r="G28" s="439">
        <v>122.27523127304169355744315319</v>
      </c>
      <c r="H28" s="95">
        <v>141.8415901130979641002418113</v>
      </c>
      <c r="I28" s="440">
        <v>124.02850149334364429704866818</v>
      </c>
      <c r="J28" s="439">
        <v>99.4015589137182753443736215</v>
      </c>
      <c r="K28" s="95">
        <v>126.3002267750143375244874836</v>
      </c>
      <c r="L28" s="440">
        <v>95.6034550698866571350628486</v>
      </c>
      <c r="M28" s="439">
        <v>104.33567183706452833551927179</v>
      </c>
      <c r="N28" s="95">
        <v>140.49496321478176425837177206</v>
      </c>
      <c r="O28" s="440">
        <v>137.49945611834999805180874969</v>
      </c>
      <c r="P28" s="5"/>
      <c r="Q28" s="420">
        <v>-10.82202457834607448437548800</v>
      </c>
      <c r="R28" s="91">
        <v>-4.8919526483607970196610594700</v>
      </c>
      <c r="S28" s="421">
        <v>3.3469370649439342478745356700</v>
      </c>
      <c r="T28" s="420">
        <v>3.2060027378501103680943372100</v>
      </c>
      <c r="U28" s="91">
        <v>6.7623306676935444424433671800</v>
      </c>
      <c r="V28" s="421">
        <v>1.3139869877963818607213831100</v>
      </c>
      <c r="W28" s="420">
        <v>7.2373879905672428296719400900</v>
      </c>
      <c r="X28" s="91">
        <v>6.3080642419167736735563689900</v>
      </c>
      <c r="Y28" s="421">
        <v>6.7787966999029563915333296800</v>
      </c>
      <c r="Z28" s="420">
        <v>-8.341328837682326992600640610</v>
      </c>
      <c r="AA28" s="91">
        <v>-2.0172135289144741093821248400</v>
      </c>
      <c r="AB28" s="421">
        <v>2.8707185541921807507751696500</v>
      </c>
    </row>
    <row r="29" ht="18" customHeight="1">
      <c r="A29" s="58"/>
      <c r="B29" s="1043" t="s">
        <v>49</v>
      </c>
      <c r="C29" s="1043"/>
      <c r="D29" s="439">
        <v>101.01652388568605239784190219</v>
      </c>
      <c r="E29" s="95">
        <v>134.97303743703131973337804055</v>
      </c>
      <c r="F29" s="440">
        <v>128.13601853042439997633247747</v>
      </c>
      <c r="G29" s="439">
        <v>118.41997280927575320076705412</v>
      </c>
      <c r="H29" s="95">
        <v>143.50431515736641868255118226</v>
      </c>
      <c r="I29" s="440">
        <v>126.97781650654507727599915006</v>
      </c>
      <c r="J29" s="439">
        <v>99.59727076777949761502664098</v>
      </c>
      <c r="K29" s="95">
        <v>126.48724277053185457266218339</v>
      </c>
      <c r="L29" s="440">
        <v>96.89837592866541401056048208</v>
      </c>
      <c r="M29" s="439">
        <v>102.15629725106128957516201364</v>
      </c>
      <c r="N29" s="95">
        <v>136.03923967606746272568387147</v>
      </c>
      <c r="O29" s="440">
        <v>127.88608576981457916878359249</v>
      </c>
      <c r="P29" s="93"/>
      <c r="Q29" s="420">
        <v>-8.836464745025317441274917200</v>
      </c>
      <c r="R29" s="91">
        <v>-3.1622309772964292451086280400</v>
      </c>
      <c r="S29" s="421">
        <v>1.8326474677961715858356686600</v>
      </c>
      <c r="T29" s="420">
        <v>13.018493219563360678960989130</v>
      </c>
      <c r="U29" s="91">
        <v>4.9228874628039663143514996500</v>
      </c>
      <c r="V29" s="421">
        <v>8.403820634864253168208736550</v>
      </c>
      <c r="W29" s="420">
        <v>5.7822594714704477734651168500</v>
      </c>
      <c r="X29" s="91">
        <v>6.3247866669609066789107315300</v>
      </c>
      <c r="Y29" s="421">
        <v>6.8615417151496256121544941600</v>
      </c>
      <c r="Z29" s="420">
        <v>-6.5953615266875216094936343300</v>
      </c>
      <c r="AA29" s="91">
        <v>-0.6821355197706096350966685900</v>
      </c>
      <c r="AB29" s="421">
        <v>2.6115714765329143792759043400</v>
      </c>
    </row>
    <row r="30" ht="18" customHeight="1">
      <c r="A30" s="58"/>
      <c r="B30" s="1044" t="s">
        <v>75</v>
      </c>
      <c r="C30" s="1044"/>
      <c r="D30" s="457">
        <v>100.33914066288875483222344384</v>
      </c>
      <c r="E30" s="458">
        <v>137.52283180026806041313483175</v>
      </c>
      <c r="F30" s="459">
        <v>131.81379950614624808861113164</v>
      </c>
      <c r="G30" s="457">
        <v>117.31323990978992927866387786</v>
      </c>
      <c r="H30" s="458">
        <v>139.55011077610194779237753078</v>
      </c>
      <c r="I30" s="459">
        <v>123.56003165200664228690052237</v>
      </c>
      <c r="J30" s="457">
        <v>98.06549032435886592351286713</v>
      </c>
      <c r="K30" s="458">
        <v>125.51525547840180666343125929</v>
      </c>
      <c r="L30" s="459">
        <v>94.05453857519053594660745402</v>
      </c>
      <c r="M30" s="457">
        <v>102.28513893962578971311157431</v>
      </c>
      <c r="N30" s="458">
        <v>136.83537244933120276793040238</v>
      </c>
      <c r="O30" s="459">
        <v>130.75225643182565053865776731</v>
      </c>
      <c r="P30" s="5"/>
      <c r="Q30" s="430">
        <v>-9.112367400177262597306129260</v>
      </c>
      <c r="R30" s="431">
        <v>-3.7728368829965021220378758700</v>
      </c>
      <c r="S30" s="432">
        <v>2.2862498199612374512576288900</v>
      </c>
      <c r="T30" s="430">
        <v>5.5872741358331635681332815600</v>
      </c>
      <c r="U30" s="431">
        <v>2.6993104695929452903736244200</v>
      </c>
      <c r="V30" s="432">
        <v>1.8114796282267065955425565900</v>
      </c>
      <c r="W30" s="430">
        <v>4.4620913114515992180126790200</v>
      </c>
      <c r="X30" s="431">
        <v>6.3651979320523542544897849500</v>
      </c>
      <c r="Y30" s="432">
        <v>3.3887962533089947562772045600</v>
      </c>
      <c r="Z30" s="430">
        <v>-6.7969357138495248573496206700</v>
      </c>
      <c r="AA30" s="431">
        <v>-1.6862456116624268854409311300</v>
      </c>
      <c r="AB30" s="432">
        <v>2.1501903755654972874558104800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109.5347960526509050597877121</v>
      </c>
      <c r="E32" s="494">
        <v>135.1858739457279615390682919</v>
      </c>
      <c r="F32" s="495">
        <v>127.25817044766868976249498168</v>
      </c>
      <c r="G32" s="493">
        <v>122.10423558585656615912527392</v>
      </c>
      <c r="H32" s="494">
        <v>137.27472785263179835246405164</v>
      </c>
      <c r="I32" s="495">
        <v>130.3823821594886391631634123</v>
      </c>
      <c r="J32" s="493">
        <v>97.00646908650727458648596019</v>
      </c>
      <c r="K32" s="494">
        <v>125.53762629620302030188481261</v>
      </c>
      <c r="L32" s="495">
        <v>93.01992400446547849921468047</v>
      </c>
      <c r="M32" s="493">
        <v>109.92939601063957609041120775</v>
      </c>
      <c r="N32" s="494">
        <v>135.06435442895159669643100043</v>
      </c>
      <c r="O32" s="495">
        <v>127.57270487646914860709723522</v>
      </c>
      <c r="P32" s="93"/>
      <c r="Q32" s="479">
        <v>-7.4405363440771655633037155900</v>
      </c>
      <c r="R32" s="480">
        <v>-4.647146270911936260387956700</v>
      </c>
      <c r="S32" s="481">
        <v>-2.4181511551628006530237519300</v>
      </c>
      <c r="T32" s="479">
        <v>7.8778146665017897859082108400</v>
      </c>
      <c r="U32" s="480">
        <v>-3.172731847150692752796663700</v>
      </c>
      <c r="V32" s="481">
        <v>6.7440953076673999393223244200</v>
      </c>
      <c r="W32" s="479">
        <v>3.9898998100729390987267715800</v>
      </c>
      <c r="X32" s="480">
        <v>4.6617527461424417308465813700</v>
      </c>
      <c r="Y32" s="481">
        <v>-1.1894726398784995080964445900</v>
      </c>
      <c r="Z32" s="479">
        <v>-6.0682094711430073837201620400</v>
      </c>
      <c r="AA32" s="480">
        <v>-3.6281792128103749934260064200</v>
      </c>
      <c r="AB32" s="481">
        <v>-1.2310919053397000301879297900</v>
      </c>
    </row>
    <row r="33" ht="18" customHeight="1">
      <c r="A33" s="58"/>
      <c r="B33" s="1046" t="s">
        <v>51</v>
      </c>
      <c r="C33" s="1046"/>
      <c r="D33" s="276">
        <v>106.62373025705122735171569723</v>
      </c>
      <c r="E33" s="94">
        <v>134.45907586050623725661269891</v>
      </c>
      <c r="F33" s="277">
        <v>126.53420632015511629190147642</v>
      </c>
      <c r="G33" s="276">
        <v>119.964579360691827605823288</v>
      </c>
      <c r="H33" s="94">
        <v>137.21056561678308403159793486</v>
      </c>
      <c r="I33" s="277">
        <v>130.23662434159536192271268493</v>
      </c>
      <c r="J33" s="276">
        <v>97.53765244467685072170543618</v>
      </c>
      <c r="K33" s="94">
        <v>131.26889114819324221381485232</v>
      </c>
      <c r="L33" s="277">
        <v>94.95827896565712437174369799</v>
      </c>
      <c r="M33" s="276">
        <v>107.12712039589269561707440667</v>
      </c>
      <c r="N33" s="94">
        <v>134.9133420401405058095779082</v>
      </c>
      <c r="O33" s="277">
        <v>126.90562643491312682858951067</v>
      </c>
      <c r="P33" s="5"/>
      <c r="Q33" s="271">
        <v>-9.374344726091102099539225150</v>
      </c>
      <c r="R33" s="92">
        <v>-2.9023944955978507852761218800</v>
      </c>
      <c r="S33" s="272">
        <v>-2.3370421826025596686954961200</v>
      </c>
      <c r="T33" s="271">
        <v>8.882043620885194558121667440</v>
      </c>
      <c r="U33" s="92">
        <v>-3.9452696625356906618627210300</v>
      </c>
      <c r="V33" s="272">
        <v>7.5848203199055322034690781700</v>
      </c>
      <c r="W33" s="271">
        <v>-1.7248934606983030103267552900</v>
      </c>
      <c r="X33" s="92">
        <v>9.218210961314417818245027660</v>
      </c>
      <c r="Y33" s="272">
        <v>-7.3939991873960248854241931700</v>
      </c>
      <c r="Z33" s="271">
        <v>-7.7683352292885686746093601500</v>
      </c>
      <c r="AA33" s="92">
        <v>-2.2624855996753120749155164200</v>
      </c>
      <c r="AB33" s="272">
        <v>-1.1782822489270695020821298100</v>
      </c>
    </row>
    <row r="34" ht="18" customHeight="1">
      <c r="A34" s="58"/>
      <c r="B34" s="1047" t="s">
        <v>76</v>
      </c>
      <c r="C34" s="1047"/>
      <c r="D34" s="443">
        <v>108.06809538325669404063122379</v>
      </c>
      <c r="E34" s="444">
        <v>134.8198442999130910886485672</v>
      </c>
      <c r="F34" s="445">
        <v>126.89347318381399675091001718</v>
      </c>
      <c r="G34" s="443">
        <v>121.07777888324375239368986176</v>
      </c>
      <c r="H34" s="444">
        <v>137.2435644781306504142821877</v>
      </c>
      <c r="I34" s="445">
        <v>130.3130826197408987435263323</v>
      </c>
      <c r="J34" s="443">
        <v>97.25688409821578905023228458</v>
      </c>
      <c r="K34" s="444">
        <v>128.20996142533505463350143316</v>
      </c>
      <c r="L34" s="445">
        <v>93.92271946584240945354326398</v>
      </c>
      <c r="M34" s="633">
        <v>108.52388647843813760027426307</v>
      </c>
      <c r="N34" s="634">
        <v>134.98931165226948954336918353</v>
      </c>
      <c r="O34" s="635">
        <v>127.23929471377132950537307172</v>
      </c>
      <c r="P34" s="93"/>
      <c r="Q34" s="273">
        <v>-8.419120494811788335203598640</v>
      </c>
      <c r="R34" s="274">
        <v>-3.8061988213741645034656616400</v>
      </c>
      <c r="S34" s="275">
        <v>-2.3811455009197629648128417900</v>
      </c>
      <c r="T34" s="273">
        <v>8.349375481815715258697484220</v>
      </c>
      <c r="U34" s="274">
        <v>-3.5285237412194938632579539400</v>
      </c>
      <c r="V34" s="275">
        <v>7.1327676038924637991273475100</v>
      </c>
      <c r="W34" s="273">
        <v>0.8199698585915176697341261900</v>
      </c>
      <c r="X34" s="274">
        <v>6.7847449286745909026907774600</v>
      </c>
      <c r="Y34" s="275">
        <v>-4.7233295598309495749445033100</v>
      </c>
      <c r="Z34" s="273">
        <v>-6.925778465853755403512947500</v>
      </c>
      <c r="AA34" s="274">
        <v>-2.9749855735441204953267609200</v>
      </c>
      <c r="AB34" s="275">
        <v>-1.208193705111526519350095900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103.21892777107395276676435097</v>
      </c>
      <c r="E36" s="483">
        <v>136.76354882993035420986142874</v>
      </c>
      <c r="F36" s="484">
        <v>130.38605082693596690292881028</v>
      </c>
      <c r="G36" s="482">
        <v>120.2712933753943217665615142</v>
      </c>
      <c r="H36" s="483">
        <v>137.77965618072464363428881754</v>
      </c>
      <c r="I36" s="484">
        <v>125.78511425437552938563548711</v>
      </c>
      <c r="J36" s="482">
        <v>98.30472103004291845493562232</v>
      </c>
      <c r="K36" s="483">
        <v>126.94943937587593565425127098</v>
      </c>
      <c r="L36" s="484">
        <v>92.93555641282120063492865288</v>
      </c>
      <c r="M36" s="482">
        <v>104.66874175164967006598680264</v>
      </c>
      <c r="N36" s="483">
        <v>136.18754060085836909871244635</v>
      </c>
      <c r="O36" s="484">
        <v>129.71151606262527764234248876</v>
      </c>
      <c r="P36" s="93"/>
      <c r="Q36" s="468">
        <v>-8.524242516452038075161729970</v>
      </c>
      <c r="R36" s="469">
        <v>-3.6655620648654312498582693300</v>
      </c>
      <c r="S36" s="470">
        <v>0.9025140705348809926269253100</v>
      </c>
      <c r="T36" s="468">
        <v>6.7959738067927243983422727300</v>
      </c>
      <c r="U36" s="469">
        <v>-0.2564634438524615563155631200</v>
      </c>
      <c r="V36" s="470">
        <v>3.6554749412712100332657089300</v>
      </c>
      <c r="W36" s="468">
        <v>1.8388548040619028838565414100</v>
      </c>
      <c r="X36" s="469">
        <v>6.303684489764712908919134100</v>
      </c>
      <c r="Y36" s="470">
        <v>-0.3462810826408733233898844200</v>
      </c>
      <c r="Z36" s="468">
        <v>-6.7459155338599266293568705100</v>
      </c>
      <c r="AA36" s="469">
        <v>-2.1493315083417292167085638200</v>
      </c>
      <c r="AB36" s="470">
        <v>1.1444058235816400727769097300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19.755369684071623025310500963</v>
      </c>
      <c r="E39" s="455">
        <v>34.368937048251238812532184574</v>
      </c>
      <c r="F39" s="456">
        <v>54.838591251105235002657438731</v>
      </c>
      <c r="G39" s="454">
        <v>0.8216359442843642764516563697</v>
      </c>
      <c r="H39" s="455">
        <v>7.3329188638223870074800935972</v>
      </c>
      <c r="I39" s="456">
        <v>5.5148159432892210250192611793</v>
      </c>
      <c r="J39" s="454">
        <v>1.2074939719375446770749256027</v>
      </c>
      <c r="K39" s="455">
        <v>6.2450092957729557595278233228</v>
      </c>
      <c r="L39" s="456">
        <v>0.2146798401568273337940865291</v>
      </c>
      <c r="M39" s="454">
        <v>21.80291111111190041357240838</v>
      </c>
      <c r="N39" s="455">
        <v>47.94686520784658157954010145</v>
      </c>
      <c r="O39" s="456">
        <v>60.568087034551283361470786384</v>
      </c>
      <c r="P39" s="5"/>
      <c r="Q39" s="427">
        <v>-8.103300365917742593227476920</v>
      </c>
      <c r="R39" s="428">
        <v>11.701732475432416826664380650</v>
      </c>
      <c r="S39" s="429">
        <v>6.8683395375338151808791165500</v>
      </c>
      <c r="T39" s="427">
        <v>-74.649438898701837732583831340</v>
      </c>
      <c r="U39" s="428">
        <v>12.368836308386674351969585830</v>
      </c>
      <c r="V39" s="429">
        <v>16.831619962802518899876658290</v>
      </c>
      <c r="W39" s="427">
        <v>8.249192310603088023094320770</v>
      </c>
      <c r="X39" s="428">
        <v>-2.1153982052509650962686348600</v>
      </c>
      <c r="Y39" s="429">
        <v>8.841338121081194333910469560</v>
      </c>
      <c r="Z39" s="427">
        <v>-14.776141116008374408258706960</v>
      </c>
      <c r="AA39" s="428">
        <v>9.782991042398165450979241490</v>
      </c>
      <c r="AB39" s="429">
        <v>7.7116170663837965067380332100</v>
      </c>
    </row>
    <row r="40" ht="18" customHeight="1">
      <c r="A40" s="58"/>
      <c r="B40" s="1043" t="s">
        <v>46</v>
      </c>
      <c r="C40" s="1043"/>
      <c r="D40" s="439">
        <v>26.403326586486930614756475352</v>
      </c>
      <c r="E40" s="95">
        <v>54.163794859294039853705971696</v>
      </c>
      <c r="F40" s="440">
        <v>82.94568521256611983536748517</v>
      </c>
      <c r="G40" s="439">
        <v>5.3004316648491121513688340325</v>
      </c>
      <c r="H40" s="95">
        <v>9.848250245661408779568673315</v>
      </c>
      <c r="I40" s="440">
        <v>9.48244981907124110958571626</v>
      </c>
      <c r="J40" s="439">
        <v>1.3983627299453208193888692359</v>
      </c>
      <c r="K40" s="95">
        <v>6.1135602214103510552921511673</v>
      </c>
      <c r="L40" s="440">
        <v>0.2374723123588495480657468649</v>
      </c>
      <c r="M40" s="439">
        <v>33.130097756958579071979285241</v>
      </c>
      <c r="N40" s="95">
        <v>70.125605326365799688566796111</v>
      </c>
      <c r="O40" s="440">
        <v>92.66560734399621049301894821</v>
      </c>
      <c r="P40" s="5"/>
      <c r="Q40" s="420">
        <v>1.7568849336012103299728639800</v>
      </c>
      <c r="R40" s="91">
        <v>6.1249527918255105612104704600</v>
      </c>
      <c r="S40" s="421">
        <v>11.72801803890568739469651800</v>
      </c>
      <c r="T40" s="420">
        <v>62.589140625218338037055094900</v>
      </c>
      <c r="U40" s="91">
        <v>33.532281282475135650860244920</v>
      </c>
      <c r="V40" s="421">
        <v>33.756320903768927413020751170</v>
      </c>
      <c r="W40" s="420">
        <v>8.563022620882927117063554590</v>
      </c>
      <c r="X40" s="91">
        <v>-3.2585756055967179750316752500</v>
      </c>
      <c r="Y40" s="421">
        <v>6.6110699199038557474474066500</v>
      </c>
      <c r="Z40" s="420">
        <v>6.3028289253197920729568126300</v>
      </c>
      <c r="AA40" s="91">
        <v>8.331497582338600033401399900</v>
      </c>
      <c r="AB40" s="421">
        <v>13.628993598741986995920705260</v>
      </c>
    </row>
    <row r="41" ht="18" customHeight="1">
      <c r="A41" s="58"/>
      <c r="B41" s="1043" t="s">
        <v>47</v>
      </c>
      <c r="C41" s="1043"/>
      <c r="D41" s="439">
        <v>32.049967319745258547639849672</v>
      </c>
      <c r="E41" s="95">
        <v>71.722579279741182227887486651</v>
      </c>
      <c r="F41" s="440">
        <v>100.72740584196744238106214453</v>
      </c>
      <c r="G41" s="439">
        <v>9.295337824878183404498739582</v>
      </c>
      <c r="H41" s="95">
        <v>9.55755166138896738156690185</v>
      </c>
      <c r="I41" s="440">
        <v>11.964592554369296256016216201</v>
      </c>
      <c r="J41" s="439">
        <v>1.3039520639034214842917275228</v>
      </c>
      <c r="K41" s="95">
        <v>5.8090676071902298297111761925</v>
      </c>
      <c r="L41" s="440">
        <v>0.200258468650753318894168799</v>
      </c>
      <c r="M41" s="439">
        <v>42.672787833193636878326278298</v>
      </c>
      <c r="N41" s="95">
        <v>87.08919854832037943916556461</v>
      </c>
      <c r="O41" s="440">
        <v>112.89225686498749195597252943</v>
      </c>
      <c r="P41" s="93"/>
      <c r="Q41" s="420">
        <v>-9.435843693751075997981860710</v>
      </c>
      <c r="R41" s="91">
        <v>12.147409589627856794203238060</v>
      </c>
      <c r="S41" s="421">
        <v>10.90343064329910837434400400</v>
      </c>
      <c r="T41" s="420">
        <v>237.59926350280192105776378928</v>
      </c>
      <c r="U41" s="91">
        <v>-9.440220565935496826803879810</v>
      </c>
      <c r="V41" s="421">
        <v>29.385472163080549285980713050</v>
      </c>
      <c r="W41" s="420">
        <v>6.2748825809538298016510315100</v>
      </c>
      <c r="X41" s="91">
        <v>-5.7702829849070696743451679800</v>
      </c>
      <c r="Y41" s="421">
        <v>-3.099192203579267258868164600</v>
      </c>
      <c r="Z41" s="420">
        <v>6.0593165626864733496640268100</v>
      </c>
      <c r="AA41" s="91">
        <v>7.954014058711032683695127900</v>
      </c>
      <c r="AB41" s="421">
        <v>12.578908680958816800135912650</v>
      </c>
    </row>
    <row r="42" ht="18" customHeight="1">
      <c r="A42" s="58"/>
      <c r="B42" s="1043" t="s">
        <v>48</v>
      </c>
      <c r="C42" s="1043"/>
      <c r="D42" s="439">
        <v>34.357000219445195232359871635</v>
      </c>
      <c r="E42" s="95">
        <v>67.074525660391963685616117097</v>
      </c>
      <c r="F42" s="440">
        <v>96.43139423628128293434220791</v>
      </c>
      <c r="G42" s="439">
        <v>6.1046167166768480202951186224</v>
      </c>
      <c r="H42" s="95">
        <v>14.367011889908633564481214786</v>
      </c>
      <c r="I42" s="440">
        <v>11.383882345333582004030526645</v>
      </c>
      <c r="J42" s="439">
        <v>1.4237092865044457070321342519</v>
      </c>
      <c r="K42" s="95">
        <v>5.7433592286130616723842587154</v>
      </c>
      <c r="L42" s="440">
        <v>0.2367990688980273035614673733</v>
      </c>
      <c r="M42" s="439">
        <v>41.913715836265480056160690266</v>
      </c>
      <c r="N42" s="95">
        <v>87.18489677891365892248159052</v>
      </c>
      <c r="O42" s="440">
        <v>108.05207565051289224193420183</v>
      </c>
      <c r="P42" s="5"/>
      <c r="Q42" s="420">
        <v>1.9444362450034911817170070300</v>
      </c>
      <c r="R42" s="91">
        <v>5.807095740625309200709475400</v>
      </c>
      <c r="S42" s="421">
        <v>8.446306652542639810635713310</v>
      </c>
      <c r="T42" s="420">
        <v>78.370551317929574707709657160</v>
      </c>
      <c r="U42" s="91">
        <v>11.090533262372029401635079130</v>
      </c>
      <c r="V42" s="421">
        <v>43.746365575401493227468663940</v>
      </c>
      <c r="W42" s="420">
        <v>4.8644988630088178476487464500</v>
      </c>
      <c r="X42" s="91">
        <v>-4.6695718444421835070634711900</v>
      </c>
      <c r="Y42" s="421">
        <v>4.6727060571443628880256332900</v>
      </c>
      <c r="Z42" s="420">
        <v>7.3708584705515592131132712600</v>
      </c>
      <c r="AA42" s="91">
        <v>5.8703679818296328861331246100</v>
      </c>
      <c r="AB42" s="421">
        <v>11.317558301723656932035309870</v>
      </c>
    </row>
    <row r="43" ht="18" customHeight="1">
      <c r="A43" s="58"/>
      <c r="B43" s="1043" t="s">
        <v>49</v>
      </c>
      <c r="C43" s="1043"/>
      <c r="D43" s="439">
        <v>28.964428419674943898914385456</v>
      </c>
      <c r="E43" s="95">
        <v>54.356742188038856269894353003</v>
      </c>
      <c r="F43" s="440">
        <v>80.7335782447928273255479977</v>
      </c>
      <c r="G43" s="439">
        <v>2.8820806390508234715528934251</v>
      </c>
      <c r="H43" s="95">
        <v>16.460900133809986462928785984</v>
      </c>
      <c r="I43" s="440">
        <v>11.015438697911490668776343511</v>
      </c>
      <c r="J43" s="439">
        <v>1.1741141675876444840795823538</v>
      </c>
      <c r="K43" s="95">
        <v>5.8900925994170319019629588215</v>
      </c>
      <c r="L43" s="440">
        <v>0.2071685394004508365629087082</v>
      </c>
      <c r="M43" s="439">
        <v>33.041420343760310555132310346</v>
      </c>
      <c r="N43" s="95">
        <v>76.707734921265874634786097744</v>
      </c>
      <c r="O43" s="440">
        <v>91.95618548210476883088724983</v>
      </c>
      <c r="P43" s="93"/>
      <c r="Q43" s="420">
        <v>-13.644509327821467833468250770</v>
      </c>
      <c r="R43" s="91">
        <v>0.7290467883577305672241420500</v>
      </c>
      <c r="S43" s="421">
        <v>8.014938090841270615188596780</v>
      </c>
      <c r="T43" s="420">
        <v>-45.622589330428904852736611320</v>
      </c>
      <c r="U43" s="91">
        <v>-0.0499283801565632174076340900</v>
      </c>
      <c r="V43" s="421">
        <v>11.854493526264813506104024670</v>
      </c>
      <c r="W43" s="420">
        <v>-6.6187586598766890145053542800</v>
      </c>
      <c r="X43" s="91">
        <v>-2.7803162651236130613850128400</v>
      </c>
      <c r="Y43" s="421">
        <v>-5.085711395392136526285200</v>
      </c>
      <c r="Z43" s="420">
        <v>-19.371216474011864608088251990</v>
      </c>
      <c r="AA43" s="91">
        <v>0.2833648479344738846092606500</v>
      </c>
      <c r="AB43" s="421">
        <v>8.427068875687976815960553690</v>
      </c>
    </row>
    <row r="44" ht="18" customHeight="1">
      <c r="A44" s="58"/>
      <c r="B44" s="1044" t="s">
        <v>75</v>
      </c>
      <c r="C44" s="1044"/>
      <c r="D44" s="457">
        <v>28.251622896253567483111847478</v>
      </c>
      <c r="E44" s="458">
        <v>56.307307115944901625987330641</v>
      </c>
      <c r="F44" s="459">
        <v>83.09894076472819128109473572</v>
      </c>
      <c r="G44" s="457">
        <v>4.7790164922801401308896177452</v>
      </c>
      <c r="H44" s="458">
        <v>11.588289794901484363807007422</v>
      </c>
      <c r="I44" s="459">
        <v>9.889557126933095371111229886</v>
      </c>
      <c r="J44" s="457">
        <v>1.2995511445007783911266725618</v>
      </c>
      <c r="K44" s="458">
        <v>5.9591552875858215870815416006</v>
      </c>
      <c r="L44" s="459">
        <v>0.2190922048855190798179064587</v>
      </c>
      <c r="M44" s="457">
        <v>34.354610762056697379903142552</v>
      </c>
      <c r="N44" s="458">
        <v>73.854752198432207576875879604</v>
      </c>
      <c r="O44" s="459">
        <v>93.20759009654680573202387203</v>
      </c>
      <c r="P44" s="5"/>
      <c r="Q44" s="430">
        <v>-6.2704429065223136295574058200</v>
      </c>
      <c r="R44" s="431">
        <v>6.6698857745338676419942322900</v>
      </c>
      <c r="S44" s="432">
        <v>9.048122476780659517643850070</v>
      </c>
      <c r="T44" s="430">
        <v>32.712814365032032282145053200</v>
      </c>
      <c r="U44" s="431">
        <v>7.2585183214541391855983055400</v>
      </c>
      <c r="V44" s="432">
        <v>27.324470120988122219674304100</v>
      </c>
      <c r="W44" s="430">
        <v>3.8787885260858755683982085200</v>
      </c>
      <c r="X44" s="431">
        <v>-3.6826054916118239861356200500</v>
      </c>
      <c r="Y44" s="432">
        <v>2.1830960129987528890180329500</v>
      </c>
      <c r="Z44" s="430">
        <v>-3.1037758224378690012833492500</v>
      </c>
      <c r="AA44" s="431">
        <v>5.8430985213555049318110746800</v>
      </c>
      <c r="AB44" s="432">
        <v>10.716868306375245916338876210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52.175324916790618225922078459</v>
      </c>
      <c r="E46" s="494">
        <v>64.346867326483347608906284349</v>
      </c>
      <c r="F46" s="495">
        <v>83.41370188526938817190016442</v>
      </c>
      <c r="G46" s="493">
        <v>3.8475257254990787152277077421</v>
      </c>
      <c r="H46" s="494">
        <v>24.123714393142052111663359713</v>
      </c>
      <c r="I46" s="495">
        <v>14.136697845863969667507827867</v>
      </c>
      <c r="J46" s="493">
        <v>1.4687994430308230411099742521</v>
      </c>
      <c r="K46" s="494">
        <v>5.6286526027409343994257746461</v>
      </c>
      <c r="L46" s="495">
        <v>0.2531154394679332748277950491</v>
      </c>
      <c r="M46" s="493">
        <v>57.530617568221694612426504304</v>
      </c>
      <c r="N46" s="494">
        <v>94.09923432236633411999541863</v>
      </c>
      <c r="O46" s="495">
        <v>97.80351517060129111423578724</v>
      </c>
      <c r="P46" s="93"/>
      <c r="Q46" s="479">
        <v>12.089640311398649784455697650</v>
      </c>
      <c r="R46" s="480">
        <v>-4.9300924244149323331055000700</v>
      </c>
      <c r="S46" s="481">
        <v>1.3020254128225440562624282200</v>
      </c>
      <c r="T46" s="479">
        <v>-46.835258185930777271096770950</v>
      </c>
      <c r="U46" s="480">
        <v>3.9500009896403823940668313300</v>
      </c>
      <c r="V46" s="481">
        <v>13.889683562407179340447767230</v>
      </c>
      <c r="W46" s="479">
        <v>38.960952806549130571166509980</v>
      </c>
      <c r="X46" s="480">
        <v>-7.2116393721908730999068995600</v>
      </c>
      <c r="Y46" s="481">
        <v>32.883123025412548594323248460</v>
      </c>
      <c r="Z46" s="479">
        <v>2.6468277577264061217311456500</v>
      </c>
      <c r="AA46" s="480">
        <v>-2.9473503365705926442032818300</v>
      </c>
      <c r="AB46" s="481">
        <v>3.0110352754447895869327377600</v>
      </c>
    </row>
    <row r="47" ht="18" customHeight="1">
      <c r="A47" s="58"/>
      <c r="B47" s="1046" t="s">
        <v>51</v>
      </c>
      <c r="C47" s="1046"/>
      <c r="D47" s="276">
        <v>51.574072555967628639433729465</v>
      </c>
      <c r="E47" s="94">
        <v>64.934266837861703188524251455</v>
      </c>
      <c r="F47" s="277">
        <v>84.19281064518815744062225229</v>
      </c>
      <c r="G47" s="276">
        <v>3.4855511656318188276520496453</v>
      </c>
      <c r="H47" s="94">
        <v>22.771239215194982709026346627</v>
      </c>
      <c r="I47" s="277">
        <v>12.798764024778445300411011121</v>
      </c>
      <c r="J47" s="276">
        <v>1.3171836055309421463137767404</v>
      </c>
      <c r="K47" s="94">
        <v>5.1417833124345419283354308966</v>
      </c>
      <c r="L47" s="277">
        <v>0.2252629677189842824796292157</v>
      </c>
      <c r="M47" s="276">
        <v>56.415019176543000230777103595</v>
      </c>
      <c r="N47" s="94">
        <v>92.84728936549122782588602891</v>
      </c>
      <c r="O47" s="277">
        <v>97.21683763768558702351289254</v>
      </c>
      <c r="P47" s="5"/>
      <c r="Q47" s="271">
        <v>16.353480964518584076717966640</v>
      </c>
      <c r="R47" s="92">
        <v>1.6290258412026067171041087400</v>
      </c>
      <c r="S47" s="272">
        <v>3.778795166955375366645559300</v>
      </c>
      <c r="T47" s="271">
        <v>-45.795767035627203714452278450</v>
      </c>
      <c r="U47" s="92">
        <v>15.710145594081792327870311280</v>
      </c>
      <c r="V47" s="272">
        <v>19.270538701399959237713066140</v>
      </c>
      <c r="W47" s="271">
        <v>3.037207012838405021598521500</v>
      </c>
      <c r="X47" s="92">
        <v>-9.854222892635766962998941840</v>
      </c>
      <c r="Y47" s="272">
        <v>-3.1198760607801983552518518900</v>
      </c>
      <c r="Z47" s="271">
        <v>5.5204145794605946214541534400</v>
      </c>
      <c r="AA47" s="92">
        <v>3.9993089380167111260739136100</v>
      </c>
      <c r="AB47" s="272">
        <v>5.5665547818712244825646929100</v>
      </c>
    </row>
    <row r="48" ht="18" customHeight="1">
      <c r="A48" s="58"/>
      <c r="B48" s="1047" t="s">
        <v>76</v>
      </c>
      <c r="C48" s="1047"/>
      <c r="D48" s="443">
        <v>51.874698736379123432677903962</v>
      </c>
      <c r="E48" s="444">
        <v>64.640567082172525398715267902</v>
      </c>
      <c r="F48" s="445">
        <v>83.80325626522877280626120835</v>
      </c>
      <c r="G48" s="443">
        <v>3.6665384455654487714398786938</v>
      </c>
      <c r="H48" s="444">
        <v>23.447476804168517410344853169</v>
      </c>
      <c r="I48" s="445">
        <v>13.467730935321207483959419494</v>
      </c>
      <c r="J48" s="443">
        <v>1.3929915242808825937118754963</v>
      </c>
      <c r="K48" s="444">
        <v>5.385217957587738163880602772</v>
      </c>
      <c r="L48" s="445">
        <v>0.2391892035934587786537121325</v>
      </c>
      <c r="M48" s="443">
        <v>56.972818372382347421601803952</v>
      </c>
      <c r="N48" s="444">
        <v>93.47326184392878097294072377</v>
      </c>
      <c r="O48" s="445">
        <v>97.51017640414343906887433989</v>
      </c>
      <c r="P48" s="93"/>
      <c r="Q48" s="273">
        <v>14.176905976431372304948936490</v>
      </c>
      <c r="R48" s="274">
        <v>-1.7450067635111740175886669400</v>
      </c>
      <c r="S48" s="275">
        <v>2.5312103041211489592190444900</v>
      </c>
      <c r="T48" s="273">
        <v>-46.337695164819230233641760120</v>
      </c>
      <c r="U48" s="274">
        <v>9.346428917602754087240628730</v>
      </c>
      <c r="V48" s="275">
        <v>16.384607270448287123603124750</v>
      </c>
      <c r="W48" s="273">
        <v>19.266143263479981112631118090</v>
      </c>
      <c r="X48" s="274">
        <v>-8.492263377353244467329893390</v>
      </c>
      <c r="Y48" s="275">
        <v>13.092633195604896444440281160</v>
      </c>
      <c r="Z48" s="273">
        <v>4.0497248368410800142872104300</v>
      </c>
      <c r="AA48" s="274">
        <v>0.3827432566867119312336602800</v>
      </c>
      <c r="AB48" s="275">
        <v>4.2692965998640425623574911500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34.991409537166900420757363254</v>
      </c>
      <c r="E50" s="483">
        <v>58.626363828807676679003274538</v>
      </c>
      <c r="F50" s="484">
        <v>83.23067817431373846520214846</v>
      </c>
      <c r="G50" s="482">
        <v>4.4560542309490416082281439925</v>
      </c>
      <c r="H50" s="483">
        <v>14.998014877349364680079269078</v>
      </c>
      <c r="I50" s="484">
        <v>10.970100243407782904888604514</v>
      </c>
      <c r="J50" s="482">
        <v>1.338534361851332398316970547</v>
      </c>
      <c r="K50" s="483">
        <v>5.7747349138285459577562745449</v>
      </c>
      <c r="L50" s="484">
        <v>0.2227599831460720440865121343</v>
      </c>
      <c r="M50" s="482">
        <v>40.786066503038803179055633474</v>
      </c>
      <c r="N50" s="483">
        <v>79.39911361998558731683881816</v>
      </c>
      <c r="O50" s="484">
        <v>94.42353840086759341417726511</v>
      </c>
      <c r="P50" s="93"/>
      <c r="Q50" s="468">
        <v>-0.2910805783607342960611790100</v>
      </c>
      <c r="R50" s="469">
        <v>3.7775560743900802878933331500</v>
      </c>
      <c r="S50" s="470">
        <v>7.1480839944093618735398332900</v>
      </c>
      <c r="T50" s="468">
        <v>-2.7174606405186312891855673300</v>
      </c>
      <c r="U50" s="469">
        <v>8.637735389900055888313665880</v>
      </c>
      <c r="V50" s="470">
        <v>22.791665389404261881848341510</v>
      </c>
      <c r="W50" s="468">
        <v>8.349101232655400004903579350</v>
      </c>
      <c r="X50" s="469">
        <v>-4.9520237786729277514716746200</v>
      </c>
      <c r="Y50" s="470">
        <v>5.6844477458585132043908397200</v>
      </c>
      <c r="Z50" s="468">
        <v>-0.3017099214967824798778320700</v>
      </c>
      <c r="AA50" s="469">
        <v>3.9616503052266276269845903400</v>
      </c>
      <c r="AB50" s="470">
        <v>8.754226379777743615322808540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157</v>
      </c>
      <c r="Y1" s="5"/>
      <c r="AB1" s="685"/>
      <c r="AD1" s="236"/>
    </row>
    <row r="2" ht="15" customHeight="1">
      <c r="A2" s="11"/>
      <c r="B2" s="11" t="s">
        <v>170</v>
      </c>
    </row>
    <row r="3" ht="17.1" customHeight="1">
      <c r="A3" s="11"/>
      <c r="B3" s="11" t="s">
        <v>171</v>
      </c>
      <c r="R3" s="1040" t="s">
        <v>260</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19.216831798521920758329359690</v>
      </c>
      <c r="E11" s="428">
        <v>22.986612834679133021674458160</v>
      </c>
      <c r="F11" s="429">
        <v>41.813648707904982497713713350</v>
      </c>
      <c r="G11" s="427">
        <v>2.2466660340849445149759719100</v>
      </c>
      <c r="H11" s="428">
        <v>3.6796996741748122963592576900</v>
      </c>
      <c r="I11" s="429">
        <v>3.6194385187699268906756513900</v>
      </c>
      <c r="J11" s="427">
        <v>1.0031625082425798764543874600</v>
      </c>
      <c r="K11" s="428">
        <v>3.9771922368607451480379657200</v>
      </c>
      <c r="L11" s="429">
        <v>0.1783060753028411218782499100</v>
      </c>
      <c r="M11" s="427">
        <v>22.483537158984007525870178740</v>
      </c>
      <c r="N11" s="428">
        <v>30.643504745714690466071681540</v>
      </c>
      <c r="O11" s="429">
        <v>45.615215852176877288977073080</v>
      </c>
      <c r="P11" s="5"/>
      <c r="Q11" s="427">
        <v>-6.3607278033297896480498419800</v>
      </c>
      <c r="R11" s="428">
        <v>9.272177914044234106827610470</v>
      </c>
      <c r="S11" s="429">
        <v>7.4138701644502165109830360500</v>
      </c>
      <c r="T11" s="427">
        <v>-50.749031286845737562109246940</v>
      </c>
      <c r="U11" s="428">
        <v>-43.850228565340883830273291030</v>
      </c>
      <c r="V11" s="429">
        <v>-11.103090201945241051787321500</v>
      </c>
      <c r="W11" s="427">
        <v>-9.286587855579479506986665760</v>
      </c>
      <c r="X11" s="428">
        <v>-24.040609009102876457672661860</v>
      </c>
      <c r="Y11" s="429">
        <v>-79.34108920640549159365708358</v>
      </c>
      <c r="Z11" s="427">
        <v>-14.047125928042856771008582550</v>
      </c>
      <c r="AA11" s="428">
        <v>-6.6086920999848049350771600300</v>
      </c>
      <c r="AB11" s="429">
        <v>3.9988361575274579675645276500</v>
      </c>
    </row>
    <row r="12" ht="18" customHeight="1">
      <c r="A12" s="58"/>
      <c r="B12" s="1043" t="s">
        <v>46</v>
      </c>
      <c r="C12" s="1043"/>
      <c r="D12" s="420">
        <v>24.112368502126139844468994870</v>
      </c>
      <c r="E12" s="91">
        <v>34.810171412381357132738348240</v>
      </c>
      <c r="F12" s="421">
        <v>59.214223938929301391597042960</v>
      </c>
      <c r="G12" s="420">
        <v>3.0319715703608060297208251800</v>
      </c>
      <c r="H12" s="91">
        <v>6.126930160079331350049582100</v>
      </c>
      <c r="I12" s="421">
        <v>6.4898167113901731860098313400</v>
      </c>
      <c r="J12" s="420">
        <v>1.3213659884342701953850893500</v>
      </c>
      <c r="K12" s="91">
        <v>3.8833404164895877603059923500</v>
      </c>
      <c r="L12" s="421">
        <v>0.2298749892384667404606849400</v>
      </c>
      <c r="M12" s="420">
        <v>28.473360655737704918032786890</v>
      </c>
      <c r="N12" s="91">
        <v>44.815129621759456013599660010</v>
      </c>
      <c r="O12" s="421">
        <v>65.939147080161178948840542970</v>
      </c>
      <c r="P12" s="5"/>
      <c r="Q12" s="420">
        <v>-15.020388518357788569744915720</v>
      </c>
      <c r="R12" s="91">
        <v>5.6179322517913421628920571800</v>
      </c>
      <c r="S12" s="421">
        <v>4.5774370324089776281342984800</v>
      </c>
      <c r="T12" s="420">
        <v>-44.490771222181234487968425290</v>
      </c>
      <c r="U12" s="91">
        <v>-30.102850290498461403794899300</v>
      </c>
      <c r="V12" s="421">
        <v>17.447156939114229457847932570</v>
      </c>
      <c r="W12" s="420">
        <v>7.6522729011489631106842428300</v>
      </c>
      <c r="X12" s="91">
        <v>-27.239420363244885586297667600</v>
      </c>
      <c r="Y12" s="421">
        <v>-73.500451045980153783987457920</v>
      </c>
      <c r="Z12" s="420">
        <v>-19.663260133581765581642967340</v>
      </c>
      <c r="AA12" s="91">
        <v>-4.7771480000432009890537286600</v>
      </c>
      <c r="AB12" s="421">
        <v>4.6381236348458541841770551800</v>
      </c>
    </row>
    <row r="13" ht="18" customHeight="1">
      <c r="A13" s="58"/>
      <c r="B13" s="1043" t="s">
        <v>47</v>
      </c>
      <c r="C13" s="1043"/>
      <c r="D13" s="420">
        <v>32.342406753789513500236387240</v>
      </c>
      <c r="E13" s="91">
        <v>43.595055956934409973084006270</v>
      </c>
      <c r="F13" s="421">
        <v>67.128741153964724718104655460</v>
      </c>
      <c r="G13" s="420">
        <v>4.0014525017060599018768212500</v>
      </c>
      <c r="H13" s="91">
        <v>9.054044482221277801388298630</v>
      </c>
      <c r="I13" s="421">
        <v>7.4984697059954607087916960400</v>
      </c>
      <c r="J13" s="420">
        <v>1.2377826405277411963138967100</v>
      </c>
      <c r="K13" s="91">
        <v>3.8001133305000708315625442700</v>
      </c>
      <c r="L13" s="421">
        <v>0.2054016063537630570656310300</v>
      </c>
      <c r="M13" s="420">
        <v>37.598719316969050160085378870</v>
      </c>
      <c r="N13" s="91">
        <v>56.438589035274118147046323840</v>
      </c>
      <c r="O13" s="421">
        <v>74.831085510501979773964879770</v>
      </c>
      <c r="P13" s="184"/>
      <c r="Q13" s="420">
        <v>-6.9296031993569597839169577300</v>
      </c>
      <c r="R13" s="91">
        <v>8.544649869652462542664022490</v>
      </c>
      <c r="S13" s="421">
        <v>3.9452672632239850924862588300</v>
      </c>
      <c r="T13" s="420">
        <v>-39.690948127137549620318153970</v>
      </c>
      <c r="U13" s="91">
        <v>-20.058988174859689053908817410</v>
      </c>
      <c r="V13" s="421">
        <v>6.4200770882245391818378240800</v>
      </c>
      <c r="W13" s="420">
        <v>-0.5536158842649293945570714900</v>
      </c>
      <c r="X13" s="91">
        <v>-25.134628582927757178895124500</v>
      </c>
      <c r="Y13" s="421">
        <v>-75.840778700592664516477379560</v>
      </c>
      <c r="Z13" s="420">
        <v>-12.727060271582549847033691330</v>
      </c>
      <c r="AA13" s="91">
        <v>-0.2358705427059946547086617900</v>
      </c>
      <c r="AB13" s="421">
        <v>3.2442758683530044357776187200</v>
      </c>
    </row>
    <row r="14" ht="18" customHeight="1">
      <c r="A14" s="58"/>
      <c r="B14" s="1043" t="s">
        <v>48</v>
      </c>
      <c r="C14" s="1043"/>
      <c r="D14" s="420">
        <v>33.784578211290306862026048290</v>
      </c>
      <c r="E14" s="91">
        <v>42.693724323558577702224111100</v>
      </c>
      <c r="F14" s="421">
        <v>66.310407304785531976529582290</v>
      </c>
      <c r="G14" s="420">
        <v>5.0153790969401821662206246600</v>
      </c>
      <c r="H14" s="91">
        <v>11.881994616801246635500779160</v>
      </c>
      <c r="I14" s="421">
        <v>7.5536203103712214686307611100</v>
      </c>
      <c r="J14" s="420">
        <v>1.4461522549459420970084009700</v>
      </c>
      <c r="K14" s="91">
        <v>3.7399065023374415639609009800</v>
      </c>
      <c r="L14" s="421">
        <v>0.2489916479823962663150320300</v>
      </c>
      <c r="M14" s="420">
        <v>40.264669675830939679934345510</v>
      </c>
      <c r="N14" s="91">
        <v>58.301459130188411956367757470</v>
      </c>
      <c r="O14" s="421">
        <v>74.115622187857660821778977630</v>
      </c>
      <c r="P14" s="5"/>
      <c r="Q14" s="420">
        <v>-4.7793026623354248781529386900</v>
      </c>
      <c r="R14" s="91">
        <v>7.6828856005177792610508620600</v>
      </c>
      <c r="S14" s="421">
        <v>2.6931274775052961399212567600</v>
      </c>
      <c r="T14" s="420">
        <v>-32.923306661096602100695901140</v>
      </c>
      <c r="U14" s="91">
        <v>-12.872141358443020572109626950</v>
      </c>
      <c r="V14" s="421">
        <v>8.004967507362850942972894580</v>
      </c>
      <c r="W14" s="420">
        <v>18.647283007224905567188058580</v>
      </c>
      <c r="X14" s="91">
        <v>-25.217232233232763986946856250</v>
      </c>
      <c r="Y14" s="421">
        <v>-70.048832677279551002844923820</v>
      </c>
      <c r="Z14" s="420">
        <v>-9.252603185928763440116012600</v>
      </c>
      <c r="AA14" s="91">
        <v>0.0294901128277124873835001900</v>
      </c>
      <c r="AB14" s="421">
        <v>2.3771217036467254391952447300</v>
      </c>
    </row>
    <row r="15" ht="18" customHeight="1">
      <c r="A15" s="58"/>
      <c r="B15" s="1043" t="s">
        <v>49</v>
      </c>
      <c r="C15" s="1043"/>
      <c r="D15" s="420">
        <v>29.659790842459033259106123850</v>
      </c>
      <c r="E15" s="91">
        <v>36.259077799784565134299315500</v>
      </c>
      <c r="F15" s="421">
        <v>58.613140867952031344870671350</v>
      </c>
      <c r="G15" s="420">
        <v>4.196855372007267346130727400</v>
      </c>
      <c r="H15" s="91">
        <v>11.741200180687306716703151610</v>
      </c>
      <c r="I15" s="421">
        <v>6.8374283393824888718966006500</v>
      </c>
      <c r="J15" s="420">
        <v>1.1070841508892072136076259300</v>
      </c>
      <c r="K15" s="91">
        <v>3.9386358108342888912053928200</v>
      </c>
      <c r="L15" s="421">
        <v>0.193714279140083049398098500</v>
      </c>
      <c r="M15" s="420">
        <v>35.001006643849406080128850410</v>
      </c>
      <c r="N15" s="91">
        <v>51.926752145661767260849925290</v>
      </c>
      <c r="O15" s="421">
        <v>65.650072001645751902900637730</v>
      </c>
      <c r="P15" s="184"/>
      <c r="Q15" s="420">
        <v>-9.044053591133980518900571970</v>
      </c>
      <c r="R15" s="91">
        <v>6.799594001347000328840032200</v>
      </c>
      <c r="S15" s="421">
        <v>4.0981511309678818810534764700</v>
      </c>
      <c r="T15" s="420">
        <v>-31.956285008204190198664132470</v>
      </c>
      <c r="U15" s="91">
        <v>-7.1969360920981630331919310900</v>
      </c>
      <c r="V15" s="421">
        <v>0.6673707494324243356971472700</v>
      </c>
      <c r="W15" s="420">
        <v>-12.714867808820821095012442700</v>
      </c>
      <c r="X15" s="91">
        <v>-21.610620259285130841242256800</v>
      </c>
      <c r="Y15" s="421">
        <v>-77.840205784863444333960350600</v>
      </c>
      <c r="Z15" s="420">
        <v>-13.530080138114329064129591930</v>
      </c>
      <c r="AA15" s="91">
        <v>0.5919981423494597746600816900</v>
      </c>
      <c r="AB15" s="421">
        <v>2.6178034542914958571122751100</v>
      </c>
    </row>
    <row r="16" ht="18" customHeight="1">
      <c r="A16" s="58"/>
      <c r="B16" s="1044" t="s">
        <v>75</v>
      </c>
      <c r="C16" s="1044"/>
      <c r="D16" s="430">
        <v>27.826009444785138216611203590</v>
      </c>
      <c r="E16" s="431">
        <v>36.069657006978401529744642730</v>
      </c>
      <c r="F16" s="432">
        <v>58.616713093279421750439671870</v>
      </c>
      <c r="G16" s="430">
        <v>3.7032461140033395977844245700</v>
      </c>
      <c r="H16" s="431">
        <v>8.509204575121892706194477960</v>
      </c>
      <c r="I16" s="432">
        <v>6.4015781240196565744502505600</v>
      </c>
      <c r="J16" s="430">
        <v>1.223393805518960402839497400</v>
      </c>
      <c r="K16" s="431">
        <v>3.8681089166895987242719953700</v>
      </c>
      <c r="L16" s="432">
        <v>0.2111921851728634525894297700</v>
      </c>
      <c r="M16" s="430">
        <v>32.772483928977448893114781210</v>
      </c>
      <c r="N16" s="431">
        <v>48.438503277520233130825624630</v>
      </c>
      <c r="O16" s="432">
        <v>65.232682852088643739640354910</v>
      </c>
      <c r="P16" s="5"/>
      <c r="Q16" s="430">
        <v>-8.580572985297328331480615570</v>
      </c>
      <c r="R16" s="431">
        <v>7.3507517644512380704826613100</v>
      </c>
      <c r="S16" s="432">
        <v>4.1784664092289601931276343600</v>
      </c>
      <c r="T16" s="430">
        <v>-39.031093135757783057815938910</v>
      </c>
      <c r="U16" s="431">
        <v>-19.732405574014662235213042950</v>
      </c>
      <c r="V16" s="432">
        <v>5.0662111472284577749707869600</v>
      </c>
      <c r="W16" s="430">
        <v>0.7757301617567963106294336700</v>
      </c>
      <c r="X16" s="431">
        <v>-24.659607901808541061514584920</v>
      </c>
      <c r="Y16" s="432">
        <v>-75.360343938115577411277869800</v>
      </c>
      <c r="Z16" s="629">
        <v>-13.643955508475725341981822700</v>
      </c>
      <c r="AA16" s="214">
        <v>-1.8125821700581760012240375500</v>
      </c>
      <c r="AB16" s="630">
        <v>3.1893603459326027137014865100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41.507646636639912529028359880</v>
      </c>
      <c r="E18" s="480">
        <v>42.217382065448363790905227410</v>
      </c>
      <c r="F18" s="481">
        <v>58.493048799030442937137562180</v>
      </c>
      <c r="G18" s="479">
        <v>6.9435821035347716288984926200</v>
      </c>
      <c r="H18" s="480">
        <v>15.520966142513103839070689910</v>
      </c>
      <c r="I18" s="481">
        <v>8.957182344592971800904284760</v>
      </c>
      <c r="J18" s="479">
        <v>1.2615370734634814037732859600</v>
      </c>
      <c r="K18" s="480">
        <v>3.6991783538744864711715540500</v>
      </c>
      <c r="L18" s="481">
        <v>0.2149933512313270624473074500</v>
      </c>
      <c r="M18" s="479">
        <v>49.723020106688551497743126800</v>
      </c>
      <c r="N18" s="480">
        <v>61.430443405581527128488454460</v>
      </c>
      <c r="O18" s="481">
        <v>67.665335302703222366914585860</v>
      </c>
      <c r="P18" s="184"/>
      <c r="Q18" s="479">
        <v>-4.5501508615696653359706573700</v>
      </c>
      <c r="R18" s="480">
        <v>3.6836056042878599739054651600</v>
      </c>
      <c r="S18" s="481">
        <v>4.0477697308875876231703044200</v>
      </c>
      <c r="T18" s="479">
        <v>-7.6458221646390156583583004700</v>
      </c>
      <c r="U18" s="480">
        <v>-4.784329995170474317179137900</v>
      </c>
      <c r="V18" s="481">
        <v>-5.7415746093935856667394184400</v>
      </c>
      <c r="W18" s="479">
        <v>13.298537949385219872253036250</v>
      </c>
      <c r="X18" s="480">
        <v>-24.484998697298251649847375260</v>
      </c>
      <c r="Y18" s="481">
        <v>-73.872741743309909340784980130</v>
      </c>
      <c r="Z18" s="479">
        <v>-5.7387200173321870375871321400</v>
      </c>
      <c r="AA18" s="480">
        <v>-0.7769122085468046564891124500</v>
      </c>
      <c r="AB18" s="481">
        <v>1.6865155050290154605975497400</v>
      </c>
    </row>
    <row r="19" ht="18" customHeight="1">
      <c r="A19" s="58"/>
      <c r="B19" s="1046" t="s">
        <v>51</v>
      </c>
      <c r="C19" s="1046"/>
      <c r="D19" s="271">
        <v>43.199952466895802217016914210</v>
      </c>
      <c r="E19" s="92">
        <v>43.812863011758039382348774650</v>
      </c>
      <c r="F19" s="272">
        <v>59.375432098803343108683291150</v>
      </c>
      <c r="G19" s="271">
        <v>5.1179430866526603291290218900</v>
      </c>
      <c r="H19" s="92">
        <v>11.890848562119280351324550230</v>
      </c>
      <c r="I19" s="272">
        <v>7.7187012754318579537376105800</v>
      </c>
      <c r="J19" s="271">
        <v>1.1282038868372597919923695500</v>
      </c>
      <c r="K19" s="92">
        <v>3.5823062756764414222977758900</v>
      </c>
      <c r="L19" s="272">
        <v>0.1931860681619978038251429100</v>
      </c>
      <c r="M19" s="271">
        <v>49.476815757078375051292572840</v>
      </c>
      <c r="N19" s="92">
        <v>59.278934693299334183312083860</v>
      </c>
      <c r="O19" s="272">
        <v>67.288494151791177858978617760</v>
      </c>
      <c r="P19" s="5"/>
      <c r="Q19" s="271">
        <v>-3.1104472939771243998832204100</v>
      </c>
      <c r="R19" s="92">
        <v>3.1879708654307426271078484300</v>
      </c>
      <c r="S19" s="272">
        <v>3.6693648982461240459925508500</v>
      </c>
      <c r="T19" s="271">
        <v>-20.079041962960387584611027650</v>
      </c>
      <c r="U19" s="92">
        <v>-7.3181797829020095483294392200</v>
      </c>
      <c r="V19" s="272">
        <v>-8.502255789243045481577572850</v>
      </c>
      <c r="W19" s="271">
        <v>-4.9563546179462793386411757200</v>
      </c>
      <c r="X19" s="92">
        <v>-19.519985948530901666162296440</v>
      </c>
      <c r="Y19" s="272">
        <v>-77.364795732423953885990310700</v>
      </c>
      <c r="Z19" s="271">
        <v>-6.6810136501258845325482489400</v>
      </c>
      <c r="AA19" s="92">
        <v>-0.7748605406686787227849152700</v>
      </c>
      <c r="AB19" s="272">
        <v>1.0896495910447032257574023500</v>
      </c>
    </row>
    <row r="20" ht="18" customHeight="1">
      <c r="A20" s="58"/>
      <c r="B20" s="1047" t="s">
        <v>76</v>
      </c>
      <c r="C20" s="1047"/>
      <c r="D20" s="273">
        <v>42.353799551767857373022637020</v>
      </c>
      <c r="E20" s="274">
        <v>43.015122538603201586627001020</v>
      </c>
      <c r="F20" s="275">
        <v>58.934192901806326863944238300</v>
      </c>
      <c r="G20" s="273">
        <v>6.0307625950937159790137572500</v>
      </c>
      <c r="H20" s="274">
        <v>13.705907352316192095197620070</v>
      </c>
      <c r="I20" s="275">
        <v>8.338008545405463061535094680</v>
      </c>
      <c r="J20" s="273">
        <v>1.1948704801503705978828277500</v>
      </c>
      <c r="K20" s="274">
        <v>3.6407423147754639467346649700</v>
      </c>
      <c r="L20" s="275">
        <v>0.204090884779304536387488300</v>
      </c>
      <c r="M20" s="273">
        <v>49.599917931883463274517849820</v>
      </c>
      <c r="N20" s="274">
        <v>60.354689049440430655900269160</v>
      </c>
      <c r="O20" s="275">
        <v>67.476935313990026790435858100</v>
      </c>
      <c r="P20" s="184"/>
      <c r="Q20" s="273">
        <v>-3.8098056839559532500648872900</v>
      </c>
      <c r="R20" s="274">
        <v>3.4305988132614313193643041700</v>
      </c>
      <c r="S20" s="275">
        <v>3.8567224715011790595078475400</v>
      </c>
      <c r="T20" s="273">
        <v>-13.431015662755024297764627300</v>
      </c>
      <c r="U20" s="274">
        <v>-5.9002926063060932283235179800</v>
      </c>
      <c r="V20" s="275">
        <v>-7.0390801263669034121025626700</v>
      </c>
      <c r="W20" s="273">
        <v>3.9109720430472832715146798300</v>
      </c>
      <c r="X20" s="274">
        <v>-22.121290577905465165405372790</v>
      </c>
      <c r="Y20" s="275">
        <v>-75.650506970722871044290509530</v>
      </c>
      <c r="Z20" s="273">
        <v>-6.2110642742294399359732961800</v>
      </c>
      <c r="AA20" s="274">
        <v>-0.7759046695446003354967337700</v>
      </c>
      <c r="AB20" s="275">
        <v>1.3880683870719074346060312300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32.060686404477831786713801740</v>
      </c>
      <c r="E22" s="469">
        <v>38.031746148895784052034431930</v>
      </c>
      <c r="F22" s="470">
        <v>58.646549079473303097571220110</v>
      </c>
      <c r="G22" s="468">
        <v>4.3202238915893356900869052900</v>
      </c>
      <c r="H22" s="469">
        <v>10.057879447322888715099883600</v>
      </c>
      <c r="I22" s="470">
        <v>7.015122493041064055360636700</v>
      </c>
      <c r="J22" s="468">
        <v>1.216674031521579024893209600</v>
      </c>
      <c r="K22" s="469">
        <v>3.7479586011626940685578058600</v>
      </c>
      <c r="L22" s="470">
        <v>0.207039970879500706994585400</v>
      </c>
      <c r="M22" s="468">
        <v>37.597584327588746501693916630</v>
      </c>
      <c r="N22" s="469">
        <v>51.837584197381366835692121400</v>
      </c>
      <c r="O22" s="470">
        <v>65.868711543393867859926442210</v>
      </c>
      <c r="P22" s="184"/>
      <c r="Q22" s="468">
        <v>-7.3142819911597224316893905700</v>
      </c>
      <c r="R22" s="469">
        <v>6.0973119939193762059367334200</v>
      </c>
      <c r="S22" s="470">
        <v>4.1473122560768779905773599900</v>
      </c>
      <c r="T22" s="468">
        <v>-32.637755006366136026223035960</v>
      </c>
      <c r="U22" s="469">
        <v>-14.796513140138212639968626220</v>
      </c>
      <c r="V22" s="470">
        <v>0.0622844014576334738609040300</v>
      </c>
      <c r="W22" s="468">
        <v>2.2546930482137734934423254900</v>
      </c>
      <c r="X22" s="469">
        <v>-24.263654765379292261749460190</v>
      </c>
      <c r="Y22" s="470">
        <v>-75.406740298239208798230321710</v>
      </c>
      <c r="Z22" s="468">
        <v>-10.893568072588387225076172780</v>
      </c>
      <c r="AA22" s="469">
        <v>-1.4482037081774827262464158100</v>
      </c>
      <c r="AB22" s="470">
        <v>2.6571840139201906412045071300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101.19163134448602914421890087</v>
      </c>
      <c r="E25" s="455">
        <v>122.77215285320603884730879347</v>
      </c>
      <c r="F25" s="456">
        <v>114.17987172699880101198487789</v>
      </c>
      <c r="G25" s="454">
        <v>121.32193755377229360606505267</v>
      </c>
      <c r="H25" s="455">
        <v>145.3527413487772787731621823</v>
      </c>
      <c r="I25" s="456">
        <v>119.30075175627129791374920392</v>
      </c>
      <c r="J25" s="454">
        <v>94.25019492324147364670118186</v>
      </c>
      <c r="K25" s="455">
        <v>126.89738684246983458041193498</v>
      </c>
      <c r="L25" s="456">
        <v>91.32524966228198155026488823</v>
      </c>
      <c r="M25" s="454">
        <v>102.84688299823432458931002256</v>
      </c>
      <c r="N25" s="455">
        <v>126.01906059280057925658200918</v>
      </c>
      <c r="O25" s="456">
        <v>114.49030692512925844577067209</v>
      </c>
      <c r="P25" s="5"/>
      <c r="Q25" s="427">
        <v>-3.3213280593395308738232843200</v>
      </c>
      <c r="R25" s="428">
        <v>-4.3401287601196597260739238900</v>
      </c>
      <c r="S25" s="429">
        <v>0.4323125304841259114534203400</v>
      </c>
      <c r="T25" s="427">
        <v>18.877135046201365131637290240</v>
      </c>
      <c r="U25" s="428">
        <v>9.154604719037550619241680270</v>
      </c>
      <c r="V25" s="429">
        <v>4.7683457818578378657955955400</v>
      </c>
      <c r="W25" s="427">
        <v>0.3381492912076701915795448100</v>
      </c>
      <c r="X25" s="428">
        <v>5.3505184902584795012941903200</v>
      </c>
      <c r="Y25" s="429">
        <v>0.7865470113470311677052694200</v>
      </c>
      <c r="Z25" s="427">
        <v>-0.7585714156704938153502177100</v>
      </c>
      <c r="AA25" s="428">
        <v>-1.6203453651357922931202749900</v>
      </c>
      <c r="AB25" s="429">
        <v>1.0920536682794499938804097200</v>
      </c>
    </row>
    <row r="26" ht="18" customHeight="1">
      <c r="A26" s="58"/>
      <c r="B26" s="1043" t="s">
        <v>46</v>
      </c>
      <c r="C26" s="1043"/>
      <c r="D26" s="439">
        <v>106.69220821458548463616067526</v>
      </c>
      <c r="E26" s="95">
        <v>140.14487616776587632822450945</v>
      </c>
      <c r="F26" s="440">
        <v>128.39774982974364511557520664</v>
      </c>
      <c r="G26" s="439">
        <v>123.70953943864915467330141164</v>
      </c>
      <c r="H26" s="95">
        <v>147.9984007165946841658447559</v>
      </c>
      <c r="I26" s="440">
        <v>130.2510617235289384400615739</v>
      </c>
      <c r="J26" s="439">
        <v>94.11657793771473725187315392</v>
      </c>
      <c r="K26" s="95">
        <v>128.53873411536653943035885046</v>
      </c>
      <c r="L26" s="440">
        <v>90.58167588799487538407826021</v>
      </c>
      <c r="M26" s="439">
        <v>107.92102208166231800011194107</v>
      </c>
      <c r="N26" s="95">
        <v>140.22948815000624407479205079</v>
      </c>
      <c r="O26" s="440">
        <v>128.44151528746918365551430022</v>
      </c>
      <c r="P26" s="5"/>
      <c r="Q26" s="420">
        <v>-0.5535912221112967524702467200</v>
      </c>
      <c r="R26" s="91">
        <v>-2.6230316917318596220293978500</v>
      </c>
      <c r="S26" s="421">
        <v>2.7063417688482637559297740600</v>
      </c>
      <c r="T26" s="420">
        <v>21.169230119795439425641102430</v>
      </c>
      <c r="U26" s="91">
        <v>7.0866539121700377526024545700</v>
      </c>
      <c r="V26" s="421">
        <v>8.218993976008647244142883210</v>
      </c>
      <c r="W26" s="420">
        <v>2.355934739233535393471231800</v>
      </c>
      <c r="X26" s="91">
        <v>8.570209835772479653855577490</v>
      </c>
      <c r="Y26" s="421">
        <v>0.3885842319965710562420528900</v>
      </c>
      <c r="Z26" s="420">
        <v>1.86911070445367788119042600</v>
      </c>
      <c r="AA26" s="91">
        <v>0.1998879245476394075004564500</v>
      </c>
      <c r="AB26" s="421">
        <v>3.4770235084027150458360964800</v>
      </c>
    </row>
    <row r="27" ht="18" customHeight="1">
      <c r="A27" s="58"/>
      <c r="B27" s="1043" t="s">
        <v>47</v>
      </c>
      <c r="C27" s="1043"/>
      <c r="D27" s="439">
        <v>110.3060712357879330160640088</v>
      </c>
      <c r="E27" s="95">
        <v>145.77054153063584282968276557</v>
      </c>
      <c r="F27" s="440">
        <v>137.31549287429623443056859909</v>
      </c>
      <c r="G27" s="439">
        <v>114.05180799204352022561031162</v>
      </c>
      <c r="H27" s="95">
        <v>145.78851563648209438060688474</v>
      </c>
      <c r="I27" s="440">
        <v>131.53277941486336824467178802</v>
      </c>
      <c r="J27" s="439">
        <v>94.56262751599015568442009805</v>
      </c>
      <c r="K27" s="95">
        <v>127.99698424339983417926276833</v>
      </c>
      <c r="L27" s="440">
        <v>89.98652877709326173944789461</v>
      </c>
      <c r="M27" s="439">
        <v>110.1550935863026974498116971</v>
      </c>
      <c r="N27" s="95">
        <v>144.60414064314736468814950139</v>
      </c>
      <c r="O27" s="440">
        <v>136.6125196537217814023307372</v>
      </c>
      <c r="P27" s="93"/>
      <c r="Q27" s="420">
        <v>-1.6613938879599532677875345900</v>
      </c>
      <c r="R27" s="91">
        <v>-2.2456934659068511128246325600</v>
      </c>
      <c r="S27" s="421">
        <v>3.7112910155192947128764650800</v>
      </c>
      <c r="T27" s="420">
        <v>8.174961967900293134969635630</v>
      </c>
      <c r="U27" s="91">
        <v>4.1532035625252532056718425200</v>
      </c>
      <c r="V27" s="421">
        <v>5.4421679352480309149025493400</v>
      </c>
      <c r="W27" s="420">
        <v>0.9196439768979243807230578600</v>
      </c>
      <c r="X27" s="91">
        <v>8.928161278180485155900497190</v>
      </c>
      <c r="Y27" s="421">
        <v>-2.3079861665640136946945089200</v>
      </c>
      <c r="Z27" s="420">
        <v>-0.3859524991142831727564344400</v>
      </c>
      <c r="AA27" s="91">
        <v>0.1210781086579717952183977600</v>
      </c>
      <c r="AB27" s="421">
        <v>4.1413186775343216180539867500</v>
      </c>
    </row>
    <row r="28" ht="18" customHeight="1">
      <c r="A28" s="58"/>
      <c r="B28" s="1043" t="s">
        <v>48</v>
      </c>
      <c r="C28" s="1043"/>
      <c r="D28" s="439">
        <v>109.86359128514605989705628764</v>
      </c>
      <c r="E28" s="95">
        <v>142.73835095823875617920176168</v>
      </c>
      <c r="F28" s="440">
        <v>135.5433589062760522351357157</v>
      </c>
      <c r="G28" s="439">
        <v>124.52274276296481591016360874</v>
      </c>
      <c r="H28" s="95">
        <v>144.89542830397525829359961291</v>
      </c>
      <c r="I28" s="440">
        <v>131.7041077085940414324064384</v>
      </c>
      <c r="J28" s="439">
        <v>95.33227948989758419133137449</v>
      </c>
      <c r="K28" s="95">
        <v>129.28406968565267431165668868</v>
      </c>
      <c r="L28" s="440">
        <v>91.28883738962179881778647791</v>
      </c>
      <c r="M28" s="439">
        <v>111.139908869410567045083093</v>
      </c>
      <c r="N28" s="95">
        <v>142.34959059345489134907140089</v>
      </c>
      <c r="O28" s="440">
        <v>135.00179148070184198809949117</v>
      </c>
      <c r="P28" s="5"/>
      <c r="Q28" s="420">
        <v>-2.9015376093953737687880771900</v>
      </c>
      <c r="R28" s="91">
        <v>-3.94470652104969638783691700</v>
      </c>
      <c r="S28" s="421">
        <v>3.2839733813971394441489672400</v>
      </c>
      <c r="T28" s="420">
        <v>9.774342274274224364797892660</v>
      </c>
      <c r="U28" s="91">
        <v>3.384550982519695402139015300</v>
      </c>
      <c r="V28" s="421">
        <v>5.9574363287738676252717592100</v>
      </c>
      <c r="W28" s="420">
        <v>2.4350562055281582810083053200</v>
      </c>
      <c r="X28" s="91">
        <v>8.512562487300157837957172420</v>
      </c>
      <c r="Y28" s="421">
        <v>0.4885982674458898565033158600</v>
      </c>
      <c r="Z28" s="420">
        <v>-1.3723915798584196598994528900</v>
      </c>
      <c r="AA28" s="91">
        <v>-1.2119524932396303719796417500</v>
      </c>
      <c r="AB28" s="421">
        <v>3.7652597135059291152234720700</v>
      </c>
    </row>
    <row r="29" ht="18" customHeight="1">
      <c r="A29" s="58"/>
      <c r="B29" s="1043" t="s">
        <v>49</v>
      </c>
      <c r="C29" s="1043"/>
      <c r="D29" s="439">
        <v>106.9706747992129566502375375</v>
      </c>
      <c r="E29" s="95">
        <v>133.94294708745957773103820117</v>
      </c>
      <c r="F29" s="440">
        <v>124.70389036064378320550231827</v>
      </c>
      <c r="G29" s="439">
        <v>117.59966559299088905118844651</v>
      </c>
      <c r="H29" s="95">
        <v>145.9922420023109020921608464</v>
      </c>
      <c r="I29" s="440">
        <v>126.93459554561960183262348936</v>
      </c>
      <c r="J29" s="439">
        <v>95.60096347592982451717911308</v>
      </c>
      <c r="K29" s="95">
        <v>129.26756293952217981581720038</v>
      </c>
      <c r="L29" s="440">
        <v>92.19282697646037765529791224</v>
      </c>
      <c r="M29" s="439">
        <v>107.7934268530083591255350324</v>
      </c>
      <c r="N29" s="95">
        <v>136.34416629921022635265149395</v>
      </c>
      <c r="O29" s="440">
        <v>124.83214882106842658738209206</v>
      </c>
      <c r="P29" s="93"/>
      <c r="Q29" s="420">
        <v>-3.5367939829952359410867711100</v>
      </c>
      <c r="R29" s="91">
        <v>-2.7873467202319431278623830500</v>
      </c>
      <c r="S29" s="421">
        <v>1.8487193139290930284472463300</v>
      </c>
      <c r="T29" s="420">
        <v>3.6696335735559279946268251400</v>
      </c>
      <c r="U29" s="91">
        <v>5.7781288596723705012363873600</v>
      </c>
      <c r="V29" s="421">
        <v>6.2454842287937222135225568700</v>
      </c>
      <c r="W29" s="420">
        <v>3.3249904603339294159178703300</v>
      </c>
      <c r="X29" s="91">
        <v>8.369849186331106039293048710</v>
      </c>
      <c r="Y29" s="421">
        <v>0.5176348901512223883624714200</v>
      </c>
      <c r="Z29" s="420">
        <v>-2.6281060063704740081817283300</v>
      </c>
      <c r="AA29" s="91">
        <v>0.216435621641233659595164500</v>
      </c>
      <c r="AB29" s="421">
        <v>2.5746909166724432939157904200</v>
      </c>
    </row>
    <row r="30" ht="18" customHeight="1">
      <c r="A30" s="58"/>
      <c r="B30" s="1044" t="s">
        <v>75</v>
      </c>
      <c r="C30" s="1044"/>
      <c r="D30" s="457">
        <v>107.59122305398209936506381237</v>
      </c>
      <c r="E30" s="458">
        <v>138.6393435039276081348269195</v>
      </c>
      <c r="F30" s="459">
        <v>129.27246293588122883476165977</v>
      </c>
      <c r="G30" s="457">
        <v>120.20220424569448030559188499</v>
      </c>
      <c r="H30" s="458">
        <v>145.87661340946145364904735995</v>
      </c>
      <c r="I30" s="459">
        <v>128.93900252491150714732255087</v>
      </c>
      <c r="J30" s="457">
        <v>94.79101258256601470073497961</v>
      </c>
      <c r="K30" s="458">
        <v>128.39073543501617506163412855</v>
      </c>
      <c r="L30" s="459">
        <v>91.05776051524101482621875453</v>
      </c>
      <c r="M30" s="457">
        <v>108.497915350301643479094292</v>
      </c>
      <c r="N30" s="458">
        <v>139.11653760305665050529555966</v>
      </c>
      <c r="O30" s="459">
        <v>129.11290878386821907216187182</v>
      </c>
      <c r="P30" s="5"/>
      <c r="Q30" s="430">
        <v>-2.3956709253845302422119659100</v>
      </c>
      <c r="R30" s="431">
        <v>-3.1367226185996352622336905600</v>
      </c>
      <c r="S30" s="432">
        <v>2.5096659111332326233686975800</v>
      </c>
      <c r="T30" s="430">
        <v>11.351683054460558750775314210</v>
      </c>
      <c r="U30" s="431">
        <v>5.3785357009868182454621645900</v>
      </c>
      <c r="V30" s="432">
        <v>6.347183299308321182137171500</v>
      </c>
      <c r="W30" s="430">
        <v>1.9131400360377126711928370100</v>
      </c>
      <c r="X30" s="431">
        <v>7.934153322856041713530261420</v>
      </c>
      <c r="Y30" s="432">
        <v>-0.0531559070547900907477721900</v>
      </c>
      <c r="Z30" s="430">
        <v>-0.7287187398870454970479109600</v>
      </c>
      <c r="AA30" s="431">
        <v>-0.3502338116007327110234743200</v>
      </c>
      <c r="AB30" s="432">
        <v>3.1562451294814224571426844400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117.35932012985955537917574561</v>
      </c>
      <c r="E32" s="494">
        <v>133.06963950700910045623663689</v>
      </c>
      <c r="F32" s="495">
        <v>125.7793581389550669513460535</v>
      </c>
      <c r="G32" s="493">
        <v>125.97698459789055829833353582</v>
      </c>
      <c r="H32" s="494">
        <v>146.19885275555806710940876071</v>
      </c>
      <c r="I32" s="495">
        <v>131.38168601490151221636275544</v>
      </c>
      <c r="J32" s="493">
        <v>97.9930765161164212741687092</v>
      </c>
      <c r="K32" s="494">
        <v>130.85099241120318127159355159</v>
      </c>
      <c r="L32" s="495">
        <v>95.2967321854645164874219544</v>
      </c>
      <c r="M32" s="493">
        <v>118.07153611508063717850604445</v>
      </c>
      <c r="N32" s="494">
        <v>136.26859828301501449561743325</v>
      </c>
      <c r="O32" s="495">
        <v>126.42737925869227797974797468</v>
      </c>
      <c r="P32" s="93"/>
      <c r="Q32" s="479">
        <v>-1.1467690509269275755050065700</v>
      </c>
      <c r="R32" s="480">
        <v>-2.6633220338936843789135008600</v>
      </c>
      <c r="S32" s="481">
        <v>-0.0458233006243597302793260800</v>
      </c>
      <c r="T32" s="479">
        <v>10.804146877769052749658429810</v>
      </c>
      <c r="U32" s="480">
        <v>2.9696799781280352564543972200</v>
      </c>
      <c r="V32" s="481">
        <v>4.3178214920696753208516063100</v>
      </c>
      <c r="W32" s="479">
        <v>4.8423916281863997116803948100</v>
      </c>
      <c r="X32" s="480">
        <v>8.483191116689139886013185650</v>
      </c>
      <c r="Y32" s="481">
        <v>1.947751684394716873237852800</v>
      </c>
      <c r="Z32" s="479">
        <v>0.524047129370980201600953300</v>
      </c>
      <c r="AA32" s="480">
        <v>-0.4126881594144045617180302900</v>
      </c>
      <c r="AB32" s="481">
        <v>0.7774312249816674255225934500</v>
      </c>
    </row>
    <row r="33" ht="18" customHeight="1">
      <c r="A33" s="58"/>
      <c r="B33" s="1046" t="s">
        <v>51</v>
      </c>
      <c r="C33" s="1046"/>
      <c r="D33" s="276">
        <v>113.17107861870712909011805045</v>
      </c>
      <c r="E33" s="94">
        <v>132.76707250621657899894579163</v>
      </c>
      <c r="F33" s="277">
        <v>125.00880872199902147540615647</v>
      </c>
      <c r="G33" s="276">
        <v>122.82187764870270358793132969</v>
      </c>
      <c r="H33" s="94">
        <v>147.20529233720957836589656408</v>
      </c>
      <c r="I33" s="277">
        <v>131.63900305098720444530616022</v>
      </c>
      <c r="J33" s="276">
        <v>94.64069529522288560714764572</v>
      </c>
      <c r="K33" s="94">
        <v>132.97238145520720168758126886</v>
      </c>
      <c r="L33" s="277">
        <v>92.36342758452917071603729839</v>
      </c>
      <c r="M33" s="276">
        <v>113.70001587625369982059738816</v>
      </c>
      <c r="N33" s="94">
        <v>135.69152747272843485879104766</v>
      </c>
      <c r="O33" s="277">
        <v>125.6772811347917413240287033</v>
      </c>
      <c r="P33" s="5"/>
      <c r="Q33" s="271">
        <v>-5.4777036940118067625084876200</v>
      </c>
      <c r="R33" s="92">
        <v>-2.1006982801132055058754665100</v>
      </c>
      <c r="S33" s="272">
        <v>-0.6967415203613825308141191700</v>
      </c>
      <c r="T33" s="271">
        <v>8.741051149539379775168718920</v>
      </c>
      <c r="U33" s="92">
        <v>3.5202564790460672010571598600</v>
      </c>
      <c r="V33" s="272">
        <v>4.5619826669166090726883190700</v>
      </c>
      <c r="W33" s="271">
        <v>-1.4073537821908633593161744200</v>
      </c>
      <c r="X33" s="92">
        <v>9.539768044717377250814069640</v>
      </c>
      <c r="Y33" s="272">
        <v>-2.1229288459079647497838580800</v>
      </c>
      <c r="Z33" s="271">
        <v>-3.6829637639982878766290283500</v>
      </c>
      <c r="AA33" s="92">
        <v>-0.1988813955948424359396400100</v>
      </c>
      <c r="AB33" s="272">
        <v>0.1548224414569309599768751700</v>
      </c>
    </row>
    <row r="34" ht="18" customHeight="1">
      <c r="A34" s="58"/>
      <c r="B34" s="1047" t="s">
        <v>76</v>
      </c>
      <c r="C34" s="1047"/>
      <c r="D34" s="443">
        <v>115.22336259928999253506495591</v>
      </c>
      <c r="E34" s="444">
        <v>132.9155503660830858853725467</v>
      </c>
      <c r="F34" s="445">
        <v>125.39124071778295781838096137</v>
      </c>
      <c r="G34" s="443">
        <v>124.63821047574367096798430041</v>
      </c>
      <c r="H34" s="444">
        <v>146.63543168261167809696144803</v>
      </c>
      <c r="I34" s="445">
        <v>131.50077555987958561547016486</v>
      </c>
      <c r="J34" s="443">
        <v>96.41040727020101816956649038</v>
      </c>
      <c r="K34" s="444">
        <v>131.89466216704465337799996016</v>
      </c>
      <c r="L34" s="445">
        <v>93.90859446210967405599581098</v>
      </c>
      <c r="M34" s="633">
        <v>115.89120083981049044870320586</v>
      </c>
      <c r="N34" s="634">
        <v>135.98520569649729272522413319</v>
      </c>
      <c r="O34" s="635">
        <v>126.05341845019257650731776148</v>
      </c>
      <c r="P34" s="93"/>
      <c r="Q34" s="273">
        <v>-3.3576846235279190937281073800</v>
      </c>
      <c r="R34" s="274">
        <v>-2.376983683834508052512585600</v>
      </c>
      <c r="S34" s="275">
        <v>-0.3737843138905952270629891600</v>
      </c>
      <c r="T34" s="273">
        <v>9.954351078282206414709459370</v>
      </c>
      <c r="U34" s="274">
        <v>3.2076722506210942223416768900</v>
      </c>
      <c r="V34" s="275">
        <v>4.4310958314462653546918732900</v>
      </c>
      <c r="W34" s="273">
        <v>1.744205197232206276109802400</v>
      </c>
      <c r="X34" s="274">
        <v>9.015765284375385704238168980</v>
      </c>
      <c r="Y34" s="275">
        <v>-0.0222992832428558586466941100</v>
      </c>
      <c r="Z34" s="273">
        <v>-1.580764374403363581455463200</v>
      </c>
      <c r="AA34" s="274">
        <v>-0.3080348437535115323806268400</v>
      </c>
      <c r="AB34" s="275">
        <v>0.4669539500044316918491720900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110.28861527152439584673343747</v>
      </c>
      <c r="E36" s="483">
        <v>136.77381820755478391251272774</v>
      </c>
      <c r="F36" s="484">
        <v>128.16852792873457358097805131</v>
      </c>
      <c r="G36" s="482">
        <v>123.15990453460620525059665871</v>
      </c>
      <c r="H36" s="483">
        <v>145.75109815689817231584114352</v>
      </c>
      <c r="I36" s="484">
        <v>129.75020279096106501767433245</v>
      </c>
      <c r="J36" s="482">
        <v>95.8014527845036319612590799</v>
      </c>
      <c r="K36" s="483">
        <v>130.5765006223975284921173412</v>
      </c>
      <c r="L36" s="484">
        <v>91.97013839780544018690802605</v>
      </c>
      <c r="M36" s="482">
        <v>111.29881919686581782566111655</v>
      </c>
      <c r="N36" s="483">
        <v>138.06757274466003825208415459</v>
      </c>
      <c r="O36" s="484">
        <v>128.2231992484542844343465465</v>
      </c>
      <c r="P36" s="93"/>
      <c r="Q36" s="468">
        <v>-2.7434632789662909800823358600</v>
      </c>
      <c r="R36" s="469">
        <v>-2.9188883515292383510954763200</v>
      </c>
      <c r="S36" s="470">
        <v>1.6556787988678879414476197900</v>
      </c>
      <c r="T36" s="468">
        <v>12.300267991778817691257345780</v>
      </c>
      <c r="U36" s="469">
        <v>4.7396729584575803928250894900</v>
      </c>
      <c r="V36" s="470">
        <v>5.7945864980684422206479674100</v>
      </c>
      <c r="W36" s="468">
        <v>1.1156414988785211935413666200</v>
      </c>
      <c r="X36" s="469">
        <v>8.575392870971118260191533580</v>
      </c>
      <c r="Y36" s="470">
        <v>0.2952148080893864762649262500</v>
      </c>
      <c r="Z36" s="468">
        <v>-0.8974768760257894411293763900</v>
      </c>
      <c r="AA36" s="469">
        <v>-0.3535988727930909237329404500</v>
      </c>
      <c r="AB36" s="470">
        <v>2.3702688504655661161975129700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19.445825589650266297932796541</v>
      </c>
      <c r="E39" s="455">
        <v>28.221159445166942737585271451</v>
      </c>
      <c r="F39" s="456">
        <v>47.742770459063800584294625562</v>
      </c>
      <c r="G39" s="454">
        <v>2.7256987629143489375647206912</v>
      </c>
      <c r="H39" s="455">
        <v>5.3485443498151151949750498491</v>
      </c>
      <c r="I39" s="456">
        <v>4.3180173622485734058185062791</v>
      </c>
      <c r="J39" s="454">
        <v>0.9454826194155098483332251596</v>
      </c>
      <c r="K39" s="455">
        <v>5.0469530182778589118077136672</v>
      </c>
      <c r="L39" s="456">
        <v>0.1628384684333361673698688659</v>
      </c>
      <c r="M39" s="454">
        <v>23.123617155764819921773372899</v>
      </c>
      <c r="N39" s="455">
        <v>38.616656813259916844368034934</v>
      </c>
      <c r="O39" s="456">
        <v>52.225000633717522621075931232</v>
      </c>
      <c r="P39" s="5"/>
      <c r="Q39" s="427">
        <v>-9.470795225583739927154147550</v>
      </c>
      <c r="R39" s="428">
        <v>4.5296246934204806576859652700</v>
      </c>
      <c r="S39" s="429">
        <v>7.8782337846974996075697766600</v>
      </c>
      <c r="T39" s="427">
        <v>-41.451859410884272031011592230</v>
      </c>
      <c r="U39" s="428">
        <v>-38.709938939768685212587787180</v>
      </c>
      <c r="V39" s="429">
        <v>-6.8641781541178430573968700700</v>
      </c>
      <c r="W39" s="427">
        <v>-8.979841096651079349768218880</v>
      </c>
      <c r="X39" s="428">
        <v>-19.976387749679291248950332530</v>
      </c>
      <c r="Y39" s="429">
        <v>-79.178597159911159367153354240</v>
      </c>
      <c r="Z39" s="427">
        <v>-14.699139861850396436701796220</v>
      </c>
      <c r="AA39" s="428">
        <v>-8.121953829140436157545439400</v>
      </c>
      <c r="AB39" s="429">
        <v>5.1345592627578977421884832200</v>
      </c>
    </row>
    <row r="40" ht="18" customHeight="1">
      <c r="A40" s="58"/>
      <c r="B40" s="1043" t="s">
        <v>46</v>
      </c>
      <c r="C40" s="1043"/>
      <c r="D40" s="439">
        <v>25.726018407756548352776070267</v>
      </c>
      <c r="E40" s="95">
        <v>48.784671619668890722131984152</v>
      </c>
      <c r="F40" s="440">
        <v>76.029731116730617826007799323</v>
      </c>
      <c r="G40" s="439">
        <v>3.7508380656041314393743336027</v>
      </c>
      <c r="H40" s="95">
        <v>9.067758649940104958454151719</v>
      </c>
      <c r="I40" s="440">
        <v>8.45305517049671038314234354</v>
      </c>
      <c r="J40" s="439">
        <v>1.2436244503471946094096914386</v>
      </c>
      <c r="K40" s="95">
        <v>4.9915966127461188017207989674</v>
      </c>
      <c r="L40" s="440">
        <v>0.2082246176995510420544771739</v>
      </c>
      <c r="M40" s="439">
        <v>30.728741840670039110892529122</v>
      </c>
      <c r="N40" s="95">
        <v>62.844026882355114482306934787</v>
      </c>
      <c r="O40" s="440">
        <v>84.69323967739201050450010309</v>
      </c>
      <c r="P40" s="5"/>
      <c r="Q40" s="420">
        <v>-15.490828188146913028933838850</v>
      </c>
      <c r="R40" s="91">
        <v>2.8475404168007458443804668200</v>
      </c>
      <c r="S40" s="421">
        <v>7.407659891479092976987651300</v>
      </c>
      <c r="T40" s="420">
        <v>-32.739894844205986459970647740</v>
      </c>
      <c r="U40" s="91">
        <v>-25.149481196203754430404560890</v>
      </c>
      <c r="V40" s="421">
        <v>27.100131692391114313681082420</v>
      </c>
      <c r="W40" s="420">
        <v>10.188490200949127202942060420</v>
      </c>
      <c r="X40" s="91">
        <v>-21.003686011530719170257565350</v>
      </c>
      <c r="Y40" s="421">
        <v>-73.397477976074159685423568630</v>
      </c>
      <c r="Z40" s="420">
        <v>-18.161677529044756267320445610</v>
      </c>
      <c r="AA40" s="91">
        <v>-4.586809017442262916579530200</v>
      </c>
      <c r="AB40" s="421">
        <v>8.276415792492045623467036510</v>
      </c>
    </row>
    <row r="41" ht="18" customHeight="1">
      <c r="A41" s="58"/>
      <c r="B41" s="1043" t="s">
        <v>47</v>
      </c>
      <c r="C41" s="1043"/>
      <c r="D41" s="439">
        <v>35.675638233203348324533514596</v>
      </c>
      <c r="E41" s="95">
        <v>63.548749149007009042073239987</v>
      </c>
      <c r="F41" s="440">
        <v>92.17816177587719538286803098</v>
      </c>
      <c r="G41" s="439">
        <v>4.5637289241386174046734877143</v>
      </c>
      <c r="H41" s="95">
        <v>13.199757055697211867262413273</v>
      </c>
      <c r="I41" s="440">
        <v>9.862945617877363073225921248</v>
      </c>
      <c r="J41" s="439">
        <v>1.1704797878198353128894656713</v>
      </c>
      <c r="K41" s="95">
        <v>4.864030460871512327325008873</v>
      </c>
      <c r="L41" s="440">
        <v>0.1848337756101408148796984313</v>
      </c>
      <c r="M41" s="439">
        <v>41.416904450858527547031655165</v>
      </c>
      <c r="N41" s="95">
        <v>81.61253666557573323666066207</v>
      </c>
      <c r="O41" s="440">
        <v>102.22863140012786935603887064</v>
      </c>
      <c r="P41" s="93"/>
      <c r="Q41" s="420">
        <v>-8.475869083320893515324713350</v>
      </c>
      <c r="R41" s="91">
        <v>6.1070697599305206015271046800</v>
      </c>
      <c r="S41" s="421">
        <v>7.8029786282292858205115829500</v>
      </c>
      <c r="T41" s="420">
        <v>-34.760706073252143008110463180</v>
      </c>
      <c r="U41" s="91">
        <v>-16.738875224032612266721857240</v>
      </c>
      <c r="V41" s="421">
        <v>12.211636400032641558912684090</v>
      </c>
      <c r="W41" s="420">
        <v>0.3609367964541742087161514700</v>
      </c>
      <c r="X41" s="91">
        <v>-18.450527482472168228423645620</v>
      </c>
      <c r="Y41" s="421">
        <v>-76.398370186724988828276331590</v>
      </c>
      <c r="Z41" s="420">
        <v>-13.063892363454856003364298200</v>
      </c>
      <c r="AA41" s="91">
        <v>-0.1150780215395202042569997300</v>
      </c>
      <c r="AB41" s="421">
        <v>7.5199503484761010622223150300</v>
      </c>
    </row>
    <row r="42" ht="18" customHeight="1">
      <c r="A42" s="58"/>
      <c r="B42" s="1043" t="s">
        <v>48</v>
      </c>
      <c r="C42" s="1043"/>
      <c r="D42" s="439">
        <v>37.116950923462492175874918175</v>
      </c>
      <c r="E42" s="95">
        <v>60.940318062103988020267645506</v>
      </c>
      <c r="F42" s="440">
        <v>89.87935336533894628200134477</v>
      </c>
      <c r="G42" s="439">
        <v>6.2452876114703308273394064964</v>
      </c>
      <c r="H42" s="95">
        <v>17.216466991069450048697644911</v>
      </c>
      <c r="I42" s="440">
        <v>9.948428229469549051970949912</v>
      </c>
      <c r="J42" s="439">
        <v>1.3786499095345217798071332961</v>
      </c>
      <c r="K42" s="95">
        <v>4.8351033286601935144180997082</v>
      </c>
      <c r="L42" s="440">
        <v>0.2273015806403892540254785795</v>
      </c>
      <c r="M42" s="439">
        <v>44.750117184287697543285919165</v>
      </c>
      <c r="N42" s="95">
        <v>82.99188838183363158338339005</v>
      </c>
      <c r="O42" s="440">
        <v>100.0574177206763876980792776</v>
      </c>
      <c r="P42" s="5"/>
      <c r="Q42" s="420">
        <v>-7.5421670075663307943737083400</v>
      </c>
      <c r="R42" s="91">
        <v>3.4351117901142765211669100900</v>
      </c>
      <c r="S42" s="421">
        <v>6.0655424483338829351423130300</v>
      </c>
      <c r="T42" s="420">
        <v>-26.367001067397982319100394570</v>
      </c>
      <c r="U42" s="91">
        <v>-9.923254562801156814237548660</v>
      </c>
      <c r="V42" s="421">
        <v>14.439294677729059384264069470</v>
      </c>
      <c r="W42" s="420">
        <v>21.536411029742650915569093240</v>
      </c>
      <c r="X42" s="91">
        <v>-18.851302396225825400916293460</v>
      </c>
      <c r="Y42" s="421">
        <v>-69.902491791831437805318276120</v>
      </c>
      <c r="Z42" s="420">
        <v>-10.498012818779520711963674090</v>
      </c>
      <c r="AA42" s="91">
        <v>-1.1828197865815040938783780400</v>
      </c>
      <c r="AB42" s="421">
        <v>6.2318862229751447340261733400</v>
      </c>
    </row>
    <row r="43" ht="18" customHeight="1">
      <c r="A43" s="58"/>
      <c r="B43" s="1043" t="s">
        <v>49</v>
      </c>
      <c r="C43" s="1043"/>
      <c r="D43" s="439">
        <v>31.727278408213597379443223461</v>
      </c>
      <c r="E43" s="95">
        <v>48.566477391766242524875208673</v>
      </c>
      <c r="F43" s="440">
        <v>73.09286692490059510282564641</v>
      </c>
      <c r="G43" s="439">
        <v>4.9354878829020201573625827315</v>
      </c>
      <c r="H43" s="95">
        <v>17.141241381764777725751815575</v>
      </c>
      <c r="I43" s="440">
        <v>8.679062008316737031391714917</v>
      </c>
      <c r="J43" s="439">
        <v>1.0583831147393988158588637525</v>
      </c>
      <c r="K43" s="95">
        <v>5.0913785257287741346547411917</v>
      </c>
      <c r="L43" s="440">
        <v>0.1785906701963142436505759279</v>
      </c>
      <c r="M43" s="439">
        <v>37.728784494454405544542511339</v>
      </c>
      <c r="N43" s="95">
        <v>70.799097299259794385281765371</v>
      </c>
      <c r="O43" s="440">
        <v>81.95239558223300068853797599</v>
      </c>
      <c r="P43" s="93"/>
      <c r="Q43" s="420">
        <v>-12.260978030807282966855590130</v>
      </c>
      <c r="R43" s="91">
        <v>3.8227190205880821179198065900</v>
      </c>
      <c r="S43" s="421">
        <v>6.0226337563438678215556463900</v>
      </c>
      <c r="T43" s="420">
        <v>-29.459329998450355278626793790</v>
      </c>
      <c r="U43" s="91">
        <v>-1.8346554741141399037012973400</v>
      </c>
      <c r="V43" s="421">
        <v>6.9545355136042918776080147500</v>
      </c>
      <c r="W43" s="420">
        <v>-9.812645489603161987083427690</v>
      </c>
      <c r="X43" s="91">
        <v>-15.049547396299019359434904700</v>
      </c>
      <c r="Y43" s="421">
        <v>-77.725498957859376147380973140</v>
      </c>
      <c r="Z43" s="420">
        <v>-15.802601295614566224793109580</v>
      </c>
      <c r="AA43" s="91">
        <v>0.8097150588091341769767710500</v>
      </c>
      <c r="AB43" s="421">
        <v>5.2598947187150189224808672500</v>
      </c>
    </row>
    <row r="44" ht="18" customHeight="1">
      <c r="A44" s="58"/>
      <c r="B44" s="1044" t="s">
        <v>75</v>
      </c>
      <c r="C44" s="1044"/>
      <c r="D44" s="457">
        <v>29.938343888760903997308337656</v>
      </c>
      <c r="E44" s="458">
        <v>50.006735678593279850442181578</v>
      </c>
      <c r="F44" s="459">
        <v>75.775268707741479836086944515</v>
      </c>
      <c r="G44" s="457">
        <v>4.4513834576750381243791455148</v>
      </c>
      <c r="H44" s="458">
        <v>12.412939462270770448555891688</v>
      </c>
      <c r="I44" s="459">
        <v>8.254130978963887682928416545</v>
      </c>
      <c r="J44" s="457">
        <v>1.1596673761238109546383042903</v>
      </c>
      <c r="K44" s="458">
        <v>4.9662934855652129272445424728</v>
      </c>
      <c r="L44" s="459">
        <v>0.1923068742016103459049254968</v>
      </c>
      <c r="M44" s="457">
        <v>35.557461871453162681350172587</v>
      </c>
      <c r="N44" s="458">
        <v>67.385968626429263226242615715</v>
      </c>
      <c r="O44" s="459">
        <v>84.22381430808725599566839193</v>
      </c>
      <c r="P44" s="5"/>
      <c r="Q44" s="430">
        <v>-10.770681618482434659700148540</v>
      </c>
      <c r="R44" s="431">
        <v>3.9834564527592303178746725800</v>
      </c>
      <c r="S44" s="432">
        <v>6.7929978674563131968501032200</v>
      </c>
      <c r="T44" s="430">
        <v>-32.110096067080710157653565980</v>
      </c>
      <c r="U44" s="431">
        <v>-15.415184351928651989892051250</v>
      </c>
      <c r="V44" s="432">
        <v>11.734956155754070846953444150</v>
      </c>
      <c r="W44" s="430">
        <v>2.7037110023833354545891507900</v>
      </c>
      <c r="X44" s="431">
        <v>-18.681985679544129134770193670</v>
      </c>
      <c r="Y44" s="432">
        <v>-75.373441371604834066330927700</v>
      </c>
      <c r="Z44" s="430">
        <v>-14.273248187597388322616605500</v>
      </c>
      <c r="AA44" s="431">
        <v>-2.1564677059888668273385571900</v>
      </c>
      <c r="AB44" s="432">
        <v>6.4462695060202736122687449700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48.713091894665117563362471744</v>
      </c>
      <c r="E46" s="494">
        <v>56.17851812378885047416662528</v>
      </c>
      <c r="F46" s="495">
        <v>73.57218133532625647146423996</v>
      </c>
      <c r="G46" s="493">
        <v>8.747315357111884494101211244</v>
      </c>
      <c r="H46" s="494">
        <v>22.691474436932753545367045415</v>
      </c>
      <c r="I46" s="495">
        <v>11.768097183755331810854022141</v>
      </c>
      <c r="J46" s="493">
        <v>1.2362189896782451608520238485</v>
      </c>
      <c r="K46" s="494">
        <v>4.8404115871051750544758274809</v>
      </c>
      <c r="L46" s="495">
        <v>0.2048816381394728300851687927</v>
      </c>
      <c r="M46" s="493">
        <v>58.708733642777579852710176187</v>
      </c>
      <c r="N46" s="494">
        <v>83.71040414782677907400949811</v>
      </c>
      <c r="O46" s="495">
        <v>85.54751008981439748422943476</v>
      </c>
      <c r="P46" s="93"/>
      <c r="Q46" s="479">
        <v>-5.6447401905980136971073139900</v>
      </c>
      <c r="R46" s="480">
        <v>0.9221772905843072591664229600</v>
      </c>
      <c r="S46" s="481">
        <v>4.0000916084557114787343392300</v>
      </c>
      <c r="T46" s="479">
        <v>2.3322588565924827094071348500</v>
      </c>
      <c r="U46" s="480">
        <v>-1.9567293071614645046619316400</v>
      </c>
      <c r="V46" s="481">
        <v>-1.6716640596261148897307339400</v>
      </c>
      <c r="W46" s="479">
        <v>18.784896872718330656082371760</v>
      </c>
      <c r="X46" s="480">
        <v>-18.078916815026869183149438650</v>
      </c>
      <c r="Y46" s="481">
        <v>-73.363847631812203519736398630</v>
      </c>
      <c r="Z46" s="479">
        <v>-5.2447464854425833979942951600</v>
      </c>
      <c r="AA46" s="480">
        <v>-1.1863941432964989696087330300</v>
      </c>
      <c r="AB46" s="481">
        <v>2.4770582281641303795869922400</v>
      </c>
    </row>
    <row r="47" ht="18" customHeight="1">
      <c r="A47" s="58"/>
      <c r="B47" s="1046" t="s">
        <v>51</v>
      </c>
      <c r="C47" s="1046"/>
      <c r="D47" s="276">
        <v>48.889852169554758181972589532</v>
      </c>
      <c r="E47" s="94">
        <v>58.169055601870140912167388782</v>
      </c>
      <c r="F47" s="277">
        <v>74.224520340253480234469476353</v>
      </c>
      <c r="G47" s="276">
        <v>6.285953796018769057878073053</v>
      </c>
      <c r="H47" s="94">
        <v>17.503958387242568329915629491</v>
      </c>
      <c r="I47" s="277">
        <v>10.160821407462331754503287364</v>
      </c>
      <c r="J47" s="276">
        <v>1.067740002850512256350089844</v>
      </c>
      <c r="K47" s="94">
        <v>4.7634779657863041686849572731</v>
      </c>
      <c r="L47" s="277">
        <v>0.1784332741702060054438834052</v>
      </c>
      <c r="M47" s="276">
        <v>56.255147370862904619895486572</v>
      </c>
      <c r="N47" s="94">
        <v>80.43649195489901341076797548</v>
      </c>
      <c r="O47" s="277">
        <v>84.56634996651449810895488756</v>
      </c>
      <c r="P47" s="5"/>
      <c r="Q47" s="271">
        <v>-8.417769901778511786050716830</v>
      </c>
      <c r="R47" s="92">
        <v>1.0203029363928045006185944200</v>
      </c>
      <c r="S47" s="272">
        <v>2.9470573890597451630199936700</v>
      </c>
      <c r="T47" s="271">
        <v>-13.09311014288106356257849300</v>
      </c>
      <c r="U47" s="92">
        <v>-4.0555420016063371126263255600</v>
      </c>
      <c r="V47" s="272">
        <v>-4.3281445576397695180200595500</v>
      </c>
      <c r="W47" s="271">
        <v>-6.2939549525768839621575530200</v>
      </c>
      <c r="X47" s="92">
        <v>-11.842379286395527832514870330</v>
      </c>
      <c r="Y47" s="272">
        <v>-77.845325014333719756740762920</v>
      </c>
      <c r="Z47" s="271">
        <v>-10.117918102286579216541496340</v>
      </c>
      <c r="AA47" s="92">
        <v>-0.9722008828824518178928889300</v>
      </c>
      <c r="AB47" s="272">
        <v>1.24615905461423564625336300</v>
      </c>
    </row>
    <row r="48" ht="18" customHeight="1">
      <c r="A48" s="58"/>
      <c r="B48" s="1047" t="s">
        <v>76</v>
      </c>
      <c r="C48" s="1047"/>
      <c r="D48" s="443">
        <v>48.801472032109937872667530604</v>
      </c>
      <c r="E48" s="444">
        <v>57.173786862829495693167007016</v>
      </c>
      <c r="F48" s="445">
        <v>73.89831568658652863012856714</v>
      </c>
      <c r="G48" s="443">
        <v>7.5166345765653267759896421445</v>
      </c>
      <c r="H48" s="444">
        <v>20.09771641208766093764133745</v>
      </c>
      <c r="I48" s="445">
        <v>10.964545903457218510855974495</v>
      </c>
      <c r="J48" s="443">
        <v>1.1519794962643787086010568454</v>
      </c>
      <c r="K48" s="444">
        <v>4.8019447764457396115803923758</v>
      </c>
      <c r="L48" s="445">
        <v>0.1916588813215286155313508101</v>
      </c>
      <c r="M48" s="443">
        <v>57.481940506820242236302831386</v>
      </c>
      <c r="N48" s="444">
        <v>82.07344805136289624238873678</v>
      </c>
      <c r="O48" s="445">
        <v>85.05698362870961458668796397</v>
      </c>
      <c r="P48" s="93"/>
      <c r="Q48" s="273">
        <v>-7.0395690477960275045976524100</v>
      </c>
      <c r="R48" s="274">
        <v>0.9720703553073803489346830800</v>
      </c>
      <c r="S48" s="275">
        <v>3.4685223339697912559757591100</v>
      </c>
      <c r="T48" s="273">
        <v>-4.8136350364907525462295950300</v>
      </c>
      <c r="U48" s="274">
        <v>-2.8818824044464778604607183800</v>
      </c>
      <c r="V48" s="275">
        <v>-2.919892680891492245965893600</v>
      </c>
      <c r="W48" s="273">
        <v>5.7233926163297941118963001600</v>
      </c>
      <c r="X48" s="274">
        <v>-15.099928928602286401770734520</v>
      </c>
      <c r="Y48" s="275">
        <v>-75.655936732927566914743534230</v>
      </c>
      <c r="Z48" s="273">
        <v>-7.693646357368422664262249100</v>
      </c>
      <c r="AA48" s="274">
        <v>-1.0815494565345920883117278800</v>
      </c>
      <c r="AB48" s="275">
        <v>1.8615039772587980416552860500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35.359287082044483723670643688</v>
      </c>
      <c r="E50" s="483">
        <v>52.017471338849437226498624905</v>
      </c>
      <c r="F50" s="484">
        <v>75.166418636163769451607795771</v>
      </c>
      <c r="G50" s="482">
        <v>5.3207836205626749153041685079</v>
      </c>
      <c r="H50" s="483">
        <v>14.659469745770070934156408934</v>
      </c>
      <c r="I50" s="484">
        <v>9.102135660755104138031845153</v>
      </c>
      <c r="J50" s="482">
        <v>1.1655913978494623655913978495</v>
      </c>
      <c r="K50" s="483">
        <v>4.8939531861744069229747247309</v>
      </c>
      <c r="L50" s="484">
        <v>0.1904149477566528814539398261</v>
      </c>
      <c r="M50" s="482">
        <v>41.84566740315215790248932096</v>
      </c>
      <c r="N50" s="483">
        <v>71.570894270793915083629758571</v>
      </c>
      <c r="O50" s="484">
        <v>84.45896924467552647109358075</v>
      </c>
      <c r="P50" s="93"/>
      <c r="Q50" s="468">
        <v>-9.857080629626680336244124370</v>
      </c>
      <c r="R50" s="469">
        <v>3.0004499129523027466958344300</v>
      </c>
      <c r="S50" s="470">
        <v>5.8716572245362217317532635700</v>
      </c>
      <c r="T50" s="468">
        <v>-24.352018346794344312051524540</v>
      </c>
      <c r="U50" s="469">
        <v>-10.758146513527006978614851870</v>
      </c>
      <c r="V50" s="470">
        <v>5.8604800235019637496428455500</v>
      </c>
      <c r="W50" s="468">
        <v>3.3954888387084860496038593100</v>
      </c>
      <c r="X50" s="469">
        <v>-17.768965615088937244530039570</v>
      </c>
      <c r="Y50" s="470">
        <v>-75.334137352376704060764637370</v>
      </c>
      <c r="Z50" s="468">
        <v>-11.693277694140127458886322990</v>
      </c>
      <c r="AA50" s="469">
        <v>-1.7966817489163198222040656100</v>
      </c>
      <c r="AB50" s="470">
        <v>5.0904352693685576877003397200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163</v>
      </c>
      <c r="D1" s="6"/>
      <c r="E1" s="6"/>
      <c r="AS1" s="236"/>
    </row>
    <row r="2" ht="15" customHeight="1">
      <c r="B2" s="0"/>
      <c r="C2" s="1049" t="s">
        <v>170</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171</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200</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202</v>
      </c>
      <c r="I6" s="1050"/>
      <c r="J6" s="1050"/>
      <c r="K6" s="1050"/>
      <c r="L6" s="1050"/>
      <c r="M6" s="1050"/>
      <c r="N6" s="1050"/>
      <c r="O6" s="1050"/>
      <c r="P6" s="1050"/>
      <c r="Q6" s="1050"/>
      <c r="R6" s="1050"/>
      <c r="S6" s="1050"/>
      <c r="T6" s="1050"/>
      <c r="U6" s="1050"/>
      <c r="Z6" s="1050" t="s">
        <v>203</v>
      </c>
      <c r="AA6" s="1050"/>
      <c r="AB6" s="1050"/>
      <c r="AC6" s="1050"/>
      <c r="AD6" s="1050"/>
      <c r="AE6" s="1050"/>
      <c r="AF6" s="1050"/>
      <c r="AG6" s="1050"/>
      <c r="AH6" s="1050"/>
      <c r="AI6" s="1050"/>
      <c r="AJ6" s="1050"/>
      <c r="AK6" s="1050"/>
      <c r="AL6" s="1050"/>
      <c r="AM6" s="1050"/>
    </row>
    <row r="7" ht="15" customHeight="1">
      <c r="D7" s="93" t="s">
        <v>205</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c r="E8" s="71"/>
      <c r="F8" s="71"/>
      <c r="G8" s="71"/>
      <c r="H8" s="1052"/>
      <c r="I8" s="1052"/>
      <c r="J8" s="1053"/>
      <c r="K8" s="1053"/>
      <c r="L8" s="1053">
        <v>1</v>
      </c>
      <c r="M8" s="1053"/>
      <c r="N8" s="1053">
        <v>2</v>
      </c>
      <c r="O8" s="1053"/>
      <c r="P8" s="1053">
        <v>3</v>
      </c>
      <c r="Q8" s="1053"/>
      <c r="R8" s="1053">
        <v>4</v>
      </c>
      <c r="S8" s="1053"/>
      <c r="T8" s="1054">
        <v>5</v>
      </c>
      <c r="U8" s="1054"/>
      <c r="Z8" s="1052"/>
      <c r="AA8" s="1052"/>
      <c r="AB8" s="1053">
        <v>1</v>
      </c>
      <c r="AC8" s="1053"/>
      <c r="AD8" s="1053">
        <v>2</v>
      </c>
      <c r="AE8" s="1053"/>
      <c r="AF8" s="1053">
        <v>3</v>
      </c>
      <c r="AG8" s="1053"/>
      <c r="AH8" s="1053">
        <v>4</v>
      </c>
      <c r="AI8" s="1053"/>
      <c r="AJ8" s="1053">
        <v>5</v>
      </c>
      <c r="AK8" s="1053"/>
      <c r="AL8" s="1054">
        <v>6</v>
      </c>
      <c r="AM8" s="1054"/>
    </row>
    <row r="9" ht="15" customHeight="1">
      <c r="D9" s="175"/>
      <c r="H9" s="1055">
        <v>6</v>
      </c>
      <c r="I9" s="1055"/>
      <c r="J9" s="1056">
        <v>7</v>
      </c>
      <c r="K9" s="1056"/>
      <c r="L9" s="1056">
        <v>8</v>
      </c>
      <c r="M9" s="1056"/>
      <c r="N9" s="1056">
        <v>9</v>
      </c>
      <c r="O9" s="1056"/>
      <c r="P9" s="1056">
        <v>10</v>
      </c>
      <c r="Q9" s="1056"/>
      <c r="R9" s="1056">
        <v>11</v>
      </c>
      <c r="S9" s="1056"/>
      <c r="T9" s="1057">
        <v>12</v>
      </c>
      <c r="U9" s="1057"/>
      <c r="Z9" s="1055">
        <v>7</v>
      </c>
      <c r="AA9" s="1055"/>
      <c r="AB9" s="1056">
        <v>8</v>
      </c>
      <c r="AC9" s="1056"/>
      <c r="AD9" s="1056">
        <v>9</v>
      </c>
      <c r="AE9" s="1056"/>
      <c r="AF9" s="1056">
        <v>10</v>
      </c>
      <c r="AG9" s="1056"/>
      <c r="AH9" s="1056">
        <v>11</v>
      </c>
      <c r="AI9" s="1056"/>
      <c r="AJ9" s="1056">
        <v>12</v>
      </c>
      <c r="AK9" s="1056"/>
      <c r="AL9" s="1057">
        <v>13</v>
      </c>
      <c r="AM9" s="1057"/>
    </row>
    <row r="10" ht="15" customHeight="1">
      <c r="H10" s="1058">
        <v>13</v>
      </c>
      <c r="I10" s="1058"/>
      <c r="J10" s="1059">
        <v>14</v>
      </c>
      <c r="K10" s="1059"/>
      <c r="L10" s="1059">
        <v>15</v>
      </c>
      <c r="M10" s="1059"/>
      <c r="N10" s="1059">
        <v>16</v>
      </c>
      <c r="O10" s="1059"/>
      <c r="P10" s="1059">
        <v>17</v>
      </c>
      <c r="Q10" s="1059"/>
      <c r="R10" s="1059">
        <v>18</v>
      </c>
      <c r="S10" s="1059"/>
      <c r="T10" s="1060">
        <v>19</v>
      </c>
      <c r="U10" s="1060"/>
      <c r="Z10" s="1058">
        <v>14</v>
      </c>
      <c r="AA10" s="1058"/>
      <c r="AB10" s="1059">
        <v>15</v>
      </c>
      <c r="AC10" s="1059"/>
      <c r="AD10" s="1059">
        <v>16</v>
      </c>
      <c r="AE10" s="1059"/>
      <c r="AF10" s="1059">
        <v>17</v>
      </c>
      <c r="AG10" s="1059"/>
      <c r="AH10" s="1059">
        <v>18</v>
      </c>
      <c r="AI10" s="1059"/>
      <c r="AJ10" s="1059">
        <v>19</v>
      </c>
      <c r="AK10" s="1059"/>
      <c r="AL10" s="1060">
        <v>20</v>
      </c>
      <c r="AM10" s="1060"/>
    </row>
    <row r="11" ht="15" customHeight="1">
      <c r="H11" s="1055">
        <v>20</v>
      </c>
      <c r="I11" s="1055"/>
      <c r="J11" s="1056">
        <v>21</v>
      </c>
      <c r="K11" s="1056"/>
      <c r="L11" s="1056">
        <v>22</v>
      </c>
      <c r="M11" s="1056"/>
      <c r="N11" s="1056">
        <v>23</v>
      </c>
      <c r="O11" s="1056"/>
      <c r="P11" s="1056">
        <v>24</v>
      </c>
      <c r="Q11" s="1056"/>
      <c r="R11" s="1056">
        <v>25</v>
      </c>
      <c r="S11" s="1056"/>
      <c r="T11" s="1057">
        <v>26</v>
      </c>
      <c r="U11" s="1057"/>
      <c r="Z11" s="1055">
        <v>21</v>
      </c>
      <c r="AA11" s="1055"/>
      <c r="AB11" s="1056">
        <v>22</v>
      </c>
      <c r="AC11" s="1056"/>
      <c r="AD11" s="1056">
        <v>23</v>
      </c>
      <c r="AE11" s="1056"/>
      <c r="AF11" s="1056">
        <v>24</v>
      </c>
      <c r="AG11" s="1056"/>
      <c r="AH11" s="1056">
        <v>25</v>
      </c>
      <c r="AI11" s="1056"/>
      <c r="AJ11" s="1056">
        <v>26</v>
      </c>
      <c r="AK11" s="1056"/>
      <c r="AL11" s="1057">
        <v>27</v>
      </c>
      <c r="AM11" s="1057"/>
      <c r="AN11" t="s">
        <v>27</v>
      </c>
    </row>
    <row r="12" ht="15" customHeight="1">
      <c r="A12" s="68"/>
      <c r="H12" s="1058">
        <v>27</v>
      </c>
      <c r="I12" s="1058"/>
      <c r="J12" s="1059">
        <v>28</v>
      </c>
      <c r="K12" s="1059"/>
      <c r="L12" s="1059">
        <v>29</v>
      </c>
      <c r="M12" s="1059"/>
      <c r="N12" s="1059">
        <v>30</v>
      </c>
      <c r="O12" s="1059"/>
      <c r="P12" s="1059">
        <v>31</v>
      </c>
      <c r="Q12" s="1059"/>
      <c r="R12" s="1059"/>
      <c r="S12" s="1059"/>
      <c r="T12" s="1060"/>
      <c r="U12" s="1060"/>
      <c r="Z12" s="1058">
        <v>28</v>
      </c>
      <c r="AA12" s="1058"/>
      <c r="AB12" s="1059">
        <v>29</v>
      </c>
      <c r="AC12" s="1059"/>
      <c r="AD12" s="1059">
        <v>30</v>
      </c>
      <c r="AE12" s="1059"/>
      <c r="AF12" s="1059">
        <v>31</v>
      </c>
      <c r="AG12" s="1059"/>
      <c r="AH12" s="1059"/>
      <c r="AI12" s="1059"/>
      <c r="AJ12" s="1059"/>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205</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5">
        <v>2024</v>
      </c>
      <c r="X21" s="995"/>
      <c r="Y21" s="995"/>
      <c r="Z21" s="995"/>
      <c r="AA21" s="995"/>
      <c r="AB21" s="995"/>
      <c r="AC21" s="995"/>
      <c r="AD21" s="995"/>
      <c r="AE21" s="995"/>
      <c r="AF21" s="995"/>
      <c r="AG21" s="995"/>
      <c r="AH21" s="995"/>
      <c r="AI21" s="995">
        <v>2025</v>
      </c>
      <c r="AJ21" s="995"/>
      <c r="AK21" s="995"/>
      <c r="AL21" s="995"/>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190</v>
      </c>
      <c r="S22" s="618" t="s">
        <v>191</v>
      </c>
      <c r="T22" s="618" t="s">
        <v>192</v>
      </c>
      <c r="U22" s="618" t="s">
        <v>193</v>
      </c>
      <c r="V22" s="1015" t="s">
        <v>195</v>
      </c>
      <c r="W22" s="618" t="s">
        <v>196</v>
      </c>
      <c r="X22" s="618" t="s">
        <v>180</v>
      </c>
      <c r="Y22" s="618" t="s">
        <v>183</v>
      </c>
      <c r="Z22" s="618" t="s">
        <v>186</v>
      </c>
      <c r="AA22" s="618" t="s">
        <v>187</v>
      </c>
      <c r="AB22" s="618" t="s">
        <v>188</v>
      </c>
      <c r="AC22" s="618" t="s">
        <v>189</v>
      </c>
      <c r="AD22" s="618" t="s">
        <v>190</v>
      </c>
      <c r="AE22" s="618" t="s">
        <v>191</v>
      </c>
      <c r="AF22" s="618" t="s">
        <v>192</v>
      </c>
      <c r="AG22" s="618" t="s">
        <v>193</v>
      </c>
      <c r="AH22" s="1015" t="s">
        <v>195</v>
      </c>
      <c r="AI22" s="618" t="s">
        <v>196</v>
      </c>
      <c r="AJ22" s="618" t="s">
        <v>180</v>
      </c>
      <c r="AK22" s="618" t="s">
        <v>183</v>
      </c>
      <c r="AL22" s="618" t="s">
        <v>186</v>
      </c>
      <c r="AM22" s="618" t="s">
        <v>187</v>
      </c>
      <c r="AN22" s="618" t="s">
        <v>188</v>
      </c>
      <c r="AO22" s="1015" t="s">
        <v>189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60180</v>
      </c>
      <c r="D23" s="1016" t="s">
        <v>175</v>
      </c>
      <c r="E23" s="1016" t="s">
        <v>207</v>
      </c>
      <c r="F23" s="1017" t="s">
        <v>208</v>
      </c>
      <c r="G23" s="1016" t="s">
        <v>209</v>
      </c>
      <c r="H23" s="1018" t="s">
        <v>210</v>
      </c>
      <c r="I23" s="1018"/>
      <c r="J23" s="1018"/>
      <c r="K23" s="1018"/>
      <c r="L23" s="1018" t="s">
        <v>211</v>
      </c>
      <c r="M23" s="1018"/>
      <c r="N23" s="1018"/>
      <c r="O23" s="1018"/>
      <c r="P23" s="80"/>
      <c r="Q23" s="4"/>
      <c r="R23" s="1066" t="s">
        <v>267</v>
      </c>
      <c r="S23" s="1067" t="s">
        <v>267</v>
      </c>
      <c r="T23" s="1067" t="s">
        <v>267</v>
      </c>
      <c r="U23" s="1067" t="s">
        <v>267</v>
      </c>
      <c r="V23" s="1067" t="s">
        <v>267</v>
      </c>
      <c r="W23" s="1067" t="s">
        <v>267</v>
      </c>
      <c r="X23" s="1067" t="s">
        <v>267</v>
      </c>
      <c r="Y23" s="1067" t="s">
        <v>267</v>
      </c>
      <c r="Z23" s="1067" t="s">
        <v>267</v>
      </c>
      <c r="AA23" s="1067" t="s">
        <v>267</v>
      </c>
      <c r="AB23" s="1067" t="s">
        <v>267</v>
      </c>
      <c r="AC23" s="1067" t="s">
        <v>267</v>
      </c>
      <c r="AD23" s="1067" t="s">
        <v>267</v>
      </c>
      <c r="AE23" s="1067" t="s">
        <v>267</v>
      </c>
      <c r="AF23" s="1067" t="s">
        <v>267</v>
      </c>
      <c r="AG23" s="1067" t="s">
        <v>267</v>
      </c>
      <c r="AH23" s="1067" t="s">
        <v>267</v>
      </c>
      <c r="AI23" s="1067" t="s">
        <v>267</v>
      </c>
      <c r="AJ23" s="1067" t="s">
        <v>267</v>
      </c>
      <c r="AK23" s="1067" t="s">
        <v>267</v>
      </c>
      <c r="AL23" s="1067" t="s">
        <v>267</v>
      </c>
      <c r="AM23" s="1067" t="s">
        <v>267</v>
      </c>
      <c r="AN23" s="1067" t="s">
        <v>267</v>
      </c>
      <c r="AO23" s="1068" t="s">
        <v>267</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2">
        <v>7790</v>
      </c>
      <c r="D24" s="1022" t="s">
        <v>213</v>
      </c>
      <c r="E24" s="1022" t="s">
        <v>207</v>
      </c>
      <c r="F24" s="1023" t="s">
        <v>214</v>
      </c>
      <c r="G24" s="1022" t="s">
        <v>215</v>
      </c>
      <c r="H24" s="1024" t="s">
        <v>216</v>
      </c>
      <c r="I24" s="1024"/>
      <c r="J24" s="1024"/>
      <c r="K24" s="1024"/>
      <c r="L24" s="1024" t="s">
        <v>217</v>
      </c>
      <c r="M24" s="1024"/>
      <c r="N24" s="1024"/>
      <c r="O24" s="1024"/>
      <c r="P24" s="80"/>
      <c r="Q24" s="4"/>
      <c r="R24" s="1069" t="s">
        <v>267</v>
      </c>
      <c r="S24" s="1070" t="s">
        <v>267</v>
      </c>
      <c r="T24" s="1070" t="s">
        <v>267</v>
      </c>
      <c r="U24" s="1070" t="s">
        <v>267</v>
      </c>
      <c r="V24" s="1070" t="s">
        <v>267</v>
      </c>
      <c r="W24" s="1070" t="s">
        <v>267</v>
      </c>
      <c r="X24" s="1070" t="s">
        <v>267</v>
      </c>
      <c r="Y24" s="1070" t="s">
        <v>267</v>
      </c>
      <c r="Z24" s="1070" t="s">
        <v>267</v>
      </c>
      <c r="AA24" s="1070" t="s">
        <v>267</v>
      </c>
      <c r="AB24" s="1070" t="s">
        <v>267</v>
      </c>
      <c r="AC24" s="1070" t="s">
        <v>267</v>
      </c>
      <c r="AD24" s="1070" t="s">
        <v>267</v>
      </c>
      <c r="AE24" s="1070" t="s">
        <v>267</v>
      </c>
      <c r="AF24" s="1070" t="s">
        <v>267</v>
      </c>
      <c r="AG24" s="1070" t="s">
        <v>267</v>
      </c>
      <c r="AH24" s="1070" t="s">
        <v>267</v>
      </c>
      <c r="AI24" s="1070" t="s">
        <v>267</v>
      </c>
      <c r="AJ24" s="1070" t="s">
        <v>267</v>
      </c>
      <c r="AK24" s="1070" t="s">
        <v>267</v>
      </c>
      <c r="AL24" s="1070" t="s">
        <v>267</v>
      </c>
      <c r="AM24" s="1070" t="s">
        <v>267</v>
      </c>
      <c r="AN24" s="1070" t="s">
        <v>267</v>
      </c>
      <c r="AO24" s="1071" t="s">
        <v>267</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27821</v>
      </c>
      <c r="D25" s="1016" t="s">
        <v>218</v>
      </c>
      <c r="E25" s="1016" t="s">
        <v>207</v>
      </c>
      <c r="F25" s="1017" t="s">
        <v>219</v>
      </c>
      <c r="G25" s="1016" t="s">
        <v>220</v>
      </c>
      <c r="H25" s="1018" t="s">
        <v>221</v>
      </c>
      <c r="I25" s="1018"/>
      <c r="J25" s="1018"/>
      <c r="K25" s="1018"/>
      <c r="L25" s="1018" t="s">
        <v>222</v>
      </c>
      <c r="M25" s="1018"/>
      <c r="N25" s="1018"/>
      <c r="O25" s="1018"/>
      <c r="P25" s="80"/>
      <c r="Q25" s="4"/>
      <c r="R25" s="1066" t="s">
        <v>268</v>
      </c>
      <c r="S25" s="1067" t="s">
        <v>268</v>
      </c>
      <c r="T25" s="1067" t="s">
        <v>268</v>
      </c>
      <c r="U25" s="1067" t="s">
        <v>268</v>
      </c>
      <c r="V25" s="1067" t="s">
        <v>268</v>
      </c>
      <c r="W25" s="1067" t="s">
        <v>268</v>
      </c>
      <c r="X25" s="1067" t="s">
        <v>268</v>
      </c>
      <c r="Y25" s="1067" t="s">
        <v>268</v>
      </c>
      <c r="Z25" s="1067" t="s">
        <v>268</v>
      </c>
      <c r="AA25" s="1067" t="s">
        <v>268</v>
      </c>
      <c r="AB25" s="1067" t="s">
        <v>268</v>
      </c>
      <c r="AC25" s="1067" t="s">
        <v>268</v>
      </c>
      <c r="AD25" s="1067" t="s">
        <v>268</v>
      </c>
      <c r="AE25" s="1067" t="s">
        <v>268</v>
      </c>
      <c r="AF25" s="1067" t="s">
        <v>268</v>
      </c>
      <c r="AG25" s="1067" t="s">
        <v>268</v>
      </c>
      <c r="AH25" s="1067" t="s">
        <v>268</v>
      </c>
      <c r="AI25" s="1067" t="s">
        <v>268</v>
      </c>
      <c r="AJ25" s="1067" t="s">
        <v>268</v>
      </c>
      <c r="AK25" s="1067" t="s">
        <v>268</v>
      </c>
      <c r="AL25" s="1067" t="s">
        <v>268</v>
      </c>
      <c r="AM25" s="1067" t="s">
        <v>268</v>
      </c>
      <c r="AN25" s="1067" t="s">
        <v>268</v>
      </c>
      <c r="AO25" s="1068" t="s">
        <v>268</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2">
        <v>31502</v>
      </c>
      <c r="D26" s="1022" t="s">
        <v>223</v>
      </c>
      <c r="E26" s="1022" t="s">
        <v>207</v>
      </c>
      <c r="F26" s="1023" t="s">
        <v>214</v>
      </c>
      <c r="G26" s="1022" t="s">
        <v>224</v>
      </c>
      <c r="H26" s="1024" t="s">
        <v>225</v>
      </c>
      <c r="I26" s="1024"/>
      <c r="J26" s="1024"/>
      <c r="K26" s="1024"/>
      <c r="L26" s="1024" t="s">
        <v>226</v>
      </c>
      <c r="M26" s="1024"/>
      <c r="N26" s="1024"/>
      <c r="O26" s="1024"/>
      <c r="P26" s="80"/>
      <c r="Q26" s="4"/>
      <c r="R26" s="1069" t="s">
        <v>268</v>
      </c>
      <c r="S26" s="1070" t="s">
        <v>268</v>
      </c>
      <c r="T26" s="1070" t="s">
        <v>268</v>
      </c>
      <c r="U26" s="1070" t="s">
        <v>268</v>
      </c>
      <c r="V26" s="1070" t="s">
        <v>268</v>
      </c>
      <c r="W26" s="1070" t="s">
        <v>268</v>
      </c>
      <c r="X26" s="1070" t="s">
        <v>268</v>
      </c>
      <c r="Y26" s="1070" t="s">
        <v>268</v>
      </c>
      <c r="Z26" s="1070" t="s">
        <v>268</v>
      </c>
      <c r="AA26" s="1070" t="s">
        <v>268</v>
      </c>
      <c r="AB26" s="1070" t="s">
        <v>268</v>
      </c>
      <c r="AC26" s="1070" t="s">
        <v>268</v>
      </c>
      <c r="AD26" s="1070" t="s">
        <v>268</v>
      </c>
      <c r="AE26" s="1070" t="s">
        <v>268</v>
      </c>
      <c r="AF26" s="1070" t="s">
        <v>268</v>
      </c>
      <c r="AG26" s="1070" t="s">
        <v>268</v>
      </c>
      <c r="AH26" s="1070" t="s">
        <v>268</v>
      </c>
      <c r="AI26" s="1070" t="s">
        <v>268</v>
      </c>
      <c r="AJ26" s="1070" t="s">
        <v>268</v>
      </c>
      <c r="AK26" s="1070" t="s">
        <v>268</v>
      </c>
      <c r="AL26" s="1070" t="s">
        <v>268</v>
      </c>
      <c r="AM26" s="1070" t="s">
        <v>268</v>
      </c>
      <c r="AN26" s="1070" t="s">
        <v>268</v>
      </c>
      <c r="AO26" s="1071" t="s">
        <v>268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33288</v>
      </c>
      <c r="D27" s="1016" t="s">
        <v>227</v>
      </c>
      <c r="E27" s="1016" t="s">
        <v>207</v>
      </c>
      <c r="F27" s="1017" t="s">
        <v>219</v>
      </c>
      <c r="G27" s="1016" t="s">
        <v>228</v>
      </c>
      <c r="H27" s="1018" t="s">
        <v>229</v>
      </c>
      <c r="I27" s="1018"/>
      <c r="J27" s="1018"/>
      <c r="K27" s="1018"/>
      <c r="L27" s="1018" t="s">
        <v>230</v>
      </c>
      <c r="M27" s="1018"/>
      <c r="N27" s="1018"/>
      <c r="O27" s="1018"/>
      <c r="P27" s="80"/>
      <c r="Q27" s="4"/>
      <c r="R27" s="1066" t="s">
        <v>267</v>
      </c>
      <c r="S27" s="1067" t="s">
        <v>267</v>
      </c>
      <c r="T27" s="1067" t="s">
        <v>267</v>
      </c>
      <c r="U27" s="1067" t="s">
        <v>267</v>
      </c>
      <c r="V27" s="1067" t="s">
        <v>267</v>
      </c>
      <c r="W27" s="1067" t="s">
        <v>267</v>
      </c>
      <c r="X27" s="1067" t="s">
        <v>267</v>
      </c>
      <c r="Y27" s="1067" t="s">
        <v>267</v>
      </c>
      <c r="Z27" s="1067" t="s">
        <v>267</v>
      </c>
      <c r="AA27" s="1067" t="s">
        <v>267</v>
      </c>
      <c r="AB27" s="1067" t="s">
        <v>267</v>
      </c>
      <c r="AC27" s="1067" t="s">
        <v>267</v>
      </c>
      <c r="AD27" s="1067" t="s">
        <v>267</v>
      </c>
      <c r="AE27" s="1067" t="s">
        <v>267</v>
      </c>
      <c r="AF27" s="1067" t="s">
        <v>267</v>
      </c>
      <c r="AG27" s="1067" t="s">
        <v>267</v>
      </c>
      <c r="AH27" s="1067" t="s">
        <v>267</v>
      </c>
      <c r="AI27" s="1067" t="s">
        <v>267</v>
      </c>
      <c r="AJ27" s="1067" t="s">
        <v>267</v>
      </c>
      <c r="AK27" s="1067" t="s">
        <v>267</v>
      </c>
      <c r="AL27" s="1067" t="s">
        <v>267</v>
      </c>
      <c r="AM27" s="1067" t="s">
        <v>267</v>
      </c>
      <c r="AN27" s="1067" t="s">
        <v>267</v>
      </c>
      <c r="AO27" s="1068" t="s">
        <v>267</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2">
        <v>57305</v>
      </c>
      <c r="D28" s="1022" t="s">
        <v>231</v>
      </c>
      <c r="E28" s="1022" t="s">
        <v>232</v>
      </c>
      <c r="F28" s="1023" t="s">
        <v>233</v>
      </c>
      <c r="G28" s="1022" t="s">
        <v>234</v>
      </c>
      <c r="H28" s="1024" t="s">
        <v>235</v>
      </c>
      <c r="I28" s="1024"/>
      <c r="J28" s="1024"/>
      <c r="K28" s="1024"/>
      <c r="L28" s="1024" t="s">
        <v>236</v>
      </c>
      <c r="M28" s="1024"/>
      <c r="N28" s="1024"/>
      <c r="O28" s="1024"/>
      <c r="P28" s="80"/>
      <c r="Q28" s="4"/>
      <c r="R28" s="1069" t="s">
        <v>267</v>
      </c>
      <c r="S28" s="1070" t="s">
        <v>267</v>
      </c>
      <c r="T28" s="1070" t="s">
        <v>267</v>
      </c>
      <c r="U28" s="1070" t="s">
        <v>267</v>
      </c>
      <c r="V28" s="1070" t="s">
        <v>267</v>
      </c>
      <c r="W28" s="1070" t="s">
        <v>267</v>
      </c>
      <c r="X28" s="1070" t="s">
        <v>267</v>
      </c>
      <c r="Y28" s="1070" t="s">
        <v>267</v>
      </c>
      <c r="Z28" s="1070" t="s">
        <v>267</v>
      </c>
      <c r="AA28" s="1070" t="s">
        <v>267</v>
      </c>
      <c r="AB28" s="1070" t="s">
        <v>267</v>
      </c>
      <c r="AC28" s="1070" t="s">
        <v>267</v>
      </c>
      <c r="AD28" s="1070" t="s">
        <v>267</v>
      </c>
      <c r="AE28" s="1070" t="s">
        <v>267</v>
      </c>
      <c r="AF28" s="1070" t="s">
        <v>267</v>
      </c>
      <c r="AG28" s="1070" t="s">
        <v>267</v>
      </c>
      <c r="AH28" s="1070" t="s">
        <v>267</v>
      </c>
      <c r="AI28" s="1070" t="s">
        <v>267</v>
      </c>
      <c r="AJ28" s="1070" t="s">
        <v>267</v>
      </c>
      <c r="AK28" s="1070" t="s">
        <v>267</v>
      </c>
      <c r="AL28" s="1070" t="s">
        <v>267</v>
      </c>
      <c r="AM28" s="1070" t="s">
        <v>267</v>
      </c>
      <c r="AN28" s="1070" t="s">
        <v>267</v>
      </c>
      <c r="AO28" s="1071" t="s">
        <v>267</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58062</v>
      </c>
      <c r="D29" s="1016" t="s">
        <v>237</v>
      </c>
      <c r="E29" s="1016" t="s">
        <v>232</v>
      </c>
      <c r="F29" s="1016" t="s">
        <v>238</v>
      </c>
      <c r="G29" s="1016" t="s">
        <v>239</v>
      </c>
      <c r="H29" s="1018" t="s">
        <v>240</v>
      </c>
      <c r="I29" s="1018"/>
      <c r="J29" s="1018"/>
      <c r="K29" s="1018"/>
      <c r="L29" s="1018" t="s">
        <v>241</v>
      </c>
      <c r="M29" s="1018"/>
      <c r="N29" s="1018"/>
      <c r="O29" s="1018"/>
      <c r="P29" s="80"/>
      <c r="Q29" s="4"/>
      <c r="R29" s="1066" t="s">
        <v>269</v>
      </c>
      <c r="S29" s="1067" t="s">
        <v>269</v>
      </c>
      <c r="T29" s="1067" t="s">
        <v>269</v>
      </c>
      <c r="U29" s="1067" t="s">
        <v>269</v>
      </c>
      <c r="V29" s="1067" t="s">
        <v>269</v>
      </c>
      <c r="W29" s="1067" t="s">
        <v>269</v>
      </c>
      <c r="X29" s="1067" t="s">
        <v>269</v>
      </c>
      <c r="Y29" s="1067" t="s">
        <v>269</v>
      </c>
      <c r="Z29" s="1067" t="s">
        <v>269</v>
      </c>
      <c r="AA29" s="1067" t="s">
        <v>269</v>
      </c>
      <c r="AB29" s="1067" t="s">
        <v>269</v>
      </c>
      <c r="AC29" s="1067" t="s">
        <v>269</v>
      </c>
      <c r="AD29" s="1067" t="s">
        <v>269</v>
      </c>
      <c r="AE29" s="1067" t="s">
        <v>269</v>
      </c>
      <c r="AF29" s="1067" t="s">
        <v>269</v>
      </c>
      <c r="AG29" s="1067" t="s">
        <v>269</v>
      </c>
      <c r="AH29" s="1067" t="s">
        <v>269</v>
      </c>
      <c r="AI29" s="1067" t="s">
        <v>269</v>
      </c>
      <c r="AJ29" s="1067" t="s">
        <v>269</v>
      </c>
      <c r="AK29" s="1067" t="s">
        <v>269</v>
      </c>
      <c r="AL29" s="1067" t="s">
        <v>269</v>
      </c>
      <c r="AM29" s="1067" t="s">
        <v>269</v>
      </c>
      <c r="AN29" s="1067" t="s">
        <v>269</v>
      </c>
      <c r="AO29" s="1068" t="s">
        <v>269</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022">
        <v>66136</v>
      </c>
      <c r="D30" s="1022" t="s">
        <v>242</v>
      </c>
      <c r="E30" s="1022" t="s">
        <v>207</v>
      </c>
      <c r="F30" s="1022" t="s">
        <v>243</v>
      </c>
      <c r="G30" s="1022" t="s">
        <v>244</v>
      </c>
      <c r="H30" s="1024" t="s">
        <v>245</v>
      </c>
      <c r="I30" s="1024"/>
      <c r="J30" s="1024"/>
      <c r="K30" s="1024"/>
      <c r="L30" s="1024" t="s">
        <v>246</v>
      </c>
      <c r="M30" s="1024"/>
      <c r="N30" s="1024"/>
      <c r="O30" s="1024"/>
      <c r="P30" s="80"/>
      <c r="Q30" s="4"/>
      <c r="R30" s="1069" t="s">
        <v>269</v>
      </c>
      <c r="S30" s="1070" t="s">
        <v>269</v>
      </c>
      <c r="T30" s="1070" t="s">
        <v>269</v>
      </c>
      <c r="U30" s="1070" t="s">
        <v>269</v>
      </c>
      <c r="V30" s="1070" t="s">
        <v>269</v>
      </c>
      <c r="W30" s="1070" t="s">
        <v>269</v>
      </c>
      <c r="X30" s="1070" t="s">
        <v>269</v>
      </c>
      <c r="Y30" s="1070" t="s">
        <v>269</v>
      </c>
      <c r="Z30" s="1070" t="s">
        <v>269</v>
      </c>
      <c r="AA30" s="1070" t="s">
        <v>269</v>
      </c>
      <c r="AB30" s="1070" t="s">
        <v>269</v>
      </c>
      <c r="AC30" s="1070" t="s">
        <v>269</v>
      </c>
      <c r="AD30" s="1070" t="s">
        <v>269</v>
      </c>
      <c r="AE30" s="1070" t="s">
        <v>269</v>
      </c>
      <c r="AF30" s="1070" t="s">
        <v>269</v>
      </c>
      <c r="AG30" s="1070" t="s">
        <v>269</v>
      </c>
      <c r="AH30" s="1070" t="s">
        <v>269</v>
      </c>
      <c r="AI30" s="1070" t="s">
        <v>269</v>
      </c>
      <c r="AJ30" s="1070" t="s">
        <v>269</v>
      </c>
      <c r="AK30" s="1070" t="s">
        <v>269</v>
      </c>
      <c r="AL30" s="1070" t="s">
        <v>269</v>
      </c>
      <c r="AM30" s="1070" t="s">
        <v>269</v>
      </c>
      <c r="AN30" s="1070" t="s">
        <v>269</v>
      </c>
      <c r="AO30" s="1071" t="s">
        <v>269</v>
      </c>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7">
        <v>1272</v>
      </c>
      <c r="I31" s="997"/>
      <c r="J31" s="997"/>
      <c r="K31" s="997"/>
      <c r="L31" s="1072"/>
      <c r="M31" s="1072"/>
      <c r="N31" s="1072"/>
      <c r="O31" s="1072"/>
      <c r="P31" s="80"/>
      <c r="Q31" s="4"/>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028" t="s">
        <v>247</v>
      </c>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73" t="s">
        <v>267</v>
      </c>
      <c r="AB33" s="1028" t="s">
        <v>270</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073" t="s">
        <v>271</v>
      </c>
      <c r="AB34" s="1028" t="s">
        <v>272</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074" t="s">
        <v>269</v>
      </c>
      <c r="AB35" s="1028" t="s">
        <v>273</v>
      </c>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H29:K29"/>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V21"/>
    <mergeCell ref="W21:AH21"/>
    <mergeCell ref="AI21:AO21"/>
    <mergeCell ref="H31:K31"/>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30592991</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804,836,748,808</cp:category>
  <dcterms:created xsi:type="dcterms:W3CDTF">2003-06-11T18:24:11Z</dcterms:created>
  <dc:creator>STR, Inc.</dc:creator>
  <cp:keywords>60180</cp:keywords>
  <cp:lastModifiedBy>Jim Hawkins</cp:lastModifiedBy>
  <cp:lastPrinted>2016-02-11T20:47:50Z</cp:lastPrinted>
  <dcterms:modified xsi:type="dcterms:W3CDTF">2021-08-10T14:36:44Z</dcterms:modified>
  <dc:subject>60180</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