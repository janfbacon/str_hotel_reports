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3.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8.xml" ContentType="application/vnd.openxmlformats-officedocument.spreadsheetml.worksheet+xml"/>
  <Override PartName="/xl/printerSettings/printerSettings29.bin" ContentType="application/vnd.openxmlformats-officedocument.spreadsheetml.printerSettings"/>
  <Override PartName="/xl/drawings/drawing30.xml" ContentType="application/vnd.openxmlformats-officedocument.drawing+xml"/>
  <Override PartName="/xl/worksheets/sheet32.xml" ContentType="application/vnd.openxmlformats-officedocument.spreadsheetml.worksheet+xml"/>
  <Override PartName="/xl/printerSettings/printerSettings33.bin" ContentType="application/vnd.openxmlformats-officedocument.spreadsheetml.printerSettings"/>
  <Override PartName="/xl/drawings/drawing34.xml" ContentType="application/vnd.openxmlformats-officedocument.drawing+xml"/>
  <Override PartName="/xl/worksheets/sheet36.xml" ContentType="application/vnd.openxmlformats-officedocument.spreadsheetml.worksheet+xml"/>
  <Override PartName="/xl/printerSettings/printerSettings37.bin" ContentType="application/vnd.openxmlformats-officedocument.spreadsheetml.printerSettings"/>
  <Override PartName="/xl/drawings/drawing38.xml" ContentType="application/vnd.openxmlformats-officedocument.drawing+xml"/>
  <Override PartName="/xl/worksheets/sheet40.xml" ContentType="application/vnd.openxmlformats-officedocument.spreadsheetml.worksheet+xml"/>
  <Override PartName="/xl/printerSettings/printerSettings41.bin" ContentType="application/vnd.openxmlformats-officedocument.spreadsheetml.printerSettings"/>
  <Override PartName="/xl/drawings/drawing42.xml" ContentType="application/vnd.openxmlformats-officedocument.drawing+xml"/>
  <Override PartName="/xl/worksheets/sheet44.xml" ContentType="application/vnd.openxmlformats-officedocument.spreadsheetml.worksheet+xml"/>
  <Override PartName="/xl/printerSettings/printerSettings45.bin" ContentType="application/vnd.openxmlformats-officedocument.spreadsheetml.printerSettings"/>
  <Override PartName="/xl/drawings/drawing46.xml" ContentType="application/vnd.openxmlformats-officedocument.drawing+xml"/>
  <Override PartName="/xl/worksheets/sheet48.xml" ContentType="application/vnd.openxmlformats-officedocument.spreadsheetml.worksheet+xml"/>
  <Override PartName="/xl/printerSettings/printerSettings49.bin" ContentType="application/vnd.openxmlformats-officedocument.spreadsheetml.printerSettings"/>
  <Override PartName="/xl/drawings/drawing50.xml" ContentType="application/vnd.openxmlformats-officedocument.drawing+xml"/>
  <Override PartName="/xl/worksheets/sheet52.xml" ContentType="application/vnd.openxmlformats-officedocument.spreadsheetml.worksheet+xml"/>
  <Override PartName="/xl/printerSettings/printerSettings53.bin" ContentType="application/vnd.openxmlformats-officedocument.spreadsheetml.printerSettings"/>
  <Override PartName="/xl/drawings/drawing54.xml" ContentType="application/vnd.openxmlformats-officedocument.drawing+xml"/>
  <Override PartName="/xl/worksheets/sheet56.xml" ContentType="application/vnd.openxmlformats-officedocument.spreadsheetml.worksheet+xml"/>
  <Override PartName="/xl/printerSettings/printerSettings57.bin" ContentType="application/vnd.openxmlformats-officedocument.spreadsheetml.printerSettings"/>
  <Override PartName="/xl/drawings/drawing58.xml" ContentType="application/vnd.openxmlformats-officedocument.drawing+xml"/>
  <Override PartName="/xl/worksheets/sheet59.xml" ContentType="application/vnd.openxmlformats-officedocument.spreadsheetml.worksheet+xml"/>
  <Override PartName="/xl/printerSettings/printerSettings60.bin" ContentType="application/vnd.openxmlformats-officedocument.spreadsheetml.printerSettings"/>
  <Override PartName="/xl/drawings/drawing61.xml" ContentType="application/vnd.openxmlformats-officedocument.drawing+xml"/>
  <Override PartName="/xl/worksheets/sheet62.xml" ContentType="application/vnd.openxmlformats-officedocument.spreadsheetml.worksheet+xml"/>
  <Override PartName="/xl/printerSettings/printerSettings63.bin" ContentType="application/vnd.openxmlformats-officedocument.spreadsheetml.printerSettings"/>
  <Override PartName="/xl/drawings/drawing64.xml" ContentType="application/vnd.openxmlformats-officedocument.drawing+xml"/>
  <Override PartName="/xl/worksheets/sheet65.xml" ContentType="application/vnd.openxmlformats-officedocument.spreadsheetml.worksheet+xml"/>
  <Override PartName="/xl/printerSettings/printerSettings66.bin" ContentType="application/vnd.openxmlformats-officedocument.spreadsheetml.printerSettings"/>
  <Override PartName="/xl/drawings/drawing67.xml" ContentType="application/vnd.openxmlformats-officedocument.drawing+xml"/>
  <Override PartName="/xl/worksheets/sheet69.xml" ContentType="application/vnd.openxmlformats-officedocument.spreadsheetml.worksheet+xml"/>
  <Override PartName="/xl/printerSettings/printerSettings70.bin" ContentType="application/vnd.openxmlformats-officedocument.spreadsheetml.printerSettings"/>
  <Override PartName="/xl/drawings/drawing71.xml" ContentType="application/vnd.openxmlformats-officedocument.drawing+xml"/>
  <Override PartName="/xl/charts/chart72.xml" ContentType="application/vnd.openxmlformats-officedocument.drawingml.chart+xml"/>
  <Override PartName="/xl/charts/chart73.xml" ContentType="application/vnd.openxmlformats-officedocument.drawingml.chart+xml"/>
  <Override PartName="/xl/drawings/drawing74.xml" ContentType="application/vnd.openxmlformats-officedocument.drawing+xml"/>
  <Override PartName="/xl/charts/chart75.xml" ContentType="application/vnd.openxmlformats-officedocument.drawingml.chart+xml"/>
  <Override PartName="/xl/charts/chart76.xml" ContentType="application/vnd.openxmlformats-officedocument.drawingml.chart+xml"/>
  <Override PartName="/xl/drawings/drawing77.xml" ContentType="application/vnd.openxmlformats-officedocument.drawing+xml"/>
  <Override PartName="/xl/charts/chart78.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30"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4026"/>
  <workbookPr codeName="ThisWorkbook" defaultThemeVersion="124226"/>
  <bookViews>
    <workbookView xWindow="-120" yWindow="-120" windowWidth="21600" windowHeight="10410" tabRatio="966"/>
  </bookViews>
  <sheets>
    <sheet name="Table of Contents" sheetId="1" r:id="rId13"/>
    <sheet name="Glance" sheetId="57" r:id="rId14"/>
    <sheet name="Summary" sheetId="55" r:id="rId15"/>
    <sheet name="Comp" sheetId="76" r:id="rId12"/>
    <sheet name="Response" sheetId="13" r:id="rId20"/>
    <sheet name="Day of Week" sheetId="60" r:id="rId16"/>
    <sheet name="Daily by Month" sheetId="47" r:id="rId17"/>
    <sheet name="Segmentation Glance" sheetId="77" r:id="rId11"/>
    <sheet name="Segmentation Occ" sheetId="78" r:id="rId10"/>
    <sheet name="Segmentation ADR" sheetId="79" r:id="rId9"/>
    <sheet name="Segmentation RevPAR" sheetId="80" r:id="rId8"/>
    <sheet name="Segmentation Indexes" sheetId="81" r:id="rId7"/>
    <sheet name="Segmentation Ranking" sheetId="82" r:id="rId6"/>
    <sheet name="Segmentation DOW Month" sheetId="83" r:id="rId5"/>
    <sheet name="Segmentation DOW YTD" sheetId="84" r:id="rId4"/>
    <sheet name="Segmentation DOW Run 3" sheetId="85" r:id="rId3"/>
    <sheet name="Segmentation DOW Run 12" sheetId="86" r:id="rId2"/>
    <sheet name="Add Rev ADR" sheetId="65" r:id="rId18"/>
    <sheet name="Add Rev RevPAR" sheetId="66" r:id="rId19"/>
    <sheet name="Segmentation Response" sheetId="87" r:id="rId1"/>
    <sheet name="Help" sheetId="74" r:id="rId21"/>
  </sheets>
  <definedNames>
    <definedName name="_xlnm.Print_Area" localSheetId="17">'Add Rev ADR'!$A$1:$AH$46</definedName>
    <definedName name="_xlnm.Print_Area" localSheetId="18">'Add Rev RevPAR'!$A$1:$AH$45</definedName>
    <definedName name="_xlnm.Print_Area" localSheetId="6">'Daily by Month'!$A$1:$AH$57</definedName>
    <definedName name="_xlnm.Print_Area" localSheetId="5">'Day of Week'!$A$1:$V$78</definedName>
    <definedName name="_xlnm.Print_Area" localSheetId="1">Glance!$A$1:$T$34</definedName>
    <definedName name="_xlnm.Print_Area" localSheetId="20">Help!$A$1:$J$16</definedName>
    <definedName name="_xlnm.Print_Area" localSheetId="4">Response!$A$1:$AR$106</definedName>
    <definedName name="_xlnm.Print_Area" localSheetId="2">Summary!$A$1:$U$45</definedName>
    <definedName name="_xlnm.Print_Area" localSheetId="0">'Table of Contents'!$A$1:$H$63</definedName>
    <definedName name="_xlnm.Print_Area" localSheetId="3">Comp!$A$1:$AG$57</definedName>
    <definedName name="_xlnm.Print_Area" localSheetId="7">'Segmentation Glance'!$A$1:$T$41</definedName>
    <definedName name="_xlnm.Print_Area" localSheetId="8">'Segmentation Occ'!$A$1:$AB$45</definedName>
    <definedName name="_xlnm.Print_Area" localSheetId="9">'Segmentation ADR'!$A$1:$AB$44</definedName>
    <definedName name="_xlnm.Print_Area" localSheetId="10">'Segmentation RevPAR'!$A$1:$AB$44</definedName>
    <definedName name="_xlnm.Print_Area" localSheetId="11">'Segmentation Indexes'!$A$1:$AB$44</definedName>
    <definedName name="_xlnm.Print_Area" localSheetId="12">'Segmentation Ranking'!$A$1:$AB$44</definedName>
    <definedName name="_xlnm.Print_Area" localSheetId="13">'Segmentation DOW Month'!$A$1:$AB$53</definedName>
    <definedName name="_xlnm.Print_Area" localSheetId="14">'Segmentation DOW YTD'!$A$1:$AB$53</definedName>
    <definedName name="_xlnm.Print_Area" localSheetId="15">'Segmentation DOW Run 3'!$A$1:$AB$53</definedName>
    <definedName name="_xlnm.Print_Area" localSheetId="16">'Segmentation DOW Run 12'!$A$1:$AB$53</definedName>
    <definedName name="_xlnm.Print_Area" localSheetId="19">'Segmentation Response'!$A$1:$AR$106</definedName>
  </definedNames>
  <calcPr calcId="152511"/>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<sst xmlns="http://schemas.openxmlformats.org/spreadsheetml/2006/main" xmlns:r="http://schemas.openxmlformats.org/officeDocument/2006/relationships" xmlns:xdr="http://schemas.openxmlformats.org/drawingml/2006/spreadsheetDrawing" xmlns:s="http://schemas.openxmlformats.org/officeDocument/2006/sharedTypes" xmlns:vt="http://schemas.openxmlformats.org/officeDocument/2006/docPropsVTypes" xmlns:a="http://schemas.openxmlformats.org/drawingml/2006/main" xmlns:cdr="http://schemas.openxmlformats.org/drawingml/2006/chartDrawing" count="1023" uniqueCount="126">
  <si>
    <t>Sun</t>
  </si>
  <si>
    <t>Mon</t>
  </si>
  <si>
    <t>Tue</t>
  </si>
  <si>
    <t>Wed</t>
  </si>
  <si>
    <t>Thu</t>
  </si>
  <si>
    <t>Fri</t>
  </si>
  <si>
    <t>Sat</t>
  </si>
  <si>
    <t>This Year</t>
  </si>
  <si>
    <t>Last Year</t>
  </si>
  <si>
    <t>ADR</t>
  </si>
  <si>
    <t>RevPAR</t>
  </si>
  <si>
    <t>Transient</t>
  </si>
  <si>
    <t>Total</t>
  </si>
  <si>
    <t>Group</t>
  </si>
  <si>
    <t>Contract</t>
  </si>
  <si>
    <t>Comp Set</t>
  </si>
  <si>
    <t>Comp set</t>
  </si>
  <si>
    <t>Other</t>
  </si>
  <si>
    <t>F&amp;B</t>
  </si>
  <si>
    <t>My Property</t>
  </si>
  <si>
    <t>Room</t>
  </si>
  <si>
    <t>Name</t>
  </si>
  <si>
    <t>Occupancy (%)</t>
  </si>
  <si>
    <t>Rank</t>
  </si>
  <si>
    <t>% Chg</t>
  </si>
  <si>
    <t>My Prop</t>
  </si>
  <si>
    <t>Market Scale</t>
  </si>
  <si>
    <t xml:space="preserve"> </t>
  </si>
  <si>
    <t>Supply</t>
  </si>
  <si>
    <t>Demand</t>
  </si>
  <si>
    <t>Census/Sample - Properties &amp; Rooms</t>
  </si>
  <si>
    <t>Census</t>
  </si>
  <si>
    <t>Sample</t>
  </si>
  <si>
    <t>Properties</t>
  </si>
  <si>
    <t>Rooms</t>
  </si>
  <si>
    <t>Competitive Set</t>
  </si>
  <si>
    <t>Sample %</t>
  </si>
  <si>
    <t>Year to Date</t>
  </si>
  <si>
    <t>Revenue</t>
  </si>
  <si>
    <t>Day of Week</t>
  </si>
  <si>
    <t>Weekday</t>
  </si>
  <si>
    <t>Time Period</t>
  </si>
  <si>
    <t>Current Month</t>
  </si>
  <si>
    <t>Sunday</t>
  </si>
  <si>
    <t>Running 3 Month</t>
  </si>
  <si>
    <t>Running 12 Month</t>
  </si>
  <si>
    <t>Monday</t>
  </si>
  <si>
    <t>Tuesday</t>
  </si>
  <si>
    <t>Wednesday</t>
  </si>
  <si>
    <t>Thursday</t>
  </si>
  <si>
    <t>Friday</t>
  </si>
  <si>
    <t>Saturday</t>
  </si>
  <si>
    <t>Weekend</t>
  </si>
  <si>
    <t>Occ</t>
  </si>
  <si>
    <t>Indexes</t>
  </si>
  <si>
    <t>(Fri-Sat)</t>
  </si>
  <si>
    <t xml:space="preserve">Pipeline </t>
  </si>
  <si>
    <t>Weekday/Weekend</t>
  </si>
  <si>
    <t>Year To Date</t>
  </si>
  <si>
    <t xml:space="preserve">  Year To Date</t>
  </si>
  <si>
    <t>Zip</t>
  </si>
  <si>
    <t>Phone</t>
  </si>
  <si>
    <t>Open Date</t>
  </si>
  <si>
    <t>Month % Chg</t>
  </si>
  <si>
    <t>YTD % Chg</t>
  </si>
  <si>
    <t>Run 3 Mon % Chg</t>
  </si>
  <si>
    <t>Run 12 Mon % Chg</t>
  </si>
  <si>
    <t>(Sun-Thu)</t>
  </si>
  <si>
    <t xml:space="preserve">     % Chg</t>
  </si>
  <si>
    <t>Percent of Total Revenue (%)</t>
  </si>
  <si>
    <t>Percent Change (%)</t>
  </si>
  <si>
    <t>STR#</t>
  </si>
  <si>
    <t>Occupancy</t>
  </si>
  <si>
    <t>Property</t>
  </si>
  <si>
    <t>Competitive Set: Competitors</t>
  </si>
  <si>
    <t xml:space="preserve">     Weekday</t>
  </si>
  <si>
    <t xml:space="preserve">     Weekend</t>
  </si>
  <si>
    <t>Ranking</t>
  </si>
  <si>
    <t>My Prop vs. Comp Set</t>
  </si>
  <si>
    <t xml:space="preserve">This Year </t>
  </si>
  <si>
    <t xml:space="preserve">Last Year  </t>
  </si>
  <si>
    <t>Date</t>
  </si>
  <si>
    <t>Total Sundays</t>
  </si>
  <si>
    <t>Total Mondays</t>
  </si>
  <si>
    <t>Total Tuesdays</t>
  </si>
  <si>
    <t>Total Wednesdays</t>
  </si>
  <si>
    <t>Total Thursdays</t>
  </si>
  <si>
    <t>Total Fridays</t>
  </si>
  <si>
    <t>Total Saturdays</t>
  </si>
  <si>
    <t>Exchange Rate*</t>
  </si>
  <si>
    <t>Average Daily Rate</t>
  </si>
  <si>
    <t>Revenue Per Rooms Sold</t>
  </si>
  <si>
    <t>Revenue Per Rooms Available</t>
  </si>
  <si>
    <t>Revenue Per Room Sold</t>
  </si>
  <si>
    <t>City, State Country</t>
  </si>
  <si>
    <t xml:space="preserve">City, State </t>
  </si>
  <si>
    <t>December LYTD</t>
  </si>
  <si>
    <t>Index (MPI)</t>
  </si>
  <si>
    <t>Index (ARI)</t>
  </si>
  <si>
    <t>Index (RGI)</t>
  </si>
  <si>
    <t>Exchange Rate</t>
  </si>
  <si>
    <t>Total (TrevPOR**)</t>
  </si>
  <si>
    <t xml:space="preserve">** TrevPOR = Total revenue per occupied room (sum of Room, F&amp;B, and Other revenue divided by total occupied rooms).  </t>
  </si>
  <si>
    <t>Total (TrevPAR**)</t>
  </si>
  <si>
    <t xml:space="preserve">** TrevPAR = Total revenue per available room (sum of Room, F&amp;B, and Other revenue divided by total available rooms).  </t>
  </si>
  <si>
    <t>Job #</t>
  </si>
  <si>
    <t>Title</t>
  </si>
  <si>
    <t>Options</t>
  </si>
  <si>
    <t>Table Of Contents</t>
  </si>
  <si>
    <t>Occupancy Index</t>
  </si>
  <si>
    <t>ADR Index</t>
  </si>
  <si>
    <t>RevPAR Index</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</si>
  <si>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</si>
  <si>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</si>
  <si>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</si>
  <si>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</si>
  <si>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</si>
  <si>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</si>
  <si>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</si>
  <si>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</si>
  <si>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</si>
  <si>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</si>
  <si>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</si>
  <si>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</si>
  <si>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</si>
  <si>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</si>
  <si>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</si>
  <si>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Monthly Performance at a Glance - My Property vs. Competitive Set</t>
  </si>
  <si>
    <t>Monthly Performance at a Glance</t>
  </si>
  <si>
    <t>Tab 3 - STAR Summary - My Property vs. Comp Set and Industry Segments</t>
  </si>
  <si>
    <t>STAR Summary</t>
  </si>
  <si>
    <t>Tab 4 - Competitive Set Report</t>
  </si>
  <si>
    <t>Competitive Set Report</t>
  </si>
  <si>
    <t>Tab 5 - Response Report</t>
  </si>
  <si>
    <t>Response Report</t>
  </si>
  <si>
    <t>Tab 6 - Day of Week and Weekday/Weekend Report</t>
  </si>
  <si>
    <t>Day of Week &amp; Weekday/Weekend</t>
  </si>
  <si>
    <t>Tab 7 - Daily Data for the Month</t>
  </si>
  <si>
    <t>Daily Data for the Month</t>
  </si>
  <si>
    <t>Tab 8 - Segmentation at a Glance - My Property vs. Competitive Set</t>
  </si>
  <si>
    <t>Segmentation at a Glance</t>
  </si>
  <si>
    <t>Tab 9 - Segmentation Occupancy Analysis</t>
  </si>
  <si>
    <t>Segmentation Occupancy Analysis</t>
  </si>
  <si>
    <t>Tab 10 - Segmentation ADR Analysis</t>
  </si>
  <si>
    <t>Segmentation ADR Analysis</t>
  </si>
  <si>
    <t>Tab 11 - Segmentation RevPAR Analysis</t>
  </si>
  <si>
    <t>Segmentation RevPAR Analysis</t>
  </si>
  <si>
    <t>Tab 12 - Segmentation Index Analysis</t>
  </si>
  <si>
    <t>Segmentation Index Analysis</t>
  </si>
  <si>
    <t>Tab 13 - Segmentation Ranking Analysis</t>
  </si>
  <si>
    <t>Segmentation Ranking Analysis</t>
  </si>
  <si>
    <t>Tab 14 - Segmentation Day Of Week - Current Month</t>
  </si>
  <si>
    <t>Segmentation Day Of Week - Current Month</t>
  </si>
  <si>
    <t>Tab 15 - Segmentation Day Of Week - Year to Date</t>
  </si>
  <si>
    <t>Segmentation Day Of Week - Year to Date</t>
  </si>
  <si>
    <t>Tab 16 - Segmentation Day Of Week - Running 3 Month</t>
  </si>
  <si>
    <t>Segmentation Day Of Week - Running 3 Month</t>
  </si>
  <si>
    <t>Tab 17 - Segmentation Day Of Week - Running 12 Month</t>
  </si>
  <si>
    <t>Segmentation Day Of Week - Running 12 Month</t>
  </si>
  <si>
    <t>Tab 18 - Additional Revenue ADR Analysis (TrevPOR)</t>
  </si>
  <si>
    <t>Additional Revenue ADR Analysis (TrevPOR)</t>
  </si>
  <si>
    <t>Tab 19 - Additional Revenue RevPAR Analysis (TrevPAR)</t>
  </si>
  <si>
    <t>Additional Revenue RevPAR Analysis (TrevPAR)</t>
  </si>
  <si>
    <t>Tab 20 - Segmentation Response Report</t>
  </si>
  <si>
    <t>Segmentation Response Report</t>
  </si>
  <si>
    <t>Help</t>
  </si>
  <si>
    <t>Monthly STAR Report : Hilton Garden Inn Jackson Downtown</t>
  </si>
  <si>
    <t>STR # 60180 / Created July 17, 2025</t>
  </si>
  <si>
    <t>For the Month of: June 2025</t>
  </si>
  <si>
    <t>Currency: US Dollar  /  Competitive Set Data Excludes Subject Property</t>
  </si>
  <si>
    <t>Hilton Garden Inn Jackson Downtown        235 W Capitol St        Jackson, MS 39201        Phone: (601) 353-5464</t>
  </si>
  <si>
    <t>STR # 60180        ChainID: 000043085        MgtCo: Dellisart Hospitality        Owner: Desai Hotel Group</t>
  </si>
  <si>
    <t>For the Month of: June 2025        Date Created: July 17, 2025        Monthly Competitive Set Data Excludes Subject Property</t>
  </si>
  <si>
    <t>June 2025</t>
  </si>
  <si>
    <t>June 2025 vs. 2024 Percent Change (%)</t>
  </si>
  <si>
    <t>Hilton Garden Inn Jackson Downtown</t>
  </si>
  <si>
    <t>Market: Jackson, MS</t>
  </si>
  <si>
    <t>Market Class: Upscale Class</t>
  </si>
  <si>
    <t>Submarket: Jackson CBD/South, MS</t>
  </si>
  <si>
    <t>Submarket Scale: Upscale Chains</t>
  </si>
  <si>
    <t>Jan</t>
  </si>
  <si>
    <t>6 of 8</t>
  </si>
  <si>
    <t>5 of 8</t>
  </si>
  <si>
    <t>Feb</t>
  </si>
  <si>
    <t>7 of 8</t>
  </si>
  <si>
    <t>4 of 8</t>
  </si>
  <si>
    <t>Mar</t>
  </si>
  <si>
    <t>Apr</t>
  </si>
  <si>
    <t>May</t>
  </si>
  <si>
    <t>Jun</t>
  </si>
  <si>
    <t>Jul</t>
  </si>
  <si>
    <t>Aug</t>
  </si>
  <si>
    <t>Sep</t>
  </si>
  <si>
    <t>Oct</t>
  </si>
  <si>
    <t>Nov</t>
  </si>
  <si>
    <t>3 of 8</t>
  </si>
  <si>
    <t>Dec</t>
  </si>
  <si>
    <t>8 of 8</t>
  </si>
  <si>
    <t>2 of 8</t>
  </si>
  <si>
    <t>1 of 8</t>
  </si>
  <si>
    <t>For the Month of: June 2025        Date Created: July 17, 2025</t>
  </si>
  <si>
    <t>City, State</t>
  </si>
  <si>
    <t>June 2025 (This Year)</t>
  </si>
  <si>
    <t>June 2024 (Last Year)</t>
  </si>
  <si>
    <t>Sunday, Jun 15th</t>
  </si>
  <si>
    <t>Jun 15th - Father's Day</t>
  </si>
  <si>
    <t>Thursday, Jun 19th</t>
  </si>
  <si>
    <t>Jun 19th - Juneteenth</t>
  </si>
  <si>
    <t>Sunday, June 16th</t>
  </si>
  <si>
    <t>June 16th - Father's Day</t>
  </si>
  <si>
    <t>Wednesday, June 19th</t>
  </si>
  <si>
    <t>June 19th - Juneteenth</t>
  </si>
  <si>
    <t>Jackson, MS</t>
  </si>
  <si>
    <t>39201</t>
  </si>
  <si>
    <t>(601) 353-5464</t>
  </si>
  <si>
    <t>186</t>
  </si>
  <si>
    <t>192312</t>
  </si>
  <si>
    <t>●</t>
  </si>
  <si>
    <t>Hilton Jackson</t>
  </si>
  <si>
    <t>39211</t>
  </si>
  <si>
    <t>(601) 957-2800</t>
  </si>
  <si>
    <t>276</t>
  </si>
  <si>
    <t>198406</t>
  </si>
  <si>
    <t>Holiday Inn Express &amp; Suites Jackson Downtown Coliseum</t>
  </si>
  <si>
    <t>39202</t>
  </si>
  <si>
    <t>(601) 948-4466</t>
  </si>
  <si>
    <t>108</t>
  </si>
  <si>
    <t>198905</t>
  </si>
  <si>
    <t>Courtyard Jackson Ridgeland</t>
  </si>
  <si>
    <t>(601) 956-9991</t>
  </si>
  <si>
    <t>117</t>
  </si>
  <si>
    <t>199505</t>
  </si>
  <si>
    <t>Hampton Inn &amp; Suites Jackson Downtown-Coliseum</t>
  </si>
  <si>
    <t>(601) 352-1700</t>
  </si>
  <si>
    <t>111</t>
  </si>
  <si>
    <t>199611</t>
  </si>
  <si>
    <t>Embassy Suites by Hilton Jackson North Ridgeland</t>
  </si>
  <si>
    <t>Ridgeland, MS</t>
  </si>
  <si>
    <t>39157</t>
  </si>
  <si>
    <t>(601) 607-7112</t>
  </si>
  <si>
    <t>145</t>
  </si>
  <si>
    <t>200812</t>
  </si>
  <si>
    <t>Hyatt Place Jackson/Ridgeland</t>
  </si>
  <si>
    <t>39157-8719</t>
  </si>
  <si>
    <t>(601) 898-8815</t>
  </si>
  <si>
    <t>126</t>
  </si>
  <si>
    <t>200810</t>
  </si>
  <si>
    <t>The Westin Jackson</t>
  </si>
  <si>
    <t>39201-4904</t>
  </si>
  <si>
    <t>(601) 968-8200</t>
  </si>
  <si>
    <t>203</t>
  </si>
  <si>
    <t>201708</t>
  </si>
  <si>
    <t xml:space="preserve">Data received: </t>
  </si>
  <si>
    <t>○</t>
  </si>
  <si>
    <t>= Monthly Only</t>
  </si>
  <si>
    <t>= Monthly &amp; Daily</t>
  </si>
  <si>
    <t>For the Month of: June 2025        Date Created: July 17, 2025        Daily Competitive Set Data Excludes Subject Property</t>
  </si>
  <si>
    <t>Su</t>
  </si>
  <si>
    <t>June</t>
  </si>
  <si>
    <t>Mo</t>
  </si>
  <si>
    <t>Tu</t>
  </si>
  <si>
    <t>We</t>
  </si>
  <si>
    <t>Th</t>
  </si>
  <si>
    <t>Fr</t>
  </si>
  <si>
    <t>Sa</t>
  </si>
  <si>
    <t>Market Scale: Jackson, MS Upscale Chains</t>
  </si>
  <si>
    <t>4 of 6</t>
  </si>
  <si>
    <t>5 of 6</t>
  </si>
  <si>
    <t>6 of 6</t>
  </si>
  <si>
    <t>3 of 6</t>
  </si>
  <si>
    <t>2 of 6</t>
  </si>
  <si>
    <t>1 of 6</t>
  </si>
  <si>
    <t>s</t>
  </si>
  <si>
    <t/>
  </si>
  <si>
    <t>B</t>
  </si>
  <si>
    <t>= Segmentation (Transient, Group, Contract) Only</t>
  </si>
  <si>
    <t>r</t>
  </si>
  <si>
    <t>= Additional Revenue Only</t>
  </si>
  <si>
    <t>= Both Segmentation &amp; Additional Revenue</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</si>
</sst>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2">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0.00_);\(0.00\)"/>
    <numFmt numFmtId="170" formatCode="mm/dd/yy;@"/>
    <numFmt numFmtId="171" formatCode="00000"/>
  </numFmts>
  <fonts count="112">
    <font>
      <sz val="10"/>
      <name val="Arial"/>
    </font>
    <font>
      <sz val="10"/>
      <name val="Arial"/>
      <family val="2"/>
    </font>
    <font>
      <sz val="24"/>
      <color indexed="9"/>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b/>
      <sz val="13"/>
      <name val="Arial"/>
      <family val="2"/>
    </font>
    <font>
      <sz val="7"/>
      <name val="Arial"/>
      <family val="2"/>
    </font>
    <font>
      <sz val="10"/>
      <color indexed="8"/>
      <name val="Arial"/>
      <family val="2"/>
    </font>
    <font>
      <b/>
      <sz val="12"/>
      <color indexed="9"/>
      <name val="Arial"/>
      <family val="2"/>
    </font>
    <font>
      <b/>
      <sz val="14"/>
      <name val="Arial"/>
      <family val="2"/>
    </font>
    <font>
      <b/>
      <sz val="12"/>
      <color indexed="8"/>
      <name val="Arial"/>
      <family val="2"/>
    </font>
    <font>
      <b/>
      <sz val="14"/>
      <color indexed="8"/>
      <name val="Arial"/>
      <family val="2"/>
    </font>
    <font>
      <b/>
      <sz val="9"/>
      <color indexed="8"/>
      <name val="Arial"/>
      <family val="2"/>
    </font>
    <font>
      <sz val="13"/>
      <name val="Arial"/>
      <family val="2"/>
    </font>
    <font>
      <sz val="8"/>
      <name val="Wingdings"/>
      <charset val="2"/>
    </font>
    <font>
      <b/>
      <sz val="14"/>
      <color indexed="9"/>
      <name val="Arial"/>
      <family val="2"/>
    </font>
    <font>
      <sz val="10"/>
      <color indexed="9"/>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7"/>
      <name val="Webdings"/>
      <family val="1"/>
      <charset val="2"/>
    </font>
    <font>
      <sz val="10"/>
      <name val="Webdings"/>
      <family val="1"/>
      <charset val="2"/>
    </font>
    <font>
      <sz val="24"/>
      <name val="Arial"/>
      <family val="2"/>
    </font>
    <font>
      <u/>
      <sz val="10"/>
      <color indexed="36"/>
      <name val="Arial"/>
      <family val="2"/>
    </font>
    <font>
      <u/>
      <sz val="10"/>
      <color indexed="39"/>
      <name val="Arial"/>
      <family val="2"/>
    </font>
    <font>
      <b/>
      <sz val="13"/>
      <name val="Arial"/>
      <family val="2"/>
    </font>
    <font>
      <sz val="14"/>
      <name val="Arial"/>
      <family val="2"/>
    </font>
    <font>
      <sz val="16"/>
      <name val="Arial"/>
      <family val="2"/>
    </font>
    <font>
      <b/>
      <sz val="10"/>
      <color indexed="8"/>
      <name val="Arial"/>
      <family val="2"/>
    </font>
    <font>
      <b/>
      <sz val="12"/>
      <color indexed="9"/>
      <name val="Arial"/>
      <family val="2"/>
    </font>
    <font>
      <b/>
      <sz val="10"/>
      <name val="Arial"/>
      <family val="2"/>
    </font>
    <font>
      <sz val="12"/>
      <name val="Arial"/>
      <family val="2"/>
    </font>
    <font>
      <b/>
      <i/>
      <sz val="10"/>
      <name val="Arial"/>
      <family val="2"/>
    </font>
    <font>
      <b/>
      <i/>
      <sz val="10"/>
      <color indexed="9"/>
      <name val="Arial"/>
      <family val="2"/>
    </font>
    <font>
      <sz val="10"/>
      <name val="Arial"/>
      <family val="2"/>
    </font>
    <font>
      <b/>
      <sz val="10"/>
      <color indexed="9"/>
      <name val="Arial"/>
      <family val="2"/>
    </font>
    <font>
      <sz val="18"/>
      <name val="Arial"/>
      <family val="2"/>
    </font>
    <font>
      <b/>
      <sz val="12"/>
      <name val="Arial"/>
      <family val="2"/>
    </font>
    <font>
      <b/>
      <sz val="11"/>
      <color indexed="9"/>
      <name val="Arial"/>
      <family val="2"/>
    </font>
    <font>
      <sz val="10"/>
      <color indexed="9"/>
      <name val="Arial"/>
      <family val="2"/>
    </font>
    <font>
      <b/>
      <sz val="14"/>
      <name val="Arial"/>
      <family val="2"/>
    </font>
    <font>
      <sz val="10"/>
      <color indexed="8"/>
      <name val="Arial"/>
      <family val="2"/>
    </font>
    <font>
      <sz val="9"/>
      <color indexed="9"/>
      <name val="Arial"/>
      <family val="2"/>
    </font>
    <font>
      <b/>
      <sz val="16"/>
      <name val="Arial"/>
      <family val="2"/>
    </font>
    <font>
      <b/>
      <sz val="11"/>
      <name val="Arial"/>
      <family val="2"/>
    </font>
    <font>
      <b/>
      <sz val="16"/>
      <name val="Arial"/>
      <family val="2"/>
    </font>
    <font>
      <b/>
      <sz val="12"/>
      <color indexed="39"/>
      <name val="Arial"/>
      <family val="2"/>
    </font>
    <font>
      <sz val="12"/>
      <color indexed="39"/>
      <name val="Arial"/>
      <family val="2"/>
    </font>
    <font>
      <sz val="10"/>
      <color indexed="39"/>
      <name val="Arial"/>
      <family val="2"/>
    </font>
    <font>
      <sz val="10"/>
      <color indexed="33"/>
      <name val="Arial"/>
      <family val="2"/>
    </font>
    <font>
      <sz val="10"/>
      <name val="Arial"/>
      <family val="2"/>
    </font>
    <font>
      <sz val="14"/>
      <color indexed="9"/>
      <name val="Arial"/>
      <family val="2"/>
    </font>
    <font>
      <sz val="11"/>
      <color indexed="8"/>
      <name val="Calibri"/>
      <family val="2"/>
    </font>
    <font>
      <sz val="11"/>
      <color indexed="9"/>
      <name val="Calibri"/>
      <family val="2"/>
    </font>
    <font>
      <sz val="11"/>
      <color indexed="3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28"/>
      <name val="Calibri"/>
      <family val="2"/>
    </font>
    <font>
      <b/>
      <sz val="18"/>
      <color indexed="62"/>
      <name val="Cambria"/>
      <family val="2"/>
    </font>
    <font>
      <b/>
      <sz val="11"/>
      <color indexed="8"/>
      <name val="Calibri"/>
      <family val="2"/>
    </font>
    <font>
      <sz val="11"/>
      <color indexed="10"/>
      <name val="Calibri"/>
      <family val="2"/>
    </font>
    <font>
      <sz val="9"/>
      <name val="Arial"/>
      <family val="2"/>
    </font>
    <font>
      <sz val="8"/>
      <name val="Arial"/>
      <family val="2"/>
    </font>
    <font>
      <sz val="8"/>
      <color indexed="9"/>
      <name val="Arial"/>
      <family val="2"/>
    </font>
    <font>
      <sz val="19"/>
      <color indexed="9"/>
      <name val="Arial"/>
      <family val="2"/>
    </font>
    <font>
      <u/>
      <sz val="11"/>
      <name val="Arial"/>
      <family val="2"/>
    </font>
    <font>
      <sz val="8"/>
      <color indexed="8"/>
      <name val="Arial"/>
      <family val="2"/>
    </font>
    <font>
      <sz val="10"/>
      <name val="Arial"/>
      <family val="2"/>
    </font>
    <font>
      <sz val="10"/>
      <color indexed="57"/>
      <name val="Arial"/>
      <family val="2"/>
    </font>
    <font>
      <u/>
      <sz val="10"/>
      <color indexed="60"/>
      <name val="Arial"/>
      <family val="2"/>
    </font>
    <font>
      <u/>
      <sz val="10"/>
      <color indexed="62"/>
      <name val="Arial"/>
      <family val="2"/>
    </font>
    <font>
      <sz val="11"/>
      <color indexed="55"/>
      <name val="Calibri"/>
      <family val="2"/>
    </font>
    <font>
      <b/>
      <sz val="11"/>
      <color indexed="53"/>
      <name val="Calibri"/>
      <family val="2"/>
    </font>
    <font>
      <b/>
      <sz val="18"/>
      <color indexed="62"/>
      <name val="Cambria"/>
      <family val="1"/>
    </font>
    <font>
      <u/>
      <sz val="11"/>
      <color theme="10"/>
      <name val="Calibri"/>
      <family val="2"/>
      <scheme val="minor"/>
    </font>
    <font>
      <sz val="11"/>
      <color theme="1"/>
      <name val="Calibri"/>
      <family val="2"/>
      <scheme val="minor"/>
    </font>
    <font>
      <b/>
      <sz val="18"/>
      <color theme="1"/>
      <name val="Arial"/>
      <family val="2"/>
    </font>
    <font>
      <sz val="18"/>
      <color theme="1"/>
      <name val="Arial"/>
      <family val="2"/>
    </font>
    <font>
      <sz val="11"/>
      <color rgb="FFFF0000"/>
      <name val="Calibri"/>
      <family val="2"/>
      <scheme val="minor"/>
    </font>
    <font>
      <b/>
      <sz val="11"/>
      <color theme="1"/>
      <name val="Arial"/>
      <family val="2"/>
    </font>
    <font>
      <sz val="11"/>
      <color theme="1"/>
      <name val="Arial"/>
      <family val="2"/>
    </font>
    <font>
      <u/>
      <color rgb="FF0000FF"/>
    </font>
    <font>
      <b/>
      <sz val="12"/>
      <color rgb="FFFFFFFF"/>
      <name val="Arial"/>
    </font>
    <font>
      <b/>
    </font>
    <font>
      <b/>
      <sz val="10"/>
      <name val="Arial"/>
    </font>
    <font>
      <color rgb="FFFFFFFF"/>
    </font>
    <font>
      <color rgb="FFA0A0A0"/>
    </font>
    <font/>
    <font>
      <sz val="18"/>
    </font>
    <font>
      <b val="0"/>
      <sz val="10"/>
      <color rgb="FF000000"/>
      <name val="Arial"/>
    </font>
    <font>
      <sz val="10"/>
    </font>
  </fonts>
  <fills count="41">
    <fill>
      <patternFill patternType="none"/>
    </fill>
    <fill>
      <patternFill patternType="gray125"/>
    </fill>
    <fill>
      <patternFill patternType="solid">
        <fgColor indexed="22"/>
      </patternFill>
    </fill>
    <fill>
      <patternFill patternType="solid">
        <fgColor indexed="56"/>
      </patternFill>
    </fill>
    <fill>
      <patternFill patternType="solid">
        <fgColor indexed="29"/>
      </patternFill>
    </fill>
    <fill>
      <patternFill patternType="solid">
        <fgColor indexed="54"/>
      </patternFill>
    </fill>
    <fill>
      <patternFill patternType="solid">
        <fgColor indexed="41"/>
      </patternFill>
    </fill>
    <fill>
      <patternFill patternType="solid">
        <fgColor indexed="41"/>
      </patternFill>
    </fill>
    <fill>
      <patternFill patternType="solid">
        <fgColor indexed="47"/>
      </patternFill>
    </fill>
    <fill>
      <patternFill patternType="solid">
        <fgColor indexed="47"/>
      </patternFill>
    </fill>
    <fill>
      <patternFill patternType="solid">
        <fgColor indexed="44"/>
      </patternFill>
    </fill>
    <fill>
      <patternFill patternType="solid">
        <fgColor indexed="44"/>
      </patternFill>
    </fill>
    <fill>
      <patternFill patternType="solid">
        <fgColor indexed="49"/>
      </patternFill>
    </fill>
    <fill>
      <patternFill patternType="solid">
        <fgColor indexed="49"/>
      </patternFill>
    </fill>
    <fill>
      <patternFill patternType="solid">
        <fgColor indexed="33"/>
      </patternFill>
    </fill>
    <fill>
      <patternFill patternType="solid">
        <fgColor indexed="57"/>
      </patternFill>
    </fill>
    <fill>
      <patternFill patternType="solid">
        <fgColor indexed="37"/>
      </patternFill>
    </fill>
    <fill>
      <patternFill patternType="solid">
        <fgColor indexed="61"/>
      </patternFill>
    </fill>
    <fill>
      <patternFill patternType="solid">
        <fgColor indexed="36"/>
      </patternFill>
    </fill>
    <fill>
      <patternFill patternType="solid">
        <fgColor indexed="60"/>
      </patternFill>
    </fill>
    <fill>
      <patternFill patternType="solid">
        <fgColor indexed="54"/>
      </patternFill>
    </fill>
    <fill>
      <patternFill patternType="solid">
        <fgColor indexed="53"/>
      </patternFill>
    </fill>
    <fill>
      <patternFill patternType="solid">
        <fgColor indexed="53"/>
      </patternFill>
    </fill>
    <fill>
      <patternFill patternType="solid">
        <fgColor indexed="45"/>
      </patternFill>
    </fill>
    <fill>
      <patternFill patternType="solid">
        <fgColor indexed="63"/>
      </patternFill>
    </fill>
    <fill>
      <patternFill patternType="solid">
        <fgColor indexed="42"/>
      </patternFill>
    </fill>
    <fill>
      <patternFill patternType="solid">
        <fgColor indexed="42"/>
      </patternFill>
    </fill>
    <fill>
      <patternFill patternType="solid">
        <fgColor indexed="43"/>
      </patternFill>
    </fill>
    <fill>
      <patternFill patternType="solid">
        <fgColor indexed="43"/>
      </patternFill>
    </fill>
    <fill>
      <patternFill patternType="solid">
        <fgColor indexed="59"/>
      </patternFill>
    </fill>
    <fill>
      <patternFill patternType="solid">
        <fgColor indexed="9"/>
      </patternFill>
    </fill>
    <fill>
      <patternFill patternType="solid">
        <fgColor indexed="37"/>
      </patternFill>
    </fill>
    <fill>
      <patternFill patternType="solid">
        <fgColor indexed="55"/>
      </patternFill>
    </fill>
    <fill>
      <patternFill patternType="solid">
        <fgColor indexed="22"/>
      </patternFill>
    </fill>
    <fill>
      <patternFill patternType="solid">
        <fgColor indexed="31"/>
      </patternFill>
    </fill>
    <fill>
      <patternFill patternType="solid">
        <fgColor indexed="33"/>
      </patternFill>
    </fill>
    <fill>
      <patternFill patternType="solid">
        <fgColor indexed="45"/>
      </patternFill>
    </fill>
    <fill>
      <patternFill patternType="solid">
        <fgColor theme="0"/>
      </patternFill>
    </fill>
    <fill>
      <patternFill patternType="solid">
        <fgColor rgb="FFFFFFFF"/>
      </patternFill>
    </fill>
    <fill>
      <patternFill patternType="solid">
        <fgColor rgb="FFA0A0A0"/>
      </patternFill>
    </fill>
    <fill>
      <patternFill patternType="solid">
        <fgColor rgb="FFEAEAEA"/>
      </patternFill>
    </fill>
  </fills>
  <borders count="82">
    <border>
      <left>
        <color/>
      </left>
      <right>
        <color/>
      </right>
      <top>
        <color/>
      </top>
      <bottom>
        <color/>
      </bottom>
      <diagonal>
        <color/>
      </diagonal>
    </border>
    <border>
      <left style="thin">
        <color indexed="23"/>
      </left>
      <right style="thin">
        <color indexed="23"/>
      </right>
      <top style="thin">
        <color indexed="23"/>
      </top>
      <bottom style="thin">
        <color indexed="23"/>
      </bottom>
      <diagonal>
        <color/>
      </diagonal>
    </border>
    <border>
      <left style="double">
        <color indexed="28"/>
      </left>
      <right style="double">
        <color indexed="28"/>
      </right>
      <top style="double">
        <color indexed="28"/>
      </top>
      <bottom style="double">
        <color indexed="28"/>
      </bottom>
      <diagonal>
        <color/>
      </diagonal>
    </border>
    <border>
      <left style="double">
        <color indexed="53"/>
      </left>
      <right style="double">
        <color indexed="53"/>
      </right>
      <top style="double">
        <color indexed="53"/>
      </top>
      <bottom style="double">
        <color indexed="53"/>
      </bottom>
      <diagonal>
        <color/>
      </diagonal>
    </border>
    <border>
      <left>
        <color/>
      </left>
      <right>
        <color/>
      </right>
      <top>
        <color/>
      </top>
      <bottom style="thick">
        <color indexed="49"/>
      </bottom>
      <diagonal>
        <color/>
      </diagonal>
    </border>
    <border>
      <left>
        <color/>
      </left>
      <right>
        <color/>
      </right>
      <top>
        <color/>
      </top>
      <bottom style="medium">
        <color indexed="49"/>
      </bottom>
      <diagonal>
        <color/>
      </diagonal>
    </border>
    <border>
      <left>
        <color/>
      </left>
      <right>
        <color/>
      </right>
      <top>
        <color/>
      </top>
      <bottom style="double">
        <color indexed="52"/>
      </bottom>
      <diagonal>
        <color/>
      </diagonal>
    </border>
    <border>
      <left style="thin">
        <color indexed="33"/>
      </left>
      <right style="thin">
        <color indexed="33"/>
      </right>
      <top style="thin">
        <color indexed="33"/>
      </top>
      <bottom style="thin">
        <color indexed="33"/>
      </bottom>
      <diagonal>
        <color/>
      </diagonal>
    </border>
    <border>
      <left style="thin">
        <color indexed="57"/>
      </left>
      <right style="thin">
        <color indexed="57"/>
      </right>
      <top style="thin">
        <color indexed="57"/>
      </top>
      <bottom style="thin">
        <color indexed="57"/>
      </bottom>
      <diagonal>
        <color/>
      </diagonal>
    </border>
    <border>
      <left style="thin">
        <color indexed="28"/>
      </left>
      <right style="thin">
        <color indexed="28"/>
      </right>
      <top style="thin">
        <color indexed="28"/>
      </top>
      <bottom style="thin">
        <color indexed="28"/>
      </bottom>
      <diagonal>
        <color/>
      </diagonal>
    </border>
    <border>
      <left style="thin">
        <color indexed="53"/>
      </left>
      <right style="thin">
        <color indexed="53"/>
      </right>
      <top style="thin">
        <color indexed="53"/>
      </top>
      <bottom style="thin">
        <color indexed="53"/>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color/>
      </left>
      <right>
        <color/>
      </right>
      <top style="thin">
        <color indexed="57"/>
      </top>
      <bottom style="thin">
        <color indexed="57"/>
      </bottom>
      <diagonal>
        <color/>
      </diagonal>
    </border>
    <border>
      <left style="thin">
        <color indexed="57"/>
      </left>
      <right>
        <color/>
      </right>
      <top style="thin">
        <color indexed="57"/>
      </top>
      <bottom style="thin">
        <color indexed="57"/>
      </bottom>
      <diagonal>
        <color/>
      </diagonal>
    </border>
    <border>
      <left>
        <color/>
      </left>
      <right style="thin">
        <color indexed="57"/>
      </right>
      <top style="thin">
        <color indexed="57"/>
      </top>
      <bottom style="thin">
        <color indexed="57"/>
      </bottom>
      <diagonal>
        <color/>
      </diagonal>
    </border>
    <border>
      <left>
        <color/>
      </left>
      <right>
        <color/>
      </right>
      <top style="thin">
        <color indexed="49"/>
      </top>
      <bottom style="double">
        <color indexed="49"/>
      </bottom>
      <diagonal>
        <color/>
      </diagonal>
    </border>
    <border>
      <left>
        <color/>
      </left>
      <right style="thin">
        <color indexed="55"/>
      </right>
      <top>
        <color/>
      </top>
      <bottom>
        <color/>
      </bottom>
      <diagonal>
        <color/>
      </diagonal>
    </border>
    <border>
      <left>
        <color/>
      </left>
      <right style="thin">
        <color indexed="55"/>
      </right>
      <top style="thin">
        <color indexed="55"/>
      </top>
      <bottom>
        <color/>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color/>
      </left>
      <right>
        <color/>
      </right>
      <top>
        <color/>
      </top>
      <bottom style="thin">
        <color indexed="55"/>
      </bottom>
      <diagonal>
        <color/>
      </diagonal>
    </border>
    <border>
      <left style="thin">
        <color indexed="33"/>
      </left>
      <right>
        <color/>
      </right>
      <top style="thin">
        <color indexed="33"/>
      </top>
      <bottom>
        <color/>
      </bottom>
      <diagonal>
        <color/>
      </diagonal>
    </border>
    <border>
      <left>
        <color/>
      </left>
      <right style="thin">
        <color indexed="33"/>
      </right>
      <top style="thin">
        <color indexed="33"/>
      </top>
      <bottom>
        <color/>
      </bottom>
      <diagonal>
        <color/>
      </diagonal>
    </border>
    <border>
      <left style="thin">
        <color indexed="33"/>
      </left>
      <right>
        <color/>
      </right>
      <top>
        <color/>
      </top>
      <bottom>
        <color/>
      </bottom>
      <diagonal>
        <color/>
      </diagonal>
    </border>
    <border>
      <left>
        <color/>
      </left>
      <right style="thin">
        <color indexed="33"/>
      </right>
      <top>
        <color/>
      </top>
      <bottom>
        <color/>
      </bottom>
      <diagonal>
        <color/>
      </diagonal>
    </border>
    <border>
      <left style="thin">
        <color indexed="33"/>
      </left>
      <right>
        <color/>
      </right>
      <top>
        <color/>
      </top>
      <bottom style="thin">
        <color indexed="33"/>
      </bottom>
      <diagonal>
        <color/>
      </diagonal>
    </border>
    <border>
      <left>
        <color/>
      </left>
      <right style="thin">
        <color indexed="33"/>
      </right>
      <top>
        <color/>
      </top>
      <bottom style="thin">
        <color indexed="33"/>
      </bottom>
      <diagonal>
        <color/>
      </diagonal>
    </border>
    <border>
      <left>
        <color/>
      </left>
      <right>
        <color/>
      </right>
      <top style="thin">
        <color indexed="33"/>
      </top>
      <bottom>
        <color/>
      </bottom>
      <diagonal>
        <color/>
      </diagonal>
    </border>
    <border>
      <left>
        <color/>
      </left>
      <right>
        <color/>
      </right>
      <top>
        <color/>
      </top>
      <bottom style="thin">
        <color indexed="33"/>
      </bottom>
      <diagonal>
        <color/>
      </diagonal>
    </border>
    <border>
      <left style="thin">
        <color indexed="33"/>
      </left>
      <right>
        <color/>
      </right>
      <top style="thin">
        <color indexed="33"/>
      </top>
      <bottom style="thin">
        <color indexed="33"/>
      </bottom>
      <diagonal>
        <color/>
      </diagonal>
    </border>
    <border>
      <left>
        <color/>
      </left>
      <right>
        <color/>
      </right>
      <top style="thin">
        <color indexed="33"/>
      </top>
      <bottom style="thin">
        <color indexed="33"/>
      </bottom>
      <diagonal>
        <color/>
      </diagonal>
    </border>
    <border>
      <left>
        <color/>
      </left>
      <right style="thin">
        <color indexed="33"/>
      </right>
      <top style="thin">
        <color indexed="33"/>
      </top>
      <bottom style="thin">
        <color indexed="33"/>
      </bottom>
      <diagonal>
        <color/>
      </diagonal>
    </border>
    <border>
      <left style="thin">
        <color indexed="33"/>
      </left>
      <right style="thin">
        <color indexed="33"/>
      </right>
      <top style="thin">
        <color indexed="33"/>
      </top>
      <bottom>
        <color/>
      </bottom>
      <diagonal>
        <color/>
      </diagonal>
    </border>
    <border>
      <left style="thin">
        <color indexed="33"/>
      </left>
      <right style="thin">
        <color indexed="33"/>
      </right>
      <top>
        <color/>
      </top>
      <bottom>
        <color/>
      </bottom>
      <diagonal>
        <color/>
      </diagonal>
    </border>
    <border>
      <left style="thin">
        <color indexed="33"/>
      </left>
      <right style="thin">
        <color indexed="33"/>
      </right>
      <top>
        <color/>
      </top>
      <bottom style="thin">
        <color indexed="33"/>
      </bottom>
      <diagonal>
        <color/>
      </diagonal>
    </border>
    <border>
      <left style="thin">
        <color indexed="22"/>
      </left>
      <right>
        <color/>
      </right>
      <top style="thin">
        <color indexed="22"/>
      </top>
      <bottom style="thin">
        <color indexed="22"/>
      </bottom>
      <diagonal>
        <color/>
      </diagonal>
    </border>
    <border>
      <left>
        <color/>
      </left>
      <right style="thin">
        <color indexed="23"/>
      </right>
      <top>
        <color/>
      </top>
      <bottom>
        <color/>
      </bottom>
      <diagonal>
        <color/>
      </diagonal>
    </border>
    <border>
      <left style="thin">
        <color indexed="55"/>
      </left>
      <right>
        <color/>
      </right>
      <top>
        <color/>
      </top>
      <bottom>
        <color/>
      </bottom>
      <diagonal>
        <color/>
      </diagonal>
    </border>
    <border>
      <left style="thin">
        <color indexed="23"/>
      </left>
      <right>
        <color/>
      </right>
      <top>
        <color/>
      </top>
      <bottom>
        <color/>
      </bottom>
      <diagonal>
        <color/>
      </diagonal>
    </border>
    <border>
      <left style="thin">
        <color indexed="33"/>
      </left>
      <right>
        <color/>
      </right>
      <top>
        <color/>
      </top>
      <bottom style="thin">
        <color indexed="55"/>
      </bottom>
      <diagonal>
        <color/>
      </diagonal>
    </border>
    <border>
      <left>
        <color/>
      </left>
      <right style="thin">
        <color indexed="33"/>
      </right>
      <top>
        <color/>
      </top>
      <bottom style="thin">
        <color indexed="55"/>
      </bottom>
      <diagonal>
        <color/>
      </diagonal>
    </border>
    <border>
      <left>
        <color/>
      </left>
      <right>
        <color/>
      </right>
      <top style="thin">
        <color indexed="55"/>
      </top>
      <bottom style="thin">
        <color indexed="33"/>
      </bottom>
      <diagonal>
        <color/>
      </diagonal>
    </border>
    <border>
      <left style="thin">
        <color indexed="33"/>
      </left>
      <right style="dashed">
        <color indexed="33"/>
      </right>
      <top style="thin">
        <color indexed="33"/>
      </top>
      <bottom>
        <color/>
      </bottom>
      <diagonal>
        <color/>
      </diagonal>
    </border>
    <border>
      <left style="thin">
        <color indexed="33"/>
      </left>
      <right style="dashed">
        <color indexed="33"/>
      </right>
      <top>
        <color/>
      </top>
      <bottom style="thin">
        <color indexed="33"/>
      </bottom>
      <diagonal>
        <color/>
      </diagonal>
    </border>
    <border>
      <left style="thin">
        <color indexed="33"/>
      </left>
      <right style="thin">
        <color indexed="55"/>
      </right>
      <top style="thin">
        <color indexed="33"/>
      </top>
      <bottom style="thin">
        <color indexed="33"/>
      </bottom>
      <diagonal>
        <color/>
      </diagonal>
    </border>
    <border>
      <left style="thin">
        <color indexed="55"/>
      </left>
      <right style="thin">
        <color indexed="55"/>
      </right>
      <top style="thin">
        <color indexed="33"/>
      </top>
      <bottom style="thin">
        <color indexed="33"/>
      </bottom>
      <diagonal>
        <color/>
      </diagonal>
    </border>
    <border>
      <left style="thin">
        <color indexed="55"/>
      </left>
      <right style="thin">
        <color indexed="33"/>
      </right>
      <top style="thin">
        <color indexed="33"/>
      </top>
      <bottom style="thin">
        <color indexed="33"/>
      </bottom>
      <diagonal>
        <color/>
      </diagonal>
    </border>
    <border>
      <left>
        <color/>
      </left>
      <right style="thin">
        <color indexed="64"/>
      </right>
      <top>
        <color/>
      </top>
      <bottom>
        <color/>
      </bottom>
      <diagonal>
        <color/>
      </diagonal>
    </border>
    <border>
      <left>
        <color/>
      </left>
      <right style="thin">
        <color indexed="55"/>
      </right>
      <top>
        <color/>
      </top>
      <bottom style="thin">
        <color indexed="55"/>
      </bottom>
      <diagonal>
        <color/>
      </diagonal>
    </border>
    <border>
      <left style="thin">
        <color indexed="33"/>
      </left>
      <right style="dashed">
        <color indexed="33"/>
      </right>
      <top style="thin">
        <color indexed="33"/>
      </top>
      <bottom style="thin">
        <color indexed="33"/>
      </bottom>
      <diagonal>
        <color/>
      </diagonal>
    </border>
    <border diagonalUp="0" diagonalDown="0">
      <left style="thin">
        <color indexed="33"/>
      </left>
      <right>
        <color rgb="FFA0A0A0"/>
      </right>
      <top style="thin">
        <color indexed="33"/>
      </top>
      <bottom style="thin">
        <color indexed="33"/>
      </bottom>
      <diagonal>
        <color/>
      </diagonal>
    </border>
    <border diagonalUp="0" diagonalDown="0">
      <left style="thin">
        <color indexed="33"/>
      </left>
      <right style="thin">
        <color rgb="FFA0A0A0"/>
      </right>
      <top style="thin">
        <color indexed="33"/>
      </top>
      <bottom style="thin">
        <color indexed="33"/>
      </bottom>
      <diagonal>
        <color/>
      </diagonal>
    </border>
    <border diagonalUp="0" diagonalDown="0">
      <left>
        <color auto="1" indexed="64"/>
      </left>
      <right>
        <color rgb="FFA0A0A0"/>
      </right>
      <top style="thin">
        <color indexed="33"/>
      </top>
      <bottom style="thin">
        <color indexed="33"/>
      </bottom>
      <diagonal>
        <color/>
      </diagonal>
    </border>
    <border diagonalUp="0" diagonalDown="0">
      <left>
        <color auto="1" indexed="64"/>
      </left>
      <right style="thin">
        <color rgb="FFA0A0A0"/>
      </right>
      <top style="thin">
        <color indexed="33"/>
      </top>
      <bottom style="thin">
        <color indexed="33"/>
      </bottom>
      <diagonal>
        <color/>
      </diagonal>
    </border>
    <border diagonalUp="0" diagonalDown="0">
      <left>
        <color auto="1" indexed="64"/>
      </left>
      <right>
        <color auto="1" indexed="64"/>
      </right>
      <top>
        <color auto="1" indexed="64"/>
      </top>
      <bottom>
        <color auto="1" indexed="64"/>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0" diagonalDown="0">
      <left>
        <color auto="1" indexed="64"/>
      </left>
      <right style="thin">
        <color rgb="FFA0A0A0"/>
      </right>
      <top style="thin">
        <color indexed="33"/>
      </top>
      <bottom>
        <color auto="1" indexed="64"/>
      </bottom>
      <diagonal>
        <color/>
      </diagonal>
    </border>
    <border diagonalUp="0" diagonalDown="0">
      <left style="thin">
        <color indexed="33"/>
      </left>
      <right style="thin">
        <color indexed="33"/>
      </right>
      <top style="thin">
        <color indexed="33"/>
      </top>
      <bottom>
        <color auto="1" indexed="64"/>
      </bottom>
      <diagonal>
        <color/>
      </diagonal>
    </border>
    <border>
      <left>
        <color/>
      </left>
      <right style="thin">
        <color rgb="FFA0A0A0"/>
      </right>
      <top>
        <color/>
      </top>
      <bottom style="thin">
        <color indexed="33"/>
      </bottom>
      <diagonal>
        <color/>
      </diagonal>
    </border>
    <border>
      <left>
        <color/>
      </left>
      <right style="thin">
        <color rgb="FFA0A0A0"/>
      </right>
      <top style="thin">
        <color indexed="33"/>
      </top>
      <bottom>
        <color/>
      </bottom>
      <diagonal>
        <color/>
      </diagonal>
    </border>
    <border>
      <left>
        <color/>
      </left>
      <right style="thin">
        <color rgb="FFA0A0A0"/>
      </right>
      <top>
        <color/>
      </top>
      <bottom>
        <color/>
      </bottom>
      <diagonal>
        <color/>
      </diagonal>
    </border>
    <border diagonalUp="1" diagonalDown="1">
      <left>
        <color rgb="FFFFFFFF"/>
      </left>
      <right>
        <color rgb="FFFFFFFF"/>
      </right>
      <top>
        <color rgb="FFFFFFFF"/>
      </top>
      <bottom>
        <color rgb="FFFFFFFF"/>
      </bottom>
      <diagonal>
        <color rgb="FFFFFFFF"/>
      </diagonal>
    </border>
    <border>
      <left>
        <color/>
      </left>
      <right style="thin">
        <color rgb="FFA0A0A0"/>
      </right>
      <top style="thin">
        <color indexed="33"/>
      </top>
      <bottom style="thin">
        <color indexed="33"/>
      </bottom>
      <diagonal>
        <color/>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 diagonalUp="0" diagonalDown="0">
      <left>
        <color auto="1" indexed="64"/>
      </left>
      <right style="thin">
        <color indexed="55"/>
      </right>
      <top>
        <color auto="1" indexed="64"/>
      </top>
      <bottom>
        <color auto="1" indexed="64"/>
      </bottom>
      <diagonal>
        <color/>
      </diagonal>
    </border>
    <border diagonalUp="0" diagonalDown="0">
      <left style="thin">
        <color indexed="33"/>
      </left>
      <right style="thin">
        <color indexed="33"/>
      </right>
      <top>
        <color auto="1" indexed="64"/>
      </top>
      <bottom>
        <color auto="1" indexed="64"/>
      </bottom>
      <diagonal>
        <color/>
      </diagonal>
    </border>
    <border diagonalUp="0" diagonalDown="0">
      <left style="thin">
        <color indexed="33"/>
      </left>
      <right style="thin">
        <color indexed="33"/>
      </right>
      <top>
        <color auto="1" indexed="64"/>
      </top>
      <bottom style="thin">
        <color indexed="33"/>
      </bottom>
      <diagonal>
        <color/>
      </diagonal>
    </border>
    <border diagonalUp="0" diagonalDown="0">
      <left style="thin">
        <color indexed="33"/>
      </left>
      <right>
        <color auto="1" indexed="64"/>
      </right>
      <top style="thin">
        <color indexed="33"/>
      </top>
      <bottom>
        <color auto="1" indexed="64"/>
      </bottom>
      <diagonal>
        <color/>
      </diagonal>
    </border>
    <border diagonalUp="0" diagonalDown="0">
      <left>
        <color auto="1" indexed="64"/>
      </left>
      <right>
        <color auto="1" indexed="64"/>
      </right>
      <top style="thin">
        <color indexed="33"/>
      </top>
      <bottom>
        <color auto="1" indexed="64"/>
      </bottom>
      <diagonal>
        <color/>
      </diagonal>
    </border>
    <border diagonalUp="0" diagonalDown="0">
      <left>
        <color auto="1" indexed="64"/>
      </left>
      <right style="thin">
        <color indexed="33"/>
      </right>
      <top style="thin">
        <color indexed="33"/>
      </top>
      <bottom>
        <color auto="1" indexed="64"/>
      </bottom>
      <diagonal>
        <color/>
      </diagonal>
    </border>
    <border diagonalUp="0" diagonalDown="0">
      <left style="thin">
        <color indexed="33"/>
      </left>
      <right>
        <color auto="1" indexed="64"/>
      </right>
      <top>
        <color auto="1" indexed="64"/>
      </top>
      <bottom>
        <color auto="1" indexed="64"/>
      </bottom>
      <diagonal>
        <color/>
      </diagonal>
    </border>
    <border diagonalUp="0" diagonalDown="0">
      <left>
        <color auto="1" indexed="64"/>
      </left>
      <right style="thin">
        <color indexed="33"/>
      </right>
      <top>
        <color auto="1" indexed="64"/>
      </top>
      <bottom>
        <color auto="1" indexed="64"/>
      </bottom>
      <diagonal>
        <color/>
      </diagonal>
    </border>
    <border diagonalUp="0" diagonalDown="0">
      <left style="thin">
        <color indexed="33"/>
      </left>
      <right>
        <color auto="1" indexed="64"/>
      </right>
      <top>
        <color auto="1" indexed="64"/>
      </top>
      <bottom style="thin">
        <color indexed="33"/>
      </bottom>
      <diagonal>
        <color/>
      </diagonal>
    </border>
    <border diagonalUp="0" diagonalDown="0">
      <left>
        <color auto="1" indexed="64"/>
      </left>
      <right>
        <color auto="1" indexed="64"/>
      </right>
      <top>
        <color auto="1" indexed="64"/>
      </top>
      <bottom style="thin">
        <color indexed="33"/>
      </bottom>
      <diagonal>
        <color/>
      </diagonal>
    </border>
    <border diagonalUp="0" diagonalDown="0">
      <left>
        <color auto="1" indexed="64"/>
      </left>
      <right style="thin">
        <color indexed="33"/>
      </right>
      <top>
        <color auto="1" indexed="64"/>
      </top>
      <bottom style="thin">
        <color indexed="33"/>
      </bottom>
      <diagonal>
        <color/>
      </diagonal>
    </border>
  </borders>
  <cellStyleXfs count="788">
    <xf numFmtId="0" fontId="0" fillId="0" borderId="0" applyFont="1" applyFill="1"/>
    <xf numFmtId="0" fontId="65" fillId="2" borderId="0" applyNumberFormat="0" applyFont="1" applyFill="1" applyBorder="0"/>
    <xf numFmtId="0" fontId="65" fillId="3"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6" borderId="0" applyNumberFormat="0" applyFont="1" applyFill="1" applyBorder="0"/>
    <xf numFmtId="0" fontId="65" fillId="7" borderId="0" applyNumberFormat="0" applyFont="1" applyFill="1" applyBorder="0"/>
    <xf numFmtId="0" fontId="65" fillId="8" borderId="0" applyNumberFormat="0" applyFont="1" applyFill="1" applyBorder="0"/>
    <xf numFmtId="0" fontId="65" fillId="9"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10" borderId="0" applyNumberFormat="0" applyFont="1" applyFill="1" applyBorder="0"/>
    <xf numFmtId="0" fontId="65" fillId="11" borderId="0" applyNumberFormat="0" applyFont="1" applyFill="1" applyBorder="0"/>
    <xf numFmtId="0" fontId="65" fillId="8" borderId="0" applyNumberFormat="0" applyFont="1" applyFill="1" applyBorder="0"/>
    <xf numFmtId="0" fontId="65" fillId="9"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14" borderId="0" applyNumberFormat="0" applyFont="1" applyFill="1" applyBorder="0"/>
    <xf numFmtId="0" fontId="66" fillId="15"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8" borderId="0" applyNumberFormat="0" applyFont="1" applyFill="1" applyBorder="0"/>
    <xf numFmtId="0" fontId="66" fillId="9"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16" borderId="0" applyNumberFormat="0" applyFont="1" applyFill="1" applyBorder="0"/>
    <xf numFmtId="0" fontId="66" fillId="17" borderId="0" applyNumberFormat="0" applyFont="1" applyFill="1" applyBorder="0"/>
    <xf numFmtId="0" fontId="66" fillId="18" borderId="0" applyNumberFormat="0" applyFont="1" applyFill="1" applyBorder="0"/>
    <xf numFmtId="0" fontId="66" fillId="19" borderId="0" applyNumberFormat="0" applyFont="1" applyFill="1" applyBorder="0"/>
    <xf numFmtId="0" fontId="66" fillId="20" borderId="0" applyNumberFormat="0" applyFont="1" applyFill="1" applyBorder="0"/>
    <xf numFmtId="0" fontId="66" fillId="5"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21" borderId="0" applyNumberFormat="0" applyFont="1" applyFill="1" applyBorder="0"/>
    <xf numFmtId="0" fontId="66" fillId="22" borderId="0" applyNumberFormat="0" applyFont="1" applyFill="1" applyBorder="0"/>
    <xf numFmtId="0" fontId="67" fillId="23" borderId="0" applyNumberFormat="0" applyFont="1" applyFill="1" applyBorder="0"/>
    <xf numFmtId="0" fontId="92" fillId="24" borderId="0" applyNumberFormat="0" applyFont="1" applyFill="1" applyBorder="0"/>
    <xf numFmtId="0" fontId="68" fillId="2" borderId="1" applyNumberFormat="0" applyFont="1" applyFill="1" applyBorder="1"/>
    <xf numFmtId="0" fontId="68" fillId="3" borderId="1" applyNumberFormat="0" applyFont="1" applyFill="1" applyBorder="1"/>
    <xf numFmtId="0" fontId="69" fillId="14" borderId="2" applyNumberFormat="0" applyFont="1" applyFill="1" applyBorder="1"/>
    <xf numFmtId="0" fontId="69" fillId="15" borderId="3" applyNumberFormat="0" applyFont="1" applyFill="1" applyBorder="1"/>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0" fontId="70" fillId="0" borderId="0" applyNumberFormat="0" applyFont="1" applyFill="1" applyBorder="0"/>
    <xf numFmtId="0" fontId="70" fillId="0" borderId="0" applyNumberFormat="0" applyFont="1" applyFill="1" applyBorder="0"/>
    <xf numFmtId="0" fontId="88" fillId="0" borderId="0" applyFont="1" applyFill="1"/>
    <xf numFmtId="0" fontId="88" fillId="0" borderId="0" applyFont="1" applyFill="1"/>
    <xf numFmtId="0" fontId="88" fillId="0" borderId="0" applyFont="1" applyFill="1"/>
    <xf numFmtId="0" fontId="88" fillId="0" borderId="0" applyFont="1" applyFill="1"/>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43" fontId="88" fillId="0" borderId="0" applyNumberFormat="1" applyFont="1" applyFill="1" applyBorder="0"/>
    <xf numFmtId="41" fontId="88" fillId="0" borderId="0" applyNumberFormat="1" applyFont="1" applyFill="1" applyBorder="0"/>
    <xf numFmtId="44" fontId="88" fillId="0" borderId="0" applyNumberFormat="1" applyFont="1" applyFill="1" applyBorder="0"/>
    <xf numFmtId="42" fontId="88" fillId="0" borderId="0" applyNumberFormat="1" applyFont="1" applyFill="1" applyBorder="0"/>
    <xf numFmtId="0" fontId="36" fillId="0" borderId="0" applyNumberFormat="0" applyFont="1" applyFill="1" applyBorder="0"/>
    <xf numFmtId="0" fontId="37" fillId="0" borderId="0" applyNumberFormat="0" applyFont="1" applyFill="1" applyBorder="0"/>
    <xf numFmtId="9" fontId="88" fillId="0" borderId="0" applyNumberFormat="1" applyFont="1" applyFill="1" applyBorder="0"/>
    <xf numFmtId="0" fontId="71" fillId="25" borderId="0" applyNumberFormat="0" applyFont="1" applyFill="1" applyBorder="0"/>
    <xf numFmtId="0" fontId="71" fillId="26" borderId="0" applyNumberFormat="0" applyFont="1" applyFill="1" applyBorder="0"/>
    <xf numFmtId="0" fontId="72" fillId="0" borderId="4" applyNumberFormat="0" applyFont="1" applyFill="1" applyBorder="1"/>
    <xf numFmtId="0" fontId="72" fillId="0" borderId="4" applyNumberFormat="0" applyFont="1" applyFill="1" applyBorder="1"/>
    <xf numFmtId="0" fontId="73" fillId="0" borderId="4" applyNumberFormat="0" applyFont="1" applyFill="1" applyBorder="1"/>
    <xf numFmtId="0" fontId="73" fillId="0" borderId="4" applyNumberFormat="0" applyFont="1" applyFill="1" applyBorder="1"/>
    <xf numFmtId="0" fontId="74" fillId="0" borderId="5" applyNumberFormat="0" applyFont="1" applyFill="1" applyBorder="1"/>
    <xf numFmtId="0" fontId="74" fillId="0" borderId="5" applyNumberFormat="0" applyFont="1" applyFill="1" applyBorder="1"/>
    <xf numFmtId="0" fontId="74" fillId="0" borderId="0" applyNumberFormat="0" applyFont="1" applyFill="1" applyBorder="0"/>
    <xf numFmtId="0" fontId="74" fillId="0" borderId="0" applyNumberFormat="0" applyFont="1" applyFill="1" applyBorder="0"/>
    <xf numFmtId="0" fontId="95" fillId="0" borderId="0" applyNumberFormat="0" applyFont="1" applyFill="1" applyBorder="0"/>
    <xf numFmtId="0" fontId="75" fillId="8" borderId="1" applyNumberFormat="0" applyFont="1" applyFill="1" applyBorder="1"/>
    <xf numFmtId="0" fontId="75" fillId="9" borderId="1" applyNumberFormat="0" applyFont="1" applyFill="1" applyBorder="1"/>
    <xf numFmtId="0" fontId="76" fillId="0" borderId="6" applyNumberFormat="0" applyFont="1" applyFill="1" applyBorder="1"/>
    <xf numFmtId="0" fontId="76" fillId="0" borderId="6" applyNumberFormat="0" applyFont="1" applyFill="1" applyBorder="1"/>
    <xf numFmtId="0" fontId="77" fillId="27" borderId="0" applyNumberFormat="0" applyFont="1" applyFill="1" applyBorder="0"/>
    <xf numFmtId="0" fontId="77" fillId="28" borderId="0" applyNumberFormat="0" applyFont="1" applyFill="1" applyBorder="0"/>
    <xf numFmtId="0" fontId="96" fillId="0" borderId="0" applyFont="1" applyFill="1"/>
    <xf numFmtId="0" fontId="96" fillId="0" borderId="0" applyFont="1" applyFill="1"/>
    <xf numFmtId="0" fontId="88" fillId="27" borderId="7" applyNumberFormat="0" applyFont="1" applyFill="1" applyBorder="1"/>
    <xf numFmtId="0" fontId="88" fillId="28" borderId="8" applyNumberFormat="0" applyFont="1" applyFill="1" applyBorder="1"/>
    <xf numFmtId="0" fontId="88" fillId="27" borderId="7" applyNumberFormat="0" applyFont="1" applyFill="1" applyBorder="1"/>
    <xf numFmtId="0" fontId="88" fillId="27" borderId="7" applyNumberFormat="0" applyFont="1" applyFill="1" applyBorder="1"/>
    <xf numFmtId="0" fontId="78" fillId="2" borderId="9" applyNumberFormat="0" applyFont="1" applyFill="1" applyBorder="1"/>
    <xf numFmtId="0" fontId="93" fillId="3" borderId="10" applyNumberFormat="0" applyFont="1" applyFill="1" applyBorder="1"/>
    <xf numFmtId="9" fontId="88" fillId="0" borderId="0" applyNumberFormat="1" applyFont="1" applyFill="1" applyBorder="0"/>
    <xf numFmtId="9" fontId="88" fillId="0" borderId="0" applyNumberFormat="1" applyFont="1" applyFill="1" applyBorder="0"/>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31"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 borderId="0" applyNumberFormat="0" applyFont="1" applyFill="1" applyBorder="0" applyAlignment="1">
      <alignment horizont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31"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9" fillId="15" borderId="0" applyNumberFormat="0" applyFont="1" applyFill="1" applyBorder="0"/>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 borderId="0" applyNumberFormat="0" applyFont="1" applyFill="1" applyBorder="0" applyAlignment="1">
      <alignment horizontal="center"/>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 borderId="0" applyNumberFormat="0" applyFont="1" applyFill="1" applyBorder="0" applyAlignment="1">
      <alignment horizontal="center"/>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9" fillId="15" borderId="0" applyNumberFormat="0" applyFont="1" applyFill="1" applyBorder="0"/>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2" applyNumberFormat="0" applyFont="1" applyFill="1" applyBorder="1"/>
    <xf numFmtId="0" fontId="88" fillId="30" borderId="12" applyNumberFormat="0" applyFont="1" applyFill="1" applyBorder="1"/>
    <xf numFmtId="0" fontId="88" fillId="33" borderId="12" applyNumberFormat="0" applyFont="1" applyFill="1" applyBorder="1"/>
    <xf numFmtId="0" fontId="88" fillId="3" borderId="12"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30" borderId="11" applyNumberFormat="0" applyFont="1" applyFill="1" applyBorder="1"/>
    <xf numFmtId="0" fontId="88" fillId="30" borderId="11"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3" borderId="11" applyNumberFormat="0" applyFont="1" applyFill="1" applyBorder="1"/>
    <xf numFmtId="0" fontId="88" fillId="3" borderId="11" applyNumberFormat="0" applyFont="1" applyFill="1" applyBorder="1"/>
    <xf numFmtId="0" fontId="88" fillId="33" borderId="12" applyNumberFormat="0" applyFont="1" applyFill="1" applyBorder="1"/>
    <xf numFmtId="0" fontId="88" fillId="3" borderId="12" applyNumberFormat="0" applyFont="1" applyFill="1" applyBorder="1"/>
    <xf numFmtId="0" fontId="88" fillId="33" borderId="13" applyNumberFormat="0" applyFont="1" applyFill="1" applyBorder="1"/>
    <xf numFmtId="0" fontId="88" fillId="3" borderId="13" applyNumberFormat="0" applyFont="1" applyFill="1" applyBorder="1"/>
    <xf numFmtId="0" fontId="88" fillId="33" borderId="14" applyNumberFormat="0" applyFont="1" applyFill="1" applyBorder="1"/>
    <xf numFmtId="0" fontId="88" fillId="3" borderId="14"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24" borderId="11" applyNumberFormat="0" applyFont="1" applyFill="1" applyBorder="1"/>
    <xf numFmtId="0" fontId="88" fillId="31" borderId="11" applyNumberFormat="0" applyFont="1" applyFill="1" applyBorder="1"/>
    <xf numFmtId="0" fontId="88" fillId="24" borderId="11" applyNumberFormat="0" applyFont="1" applyFill="1" applyBorder="1"/>
    <xf numFmtId="0" fontId="88" fillId="24" borderId="11" applyNumberFormat="0" applyFont="1" applyFill="1" applyBorder="1"/>
    <xf numFmtId="0" fontId="88" fillId="24" borderId="12" applyNumberFormat="0" applyFont="1" applyFill="1" applyBorder="1"/>
    <xf numFmtId="0" fontId="88" fillId="31" borderId="12" applyNumberFormat="0" applyFont="1" applyFill="1" applyBorder="1"/>
    <xf numFmtId="0" fontId="88" fillId="24" borderId="12" applyNumberFormat="0" applyFont="1" applyFill="1" applyBorder="1"/>
    <xf numFmtId="0" fontId="88" fillId="24" borderId="12" applyNumberFormat="0" applyFont="1" applyFill="1" applyBorder="1"/>
    <xf numFmtId="0" fontId="88" fillId="24" borderId="13" applyNumberFormat="0" applyFont="1" applyFill="1" applyBorder="1"/>
    <xf numFmtId="0" fontId="88" fillId="31" borderId="13" applyNumberFormat="0" applyFont="1" applyFill="1" applyBorder="1"/>
    <xf numFmtId="0" fontId="88" fillId="24" borderId="13" applyNumberFormat="0" applyFont="1" applyFill="1" applyBorder="1"/>
    <xf numFmtId="0" fontId="88" fillId="24" borderId="13" applyNumberFormat="0" applyFont="1" applyFill="1" applyBorder="1"/>
    <xf numFmtId="0" fontId="88" fillId="24" borderId="14" applyNumberFormat="0" applyFont="1" applyFill="1" applyBorder="1"/>
    <xf numFmtId="0" fontId="88" fillId="31" borderId="14" applyNumberFormat="0" applyFont="1" applyFill="1" applyBorder="1"/>
    <xf numFmtId="0" fontId="88" fillId="24" borderId="14" applyNumberFormat="0" applyFont="1" applyFill="1" applyBorder="1"/>
    <xf numFmtId="0" fontId="88" fillId="24" borderId="14"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24" borderId="11" applyNumberFormat="0" applyFont="1" applyFill="1" applyBorder="1" applyAlignment="1">
      <alignment horizontal="left"/>
    </xf>
    <xf numFmtId="0" fontId="88" fillId="31" borderId="11" applyNumberFormat="0" applyFont="1" applyFill="1" applyBorder="1" applyAlignment="1">
      <alignment horizontal="left"/>
    </xf>
    <xf numFmtId="0" fontId="88" fillId="24" borderId="11" applyNumberFormat="0" applyFont="1" applyFill="1" applyBorder="1" applyAlignment="1">
      <alignment horizontal="left"/>
    </xf>
    <xf numFmtId="0" fontId="88" fillId="24" borderId="11" applyNumberFormat="0" applyFont="1" applyFill="1" applyBorder="1" applyAlignment="1">
      <alignment horizontal="left"/>
    </xf>
    <xf numFmtId="0" fontId="88" fillId="24" borderId="12" applyNumberFormat="0" applyFont="1" applyFill="1" applyBorder="1"/>
    <xf numFmtId="0" fontId="88" fillId="31" borderId="12" applyNumberFormat="0" applyFont="1" applyFill="1" applyBorder="1"/>
    <xf numFmtId="0" fontId="88" fillId="24" borderId="12" applyNumberFormat="0" applyFont="1" applyFill="1" applyBorder="1"/>
    <xf numFmtId="0" fontId="88" fillId="24" borderId="12" applyNumberFormat="0" applyFont="1" applyFill="1" applyBorder="1"/>
    <xf numFmtId="0" fontId="88" fillId="24" borderId="13" applyNumberFormat="0" applyFont="1" applyFill="1" applyBorder="1"/>
    <xf numFmtId="0" fontId="88" fillId="31" borderId="13" applyNumberFormat="0" applyFont="1" applyFill="1" applyBorder="1"/>
    <xf numFmtId="0" fontId="88" fillId="24" borderId="13" applyNumberFormat="0" applyFont="1" applyFill="1" applyBorder="1"/>
    <xf numFmtId="0" fontId="88" fillId="24" borderId="13" applyNumberFormat="0" applyFont="1" applyFill="1" applyBorder="1"/>
    <xf numFmtId="0" fontId="88" fillId="24" borderId="14" applyNumberFormat="0" applyFont="1" applyFill="1" applyBorder="1"/>
    <xf numFmtId="0" fontId="88" fillId="31" borderId="14" applyNumberFormat="0" applyFont="1" applyFill="1" applyBorder="1"/>
    <xf numFmtId="0" fontId="88" fillId="24" borderId="14" applyNumberFormat="0" applyFont="1" applyFill="1" applyBorder="1"/>
    <xf numFmtId="0" fontId="88" fillId="24" borderId="14"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79" fillId="0" borderId="0" applyNumberFormat="0" applyFont="1" applyFill="1" applyBorder="0"/>
    <xf numFmtId="0" fontId="94" fillId="0" borderId="0" applyNumberFormat="0" applyFont="1" applyFill="1" applyBorder="0"/>
    <xf numFmtId="0" fontId="80" fillId="0" borderId="18" applyNumberFormat="0" applyFont="1" applyFill="1" applyBorder="1"/>
    <xf numFmtId="0" fontId="80" fillId="0" borderId="18" applyNumberFormat="0" applyFont="1" applyFill="1" applyBorder="1"/>
    <xf numFmtId="0" fontId="81" fillId="0" borderId="0" applyNumberFormat="0" applyFont="1" applyFill="1" applyBorder="0"/>
    <xf numFmtId="0" fontId="81" fillId="0" borderId="0" applyNumberFormat="0" applyFont="1" applyFill="1" applyBorder="0"/>
    <xf numFmtId="0" fontId="102" borderId="0" applyFont="1" applyAlignment="1">
      <alignment vertical="top"/>
    </xf>
  </cellStyleXfs>
  <cellXfs count="1076">
    <xf numFmtId="0" fontId="0" fillId="0" borderId="0" applyFont="1" applyFill="1"/>
    <xf numFmtId="0" fontId="0" fillId="32" borderId="0" applyFont="1" applyFill="1"/>
    <xf numFmtId="0" fontId="0" fillId="30" borderId="0" applyFont="1" applyFill="1"/>
    <xf numFmtId="0" fontId="0" fillId="30" borderId="0" applyFont="1" applyFill="1" applyAlignment="1">
      <alignment horizontal="centerContinuous"/>
    </xf>
    <xf numFmtId="0" fontId="0" fillId="0" borderId="0" applyFont="1" applyFill="1" applyBorder="1"/>
    <xf numFmtId="0" fontId="88" fillId="0" borderId="0" applyFont="1" applyFill="1"/>
    <xf numFmtId="0" fontId="49" fillId="0" borderId="0" applyFont="1" applyFill="1"/>
    <xf numFmtId="0" fontId="44" fillId="0" borderId="0" applyFont="1" applyFill="1"/>
    <xf numFmtId="0" fontId="50" fillId="0" borderId="0" applyFont="1" applyFill="1"/>
    <xf numFmtId="0" fontId="0" fillId="30" borderId="0" applyFont="1" applyFill="1" applyBorder="1"/>
    <xf numFmtId="0" fontId="43" fillId="0" borderId="0" applyFont="1" applyFill="1"/>
    <xf numFmtId="164" fontId="88" fillId="30" borderId="0" applyNumberFormat="1" applyFont="1" applyFill="1" applyAlignment="1">
      <alignment horizontal="left"/>
    </xf>
    <xf numFmtId="0" fontId="38" fillId="30" borderId="0" applyFont="1" applyFill="1" applyAlignment="1">
      <alignment horizontal="left"/>
    </xf>
    <xf numFmtId="0" fontId="0" fillId="30" borderId="0" applyFont="1" applyFill="1" applyAlignment="1">
      <alignment horizontal="right"/>
    </xf>
    <xf numFmtId="0" fontId="16" fillId="30" borderId="0" applyFont="1" applyFill="1"/>
    <xf numFmtId="0" fontId="39" fillId="30" borderId="0" applyFont="1" applyFill="1" applyAlignment="1">
      <alignment horizontal="centerContinuous"/>
    </xf>
    <xf numFmtId="0" fontId="39" fillId="30" borderId="0" applyFont="1" applyFill="1" applyAlignment="1">
      <alignment horizontal="right"/>
    </xf>
    <xf numFmtId="0" fontId="40" fillId="30" borderId="0" applyFont="1" applyFill="1" applyAlignment="1">
      <alignment horizontal="right"/>
    </xf>
    <xf numFmtId="0" fontId="5" fillId="30" borderId="0" applyFont="1" applyFill="1" applyAlignment="1">
      <alignment horizontal="left"/>
    </xf>
    <xf numFmtId="17" fontId="5" fillId="30" borderId="0" applyNumberFormat="1" applyFont="1" applyFill="1" applyAlignment="1">
      <alignment horizontal="left"/>
    </xf>
    <xf numFmtId="0" fontId="49" fillId="30" borderId="0" applyFont="1" applyFill="1" applyAlignment="1">
      <alignment horizontal="left"/>
    </xf>
    <xf numFmtId="0" fontId="0" fillId="0" borderId="0" applyFont="1" applyFill="1" applyAlignment="1">
      <alignment horizontal="center"/>
    </xf>
    <xf numFmtId="0" fontId="0" fillId="30" borderId="0" applyFont="1" applyFill="1" applyAlignment="1">
      <alignment horizontal="center"/>
    </xf>
    <xf numFmtId="0" fontId="29" fillId="30" borderId="0" applyFont="1" applyFill="1" applyBorder="1" applyAlignment="1">
      <alignment horizontal="right"/>
    </xf>
    <xf numFmtId="0" fontId="0" fillId="0" borderId="0" applyFont="1" applyFill="1" applyBorder="1" applyAlignment="1">
      <alignment horizontal="centerContinuous"/>
    </xf>
    <xf numFmtId="0" fontId="53" fillId="0" borderId="0" applyFont="1" applyFill="1"/>
    <xf numFmtId="0" fontId="0" fillId="0" borderId="0" applyFont="1" applyFill="1" applyAlignment="1">
      <alignment horizontal="left"/>
    </xf>
    <xf numFmtId="166" fontId="5" fillId="0" borderId="19" applyNumberFormat="1" applyFont="1" applyFill="1" applyBorder="1" applyAlignment="1">
      <alignment horizontal="center"/>
    </xf>
    <xf numFmtId="166" fontId="5" fillId="33" borderId="19" applyNumberFormat="1" applyFont="1" applyFill="1" applyBorder="1" applyAlignment="1">
      <alignment horizontal="center"/>
    </xf>
    <xf numFmtId="166" fontId="5" fillId="0" borderId="20" applyNumberFormat="1" applyFont="1" applyFill="1" applyBorder="1" applyAlignment="1">
      <alignment horizontal="center"/>
    </xf>
    <xf numFmtId="166" fontId="5" fillId="0" borderId="0" applyNumberFormat="1" applyFont="1" applyFill="1" applyBorder="1" applyAlignment="1">
      <alignment horizontal="center"/>
    </xf>
    <xf numFmtId="166" fontId="5" fillId="33" borderId="0" applyNumberFormat="1" applyFont="1" applyFill="1" applyBorder="1" applyAlignment="1">
      <alignment horizontal="center"/>
    </xf>
    <xf numFmtId="166" fontId="5" fillId="0" borderId="21" applyNumberFormat="1" applyFont="1" applyFill="1" applyBorder="1" applyAlignment="1">
      <alignment horizontal="center"/>
    </xf>
    <xf numFmtId="0" fontId="0" fillId="0" borderId="0" applyFont="1" applyFill="1" applyAlignment="1">
      <alignment horizontal="center"/>
    </xf>
    <xf numFmtId="0" fontId="0" fillId="0" borderId="0" applyFont="1" applyFill="1"/>
    <xf numFmtId="0" fontId="21" fillId="0" borderId="0" applyFont="1" applyFill="1"/>
    <xf numFmtId="0" fontId="22" fillId="0" borderId="0" applyFont="1" applyFill="1" applyAlignment="1">
      <alignment horizontal="center"/>
    </xf>
    <xf numFmtId="0" fontId="5" fillId="0" borderId="22" applyFont="1" applyFill="1" applyBorder="1" applyAlignment="1">
      <alignment horizontal="right"/>
    </xf>
    <xf numFmtId="0" fontId="5" fillId="33" borderId="23" applyFont="1" applyFill="1" applyBorder="1" applyAlignment="1">
      <alignment horizontal="right"/>
    </xf>
    <xf numFmtId="0" fontId="5" fillId="33" borderId="24" applyFont="1" applyFill="1" applyBorder="1" applyAlignment="1">
      <alignment horizontal="right"/>
    </xf>
    <xf numFmtId="0" fontId="5" fillId="0" borderId="24" applyFont="1" applyFill="1" applyBorder="1" applyAlignment="1">
      <alignment horizontal="right"/>
    </xf>
    <xf numFmtId="0" fontId="23" fillId="0" borderId="0" applyFont="1" applyFill="1" applyBorder="1" applyAlignment="1">
      <alignment horizontal="center"/>
    </xf>
    <xf numFmtId="0" fontId="23" fillId="0" borderId="0" applyFont="1" applyFill="1" applyBorder="1" applyAlignment="1">
      <alignment horizontal="center"/>
    </xf>
    <xf numFmtId="1" fontId="5" fillId="0" borderId="0" applyNumberFormat="1" applyFont="1" applyFill="1" applyAlignment="1">
      <alignment horizontal="left"/>
    </xf>
    <xf numFmtId="0" fontId="39" fillId="30" borderId="0" applyFont="1" applyFill="1" applyAlignment="1">
      <alignment horizontal="right" vertical="center"/>
    </xf>
    <xf numFmtId="0" fontId="0" fillId="30" borderId="0" applyFont="1" applyFill="1" applyAlignment="1">
      <alignment horizontal="center" vertical="center"/>
    </xf>
    <xf numFmtId="166" fontId="24" fillId="0" borderId="0" applyNumberFormat="1" applyFont="1" applyFill="1" applyBorder="1" applyAlignment="1">
      <alignment horizontal="right"/>
    </xf>
    <xf numFmtId="0" fontId="0" fillId="0" borderId="0" applyFont="1" applyFill="1"/>
    <xf numFmtId="166" fontId="24" fillId="30" borderId="0" applyNumberFormat="1" applyFont="1" applyFill="1" applyBorder="1" applyAlignment="1">
      <alignment horizontal="center"/>
    </xf>
    <xf numFmtId="0" fontId="0" fillId="30" borderId="0" applyFont="1" applyFill="1"/>
    <xf numFmtId="0" fontId="39" fillId="30" borderId="0" applyFont="1" applyFill="1" applyAlignment="1">
      <alignment horizontal="center"/>
    </xf>
    <xf numFmtId="166" fontId="0" fillId="30" borderId="0" applyNumberFormat="1" applyFont="1" applyFill="1"/>
    <xf numFmtId="166" fontId="5" fillId="30" borderId="0" applyNumberFormat="1" applyFont="1" applyFill="1" applyAlignment="1">
      <alignment horizontal="left"/>
    </xf>
    <xf numFmtId="167" fontId="5" fillId="30" borderId="0" applyNumberFormat="1" applyFont="1" applyFill="1" applyAlignment="1">
      <alignment horizontal="left"/>
    </xf>
    <xf numFmtId="0" fontId="0" fillId="0" borderId="0" applyFont="1" applyFill="1" applyBorder="1"/>
    <xf numFmtId="0" fontId="50" fillId="30" borderId="0" applyFont="1" applyFill="1" applyBorder="1" applyAlignment="1">
      <alignment horizontal="centerContinuous"/>
    </xf>
    <xf numFmtId="166" fontId="88" fillId="0" borderId="0" applyNumberFormat="1" applyFont="1" applyFill="1"/>
    <xf numFmtId="0" fontId="53" fillId="0" borderId="0" applyFont="1" applyFill="1" applyAlignment="1">
      <alignment horizontal="right"/>
    </xf>
    <xf numFmtId="0" fontId="39" fillId="0" borderId="0" applyFont="1" applyFill="1"/>
    <xf numFmtId="0" fontId="39" fillId="0" borderId="0" applyFont="1" applyFill="1" applyBorder="1"/>
    <xf numFmtId="0" fontId="53" fillId="0" borderId="0" applyFont="1" applyFill="1" applyBorder="1" applyAlignment="1">
      <alignment horizontal="right" vertical="top"/>
    </xf>
    <xf numFmtId="0" fontId="27" fillId="0" borderId="12" applyFont="1" applyFill="1" applyBorder="1" applyAlignment="1">
      <alignment horizontal="center" wrapText="1"/>
    </xf>
    <xf numFmtId="0" fontId="27" fillId="0" borderId="14" applyFont="1" applyFill="1" applyBorder="1" applyAlignment="1">
      <alignment horizontal="center" wrapText="1"/>
    </xf>
    <xf numFmtId="0" fontId="83" fillId="0" borderId="0" applyFont="1" applyFill="1"/>
    <xf numFmtId="0" fontId="82" fillId="0" borderId="0" applyFont="1" applyFill="1" applyAlignment="1">
      <alignment horizontal="right"/>
    </xf>
    <xf numFmtId="0" fontId="49" fillId="0" borderId="0" applyFont="1" applyFill="1"/>
    <xf numFmtId="164" fontId="88" fillId="30" borderId="0" applyNumberFormat="1" applyFont="1" applyFill="1" applyAlignment="1">
      <alignment horizontal="left"/>
    </xf>
    <xf numFmtId="0" fontId="82" fillId="0" borderId="0" applyFont="1" applyFill="1"/>
    <xf numFmtId="0" fontId="43" fillId="0" borderId="0" applyFont="1" applyFill="1" applyAlignment="1">
      <alignment horizontal="left"/>
    </xf>
    <xf numFmtId="0" fontId="43" fillId="0" borderId="0" applyFont="1" applyFill="1" applyAlignment="1">
      <alignment horizontal="center"/>
    </xf>
    <xf numFmtId="0" fontId="88" fillId="0" borderId="0" applyFont="1" applyFill="1" applyBorder="1" applyAlignment="1">
      <alignment horizontal="left"/>
    </xf>
    <xf numFmtId="49" fontId="88" fillId="0" borderId="0" applyNumberFormat="1" applyFont="1" applyFill="1" applyAlignment="1">
      <alignment horizontal="left"/>
    </xf>
    <xf numFmtId="0" fontId="88" fillId="0" borderId="0" applyFont="1" applyFill="1" applyAlignment="1">
      <alignment horizontal="left"/>
    </xf>
    <xf numFmtId="49" fontId="88" fillId="0" borderId="0" applyNumberFormat="1" applyFont="1" applyFill="1"/>
    <xf numFmtId="16" fontId="88" fillId="0" borderId="0" applyNumberFormat="1" applyFont="1" applyFill="1" applyAlignment="1">
      <alignment horizontal="left"/>
    </xf>
    <xf numFmtId="0" fontId="88" fillId="0" borderId="0" applyFont="1" applyFill="1"/>
    <xf numFmtId="0" fontId="88" fillId="0" borderId="0" applyFont="1" applyFill="1" applyAlignment="1">
      <alignment horizontal="left" textRotation="90"/>
    </xf>
    <xf numFmtId="0" fontId="43" fillId="0" borderId="0" applyFont="1" applyFill="1" applyBorder="1" applyAlignment="1">
      <alignment horizontal="left"/>
    </xf>
    <xf numFmtId="16" fontId="82" fillId="30" borderId="0" applyNumberFormat="1" applyFont="1" applyFill="1" applyBorder="1" applyAlignment="1">
      <alignment horizontal="left" textRotation="90" wrapText="1"/>
    </xf>
    <xf numFmtId="166" fontId="33" fillId="30" borderId="0" applyNumberFormat="1" applyFont="1" applyFill="1" applyBorder="1" applyAlignment="1">
      <alignment horizontal="center"/>
    </xf>
    <xf numFmtId="166" fontId="88" fillId="0" borderId="0" applyNumberFormat="1" applyFont="1" applyFill="1" applyBorder="1" applyAlignment="1">
      <alignment horizontal="left"/>
    </xf>
    <xf numFmtId="166" fontId="33" fillId="0" borderId="0" applyNumberFormat="1" applyFont="1" applyFill="1" applyBorder="1" applyAlignment="1">
      <alignment horizontal="right"/>
    </xf>
    <xf numFmtId="0" fontId="88" fillId="0" borderId="0" applyFont="1" applyFill="1" applyAlignment="1">
      <alignment horizontal="center"/>
    </xf>
    <xf numFmtId="0" fontId="82" fillId="0" borderId="0" applyFont="1" applyFill="1"/>
    <xf numFmtId="0" fontId="34" fillId="0" borderId="0" applyFont="1" applyFill="1"/>
    <xf numFmtId="0" fontId="34" fillId="0" borderId="0" applyFont="1" applyFill="1"/>
    <xf numFmtId="0" fontId="0" fillId="0" borderId="0" applyFont="1" applyFill="1" applyBorder="1"/>
    <xf numFmtId="166" fontId="33" fillId="0" borderId="0" applyNumberFormat="1" applyFont="1" applyFill="1" applyBorder="1"/>
    <xf numFmtId="0" fontId="88" fillId="0" borderId="0" applyFont="1" applyFill="1"/>
    <xf numFmtId="0" fontId="35" fillId="0" borderId="0" applyFont="1" applyFill="1" applyAlignment="1">
      <alignment vertical="center"/>
    </xf>
    <xf numFmtId="0" fontId="0" fillId="0" borderId="0" applyFont="1" applyFill="1" applyBorder="1"/>
    <xf numFmtId="166" fontId="88" fillId="0" borderId="0" applyNumberFormat="1" applyFont="1" applyFill="1" applyBorder="1" applyAlignment="1">
      <alignment horizontal="center"/>
    </xf>
    <xf numFmtId="166" fontId="88" fillId="33" borderId="0" applyNumberFormat="1" applyFont="1" applyFill="1" applyBorder="1" applyAlignment="1">
      <alignment horizontal="center"/>
    </xf>
    <xf numFmtId="0" fontId="88" fillId="0" borderId="0" applyFont="1" applyFill="1" applyBorder="1"/>
    <xf numFmtId="2" fontId="88" fillId="33" borderId="0" applyNumberFormat="1" applyFont="1" applyFill="1" applyBorder="1" applyAlignment="1">
      <alignment horizontal="center"/>
    </xf>
    <xf numFmtId="2" fontId="88" fillId="0" borderId="0" applyNumberFormat="1" applyFont="1" applyFill="1" applyBorder="1" applyAlignment="1">
      <alignment horizontal="center"/>
    </xf>
    <xf numFmtId="0" fontId="88" fillId="0" borderId="0" applyFont="1" applyFill="1" applyBorder="1"/>
    <xf numFmtId="166" fontId="88" fillId="33" borderId="0" applyNumberFormat="1" applyFont="1" applyFill="1" applyBorder="1" applyAlignment="1">
      <alignment horizontal="center"/>
    </xf>
    <xf numFmtId="0" fontId="0" fillId="0" borderId="25" applyFont="1" applyFill="1" applyBorder="1"/>
    <xf numFmtId="0" fontId="88" fillId="0" borderId="0" applyFont="1" applyFill="1" applyBorder="1" applyAlignment="1">
      <alignment horizontal="right"/>
    </xf>
    <xf numFmtId="0" fontId="88" fillId="0" borderId="0" applyNumberFormat="1" applyFont="1" applyFill="1" applyBorder="1" applyAlignment="1">
      <alignment horizontal="center"/>
    </xf>
    <xf numFmtId="2" fontId="88" fillId="33" borderId="0" applyNumberFormat="1" applyFont="1" applyFill="1" applyBorder="1" applyAlignment="1">
      <alignment horizontal="center"/>
    </xf>
    <xf numFmtId="0" fontId="44" fillId="0" borderId="25" applyFont="1" applyFill="1" applyBorder="1" applyAlignment="1">
      <alignment horizontal="center"/>
    </xf>
    <xf numFmtId="0" fontId="38" fillId="30" borderId="0" applyFont="1" applyFill="1" applyAlignment="1">
      <alignment horizontal="left"/>
    </xf>
    <xf numFmtId="166" fontId="38" fillId="30" borderId="0" applyNumberFormat="1" applyFont="1" applyFill="1" applyAlignment="1">
      <alignment horizontal="left"/>
    </xf>
    <xf numFmtId="0" fontId="39" fillId="30" borderId="0" applyFont="1" applyFill="1" applyAlignment="1">
      <alignment horizontal="right"/>
    </xf>
    <xf numFmtId="17" fontId="39" fillId="30" borderId="0" applyNumberFormat="1" applyFont="1" applyFill="1" applyAlignment="1">
      <alignment horizontal="right"/>
    </xf>
    <xf numFmtId="166" fontId="39" fillId="30" borderId="0" applyNumberFormat="1" applyFont="1" applyFill="1" applyAlignment="1">
      <alignment horizontal="right"/>
    </xf>
    <xf numFmtId="0" fontId="39" fillId="30" borderId="0" applyFont="1" applyFill="1" applyAlignment="1">
      <alignment horizontal="left"/>
    </xf>
    <xf numFmtId="0" fontId="40" fillId="30" borderId="0" applyFont="1" applyFill="1" applyAlignment="1">
      <alignment horizontal="right"/>
    </xf>
    <xf numFmtId="0" fontId="0" fillId="0" borderId="0" applyFont="1" applyFill="1" applyAlignment="1">
      <alignment horizontal="right"/>
    </xf>
    <xf numFmtId="0" fontId="0" fillId="33" borderId="0" applyFont="1" applyFill="1"/>
    <xf numFmtId="0" fontId="53" fillId="30" borderId="0" applyFont="1" applyFill="1" applyBorder="1" applyAlignment="1">
      <alignment horizontal="right" vertical="top"/>
    </xf>
    <xf numFmtId="166" fontId="88" fillId="30" borderId="0" applyNumberFormat="1" applyFont="1" applyFill="1" applyBorder="1" applyAlignment="1">
      <alignment horizontal="center"/>
    </xf>
    <xf numFmtId="0" fontId="5" fillId="30" borderId="0" applyFont="1" applyFill="1" applyBorder="1" applyAlignment="1">
      <alignment horizontal="center"/>
    </xf>
    <xf numFmtId="0" fontId="88" fillId="30" borderId="0" applyFont="1" applyFill="1" applyBorder="1"/>
    <xf numFmtId="0" fontId="44" fillId="30" borderId="0" applyFont="1" applyFill="1" applyBorder="1" applyAlignment="1">
      <alignment horizontal="center"/>
    </xf>
    <xf numFmtId="0" fontId="41" fillId="0" borderId="0" applyFont="1" applyFill="1"/>
    <xf numFmtId="0" fontId="41" fillId="0" borderId="0" applyFont="1" applyFill="1" applyAlignment="1">
      <alignment horizontal="center"/>
    </xf>
    <xf numFmtId="0" fontId="41" fillId="30" borderId="0" applyFont="1" applyFill="1" applyBorder="1"/>
    <xf numFmtId="0" fontId="0" fillId="33" borderId="0" applyFont="1" applyFill="1" applyBorder="1"/>
    <xf numFmtId="166" fontId="0" fillId="33" borderId="0" applyNumberFormat="1" applyFont="1" applyFill="1" applyBorder="1"/>
    <xf numFmtId="0" fontId="0" fillId="0" borderId="0" applyFont="1" applyFill="1" applyAlignment="1">
      <alignment vertical="center"/>
    </xf>
    <xf numFmtId="166" fontId="88" fillId="30" borderId="0" applyNumberFormat="1" applyFont="1" applyFill="1" applyAlignment="1">
      <alignment horizontal="center"/>
    </xf>
    <xf numFmtId="166" fontId="88" fillId="30" borderId="0" applyNumberFormat="1" applyFont="1" applyFill="1" applyBorder="1" applyAlignment="1">
      <alignment horizontal="center"/>
    </xf>
    <xf numFmtId="166" fontId="88" fillId="30" borderId="0" applyNumberFormat="1" applyFont="1" applyFill="1" applyAlignment="1">
      <alignment horizontal="center"/>
    </xf>
    <xf numFmtId="0" fontId="0" fillId="33" borderId="0" applyFont="1" applyFill="1" applyBorder="1"/>
    <xf numFmtId="0" fontId="44" fillId="30" borderId="0" applyFont="1" applyFill="1" applyAlignment="1">
      <alignment horizontal="left"/>
    </xf>
    <xf numFmtId="0" fontId="16" fillId="30" borderId="0" applyFont="1" applyFill="1"/>
    <xf numFmtId="0" fontId="88" fillId="30" borderId="0" applyFont="1" applyFill="1" applyAlignment="1">
      <alignment horizontal="left"/>
    </xf>
    <xf numFmtId="0" fontId="0" fillId="30" borderId="0" applyFont="1" applyFill="1" applyAlignment="1">
      <alignment horizontal="left"/>
    </xf>
    <xf numFmtId="0" fontId="88" fillId="30" borderId="0" applyFont="1" applyFill="1"/>
    <xf numFmtId="0" fontId="82" fillId="30" borderId="0" applyFont="1" applyFill="1" applyBorder="1" applyAlignment="1">
      <alignment horizontal="left" vertical="top" wrapText="1"/>
    </xf>
    <xf numFmtId="17" fontId="5" fillId="33" borderId="0" applyNumberFormat="1" applyFont="1" applyFill="1" applyAlignment="1">
      <alignment horizontal="left"/>
    </xf>
    <xf numFmtId="166" fontId="0" fillId="33" borderId="0" applyNumberFormat="1" applyFont="1" applyFill="1" applyBorder="1" applyAlignment="1">
      <alignment horizontal="right"/>
    </xf>
    <xf numFmtId="2" fontId="0" fillId="33" borderId="0" applyNumberFormat="1" applyFont="1" applyFill="1" applyBorder="1" applyAlignment="1">
      <alignment horizontal="right"/>
    </xf>
    <xf numFmtId="2" fontId="0" fillId="33" borderId="0" applyNumberFormat="1" applyFont="1" applyFill="1" applyBorder="1"/>
    <xf numFmtId="0" fontId="44" fillId="0" borderId="0" applyFont="1" applyFill="1" applyAlignment="1">
      <alignment horizontal="right"/>
    </xf>
    <xf numFmtId="169" fontId="39" fillId="0" borderId="0" applyNumberFormat="1" applyFont="1" applyFill="1"/>
    <xf numFmtId="17" fontId="39" fillId="0" borderId="0" applyNumberFormat="1" applyFont="1" applyFill="1" applyAlignment="1">
      <alignment horizontal="right"/>
    </xf>
    <xf numFmtId="166" fontId="39" fillId="0" borderId="0" applyNumberFormat="1" applyFont="1" applyFill="1" applyAlignment="1">
      <alignment horizontal="right"/>
    </xf>
    <xf numFmtId="0" fontId="44" fillId="0" borderId="0" applyFont="1" applyFill="1" applyAlignment="1">
      <alignment horizontal="left"/>
    </xf>
    <xf numFmtId="166" fontId="39" fillId="0" borderId="0" applyNumberFormat="1" applyFont="1" applyFill="1"/>
    <xf numFmtId="167" fontId="5" fillId="33" borderId="0" applyNumberFormat="1" applyFont="1" applyFill="1" applyAlignment="1">
      <alignment horizontal="left"/>
    </xf>
    <xf numFmtId="0" fontId="41" fillId="30" borderId="0" applyFont="1" applyFill="1" applyBorder="1" applyAlignment="1">
      <alignment horizontal="center"/>
    </xf>
    <xf numFmtId="0" fontId="50" fillId="0" borderId="0" applyFont="1" applyFill="1" applyAlignment="1">
      <alignment horizontal="centerContinuous"/>
    </xf>
    <xf numFmtId="0" fontId="5" fillId="0" borderId="0" applyFont="1" applyFill="1" applyBorder="1" applyAlignment="1">
      <alignment horizontal="right"/>
    </xf>
    <xf numFmtId="2" fontId="88" fillId="33" borderId="0" applyNumberFormat="1" applyFont="1" applyFill="1" applyBorder="1" applyAlignment="1">
      <alignment horizontal="center"/>
    </xf>
    <xf numFmtId="166" fontId="88" fillId="33" borderId="0" applyNumberFormat="1" applyFont="1" applyFill="1" applyBorder="1" applyAlignment="1">
      <alignment horizontal="center"/>
    </xf>
    <xf numFmtId="2" fontId="88" fillId="0" borderId="0" applyNumberFormat="1" applyFont="1" applyFill="1" applyBorder="1" applyAlignment="1">
      <alignment horizontal="center"/>
    </xf>
    <xf numFmtId="166" fontId="88" fillId="0" borderId="0" applyNumberFormat="1" applyFont="1" applyFill="1" applyBorder="1" applyAlignment="1">
      <alignment horizontal="center"/>
    </xf>
    <xf numFmtId="166" fontId="88" fillId="30" borderId="0" applyNumberFormat="1" applyFont="1" applyFill="1" applyBorder="1" applyAlignment="1">
      <alignment horizontal="center"/>
    </xf>
    <xf numFmtId="0" fontId="88" fillId="30" borderId="0" applyFont="1" applyFill="1" applyBorder="1"/>
    <xf numFmtId="166" fontId="88" fillId="0" borderId="0" applyNumberFormat="1" applyFont="1" applyFill="1"/>
    <xf numFmtId="2" fontId="0" fillId="0" borderId="0" applyNumberFormat="1" applyFont="1" applyFill="1" applyBorder="1" applyAlignment="1">
      <alignment horizontal="center"/>
    </xf>
    <xf numFmtId="0" fontId="39" fillId="30" borderId="0" applyFont="1" applyFill="1" applyBorder="1" applyAlignment="1">
      <alignment horizontal="right" vertical="center"/>
    </xf>
    <xf numFmtId="166" fontId="0" fillId="0" borderId="0" applyNumberFormat="1" applyFont="1" applyFill="1" applyBorder="1"/>
    <xf numFmtId="17" fontId="49" fillId="0" borderId="0" applyNumberFormat="1" applyFont="1" applyFill="1" applyAlignment="1">
      <alignment horizontal="right"/>
    </xf>
    <xf numFmtId="0" fontId="43" fillId="0" borderId="0" applyFont="1" applyFill="1"/>
    <xf numFmtId="166" fontId="0" fillId="0" borderId="0" applyNumberFormat="1" applyFont="1" applyFill="1" applyBorder="1" applyAlignment="1">
      <alignment horizontal="right"/>
    </xf>
    <xf numFmtId="2" fontId="0" fillId="0" borderId="0" applyNumberFormat="1" applyFont="1" applyFill="1" applyBorder="1" applyAlignment="1">
      <alignment horizontal="right"/>
    </xf>
    <xf numFmtId="166" fontId="88" fillId="0" borderId="0" applyNumberFormat="1" applyFont="1" applyFill="1" applyBorder="1"/>
    <xf numFmtId="2" fontId="88" fillId="0" borderId="0" applyNumberFormat="1" applyFont="1" applyFill="1" applyBorder="1"/>
    <xf numFmtId="0" fontId="45" fillId="0" borderId="0" applyFont="1" applyFill="1" applyBorder="1" applyAlignment="1">
      <alignment vertical="center"/>
    </xf>
    <xf numFmtId="0" fontId="39" fillId="0" borderId="0" applyFont="1" applyFill="1" applyAlignment="1">
      <alignment horizontal="right"/>
    </xf>
    <xf numFmtId="0" fontId="40" fillId="0" borderId="0" applyFont="1" applyFill="1" applyAlignment="1">
      <alignment horizontal="right"/>
    </xf>
    <xf numFmtId="0" fontId="0" fillId="0" borderId="0" applyFont="1" applyFill="1" applyAlignment="1">
      <alignment horizontal="right" vertical="center"/>
    </xf>
    <xf numFmtId="0" fontId="44" fillId="0" borderId="0" applyFont="1" applyFill="1"/>
    <xf numFmtId="0" fontId="49" fillId="0" borderId="0" applyFont="1" applyFill="1" applyAlignment="1">
      <alignment horizontal="right" vertical="center"/>
    </xf>
    <xf numFmtId="0" fontId="44" fillId="33" borderId="0" applyFont="1" applyFill="1" applyAlignment="1">
      <alignment horizontal="right"/>
    </xf>
    <xf numFmtId="0" fontId="44" fillId="33" borderId="0" applyFont="1" applyFill="1" applyAlignment="1">
      <alignment horizontal="left"/>
    </xf>
    <xf numFmtId="0" fontId="82" fillId="30" borderId="0" applyFont="1" applyFill="1" applyAlignment="1">
      <alignment horizontal="center"/>
    </xf>
    <xf numFmtId="166" fontId="88" fillId="30" borderId="0" applyNumberFormat="1" applyFont="1" applyFill="1" applyAlignment="1">
      <alignment horizontal="right"/>
    </xf>
    <xf numFmtId="0" fontId="50" fillId="30" borderId="0" applyFont="1" applyFill="1" applyAlignment="1">
      <alignment horizontal="right" vertical="center"/>
    </xf>
    <xf numFmtId="0" fontId="88" fillId="0" borderId="0" applyFont="1" applyFill="1" applyBorder="1"/>
    <xf numFmtId="16" fontId="88" fillId="0" borderId="0" applyNumberFormat="1" applyFont="1" applyFill="1" applyBorder="1"/>
    <xf numFmtId="165" fontId="0" fillId="0" borderId="0" applyNumberFormat="1" applyFont="1" applyFill="1"/>
    <xf numFmtId="16" fontId="43" fillId="0" borderId="0" applyNumberFormat="1" applyFont="1" applyFill="1" applyAlignment="1">
      <alignment horizontal="left"/>
    </xf>
    <xf numFmtId="166" fontId="0" fillId="0" borderId="0" applyNumberFormat="1" applyFont="1" applyFill="1" applyBorder="1"/>
    <xf numFmtId="166" fontId="0" fillId="33" borderId="0" applyNumberFormat="1" applyFont="1" applyFill="1" applyBorder="1"/>
    <xf numFmtId="0" fontId="53" fillId="30" borderId="0" applyFont="1" applyFill="1" applyAlignment="1">
      <alignment horizontal="right"/>
    </xf>
    <xf numFmtId="0" fontId="0" fillId="0" borderId="0" applyFont="1" applyFill="1" applyBorder="1" applyAlignment="1">
      <alignment horizontal="left" vertical="center"/>
    </xf>
    <xf numFmtId="0" fontId="44" fillId="0" borderId="0" applyFont="1" applyFill="1" applyBorder="1" applyAlignment="1">
      <alignment horizontal="center" vertical="center"/>
    </xf>
    <xf numFmtId="0" fontId="0" fillId="0" borderId="0" applyFont="1" applyFill="1" applyBorder="1" applyAlignment="1">
      <alignment horizontal="left" vertical="center"/>
    </xf>
    <xf numFmtId="0" fontId="88" fillId="0" borderId="19" applyFont="1" applyFill="1" applyBorder="1"/>
    <xf numFmtId="0" fontId="39" fillId="0" borderId="0" applyFont="1" applyFill="1" applyAlignment="1">
      <alignment horizontal="right"/>
    </xf>
    <xf numFmtId="2" fontId="0" fillId="0" borderId="0" applyNumberFormat="1" applyFont="1" applyFill="1" applyBorder="1"/>
    <xf numFmtId="166" fontId="44" fillId="0" borderId="0" applyNumberFormat="1" applyFont="1" applyFill="1" applyAlignment="1">
      <alignment horizontal="right"/>
    </xf>
    <xf numFmtId="0" fontId="53" fillId="33" borderId="0" applyFont="1" applyFill="1" applyAlignment="1">
      <alignment horizontal="right"/>
    </xf>
    <xf numFmtId="0" fontId="39" fillId="33" borderId="0" applyFont="1" applyFill="1" applyAlignment="1">
      <alignment horizontal="right"/>
    </xf>
    <xf numFmtId="166" fontId="44" fillId="0" borderId="0" applyNumberFormat="1" applyFont="1" applyFill="1"/>
    <xf numFmtId="169" fontId="44" fillId="0" borderId="0" applyNumberFormat="1" applyFont="1" applyFill="1"/>
    <xf numFmtId="17" fontId="44" fillId="0" borderId="0" applyNumberFormat="1" applyFont="1" applyFill="1" applyAlignment="1">
      <alignment horizontal="right"/>
    </xf>
    <xf numFmtId="166" fontId="44" fillId="0" borderId="0" applyNumberFormat="1" applyFont="1" applyFill="1" applyAlignment="1">
      <alignment horizontal="center" vertical="center"/>
    </xf>
    <xf numFmtId="0" fontId="44" fillId="0" borderId="0" applyFont="1" applyFill="1" applyAlignment="1">
      <alignment horizontal="center" vertical="center"/>
    </xf>
    <xf numFmtId="2" fontId="44" fillId="0" borderId="0" applyNumberFormat="1" applyFont="1" applyFill="1" applyAlignment="1">
      <alignment horizontal="center" vertical="center"/>
    </xf>
    <xf numFmtId="166" fontId="44" fillId="33" borderId="0" applyNumberFormat="1" applyFont="1" applyFill="1" applyAlignment="1">
      <alignment horizontal="center" vertical="center"/>
    </xf>
    <xf numFmtId="0" fontId="44" fillId="33" borderId="0" applyFont="1" applyFill="1" applyAlignment="1">
      <alignment horizontal="center" vertical="center"/>
    </xf>
    <xf numFmtId="2" fontId="44" fillId="33" borderId="0" applyNumberFormat="1" applyFont="1" applyFill="1" applyAlignment="1">
      <alignment horizontal="center" vertical="center"/>
    </xf>
    <xf numFmtId="0" fontId="0" fillId="0" borderId="0" applyFont="1" applyFill="1"/>
    <xf numFmtId="0" fontId="88" fillId="30" borderId="0" applyFont="1" applyFill="1"/>
    <xf numFmtId="49" fontId="0" fillId="0" borderId="0" applyNumberFormat="1" applyFont="1" applyFill="1" applyBorder="1" applyAlignment="1">
      <alignment horizontal="left" vertical="center"/>
    </xf>
    <xf numFmtId="49" fontId="0" fillId="0" borderId="0" applyNumberFormat="1" applyFont="1" applyFill="1"/>
    <xf numFmtId="0" fontId="43" fillId="30" borderId="0" applyFont="1" applyFill="1" applyAlignment="1">
      <alignment horizontal="center"/>
    </xf>
    <xf numFmtId="0" fontId="82" fillId="0" borderId="0" applyFont="1" applyFill="1"/>
    <xf numFmtId="0" fontId="43" fillId="0" borderId="0" applyFont="1" applyFill="1" applyAlignment="1">
      <alignment horizontal="left"/>
    </xf>
    <xf numFmtId="0" fontId="43" fillId="0" borderId="0" applyFont="1" applyFill="1" applyAlignment="1">
      <alignment horizontal="center"/>
    </xf>
    <xf numFmtId="0" fontId="82" fillId="0" borderId="0" applyFont="1" applyFill="1" applyAlignment="1">
      <alignment horizontal="right"/>
    </xf>
    <xf numFmtId="0" fontId="43" fillId="0" borderId="0" applyFont="1" applyFill="1" applyBorder="1" applyAlignment="1">
      <alignment horizontal="left"/>
    </xf>
    <xf numFmtId="16" fontId="82" fillId="30" borderId="0" applyNumberFormat="1" applyFont="1" applyFill="1" applyBorder="1" applyAlignment="1">
      <alignment horizontal="left" textRotation="90" wrapText="1"/>
    </xf>
    <xf numFmtId="0" fontId="82" fillId="0" borderId="0" applyFont="1" applyFill="1"/>
    <xf numFmtId="164" fontId="88" fillId="30" borderId="0" applyNumberFormat="1" applyFont="1" applyFill="1"/>
    <xf numFmtId="0" fontId="82" fillId="0" borderId="0" applyFont="1" applyFill="1" applyBorder="1" applyAlignment="1">
      <alignment horizontal="left" vertical="top" wrapText="1"/>
    </xf>
    <xf numFmtId="166" fontId="88" fillId="0" borderId="0" applyNumberFormat="1" applyFont="1" applyFill="1" applyBorder="1" applyAlignment="1">
      <alignment horizontal="center"/>
    </xf>
    <xf numFmtId="166" fontId="88" fillId="0" borderId="25" applyNumberFormat="1" applyFont="1" applyFill="1" applyBorder="1" applyAlignment="1">
      <alignment horizontal="center"/>
    </xf>
    <xf numFmtId="2" fontId="88" fillId="0" borderId="0" applyNumberFormat="1" applyFont="1" applyFill="1" applyBorder="1" applyAlignment="1">
      <alignment horizontal="center"/>
    </xf>
    <xf numFmtId="166" fontId="0" fillId="0" borderId="0" applyNumberFormat="1" applyFont="1" applyFill="1" applyBorder="1" applyAlignment="1">
      <alignment horizontal="center"/>
    </xf>
    <xf numFmtId="2" fontId="88" fillId="0" borderId="0" applyNumberFormat="1" applyFont="1" applyFill="1"/>
    <xf numFmtId="166" fontId="0" fillId="34" borderId="0" applyNumberFormat="1" applyFont="1" applyFill="1" applyBorder="1" applyAlignment="1">
      <alignment horizontal="right"/>
    </xf>
    <xf numFmtId="2" fontId="0" fillId="34" borderId="0" applyNumberFormat="1" applyFont="1" applyFill="1" applyBorder="1" applyAlignment="1">
      <alignment horizontal="right"/>
    </xf>
    <xf numFmtId="0" fontId="49" fillId="30" borderId="0" applyFont="1" applyFill="1" applyAlignment="1">
      <alignment horizontal="left"/>
    </xf>
    <xf numFmtId="0" fontId="88" fillId="0" borderId="0" applyFont="1" applyFill="1" applyBorder="1"/>
    <xf numFmtId="0" fontId="43" fillId="30" borderId="0" applyFont="1" applyFill="1" applyAlignment="1">
      <alignment horizontal="right"/>
    </xf>
    <xf numFmtId="0" fontId="43" fillId="33" borderId="0" applyFont="1" applyFill="1" applyBorder="1" applyAlignment="1">
      <alignment horizontal="right"/>
    </xf>
    <xf numFmtId="0" fontId="88" fillId="0" borderId="0" applyFont="1" applyFill="1"/>
    <xf numFmtId="0" fontId="0" fillId="0" borderId="0" applyFont="1" applyFill="1" applyAlignment="1">
      <alignment horizontal="center"/>
    </xf>
    <xf numFmtId="0" fontId="0" fillId="0" borderId="0" applyFont="1" applyFill="1" applyBorder="1"/>
    <xf numFmtId="0" fontId="0" fillId="0" borderId="0" applyFont="1" applyFill="1" applyBorder="1" applyAlignment="1">
      <alignment horizontal="right"/>
    </xf>
    <xf numFmtId="0" fontId="0" fillId="0" borderId="0" applyNumberFormat="1" applyFont="1" applyFill="1" applyBorder="1" applyAlignment="1">
      <alignment horizontal="center"/>
    </xf>
    <xf numFmtId="166" fontId="88" fillId="33" borderId="0" applyNumberFormat="1" applyFont="1" applyFill="1" applyBorder="1" applyAlignment="1">
      <alignment horizontal="center"/>
    </xf>
    <xf numFmtId="2" fontId="88" fillId="33" borderId="0" applyNumberFormat="1" applyFont="1" applyFill="1" applyBorder="1" applyAlignment="1">
      <alignment horizontal="center"/>
    </xf>
    <xf numFmtId="0" fontId="43" fillId="30" borderId="0" applyFont="1" applyFill="1" applyBorder="1"/>
    <xf numFmtId="0" fontId="44" fillId="0" borderId="0" applyFont="1" applyFill="1" applyAlignment="1">
      <alignment horizontal="centerContinuous"/>
    </xf>
    <xf numFmtId="0" fontId="50" fillId="0" borderId="0" applyFont="1" applyFill="1" applyAlignment="1">
      <alignment horizontal="right"/>
    </xf>
    <xf numFmtId="0" fontId="0" fillId="0" borderId="0" applyFont="1" applyFill="1" applyBorder="1" applyAlignment="1">
      <alignment horizontal="center"/>
    </xf>
    <xf numFmtId="0" fontId="0" fillId="35" borderId="0" applyFont="1" applyFill="1" applyBorder="1"/>
    <xf numFmtId="0" fontId="0" fillId="35" borderId="0" applyFont="1" applyFill="1"/>
    <xf numFmtId="0" fontId="45" fillId="0" borderId="0" applyFont="1" applyFill="1" applyBorder="1" applyAlignment="1">
      <alignment vertical="center"/>
    </xf>
    <xf numFmtId="166" fontId="0" fillId="0" borderId="26" applyNumberFormat="1" applyFont="1" applyFill="1" applyBorder="1"/>
    <xf numFmtId="166" fontId="0" fillId="0" borderId="27" applyNumberFormat="1" applyFont="1" applyFill="1" applyBorder="1"/>
    <xf numFmtId="166" fontId="0" fillId="33" borderId="28" applyNumberFormat="1" applyFont="1" applyFill="1" applyBorder="1"/>
    <xf numFmtId="166" fontId="0" fillId="33" borderId="29" applyNumberFormat="1" applyFont="1" applyFill="1" applyBorder="1"/>
    <xf numFmtId="166" fontId="0" fillId="0" borderId="28" applyNumberFormat="1" applyFont="1" applyFill="1" applyBorder="1"/>
    <xf numFmtId="166" fontId="0" fillId="0" borderId="29" applyNumberFormat="1" applyFont="1" applyFill="1" applyBorder="1"/>
    <xf numFmtId="166" fontId="0" fillId="33" borderId="30" applyNumberFormat="1" applyFont="1" applyFill="1" applyBorder="1"/>
    <xf numFmtId="166" fontId="0" fillId="33" borderId="31" applyNumberFormat="1" applyFont="1" applyFill="1" applyBorder="1"/>
    <xf numFmtId="166" fontId="0" fillId="0" borderId="32" applyNumberFormat="1" applyFont="1" applyFill="1" applyBorder="1"/>
    <xf numFmtId="166" fontId="0" fillId="0" borderId="27" applyNumberFormat="1" applyFont="1" applyFill="1" applyBorder="1"/>
    <xf numFmtId="166" fontId="0" fillId="33" borderId="29" applyNumberFormat="1" applyFont="1" applyFill="1" applyBorder="1"/>
    <xf numFmtId="166" fontId="0" fillId="0" borderId="29" applyNumberFormat="1" applyFont="1" applyFill="1" applyBorder="1"/>
    <xf numFmtId="166" fontId="0" fillId="33" borderId="33" applyNumberFormat="1" applyFont="1" applyFill="1" applyBorder="1"/>
    <xf numFmtId="166" fontId="0" fillId="33" borderId="31" applyNumberFormat="1" applyFont="1" applyFill="1" applyBorder="1"/>
    <xf numFmtId="0" fontId="39" fillId="0" borderId="0" applyFont="1" applyFill="1" applyBorder="1" applyAlignment="1">
      <alignment horizontal="right" vertical="center"/>
    </xf>
    <xf numFmtId="39" fontId="0" fillId="0" borderId="26" applyNumberFormat="1" applyFont="1" applyFill="1" applyBorder="1"/>
    <xf numFmtId="39" fontId="0" fillId="33" borderId="28" applyNumberFormat="1" applyFont="1" applyFill="1" applyBorder="1"/>
    <xf numFmtId="39" fontId="0" fillId="0" borderId="28" applyNumberFormat="1" applyFont="1" applyFill="1" applyBorder="1"/>
    <xf numFmtId="39" fontId="0" fillId="33" borderId="30" applyNumberFormat="1" applyFont="1" applyFill="1" applyBorder="1"/>
    <xf numFmtId="0" fontId="43" fillId="0" borderId="7" applyFont="1" applyFill="1" applyBorder="1" applyAlignment="1">
      <alignment horizontal="center" wrapText="1"/>
    </xf>
    <xf numFmtId="0" fontId="0" fillId="33" borderId="32" applyFont="1" applyFill="1" applyBorder="1"/>
    <xf numFmtId="0" fontId="0" fillId="33" borderId="32" applyFont="1" applyFill="1" applyBorder="1"/>
    <xf numFmtId="0" fontId="0" fillId="33" borderId="33" applyFont="1" applyFill="1" applyBorder="1"/>
    <xf numFmtId="0" fontId="43" fillId="0" borderId="7" applyFont="1" applyFill="1" applyBorder="1" applyAlignment="1">
      <alignment horizontal="center"/>
    </xf>
    <xf numFmtId="0" fontId="57" fillId="33" borderId="0" applyFont="1" applyFill="1" applyBorder="1" applyAlignment="1">
      <alignment horizontal="right"/>
    </xf>
    <xf numFmtId="0" fontId="5" fillId="0" borderId="23" applyFont="1" applyFill="1" applyBorder="1" applyAlignment="1">
      <alignment horizontal="right"/>
    </xf>
    <xf numFmtId="0" fontId="54" fillId="0" borderId="26" applyFont="1" applyFill="1" applyBorder="1" applyAlignment="1">
      <alignment vertical="center"/>
    </xf>
    <xf numFmtId="0" fontId="88" fillId="0" borderId="32" applyFont="1" applyFill="1" applyBorder="1" applyAlignment="1">
      <alignment vertical="center"/>
    </xf>
    <xf numFmtId="0" fontId="54" fillId="0" borderId="32" applyFont="1" applyFill="1" applyBorder="1" applyAlignment="1">
      <alignment vertical="center"/>
    </xf>
    <xf numFmtId="0" fontId="54" fillId="0" borderId="27" applyFont="1" applyFill="1" applyBorder="1" applyAlignment="1">
      <alignment vertical="center"/>
    </xf>
    <xf numFmtId="0" fontId="41" fillId="0" borderId="30" applyFont="1" applyFill="1" applyBorder="1" applyAlignment="1">
      <alignment horizontal="center"/>
    </xf>
    <xf numFmtId="0" fontId="41" fillId="0" borderId="33" applyFont="1" applyFill="1" applyBorder="1" applyAlignment="1">
      <alignment horizontal="center"/>
    </xf>
    <xf numFmtId="0" fontId="41" fillId="0" borderId="3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0" fontId="43" fillId="33" borderId="34" applyFont="1" applyFill="1" applyBorder="1"/>
    <xf numFmtId="0" fontId="43" fillId="33" borderId="35" applyFont="1" applyFill="1" applyBorder="1"/>
    <xf numFmtId="0" fontId="43" fillId="33" borderId="36" applyFont="1" applyFill="1" applyBorder="1"/>
    <xf numFmtId="0" fontId="62" fillId="35" borderId="0" applyFont="1" applyFill="1"/>
    <xf numFmtId="168" fontId="62" fillId="35" borderId="0" applyNumberFormat="1" applyFont="1" applyFill="1"/>
    <xf numFmtId="0" fontId="20" fillId="0" borderId="7" applyFont="1" applyFill="1" applyBorder="1" applyAlignment="1">
      <alignment horizontal="center"/>
    </xf>
    <xf numFmtId="0" fontId="5" fillId="0" borderId="26" applyFont="1" applyFill="1" applyBorder="1" applyAlignment="1">
      <alignment horizontal="center"/>
    </xf>
    <xf numFmtId="0" fontId="5" fillId="0" borderId="27" applyFont="1" applyFill="1" applyBorder="1" applyAlignment="1">
      <alignment horizontal="center"/>
    </xf>
    <xf numFmtId="0" fontId="5" fillId="33" borderId="28" applyFont="1" applyFill="1" applyBorder="1" applyAlignment="1">
      <alignment horizontal="center"/>
    </xf>
    <xf numFmtId="0" fontId="5" fillId="33" borderId="29" applyFont="1" applyFill="1" applyBorder="1" applyAlignment="1">
      <alignment horizontal="center"/>
    </xf>
    <xf numFmtId="0" fontId="5" fillId="0" borderId="28" applyFont="1" applyFill="1" applyBorder="1" applyAlignment="1">
      <alignment horizontal="center"/>
    </xf>
    <xf numFmtId="0" fontId="5" fillId="0" borderId="29" applyFont="1" applyFill="1" applyBorder="1" applyAlignment="1">
      <alignment horizontal="center"/>
    </xf>
    <xf numFmtId="0" fontId="5" fillId="33" borderId="30" applyFont="1" applyFill="1" applyBorder="1" applyAlignment="1">
      <alignment horizontal="center"/>
    </xf>
    <xf numFmtId="0" fontId="5" fillId="33" borderId="31" applyFont="1" applyFill="1" applyBorder="1" applyAlignment="1">
      <alignment horizontal="center"/>
    </xf>
    <xf numFmtId="3" fontId="0" fillId="0" borderId="37" applyNumberFormat="1" applyFont="1" applyFill="1" applyBorder="1"/>
    <xf numFmtId="3" fontId="88" fillId="33" borderId="38" applyNumberFormat="1" applyFont="1" applyFill="1" applyBorder="1"/>
    <xf numFmtId="3" fontId="0" fillId="0" borderId="38" applyNumberFormat="1" applyFont="1" applyFill="1" applyBorder="1"/>
    <xf numFmtId="3" fontId="88" fillId="33" borderId="39" applyNumberFormat="1" applyFont="1" applyFill="1" applyBorder="1"/>
    <xf numFmtId="0" fontId="43" fillId="0" borderId="7" applyFont="1" applyFill="1" applyBorder="1"/>
    <xf numFmtId="0" fontId="0" fillId="0" borderId="0" applyFont="1" applyFill="1" applyBorder="1" applyAlignment="1">
      <alignment horizontal="left"/>
    </xf>
    <xf numFmtId="0" fontId="43" fillId="0" borderId="37" applyFont="1" applyFill="1" applyBorder="1" applyAlignment="1">
      <alignment horizontal="center"/>
    </xf>
    <xf numFmtId="0" fontId="43" fillId="0" borderId="37" applyFont="1" applyFill="1" applyBorder="1"/>
    <xf numFmtId="0" fontId="0" fillId="30" borderId="37" applyFont="1" applyFill="1" applyBorder="1" applyAlignment="1">
      <alignment horizontal="left"/>
    </xf>
    <xf numFmtId="0" fontId="0" fillId="30" borderId="38" applyFont="1" applyFill="1" applyBorder="1" applyAlignment="1">
      <alignment horizontal="left"/>
    </xf>
    <xf numFmtId="0" fontId="0" fillId="30" borderId="39" applyFont="1" applyFill="1" applyBorder="1" applyAlignment="1">
      <alignment horizontal="left"/>
    </xf>
    <xf numFmtId="0" fontId="0" fillId="0" borderId="37" applyFont="1" applyFill="1" applyBorder="1" applyAlignment="1">
      <alignment horizontal="left"/>
    </xf>
    <xf numFmtId="0" fontId="0" fillId="33" borderId="38" applyFont="1" applyFill="1" applyBorder="1" applyAlignment="1">
      <alignment horizontal="left"/>
    </xf>
    <xf numFmtId="0" fontId="0" fillId="0" borderId="38" applyFont="1" applyFill="1" applyBorder="1" applyAlignment="1">
      <alignment horizontal="left"/>
    </xf>
    <xf numFmtId="0" fontId="0" fillId="33" borderId="39" applyFont="1" applyFill="1" applyBorder="1" applyAlignment="1">
      <alignment horizontal="left"/>
    </xf>
    <xf numFmtId="166" fontId="0" fillId="0" borderId="26" applyNumberFormat="1" applyFont="1" applyFill="1" applyBorder="1" applyAlignment="1">
      <alignment horizontal="right"/>
    </xf>
    <xf numFmtId="166" fontId="0" fillId="0" borderId="32" applyNumberFormat="1" applyFont="1" applyFill="1" applyBorder="1" applyAlignment="1">
      <alignment horizontal="right"/>
    </xf>
    <xf numFmtId="166" fontId="0" fillId="0" borderId="27" applyNumberFormat="1" applyFont="1" applyFill="1" applyBorder="1" applyAlignment="1">
      <alignment horizontal="right"/>
    </xf>
    <xf numFmtId="166" fontId="0" fillId="33" borderId="28" applyNumberFormat="1" applyFont="1" applyFill="1" applyBorder="1" applyAlignment="1">
      <alignment horizontal="right"/>
    </xf>
    <xf numFmtId="166" fontId="0" fillId="33" borderId="29" applyNumberFormat="1" applyFont="1" applyFill="1" applyBorder="1" applyAlignment="1">
      <alignment horizontal="right"/>
    </xf>
    <xf numFmtId="166" fontId="0" fillId="0" borderId="28" applyNumberFormat="1" applyFont="1" applyFill="1" applyBorder="1" applyAlignment="1">
      <alignment horizontal="right"/>
    </xf>
    <xf numFmtId="166" fontId="0" fillId="0" borderId="29" applyNumberFormat="1" applyFont="1" applyFill="1" applyBorder="1" applyAlignment="1">
      <alignment horizontal="right"/>
    </xf>
    <xf numFmtId="166" fontId="0" fillId="33" borderId="30" applyNumberFormat="1" applyFont="1" applyFill="1" applyBorder="1" applyAlignment="1">
      <alignment horizontal="right"/>
    </xf>
    <xf numFmtId="166" fontId="0" fillId="33" borderId="33" applyNumberFormat="1" applyFont="1" applyFill="1" applyBorder="1" applyAlignment="1">
      <alignment horizontal="right"/>
    </xf>
    <xf numFmtId="166" fontId="0" fillId="33" borderId="31" applyNumberFormat="1" applyFont="1" applyFill="1" applyBorder="1" applyAlignment="1">
      <alignment horizontal="right"/>
    </xf>
    <xf numFmtId="2" fontId="0" fillId="0" borderId="26" applyNumberFormat="1" applyFont="1" applyFill="1" applyBorder="1" applyAlignment="1">
      <alignment horizontal="right"/>
    </xf>
    <xf numFmtId="2" fontId="0" fillId="0" borderId="32" applyNumberFormat="1" applyFont="1" applyFill="1" applyBorder="1" applyAlignment="1">
      <alignment horizontal="right"/>
    </xf>
    <xf numFmtId="2" fontId="0" fillId="33" borderId="28" applyNumberFormat="1" applyFont="1" applyFill="1" applyBorder="1" applyAlignment="1">
      <alignment horizontal="right"/>
    </xf>
    <xf numFmtId="2" fontId="0" fillId="0" borderId="28" applyNumberFormat="1" applyFont="1" applyFill="1" applyBorder="1" applyAlignment="1">
      <alignment horizontal="right"/>
    </xf>
    <xf numFmtId="2" fontId="0" fillId="33" borderId="30" applyNumberFormat="1" applyFont="1" applyFill="1" applyBorder="1" applyAlignment="1">
      <alignment horizontal="right"/>
    </xf>
    <xf numFmtId="2" fontId="0" fillId="33" borderId="33" applyNumberFormat="1" applyFont="1" applyFill="1" applyBorder="1" applyAlignment="1">
      <alignment horizontal="right"/>
    </xf>
    <xf numFmtId="0" fontId="0" fillId="30" borderId="37" applyFont="1" applyFill="1" applyBorder="1"/>
    <xf numFmtId="0" fontId="0" fillId="30" borderId="38" applyFont="1" applyFill="1" applyBorder="1"/>
    <xf numFmtId="0" fontId="0" fillId="30" borderId="39" applyFont="1" applyFill="1" applyBorder="1"/>
    <xf numFmtId="2" fontId="0" fillId="0" borderId="26" applyNumberFormat="1" applyFont="1" applyFill="1" applyBorder="1"/>
    <xf numFmtId="166" fontId="0" fillId="0" borderId="32" applyNumberFormat="1" applyFont="1" applyFill="1" applyBorder="1"/>
    <xf numFmtId="2" fontId="0" fillId="0" borderId="32" applyNumberFormat="1" applyFont="1" applyFill="1" applyBorder="1"/>
    <xf numFmtId="2" fontId="0" fillId="33" borderId="28" applyNumberFormat="1" applyFont="1" applyFill="1" applyBorder="1"/>
    <xf numFmtId="2" fontId="0" fillId="0" borderId="28" applyNumberFormat="1" applyFont="1" applyFill="1" applyBorder="1"/>
    <xf numFmtId="166" fontId="0" fillId="0" borderId="29" applyNumberFormat="1" applyFont="1" applyFill="1" applyBorder="1"/>
    <xf numFmtId="2" fontId="0" fillId="33" borderId="30" applyNumberFormat="1" applyFont="1" applyFill="1" applyBorder="1"/>
    <xf numFmtId="166" fontId="0" fillId="33" borderId="33" applyNumberFormat="1" applyFont="1" applyFill="1" applyBorder="1"/>
    <xf numFmtId="2" fontId="0" fillId="33" borderId="33" applyNumberFormat="1" applyFont="1" applyFill="1" applyBorder="1"/>
    <xf numFmtId="2" fontId="88" fillId="0" borderId="28" applyNumberFormat="1" applyFont="1" applyFill="1" applyBorder="1"/>
    <xf numFmtId="166" fontId="88" fillId="0" borderId="29" applyNumberFormat="1" applyFont="1" applyFill="1" applyBorder="1"/>
    <xf numFmtId="2" fontId="88" fillId="33" borderId="30" applyNumberFormat="1" applyFont="1" applyFill="1" applyBorder="1"/>
    <xf numFmtId="166" fontId="88" fillId="33" borderId="33" applyNumberFormat="1" applyFont="1" applyFill="1" applyBorder="1"/>
    <xf numFmtId="2" fontId="88" fillId="33" borderId="33" applyNumberFormat="1" applyFont="1" applyFill="1" applyBorder="1"/>
    <xf numFmtId="166" fontId="88" fillId="33" borderId="31" applyNumberFormat="1" applyFont="1" applyFill="1" applyBorder="1"/>
    <xf numFmtId="166" fontId="0" fillId="0" borderId="28" applyNumberFormat="1" applyFont="1" applyFill="1" applyBorder="1"/>
    <xf numFmtId="166" fontId="88" fillId="0" borderId="28" applyNumberFormat="1" applyFont="1" applyFill="1" applyBorder="1"/>
    <xf numFmtId="166" fontId="88" fillId="33" borderId="30" applyNumberFormat="1" applyFont="1" applyFill="1" applyBorder="1"/>
    <xf numFmtId="0" fontId="88" fillId="0" borderId="37" applyFont="1" applyFill="1" applyBorder="1" applyAlignment="1">
      <alignment wrapText="1"/>
    </xf>
    <xf numFmtId="0" fontId="0" fillId="0" borderId="38" applyFont="1" applyFill="1" applyBorder="1"/>
    <xf numFmtId="0" fontId="0" fillId="0" borderId="39" applyFont="1" applyFill="1" applyBorder="1"/>
    <xf numFmtId="0" fontId="88" fillId="0" borderId="37" applyFont="1" applyFill="1" applyBorder="1"/>
    <xf numFmtId="0" fontId="0" fillId="0" borderId="37" applyFont="1" applyFill="1" applyBorder="1"/>
    <xf numFmtId="0" fontId="0" fillId="33" borderId="39" applyFont="1" applyFill="1" applyBorder="1"/>
    <xf numFmtId="0" fontId="21" fillId="0" borderId="26" applyFont="1" applyFill="1" applyBorder="1" applyAlignment="1">
      <alignment horizontal="left"/>
    </xf>
    <xf numFmtId="0" fontId="21" fillId="0" borderId="32" applyFont="1" applyFill="1" applyBorder="1" applyAlignment="1">
      <alignment horizontal="left"/>
    </xf>
    <xf numFmtId="0" fontId="21" fillId="0" borderId="32" applyFont="1" applyFill="1" applyBorder="1"/>
    <xf numFmtId="0" fontId="21" fillId="0" borderId="27" applyFont="1" applyFill="1" applyBorder="1"/>
    <xf numFmtId="0" fontId="22" fillId="0" borderId="30" applyFont="1" applyFill="1" applyBorder="1" applyAlignment="1">
      <alignment horizontal="center"/>
    </xf>
    <xf numFmtId="0" fontId="22" fillId="0" borderId="33" applyFont="1" applyFill="1" applyBorder="1" applyAlignment="1">
      <alignment horizontal="center"/>
    </xf>
    <xf numFmtId="0" fontId="22" fillId="0" borderId="31" applyFont="1" applyFill="1" applyBorder="1" applyAlignment="1">
      <alignment horizontal="center"/>
    </xf>
    <xf numFmtId="0" fontId="43" fillId="33" borderId="34" applyNumberFormat="1" applyFont="1" applyFill="1" applyBorder="1" applyAlignment="1">
      <alignment horizontal="center"/>
    </xf>
    <xf numFmtId="0" fontId="43" fillId="33" borderId="35" applyNumberFormat="1" applyFont="1" applyFill="1" applyBorder="1" applyAlignment="1">
      <alignment horizontal="center"/>
    </xf>
    <xf numFmtId="0" fontId="43" fillId="33" borderId="36" applyNumberFormat="1" applyFont="1" applyFill="1" applyBorder="1" applyAlignment="1">
      <alignment horizontal="center"/>
    </xf>
    <xf numFmtId="0" fontId="5" fillId="0" borderId="23" applyFont="1" applyFill="1" applyBorder="1" applyAlignment="1">
      <alignment horizontal="right"/>
    </xf>
    <xf numFmtId="0" fontId="43" fillId="34" borderId="40" applyFont="1" applyFill="1" applyBorder="1" applyAlignment="1">
      <alignment horizontal="right"/>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0" fontId="43" fillId="33" borderId="34" applyNumberFormat="1" applyFont="1" applyFill="1" applyBorder="1" applyAlignment="1">
      <alignment horizontal="center"/>
    </xf>
    <xf numFmtId="0" fontId="43" fillId="33" borderId="35" applyNumberFormat="1" applyFont="1" applyFill="1" applyBorder="1" applyAlignment="1">
      <alignment horizontal="center"/>
    </xf>
    <xf numFmtId="0" fontId="43" fillId="33" borderId="36" applyNumberFormat="1" applyFont="1" applyFill="1" applyBorder="1" applyAlignment="1">
      <alignment horizontal="center"/>
    </xf>
    <xf numFmtId="0" fontId="0" fillId="0" borderId="37" applyFont="1" applyFill="1" applyBorder="1" applyAlignment="1">
      <alignment horizontal="left"/>
    </xf>
    <xf numFmtId="0" fontId="0" fillId="0" borderId="39" applyFont="1" applyFill="1" applyBorder="1" applyAlignment="1">
      <alignment horizontal="left"/>
    </xf>
    <xf numFmtId="166" fontId="0" fillId="0" borderId="26" applyNumberFormat="1" applyFont="1" applyFill="1" applyBorder="1" applyAlignment="1">
      <alignment horizontal="right"/>
    </xf>
    <xf numFmtId="166" fontId="0" fillId="0" borderId="32" applyNumberFormat="1" applyFont="1" applyFill="1" applyBorder="1" applyAlignment="1">
      <alignment horizontal="right"/>
    </xf>
    <xf numFmtId="166" fontId="0" fillId="0" borderId="27" applyNumberFormat="1" applyFont="1" applyFill="1" applyBorder="1" applyAlignment="1">
      <alignment horizontal="right"/>
    </xf>
    <xf numFmtId="166" fontId="0" fillId="0" borderId="30" applyNumberFormat="1" applyFont="1" applyFill="1" applyBorder="1" applyAlignment="1">
      <alignment horizontal="right"/>
    </xf>
    <xf numFmtId="166" fontId="0" fillId="0" borderId="33" applyNumberFormat="1" applyFont="1" applyFill="1" applyBorder="1" applyAlignment="1">
      <alignment horizontal="right"/>
    </xf>
    <xf numFmtId="166" fontId="0" fillId="0" borderId="31" applyNumberFormat="1" applyFont="1" applyFill="1" applyBorder="1" applyAlignment="1">
      <alignment horizontal="right"/>
    </xf>
    <xf numFmtId="2" fontId="0" fillId="0" borderId="26" applyNumberFormat="1" applyFont="1" applyFill="1" applyBorder="1" applyAlignment="1">
      <alignment horizontal="right"/>
    </xf>
    <xf numFmtId="2" fontId="0" fillId="0" borderId="32" applyNumberFormat="1" applyFont="1" applyFill="1" applyBorder="1" applyAlignment="1">
      <alignment horizontal="right"/>
    </xf>
    <xf numFmtId="2" fontId="0" fillId="0" borderId="30" applyNumberFormat="1" applyFont="1" applyFill="1" applyBorder="1" applyAlignment="1">
      <alignment horizontal="right"/>
    </xf>
    <xf numFmtId="2" fontId="0" fillId="0" borderId="33" applyNumberFormat="1" applyFont="1" applyFill="1" applyBorder="1" applyAlignment="1">
      <alignment horizontal="right"/>
    </xf>
    <xf numFmtId="2" fontId="0" fillId="0" borderId="34" applyNumberFormat="1" applyFont="1" applyFill="1" applyBorder="1" applyAlignment="1">
      <alignment horizontal="right"/>
    </xf>
    <xf numFmtId="166" fontId="0" fillId="0" borderId="35" applyNumberFormat="1" applyFont="1" applyFill="1" applyBorder="1" applyAlignment="1">
      <alignment horizontal="right"/>
    </xf>
    <xf numFmtId="2" fontId="0" fillId="0" borderId="35" applyNumberFormat="1" applyFont="1" applyFill="1" applyBorder="1" applyAlignment="1">
      <alignment horizontal="right"/>
    </xf>
    <xf numFmtId="166" fontId="0" fillId="0" borderId="36" applyNumberFormat="1" applyFont="1" applyFill="1" applyBorder="1" applyAlignment="1">
      <alignment horizontal="right"/>
    </xf>
    <xf numFmtId="166" fontId="0" fillId="0" borderId="34" applyNumberFormat="1" applyFont="1" applyFill="1" applyBorder="1" applyAlignment="1">
      <alignment horizontal="right"/>
    </xf>
    <xf numFmtId="0" fontId="0" fillId="34" borderId="37" applyFont="1" applyFill="1" applyBorder="1" applyAlignment="1">
      <alignment horizontal="left"/>
    </xf>
    <xf numFmtId="0" fontId="0" fillId="34" borderId="38" applyFont="1" applyFill="1" applyBorder="1" applyAlignment="1">
      <alignment horizontal="left"/>
    </xf>
    <xf numFmtId="0" fontId="0" fillId="34" borderId="39" applyFont="1" applyFill="1" applyBorder="1" applyAlignment="1">
      <alignment horizontal="left"/>
    </xf>
    <xf numFmtId="166" fontId="0" fillId="34" borderId="26" applyNumberFormat="1" applyFont="1" applyFill="1" applyBorder="1" applyAlignment="1">
      <alignment horizontal="right"/>
    </xf>
    <xf numFmtId="166" fontId="0" fillId="34" borderId="32" applyNumberFormat="1" applyFont="1" applyFill="1" applyBorder="1" applyAlignment="1">
      <alignment horizontal="right"/>
    </xf>
    <xf numFmtId="166" fontId="0" fillId="34" borderId="27" applyNumberFormat="1" applyFont="1" applyFill="1" applyBorder="1" applyAlignment="1">
      <alignment horizontal="right"/>
    </xf>
    <xf numFmtId="166" fontId="0" fillId="34" borderId="28" applyNumberFormat="1" applyFont="1" applyFill="1" applyBorder="1" applyAlignment="1">
      <alignment horizontal="right"/>
    </xf>
    <xf numFmtId="166" fontId="0" fillId="34" borderId="29" applyNumberFormat="1" applyFont="1" applyFill="1" applyBorder="1" applyAlignment="1">
      <alignment horizontal="right"/>
    </xf>
    <xf numFmtId="166" fontId="0" fillId="34" borderId="30" applyNumberFormat="1" applyFont="1" applyFill="1" applyBorder="1" applyAlignment="1">
      <alignment horizontal="right"/>
    </xf>
    <xf numFmtId="166" fontId="0" fillId="34" borderId="33" applyNumberFormat="1" applyFont="1" applyFill="1" applyBorder="1" applyAlignment="1">
      <alignment horizontal="right"/>
    </xf>
    <xf numFmtId="166" fontId="0" fillId="34" borderId="31" applyNumberFormat="1" applyFont="1" applyFill="1" applyBorder="1" applyAlignment="1">
      <alignment horizontal="right"/>
    </xf>
    <xf numFmtId="166" fontId="0" fillId="34" borderId="34" applyNumberFormat="1" applyFont="1" applyFill="1" applyBorder="1" applyAlignment="1">
      <alignment horizontal="right"/>
    </xf>
    <xf numFmtId="166" fontId="0" fillId="34" borderId="35" applyNumberFormat="1" applyFont="1" applyFill="1" applyBorder="1" applyAlignment="1">
      <alignment horizontal="right"/>
    </xf>
    <xf numFmtId="166" fontId="0" fillId="34" borderId="36" applyNumberFormat="1" applyFont="1" applyFill="1" applyBorder="1" applyAlignment="1">
      <alignment horizontal="right"/>
    </xf>
    <xf numFmtId="2" fontId="0" fillId="34" borderId="26" applyNumberFormat="1" applyFont="1" applyFill="1" applyBorder="1" applyAlignment="1">
      <alignment horizontal="right"/>
    </xf>
    <xf numFmtId="2" fontId="0" fillId="34" borderId="32" applyNumberFormat="1" applyFont="1" applyFill="1" applyBorder="1" applyAlignment="1">
      <alignment horizontal="right"/>
    </xf>
    <xf numFmtId="2" fontId="0" fillId="34" borderId="28" applyNumberFormat="1" applyFont="1" applyFill="1" applyBorder="1" applyAlignment="1">
      <alignment horizontal="right"/>
    </xf>
    <xf numFmtId="2" fontId="0" fillId="34" borderId="30" applyNumberFormat="1" applyFont="1" applyFill="1" applyBorder="1" applyAlignment="1">
      <alignment horizontal="right"/>
    </xf>
    <xf numFmtId="2" fontId="0" fillId="34" borderId="33" applyNumberFormat="1" applyFont="1" applyFill="1" applyBorder="1" applyAlignment="1">
      <alignment horizontal="right"/>
    </xf>
    <xf numFmtId="2" fontId="0" fillId="34" borderId="34" applyNumberFormat="1" applyFont="1" applyFill="1" applyBorder="1" applyAlignment="1">
      <alignment horizontal="right"/>
    </xf>
    <xf numFmtId="2" fontId="0" fillId="34" borderId="35" applyNumberFormat="1" applyFont="1" applyFill="1" applyBorder="1" applyAlignment="1">
      <alignment horizontal="right"/>
    </xf>
    <xf numFmtId="0" fontId="88" fillId="0" borderId="19" applyFont="1" applyFill="1" applyBorder="1"/>
    <xf numFmtId="0" fontId="88" fillId="30" borderId="41" applyFont="1" applyFill="1" applyBorder="1"/>
    <xf numFmtId="0" fontId="27" fillId="0" borderId="34" applyFont="1" applyFill="1" applyBorder="1" applyAlignment="1">
      <alignment horizontal="center" wrapText="1"/>
    </xf>
    <xf numFmtId="0" fontId="27" fillId="0" borderId="35" applyFont="1" applyFill="1" applyBorder="1" applyAlignment="1">
      <alignment horizontal="center" wrapText="1"/>
    </xf>
    <xf numFmtId="0" fontId="27" fillId="0" borderId="36" applyFont="1" applyFill="1" applyBorder="1" applyAlignment="1">
      <alignment horizontal="center" wrapText="1"/>
    </xf>
    <xf numFmtId="166" fontId="0" fillId="0" borderId="26" applyNumberFormat="1" applyFont="1" applyFill="1" applyBorder="1" applyAlignment="1">
      <alignment horizontal="center"/>
    </xf>
    <xf numFmtId="166" fontId="0" fillId="0" borderId="32" applyNumberFormat="1" applyFont="1" applyFill="1" applyBorder="1" applyAlignment="1">
      <alignment horizontal="center"/>
    </xf>
    <xf numFmtId="166" fontId="0" fillId="0" borderId="27" applyNumberFormat="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0" fontId="5" fillId="0" borderId="30" applyFont="1" applyFill="1" applyBorder="1" applyAlignment="1">
      <alignment horizontal="center"/>
    </xf>
    <xf numFmtId="0" fontId="5" fillId="0" borderId="3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0" fontId="88" fillId="30" borderId="41" applyFont="1" applyFill="1" applyBorder="1"/>
    <xf numFmtId="2" fontId="0" fillId="0" borderId="26" applyNumberFormat="1" applyFont="1" applyFill="1" applyBorder="1" applyAlignment="1">
      <alignment horizontal="center"/>
    </xf>
    <xf numFmtId="2" fontId="0" fillId="0" borderId="32" applyNumberFormat="1" applyFont="1" applyFill="1" applyBorder="1" applyAlignment="1">
      <alignment horizontal="center"/>
    </xf>
    <xf numFmtId="2" fontId="0" fillId="0" borderId="27"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0" fillId="0" borderId="28" applyNumberFormat="1" applyFont="1" applyFill="1" applyBorder="1" applyAlignment="1">
      <alignment horizontal="center"/>
    </xf>
    <xf numFmtId="2" fontId="0" fillId="0" borderId="29" applyNumberFormat="1" applyFont="1" applyFill="1" applyBorder="1" applyAlignment="1">
      <alignment horizontal="center"/>
    </xf>
    <xf numFmtId="2" fontId="88" fillId="33" borderId="30" applyNumberFormat="1" applyFont="1" applyFill="1" applyBorder="1" applyAlignment="1">
      <alignment horizontal="center"/>
    </xf>
    <xf numFmtId="2" fontId="88" fillId="33" borderId="33" applyNumberFormat="1" applyFont="1" applyFill="1" applyBorder="1" applyAlignment="1">
      <alignment horizontal="center"/>
    </xf>
    <xf numFmtId="2" fontId="88" fillId="33" borderId="31" applyNumberFormat="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0" fontId="88" fillId="0" borderId="42" applyFont="1" applyFill="1" applyBorder="1"/>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0" fontId="0" fillId="35" borderId="0" applyFont="1" applyFill="1" applyAlignment="1">
      <alignment horizontal="left"/>
    </xf>
    <xf numFmtId="0" fontId="52" fillId="30" borderId="41" applyFont="1" applyFill="1" applyBorder="1"/>
    <xf numFmtId="166" fontId="88" fillId="0" borderId="34" applyNumberFormat="1" applyFont="1" applyFill="1" applyBorder="1" applyAlignment="1">
      <alignment horizontal="center"/>
    </xf>
    <xf numFmtId="166" fontId="88" fillId="0" borderId="35" applyNumberFormat="1" applyFont="1" applyFill="1" applyBorder="1" applyAlignment="1">
      <alignment horizontal="center"/>
    </xf>
    <xf numFmtId="166" fontId="88" fillId="0" borderId="36" applyNumberFormat="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166" fontId="88" fillId="33" borderId="26" applyNumberFormat="1" applyFont="1" applyFill="1" applyBorder="1" applyAlignment="1">
      <alignment horizontal="center"/>
    </xf>
    <xf numFmtId="166" fontId="88" fillId="33" borderId="32" applyNumberFormat="1" applyFont="1" applyFill="1" applyBorder="1" applyAlignment="1">
      <alignment horizontal="center"/>
    </xf>
    <xf numFmtId="166" fontId="88" fillId="33" borderId="27" applyNumberFormat="1" applyFont="1" applyFill="1" applyBorder="1" applyAlignment="1">
      <alignment horizontal="center"/>
    </xf>
    <xf numFmtId="2" fontId="88" fillId="0" borderId="34" applyNumberFormat="1" applyFont="1" applyFill="1" applyBorder="1" applyAlignment="1">
      <alignment horizontal="center"/>
    </xf>
    <xf numFmtId="2" fontId="88" fillId="0" borderId="35" applyNumberFormat="1" applyFont="1" applyFill="1" applyBorder="1" applyAlignment="1">
      <alignment horizontal="center"/>
    </xf>
    <xf numFmtId="2" fontId="88" fillId="0" borderId="36" applyNumberFormat="1" applyFont="1" applyFill="1" applyBorder="1" applyAlignment="1">
      <alignment horizontal="center"/>
    </xf>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2" fontId="88" fillId="33" borderId="26" applyNumberFormat="1" applyFont="1" applyFill="1" applyBorder="1" applyAlignment="1">
      <alignment horizontal="center"/>
    </xf>
    <xf numFmtId="2" fontId="88" fillId="33" borderId="32" applyNumberFormat="1" applyFont="1" applyFill="1" applyBorder="1" applyAlignment="1">
      <alignment horizontal="center"/>
    </xf>
    <xf numFmtId="2" fontId="88" fillId="33" borderId="27" applyNumberFormat="1" applyFont="1" applyFill="1" applyBorder="1" applyAlignment="1">
      <alignment horizontal="center"/>
    </xf>
    <xf numFmtId="2" fontId="88" fillId="0" borderId="19" applyNumberFormat="1" applyFont="1" applyFill="1" applyBorder="1"/>
    <xf numFmtId="166" fontId="0" fillId="0" borderId="28" applyNumberFormat="1" applyFont="1" applyFill="1" applyBorder="1" applyAlignment="1">
      <alignment horizontal="center"/>
    </xf>
    <xf numFmtId="166" fontId="0" fillId="0" borderId="29" applyNumberFormat="1" applyFont="1" applyFill="1" applyBorder="1" applyAlignment="1">
      <alignment horizontal="center"/>
    </xf>
    <xf numFmtId="2" fontId="0" fillId="0" borderId="31" applyNumberFormat="1" applyFont="1" applyFill="1" applyBorder="1" applyAlignment="1">
      <alignment horizontal="center"/>
    </xf>
    <xf numFmtId="166" fontId="0" fillId="0" borderId="31" applyNumberFormat="1" applyFont="1" applyFill="1" applyBorder="1" applyAlignment="1">
      <alignment horizontal="center"/>
    </xf>
    <xf numFmtId="0" fontId="88" fillId="30" borderId="43" applyFont="1" applyFill="1" applyBorder="1"/>
    <xf numFmtId="0" fontId="27" fillId="0" borderId="7" applyFont="1" applyFill="1" applyBorder="1" applyAlignment="1">
      <alignment horizontal="center" wrapText="1"/>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88" fillId="33" borderId="30" applyNumberFormat="1" applyFont="1" applyFill="1" applyBorder="1" applyAlignment="1">
      <alignment horizontal="center"/>
    </xf>
    <xf numFmtId="2" fontId="88" fillId="33" borderId="33" applyNumberFormat="1" applyFont="1" applyFill="1" applyBorder="1" applyAlignment="1">
      <alignment horizontal="center"/>
    </xf>
    <xf numFmtId="2" fontId="88" fillId="33" borderId="31" applyNumberFormat="1" applyFont="1" applyFill="1" applyBorder="1" applyAlignment="1">
      <alignment horizontal="center"/>
    </xf>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166" fontId="5" fillId="0" borderId="29" applyNumberFormat="1" applyFont="1" applyFill="1" applyBorder="1" applyAlignment="1">
      <alignment horizontal="center"/>
    </xf>
    <xf numFmtId="166" fontId="5" fillId="33" borderId="29" applyNumberFormat="1" applyFont="1" applyFill="1" applyBorder="1" applyAlignment="1">
      <alignment horizontal="center"/>
    </xf>
    <xf numFmtId="166" fontId="5" fillId="0" borderId="33" applyNumberFormat="1" applyFont="1" applyFill="1" applyBorder="1" applyAlignment="1">
      <alignment horizontal="center"/>
    </xf>
    <xf numFmtId="166" fontId="5" fillId="0" borderId="31" applyNumberFormat="1" applyFont="1" applyFill="1" applyBorder="1" applyAlignment="1">
      <alignment horizontal="center"/>
    </xf>
    <xf numFmtId="0" fontId="88" fillId="0" borderId="0" applyFont="1" applyFill="1" applyBorder="1" applyAlignment="1">
      <alignment horizontal="center"/>
    </xf>
    <xf numFmtId="0" fontId="88" fillId="0" borderId="0" applyFont="1" applyFill="1" applyBorder="1" applyAlignment="1">
      <alignment horizontal="center"/>
    </xf>
    <xf numFmtId="0" fontId="52" fillId="0" borderId="0" applyFont="1" applyFill="1" applyBorder="1" applyAlignment="1">
      <alignment horizontal="center"/>
    </xf>
    <xf numFmtId="0" fontId="52" fillId="0" borderId="0" applyFont="1" applyFill="1" applyBorder="1"/>
    <xf numFmtId="0" fontId="88" fillId="0" borderId="0" applyFont="1" applyFill="1" applyBorder="1"/>
    <xf numFmtId="0" fontId="88" fillId="0" borderId="0" applyFont="1" applyFill="1" applyBorder="1"/>
    <xf numFmtId="0" fontId="0" fillId="30" borderId="34" applyFont="1" applyFill="1" applyBorder="1"/>
    <xf numFmtId="0" fontId="0" fillId="30" borderId="35" applyFont="1" applyFill="1" applyBorder="1"/>
    <xf numFmtId="0" fontId="0" fillId="30" borderId="36" applyFont="1" applyFill="1" applyBorder="1"/>
    <xf numFmtId="0" fontId="54" fillId="0" borderId="28" applyFont="1" applyFill="1" applyBorder="1"/>
    <xf numFmtId="166" fontId="88" fillId="0" borderId="28" applyNumberFormat="1" applyFont="1" applyFill="1" applyBorder="1"/>
    <xf numFmtId="166" fontId="88" fillId="0" borderId="28" applyNumberFormat="1" applyFont="1" applyFill="1" applyBorder="1"/>
    <xf numFmtId="0" fontId="0" fillId="0" borderId="28" applyFont="1" applyFill="1" applyBorder="1"/>
    <xf numFmtId="166" fontId="0" fillId="0" borderId="28" applyNumberFormat="1" applyFont="1" applyFill="1" applyBorder="1"/>
    <xf numFmtId="166" fontId="0" fillId="0" borderId="28" applyNumberFormat="1" applyFont="1" applyFill="1" applyBorder="1"/>
    <xf numFmtId="166" fontId="0" fillId="0" borderId="35" applyNumberFormat="1" applyFont="1" applyFill="1" applyBorder="1"/>
    <xf numFmtId="166" fontId="0" fillId="0" borderId="0" applyNumberFormat="1" applyFont="1" applyFill="1" applyBorder="1"/>
    <xf numFmtId="0" fontId="46" fillId="30" borderId="38" applyFont="1" applyFill="1" applyBorder="1" applyAlignment="1">
      <alignment vertical="center"/>
    </xf>
    <xf numFmtId="0" fontId="43" fillId="30" borderId="38" applyFont="1" applyFill="1" applyBorder="1" applyAlignment="1">
      <alignment horizontal="center" wrapText="1"/>
    </xf>
    <xf numFmtId="0" fontId="43" fillId="30" borderId="38" applyFont="1" applyFill="1" applyBorder="1" applyAlignment="1">
      <alignment horizontal="center"/>
    </xf>
    <xf numFmtId="166" fontId="0" fillId="30" borderId="38" applyNumberFormat="1" applyFont="1" applyFill="1" applyBorder="1"/>
    <xf numFmtId="166" fontId="38" fillId="30" borderId="0" applyNumberFormat="1" applyFont="1" applyFill="1" applyAlignment="1">
      <alignment horizontal="left"/>
    </xf>
    <xf numFmtId="0" fontId="0" fillId="30" borderId="0" applyFont="1" applyFill="1"/>
    <xf numFmtId="0" fontId="43" fillId="30" borderId="0" applyFont="1" applyFill="1" applyAlignment="1">
      <alignment horizontal="center"/>
    </xf>
    <xf numFmtId="0" fontId="43" fillId="30" borderId="0" applyFont="1" applyFill="1" applyAlignment="1">
      <alignment horizontal="right"/>
    </xf>
    <xf numFmtId="0" fontId="0" fillId="30" borderId="0" applyFont="1" applyFill="1" applyAlignment="1">
      <alignment horizontal="left"/>
    </xf>
    <xf numFmtId="0" fontId="40" fillId="0" borderId="0" applyFont="1" applyFill="1" applyAlignment="1">
      <alignment horizontal="right"/>
    </xf>
    <xf numFmtId="0" fontId="44" fillId="0" borderId="0" applyFont="1" applyFill="1"/>
    <xf numFmtId="166" fontId="44" fillId="0" borderId="0" applyNumberFormat="1" applyFont="1" applyFill="1" applyAlignment="1">
      <alignment horizontal="right"/>
    </xf>
    <xf numFmtId="0" fontId="53" fillId="30" borderId="0" applyFont="1" applyFill="1" applyAlignment="1">
      <alignment horizontal="right"/>
    </xf>
    <xf numFmtId="166" fontId="44" fillId="0" borderId="0" applyNumberFormat="1" applyFont="1" applyFill="1" applyAlignment="1">
      <alignment horizontal="center" vertical="center"/>
    </xf>
    <xf numFmtId="0" fontId="44" fillId="0" borderId="0" applyFont="1" applyFill="1" applyAlignment="1">
      <alignment horizontal="center" vertical="center"/>
    </xf>
    <xf numFmtId="2" fontId="44" fillId="0" borderId="0" applyNumberFormat="1" applyFont="1" applyFill="1" applyAlignment="1">
      <alignment horizontal="center" vertical="center"/>
    </xf>
    <xf numFmtId="0" fontId="44" fillId="0" borderId="0" applyFont="1" applyFill="1" applyAlignment="1">
      <alignment horizontal="left"/>
    </xf>
    <xf numFmtId="0" fontId="44" fillId="0" borderId="0" applyFont="1" applyFill="1" applyAlignment="1">
      <alignment horizontal="right"/>
    </xf>
    <xf numFmtId="0" fontId="53" fillId="0" borderId="0" applyFont="1" applyFill="1" applyAlignment="1">
      <alignment horizontal="right"/>
    </xf>
    <xf numFmtId="0" fontId="53" fillId="33" borderId="0" applyFont="1" applyFill="1" applyAlignment="1">
      <alignment horizontal="right"/>
    </xf>
    <xf numFmtId="0" fontId="39" fillId="33" borderId="0" applyFont="1" applyFill="1" applyAlignment="1">
      <alignment horizontal="right"/>
    </xf>
    <xf numFmtId="0" fontId="44" fillId="33" borderId="0" applyFont="1" applyFill="1" applyAlignment="1">
      <alignment horizontal="right"/>
    </xf>
    <xf numFmtId="166" fontId="44" fillId="33" borderId="0" applyNumberFormat="1" applyFont="1" applyFill="1" applyAlignment="1">
      <alignment horizontal="center" vertical="center"/>
    </xf>
    <xf numFmtId="0" fontId="44" fillId="33" borderId="0" applyFont="1" applyFill="1" applyAlignment="1">
      <alignment horizontal="center" vertical="center"/>
    </xf>
    <xf numFmtId="2" fontId="44" fillId="33" borderId="0" applyNumberFormat="1" applyFont="1" applyFill="1" applyAlignment="1">
      <alignment horizontal="center" vertical="center"/>
    </xf>
    <xf numFmtId="0" fontId="44" fillId="33" borderId="0" applyFont="1" applyFill="1" applyAlignment="1">
      <alignment horizontal="left"/>
    </xf>
    <xf numFmtId="17" fontId="44" fillId="0" borderId="0" applyNumberFormat="1" applyFont="1" applyFill="1" applyAlignment="1">
      <alignment horizontal="right"/>
    </xf>
    <xf numFmtId="17" fontId="39" fillId="0" borderId="0" applyNumberFormat="1" applyFont="1" applyFill="1" applyAlignment="1">
      <alignment horizontal="right"/>
    </xf>
    <xf numFmtId="166" fontId="39" fillId="0" borderId="0" applyNumberFormat="1" applyFont="1" applyFill="1" applyAlignment="1">
      <alignment horizontal="right"/>
    </xf>
    <xf numFmtId="17" fontId="49" fillId="0" borderId="0" applyNumberFormat="1" applyFont="1" applyFill="1" applyAlignment="1">
      <alignment horizontal="right"/>
    </xf>
    <xf numFmtId="17" fontId="39" fillId="30" borderId="0" applyNumberFormat="1" applyFont="1" applyFill="1" applyAlignment="1">
      <alignment horizontal="right"/>
    </xf>
    <xf numFmtId="166" fontId="39" fillId="30" borderId="0" applyNumberFormat="1" applyFont="1" applyFill="1" applyAlignment="1">
      <alignment horizontal="right"/>
    </xf>
    <xf numFmtId="0" fontId="44" fillId="30" borderId="0" applyFont="1" applyFill="1" applyAlignment="1">
      <alignment horizontal="left"/>
    </xf>
    <xf numFmtId="0" fontId="39" fillId="30" borderId="0" applyFont="1" applyFill="1" applyAlignment="1">
      <alignment horizontal="left"/>
    </xf>
    <xf numFmtId="166" fontId="88" fillId="0" borderId="0" applyNumberFormat="1" applyFont="1" applyFill="1" applyBorder="1" applyAlignment="1">
      <alignment horizontal="right"/>
    </xf>
    <xf numFmtId="166" fontId="88" fillId="33" borderId="33" applyNumberFormat="1" applyFont="1" applyFill="1" applyBorder="1" applyAlignment="1">
      <alignment horizontal="right"/>
    </xf>
    <xf numFmtId="166" fontId="88" fillId="30" borderId="26" applyNumberFormat="1" applyFont="1" applyFill="1" applyBorder="1" applyAlignment="1">
      <alignment horizontal="center"/>
    </xf>
    <xf numFmtId="166" fontId="88" fillId="30" borderId="32" applyNumberFormat="1" applyFont="1" applyFill="1" applyBorder="1" applyAlignment="1">
      <alignment horizontal="center"/>
    </xf>
    <xf numFmtId="166" fontId="88" fillId="30" borderId="27" applyNumberFormat="1" applyFont="1" applyFill="1" applyBorder="1" applyAlignment="1">
      <alignment horizontal="center"/>
    </xf>
    <xf numFmtId="166" fontId="88" fillId="30" borderId="28" applyNumberFormat="1" applyFont="1" applyFill="1" applyBorder="1" applyAlignment="1">
      <alignment horizontal="center"/>
    </xf>
    <xf numFmtId="166" fontId="88" fillId="30" borderId="29" applyNumberFormat="1" applyFont="1" applyFill="1" applyBorder="1" applyAlignment="1">
      <alignment horizontal="center"/>
    </xf>
    <xf numFmtId="2" fontId="88" fillId="30" borderId="26" applyNumberFormat="1" applyFont="1" applyFill="1" applyBorder="1" applyAlignment="1">
      <alignment horizontal="center"/>
    </xf>
    <xf numFmtId="2" fontId="88" fillId="30" borderId="32" applyNumberFormat="1" applyFont="1" applyFill="1" applyBorder="1" applyAlignment="1">
      <alignment horizontal="center"/>
    </xf>
    <xf numFmtId="2" fontId="88" fillId="30" borderId="27" applyNumberFormat="1" applyFont="1" applyFill="1" applyBorder="1" applyAlignment="1">
      <alignment horizontal="center"/>
    </xf>
    <xf numFmtId="166" fontId="88" fillId="30" borderId="30" applyNumberFormat="1" applyFont="1" applyFill="1" applyBorder="1" applyAlignment="1">
      <alignment horizontal="center"/>
    </xf>
    <xf numFmtId="166" fontId="88" fillId="30" borderId="33" applyNumberFormat="1" applyFont="1" applyFill="1" applyBorder="1" applyAlignment="1">
      <alignment horizontal="center"/>
    </xf>
    <xf numFmtId="166" fontId="88" fillId="30" borderId="31" applyNumberFormat="1" applyFont="1" applyFill="1" applyBorder="1" applyAlignment="1">
      <alignment horizontal="center"/>
    </xf>
    <xf numFmtId="166" fontId="88" fillId="30" borderId="26" applyNumberFormat="1" applyFont="1" applyFill="1" applyBorder="1" applyAlignment="1">
      <alignment horizontal="center"/>
    </xf>
    <xf numFmtId="166" fontId="88" fillId="30" borderId="32" applyNumberFormat="1" applyFont="1" applyFill="1" applyBorder="1" applyAlignment="1">
      <alignment horizontal="center"/>
    </xf>
    <xf numFmtId="166" fontId="88" fillId="30" borderId="27" applyNumberFormat="1" applyFont="1" applyFill="1" applyBorder="1" applyAlignment="1">
      <alignment horizontal="center"/>
    </xf>
    <xf numFmtId="166" fontId="88" fillId="30" borderId="28" applyNumberFormat="1" applyFont="1" applyFill="1" applyBorder="1" applyAlignment="1">
      <alignment horizontal="center"/>
    </xf>
    <xf numFmtId="166" fontId="88" fillId="30" borderId="0" applyNumberFormat="1" applyFont="1" applyFill="1" applyBorder="1" applyAlignment="1">
      <alignment horizontal="center"/>
    </xf>
    <xf numFmtId="166" fontId="88" fillId="30" borderId="29" applyNumberFormat="1" applyFont="1" applyFill="1" applyBorder="1" applyAlignment="1">
      <alignment horizontal="center"/>
    </xf>
    <xf numFmtId="2" fontId="88" fillId="30" borderId="26" applyNumberFormat="1" applyFont="1" applyFill="1" applyBorder="1" applyAlignment="1">
      <alignment horizontal="center"/>
    </xf>
    <xf numFmtId="2" fontId="88" fillId="30" borderId="32" applyNumberFormat="1" applyFont="1" applyFill="1" applyBorder="1" applyAlignment="1">
      <alignment horizontal="center"/>
    </xf>
    <xf numFmtId="2" fontId="88" fillId="30" borderId="27" applyNumberFormat="1" applyFont="1" applyFill="1" applyBorder="1" applyAlignment="1">
      <alignment horizontal="center"/>
    </xf>
    <xf numFmtId="0" fontId="82" fillId="0" borderId="0" applyFont="1" applyFill="1" applyAlignment="1">
      <alignment horizontal="center"/>
    </xf>
    <xf numFmtId="0" fontId="52" fillId="36" borderId="0" applyFont="1" applyFill="1" applyBorder="1"/>
    <xf numFmtId="0" fontId="0" fillId="36" borderId="0" applyFont="1" applyFill="1" applyBorder="1"/>
    <xf numFmtId="0" fontId="0" fillId="36" borderId="0" applyFont="1" applyFill="1" applyBorder="1" applyAlignment="1">
      <alignment horizontal="center"/>
    </xf>
    <xf numFmtId="0" fontId="59" fillId="36" borderId="0" applyFont="1" applyFill="1" applyAlignment="1">
      <alignment horizontal="right"/>
    </xf>
    <xf numFmtId="0" fontId="44" fillId="36" borderId="0" applyFont="1" applyFill="1" applyBorder="1" applyAlignment="1">
      <alignment horizontal="right"/>
    </xf>
    <xf numFmtId="0" fontId="60" fillId="36" borderId="0" applyFont="1" applyFill="1" applyBorder="1" applyAlignment="1">
      <alignment horizontal="right"/>
    </xf>
    <xf numFmtId="0" fontId="61" fillId="36" borderId="0" applyFont="1" applyFill="1" applyBorder="1"/>
    <xf numFmtId="0" fontId="52" fillId="36" borderId="0" applyFont="1" applyFill="1" applyBorder="1" applyAlignment="1">
      <alignment horizontal="center"/>
    </xf>
    <xf numFmtId="0" fontId="55" fillId="36" borderId="0" applyFont="1" applyFill="1" applyBorder="1"/>
    <xf numFmtId="0" fontId="55" fillId="36" borderId="0" applyFont="1" applyFill="1" applyBorder="1" applyAlignment="1">
      <alignment horizontal="center"/>
    </xf>
    <xf numFmtId="0" fontId="55" fillId="36" borderId="0" applyFont="1" applyFill="1" applyBorder="1" applyAlignment="1">
      <alignment horizontal="left" vertical="top"/>
    </xf>
    <xf numFmtId="0" fontId="55" fillId="36" borderId="0" applyFont="1" applyFill="1" applyBorder="1" applyAlignment="1">
      <alignment horizontal="right" vertical="top"/>
    </xf>
    <xf numFmtId="0" fontId="2" fillId="36" borderId="0" applyFont="1" applyFill="1" applyBorder="1"/>
    <xf numFmtId="0" fontId="2" fillId="36" borderId="0" applyFont="1" applyFill="1" applyBorder="1" applyAlignment="1">
      <alignment horizontal="right"/>
    </xf>
    <xf numFmtId="0" fontId="52" fillId="36" borderId="0" applyFont="1" applyFill="1" applyBorder="1" applyAlignment="1">
      <alignment horizontal="right"/>
    </xf>
    <xf numFmtId="0" fontId="55" fillId="36" borderId="0" applyFont="1" applyFill="1" applyBorder="1"/>
    <xf numFmtId="0" fontId="55" fillId="36" borderId="0" applyFont="1" applyFill="1" applyBorder="1" applyAlignment="1">
      <alignment horizontal="right"/>
    </xf>
    <xf numFmtId="0" fontId="48" fillId="36" borderId="37" applyFont="1" applyFill="1" applyBorder="1"/>
    <xf numFmtId="0" fontId="48" fillId="36" borderId="39" applyFont="1" applyFill="1" applyBorder="1" applyAlignment="1">
      <alignment horizontal="center" wrapText="1"/>
    </xf>
    <xf numFmtId="0" fontId="48" fillId="36" borderId="37" applyFont="1" applyFill="1" applyBorder="1" applyAlignment="1">
      <alignment horizontal="center" wrapText="1"/>
    </xf>
    <xf numFmtId="0" fontId="42" fillId="36" borderId="34" applyFont="1" applyFill="1" applyBorder="1" applyAlignment="1">
      <alignment vertical="center"/>
    </xf>
    <xf numFmtId="0" fontId="42" fillId="36" borderId="35" applyFont="1" applyFill="1" applyBorder="1" applyAlignment="1">
      <alignment vertical="center"/>
    </xf>
    <xf numFmtId="0" fontId="42" fillId="36" borderId="36" applyFont="1" applyFill="1" applyBorder="1" applyAlignment="1">
      <alignment vertical="center"/>
    </xf>
    <xf numFmtId="49" fontId="55" fillId="36" borderId="34" applyNumberFormat="1" applyFont="1" applyFill="1" applyBorder="1" applyAlignment="1">
      <alignment textRotation="90" wrapText="1"/>
    </xf>
    <xf numFmtId="49" fontId="55" fillId="36" borderId="35" applyNumberFormat="1" applyFont="1" applyFill="1" applyBorder="1" applyAlignment="1">
      <alignment textRotation="90" wrapText="1"/>
    </xf>
    <xf numFmtId="49" fontId="55" fillId="36" borderId="36" applyNumberFormat="1" applyFont="1" applyFill="1" applyBorder="1" applyAlignment="1">
      <alignment textRotation="90" wrapText="1"/>
    </xf>
    <xf numFmtId="0" fontId="54" fillId="0" borderId="28" applyFont="1" applyFill="1" applyBorder="1" applyAlignment="1">
      <alignment vertical="center"/>
    </xf>
    <xf numFmtId="0" fontId="88" fillId="0" borderId="0" applyFont="1" applyFill="1" applyBorder="1" applyAlignment="1">
      <alignment vertical="center"/>
    </xf>
    <xf numFmtId="0" fontId="54" fillId="0" borderId="0" applyFont="1" applyFill="1" applyBorder="1" applyAlignment="1">
      <alignment vertical="center"/>
    </xf>
    <xf numFmtId="0" fontId="54" fillId="0" borderId="29" applyFont="1" applyFill="1" applyBorder="1" applyAlignment="1">
      <alignment vertical="center"/>
    </xf>
    <xf numFmtId="0" fontId="43" fillId="33" borderId="30" applyFont="1" applyFill="1" applyBorder="1"/>
    <xf numFmtId="0" fontId="43" fillId="33" borderId="33" applyFont="1" applyFill="1" applyBorder="1"/>
    <xf numFmtId="0" fontId="43" fillId="33" borderId="31" applyFont="1" applyFill="1" applyBorder="1"/>
    <xf numFmtId="0" fontId="0" fillId="0" borderId="35" applyFont="1" applyFill="1" applyBorder="1"/>
    <xf numFmtId="0" fontId="35" fillId="0" borderId="0" applyFont="1" applyFill="1" applyBorder="1" applyAlignment="1">
      <alignment vertical="center"/>
    </xf>
    <xf numFmtId="166" fontId="88" fillId="0" borderId="44" applyNumberFormat="1" applyFont="1" applyFill="1" applyBorder="1" applyAlignment="1">
      <alignment horizontal="center"/>
    </xf>
    <xf numFmtId="166" fontId="88" fillId="0" borderId="45" applyNumberFormat="1" applyFont="1" applyFill="1" applyBorder="1" applyAlignment="1">
      <alignment horizontal="center"/>
    </xf>
    <xf numFmtId="0" fontId="5" fillId="0" borderId="0" applyFont="1" applyFill="1" applyBorder="1"/>
    <xf numFmtId="166" fontId="88" fillId="0" borderId="46" applyNumberFormat="1" applyFont="1" applyFill="1" applyBorder="1" applyAlignment="1">
      <alignment horizontal="center"/>
    </xf>
    <xf numFmtId="2" fontId="88" fillId="33" borderId="44" applyNumberFormat="1" applyFont="1" applyFill="1" applyBorder="1" applyAlignment="1">
      <alignment horizontal="center"/>
    </xf>
    <xf numFmtId="2" fontId="88" fillId="33" borderId="25" applyNumberFormat="1" applyFont="1" applyFill="1" applyBorder="1" applyAlignment="1">
      <alignment horizontal="center"/>
    </xf>
    <xf numFmtId="2" fontId="88" fillId="33" borderId="45" applyNumberFormat="1" applyFont="1" applyFill="1" applyBorder="1" applyAlignment="1">
      <alignment horizontal="center"/>
    </xf>
    <xf numFmtId="2" fontId="88" fillId="0" borderId="46" applyNumberFormat="1" applyFont="1" applyFill="1" applyBorder="1" applyAlignment="1">
      <alignment horizontal="center"/>
    </xf>
    <xf numFmtId="0" fontId="52" fillId="36" borderId="0" applyFont="1" applyFill="1" applyBorder="1" applyAlignment="1">
      <alignment horizontal="left" vertical="top"/>
    </xf>
    <xf numFmtId="0" fontId="85" fillId="36" borderId="0" applyFont="1" applyFill="1" applyBorder="1"/>
    <xf numFmtId="0" fontId="55" fillId="36" borderId="0" applyFont="1" applyFill="1" applyBorder="1" applyAlignment="1">
      <alignment vertical="top"/>
    </xf>
    <xf numFmtId="0" fontId="96" fillId="0" borderId="0" applyFont="1" applyFill="1"/>
    <xf numFmtId="0" fontId="97" fillId="0" borderId="0" applyFont="1" applyFill="1"/>
    <xf numFmtId="0" fontId="98" fillId="0" borderId="0" applyFont="1" applyFill="1"/>
    <xf numFmtId="0" fontId="99" fillId="0" borderId="0" applyFont="1" applyFill="1" applyAlignment="1">
      <alignment vertical="top"/>
    </xf>
    <xf numFmtId="0" fontId="100" fillId="0" borderId="0" applyFont="1" applyFill="1"/>
    <xf numFmtId="0" fontId="101" fillId="0" borderId="0" applyFont="1" applyFill="1"/>
    <xf numFmtId="0" fontId="101" fillId="0" borderId="0" applyFont="1" applyFill="1" applyAlignment="1">
      <alignment vertical="top" wrapText="1"/>
    </xf>
    <xf numFmtId="0" fontId="96" fillId="0" borderId="0" applyFont="1" applyFill="1" applyAlignment="1">
      <alignment vertical="top" wrapText="1"/>
    </xf>
    <xf numFmtId="0" fontId="83" fillId="30" borderId="0" applyFont="1" applyFill="1" applyBorder="1" applyAlignment="1">
      <alignment horizontal="center"/>
    </xf>
    <xf numFmtId="166" fontId="83" fillId="30" borderId="0" applyNumberFormat="1" applyFont="1" applyFill="1" applyBorder="1" applyAlignment="1">
      <alignment horizontal="center"/>
    </xf>
    <xf numFmtId="0" fontId="83" fillId="30" borderId="0" applyFont="1" applyFill="1" applyBorder="1"/>
    <xf numFmtId="0" fontId="83" fillId="0" borderId="0" applyFont="1" applyFill="1" applyAlignment="1">
      <alignment horizontal="left"/>
    </xf>
    <xf numFmtId="0" fontId="27" fillId="30" borderId="0" applyFont="1" applyFill="1" applyBorder="1"/>
    <xf numFmtId="0" fontId="27" fillId="30" borderId="0" applyFont="1" applyFill="1" applyBorder="1" applyAlignment="1">
      <alignment horizontal="right"/>
    </xf>
    <xf numFmtId="0" fontId="27" fillId="30" borderId="0" applyFont="1" applyFill="1" applyBorder="1" applyAlignment="1">
      <alignment horizontal="centerContinuous"/>
    </xf>
    <xf numFmtId="0" fontId="27" fillId="0" borderId="0" applyFont="1" applyFill="1" applyAlignment="1">
      <alignment horizontal="right"/>
    </xf>
    <xf numFmtId="0" fontId="49" fillId="0" borderId="0" applyFont="1" applyFill="1" applyAlignment="1">
      <alignment vertical="center"/>
    </xf>
    <xf numFmtId="0" fontId="49" fillId="30" borderId="0" applyFont="1" applyFill="1" applyAlignment="1">
      <alignment vertical="center"/>
    </xf>
    <xf numFmtId="166" fontId="88" fillId="30" borderId="0" applyNumberFormat="1" applyFont="1" applyFill="1" applyBorder="1" applyAlignment="1">
      <alignment horizontal="center"/>
    </xf>
    <xf numFmtId="0" fontId="88" fillId="30" borderId="0" applyFont="1" applyFill="1" applyBorder="1" applyAlignment="1">
      <alignment horizontal="center"/>
    </xf>
    <xf numFmtId="166" fontId="88" fillId="33" borderId="0" applyNumberFormat="1" applyFont="1" applyFill="1" applyBorder="1" applyAlignment="1">
      <alignment horizontal="center"/>
    </xf>
    <xf numFmtId="0" fontId="88" fillId="33" borderId="0" applyFont="1" applyFill="1" applyBorder="1" applyAlignment="1">
      <alignment horizontal="center"/>
    </xf>
    <xf numFmtId="0" fontId="0" fillId="30" borderId="0" applyFont="1" applyFill="1" applyBorder="1" applyAlignment="1">
      <alignment horizontal="center"/>
    </xf>
    <xf numFmtId="4" fontId="88" fillId="30" borderId="0" applyNumberFormat="1" applyFont="1" applyFill="1" applyBorder="1" applyAlignment="1">
      <alignment horizontal="center"/>
    </xf>
    <xf numFmtId="167" fontId="88" fillId="30" borderId="0" applyNumberFormat="1" applyFont="1" applyFill="1" applyBorder="1" applyAlignment="1">
      <alignment horizontal="center"/>
    </xf>
    <xf numFmtId="4" fontId="88" fillId="33" borderId="0" applyNumberFormat="1" applyFont="1" applyFill="1" applyBorder="1" applyAlignment="1">
      <alignment horizontal="center"/>
    </xf>
    <xf numFmtId="167" fontId="88" fillId="33" borderId="0" applyNumberFormat="1" applyFont="1" applyFill="1" applyBorder="1" applyAlignment="1">
      <alignment horizontal="center"/>
    </xf>
    <xf numFmtId="166" fontId="88" fillId="30" borderId="0" applyNumberFormat="1" applyFont="1" applyFill="1" applyBorder="1" applyAlignment="1">
      <alignment horizontal="right"/>
    </xf>
    <xf numFmtId="166" fontId="88" fillId="33" borderId="0" applyNumberFormat="1" applyFont="1" applyFill="1" applyBorder="1" applyAlignment="1">
      <alignment horizontal="right"/>
    </xf>
    <xf numFmtId="166" fontId="88" fillId="30" borderId="0" applyNumberFormat="1" applyFont="1" applyFill="1" applyBorder="1" applyAlignment="1">
      <alignment horizontal="right"/>
    </xf>
    <xf numFmtId="4" fontId="88" fillId="30" borderId="0" applyNumberFormat="1" applyFont="1" applyFill="1" applyBorder="1" applyAlignment="1">
      <alignment horizontal="right"/>
    </xf>
    <xf numFmtId="167" fontId="0" fillId="30" borderId="0" applyNumberFormat="1" applyFont="1" applyFill="1" applyBorder="1"/>
    <xf numFmtId="4" fontId="88" fillId="33" borderId="0" applyNumberFormat="1" applyFont="1" applyFill="1" applyBorder="1" applyAlignment="1">
      <alignment horizontal="right"/>
    </xf>
    <xf numFmtId="167" fontId="0" fillId="33" borderId="0" applyNumberFormat="1" applyFont="1" applyFill="1" applyBorder="1"/>
    <xf numFmtId="165" fontId="88" fillId="30" borderId="0" applyNumberFormat="1" applyFont="1" applyFill="1" applyBorder="1" applyAlignment="1">
      <alignment horizontal="right"/>
    </xf>
    <xf numFmtId="44" fontId="88" fillId="30" borderId="0" applyNumberFormat="1" applyFont="1" applyFill="1" applyBorder="1" applyAlignment="1">
      <alignment horizontal="right"/>
    </xf>
    <xf numFmtId="166" fontId="0" fillId="30" borderId="0" applyNumberFormat="1" applyFont="1" applyFill="1" applyBorder="1"/>
    <xf numFmtId="164" fontId="88" fillId="30" borderId="0" applyNumberFormat="1" applyFont="1" applyFill="1"/>
    <xf numFmtId="0" fontId="0" fillId="30" borderId="0" applyFont="1" applyFill="1" applyAlignment="1">
      <alignment vertical="top"/>
    </xf>
    <xf numFmtId="0" fontId="0" fillId="35" borderId="0" applyFont="1" applyFill="1" applyAlignment="1">
      <alignment vertical="top"/>
    </xf>
    <xf numFmtId="0" fontId="0" fillId="0" borderId="0" applyFont="1" applyFill="1" applyAlignment="1">
      <alignment vertical="top"/>
    </xf>
    <xf numFmtId="0" fontId="83" fillId="30" borderId="0" applyFont="1" applyFill="1" applyAlignment="1">
      <alignment vertical="center"/>
    </xf>
    <xf numFmtId="0" fontId="83" fillId="35" borderId="0" applyFont="1" applyFill="1" applyAlignment="1">
      <alignment vertical="center"/>
    </xf>
    <xf numFmtId="0" fontId="83" fillId="0" borderId="0" applyFont="1" applyFill="1" applyAlignment="1">
      <alignment vertical="center"/>
    </xf>
    <xf numFmtId="0" fontId="0" fillId="0" borderId="0" applyFont="1" applyFill="1" applyAlignment="1">
      <alignment horizontal="center"/>
    </xf>
    <xf numFmtId="0" fontId="43" fillId="0" borderId="0" applyFont="1" applyFill="1" applyAlignment="1">
      <alignment horizontal="right"/>
    </xf>
    <xf numFmtId="0" fontId="88" fillId="30" borderId="0" applyFont="1" applyFill="1"/>
    <xf numFmtId="0" fontId="43" fillId="0" borderId="0" applyFont="1" applyFill="1" applyAlignment="1">
      <alignment horizontal="right"/>
    </xf>
    <xf numFmtId="0" fontId="43" fillId="0" borderId="0" applyFont="1" applyFill="1" applyAlignment="1">
      <alignment horizontal="right"/>
    </xf>
    <xf numFmtId="0" fontId="87" fillId="0" borderId="0" applyNumberFormat="1" applyFont="1" applyFill="1" applyBorder="1" applyAlignment="1">
      <alignment horizontal="left" wrapText="1"/>
    </xf>
    <xf numFmtId="0" fontId="5" fillId="0" borderId="0" applyFont="1" applyFill="1"/>
    <xf numFmtId="0" fontId="5" fillId="0" borderId="0" applyFont="1" applyFill="1"/>
    <xf numFmtId="0" fontId="43" fillId="37" borderId="0" applyFont="1" applyFill="1" applyBorder="1" applyAlignment="1">
      <alignment horizontal="center"/>
    </xf>
    <xf numFmtId="1" fontId="0" fillId="37" borderId="0" applyNumberFormat="1" applyFont="1" applyFill="1" applyBorder="1"/>
    <xf numFmtId="0" fontId="84" fillId="36" borderId="0" applyNumberFormat="1" applyFont="1" applyFill="1" applyBorder="1" applyAlignment="1">
      <alignment horizontal="left" wrapText="1"/>
    </xf>
    <xf numFmtId="0" fontId="52" fillId="36" borderId="0" applyFont="1" applyFill="1" applyBorder="1" applyAlignment="1">
      <alignment horizontal="left" wrapText="1"/>
    </xf>
    <xf numFmtId="164" fontId="88" fillId="30" borderId="0" applyNumberFormat="1" applyFont="1" applyFill="1"/>
    <xf numFmtId="0" fontId="88" fillId="30" borderId="0" applyFont="1" applyFill="1"/>
    <xf numFmtId="0" fontId="88" fillId="30" borderId="0" applyFont="1" applyFill="1" applyAlignment="1">
      <alignment horizontal="left"/>
    </xf>
    <xf numFmtId="49" fontId="64" fillId="36" borderId="34" applyNumberFormat="1" applyFont="1" applyFill="1" applyBorder="1" applyAlignment="1">
      <alignment horizontal="center"/>
    </xf>
    <xf numFmtId="0" fontId="88" fillId="36" borderId="35" applyFont="1" applyFill="1" applyBorder="1"/>
    <xf numFmtId="0" fontId="88" fillId="36" borderId="36" applyFont="1" applyFill="1" applyBorder="1"/>
    <xf numFmtId="0" fontId="39" fillId="30" borderId="0" applyFont="1" applyFill="1" applyAlignment="1">
      <alignment horizontal="center"/>
    </xf>
    <xf numFmtId="0" fontId="83" fillId="30" borderId="0" applyNumberFormat="1" applyFont="1" applyFill="1" applyAlignment="1">
      <alignment horizontal="left" wrapText="1"/>
    </xf>
    <xf numFmtId="0" fontId="88" fillId="30" borderId="0" applyFont="1" applyFill="1" applyAlignment="1">
      <alignment vertical="center"/>
    </xf>
    <xf numFmtId="164" fontId="88" fillId="30" borderId="0" applyNumberFormat="1" applyFont="1" applyFill="1" applyAlignment="1">
      <alignment vertical="center"/>
    </xf>
    <xf numFmtId="0" fontId="88" fillId="0" borderId="28" applyFont="1" applyFill="1" applyBorder="1"/>
    <xf numFmtId="0" fontId="88" fillId="0" borderId="29" applyFont="1" applyFill="1" applyBorder="1"/>
    <xf numFmtId="0" fontId="88" fillId="33" borderId="28" applyFont="1" applyFill="1" applyBorder="1"/>
    <xf numFmtId="0" fontId="88" fillId="33" borderId="29" applyFont="1" applyFill="1" applyBorder="1"/>
    <xf numFmtId="0" fontId="43" fillId="0" borderId="26" applyFont="1" applyFill="1" applyBorder="1" applyAlignment="1">
      <alignment horizontal="center" vertical="center" wrapText="1"/>
    </xf>
    <xf numFmtId="0" fontId="43" fillId="0" borderId="27" applyFont="1" applyFill="1" applyBorder="1" applyAlignment="1">
      <alignment horizontal="center" vertical="center" wrapText="1"/>
    </xf>
    <xf numFmtId="0" fontId="43" fillId="0" borderId="30" applyFont="1" applyFill="1" applyBorder="1" applyAlignment="1">
      <alignment horizontal="center" vertical="center" wrapText="1"/>
    </xf>
    <xf numFmtId="0" fontId="43" fillId="0" borderId="31" applyFont="1" applyFill="1" applyBorder="1" applyAlignment="1">
      <alignment horizontal="center" vertical="center" wrapText="1"/>
    </xf>
    <xf numFmtId="0" fontId="48" fillId="36" borderId="0" applyFont="1" applyFill="1" applyBorder="1" applyAlignment="1">
      <alignment horizontal="center" vertical="center"/>
    </xf>
    <xf numFmtId="0" fontId="48" fillId="36" borderId="52" applyFont="1" applyFill="1" applyBorder="1" applyAlignment="1">
      <alignment horizontal="center" vertical="center"/>
    </xf>
    <xf numFmtId="0" fontId="45" fillId="0" borderId="0" applyFont="1" applyFill="1" applyBorder="1" applyAlignment="1">
      <alignment vertical="center"/>
    </xf>
    <xf numFmtId="0" fontId="88" fillId="0" borderId="26" applyFont="1" applyFill="1" applyBorder="1"/>
    <xf numFmtId="0" fontId="88" fillId="0" borderId="27" applyFont="1" applyFill="1" applyBorder="1"/>
    <xf numFmtId="0" fontId="48" fillId="36" borderId="26" applyFont="1" applyFill="1" applyBorder="1" applyAlignment="1">
      <alignment horizontal="center" vertical="center"/>
    </xf>
    <xf numFmtId="0" fontId="48" fillId="36" borderId="32" applyFont="1" applyFill="1" applyBorder="1" applyAlignment="1">
      <alignment horizontal="center" vertical="center"/>
    </xf>
    <xf numFmtId="0" fontId="48" fillId="36" borderId="35" applyFont="1" applyFill="1" applyBorder="1" applyAlignment="1">
      <alignment horizontal="center" vertical="center"/>
    </xf>
    <xf numFmtId="0" fontId="48" fillId="36" borderId="36" applyFont="1" applyFill="1" applyBorder="1" applyAlignment="1">
      <alignment horizontal="center" vertical="center"/>
    </xf>
    <xf numFmtId="0" fontId="50" fillId="0" borderId="0" applyFont="1" applyFill="1" applyBorder="1" applyAlignment="1">
      <alignment horizontal="center"/>
    </xf>
    <xf numFmtId="0" fontId="43" fillId="30" borderId="27" applyFont="1" applyFill="1" applyBorder="1" applyAlignment="1">
      <alignment horizontal="center" vertical="center" wrapText="1"/>
    </xf>
    <xf numFmtId="0" fontId="43" fillId="30" borderId="31" applyFont="1" applyFill="1" applyBorder="1" applyAlignment="1">
      <alignment horizontal="center" vertical="center" wrapText="1"/>
    </xf>
    <xf numFmtId="0" fontId="0" fillId="33" borderId="30" applyFont="1" applyFill="1" applyBorder="1"/>
    <xf numFmtId="0" fontId="0" fillId="33" borderId="31" applyFont="1" applyFill="1" applyBorder="1"/>
    <xf numFmtId="0" fontId="0" fillId="0" borderId="28" applyFont="1" applyFill="1" applyBorder="1"/>
    <xf numFmtId="0" fontId="0" fillId="0" borderId="29" applyFont="1" applyFill="1" applyBorder="1"/>
    <xf numFmtId="0" fontId="0" fillId="33" borderId="28" applyFont="1" applyFill="1" applyBorder="1"/>
    <xf numFmtId="0" fontId="0" fillId="33" borderId="29" applyFont="1" applyFill="1" applyBorder="1"/>
    <xf numFmtId="0" fontId="0" fillId="0" borderId="28" applyFont="1" applyFill="1" applyBorder="1"/>
    <xf numFmtId="0" fontId="0" fillId="0" borderId="29" applyFont="1" applyFill="1" applyBorder="1"/>
    <xf numFmtId="0" fontId="88" fillId="33" borderId="30" applyFont="1" applyFill="1" applyBorder="1"/>
    <xf numFmtId="0" fontId="88" fillId="33" borderId="31" applyFont="1" applyFill="1" applyBorder="1"/>
    <xf numFmtId="0" fontId="0" fillId="0" borderId="26" applyFont="1" applyFill="1" applyBorder="1"/>
    <xf numFmtId="0" fontId="0" fillId="0" borderId="27" applyFont="1" applyFill="1" applyBorder="1"/>
    <xf numFmtId="0" fontId="0" fillId="0" borderId="26" applyFont="1" applyFill="1" applyBorder="1"/>
    <xf numFmtId="0" fontId="0" fillId="0" borderId="27" applyFont="1" applyFill="1" applyBorder="1"/>
    <xf numFmtId="1" fontId="88" fillId="37" borderId="0" applyNumberFormat="1" applyFont="1" applyFill="1" applyBorder="1"/>
    <xf numFmtId="166" fontId="43" fillId="37" borderId="0" applyNumberFormat="1" applyFont="1" applyFill="1" applyBorder="1" applyAlignment="1">
      <alignment horizontal="center"/>
    </xf>
    <xf numFmtId="0" fontId="43" fillId="37" borderId="0" applyFont="1" applyFill="1" applyBorder="1" applyAlignment="1">
      <alignment horizontal="center"/>
    </xf>
    <xf numFmtId="0" fontId="0" fillId="33" borderId="26" applyFont="1" applyFill="1" applyBorder="1"/>
    <xf numFmtId="0" fontId="0" fillId="33" borderId="27" applyFont="1" applyFill="1" applyBorder="1"/>
    <xf numFmtId="0" fontId="43" fillId="0" borderId="49" applyFont="1" applyFill="1" applyBorder="1" applyAlignment="1">
      <alignment horizontal="center" wrapText="1"/>
    </xf>
    <xf numFmtId="0" fontId="43" fillId="0" borderId="51" applyFont="1" applyFill="1" applyBorder="1" applyAlignment="1">
      <alignment horizontal="center" wrapText="1"/>
    </xf>
    <xf numFmtId="0" fontId="43" fillId="0" borderId="50" applyFont="1" applyFill="1" applyBorder="1" applyAlignment="1">
      <alignment horizontal="center" wrapText="1"/>
    </xf>
    <xf numFmtId="0" fontId="0" fillId="0" borderId="51" applyFont="1" applyFill="1" applyBorder="1" applyAlignment="1">
      <alignment horizontal="center" wrapText="1"/>
    </xf>
    <xf numFmtId="0" fontId="43" fillId="0" borderId="47" applyFont="1" applyFill="1" applyBorder="1" applyAlignment="1">
      <alignment horizontal="center" vertical="center" wrapText="1"/>
    </xf>
    <xf numFmtId="0" fontId="43" fillId="0" borderId="48" applyFont="1" applyFill="1" applyBorder="1" applyAlignment="1">
      <alignment horizontal="center" vertical="center" wrapText="1"/>
    </xf>
    <xf numFmtId="0" fontId="43" fillId="30" borderId="47" applyFont="1" applyFill="1" applyBorder="1" applyAlignment="1">
      <alignment horizontal="center" vertical="center" wrapText="1"/>
    </xf>
    <xf numFmtId="0" fontId="43" fillId="30" borderId="48" applyFont="1" applyFill="1" applyBorder="1" applyAlignment="1">
      <alignment horizontal="center" vertical="center" wrapText="1"/>
    </xf>
    <xf numFmtId="0" fontId="48" fillId="36" borderId="27" applyFont="1" applyFill="1" applyBorder="1" applyAlignment="1">
      <alignment horizontal="center" vertical="center"/>
    </xf>
    <xf numFmtId="0" fontId="43" fillId="0" borderId="37" applyFont="1" applyFill="1" applyBorder="1" applyAlignment="1">
      <alignment horizontal="center" vertical="center" wrapText="1"/>
    </xf>
    <xf numFmtId="0" fontId="43" fillId="0" borderId="39" applyFont="1" applyFill="1" applyBorder="1" applyAlignment="1">
      <alignment horizontal="center" vertical="center" wrapText="1"/>
    </xf>
    <xf numFmtId="0" fontId="48" fillId="37" borderId="0" applyFont="1" applyFill="1" applyBorder="1" applyAlignment="1">
      <alignment horizontal="center" vertical="center"/>
    </xf>
    <xf numFmtId="0" fontId="83" fillId="30" borderId="0" applyNumberFormat="1" applyFont="1" applyFill="1" applyAlignment="1">
      <alignment horizontal="left" wrapText="1"/>
    </xf>
    <xf numFmtId="0" fontId="0" fillId="33" borderId="32" applyFont="1" applyFill="1" applyBorder="1" applyAlignment="1">
      <alignment horizontal="right" indent="2"/>
    </xf>
    <xf numFmtId="166" fontId="0" fillId="33" borderId="0" applyNumberFormat="1" applyFont="1" applyFill="1" applyBorder="1" applyAlignment="1">
      <alignment horizontal="right" indent="2"/>
    </xf>
    <xf numFmtId="166" fontId="0" fillId="33" borderId="29" applyNumberFormat="1" applyFont="1" applyFill="1" applyBorder="1" applyAlignment="1">
      <alignment horizontal="right" indent="2"/>
    </xf>
    <xf numFmtId="166" fontId="0" fillId="33" borderId="32" applyNumberFormat="1" applyFont="1" applyFill="1" applyBorder="1" applyAlignment="1">
      <alignment horizontal="right" indent="2"/>
    </xf>
    <xf numFmtId="166" fontId="0" fillId="33" borderId="27" applyNumberFormat="1" applyFont="1" applyFill="1" applyBorder="1" applyAlignment="1">
      <alignment horizontal="right" indent="2"/>
    </xf>
    <xf numFmtId="0" fontId="0" fillId="37" borderId="0" applyFont="1" applyFill="1" applyBorder="1" applyAlignment="1">
      <alignment horizontal="center" vertical="center" wrapText="1"/>
    </xf>
    <xf numFmtId="0" fontId="0" fillId="33" borderId="33" applyFont="1" applyFill="1" applyBorder="1" applyAlignment="1">
      <alignment horizontal="right" indent="2"/>
    </xf>
    <xf numFmtId="0" fontId="0" fillId="0" borderId="0" applyFont="1" applyFill="1" applyBorder="1" applyAlignment="1">
      <alignment horizontal="right" indent="2"/>
    </xf>
    <xf numFmtId="166" fontId="0" fillId="0" borderId="0" applyNumberFormat="1" applyFont="1" applyFill="1" applyBorder="1" applyAlignment="1">
      <alignment horizontal="right" indent="2"/>
    </xf>
    <xf numFmtId="166" fontId="0" fillId="0" borderId="29" applyNumberFormat="1" applyFont="1" applyFill="1" applyBorder="1" applyAlignment="1">
      <alignment horizontal="right" indent="2"/>
    </xf>
    <xf numFmtId="0" fontId="0" fillId="33" borderId="30" applyFont="1" applyFill="1" applyBorder="1" applyAlignment="1">
      <alignment horizontal="right" indent="2"/>
    </xf>
    <xf numFmtId="0" fontId="0" fillId="33" borderId="26" applyFont="1" applyFill="1" applyBorder="1" applyAlignment="1">
      <alignment horizontal="right" indent="2"/>
    </xf>
    <xf numFmtId="0" fontId="0" fillId="33" borderId="28" applyFont="1" applyFill="1" applyBorder="1" applyAlignment="1">
      <alignment horizontal="right" indent="2"/>
    </xf>
    <xf numFmtId="0" fontId="0" fillId="33" borderId="0" applyFont="1" applyFill="1" applyBorder="1" applyAlignment="1">
      <alignment horizontal="right" indent="2"/>
    </xf>
    <xf numFmtId="0" fontId="0" fillId="0" borderId="28" applyFont="1" applyFill="1" applyBorder="1" applyAlignment="1">
      <alignment horizontal="right" indent="2"/>
    </xf>
    <xf numFmtId="0" fontId="0" fillId="0" borderId="51" applyFont="1" applyFill="1" applyBorder="1"/>
    <xf numFmtId="166" fontId="0" fillId="33" borderId="33" applyNumberFormat="1" applyFont="1" applyFill="1" applyBorder="1" applyAlignment="1">
      <alignment horizontal="right" indent="2"/>
    </xf>
    <xf numFmtId="166" fontId="0" fillId="33" borderId="31" applyNumberFormat="1" applyFont="1" applyFill="1" applyBorder="1" applyAlignment="1">
      <alignment horizontal="right" indent="2"/>
    </xf>
    <xf numFmtId="0" fontId="43" fillId="0" borderId="0" applyFont="1" applyFill="1" applyBorder="1" applyAlignment="1">
      <alignment horizontal="center"/>
    </xf>
    <xf numFmtId="0" fontId="41" fillId="0" borderId="26" applyFont="1" applyFill="1" applyBorder="1" applyAlignment="1">
      <alignment horizontal="center" vertical="center" wrapText="1"/>
    </xf>
    <xf numFmtId="0" fontId="41" fillId="0" borderId="32" applyFont="1" applyFill="1" applyBorder="1" applyAlignment="1">
      <alignment horizontal="center" vertical="center" wrapText="1"/>
    </xf>
    <xf numFmtId="0" fontId="41" fillId="0" borderId="27" applyFont="1" applyFill="1" applyBorder="1" applyAlignment="1">
      <alignment horizontal="center" vertical="center" wrapText="1"/>
    </xf>
    <xf numFmtId="164" fontId="88" fillId="30" borderId="0" applyNumberFormat="1" applyFont="1" applyFill="1"/>
    <xf numFmtId="0" fontId="87" fillId="0" borderId="0" applyNumberFormat="1" applyFont="1" applyFill="1" applyBorder="1" applyAlignment="1">
      <alignment horizontal="left" wrapText="1"/>
    </xf>
    <xf numFmtId="0" fontId="43" fillId="0" borderId="0" applyFont="1" applyFill="1" applyAlignment="1">
      <alignment horizontal="right"/>
    </xf>
    <xf numFmtId="0" fontId="0" fillId="0" borderId="0" applyFont="1" applyFill="1" applyAlignment="1">
      <alignment horizontal="right"/>
    </xf>
    <xf numFmtId="0" fontId="25" fillId="36" borderId="37" applyFont="1" applyFill="1" applyBorder="1" applyAlignment="1">
      <alignment horizontal="center" vertical="center"/>
    </xf>
    <xf numFmtId="0" fontId="0" fillId="36" borderId="39" applyFont="1" applyFill="1" applyBorder="1" applyAlignment="1">
      <alignment horizontal="center" vertical="center"/>
    </xf>
    <xf numFmtId="0" fontId="41" fillId="0" borderId="26" applyFont="1" applyFill="1" applyBorder="1" applyAlignment="1">
      <alignment horizontal="center" vertical="center"/>
    </xf>
    <xf numFmtId="0" fontId="41" fillId="0" borderId="32" applyFont="1" applyFill="1" applyBorder="1" applyAlignment="1">
      <alignment horizontal="center" vertical="center"/>
    </xf>
    <xf numFmtId="0" fontId="41" fillId="0" borderId="27" applyFont="1" applyFill="1" applyBorder="1" applyAlignment="1">
      <alignment horizontal="center" vertical="center"/>
    </xf>
    <xf numFmtId="0" fontId="88" fillId="0" borderId="32" applyFont="1" applyFill="1" applyBorder="1" applyAlignment="1">
      <alignment horizontal="center" vertical="center"/>
    </xf>
    <xf numFmtId="0" fontId="88" fillId="0" borderId="27" applyFont="1" applyFill="1" applyBorder="1" applyAlignment="1">
      <alignment horizontal="center" vertical="center"/>
    </xf>
    <xf numFmtId="164" fontId="50" fillId="30" borderId="0" applyNumberFormat="1" applyFont="1" applyFill="1" applyAlignment="1">
      <alignment horizontal="right"/>
    </xf>
    <xf numFmtId="0" fontId="44" fillId="0" borderId="0" applyFont="1" applyFill="1" applyBorder="1" applyAlignment="1">
      <alignment horizontal="center"/>
    </xf>
    <xf numFmtId="0" fontId="41" fillId="0" borderId="28" applyFont="1" applyFill="1" applyBorder="1" applyAlignment="1">
      <alignment horizontal="center" vertical="center"/>
    </xf>
    <xf numFmtId="0" fontId="88" fillId="0" borderId="0" applyFont="1" applyFill="1" applyBorder="1" applyAlignment="1">
      <alignment horizontal="center" vertical="center"/>
    </xf>
    <xf numFmtId="0" fontId="88" fillId="0" borderId="29" applyFont="1" applyFill="1" applyBorder="1" applyAlignment="1">
      <alignment horizontal="center" vertical="center"/>
    </xf>
    <xf numFmtId="0" fontId="88" fillId="0" borderId="0" applyFont="1" applyFill="1"/>
    <xf numFmtId="0" fontId="41" fillId="0" borderId="28" applyFont="1" applyFill="1" applyBorder="1" applyAlignment="1">
      <alignment horizontal="center" vertical="center" wrapText="1"/>
    </xf>
    <xf numFmtId="0" fontId="41" fillId="0" borderId="0" applyFont="1" applyFill="1" applyBorder="1" applyAlignment="1">
      <alignment horizontal="center" vertical="center" wrapText="1"/>
    </xf>
    <xf numFmtId="0" fontId="41" fillId="0" borderId="29" applyFont="1" applyFill="1" applyBorder="1" applyAlignment="1">
      <alignment horizontal="center" vertical="center" wrapText="1"/>
    </xf>
    <xf numFmtId="0" fontId="41" fillId="0" borderId="0" applyFont="1" applyFill="1" applyBorder="1" applyAlignment="1">
      <alignment horizontal="center" vertical="center"/>
    </xf>
    <xf numFmtId="0" fontId="41" fillId="0" borderId="29" applyFont="1" applyFill="1" applyBorder="1" applyAlignment="1">
      <alignment horizontal="center" vertical="center"/>
    </xf>
    <xf numFmtId="0" fontId="42" fillId="36" borderId="34" applyFont="1" applyFill="1" applyBorder="1" applyAlignment="1">
      <alignment horizontal="center"/>
    </xf>
    <xf numFmtId="0" fontId="42" fillId="36" borderId="35" applyFont="1" applyFill="1" applyBorder="1" applyAlignment="1">
      <alignment horizontal="center"/>
    </xf>
    <xf numFmtId="0" fontId="42" fillId="36" borderId="36" applyFont="1" applyFill="1" applyBorder="1" applyAlignment="1">
      <alignment horizontal="center"/>
    </xf>
    <xf numFmtId="0" fontId="43" fillId="30" borderId="0" applyFont="1" applyFill="1" applyAlignment="1">
      <alignment horizontal="right"/>
    </xf>
    <xf numFmtId="0" fontId="48" fillId="36" borderId="26" applyFont="1" applyFill="1" applyBorder="1"/>
    <xf numFmtId="0" fontId="48" fillId="36" borderId="27" applyFont="1" applyFill="1" applyBorder="1"/>
    <xf numFmtId="0" fontId="43" fillId="30" borderId="49" applyFont="1" applyFill="1" applyBorder="1" applyAlignment="1">
      <alignment horizontal="center"/>
    </xf>
    <xf numFmtId="0" fontId="43" fillId="30" borderId="51" applyFont="1" applyFill="1" applyBorder="1" applyAlignment="1">
      <alignment horizontal="center"/>
    </xf>
    <xf numFmtId="0" fontId="48" fillId="36" borderId="34" applyFont="1" applyFill="1" applyBorder="1" applyAlignment="1">
      <alignment horizontal="center"/>
    </xf>
    <xf numFmtId="0" fontId="48" fillId="36" borderId="35" applyFont="1" applyFill="1" applyBorder="1" applyAlignment="1">
      <alignment horizontal="center"/>
    </xf>
    <xf numFmtId="0" fontId="48" fillId="36" borderId="36" applyFont="1" applyFill="1" applyBorder="1" applyAlignment="1">
      <alignment horizontal="center"/>
    </xf>
    <xf numFmtId="0" fontId="83" fillId="0" borderId="0" applyNumberFormat="1" applyFont="1" applyFill="1" applyAlignment="1">
      <alignment horizontal="left" wrapText="1"/>
    </xf>
    <xf numFmtId="0" fontId="43" fillId="30" borderId="34" applyFont="1" applyFill="1" applyBorder="1" applyAlignment="1">
      <alignment horizontal="center"/>
    </xf>
    <xf numFmtId="0" fontId="43" fillId="30" borderId="36" applyFont="1" applyFill="1" applyBorder="1" applyAlignment="1">
      <alignment horizontal="center"/>
    </xf>
    <xf numFmtId="0" fontId="83" fillId="0" borderId="0" applyNumberFormat="1" applyFont="1" applyFill="1" applyBorder="1" applyAlignment="1">
      <alignment horizontal="left" wrapText="1"/>
    </xf>
    <xf numFmtId="0" fontId="25" fillId="36" borderId="39" applyFont="1" applyFill="1" applyBorder="1" applyAlignment="1">
      <alignment horizontal="center" vertical="center"/>
    </xf>
    <xf numFmtId="0" fontId="43" fillId="0" borderId="0" applyFont="1" applyFill="1" applyAlignment="1">
      <alignment horizontal="right"/>
    </xf>
    <xf numFmtId="164" fontId="50" fillId="30" borderId="0" applyNumberFormat="1" applyFont="1" applyFill="1" applyAlignment="1">
      <alignment horizontal="right"/>
    </xf>
    <xf numFmtId="0" fontId="0" fillId="0" borderId="34" applyFont="1" applyFill="1" applyBorder="1" applyAlignment="1">
      <alignment horizontal="center"/>
    </xf>
    <xf numFmtId="0" fontId="0" fillId="0" borderId="36" applyFont="1" applyFill="1" applyBorder="1" applyAlignment="1">
      <alignment horizontal="center"/>
    </xf>
    <xf numFmtId="0" fontId="0" fillId="34" borderId="34" applyFont="1" applyFill="1" applyBorder="1" applyAlignment="1">
      <alignment horizontal="center"/>
    </xf>
    <xf numFmtId="0" fontId="0" fillId="34" borderId="36" applyFont="1" applyFill="1" applyBorder="1" applyAlignment="1">
      <alignment horizontal="center"/>
    </xf>
    <xf numFmtId="49" fontId="51" fillId="36" borderId="34" applyNumberFormat="1" applyFont="1" applyFill="1" applyBorder="1" applyAlignment="1">
      <alignment horizontal="center" vertical="center"/>
    </xf>
    <xf numFmtId="49" fontId="0" fillId="36" borderId="35" applyNumberFormat="1" applyFont="1" applyFill="1" applyBorder="1" applyAlignment="1">
      <alignment horizontal="center" vertical="center"/>
    </xf>
    <xf numFmtId="49" fontId="0" fillId="36" borderId="36" applyNumberFormat="1" applyFont="1" applyFill="1" applyBorder="1" applyAlignment="1">
      <alignment horizontal="center" vertical="center"/>
    </xf>
    <xf numFmtId="0" fontId="51" fillId="36" borderId="34" applyFont="1" applyFill="1" applyBorder="1" applyAlignment="1">
      <alignment horizontal="center" vertical="center"/>
    </xf>
    <xf numFmtId="0" fontId="0" fillId="36" borderId="35" applyFont="1" applyFill="1" applyBorder="1" applyAlignment="1">
      <alignment horizontal="center" vertical="center"/>
    </xf>
    <xf numFmtId="0" fontId="0" fillId="36" borderId="33" applyFont="1" applyFill="1" applyBorder="1" applyAlignment="1">
      <alignment horizontal="center" vertical="center"/>
    </xf>
    <xf numFmtId="0" fontId="0" fillId="36" borderId="31" applyFont="1" applyFill="1" applyBorder="1" applyAlignment="1">
      <alignment horizontal="center" vertical="center"/>
    </xf>
    <xf numFmtId="0" fontId="39" fillId="30" borderId="0" applyFont="1" applyFill="1" applyAlignment="1">
      <alignment horizontal="center"/>
    </xf>
    <xf numFmtId="0" fontId="0" fillId="0" borderId="0" applyFont="1" applyFill="1"/>
    <xf numFmtId="0" fontId="88" fillId="30" borderId="0" applyFont="1" applyFill="1"/>
    <xf numFmtId="164" fontId="88" fillId="30" borderId="0" applyNumberFormat="1" applyFont="1" applyFill="1" applyAlignment="1">
      <alignment horizontal="right"/>
    </xf>
    <xf numFmtId="1" fontId="83" fillId="0" borderId="0" applyNumberFormat="1" applyFont="1" applyFill="1" applyAlignment="1">
      <alignment horizontal="left" wrapText="1"/>
    </xf>
    <xf numFmtId="166" fontId="52" fillId="36" borderId="34" applyNumberFormat="1" applyFont="1" applyFill="1" applyBorder="1" applyAlignment="1">
      <alignment horizontal="center"/>
    </xf>
    <xf numFmtId="166" fontId="52" fillId="36" borderId="35" applyNumberFormat="1" applyFont="1" applyFill="1" applyBorder="1" applyAlignment="1">
      <alignment horizontal="center"/>
    </xf>
    <xf numFmtId="166" fontId="52" fillId="36" borderId="36" applyNumberFormat="1" applyFont="1" applyFill="1" applyBorder="1" applyAlignment="1">
      <alignment horizontal="center"/>
    </xf>
    <xf numFmtId="0" fontId="20" fillId="0" borderId="34" applyFont="1" applyFill="1" applyBorder="1" applyAlignment="1">
      <alignment horizontal="center"/>
    </xf>
    <xf numFmtId="0" fontId="20" fillId="0" borderId="35" applyFont="1" applyFill="1" applyBorder="1" applyAlignment="1">
      <alignment horizontal="center"/>
    </xf>
    <xf numFmtId="0" fontId="20" fillId="0" borderId="36" applyFont="1" applyFill="1" applyBorder="1" applyAlignment="1">
      <alignment horizontal="center"/>
    </xf>
    <xf numFmtId="0" fontId="51" fillId="36" borderId="34" applyFont="1" applyFill="1" applyBorder="1"/>
    <xf numFmtId="0" fontId="51" fillId="36" borderId="35" applyFont="1" applyFill="1" applyBorder="1"/>
    <xf numFmtId="0" fontId="51" fillId="36" borderId="36" applyFont="1" applyFill="1" applyBorder="1"/>
    <xf numFmtId="0" fontId="43" fillId="0" borderId="34" applyFont="1" applyFill="1" applyBorder="1" applyAlignment="1">
      <alignment horizontal="center" vertical="center" wrapText="1"/>
    </xf>
    <xf numFmtId="0" fontId="88" fillId="0" borderId="36" applyFont="1" applyFill="1" applyBorder="1" applyAlignment="1">
      <alignment horizontal="center" vertical="center" wrapText="1"/>
    </xf>
    <xf numFmtId="0" fontId="51" fillId="36" borderId="34" applyFont="1" applyFill="1" applyBorder="1" applyAlignment="1">
      <alignment horizontal="left"/>
    </xf>
    <xf numFmtId="0" fontId="51" fillId="36" borderId="35" applyFont="1" applyFill="1" applyBorder="1" applyAlignment="1">
      <alignment horizontal="left"/>
    </xf>
    <xf numFmtId="0" fontId="51" fillId="36" borderId="36" applyFont="1" applyFill="1" applyBorder="1" applyAlignment="1">
      <alignment horizontal="left"/>
    </xf>
    <xf numFmtId="166" fontId="52" fillId="36" borderId="26" applyNumberFormat="1" applyFont="1" applyFill="1" applyBorder="1" applyAlignment="1">
      <alignment horizontal="center"/>
    </xf>
    <xf numFmtId="166" fontId="52" fillId="36" borderId="32" applyNumberFormat="1" applyFont="1" applyFill="1" applyBorder="1" applyAlignment="1">
      <alignment horizontal="center"/>
    </xf>
    <xf numFmtId="166" fontId="52" fillId="36" borderId="27" applyNumberFormat="1" applyFont="1" applyFill="1" applyBorder="1" applyAlignment="1">
      <alignment horizontal="center"/>
    </xf>
    <xf numFmtId="0" fontId="51" fillId="36" borderId="26" applyFont="1" applyFill="1" applyBorder="1" applyAlignment="1">
      <alignment horizontal="left"/>
    </xf>
    <xf numFmtId="0" fontId="51" fillId="36" borderId="32" applyFont="1" applyFill="1" applyBorder="1" applyAlignment="1">
      <alignment horizontal="left"/>
    </xf>
    <xf numFmtId="0" fontId="51" fillId="36" borderId="27" applyFont="1" applyFill="1" applyBorder="1" applyAlignment="1">
      <alignment horizontal="left"/>
    </xf>
    <xf numFmtId="0" fontId="51" fillId="36" borderId="26" applyFont="1" applyFill="1" applyBorder="1"/>
    <xf numFmtId="0" fontId="51" fillId="36" borderId="32" applyFont="1" applyFill="1" applyBorder="1"/>
    <xf numFmtId="0" fontId="51" fillId="36" borderId="27" applyFont="1" applyFill="1" applyBorder="1"/>
    <xf numFmtId="0" fontId="5" fillId="0" borderId="28" applyFont="1" applyFill="1" applyBorder="1"/>
    <xf numFmtId="0" fontId="5" fillId="0" borderId="29" applyFont="1" applyFill="1" applyBorder="1"/>
    <xf numFmtId="166" fontId="52" fillId="36" borderId="26" applyNumberFormat="1" applyFont="1" applyFill="1" applyBorder="1" applyAlignment="1">
      <alignment horizontal="center"/>
    </xf>
    <xf numFmtId="166" fontId="52" fillId="36" borderId="32" applyNumberFormat="1" applyFont="1" applyFill="1" applyBorder="1" applyAlignment="1">
      <alignment horizontal="center"/>
    </xf>
    <xf numFmtId="166" fontId="52" fillId="36" borderId="27" applyNumberFormat="1" applyFont="1" applyFill="1" applyBorder="1" applyAlignment="1">
      <alignment horizontal="center"/>
    </xf>
    <xf numFmtId="0" fontId="5" fillId="0" borderId="34" applyFont="1" applyFill="1" applyBorder="1"/>
    <xf numFmtId="0" fontId="5" fillId="0" borderId="36" applyFont="1" applyFill="1" applyBorder="1"/>
    <xf numFmtId="0" fontId="5" fillId="0" borderId="26" applyFont="1" applyFill="1" applyBorder="1"/>
    <xf numFmtId="0" fontId="5" fillId="0" borderId="27" applyFont="1" applyFill="1" applyBorder="1"/>
    <xf numFmtId="0" fontId="5" fillId="0" borderId="30" applyFont="1" applyFill="1" applyBorder="1"/>
    <xf numFmtId="0" fontId="5" fillId="0" borderId="31" applyFont="1" applyFill="1" applyBorder="1"/>
    <xf numFmtId="0" fontId="51" fillId="36" borderId="26" applyFont="1" applyFill="1" applyBorder="1" applyAlignment="1">
      <alignment horizontal="left"/>
    </xf>
    <xf numFmtId="0" fontId="51" fillId="36" borderId="32" applyFont="1" applyFill="1" applyBorder="1" applyAlignment="1">
      <alignment horizontal="left"/>
    </xf>
    <xf numFmtId="0" fontId="51" fillId="36" borderId="27" applyFont="1" applyFill="1" applyBorder="1" applyAlignment="1">
      <alignment horizontal="left"/>
    </xf>
    <xf numFmtId="166" fontId="52" fillId="36" borderId="34" applyNumberFormat="1" applyFont="1" applyFill="1" applyBorder="1" applyAlignment="1">
      <alignment horizontal="center"/>
    </xf>
    <xf numFmtId="166" fontId="52" fillId="36" borderId="35" applyNumberFormat="1" applyFont="1" applyFill="1" applyBorder="1" applyAlignment="1">
      <alignment horizontal="center"/>
    </xf>
    <xf numFmtId="166" fontId="52" fillId="36" borderId="36" applyNumberFormat="1" applyFont="1" applyFill="1" applyBorder="1" applyAlignment="1">
      <alignment horizontal="center"/>
    </xf>
    <xf numFmtId="0" fontId="5" fillId="33" borderId="30" applyFont="1" applyFill="1" applyBorder="1"/>
    <xf numFmtId="0" fontId="5" fillId="33" borderId="31" applyFont="1" applyFill="1" applyBorder="1"/>
    <xf numFmtId="0" fontId="5" fillId="33" borderId="26" applyFont="1" applyFill="1" applyBorder="1"/>
    <xf numFmtId="0" fontId="5" fillId="33" borderId="27" applyFont="1" applyFill="1" applyBorder="1"/>
    <xf numFmtId="0" fontId="5" fillId="33" borderId="28" applyFont="1" applyFill="1" applyBorder="1"/>
    <xf numFmtId="0" fontId="5" fillId="33" borderId="29" applyFont="1" applyFill="1" applyBorder="1"/>
    <xf numFmtId="0" fontId="83" fillId="0" borderId="0" applyNumberFormat="1" applyFont="1" applyFill="1" applyAlignment="1">
      <alignment horizontal="left" wrapText="1"/>
    </xf>
    <xf numFmtId="0" fontId="88" fillId="0" borderId="0" applyFont="1" applyFill="1" applyAlignment="1">
      <alignment horizontal="right"/>
    </xf>
    <xf numFmtId="49" fontId="42" fillId="36" borderId="34" applyNumberFormat="1" applyFont="1" applyFill="1" applyBorder="1" applyAlignment="1">
      <alignment horizontal="center"/>
    </xf>
    <xf numFmtId="49" fontId="42" fillId="36" borderId="35" applyNumberFormat="1" applyFont="1" applyFill="1" applyBorder="1" applyAlignment="1">
      <alignment horizontal="center"/>
    </xf>
    <xf numFmtId="49" fontId="42" fillId="36" borderId="36" applyNumberFormat="1" applyFont="1" applyFill="1" applyBorder="1" applyAlignment="1">
      <alignment horizontal="center"/>
    </xf>
    <xf numFmtId="0" fontId="43" fillId="0" borderId="0" applyFont="1" applyFill="1" applyBorder="1" applyAlignment="1">
      <alignment horizontal="center" vertical="center" wrapText="1"/>
    </xf>
    <xf numFmtId="0" fontId="88" fillId="0" borderId="19" applyFont="1" applyFill="1" applyBorder="1" applyAlignment="1">
      <alignment horizontal="center" vertical="center" wrapText="1"/>
    </xf>
    <xf numFmtId="0" fontId="51" fillId="36" borderId="34" applyFont="1" applyFill="1" applyBorder="1" applyAlignment="1">
      <alignment horizontal="left"/>
    </xf>
    <xf numFmtId="0" fontId="51" fillId="36" borderId="35" applyFont="1" applyFill="1" applyBorder="1" applyAlignment="1">
      <alignment horizontal="left"/>
    </xf>
    <xf numFmtId="0" fontId="51" fillId="36" borderId="36" applyFont="1" applyFill="1" applyBorder="1" applyAlignment="1">
      <alignment horizontal="left"/>
    </xf>
    <xf numFmtId="0" fontId="20" fillId="0" borderId="25" applyFont="1" applyFill="1" applyBorder="1" applyAlignment="1">
      <alignment horizontal="center"/>
    </xf>
    <xf numFmtId="0" fontId="20" fillId="0" borderId="53" applyFont="1" applyFill="1" applyBorder="1" applyAlignment="1">
      <alignment horizontal="center"/>
    </xf>
    <xf numFmtId="0" fontId="0" fillId="0" borderId="0" applyFont="1" applyFill="1" applyBorder="1" applyAlignment="1">
      <alignment horizontal="left" vertical="center"/>
    </xf>
    <xf numFmtId="170" fontId="0" fillId="0" borderId="0" applyNumberFormat="1" applyFont="1" applyFill="1" applyBorder="1" applyAlignment="1">
      <alignment horizontal="left" vertical="center"/>
    </xf>
    <xf numFmtId="0" fontId="82" fillId="0" borderId="0" applyNumberFormat="1" applyFont="1" applyFill="1" applyAlignment="1">
      <alignment horizontal="left" wrapText="1"/>
    </xf>
    <xf numFmtId="0" fontId="82" fillId="0" borderId="0" applyNumberFormat="1" applyFont="1" applyFill="1" applyAlignment="1">
      <alignment horizontal="left" wrapText="1"/>
    </xf>
    <xf numFmtId="0" fontId="82" fillId="33" borderId="0" applyFont="1" applyFill="1" applyBorder="1" applyAlignment="1">
      <alignment horizontal="center"/>
    </xf>
    <xf numFmtId="0" fontId="82" fillId="0" borderId="28" applyFont="1" applyFill="1" applyBorder="1" applyAlignment="1">
      <alignment horizontal="center"/>
    </xf>
    <xf numFmtId="0" fontId="82" fillId="0" borderId="0" applyFont="1" applyFill="1" applyBorder="1" applyAlignment="1">
      <alignment horizontal="center"/>
    </xf>
    <xf numFmtId="0" fontId="82" fillId="33" borderId="33" applyFont="1" applyFill="1" applyBorder="1" applyAlignment="1">
      <alignment horizontal="center"/>
    </xf>
    <xf numFmtId="0" fontId="82" fillId="33" borderId="29" applyFont="1" applyFill="1" applyBorder="1" applyAlignment="1">
      <alignment horizontal="center"/>
    </xf>
    <xf numFmtId="0" fontId="82" fillId="0" borderId="29" applyFont="1" applyFill="1" applyBorder="1" applyAlignment="1">
      <alignment horizontal="center"/>
    </xf>
    <xf numFmtId="0" fontId="82" fillId="33" borderId="30" applyFont="1" applyFill="1" applyBorder="1" applyAlignment="1">
      <alignment horizontal="center"/>
    </xf>
    <xf numFmtId="0" fontId="82" fillId="33" borderId="28" applyFont="1" applyFill="1" applyBorder="1" applyAlignment="1">
      <alignment horizontal="center"/>
    </xf>
    <xf numFmtId="0" fontId="82" fillId="0" borderId="32" applyFont="1" applyFill="1" applyBorder="1" applyAlignment="1">
      <alignment horizontal="center"/>
    </xf>
    <xf numFmtId="0" fontId="82" fillId="0" borderId="27" applyFont="1" applyFill="1" applyBorder="1" applyAlignment="1">
      <alignment horizontal="center"/>
    </xf>
    <xf numFmtId="0" fontId="39" fillId="0" borderId="0" applyFont="1" applyFill="1" applyAlignment="1">
      <alignment horizontal="center"/>
    </xf>
    <xf numFmtId="0" fontId="29" fillId="0" borderId="0" applyFont="1" applyFill="1" applyBorder="1" applyAlignment="1">
      <alignment horizontal="center"/>
    </xf>
    <xf numFmtId="0" fontId="82" fillId="0" borderId="26" applyFont="1" applyFill="1" applyBorder="1" applyAlignment="1">
      <alignment horizontal="center"/>
    </xf>
    <xf numFmtId="0" fontId="82" fillId="33" borderId="31" applyFont="1" applyFill="1" applyBorder="1" applyAlignment="1">
      <alignment horizontal="center"/>
    </xf>
    <xf numFmtId="0" fontId="0" fillId="0" borderId="0" applyFont="1" applyFill="1"/>
    <xf numFmtId="0" fontId="0" fillId="0" borderId="0" applyFont="1" applyFill="1" applyAlignment="1">
      <alignment horizontal="center"/>
    </xf>
    <xf numFmtId="0" fontId="43" fillId="0" borderId="0" applyFont="1" applyFill="1" applyBorder="1"/>
    <xf numFmtId="0" fontId="82" fillId="0" borderId="0" applyFont="1" applyFill="1" applyBorder="1" applyAlignment="1">
      <alignment horizontal="center"/>
    </xf>
    <xf numFmtId="0" fontId="82" fillId="33" borderId="33" applyFont="1" applyFill="1" applyBorder="1" applyAlignment="1">
      <alignment horizontal="center"/>
    </xf>
    <xf numFmtId="0" fontId="82" fillId="33" borderId="31" applyFont="1" applyFill="1" applyBorder="1" applyAlignment="1">
      <alignment horizontal="center"/>
    </xf>
    <xf numFmtId="0" fontId="82" fillId="0" borderId="29" applyFont="1" applyFill="1" applyBorder="1" applyAlignment="1">
      <alignment horizontal="center"/>
    </xf>
    <xf numFmtId="0" fontId="82" fillId="33" borderId="28" applyFont="1" applyFill="1" applyBorder="1" applyAlignment="1">
      <alignment horizontal="center"/>
    </xf>
    <xf numFmtId="0" fontId="82" fillId="33" borderId="0" applyFont="1" applyFill="1" applyBorder="1" applyAlignment="1">
      <alignment horizontal="center"/>
    </xf>
    <xf numFmtId="0" fontId="82" fillId="33" borderId="30" applyFont="1" applyFill="1" applyBorder="1" applyAlignment="1">
      <alignment horizontal="center"/>
    </xf>
    <xf numFmtId="0" fontId="82" fillId="0" borderId="28" applyFont="1" applyFill="1" applyBorder="1" applyAlignment="1">
      <alignment horizontal="center"/>
    </xf>
    <xf numFmtId="0" fontId="39" fillId="0" borderId="0" applyFont="1" applyFill="1" applyAlignment="1">
      <alignment horizontal="center"/>
    </xf>
    <xf numFmtId="0" fontId="82" fillId="0" borderId="32" applyFont="1" applyFill="1" applyBorder="1" applyAlignment="1">
      <alignment horizontal="center"/>
    </xf>
    <xf numFmtId="0" fontId="82" fillId="0" borderId="27" applyFont="1" applyFill="1" applyBorder="1" applyAlignment="1">
      <alignment horizontal="center"/>
    </xf>
    <xf numFmtId="0" fontId="82" fillId="0" borderId="26" applyFont="1" applyFill="1" applyBorder="1" applyAlignment="1">
      <alignment horizontal="center"/>
    </xf>
    <xf numFmtId="0" fontId="29" fillId="0" borderId="0" applyFont="1" applyFill="1" applyBorder="1" applyAlignment="1">
      <alignment horizontal="center"/>
    </xf>
    <xf numFmtId="0" fontId="82" fillId="33" borderId="29" applyFont="1" applyFill="1" applyBorder="1" applyAlignment="1">
      <alignment horizontal="center"/>
    </xf>
    <xf numFmtId="164" fontId="0" fillId="30" borderId="0" applyNumberFormat="1" applyFont="1" applyFill="1"/>
    <xf numFmtId="0" fontId="0" fillId="30" borderId="0" applyFont="1" applyFill="1"/>
    <xf numFmtId="0" fontId="0" fillId="30" borderId="0" applyFont="1" applyFill="1" applyAlignment="1">
      <alignment horizontal="center"/>
    </xf>
    <xf numFmtId="0" fontId="5" fillId="0" borderId="0" applyFont="1" applyFill="1" applyAlignment="1">
      <alignment horizontal="left" vertical="top" wrapText="1"/>
    </xf>
    <xf numFmtId="0" fontId="83" fillId="30" borderId="0" applyNumberFormat="1" applyFont="1" applyFill="1" applyBorder="1" applyAlignment="1">
      <alignment horizontal="left" wrapText="1"/>
    </xf>
    <xf numFmtId="0" fontId="39" fillId="30" borderId="0" applyFont="1" applyFill="1" applyBorder="1" applyAlignment="1">
      <alignment horizontal="center"/>
    </xf>
    <xf numFmtId="164" fontId="88" fillId="30" borderId="0" applyNumberFormat="1" applyFont="1" applyFill="1" applyBorder="1"/>
    <xf numFmtId="0" fontId="88" fillId="30" borderId="0" applyFont="1" applyFill="1" applyBorder="1" applyAlignment="1">
      <alignment horizontal="left"/>
    </xf>
    <xf numFmtId="49" fontId="52" fillId="36" borderId="34" applyNumberFormat="1" applyFont="1" applyFill="1" applyBorder="1" applyAlignment="1">
      <alignment horizontal="center"/>
    </xf>
    <xf numFmtId="49" fontId="52" fillId="36" borderId="7" applyNumberFormat="1" applyFont="1" applyFill="1" applyBorder="1" applyAlignment="1">
      <alignment horizontal="center"/>
    </xf>
    <xf numFmtId="0" fontId="43" fillId="0" borderId="36" applyFont="1" applyFill="1" applyBorder="1" applyAlignment="1">
      <alignment horizontal="center" vertical="center" wrapText="1"/>
    </xf>
    <xf numFmtId="0" fontId="43" fillId="0" borderId="54" applyFont="1" applyFill="1" applyBorder="1" applyAlignment="1">
      <alignment horizontal="center" vertical="center" wrapText="1"/>
    </xf>
    <xf numFmtId="0" fontId="0" fillId="33" borderId="38" applyFont="1" applyFill="1" applyBorder="1"/>
    <xf numFmtId="0" fontId="48" fillId="36" borderId="37" applyFont="1" applyFill="1" applyBorder="1" applyAlignment="1">
      <alignment horizontal="center" vertical="center"/>
    </xf>
    <xf numFmtId="0" fontId="43" fillId="30" borderId="54" applyFont="1" applyFill="1" applyBorder="1" applyAlignment="1">
      <alignment horizontal="center" vertical="center" wrapText="1"/>
    </xf>
    <xf numFmtId="0" fontId="43" fillId="0" borderId="7" applyFont="1" applyFill="1" applyBorder="1" applyAlignment="1">
      <alignment horizontal="center" vertical="center" wrapText="1"/>
    </xf>
    <xf numFmtId="0" fontId="0" fillId="33" borderId="37" applyFont="1" applyFill="1" applyBorder="1"/>
    <xf numFmtId="0" fontId="88" fillId="33" borderId="39" applyFont="1" applyFill="1" applyBorder="1"/>
    <xf numFmtId="0" fontId="88" fillId="30" borderId="0" applyFont="1" applyFill="1" applyBorder="1" applyAlignment="1">
      <alignment vertical="center"/>
    </xf>
    <xf numFmtId="164" fontId="88" fillId="30" borderId="0" applyNumberFormat="1" applyFont="1" applyFill="1" applyBorder="1" applyAlignment="1">
      <alignment vertical="center"/>
    </xf>
    <xf numFmtId="0" fontId="88" fillId="0" borderId="38" applyFont="1" applyFill="1" applyBorder="1"/>
    <xf numFmtId="0" fontId="88" fillId="33" borderId="38" applyFont="1" applyFill="1" applyBorder="1"/>
    <xf numFmtId="0" fontId="48" fillId="36" borderId="7" applyFont="1" applyFill="1" applyBorder="1" applyAlignment="1">
      <alignment horizontal="center" vertical="center"/>
    </xf>
    <xf numFmtId="0" fontId="43" fillId="30" borderId="36" applyFont="1" applyFill="1" applyBorder="1" applyAlignment="1">
      <alignment horizontal="center" vertical="center" wrapText="1"/>
    </xf>
    <xf numFmtId="0" fontId="41" fillId="0" borderId="37" applyFont="1" applyFill="1" applyBorder="1" applyAlignment="1">
      <alignment horizontal="center" vertical="center"/>
    </xf>
    <xf numFmtId="0" fontId="41" fillId="0" borderId="37" applyFont="1" applyFill="1" applyBorder="1" applyAlignment="1">
      <alignment horizontal="center" vertical="center" wrapText="1"/>
    </xf>
    <xf numFmtId="0" fontId="43" fillId="0" borderId="0" applyFont="1" applyFill="1" applyBorder="1" applyAlignment="1">
      <alignment horizontal="right"/>
    </xf>
    <xf numFmtId="164" fontId="50" fillId="30" borderId="0" applyNumberFormat="1" applyFont="1" applyFill="1" applyBorder="1" applyAlignment="1">
      <alignment horizontal="right"/>
    </xf>
    <xf numFmtId="164" fontId="43" fillId="30" borderId="0" applyNumberFormat="1" applyFont="1" applyFill="1" applyBorder="1" applyAlignment="1">
      <alignment horizontal="right"/>
    </xf>
    <xf numFmtId="0" fontId="41" fillId="0" borderId="38" applyFont="1" applyFill="1" applyBorder="1" applyAlignment="1">
      <alignment horizontal="center" vertical="center"/>
    </xf>
    <xf numFmtId="0" fontId="41" fillId="0" borderId="38" applyFont="1" applyFill="1" applyBorder="1" applyAlignment="1">
      <alignment horizontal="center" vertical="center" wrapText="1"/>
    </xf>
    <xf numFmtId="0" fontId="42" fillId="36" borderId="7" applyFont="1" applyFill="1" applyBorder="1" applyAlignment="1">
      <alignment horizontal="center"/>
    </xf>
    <xf numFmtId="0" fontId="43" fillId="30" borderId="0" applyFont="1" applyFill="1" applyBorder="1" applyAlignment="1">
      <alignment horizontal="right"/>
    </xf>
    <xf numFmtId="0" fontId="48" fillId="36" borderId="7" applyFont="1" applyFill="1" applyBorder="1" applyAlignment="1">
      <alignment horizontal="center"/>
    </xf>
    <xf numFmtId="0" fontId="43" fillId="30" borderId="7" applyFont="1" applyFill="1" applyBorder="1" applyAlignment="1">
      <alignment horizontal="center"/>
    </xf>
    <xf numFmtId="0" fontId="25" fillId="36" borderId="7" applyFont="1" applyFill="1" applyBorder="1" applyAlignment="1">
      <alignment horizontal="center" vertical="center"/>
    </xf>
    <xf numFmtId="0" fontId="0" fillId="0" borderId="7" applyFont="1" applyFill="1" applyBorder="1" applyAlignment="1">
      <alignment horizontal="center"/>
    </xf>
    <xf numFmtId="0" fontId="0" fillId="34" borderId="7" applyFont="1" applyFill="1" applyBorder="1" applyAlignment="1">
      <alignment horizontal="center"/>
    </xf>
    <xf numFmtId="49" fontId="48" fillId="36" borderId="34" applyNumberFormat="1" applyFont="1" applyFill="1" applyBorder="1" applyAlignment="1">
      <alignment horizontal="center" vertical="center"/>
    </xf>
    <xf numFmtId="49" fontId="48" fillId="36" borderId="7" applyNumberFormat="1" applyFont="1" applyFill="1" applyBorder="1" applyAlignment="1">
      <alignment horizontal="center" vertical="center"/>
    </xf>
    <xf numFmtId="0" fontId="48" fillId="36" borderId="34" applyFont="1" applyFill="1" applyBorder="1" applyAlignment="1">
      <alignment horizontal="center" vertical="center"/>
    </xf>
    <xf numFmtId="1" fontId="83" fillId="0" borderId="0" applyNumberFormat="1" applyFont="1" applyFill="1" applyBorder="1" applyAlignment="1">
      <alignment horizontal="left" wrapText="1"/>
    </xf>
    <xf numFmtId="166" fontId="52" fillId="36" borderId="7" applyNumberFormat="1" applyFont="1" applyFill="1" applyBorder="1" applyAlignment="1">
      <alignment horizontal="center"/>
    </xf>
    <xf numFmtId="0" fontId="51" fillId="36" borderId="7" applyFont="1" applyFill="1" applyBorder="1"/>
    <xf numFmtId="0" fontId="51" fillId="36" borderId="7" applyFont="1" applyFill="1" applyBorder="1" applyAlignment="1">
      <alignment horizontal="left"/>
    </xf>
    <xf numFmtId="164" fontId="88" fillId="30" borderId="0" applyNumberFormat="1" applyFont="1" applyFill="1" applyBorder="1" applyAlignment="1">
      <alignment horizontal="right"/>
    </xf>
    <xf numFmtId="166" fontId="52" fillId="36" borderId="37" applyNumberFormat="1" applyFont="1" applyFill="1" applyBorder="1" applyAlignment="1">
      <alignment horizontal="center"/>
    </xf>
    <xf numFmtId="0" fontId="51" fillId="36" borderId="37" applyFont="1" applyFill="1" applyBorder="1" applyAlignment="1">
      <alignment horizontal="left"/>
    </xf>
    <xf numFmtId="0" fontId="51" fillId="36" borderId="37" applyFont="1" applyFill="1" applyBorder="1"/>
    <xf numFmtId="49" fontId="42" fillId="36" borderId="7" applyNumberFormat="1" applyFont="1" applyFill="1" applyBorder="1" applyAlignment="1">
      <alignment horizontal="center"/>
    </xf>
    <xf numFmtId="0" fontId="43" fillId="0" borderId="19" applyFont="1" applyFill="1" applyBorder="1" applyAlignment="1">
      <alignment horizontal="center" vertical="center" wrapText="1"/>
    </xf>
    <xf numFmtId="0" fontId="5" fillId="33" borderId="37" applyFont="1" applyFill="1" applyBorder="1"/>
    <xf numFmtId="0" fontId="5" fillId="0" borderId="38" applyFont="1" applyFill="1" applyBorder="1"/>
    <xf numFmtId="0" fontId="5" fillId="0" borderId="7" applyFont="1" applyFill="1" applyBorder="1"/>
    <xf numFmtId="0" fontId="5" fillId="33" borderId="38" applyFont="1" applyFill="1" applyBorder="1"/>
    <xf numFmtId="0" fontId="5" fillId="33" borderId="39" applyFont="1" applyFill="1" applyBorder="1"/>
    <xf numFmtId="0" fontId="5" fillId="0" borderId="37" applyFont="1" applyFill="1" applyBorder="1"/>
    <xf numFmtId="0" fontId="5" fillId="0" borderId="39" applyFont="1" applyFill="1" applyBorder="1"/>
    <xf numFmtId="0" fontId="39" fillId="0" borderId="0" applyFont="1" applyFill="1" applyBorder="1" applyAlignment="1">
      <alignment horizontal="center"/>
    </xf>
    <xf numFmtId="0" fontId="82" fillId="0" borderId="0" applyNumberFormat="1" applyFont="1" applyFill="1" applyBorder="1" applyAlignment="1">
      <alignment horizontal="left" wrapText="1"/>
    </xf>
    <xf numFmtId="164" fontId="0" fillId="30" borderId="0" applyNumberFormat="1" applyFont="1" applyFill="1" applyBorder="1"/>
    <xf numFmtId="0" fontId="5" fillId="0" borderId="0" applyFont="1" applyFill="1" applyBorder="1" applyAlignment="1">
      <alignment horizontal="left" vertical="top" wrapText="1"/>
    </xf>
    <xf numFmtId="0" borderId="0"/>
    <xf numFmtId="0" fontId="103" fillId="36" borderId="55" applyFont="1" applyFill="1" applyBorder="1" applyAlignment="1">
      <alignment horizontal="center" vertical="bottom"/>
    </xf>
    <xf numFmtId="0" fontId="103" fillId="36" borderId="56" applyFont="1" applyFill="1" applyBorder="1" applyAlignment="1">
      <alignment horizontal="center" vertical="bottom"/>
    </xf>
    <xf numFmtId="0" fontId="103" fillId="36" borderId="57" applyFont="1" applyFill="1" applyBorder="1" applyAlignment="1">
      <alignment horizontal="center" vertical="bottom"/>
    </xf>
    <xf numFmtId="0" fontId="103" fillId="36" borderId="58" applyFont="1" applyFill="1" applyBorder="1" applyAlignment="1">
      <alignment horizontal="center" vertical="bottom"/>
    </xf>
    <xf numFmtId="0" fontId="0" fillId="0" borderId="59" applyFont="1" applyFill="1" applyBorder="1" applyAlignment="1">
      <alignment horizontal="left" vertical="center"/>
    </xf>
    <xf numFmtId="0" fontId="104" fillId="38" borderId="60" applyFont="1" applyFill="1" applyBorder="1" applyAlignment="1">
      <alignment horizontal="right" vertical="center"/>
    </xf>
    <xf numFmtId="0" fontId="43" fillId="0" borderId="59" applyFont="1" applyFill="1" applyBorder="1" applyAlignment="1">
      <alignment horizontal="right"/>
    </xf>
    <xf numFmtId="164" fontId="88" fillId="30" borderId="59" applyNumberFormat="1" applyFont="1" applyFill="1" applyBorder="1"/>
    <xf numFmtId="164" fontId="50" fillId="30" borderId="59" applyNumberFormat="1" applyFont="1" applyFill="1" applyBorder="1" applyAlignment="1">
      <alignment horizontal="right"/>
    </xf>
    <xf numFmtId="0" fontId="44" fillId="0" borderId="59" applyFont="1" applyFill="1" applyBorder="1" applyAlignment="1">
      <alignment horizontal="center"/>
    </xf>
    <xf numFmtId="0" fontId="105" fillId="0" borderId="61" applyFont="1" applyFill="1" applyBorder="1" applyAlignment="1">
      <alignment horizontal="center" vertical="center"/>
    </xf>
    <xf numFmtId="0" fontId="41" fillId="0" borderId="62" applyFont="1" applyFill="1" applyBorder="1" applyAlignment="1">
      <alignment horizontal="center" vertical="center"/>
    </xf>
    <xf numFmtId="0" fontId="41" fillId="0" borderId="62" applyFont="1" applyFill="1" applyBorder="1" applyAlignment="1">
      <alignment horizontal="center" vertical="center" wrapText="1"/>
    </xf>
    <xf numFmtId="0" fontId="41" fillId="0" borderId="63" applyFont="1" applyFill="1" applyBorder="1" applyAlignment="1">
      <alignment horizontal="center"/>
    </xf>
    <xf numFmtId="166" fontId="88" fillId="30" borderId="64" applyNumberFormat="1" applyFont="1" applyFill="1" applyBorder="1" applyAlignment="1">
      <alignment horizontal="center"/>
    </xf>
    <xf numFmtId="166" fontId="88" fillId="33" borderId="65" applyNumberFormat="1" applyFont="1" applyFill="1" applyBorder="1" applyAlignment="1">
      <alignment horizontal="center"/>
    </xf>
    <xf numFmtId="166" fontId="88" fillId="30" borderId="65" applyNumberFormat="1" applyFont="1" applyFill="1" applyBorder="1" applyAlignment="1">
      <alignment horizontal="center"/>
    </xf>
    <xf numFmtId="166" fontId="88" fillId="33" borderId="63" applyNumberFormat="1" applyFont="1" applyFill="1" applyBorder="1" applyAlignment="1">
      <alignment horizontal="center"/>
    </xf>
    <xf numFmtId="2" fontId="88" fillId="30" borderId="64" applyNumberFormat="1" applyFont="1" applyFill="1" applyBorder="1" applyAlignment="1">
      <alignment horizontal="center"/>
    </xf>
    <xf numFmtId="2" fontId="88" fillId="33" borderId="65" applyNumberFormat="1" applyFont="1" applyFill="1" applyBorder="1" applyAlignment="1">
      <alignment horizontal="center"/>
    </xf>
    <xf numFmtId="0" fontId="106" fillId="38" borderId="66" applyFont="1" applyFill="1" applyBorder="1"/>
    <xf numFmtId="0" fontId="87" fillId="0" borderId="59" applyNumberFormat="1" applyFont="1" applyFill="1" applyBorder="1" applyAlignment="1">
      <alignment horizontal="left" wrapText="1"/>
    </xf>
    <xf numFmtId="0" fontId="107" fillId="39" borderId="0" applyFont="1" applyFill="1"/>
    <xf numFmtId="49" fontId="55" fillId="36" borderId="67" applyNumberFormat="1" applyFont="1" applyFill="1" applyBorder="1" applyAlignment="1">
      <alignment textRotation="90" wrapText="1"/>
    </xf>
    <xf numFmtId="0" fontId="108" fillId="38" borderId="60" applyFont="1" applyFill="1" applyBorder="1" applyAlignment="1">
      <alignment horizontal="left" vertical="center"/>
    </xf>
    <xf numFmtId="171" fontId="108" fillId="38" borderId="60" applyNumberFormat="1" applyFont="1" applyFill="1" applyBorder="1" applyAlignment="1">
      <alignment horizontal="left" vertical="center"/>
    </xf>
    <xf numFmtId="0" fontId="108" fillId="38" borderId="60" applyFont="1" applyFill="1" applyBorder="1" applyAlignment="1">
      <alignment horizontal="right" vertical="center"/>
    </xf>
    <xf numFmtId="0" fontId="109" fillId="38" borderId="68" applyFont="1" applyFill="1" applyBorder="1" applyAlignment="1">
      <alignment horizontal="center" vertical="center"/>
    </xf>
    <xf numFmtId="0" fontId="109" fillId="38" borderId="69" applyFont="1" applyFill="1" applyBorder="1" applyAlignment="1">
      <alignment horizontal="center" vertical="center"/>
    </xf>
    <xf numFmtId="0" fontId="109" fillId="38" borderId="70" applyFont="1" applyFill="1" applyBorder="1" applyAlignment="1">
      <alignment horizontal="center" vertical="center"/>
    </xf>
    <xf numFmtId="0" fontId="108" fillId="40" borderId="60" applyFont="1" applyFill="1" applyBorder="1" applyAlignment="1">
      <alignment horizontal="left" vertical="center"/>
    </xf>
    <xf numFmtId="171" fontId="108" fillId="40" borderId="60" applyNumberFormat="1" applyFont="1" applyFill="1" applyBorder="1" applyAlignment="1">
      <alignment horizontal="left" vertical="center"/>
    </xf>
    <xf numFmtId="0" fontId="108" fillId="40" borderId="60" applyFont="1" applyFill="1" applyBorder="1" applyAlignment="1">
      <alignment horizontal="right" vertical="center"/>
    </xf>
    <xf numFmtId="0" fontId="109" fillId="40" borderId="68" applyFont="1" applyFill="1" applyBorder="1" applyAlignment="1">
      <alignment horizontal="center" vertical="center"/>
    </xf>
    <xf numFmtId="0" fontId="109" fillId="40" borderId="69" applyFont="1" applyFill="1" applyBorder="1" applyAlignment="1">
      <alignment horizontal="center" vertical="center"/>
    </xf>
    <xf numFmtId="0" fontId="109" fillId="40" borderId="70" applyFont="1" applyFill="1" applyBorder="1" applyAlignment="1">
      <alignment horizontal="center" vertical="center"/>
    </xf>
    <xf numFmtId="0" fontId="110" fillId="0" borderId="0" applyFont="1" applyFill="1" applyBorder="1" applyAlignment="1">
      <alignment horizontal="left" vertical="center"/>
    </xf>
    <xf numFmtId="0" fontId="49" fillId="0" borderId="0" applyFont="1" applyFill="1" applyBorder="1" applyAlignment="1">
      <alignment horizontal="center" vertical="bottom"/>
    </xf>
    <xf numFmtId="0" fontId="88" fillId="30" borderId="59" applyFont="1" applyFill="1" applyBorder="1"/>
    <xf numFmtId="49" fontId="51" fillId="36" borderId="7" applyNumberFormat="1" applyFont="1" applyFill="1" applyBorder="1" applyAlignment="1">
      <alignment horizontal="center" vertical="center"/>
    </xf>
    <xf numFmtId="0" fontId="39" fillId="30" borderId="59" applyFont="1" applyFill="1" applyBorder="1" applyAlignment="1">
      <alignment horizontal="center"/>
    </xf>
    <xf numFmtId="0" fontId="51" fillId="36" borderId="7" applyFont="1" applyFill="1" applyBorder="1" applyAlignment="1">
      <alignment horizontal="center" vertical="center"/>
    </xf>
    <xf numFmtId="0" fontId="83" fillId="30" borderId="59" applyNumberFormat="1" applyFont="1" applyFill="1" applyBorder="1" applyAlignment="1">
      <alignment horizontal="left" wrapText="1"/>
    </xf>
    <xf numFmtId="164" fontId="88" fillId="30" borderId="59" applyNumberFormat="1" applyFont="1" applyFill="1" applyBorder="1" applyAlignment="1">
      <alignment horizontal="right"/>
    </xf>
    <xf numFmtId="1" fontId="83" fillId="0" borderId="59" applyNumberFormat="1" applyFont="1" applyFill="1" applyBorder="1" applyAlignment="1">
      <alignment horizontal="left" wrapText="1"/>
    </xf>
    <xf numFmtId="0" fontId="51" fillId="36" borderId="62" applyFont="1" applyFill="1" applyBorder="1" applyAlignment="1">
      <alignment horizontal="left"/>
    </xf>
    <xf numFmtId="166" fontId="52" fillId="36" borderId="62" applyNumberFormat="1" applyFont="1" applyFill="1" applyBorder="1" applyAlignment="1">
      <alignment horizontal="center"/>
    </xf>
    <xf numFmtId="0" fontId="51" fillId="36" borderId="62" applyFont="1" applyFill="1" applyBorder="1"/>
    <xf numFmtId="0" fontId="88" fillId="0" borderId="59" applyFont="1" applyFill="1" applyBorder="1" applyAlignment="1">
      <alignment horizontal="right"/>
    </xf>
    <xf numFmtId="0" fontId="43" fillId="0" borderId="71" applyFont="1" applyFill="1" applyBorder="1" applyAlignment="1">
      <alignment horizontal="center" vertical="center" wrapText="1"/>
    </xf>
    <xf numFmtId="0" fontId="5" fillId="0" borderId="62" applyFont="1" applyFill="1" applyBorder="1"/>
    <xf numFmtId="0" fontId="5" fillId="0" borderId="72" applyFont="1" applyFill="1" applyBorder="1"/>
    <xf numFmtId="0" fontId="5" fillId="0" borderId="73" applyFont="1" applyFill="1" applyBorder="1"/>
    <xf numFmtId="0" fontId="5" fillId="33" borderId="62" applyFont="1" applyFill="1" applyBorder="1"/>
    <xf numFmtId="0" fontId="5" fillId="33" borderId="72" applyFont="1" applyFill="1" applyBorder="1"/>
    <xf numFmtId="0" fontId="5" fillId="33" borderId="73" applyFont="1" applyFill="1" applyBorder="1"/>
    <xf numFmtId="0" fontId="83" fillId="0" borderId="59" applyNumberFormat="1" applyFont="1" applyFill="1" applyBorder="1" applyAlignment="1">
      <alignment horizontal="left" wrapText="1"/>
    </xf>
    <xf numFmtId="0" fontId="0" fillId="0" borderId="59" applyFont="1" applyFill="1" applyBorder="1"/>
    <xf numFmtId="0" fontId="39" fillId="0" borderId="59" applyFont="1" applyFill="1" applyBorder="1" applyAlignment="1">
      <alignment horizontal="center"/>
    </xf>
    <xf numFmtId="0" fontId="29" fillId="0" borderId="59" applyFont="1" applyFill="1" applyBorder="1" applyAlignment="1">
      <alignment horizontal="center"/>
    </xf>
    <xf numFmtId="0" fontId="82" fillId="0" borderId="74" applyFont="1" applyFill="1" applyBorder="1" applyAlignment="1">
      <alignment horizontal="center"/>
    </xf>
    <xf numFmtId="0" fontId="82" fillId="0" borderId="75" applyFont="1" applyFill="1" applyBorder="1" applyAlignment="1">
      <alignment horizontal="center"/>
    </xf>
    <xf numFmtId="0" fontId="82" fillId="0" borderId="76" applyFont="1" applyFill="1" applyBorder="1" applyAlignment="1">
      <alignment horizontal="center"/>
    </xf>
    <xf numFmtId="0" fontId="82" fillId="33" borderId="77" applyFont="1" applyFill="1" applyBorder="1" applyAlignment="1">
      <alignment horizontal="center"/>
    </xf>
    <xf numFmtId="0" fontId="82" fillId="33" borderId="59" applyFont="1" applyFill="1" applyBorder="1" applyAlignment="1">
      <alignment horizontal="center"/>
    </xf>
    <xf numFmtId="0" fontId="82" fillId="33" borderId="78" applyFont="1" applyFill="1" applyBorder="1" applyAlignment="1">
      <alignment horizontal="center"/>
    </xf>
    <xf numFmtId="0" fontId="82" fillId="0" borderId="77" applyFont="1" applyFill="1" applyBorder="1" applyAlignment="1">
      <alignment horizontal="center"/>
    </xf>
    <xf numFmtId="0" fontId="82" fillId="0" borderId="59" applyFont="1" applyFill="1" applyBorder="1" applyAlignment="1">
      <alignment horizontal="center"/>
    </xf>
    <xf numFmtId="0" fontId="82" fillId="0" borderId="78" applyFont="1" applyFill="1" applyBorder="1" applyAlignment="1">
      <alignment horizontal="center"/>
    </xf>
    <xf numFmtId="0" fontId="82" fillId="33" borderId="79" applyFont="1" applyFill="1" applyBorder="1" applyAlignment="1">
      <alignment horizontal="center"/>
    </xf>
    <xf numFmtId="0" fontId="82" fillId="33" borderId="80" applyFont="1" applyFill="1" applyBorder="1" applyAlignment="1">
      <alignment horizontal="center"/>
    </xf>
    <xf numFmtId="0" fontId="82" fillId="33" borderId="81" applyFont="1" applyFill="1" applyBorder="1" applyAlignment="1">
      <alignment horizontal="center"/>
    </xf>
    <xf numFmtId="0" fontId="0" fillId="0" borderId="59" applyFont="1" applyFill="1" applyBorder="1" applyAlignment="1">
      <alignment horizontal="center"/>
    </xf>
    <xf numFmtId="0" fontId="43" fillId="0" borderId="59" applyFont="1" applyFill="1" applyBorder="1"/>
    <xf numFmtId="0" fontId="111" fillId="38" borderId="68" applyFont="1" applyFill="1" applyBorder="1" applyAlignment="1">
      <alignment horizontal="center" vertical="center"/>
    </xf>
    <xf numFmtId="0" fontId="111" fillId="38" borderId="69" applyFont="1" applyFill="1" applyBorder="1" applyAlignment="1">
      <alignment horizontal="center" vertical="center"/>
    </xf>
    <xf numFmtId="0" fontId="111" fillId="38" borderId="70" applyFont="1" applyFill="1" applyBorder="1" applyAlignment="1">
      <alignment horizontal="center" vertical="center"/>
    </xf>
    <xf numFmtId="0" fontId="111" fillId="40" borderId="68" applyFont="1" applyFill="1" applyBorder="1" applyAlignment="1">
      <alignment horizontal="center" vertical="center"/>
    </xf>
    <xf numFmtId="0" fontId="111" fillId="40" borderId="69" applyFont="1" applyFill="1" applyBorder="1" applyAlignment="1">
      <alignment horizontal="center" vertical="center"/>
    </xf>
    <xf numFmtId="0" fontId="111" fillId="40" borderId="70" applyFont="1" applyFill="1" applyBorder="1" applyAlignment="1">
      <alignment horizontal="center" vertical="center"/>
    </xf>
    <xf numFmtId="170" fontId="0" fillId="0" borderId="59" applyNumberFormat="1" applyFont="1" applyFill="1" applyBorder="1" applyAlignment="1">
      <alignment horizontal="left" vertical="center"/>
    </xf>
    <xf numFmtId="0" fontId="88" fillId="0" borderId="0" applyFont="1" applyFill="1" applyBorder="1" applyAlignment="1">
      <alignment horizontal="center" vertical="bottom"/>
    </xf>
    <xf numFmtId="0" fontId="88" fillId="0" borderId="0" applyFont="1" applyFill="1" applyBorder="1" applyAlignment="1">
      <alignment horizontal="right" vertical="bottom"/>
    </xf>
    <xf numFmtId="0" fontId="82" fillId="0" borderId="59" applyNumberFormat="1" applyFont="1" applyFill="1" applyBorder="1" applyAlignment="1">
      <alignment horizontal="left" wrapText="1"/>
    </xf>
  </cellXfs>
  <cellStyles count="788">
    <cellStyle name="20% - Accent1" xfId="1" builtinId="30" customBuiltin="1"/>
    <cellStyle name="20% - Accent1 2" xfId="2"/>
    <cellStyle name="20% - Accent2" xfId="3" builtinId="34" customBuiltin="1"/>
    <cellStyle name="20% - Accent2 2" xfId="4"/>
    <cellStyle name="20% - Accent3" xfId="5" builtinId="38" customBuiltin="1"/>
    <cellStyle name="20% - Accent3 2" xfId="6"/>
    <cellStyle name="20% - Accent4" xfId="7" builtinId="42" customBuiltin="1"/>
    <cellStyle name="20% - Accent4 2" xfId="8"/>
    <cellStyle name="20% - Accent5" xfId="9" builtinId="46" customBuiltin="1"/>
    <cellStyle name="20% - Accent5 2" xfId="10"/>
    <cellStyle name="20% - Accent6" xfId="11" builtinId="50" customBuiltin="1"/>
    <cellStyle name="20% - Accent6 2" xfId="12"/>
    <cellStyle name="40% - Accent1" xfId="13" builtinId="31" customBuiltin="1"/>
    <cellStyle name="40% - Accent1 2" xfId="14"/>
    <cellStyle name="40% - Accent2" xfId="15" builtinId="35" customBuiltin="1"/>
    <cellStyle name="40% - Accent2 2" xfId="16"/>
    <cellStyle name="40% - Accent3" xfId="17" builtinId="39" customBuiltin="1"/>
    <cellStyle name="40% - Accent3 2" xfId="18"/>
    <cellStyle name="40% - Accent4" xfId="19" builtinId="43" customBuiltin="1"/>
    <cellStyle name="40% - Accent4 2" xfId="20"/>
    <cellStyle name="40% - Accent5" xfId="21" builtinId="47" customBuiltin="1"/>
    <cellStyle name="40% - Accent5 2" xfId="22"/>
    <cellStyle name="40% - Accent6" xfId="23" builtinId="51" customBuiltin="1"/>
    <cellStyle name="40% - Accent6 2" xfId="24"/>
    <cellStyle name="60% - Accent1" xfId="25" builtinId="32" customBuiltin="1"/>
    <cellStyle name="60% - Accent1 2" xfId="26"/>
    <cellStyle name="60% - Accent2" xfId="27" builtinId="36" customBuiltin="1"/>
    <cellStyle name="60% - Accent2 2" xfId="28"/>
    <cellStyle name="60% - Accent3" xfId="29" builtinId="40" customBuiltin="1"/>
    <cellStyle name="60% - Accent3 2" xfId="30"/>
    <cellStyle name="60% - Accent4" xfId="31" builtinId="44" customBuiltin="1"/>
    <cellStyle name="60% - Accent4 2" xfId="32"/>
    <cellStyle name="60% - Accent5" xfId="33" builtinId="48" customBuiltin="1"/>
    <cellStyle name="60% - Accent5 2" xfId="34"/>
    <cellStyle name="60% - Accent6" xfId="35" builtinId="52" customBuiltin="1"/>
    <cellStyle name="60% - Accent6 2" xfId="36"/>
    <cellStyle name="Accent1" xfId="37" builtinId="29" customBuiltin="1"/>
    <cellStyle name="Accent1 2" xfId="38"/>
    <cellStyle name="Accent2" xfId="39" builtinId="33" customBuiltin="1"/>
    <cellStyle name="Accent2 2" xfId="40"/>
    <cellStyle name="Accent3" xfId="41" builtinId="37" customBuiltin="1"/>
    <cellStyle name="Accent3 2" xfId="42"/>
    <cellStyle name="Accent4" xfId="43" builtinId="41" customBuiltin="1"/>
    <cellStyle name="Accent4 2" xfId="44"/>
    <cellStyle name="Accent5" xfId="45" builtinId="45" customBuiltin="1"/>
    <cellStyle name="Accent5 2" xfId="46"/>
    <cellStyle name="Accent6" xfId="47" builtinId="49" customBuiltin="1"/>
    <cellStyle name="Accent6 2" xfId="48"/>
    <cellStyle name="Bad" xfId="49" builtinId="27" customBuiltin="1"/>
    <cellStyle name="Bad 2" xfId="50"/>
    <cellStyle name="Calculation" xfId="51" builtinId="22" customBuiltin="1"/>
    <cellStyle name="Calculation 2" xfId="52"/>
    <cellStyle name="Check Cell" xfId="53" builtinId="23" customBuiltin="1"/>
    <cellStyle name="Check Cell 2" xfId="54"/>
    <cellStyle name="Comma" xfId="55" builtinId="3"/>
    <cellStyle name="Comma 2" xfId="56"/>
    <cellStyle name="Comma_Hyatt DBM Sample" xfId="57"/>
    <cellStyle name="Currency" xfId="58" builtinId="4"/>
    <cellStyle name="Currency 2" xfId="59"/>
    <cellStyle name="Explanatory Text" xfId="60" builtinId="53" customBuiltin="1"/>
    <cellStyle name="Explanatory Text 2" xfId="61"/>
    <cellStyle name="ExtStyle 0" xfId="62"/>
    <cellStyle name="ExtStyle 0 2" xfId="63"/>
    <cellStyle name="ExtStyle 0 3" xfId="64"/>
    <cellStyle name="ExtStyle 0 4" xfId="65"/>
    <cellStyle name="ExtStyle 16" xfId="66"/>
    <cellStyle name="ExtStyle 16 2" xfId="67"/>
    <cellStyle name="ExtStyle 16 3" xfId="68"/>
    <cellStyle name="ExtStyle 16 4" xfId="69"/>
    <cellStyle name="ExtStyle 17" xfId="70"/>
    <cellStyle name="ExtStyle 17 2" xfId="71"/>
    <cellStyle name="ExtStyle 17 3" xfId="72"/>
    <cellStyle name="ExtStyle 17 4" xfId="73"/>
    <cellStyle name="ExtStyle 18" xfId="74"/>
    <cellStyle name="ExtStyle 18 2" xfId="75"/>
    <cellStyle name="ExtStyle 18 3" xfId="76"/>
    <cellStyle name="ExtStyle 18 4" xfId="77"/>
    <cellStyle name="ExtStyle 19" xfId="78"/>
    <cellStyle name="ExtStyle 19 2" xfId="79"/>
    <cellStyle name="ExtStyle 19 3" xfId="80"/>
    <cellStyle name="ExtStyle 19 4" xfId="81"/>
    <cellStyle name="ExtStyle 20" xfId="82"/>
    <cellStyle name="ExtStyle 20 2" xfId="83"/>
    <cellStyle name="ExtStyle 21" xfId="84"/>
    <cellStyle name="ExtStyle 21 2" xfId="85"/>
    <cellStyle name="ExtStyle 22" xfId="86"/>
    <cellStyle name="ExtStyle 22 2" xfId="87"/>
    <cellStyle name="ExtStyle 22 3" xfId="88"/>
    <cellStyle name="ExtStyle 22 4" xfId="89"/>
    <cellStyle name="ExtStyle 28" xfId="90"/>
    <cellStyle name="ExtStyle 28 2" xfId="91"/>
    <cellStyle name="ExtStyle 29" xfId="92"/>
    <cellStyle name="ExtStyle 29 2" xfId="93"/>
    <cellStyle name="ExtStyle 30" xfId="94"/>
    <cellStyle name="ExtStyle 30 2" xfId="95"/>
    <cellStyle name="ExtStyle 30 3" xfId="96"/>
    <cellStyle name="ExtStyle 30 4" xfId="97"/>
    <cellStyle name="ExtStyle 31" xfId="98"/>
    <cellStyle name="ExtStyle 31 2" xfId="99"/>
    <cellStyle name="ExtStyle 32" xfId="100"/>
    <cellStyle name="ExtStyle 32 2" xfId="101"/>
    <cellStyle name="ExtStyle 33" xfId="102"/>
    <cellStyle name="ExtStyle 33 2" xfId="103"/>
    <cellStyle name="ExtStyle 33 3" xfId="104"/>
    <cellStyle name="ExtStyle 33 4" xfId="105"/>
    <cellStyle name="ExtStyle 34" xfId="106"/>
    <cellStyle name="ExtStyle 34 2" xfId="107"/>
    <cellStyle name="ExtStyle 35" xfId="108"/>
    <cellStyle name="ExtStyle 35 2" xfId="109"/>
    <cellStyle name="ExtStyle 36" xfId="110"/>
    <cellStyle name="ExtStyle 36 2" xfId="111"/>
    <cellStyle name="ExtStyle 36 3" xfId="112"/>
    <cellStyle name="ExtStyle 36 4" xfId="113"/>
    <cellStyle name="ExtStyle 37" xfId="114"/>
    <cellStyle name="ExtStyle 37 2" xfId="115"/>
    <cellStyle name="ExtStyle 38" xfId="116"/>
    <cellStyle name="ExtStyle 38 2" xfId="117"/>
    <cellStyle name="ExtStyle 39" xfId="118"/>
    <cellStyle name="ExtStyle 39 2" xfId="119"/>
    <cellStyle name="ExtStyle 39 3" xfId="120"/>
    <cellStyle name="ExtStyle 39 4" xfId="121"/>
    <cellStyle name="ExtStyle 43" xfId="122"/>
    <cellStyle name="ExtStyle 44" xfId="123"/>
    <cellStyle name="ExtStyle 46" xfId="124"/>
    <cellStyle name="ExtStyle 47" xfId="125"/>
    <cellStyle name="ExtStyle 69" xfId="126"/>
    <cellStyle name="ExtStyle 75" xfId="127"/>
    <cellStyle name="ExtStyle 82" xfId="128"/>
    <cellStyle name="Good" xfId="129" builtinId="26" customBuiltin="1"/>
    <cellStyle name="Good 2" xfId="130"/>
    <cellStyle name="Heading 1" xfId="131" builtinId="16" customBuiltin="1"/>
    <cellStyle name="Heading 1 2" xfId="132"/>
    <cellStyle name="Heading 2" xfId="133" builtinId="17" customBuiltin="1"/>
    <cellStyle name="Heading 2 2" xfId="134"/>
    <cellStyle name="Heading 3" xfId="135" builtinId="18" customBuiltin="1"/>
    <cellStyle name="Heading 3 2" xfId="136"/>
    <cellStyle name="Heading 4" xfId="137" builtinId="19" customBuiltin="1"/>
    <cellStyle name="Heading 4 2" xfId="138"/>
    <cellStyle name="Hyperlink 2" xfId="139"/>
    <cellStyle name="Input" xfId="140" builtinId="20" customBuiltin="1"/>
    <cellStyle name="Input 2" xfId="141"/>
    <cellStyle name="Linked Cell" xfId="142" builtinId="24" customBuiltin="1"/>
    <cellStyle name="Linked Cell 2" xfId="143"/>
    <cellStyle name="Neutral" xfId="144" builtinId="28" customBuiltin="1"/>
    <cellStyle name="Neutral 2" xfId="145"/>
    <cellStyle name="Normal" xfId="0" builtinId="0"/>
    <cellStyle name="Normal 2" xfId="146"/>
    <cellStyle name="Normal 3" xfId="147"/>
    <cellStyle name="Note" xfId="148" builtinId="10" customBuiltin="1"/>
    <cellStyle name="Note 2" xfId="149"/>
    <cellStyle name="Note 3" xfId="150"/>
    <cellStyle name="Note 4" xfId="151"/>
    <cellStyle name="Output" xfId="152" builtinId="21" customBuiltin="1"/>
    <cellStyle name="Output 2" xfId="153"/>
    <cellStyle name="Percent" xfId="154" builtinId="5"/>
    <cellStyle name="Percent 2" xfId="155"/>
    <cellStyle name="Style 1025" xfId="156"/>
    <cellStyle name="Style 1025 2" xfId="157"/>
    <cellStyle name="Style 1101" xfId="158"/>
    <cellStyle name="Style 1101 2" xfId="159"/>
    <cellStyle name="Style 1103" xfId="160"/>
    <cellStyle name="Style 1103 2" xfId="161"/>
    <cellStyle name="Style 1103 3" xfId="162"/>
    <cellStyle name="Style 1103 4" xfId="163"/>
    <cellStyle name="Style 1104" xfId="164"/>
    <cellStyle name="Style 1104 2" xfId="165"/>
    <cellStyle name="Style 1104 3" xfId="166"/>
    <cellStyle name="Style 1104 4" xfId="167"/>
    <cellStyle name="Style 1105" xfId="168"/>
    <cellStyle name="Style 1105 2" xfId="169"/>
    <cellStyle name="Style 1105 3" xfId="170"/>
    <cellStyle name="Style 1105 4" xfId="171"/>
    <cellStyle name="Style 1106" xfId="172"/>
    <cellStyle name="Style 1106 2" xfId="173"/>
    <cellStyle name="Style 1106 3" xfId="174"/>
    <cellStyle name="Style 1106 4" xfId="175"/>
    <cellStyle name="Style 1107" xfId="176"/>
    <cellStyle name="Style 1107 2" xfId="177"/>
    <cellStyle name="Style 1107 3" xfId="178"/>
    <cellStyle name="Style 1107 4" xfId="179"/>
    <cellStyle name="Style 1108" xfId="180"/>
    <cellStyle name="Style 1108 2" xfId="181"/>
    <cellStyle name="Style 1108 3" xfId="182"/>
    <cellStyle name="Style 1108 4" xfId="183"/>
    <cellStyle name="Style 1109" xfId="184"/>
    <cellStyle name="Style 1109 2" xfId="185"/>
    <cellStyle name="Style 1109 3" xfId="186"/>
    <cellStyle name="Style 1109 4" xfId="187"/>
    <cellStyle name="Style 1110" xfId="188"/>
    <cellStyle name="Style 1110 2" xfId="189"/>
    <cellStyle name="Style 1110 3" xfId="190"/>
    <cellStyle name="Style 1110 4" xfId="191"/>
    <cellStyle name="Style 1111" xfId="192"/>
    <cellStyle name="Style 1111 2" xfId="193"/>
    <cellStyle name="Style 1111 3" xfId="194"/>
    <cellStyle name="Style 1111 4" xfId="195"/>
    <cellStyle name="Style 1112" xfId="196"/>
    <cellStyle name="Style 1112 2" xfId="197"/>
    <cellStyle name="Style 1112 3" xfId="198"/>
    <cellStyle name="Style 1112 4" xfId="199"/>
    <cellStyle name="Style 1113" xfId="200"/>
    <cellStyle name="Style 1113 2" xfId="201"/>
    <cellStyle name="Style 1113 3" xfId="202"/>
    <cellStyle name="Style 1113 4" xfId="203"/>
    <cellStyle name="Style 1114" xfId="204"/>
    <cellStyle name="Style 1114 2" xfId="205"/>
    <cellStyle name="Style 1114 3" xfId="206"/>
    <cellStyle name="Style 1114 4" xfId="207"/>
    <cellStyle name="Style 1115" xfId="208"/>
    <cellStyle name="Style 1115 2" xfId="209"/>
    <cellStyle name="Style 1115 3" xfId="210"/>
    <cellStyle name="Style 1115 4" xfId="211"/>
    <cellStyle name="Style 1177" xfId="212"/>
    <cellStyle name="Style 1177 2" xfId="213"/>
    <cellStyle name="Style 1177 3" xfId="214"/>
    <cellStyle name="Style 1177 4" xfId="215"/>
    <cellStyle name="Style 1178" xfId="216"/>
    <cellStyle name="Style 1178 2" xfId="217"/>
    <cellStyle name="Style 1178 3" xfId="218"/>
    <cellStyle name="Style 1178 4" xfId="219"/>
    <cellStyle name="Style 1179" xfId="220"/>
    <cellStyle name="Style 1179 2" xfId="221"/>
    <cellStyle name="Style 1179 3" xfId="222"/>
    <cellStyle name="Style 1179 4" xfId="223"/>
    <cellStyle name="Style 1180" xfId="224"/>
    <cellStyle name="Style 1180 2" xfId="225"/>
    <cellStyle name="Style 1180 3" xfId="226"/>
    <cellStyle name="Style 1180 4" xfId="227"/>
    <cellStyle name="Style 1181" xfId="228"/>
    <cellStyle name="Style 1181 2" xfId="229"/>
    <cellStyle name="Style 1181 3" xfId="230"/>
    <cellStyle name="Style 1181 4" xfId="231"/>
    <cellStyle name="Style 1182" xfId="232"/>
    <cellStyle name="Style 1182 2" xfId="233"/>
    <cellStyle name="Style 1182 3" xfId="234"/>
    <cellStyle name="Style 1182 4" xfId="235"/>
    <cellStyle name="Style 1183" xfId="236"/>
    <cellStyle name="Style 1183 2" xfId="237"/>
    <cellStyle name="Style 1183 3" xfId="238"/>
    <cellStyle name="Style 1183 4" xfId="239"/>
    <cellStyle name="Style 1184" xfId="240"/>
    <cellStyle name="Style 1184 2" xfId="241"/>
    <cellStyle name="Style 1184 3" xfId="242"/>
    <cellStyle name="Style 1184 4" xfId="243"/>
    <cellStyle name="Style 1185" xfId="244"/>
    <cellStyle name="Style 1185 2" xfId="245"/>
    <cellStyle name="Style 1185 3" xfId="246"/>
    <cellStyle name="Style 1185 4" xfId="247"/>
    <cellStyle name="Style 1196" xfId="248"/>
    <cellStyle name="Style 1299" xfId="249"/>
    <cellStyle name="Style 1299 2" xfId="250"/>
    <cellStyle name="Style 1309" xfId="251"/>
    <cellStyle name="Style 1311" xfId="252"/>
    <cellStyle name="Style 1313" xfId="253"/>
    <cellStyle name="Style 1314" xfId="254"/>
    <cellStyle name="Style 1315" xfId="255"/>
    <cellStyle name="Style 1316" xfId="256"/>
    <cellStyle name="Style 1317" xfId="257"/>
    <cellStyle name="Style 1318" xfId="258"/>
    <cellStyle name="Style 1319" xfId="259"/>
    <cellStyle name="Style 1320" xfId="260"/>
    <cellStyle name="Style 1321" xfId="261"/>
    <cellStyle name="Style 1322" xfId="262"/>
    <cellStyle name="Style 1331" xfId="263"/>
    <cellStyle name="Style 1331 2" xfId="264"/>
    <cellStyle name="Style 1331 3" xfId="265"/>
    <cellStyle name="Style 1331 4" xfId="266"/>
    <cellStyle name="Style 1332" xfId="267"/>
    <cellStyle name="Style 1332 2" xfId="268"/>
    <cellStyle name="Style 1332 3" xfId="269"/>
    <cellStyle name="Style 1332 4" xfId="270"/>
    <cellStyle name="Style 1333" xfId="271"/>
    <cellStyle name="Style 1333 2" xfId="272"/>
    <cellStyle name="Style 1333 3" xfId="273"/>
    <cellStyle name="Style 1333 4" xfId="274"/>
    <cellStyle name="Style 1334" xfId="275"/>
    <cellStyle name="Style 1334 2" xfId="276"/>
    <cellStyle name="Style 1334 3" xfId="277"/>
    <cellStyle name="Style 1334 4" xfId="278"/>
    <cellStyle name="Style 1335" xfId="279"/>
    <cellStyle name="Style 1335 2" xfId="280"/>
    <cellStyle name="Style 1335 3" xfId="281"/>
    <cellStyle name="Style 1335 4" xfId="282"/>
    <cellStyle name="Style 1336" xfId="283"/>
    <cellStyle name="Style 1336 2" xfId="284"/>
    <cellStyle name="Style 1336 3" xfId="285"/>
    <cellStyle name="Style 1336 4" xfId="286"/>
    <cellStyle name="Style 1337" xfId="287"/>
    <cellStyle name="Style 1337 2" xfId="288"/>
    <cellStyle name="Style 1337 3" xfId="289"/>
    <cellStyle name="Style 1337 4" xfId="290"/>
    <cellStyle name="Style 1338" xfId="291"/>
    <cellStyle name="Style 1338 2" xfId="292"/>
    <cellStyle name="Style 1338 3" xfId="293"/>
    <cellStyle name="Style 1338 4" xfId="294"/>
    <cellStyle name="Style 1339" xfId="295"/>
    <cellStyle name="Style 1339 2" xfId="296"/>
    <cellStyle name="Style 1339 3" xfId="297"/>
    <cellStyle name="Style 1339 4" xfId="298"/>
    <cellStyle name="Style 1376" xfId="299"/>
    <cellStyle name="Style 1376 2" xfId="300"/>
    <cellStyle name="Style 1376 3" xfId="301"/>
    <cellStyle name="Style 1376 4" xfId="302"/>
    <cellStyle name="Style 1377" xfId="303"/>
    <cellStyle name="Style 1377 2" xfId="304"/>
    <cellStyle name="Style 1377 3" xfId="305"/>
    <cellStyle name="Style 1377 4" xfId="306"/>
    <cellStyle name="Style 1378" xfId="307"/>
    <cellStyle name="Style 1378 2" xfId="308"/>
    <cellStyle name="Style 1378 3" xfId="309"/>
    <cellStyle name="Style 1378 4" xfId="310"/>
    <cellStyle name="Style 1379" xfId="311"/>
    <cellStyle name="Style 1379 2" xfId="312"/>
    <cellStyle name="Style 1379 3" xfId="313"/>
    <cellStyle name="Style 1379 4" xfId="314"/>
    <cellStyle name="Style 1380" xfId="315"/>
    <cellStyle name="Style 1380 2" xfId="316"/>
    <cellStyle name="Style 1380 3" xfId="317"/>
    <cellStyle name="Style 1380 4" xfId="318"/>
    <cellStyle name="Style 1381" xfId="319"/>
    <cellStyle name="Style 1381 2" xfId="320"/>
    <cellStyle name="Style 1381 3" xfId="321"/>
    <cellStyle name="Style 1381 4" xfId="322"/>
    <cellStyle name="Style 1382" xfId="323"/>
    <cellStyle name="Style 1382 2" xfId="324"/>
    <cellStyle name="Style 1382 3" xfId="325"/>
    <cellStyle name="Style 1382 4" xfId="326"/>
    <cellStyle name="Style 1383" xfId="327"/>
    <cellStyle name="Style 1383 2" xfId="328"/>
    <cellStyle name="Style 1383 3" xfId="329"/>
    <cellStyle name="Style 1383 4" xfId="330"/>
    <cellStyle name="Style 1384" xfId="331"/>
    <cellStyle name="Style 1384 2" xfId="332"/>
    <cellStyle name="Style 1384 3" xfId="333"/>
    <cellStyle name="Style 1384 4" xfId="334"/>
    <cellStyle name="Style 1385" xfId="335"/>
    <cellStyle name="Style 1385 2" xfId="336"/>
    <cellStyle name="Style 1385 3" xfId="337"/>
    <cellStyle name="Style 1385 4" xfId="338"/>
    <cellStyle name="Style 1386" xfId="339"/>
    <cellStyle name="Style 1386 2" xfId="340"/>
    <cellStyle name="Style 1386 3" xfId="341"/>
    <cellStyle name="Style 1386 4" xfId="342"/>
    <cellStyle name="Style 1535" xfId="343"/>
    <cellStyle name="Style 1536" xfId="344"/>
    <cellStyle name="Style 1537" xfId="345"/>
    <cellStyle name="Style 1538" xfId="346"/>
    <cellStyle name="Style 1539" xfId="347"/>
    <cellStyle name="Style 1540" xfId="348"/>
    <cellStyle name="Style 1541" xfId="349"/>
    <cellStyle name="Style 1542" xfId="350"/>
    <cellStyle name="Style 1543" xfId="351"/>
    <cellStyle name="Style 1544" xfId="352"/>
    <cellStyle name="Style 1556" xfId="353"/>
    <cellStyle name="Style 1556 2" xfId="354"/>
    <cellStyle name="Style 1663" xfId="355"/>
    <cellStyle name="Style 1663 2" xfId="356"/>
    <cellStyle name="Style 1665" xfId="357"/>
    <cellStyle name="Style 1665 2" xfId="358"/>
    <cellStyle name="Style 1665 3" xfId="359"/>
    <cellStyle name="Style 1665 4" xfId="360"/>
    <cellStyle name="Style 1666" xfId="361"/>
    <cellStyle name="Style 1666 2" xfId="362"/>
    <cellStyle name="Style 1666 3" xfId="363"/>
    <cellStyle name="Style 1666 4" xfId="364"/>
    <cellStyle name="Style 1667" xfId="365"/>
    <cellStyle name="Style 1667 2" xfId="366"/>
    <cellStyle name="Style 1667 3" xfId="367"/>
    <cellStyle name="Style 1667 4" xfId="368"/>
    <cellStyle name="Style 1668" xfId="369"/>
    <cellStyle name="Style 1668 2" xfId="370"/>
    <cellStyle name="Style 1668 3" xfId="371"/>
    <cellStyle name="Style 1668 4" xfId="372"/>
    <cellStyle name="Style 1669" xfId="373"/>
    <cellStyle name="Style 1669 2" xfId="374"/>
    <cellStyle name="Style 1669 3" xfId="375"/>
    <cellStyle name="Style 1669 4" xfId="376"/>
    <cellStyle name="Style 1670" xfId="377"/>
    <cellStyle name="Style 1670 2" xfId="378"/>
    <cellStyle name="Style 1670 3" xfId="379"/>
    <cellStyle name="Style 1670 4" xfId="380"/>
    <cellStyle name="Style 1671" xfId="381"/>
    <cellStyle name="Style 1671 2" xfId="382"/>
    <cellStyle name="Style 1671 3" xfId="383"/>
    <cellStyle name="Style 1671 4" xfId="384"/>
    <cellStyle name="Style 1672" xfId="385"/>
    <cellStyle name="Style 1672 2" xfId="386"/>
    <cellStyle name="Style 1672 3" xfId="387"/>
    <cellStyle name="Style 1672 4" xfId="388"/>
    <cellStyle name="Style 1673" xfId="389"/>
    <cellStyle name="Style 1673 2" xfId="390"/>
    <cellStyle name="Style 1673 3" xfId="391"/>
    <cellStyle name="Style 1673 4" xfId="392"/>
    <cellStyle name="Style 1699" xfId="393"/>
    <cellStyle name="Style 1703" xfId="394"/>
    <cellStyle name="Style 1705" xfId="395"/>
    <cellStyle name="Style 1706" xfId="396"/>
    <cellStyle name="Style 1707" xfId="397"/>
    <cellStyle name="Style 1708" xfId="398"/>
    <cellStyle name="Style 1709" xfId="399"/>
    <cellStyle name="Style 1710" xfId="400"/>
    <cellStyle name="Style 1711" xfId="401"/>
    <cellStyle name="Style 1712" xfId="402"/>
    <cellStyle name="Style 1713" xfId="403"/>
    <cellStyle name="Style 1714" xfId="404"/>
    <cellStyle name="Style 1759" xfId="405"/>
    <cellStyle name="Style 1872" xfId="406"/>
    <cellStyle name="Style 1874" xfId="407"/>
    <cellStyle name="Style 1876" xfId="408"/>
    <cellStyle name="Style 1877" xfId="409"/>
    <cellStyle name="Style 1878" xfId="410"/>
    <cellStyle name="Style 1879" xfId="411"/>
    <cellStyle name="Style 1880" xfId="412"/>
    <cellStyle name="Style 1881" xfId="413"/>
    <cellStyle name="Style 1882" xfId="414"/>
    <cellStyle name="Style 1883" xfId="415"/>
    <cellStyle name="Style 1884" xfId="416"/>
    <cellStyle name="Style 1885" xfId="417"/>
    <cellStyle name="Style 1887" xfId="418"/>
    <cellStyle name="Style 1887 2" xfId="419"/>
    <cellStyle name="Style 1887 3" xfId="420"/>
    <cellStyle name="Style 1887 4" xfId="421"/>
    <cellStyle name="Style 1888" xfId="422"/>
    <cellStyle name="Style 1888 2" xfId="423"/>
    <cellStyle name="Style 1888 3" xfId="424"/>
    <cellStyle name="Style 1888 4" xfId="425"/>
    <cellStyle name="Style 1889" xfId="426"/>
    <cellStyle name="Style 1889 2" xfId="427"/>
    <cellStyle name="Style 1889 3" xfId="428"/>
    <cellStyle name="Style 1889 4" xfId="429"/>
    <cellStyle name="Style 1890" xfId="430"/>
    <cellStyle name="Style 1890 2" xfId="431"/>
    <cellStyle name="Style 1890 3" xfId="432"/>
    <cellStyle name="Style 1890 4" xfId="433"/>
    <cellStyle name="Style 1891" xfId="434"/>
    <cellStyle name="Style 1891 2" xfId="435"/>
    <cellStyle name="Style 1891 3" xfId="436"/>
    <cellStyle name="Style 1891 4" xfId="437"/>
    <cellStyle name="Style 1892" xfId="438"/>
    <cellStyle name="Style 1892 2" xfId="439"/>
    <cellStyle name="Style 1892 3" xfId="440"/>
    <cellStyle name="Style 1892 4" xfId="441"/>
    <cellStyle name="Style 1893" xfId="442"/>
    <cellStyle name="Style 1893 2" xfId="443"/>
    <cellStyle name="Style 1893 3" xfId="444"/>
    <cellStyle name="Style 1893 4" xfId="445"/>
    <cellStyle name="Style 1894" xfId="446"/>
    <cellStyle name="Style 1894 2" xfId="447"/>
    <cellStyle name="Style 1894 3" xfId="448"/>
    <cellStyle name="Style 1894 4" xfId="449"/>
    <cellStyle name="Style 1895" xfId="450"/>
    <cellStyle name="Style 1895 2" xfId="451"/>
    <cellStyle name="Style 1895 3" xfId="452"/>
    <cellStyle name="Style 1895 4" xfId="453"/>
    <cellStyle name="Style 2066" xfId="454"/>
    <cellStyle name="Style 2067" xfId="455"/>
    <cellStyle name="Style 2068" xfId="456"/>
    <cellStyle name="Style 2069" xfId="457"/>
    <cellStyle name="Style 2070" xfId="458"/>
    <cellStyle name="Style 2071" xfId="459"/>
    <cellStyle name="Style 2072" xfId="460"/>
    <cellStyle name="Style 2073" xfId="461"/>
    <cellStyle name="Style 2074" xfId="462"/>
    <cellStyle name="Style 2075" xfId="463"/>
    <cellStyle name="Style 2089" xfId="464"/>
    <cellStyle name="Style 2202" xfId="465"/>
    <cellStyle name="Style 2204" xfId="466"/>
    <cellStyle name="Style 2206" xfId="467"/>
    <cellStyle name="Style 2207" xfId="468"/>
    <cellStyle name="Style 2208" xfId="469"/>
    <cellStyle name="Style 2209" xfId="470"/>
    <cellStyle name="Style 2210" xfId="471"/>
    <cellStyle name="Style 2211" xfId="472"/>
    <cellStyle name="Style 2212" xfId="473"/>
    <cellStyle name="Style 2213" xfId="474"/>
    <cellStyle name="Style 2214" xfId="475"/>
    <cellStyle name="Style 2215" xfId="476"/>
    <cellStyle name="Style 2464" xfId="477"/>
    <cellStyle name="Style 2468" xfId="478"/>
    <cellStyle name="Style 2470" xfId="479"/>
    <cellStyle name="Style 2471" xfId="480"/>
    <cellStyle name="Style 2472" xfId="481"/>
    <cellStyle name="Style 2473" xfId="482"/>
    <cellStyle name="Style 2474" xfId="483"/>
    <cellStyle name="Style 2475" xfId="484"/>
    <cellStyle name="Style 2476" xfId="485"/>
    <cellStyle name="Style 2477" xfId="486"/>
    <cellStyle name="Style 2478" xfId="487"/>
    <cellStyle name="Style 2479" xfId="488"/>
    <cellStyle name="Style 297" xfId="489"/>
    <cellStyle name="Style 297 2" xfId="490"/>
    <cellStyle name="Style 300" xfId="491"/>
    <cellStyle name="Style 300 2" xfId="492"/>
    <cellStyle name="Style 528" xfId="493"/>
    <cellStyle name="Style 528 2" xfId="494"/>
    <cellStyle name="Style 561" xfId="495"/>
    <cellStyle name="Style 561 2" xfId="496"/>
    <cellStyle name="Style 669" xfId="497"/>
    <cellStyle name="Style 669 2" xfId="498"/>
    <cellStyle name="Style 670" xfId="499"/>
    <cellStyle name="Style 670 2" xfId="500"/>
    <cellStyle name="Style 671" xfId="501"/>
    <cellStyle name="Style 671 2" xfId="502"/>
    <cellStyle name="Style 672" xfId="503"/>
    <cellStyle name="Style 672 2" xfId="504"/>
    <cellStyle name="Style 673" xfId="505"/>
    <cellStyle name="Style 673 2" xfId="506"/>
    <cellStyle name="Style 674" xfId="507"/>
    <cellStyle name="Style 674 2" xfId="508"/>
    <cellStyle name="Style 675" xfId="509"/>
    <cellStyle name="Style 675 2" xfId="510"/>
    <cellStyle name="Style 676" xfId="511"/>
    <cellStyle name="Style 676 2" xfId="512"/>
    <cellStyle name="Style 707" xfId="513"/>
    <cellStyle name="Style 707 2" xfId="514"/>
    <cellStyle name="Style 707 3" xfId="515"/>
    <cellStyle name="Style 707 4" xfId="516"/>
    <cellStyle name="Style 708" xfId="517"/>
    <cellStyle name="Style 708 2" xfId="518"/>
    <cellStyle name="Style 708 3" xfId="519"/>
    <cellStyle name="Style 708 4" xfId="520"/>
    <cellStyle name="Style 709" xfId="521"/>
    <cellStyle name="Style 709 2" xfId="522"/>
    <cellStyle name="Style 709 3" xfId="523"/>
    <cellStyle name="Style 709 4" xfId="524"/>
    <cellStyle name="Style 710" xfId="525"/>
    <cellStyle name="Style 710 2" xfId="526"/>
    <cellStyle name="Style 710 3" xfId="527"/>
    <cellStyle name="Style 710 4" xfId="528"/>
    <cellStyle name="Style 711" xfId="529"/>
    <cellStyle name="Style 711 2" xfId="530"/>
    <cellStyle name="Style 711 3" xfId="531"/>
    <cellStyle name="Style 711 4" xfId="532"/>
    <cellStyle name="Style 712" xfId="533"/>
    <cellStyle name="Style 712 2" xfId="534"/>
    <cellStyle name="Style 712 3" xfId="535"/>
    <cellStyle name="Style 712 4" xfId="536"/>
    <cellStyle name="Style 713" xfId="537"/>
    <cellStyle name="Style 713 2" xfId="538"/>
    <cellStyle name="Style 713 3" xfId="539"/>
    <cellStyle name="Style 713 4" xfId="540"/>
    <cellStyle name="Style 714" xfId="541"/>
    <cellStyle name="Style 714 2" xfId="542"/>
    <cellStyle name="Style 714 3" xfId="543"/>
    <cellStyle name="Style 714 4" xfId="544"/>
    <cellStyle name="Style 723" xfId="545"/>
    <cellStyle name="Style 723 2" xfId="546"/>
    <cellStyle name="Style 740" xfId="547"/>
    <cellStyle name="Style 740 2" xfId="548"/>
    <cellStyle name="Style 740 3" xfId="549"/>
    <cellStyle name="Style 740 4" xfId="550"/>
    <cellStyle name="Style 741" xfId="551"/>
    <cellStyle name="Style 741 2" xfId="552"/>
    <cellStyle name="Style 741 3" xfId="553"/>
    <cellStyle name="Style 741 4" xfId="554"/>
    <cellStyle name="Style 742" xfId="555"/>
    <cellStyle name="Style 742 2" xfId="556"/>
    <cellStyle name="Style 742 3" xfId="557"/>
    <cellStyle name="Style 742 4" xfId="558"/>
    <cellStyle name="Style 743" xfId="559"/>
    <cellStyle name="Style 743 2" xfId="560"/>
    <cellStyle name="Style 743 3" xfId="561"/>
    <cellStyle name="Style 743 4" xfId="562"/>
    <cellStyle name="Style 744" xfId="563"/>
    <cellStyle name="Style 744 2" xfId="564"/>
    <cellStyle name="Style 744 3" xfId="565"/>
    <cellStyle name="Style 744 4" xfId="566"/>
    <cellStyle name="Style 745" xfId="567"/>
    <cellStyle name="Style 745 2" xfId="568"/>
    <cellStyle name="Style 745 3" xfId="569"/>
    <cellStyle name="Style 745 4" xfId="570"/>
    <cellStyle name="Style 746" xfId="571"/>
    <cellStyle name="Style 746 2" xfId="572"/>
    <cellStyle name="Style 746 3" xfId="573"/>
    <cellStyle name="Style 746 4" xfId="574"/>
    <cellStyle name="Style 747" xfId="575"/>
    <cellStyle name="Style 747 2" xfId="576"/>
    <cellStyle name="Style 747 3" xfId="577"/>
    <cellStyle name="Style 747 4" xfId="578"/>
    <cellStyle name="Style 868" xfId="579"/>
    <cellStyle name="Style 868 2" xfId="580"/>
    <cellStyle name="Style 902" xfId="581"/>
    <cellStyle name="Style 902 2" xfId="582"/>
    <cellStyle name="Style 902 3" xfId="583"/>
    <cellStyle name="Style 902 4" xfId="584"/>
    <cellStyle name="Style 903" xfId="585"/>
    <cellStyle name="Style 903 2" xfId="586"/>
    <cellStyle name="Style 903 3" xfId="587"/>
    <cellStyle name="Style 903 4" xfId="588"/>
    <cellStyle name="Style 904" xfId="589"/>
    <cellStyle name="Style 904 2" xfId="590"/>
    <cellStyle name="Style 904 3" xfId="591"/>
    <cellStyle name="Style 904 4" xfId="592"/>
    <cellStyle name="Style 905" xfId="593"/>
    <cellStyle name="Style 905 2" xfId="594"/>
    <cellStyle name="Style 905 3" xfId="595"/>
    <cellStyle name="Style 905 4" xfId="596"/>
    <cellStyle name="Style 910" xfId="597"/>
    <cellStyle name="Style 910 2" xfId="598"/>
    <cellStyle name="Style 910 3" xfId="599"/>
    <cellStyle name="Style 910 4" xfId="600"/>
    <cellStyle name="Style 911" xfId="601"/>
    <cellStyle name="Style 911 2" xfId="602"/>
    <cellStyle name="Style 911 3" xfId="603"/>
    <cellStyle name="Style 911 4" xfId="604"/>
    <cellStyle name="Style 912" xfId="605"/>
    <cellStyle name="Style 912 2" xfId="606"/>
    <cellStyle name="Style 912 3" xfId="607"/>
    <cellStyle name="Style 912 4" xfId="608"/>
    <cellStyle name="Style 913" xfId="609"/>
    <cellStyle name="Style 913 2" xfId="610"/>
    <cellStyle name="Style 913 3" xfId="611"/>
    <cellStyle name="Style 913 4" xfId="612"/>
    <cellStyle name="Style 918" xfId="613"/>
    <cellStyle name="Style 918 2" xfId="614"/>
    <cellStyle name="Style 918 3" xfId="615"/>
    <cellStyle name="Style 918 4" xfId="616"/>
    <cellStyle name="Style 919" xfId="617"/>
    <cellStyle name="Style 919 2" xfId="618"/>
    <cellStyle name="Style 919 3" xfId="619"/>
    <cellStyle name="Style 919 4" xfId="620"/>
    <cellStyle name="Style 920" xfId="621"/>
    <cellStyle name="Style 920 2" xfId="622"/>
    <cellStyle name="Style 920 3" xfId="623"/>
    <cellStyle name="Style 920 4" xfId="624"/>
    <cellStyle name="Style 921" xfId="625"/>
    <cellStyle name="Style 921 2" xfId="626"/>
    <cellStyle name="Style 921 3" xfId="627"/>
    <cellStyle name="Style 921 4" xfId="628"/>
    <cellStyle name="Style 926" xfId="629"/>
    <cellStyle name="Style 926 2" xfId="630"/>
    <cellStyle name="Style 926 3" xfId="631"/>
    <cellStyle name="Style 926 4" xfId="632"/>
    <cellStyle name="Style 927" xfId="633"/>
    <cellStyle name="Style 927 2" xfId="634"/>
    <cellStyle name="Style 927 3" xfId="635"/>
    <cellStyle name="Style 927 4" xfId="636"/>
    <cellStyle name="Style 928" xfId="637"/>
    <cellStyle name="Style 928 2" xfId="638"/>
    <cellStyle name="Style 928 3" xfId="639"/>
    <cellStyle name="Style 928 4" xfId="640"/>
    <cellStyle name="Style 929" xfId="641"/>
    <cellStyle name="Style 929 2" xfId="642"/>
    <cellStyle name="Style 929 3" xfId="643"/>
    <cellStyle name="Style 929 4" xfId="644"/>
    <cellStyle name="Style 934" xfId="645"/>
    <cellStyle name="Style 934 2" xfId="646"/>
    <cellStyle name="Style 934 3" xfId="647"/>
    <cellStyle name="Style 934 4" xfId="648"/>
    <cellStyle name="Style 935" xfId="649"/>
    <cellStyle name="Style 935 2" xfId="650"/>
    <cellStyle name="Style 935 3" xfId="651"/>
    <cellStyle name="Style 935 4" xfId="652"/>
    <cellStyle name="Style 936" xfId="653"/>
    <cellStyle name="Style 936 2" xfId="654"/>
    <cellStyle name="Style 936 3" xfId="655"/>
    <cellStyle name="Style 936 4" xfId="656"/>
    <cellStyle name="Style 937" xfId="657"/>
    <cellStyle name="Style 937 2" xfId="658"/>
    <cellStyle name="Style 937 3" xfId="659"/>
    <cellStyle name="Style 937 4" xfId="660"/>
    <cellStyle name="Style 942" xfId="661"/>
    <cellStyle name="Style 942 2" xfId="662"/>
    <cellStyle name="Style 942 3" xfId="663"/>
    <cellStyle name="Style 942 4" xfId="664"/>
    <cellStyle name="Style 943" xfId="665"/>
    <cellStyle name="Style 943 2" xfId="666"/>
    <cellStyle name="Style 943 3" xfId="667"/>
    <cellStyle name="Style 943 4" xfId="668"/>
    <cellStyle name="Style 944" xfId="669"/>
    <cellStyle name="Style 944 2" xfId="670"/>
    <cellStyle name="Style 944 3" xfId="671"/>
    <cellStyle name="Style 944 4" xfId="672"/>
    <cellStyle name="Style 945" xfId="673"/>
    <cellStyle name="Style 945 2" xfId="674"/>
    <cellStyle name="Style 945 3" xfId="675"/>
    <cellStyle name="Style 945 4" xfId="676"/>
    <cellStyle name="Style 950" xfId="677"/>
    <cellStyle name="Style 950 2" xfId="678"/>
    <cellStyle name="Style 950 3" xfId="679"/>
    <cellStyle name="Style 950 4" xfId="680"/>
    <cellStyle name="Style 951" xfId="681"/>
    <cellStyle name="Style 951 2" xfId="682"/>
    <cellStyle name="Style 951 3" xfId="683"/>
    <cellStyle name="Style 951 4" xfId="684"/>
    <cellStyle name="Style 952" xfId="685"/>
    <cellStyle name="Style 952 2" xfId="686"/>
    <cellStyle name="Style 952 3" xfId="687"/>
    <cellStyle name="Style 952 4" xfId="688"/>
    <cellStyle name="Style 953" xfId="689"/>
    <cellStyle name="Style 953 2" xfId="690"/>
    <cellStyle name="Style 953 3" xfId="691"/>
    <cellStyle name="Style 953 4" xfId="692"/>
    <cellStyle name="Style 958" xfId="693"/>
    <cellStyle name="Style 958 2" xfId="694"/>
    <cellStyle name="Style 958 3" xfId="695"/>
    <cellStyle name="Style 958 4" xfId="696"/>
    <cellStyle name="Style 959" xfId="697"/>
    <cellStyle name="Style 959 2" xfId="698"/>
    <cellStyle name="Style 959 3" xfId="699"/>
    <cellStyle name="Style 959 4" xfId="700"/>
    <cellStyle name="Style 960" xfId="701"/>
    <cellStyle name="Style 960 2" xfId="702"/>
    <cellStyle name="Style 960 3" xfId="703"/>
    <cellStyle name="Style 960 4" xfId="704"/>
    <cellStyle name="Style 961" xfId="705"/>
    <cellStyle name="Style 961 2" xfId="706"/>
    <cellStyle name="Style 961 3" xfId="707"/>
    <cellStyle name="Style 961 4" xfId="708"/>
    <cellStyle name="Style 966" xfId="709"/>
    <cellStyle name="Style 966 2" xfId="710"/>
    <cellStyle name="Style 966 3" xfId="711"/>
    <cellStyle name="Style 966 4" xfId="712"/>
    <cellStyle name="Style 967" xfId="713"/>
    <cellStyle name="Style 967 2" xfId="714"/>
    <cellStyle name="Style 967 3" xfId="715"/>
    <cellStyle name="Style 967 4" xfId="716"/>
    <cellStyle name="Style 968" xfId="717"/>
    <cellStyle name="Style 968 2" xfId="718"/>
    <cellStyle name="Style 968 3" xfId="719"/>
    <cellStyle name="Style 968 4" xfId="720"/>
    <cellStyle name="Style 969" xfId="721"/>
    <cellStyle name="Style 969 2" xfId="722"/>
    <cellStyle name="Style 969 3" xfId="723"/>
    <cellStyle name="Style 969 4" xfId="724"/>
    <cellStyle name="Style 974" xfId="725"/>
    <cellStyle name="Style 974 2" xfId="726"/>
    <cellStyle name="Style 974 3" xfId="727"/>
    <cellStyle name="Style 974 4" xfId="728"/>
    <cellStyle name="Style 975" xfId="729"/>
    <cellStyle name="Style 975 2" xfId="730"/>
    <cellStyle name="Style 975 3" xfId="731"/>
    <cellStyle name="Style 975 4" xfId="732"/>
    <cellStyle name="Style 976" xfId="733"/>
    <cellStyle name="Style 976 2" xfId="734"/>
    <cellStyle name="Style 976 3" xfId="735"/>
    <cellStyle name="Style 976 4" xfId="736"/>
    <cellStyle name="Style 977" xfId="737"/>
    <cellStyle name="Style 977 2" xfId="738"/>
    <cellStyle name="Style 977 3" xfId="739"/>
    <cellStyle name="Style 977 4" xfId="740"/>
    <cellStyle name="Style 979" xfId="741"/>
    <cellStyle name="Style 979 2" xfId="742"/>
    <cellStyle name="Style 981" xfId="743"/>
    <cellStyle name="Style 981 2" xfId="744"/>
    <cellStyle name="Style 981 3" xfId="745"/>
    <cellStyle name="Style 981 4" xfId="746"/>
    <cellStyle name="Style 982" xfId="747"/>
    <cellStyle name="Style 982 2" xfId="748"/>
    <cellStyle name="Style 982 3" xfId="749"/>
    <cellStyle name="Style 982 4" xfId="750"/>
    <cellStyle name="Style 983" xfId="751"/>
    <cellStyle name="Style 983 2" xfId="752"/>
    <cellStyle name="Style 983 3" xfId="753"/>
    <cellStyle name="Style 983 4" xfId="754"/>
    <cellStyle name="Style 984" xfId="755"/>
    <cellStyle name="Style 984 2" xfId="756"/>
    <cellStyle name="Style 984 3" xfId="757"/>
    <cellStyle name="Style 984 4" xfId="758"/>
    <cellStyle name="Style 985" xfId="759"/>
    <cellStyle name="Style 985 2" xfId="760"/>
    <cellStyle name="Style 985 3" xfId="761"/>
    <cellStyle name="Style 985 4" xfId="762"/>
    <cellStyle name="Style 986" xfId="763"/>
    <cellStyle name="Style 986 2" xfId="764"/>
    <cellStyle name="Style 986 3" xfId="765"/>
    <cellStyle name="Style 986 4" xfId="766"/>
    <cellStyle name="Style 987" xfId="767"/>
    <cellStyle name="Style 987 2" xfId="768"/>
    <cellStyle name="Style 987 3" xfId="769"/>
    <cellStyle name="Style 987 4" xfId="770"/>
    <cellStyle name="Style 988" xfId="771"/>
    <cellStyle name="Style 988 2" xfId="772"/>
    <cellStyle name="Style 988 3" xfId="773"/>
    <cellStyle name="Style 988 4" xfId="774"/>
    <cellStyle name="Style 989" xfId="775"/>
    <cellStyle name="Style 989 2" xfId="776"/>
    <cellStyle name="Style 989 3" xfId="777"/>
    <cellStyle name="Style 989 4" xfId="778"/>
    <cellStyle name="Style 991" xfId="779"/>
    <cellStyle name="Style 991 2" xfId="780"/>
    <cellStyle name="Title" xfId="781" builtinId="15" customBuiltin="1"/>
    <cellStyle name="Title 2" xfId="782"/>
    <cellStyle name="Total" xfId="783" builtinId="25" customBuiltin="1"/>
    <cellStyle name="Total 2" xfId="784"/>
    <cellStyle name="Warning Text" xfId="785" builtinId="11" customBuiltin="1"/>
    <cellStyle name="Warning Text 2" xfId="786"/>
    <cellStyle name="Hyperlink" xfId="787"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E5000"/>
      <rgbColor rgb="0000FF00"/>
      <rgbColor rgb="00009CDE"/>
      <rgbColor rgb="00FEDB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A0A0A0"/>
      <rgbColor rgb="00CC9900"/>
      <rgbColor rgb="00008C99"/>
      <rgbColor rgb="00579A32"/>
      <rgbColor rgb="00CC6633"/>
      <rgbColor rgb="003366FF"/>
      <rgbColor rgb="00666666"/>
      <rgbColor rgb="0000CC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21" Type="http://schemas.openxmlformats.org/officeDocument/2006/relationships/worksheet" Target="worksheets/sheet26.xml" />
<Relationship Id="rId15" Type="http://schemas.openxmlformats.org/officeDocument/2006/relationships/worksheet" Target="worksheets/sheet3.xml" />
<Relationship Id="rId19" Type="http://schemas.openxmlformats.org/officeDocument/2006/relationships/worksheet" Target="worksheets/sheet21.xml" />
<Relationship Id="rId16" Type="http://schemas.openxmlformats.org/officeDocument/2006/relationships/worksheet" Target="worksheets/sheet7.xml" />
<Relationship Id="rId14" Type="http://schemas.openxmlformats.org/officeDocument/2006/relationships/worksheet" Target="worksheets/sheet2.xml" />
<Relationship Id="rId18" Type="http://schemas.openxmlformats.org/officeDocument/2006/relationships/worksheet" Target="worksheets/sheet20.xml" />
<Relationship Id="rId22" Type="http://schemas.openxmlformats.org/officeDocument/2006/relationships/sharedStrings" Target="/xl/sharedStrings.xml" />
<Relationship Id="rId13" Type="http://schemas.openxmlformats.org/officeDocument/2006/relationships/worksheet" Target="worksheets/sheet1.xml" />
<Relationship Id="rId20" Type="http://schemas.openxmlformats.org/officeDocument/2006/relationships/worksheet" Target="worksheets/sheet23.xml" />
<Relationship Id="rId23" Type="http://schemas.openxmlformats.org/officeDocument/2006/relationships/styles" Target="/xl/styles.xml" />
<Relationship Id="rId17" Type="http://schemas.openxmlformats.org/officeDocument/2006/relationships/worksheet" Target="worksheets/sheet9.xml" />
<Relationship Id="rId24" Type="http://schemas.openxmlformats.org/officeDocument/2006/relationships/theme" Target="/xl/theme/theme1.xml" />
<Relationship Id="rId12" Type="http://schemas.openxmlformats.org/officeDocument/2006/relationships/worksheet" Target="worksheets/sheet28.xml" />
<Relationship Id="rId11" Type="http://schemas.openxmlformats.org/officeDocument/2006/relationships/worksheet" Target="worksheets/sheet32.xml" />
<Relationship Id="rId10" Type="http://schemas.openxmlformats.org/officeDocument/2006/relationships/worksheet" Target="worksheets/sheet36.xml" />
<Relationship Id="rId9" Type="http://schemas.openxmlformats.org/officeDocument/2006/relationships/worksheet" Target="worksheets/sheet40.xml" />
<Relationship Id="rId8" Type="http://schemas.openxmlformats.org/officeDocument/2006/relationships/worksheet" Target="worksheets/sheet44.xml" />
<Relationship Id="rId7" Type="http://schemas.openxmlformats.org/officeDocument/2006/relationships/worksheet" Target="worksheets/sheet48.xml" />
<Relationship Id="rId6" Type="http://schemas.openxmlformats.org/officeDocument/2006/relationships/worksheet" Target="worksheets/sheet52.xml" />
<Relationship Id="rId5" Type="http://schemas.openxmlformats.org/officeDocument/2006/relationships/worksheet" Target="worksheets/sheet56.xml" />
<Relationship Id="rId4" Type="http://schemas.openxmlformats.org/officeDocument/2006/relationships/worksheet" Target="worksheets/sheet59.xml" />
<Relationship Id="rId3" Type="http://schemas.openxmlformats.org/officeDocument/2006/relationships/worksheet" Target="worksheets/sheet62.xml" />
<Relationship Id="rId2" Type="http://schemas.openxmlformats.org/officeDocument/2006/relationships/worksheet" Target="worksheets/sheet65.xml" />
<Relationship Id="rId1" Type="http://schemas.openxmlformats.org/officeDocument/2006/relationships/worksheet" Target="worksheets/sheet69.xml" />
</Relationships>
</file>

<file path=xl/charts/chart72.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Monthly Indexes</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Comp!$C$23:$T$23</f>
              <numCache>
                <formatCode>General</formatCode>
                <ptCount val="18"/>
                <pt idx="0">
                  <v>79.8152345488674</v>
                </pt>
                <pt idx="0">
                  <v>70.9975583656716</v>
                </pt>
                <pt idx="0">
                  <v>76.5379451045733</v>
                </pt>
                <pt idx="0">
                  <v>71.8370270764895</v>
                </pt>
                <pt idx="0">
                  <v>71.0499852752116</v>
                </pt>
                <pt idx="0">
                  <v>61.9910818825895</v>
                </pt>
                <pt idx="0">
                  <v>66.3331574035862</v>
                </pt>
                <pt idx="0">
                  <v>74.2583710256841</v>
                </pt>
                <pt idx="0">
                  <v>111.064056493365</v>
                </pt>
                <pt idx="0">
                  <v>78.9023586157168</v>
                </pt>
                <pt idx="0">
                  <v>66.0385595480448</v>
                </pt>
                <pt idx="0">
                  <v>58.3870967742077</v>
                </pt>
                <pt idx="0">
                  <v>61.9527210046322</v>
                </pt>
                <pt idx="0">
                  <v>70.9378965239451</v>
                </pt>
                <pt idx="0">
                  <v>83.0696516451953</v>
                </pt>
                <pt idx="0">
                  <v>65.9387620208508</v>
                </pt>
                <pt idx="0">
                  <v>72.0265757496755</v>
                </pt>
                <pt idx="0">
                  <v>68.3275576888755</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Comp!$C$35:$T$35</f>
              <numCache>
                <formatCode>General</formatCode>
                <ptCount val="18"/>
                <pt idx="0">
                  <v>81.0422609716818</v>
                </pt>
                <pt idx="0">
                  <v>82.6108085521775</v>
                </pt>
                <pt idx="0">
                  <v>81.506646350762</v>
                </pt>
                <pt idx="0">
                  <v>83.0075608537548</v>
                </pt>
                <pt idx="0">
                  <v>83.2286674110899</v>
                </pt>
                <pt idx="0">
                  <v>78.957898968487</v>
                </pt>
                <pt idx="0">
                  <v>79.3587445959678</v>
                </pt>
                <pt idx="0">
                  <v>79.1793617381372</v>
                </pt>
                <pt idx="0">
                  <v>78.8703110590273</v>
                </pt>
                <pt idx="0">
                  <v>77.8711470105459</v>
                </pt>
                <pt idx="0">
                  <v>84.8193703079083</v>
                </pt>
                <pt idx="0">
                  <v>86.4157923161483</v>
                </pt>
                <pt idx="0">
                  <v>81.4058401922341</v>
                </pt>
                <pt idx="0">
                  <v>83.3728991883085</v>
                </pt>
                <pt idx="0">
                  <v>85.8890824337672</v>
                </pt>
                <pt idx="0">
                  <v>79.4387104778789</v>
                </pt>
                <pt idx="0">
                  <v>80.5842147939393</v>
                </pt>
                <pt idx="0">
                  <v>75.9067808224614</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Comp!$C$47:$T$47</f>
              <numCache>
                <formatCode>General</formatCode>
                <ptCount val="18"/>
                <pt idx="0">
                  <v>64.6840706782811</v>
                </pt>
                <pt idx="0">
                  <v>58.6516570181902</v>
                </pt>
                <pt idx="0">
                  <v>62.3835122405462</v>
                </pt>
                <pt idx="0">
                  <v>59.630163966051</v>
                </pt>
                <pt idx="0">
                  <v>59.1339559403657</v>
                </pt>
                <pt idx="0">
                  <v>48.9468558023644</v>
                </pt>
                <pt idx="0">
                  <v>52.6411609663089</v>
                </pt>
                <pt idx="0">
                  <v>58.7973042153456</v>
                </pt>
                <pt idx="0">
                  <v>87.596566831163</v>
                </pt>
                <pt idx="0">
                  <v>61.4421716724039</v>
                </pt>
                <pt idx="0">
                  <v>56.0134903690796</v>
                </pt>
                <pt idx="0">
                  <v>50.4556722877979</v>
                </pt>
                <pt idx="0">
                  <v>50.4331330557922</v>
                </pt>
                <pt idx="0">
                  <v>59.1429809552827</v>
                </pt>
                <pt idx="0">
                  <v>71.3477615789824</v>
                </pt>
                <pt idx="0">
                  <v>52.380902254427</v>
                </pt>
                <pt idx="0">
                  <v>58.0420505108048</v>
                </pt>
                <pt idx="0">
                  <v>51.8652494561924</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Comp!$C$60:$T$60</f>
              <numCache>
                <formatCode>General</formatCode>
                <ptCount val="18"/>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16"/>
          <min val="4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73.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RevPAR Percent Change</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Comp!$B$67:$B$69</f>
            </multiLvlStrRef>
          </cat>
          <val>
            <numRef>
              <f>Comp!$X$50,Comp!$AB$50,Comp!$AF$50</f>
              <numCache>
                <formatCode>General</formatCode>
                <ptCount val="3"/>
                <pt idx="0">
                  <v>-7.76640171413684</v>
                </pt>
                <pt idx="0">
                  <v>-5.33243882430028</v>
                </pt>
                <pt idx="0">
                  <v>-13.3435561828633</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Comp!$B$67:$B$69</f>
            </multiLvlStrRef>
          </cat>
          <val>
            <numRef>
              <f>Comp!$X$51,Comp!$AB$51,Comp!$AF$51</f>
              <numCache>
                <formatCode>General</formatCode>
                <ptCount val="3"/>
                <pt idx="0">
                  <v>-5.46168917200607</v>
                </pt>
                <pt idx="0">
                  <v>-2.11729268146006</v>
                </pt>
                <pt idx="0">
                  <v>-2.52915609361912</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5"/>
          <min val="-18"/>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7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Occupancy</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Week'!$X$14:$AF$14</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Week'!$X$15:$AF$15</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78"/>
          <min val="20"/>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r"/>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76.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ADR</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Week'!$X$16:$AF$16</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Week'!$X$17:$AF$17</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147"/>
          <min val="90"/>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78.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0" i="0" u="none" strike="noStrike" baseline="0">
                <a:solidFill>
                  <a:sysClr val="windowText"/>
                </a:solidFill>
                <a:latin typeface="Arial"/>
              </a:defRPr>
            </a:pPr>
            <a:r>
              <a:rPr sz="1800" b="0" i="0" u="none" strike="noStrike" baseline="0">
                <a:latin typeface="Arial" charset="0"/>
              </a:rPr>
              <a:t>Daily Indexes for the Month of June</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Month'!$C$28:$AF$28</f>
              <numCache>
                <formatCode>General</formatCode>
                <ptCount val="30"/>
                <pt idx="0">
                  <v>69.3548387097468</v>
                </pt>
                <pt idx="0">
                  <v>48.2900800388234</v>
                </pt>
                <pt idx="0">
                  <v>45.3741367893651</v>
                </pt>
                <pt idx="0">
                  <v>34.4315376209255</v>
                </pt>
                <pt idx="0">
                  <v>61.419183024758</v>
                </pt>
                <pt idx="0">
                  <v>105.646134090765</v>
                </pt>
                <pt idx="0">
                  <v>108.967562224853</v>
                </pt>
                <pt idx="0">
                  <v>67.9564784307345</v>
                </pt>
                <pt idx="0">
                  <v>50.3521751997784</v>
                </pt>
                <pt idx="0">
                  <v>0</v>
                </pt>
                <pt idx="0">
                  <v>43.6086199972962</v>
                </pt>
                <pt idx="0">
                  <v>58.8011896591379</v>
                </pt>
                <pt idx="0">
                  <v>53.9446002804709</v>
                </pt>
                <pt idx="0">
                  <v>26.7355982274792</v>
                </pt>
                <pt idx="0">
                  <v>62.7405206565443</v>
                </pt>
                <pt idx="0">
                  <v>76.3114030786933</v>
                </pt>
                <pt idx="0">
                  <v>47.4495690038083</v>
                </pt>
                <pt idx="0">
                  <v>54.249428498852</v>
                </pt>
                <pt idx="0">
                  <v>50.655472087167</v>
                </pt>
                <pt idx="0">
                  <v>96.287492925809</v>
                </pt>
                <pt idx="0">
                  <v>94.1508869096727</v>
                </pt>
                <pt idx="0">
                  <v>56.5866136137938</v>
                </pt>
                <pt idx="0">
                  <v>106.34792626734</v>
                </pt>
                <pt idx="0">
                  <v>92.6501835040258</v>
                </pt>
                <pt idx="0">
                  <v>80.4043675011044</v>
                </pt>
                <pt idx="0">
                  <v>61.9391615004292</v>
                </pt>
                <pt idx="0">
                  <v>93.1140628294014</v>
                </pt>
                <pt idx="0">
                  <v>80.1979378027874</v>
                </pt>
                <pt idx="0">
                  <v>78.266885756329</v>
                </pt>
                <pt idx="0">
                  <v>63.8608870967474</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Month'!$C$38:$AF$38</f>
              <numCache>
                <formatCode>General</formatCode>
                <ptCount val="30"/>
                <pt idx="0">
                  <v>89.8508065435894</v>
                </pt>
                <pt idx="0">
                  <v>79.0201876876174</v>
                </pt>
                <pt idx="0">
                  <v>83.4956013023305</v>
                </pt>
                <pt idx="0">
                  <v>86.7237886211886</v>
                </pt>
                <pt idx="0">
                  <v>88.0421071371855</v>
                </pt>
                <pt idx="0">
                  <v>82.4183308029895</v>
                </pt>
                <pt idx="0">
                  <v>86.3613646831184</v>
                </pt>
                <pt idx="0">
                  <v>73.9708666976844</v>
                </pt>
                <pt idx="0">
                  <v>77.8624458530179</v>
                </pt>
                <pt idx="0">
                  <v>0</v>
                </pt>
                <pt idx="0">
                  <v>84.5549366577857</v>
                </pt>
                <pt idx="0">
                  <v>86.4962378203772</v>
                </pt>
                <pt idx="0">
                  <v>80.4795681971998</v>
                </pt>
                <pt idx="0">
                  <v>67.2528259439214</v>
                </pt>
                <pt idx="0">
                  <v>76.2600258314742</v>
                </pt>
                <pt idx="0">
                  <v>70.2224762442365</v>
                </pt>
                <pt idx="0">
                  <v>66.3263569135274</v>
                </pt>
                <pt idx="0">
                  <v>71.8449362822148</v>
                </pt>
                <pt idx="0">
                  <v>73.5820833518395</v>
                </pt>
                <pt idx="0">
                  <v>79.1506635526806</v>
                </pt>
                <pt idx="0">
                  <v>76.6955360953543</v>
                </pt>
                <pt idx="0">
                  <v>65.3414978035124</v>
                </pt>
                <pt idx="0">
                  <v>70.0138556204364</v>
                </pt>
                <pt idx="0">
                  <v>69.1227312562859</v>
                </pt>
                <pt idx="0">
                  <v>67.3241662828323</v>
                </pt>
                <pt idx="0">
                  <v>64.8921937289176</v>
                </pt>
                <pt idx="0">
                  <v>79.8699466146701</v>
                </pt>
                <pt idx="0">
                  <v>74.003336348468</v>
                </pt>
                <pt idx="0">
                  <v>75.2238638283602</v>
                </pt>
                <pt idx="0">
                  <v>73.2825105587925</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Month'!$C$48:$AF$48</f>
              <numCache>
                <formatCode>General</formatCode>
                <ptCount val="30"/>
                <pt idx="0">
                  <v>62.3158819575986</v>
                </pt>
                <pt idx="0">
                  <v>38.1589118811604</v>
                </pt>
                <pt idx="0">
                  <v>37.8854083480008</v>
                </pt>
                <pt idx="0">
                  <v>29.8603339053738</v>
                </pt>
                <pt idx="0">
                  <v>54.0747429214822</v>
                </pt>
                <pt idx="0">
                  <v>87.0717802755056</v>
                </pt>
                <pt idx="0">
                  <v>94.1058737992785</v>
                </pt>
                <pt idx="0">
                  <v>50.2679960724216</v>
                </pt>
                <pt idx="0">
                  <v>39.2054351507468</v>
                </pt>
                <pt idx="0">
                  <v>0</v>
                </pt>
                <pt idx="0">
                  <v>36.8732410160704</v>
                </pt>
                <pt idx="0">
                  <v>50.8608168487515</v>
                </pt>
                <pt idx="0">
                  <v>43.4143813714237</v>
                </pt>
                <pt idx="0">
                  <v>17.9804453409972</v>
                </pt>
                <pt idx="0">
                  <v>47.8459372594344</v>
                </pt>
                <pt idx="0">
                  <v>53.5877568986053</v>
                </pt>
                <pt idx="0">
                  <v>31.4715704914205</v>
                </pt>
                <pt idx="0">
                  <v>38.9754673384621</v>
                </pt>
                <pt idx="0">
                  <v>37.2733516934706</v>
                </pt>
                <pt idx="0">
                  <v>76.2121895690735</v>
                </pt>
                <pt idx="0">
                  <v>72.2095274539335</v>
                </pt>
                <pt idx="0">
                  <v>36.9745408914998</v>
                </pt>
                <pt idx="0">
                  <v>74.4582835520878</v>
                </pt>
                <pt idx="0">
                  <v>64.0423373519248</v>
                </pt>
                <pt idx="0">
                  <v>54.1315700751274</v>
                </pt>
                <pt idx="0">
                  <v>40.1936806749624</v>
                </pt>
                <pt idx="0">
                  <v>74.370152272643</v>
                </pt>
                <pt idx="0">
                  <v>59.3491496567491</v>
                </pt>
                <pt idx="0">
                  <v>58.8753755640481</v>
                </pt>
                <pt idx="0">
                  <v>46.7988613296484</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Month'!$C$60:$AF$60</f>
              <numCache>
                <formatCode>General</formatCode>
                <ptCount val="30"/>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numFmt formatCode="General" sourceLinked="0"/>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14"/>
          <min val="13"/>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30.xml.rels><?xml version="1.0" encoding="utf-8" standalone="yes" ?>
<Relationships xmlns="http://schemas.openxmlformats.org/package/2006/relationships">
<Relationship Id="rId76" Type="http://schemas.openxmlformats.org/officeDocument/2006/relationships/chart" Target="/xl/charts/chart72.xml" />
<Relationship Id="rId77" Type="http://schemas.openxmlformats.org/officeDocument/2006/relationships/chart" Target="/xl/charts/chart73.xml" />
</Relationships>
</file>

<file path=xl/drawings/_rels/drawing74.xml.rels><?xml version="1.0" encoding="utf-8" standalone="yes" ?>
<Relationships xmlns="http://schemas.openxmlformats.org/package/2006/relationships">
<Relationship Id="rId79" Type="http://schemas.openxmlformats.org/officeDocument/2006/relationships/chart" Target="/xl/charts/chart75.xml" />
<Relationship Id="rId80" Type="http://schemas.openxmlformats.org/officeDocument/2006/relationships/chart" Target="/xl/charts/chart76.xml" />
</Relationships>
</file>

<file path=xl/drawings/_rels/drawing77.xml.rels><?xml version="1.0" encoding="utf-8" standalone="yes" ?>
<Relationships xmlns="http://schemas.openxmlformats.org/package/2006/relationships">
<Relationship Id="rId82" Type="http://schemas.openxmlformats.org/officeDocument/2006/relationships/chart" Target="/xl/charts/chart78.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19050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20225" y="581025"/>
          <a:ext cx="1038225" cy="10382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1895475</xdr:colOff>
      <xdr:row>1</xdr:row>
      <xdr:rowOff>838200</xdr:rowOff>
    </xdr:to>
    <xdr:pic>
      <xdr:nvPicPr>
        <xdr:cNvPr id="7185" name="Picture 1">
          <a:extLst>
            <a:ext uri="{FF2B5EF4-FFF2-40B4-BE49-F238E27FC236}">
              <a16:creationId xmlns:a16="http://schemas.microsoft.com/office/drawing/2014/main" id="{00000000-0008-0000-1900-0000111C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57900"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37109</xdr:colOff>
      <xdr:row>5</xdr:row>
      <xdr:rowOff>31686</xdr:rowOff>
    </xdr:from>
    <xdr:to>
      <xdr:col>19</xdr:col>
      <xdr:colOff>338988</xdr:colOff>
      <xdr:row>16</xdr:row>
      <xdr:rowOff>102171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76"/>
        </a:graphicData>
      </a:graphic>
    </xdr:graphicFrame>
    <xdr:clientData/>
  </xdr:twoCellAnchor>
  <xdr:oneCellAnchor>
    <xdr:from>
      <xdr:col>20</xdr:col>
      <xdr:colOff>0</xdr:colOff>
      <xdr:row>4</xdr:row>
      <xdr:rowOff>0</xdr:rowOff>
    </xdr:from>
    <xdr:ext cx="6604000" cy="3810000"/>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77"/>
        </a:graphicData>
      </a:graphic>
    </xdr:graphicFrame>
    <xdr:clientData/>
  </xdr:oneCellAnchor>
</xdr:wsDr>
</file>

<file path=xl/drawings/drawing3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52375</xdr:colOff>
      <xdr:row>4</xdr:row>
      <xdr:rowOff>76581</xdr:rowOff>
    </xdr:from>
    <xdr:to>
      <xdr:col>11</xdr:col>
      <xdr:colOff>19990</xdr:colOff>
      <xdr:row>13</xdr:row>
      <xdr:rowOff>128651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79"/>
        </a:graphicData>
      </a:graphic>
    </xdr:graphicFrame>
    <xdr:clientData/>
  </xdr:twoCellAnchor>
  <xdr:twoCellAnchor>
    <xdr:from>
      <xdr:col>11</xdr:col>
      <xdr:colOff>195199</xdr:colOff>
      <xdr:row>4</xdr:row>
      <xdr:rowOff>76581</xdr:rowOff>
    </xdr:from>
    <xdr:to>
      <xdr:col>20</xdr:col>
      <xdr:colOff>584834</xdr:colOff>
      <xdr:row>13</xdr:row>
      <xdr:rowOff>128651</xdr:rowOff>
    </xdr:to>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80"/>
        </a:graphicData>
      </a:graphic>
    </xdr:graphicFrame>
    <xdr:clientData/>
  </xdr:twoCellAnchor>
</xdr:wsDr>
</file>

<file path=xl/drawings/drawing7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0</xdr:colOff>
      <xdr:row>4</xdr:row>
      <xdr:rowOff>0</xdr:rowOff>
    </xdr:from>
    <xdr:to>
      <xdr:col>32</xdr:col>
      <xdr:colOff>155575</xdr:colOff>
      <xdr:row>20</xdr:row>
      <xdr:rowOff>377825</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82"/>
        </a:graphicData>
      </a:graphic>
    </xdr:graphicFrame>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1" Type="http://schemas.openxmlformats.org/officeDocument/2006/relationships/printerSettings" Target="../printerSettings/printerSettings3.bin" />
</Relationships>
</file>

<file path=xl/worksheets/_rels/sheet7.xml.rels><?xml version="1.0" encoding="utf-8" standalone="yes" ?>
<Relationships xmlns="http://schemas.openxmlformats.org/package/2006/relationships">
<Relationship Id="rId1" Type="http://schemas.openxmlformats.org/officeDocument/2006/relationships/printerSettings" Target="../printerSettings/printerSettings7.bin" />
<Relationship Id="rId78" Type="http://schemas.openxmlformats.org/officeDocument/2006/relationships/drawing" Target="../drawings/drawing74.xml" />
</Relationships>
</file>

<file path=xl/worksheets/_rels/sheet9.xml.rels><?xml version="1.0" encoding="utf-8" standalone="yes" ?>
<Relationships xmlns="http://schemas.openxmlformats.org/package/2006/relationships">
<Relationship Id="rId1" Type="http://schemas.openxmlformats.org/officeDocument/2006/relationships/printerSettings" Target="../printerSettings/printerSettings9.bin" />
<Relationship Id="rId81" Type="http://schemas.openxmlformats.org/officeDocument/2006/relationships/drawing" Target="../drawings/drawing77.xml" />
</Relationships>
</file>

<file path=xl/worksheets/_rels/sheet20.xml.rels><?xml version="1.0" encoding="utf-8" standalone="yes" ?>
<Relationships xmlns="http://schemas.openxmlformats.org/package/2006/relationships">
<Relationship Id="rId1" Type="http://schemas.openxmlformats.org/officeDocument/2006/relationships/printerSettings" Target="../printerSettings/printerSettings20.bin" />
</Relationships>
</file>

<file path=xl/worksheets/_rels/sheet21.xml.rels><?xml version="1.0" encoding="utf-8" standalone="yes" ?>
<Relationships xmlns="http://schemas.openxmlformats.org/package/2006/relationships">
<Relationship Id="rId1" Type="http://schemas.openxmlformats.org/officeDocument/2006/relationships/printerSettings" Target="../printerSettings/printerSettings21.bin" />
</Relationships>
</file>

<file path=xl/worksheets/_rels/sheet23.xml.rels><?xml version="1.0" encoding="utf-8" standalone="yes" ?>
<Relationships xmlns="http://schemas.openxmlformats.org/package/2006/relationships">
<Relationship Id="rId1" Type="http://schemas.openxmlformats.org/officeDocument/2006/relationships/printerSettings" Target="../printerSettings/printerSettings23.bin" />
</Relationships>
</file>

<file path=xl/worksheets/_rels/sheet2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26.bin" />
<Relationship Id="rId83" Type="http://schemas.openxmlformats.org/officeDocument/2006/relationships/hyperlink" Target="http://www.str.com/data-insights/resources/glossary" TargetMode="External" />
<Relationship Id="rId84" Type="http://schemas.openxmlformats.org/officeDocument/2006/relationships/hyperlink" Target="http://www.hotelnewsnow.com/" TargetMode="External" />
<Relationship Id="rId85" Type="http://schemas.openxmlformats.org/officeDocument/2006/relationships/hyperlink" Target="http://www.hoteldataconference.com/" TargetMode="External" />
<Relationship Id="rId86" Type="http://schemas.openxmlformats.org/officeDocument/2006/relationships/hyperlink" Target="http://www.str.com/data-insights/resources/FAQ" TargetMode="External" />
<Relationship Id="rId87" Type="http://schemas.openxmlformats.org/officeDocument/2006/relationships/hyperlink" Target="https://str.com/contact" TargetMode="External" />
</Relationships>
</file>

<file path=xl/worksheets/_rels/sheet28.xml.rels><?xml version="1.0" encoding="utf-8" standalone="yes" ?>
<Relationships xmlns="http://schemas.openxmlformats.org/package/2006/relationships">
<Relationship Id="rId1" Type="http://schemas.openxmlformats.org/officeDocument/2006/relationships/printerSettings" Target="../printerSettings/printerSettings29.bin" />
<Relationship Id="rId31" Type="http://schemas.openxmlformats.org/officeDocument/2006/relationships/drawing" Target="../drawings/drawing30.xml" />
</Relationships>
</file>

<file path=xl/worksheets/_rels/sheet32.xml.rels><?xml version="1.0" encoding="utf-8" standalone="yes" ?>
<Relationships xmlns="http://schemas.openxmlformats.org/package/2006/relationships">
<Relationship Id="rId1" Type="http://schemas.openxmlformats.org/officeDocument/2006/relationships/printerSettings" Target="../printerSettings/printerSettings33.bin" />
<Relationship Id="rId35" Type="http://schemas.openxmlformats.org/officeDocument/2006/relationships/drawing" Target="../drawings/drawing34.xml" />
</Relationships>
</file>

<file path=xl/worksheets/_rels/sheet36.xml.rels><?xml version="1.0" encoding="utf-8" standalone="yes" ?>
<Relationships xmlns="http://schemas.openxmlformats.org/package/2006/relationships">
<Relationship Id="rId1" Type="http://schemas.openxmlformats.org/officeDocument/2006/relationships/printerSettings" Target="../printerSettings/printerSettings37.bin" />
<Relationship Id="rId39" Type="http://schemas.openxmlformats.org/officeDocument/2006/relationships/drawing" Target="../drawings/drawing38.xml" />
</Relationships>
</file>

<file path=xl/worksheets/_rels/sheet40.xml.rels><?xml version="1.0" encoding="utf-8" standalone="yes" ?>
<Relationships xmlns="http://schemas.openxmlformats.org/package/2006/relationships">
<Relationship Id="rId1" Type="http://schemas.openxmlformats.org/officeDocument/2006/relationships/printerSettings" Target="../printerSettings/printerSettings41.bin" />
<Relationship Id="rId43" Type="http://schemas.openxmlformats.org/officeDocument/2006/relationships/drawing" Target="../drawings/drawing42.xml" />
</Relationships>
</file>

<file path=xl/worksheets/_rels/sheet44.xml.rels><?xml version="1.0" encoding="utf-8" standalone="yes" ?>
<Relationships xmlns="http://schemas.openxmlformats.org/package/2006/relationships">
<Relationship Id="rId1" Type="http://schemas.openxmlformats.org/officeDocument/2006/relationships/printerSettings" Target="../printerSettings/printerSettings45.bin" />
<Relationship Id="rId47" Type="http://schemas.openxmlformats.org/officeDocument/2006/relationships/drawing" Target="../drawings/drawing46.xml" />
</Relationships>
</file>

<file path=xl/worksheets/_rels/sheet48.xml.rels><?xml version="1.0" encoding="utf-8" standalone="yes" ?>
<Relationships xmlns="http://schemas.openxmlformats.org/package/2006/relationships">
<Relationship Id="rId1" Type="http://schemas.openxmlformats.org/officeDocument/2006/relationships/printerSettings" Target="../printerSettings/printerSettings49.bin" />
<Relationship Id="rId51" Type="http://schemas.openxmlformats.org/officeDocument/2006/relationships/drawing" Target="../drawings/drawing50.xml" />
</Relationships>
</file>

<file path=xl/worksheets/_rels/sheet52.xml.rels><?xml version="1.0" encoding="utf-8" standalone="yes" ?>
<Relationships xmlns="http://schemas.openxmlformats.org/package/2006/relationships">
<Relationship Id="rId1" Type="http://schemas.openxmlformats.org/officeDocument/2006/relationships/printerSettings" Target="../printerSettings/printerSettings53.bin" />
<Relationship Id="rId55" Type="http://schemas.openxmlformats.org/officeDocument/2006/relationships/drawing" Target="../drawings/drawing54.xml" />
</Relationships>
</file>

<file path=xl/worksheets/_rels/sheet56.xml.rels><?xml version="1.0" encoding="utf-8" standalone="yes" ?>
<Relationships xmlns="http://schemas.openxmlformats.org/package/2006/relationships">
<Relationship Id="rId1" Type="http://schemas.openxmlformats.org/officeDocument/2006/relationships/printerSettings" Target="../printerSettings/printerSettings57.bin" />
<Relationship Id="rId59" Type="http://schemas.openxmlformats.org/officeDocument/2006/relationships/drawing" Target="../drawings/drawing58.xml" />
</Relationships>
</file>

<file path=xl/worksheets/_rels/sheet59.xml.rels><?xml version="1.0" encoding="utf-8" standalone="yes" ?>
<Relationships xmlns="http://schemas.openxmlformats.org/package/2006/relationships">
<Relationship Id="rId1" Type="http://schemas.openxmlformats.org/officeDocument/2006/relationships/printerSettings" Target="../printerSettings/printerSettings60.bin" />
<Relationship Id="rId59" Type="http://schemas.openxmlformats.org/officeDocument/2006/relationships/drawing" Target="../drawings/drawing61.xml" />
</Relationships>
</file>

<file path=xl/worksheets/_rels/sheet62.xml.rels><?xml version="1.0" encoding="utf-8" standalone="yes" ?>
<Relationships xmlns="http://schemas.openxmlformats.org/package/2006/relationships">
<Relationship Id="rId1" Type="http://schemas.openxmlformats.org/officeDocument/2006/relationships/printerSettings" Target="../printerSettings/printerSettings63.bin" />
<Relationship Id="rId59" Type="http://schemas.openxmlformats.org/officeDocument/2006/relationships/drawing" Target="../drawings/drawing64.xml" />
</Relationships>
</file>

<file path=xl/worksheets/_rels/sheet65.xml.rels><?xml version="1.0" encoding="utf-8" standalone="yes" ?>
<Relationships xmlns="http://schemas.openxmlformats.org/package/2006/relationships">
<Relationship Id="rId1" Type="http://schemas.openxmlformats.org/officeDocument/2006/relationships/printerSettings" Target="../printerSettings/printerSettings66.bin" />
<Relationship Id="rId59" Type="http://schemas.openxmlformats.org/officeDocument/2006/relationships/drawing" Target="../drawings/drawing67.xml" />
</Relationships>
</file>

<file path=xl/worksheets/_rels/sheet69.xml.rels><?xml version="1.0" encoding="utf-8" standalone="yes" ?>
<Relationships xmlns="http://schemas.openxmlformats.org/package/2006/relationships">
<Relationship Id="rId1" Type="http://schemas.openxmlformats.org/officeDocument/2006/relationships/printerSettings" Target="../printerSettings/printerSettings70.bin" />
<Relationship Id="rId72" Type="http://schemas.openxmlformats.org/officeDocument/2006/relationships/drawing" Target="../drawings/drawing71.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AA153"/>
  <sheetViews>
    <sheetView showGridLines="0" tabSelected="1" zoomScaleNormal="100" workbookViewId="0"/>
  </sheetViews>
  <sheetFormatPr defaultRowHeight="12.75"/>
  <cols>
    <col min="1" max="1" width="13.42578125" style="4" customWidth="1"/>
    <col min="2" max="2" width="57.5703125" style="4" customWidth="1"/>
    <col min="3" max="3" width="5.42578125" style="4" customWidth="1"/>
    <col min="4" max="4" width="1.85546875" style="234" customWidth="1"/>
    <col min="5" max="5" width="57.5703125" style="4" customWidth="1"/>
    <col min="6" max="6" width="5.42578125" style="4" customWidth="1"/>
    <col min="7" max="7" width="15.5703125" style="4" customWidth="1"/>
    <col min="8" max="8" width="4.140625" style="4" customWidth="1"/>
    <col min="9" max="13" width="7.140625" style="235" customWidth="1"/>
    <col min="14" max="14" width="1.42578125" style="235" customWidth="1"/>
    <col min="15" max="15" width="7.42578125" style="235" customWidth="1"/>
    <col min="16" max="27" width="9.140625" style="235" customWidth="1"/>
    <col min="28" max="16384" width="9.140625" style="4" customWidth="1"/>
  </cols>
  <sheetData>
    <row r="1" ht="45.75" customHeight="1">
      <c r="A1" s="594"/>
      <c r="B1" s="595"/>
      <c r="C1" s="595"/>
      <c r="D1" s="596"/>
      <c r="E1" s="595"/>
      <c r="F1" s="595"/>
      <c r="G1" s="595"/>
      <c r="H1" s="597"/>
      <c r="O1" s="235"/>
    </row>
    <row r="2" ht="24.75" customHeight="1">
      <c r="A2" s="595"/>
      <c r="B2" s="637" t="s">
        <v>167</v>
      </c>
      <c r="C2" s="605"/>
      <c r="D2" s="604"/>
      <c r="E2" s="604"/>
      <c r="F2" s="605"/>
      <c r="G2" s="598"/>
      <c r="H2" s="599"/>
    </row>
    <row r="3" ht="25.5" customHeight="1">
      <c r="A3" s="595"/>
      <c r="B3" s="638" t="s">
        <v>166</v>
      </c>
      <c r="C3" s="607"/>
      <c r="D3" s="606"/>
      <c r="E3" s="606"/>
      <c r="F3" s="607"/>
      <c r="G3" s="598"/>
      <c r="H3" s="599"/>
    </row>
    <row r="4" ht="15" customHeight="1">
      <c r="A4" s="595"/>
      <c r="B4" s="695" t="s">
        <v>168</v>
      </c>
      <c r="C4" s="695"/>
      <c r="D4" s="695"/>
      <c r="E4" s="695"/>
      <c r="F4" s="608"/>
      <c r="G4" s="598"/>
      <c r="H4" s="599"/>
    </row>
    <row r="5" ht="15" customHeight="1">
      <c r="A5" s="595"/>
      <c r="B5" s="695" t="s">
        <v>169</v>
      </c>
      <c r="C5" s="695"/>
      <c r="D5" s="695"/>
      <c r="E5" s="695"/>
      <c r="F5" s="608"/>
      <c r="G5" s="598"/>
      <c r="H5" s="599"/>
    </row>
    <row r="6" ht="15" customHeight="1">
      <c r="A6" s="595"/>
      <c r="B6" s="609"/>
      <c r="C6" s="610"/>
      <c r="D6" s="609"/>
      <c r="E6" s="609"/>
      <c r="F6" s="610"/>
      <c r="G6" s="598"/>
      <c r="H6" s="599"/>
    </row>
    <row r="7" ht="15.75" customHeight="1">
      <c r="A7" s="595"/>
      <c r="B7" s="639" t="s">
        <v>108</v>
      </c>
      <c r="C7" s="605">
        <v>1</v>
      </c>
      <c r="D7" s="639"/>
      <c r="E7" s="639"/>
      <c r="F7" s="605"/>
      <c r="G7" s="598"/>
      <c r="H7" s="599"/>
    </row>
    <row r="8" ht="15.75" customHeight="1">
      <c r="A8" s="595"/>
      <c r="B8" s="639" t="str">
        <f>HYPERLINK("#'Glance'!A1", "Monthly Performance at a Glance")</f>
      </c>
      <c r="C8" s="605" t="str">
        <f>HYPERLINK("#'Glance'!A1", "2")</f>
      </c>
      <c r="D8" s="639"/>
      <c r="E8" s="639"/>
      <c r="F8" s="605"/>
      <c r="G8" s="598"/>
      <c r="H8" s="599"/>
    </row>
    <row r="9" ht="15.75" customHeight="1">
      <c r="A9" s="595"/>
      <c r="B9" s="639" t="str">
        <f>HYPERLINK("#'Summary'!A1", "STAR Summary")</f>
      </c>
      <c r="C9" s="605" t="str">
        <f>HYPERLINK("#'Summary'!A1", "3")</f>
      </c>
      <c r="D9" s="639"/>
      <c r="E9" s="639"/>
      <c r="F9" s="605"/>
      <c r="G9" s="595"/>
      <c r="H9" s="595"/>
    </row>
    <row r="10" ht="15.75" customHeight="1">
      <c r="A10" s="595"/>
      <c r="B10" s="639" t="str">
        <f>HYPERLINK("#'Comp'!A1", "Competitive Set Report")</f>
      </c>
      <c r="C10" s="605" t="str">
        <f>HYPERLINK("#'Comp'!A1", "4")</f>
      </c>
      <c r="D10" s="639"/>
      <c r="E10" s="639"/>
      <c r="F10" s="605"/>
      <c r="G10" s="595"/>
      <c r="H10" s="595"/>
    </row>
    <row r="11" ht="15.75" customHeight="1">
      <c r="A11" s="600"/>
      <c r="B11" s="639" t="str">
        <f>HYPERLINK("#'Response'!A1", "Response Report")</f>
      </c>
      <c r="C11" s="605" t="str">
        <f>HYPERLINK("#'Response'!A1", "5")</f>
      </c>
      <c r="D11" s="639"/>
      <c r="E11" s="639"/>
      <c r="F11" s="605"/>
      <c r="G11" s="595"/>
      <c r="H11" s="595"/>
    </row>
    <row r="12" ht="15.75" customHeight="1">
      <c r="A12" s="595"/>
      <c r="B12" s="639" t="str">
        <f>HYPERLINK("#'Day of Week'!A1", "Day of Week &amp; Weekday/Weekend")</f>
      </c>
      <c r="C12" s="605" t="str">
        <f>HYPERLINK("#'Day of Week'!A1", "6")</f>
      </c>
      <c r="D12" s="639"/>
      <c r="E12" s="639"/>
      <c r="F12" s="605"/>
      <c r="G12" s="595"/>
      <c r="H12" s="595"/>
    </row>
    <row r="13" ht="15.75" customHeight="1">
      <c r="A13" s="595"/>
      <c r="B13" s="639" t="str">
        <f>HYPERLINK("#'Daily by Month'!A1", "Daily Data for the Month")</f>
      </c>
      <c r="C13" s="605" t="str">
        <f>HYPERLINK("#'Daily by Month'!A1", "7")</f>
      </c>
      <c r="D13" s="639"/>
      <c r="E13" s="639"/>
      <c r="F13" s="605"/>
      <c r="G13" s="595"/>
      <c r="H13" s="595"/>
    </row>
    <row r="14" ht="15.75" customHeight="1">
      <c r="A14" s="595"/>
      <c r="B14" s="639" t="str">
        <f>HYPERLINK("#'Segmentation Glance'!A1", "Segmentation at a Glance")</f>
      </c>
      <c r="C14" s="605" t="str">
        <f>HYPERLINK("#'Segmentation Glance'!A1", "8")</f>
      </c>
      <c r="D14" s="639"/>
      <c r="E14" s="639"/>
      <c r="F14" s="605"/>
      <c r="G14" s="595"/>
      <c r="H14" s="595"/>
    </row>
    <row r="15" ht="15.75" customHeight="1">
      <c r="A15" s="595"/>
      <c r="B15" s="639" t="str">
        <f>HYPERLINK("#'Segmentation Occ'!A1", "Segmentation Occupancy Analysis")</f>
      </c>
      <c r="C15" s="605" t="str">
        <f>HYPERLINK("#'Segmentation Occ'!A1", "9")</f>
      </c>
      <c r="D15" s="639"/>
      <c r="E15" s="639"/>
      <c r="F15" s="605"/>
      <c r="G15" s="595"/>
      <c r="H15" s="595"/>
    </row>
    <row r="16" ht="15.75" customHeight="1">
      <c r="A16" s="595"/>
      <c r="B16" s="639" t="str">
        <f>HYPERLINK("#'Segmentation ADR'!A1", "Segmentation ADR Analysis")</f>
      </c>
      <c r="C16" s="605" t="str">
        <f>HYPERLINK("#'Segmentation ADR'!A1", "10")</f>
      </c>
      <c r="D16" s="639"/>
      <c r="E16" s="639"/>
      <c r="F16" s="605"/>
      <c r="G16" s="595"/>
      <c r="H16" s="595"/>
    </row>
    <row r="17" ht="15.75" customHeight="1">
      <c r="A17" s="595"/>
      <c r="B17" s="639" t="str">
        <f>HYPERLINK("#'Segmentation RevPAR'!A1", "Segmentation RevPAR Analysis")</f>
      </c>
      <c r="C17" s="605" t="str">
        <f>HYPERLINK("#'Segmentation RevPAR'!A1", "11")</f>
      </c>
      <c r="D17" s="639"/>
      <c r="E17" s="639"/>
      <c r="F17" s="605"/>
      <c r="G17" s="595"/>
      <c r="H17" s="595"/>
    </row>
    <row r="18" ht="15.75" customHeight="1">
      <c r="A18" s="595"/>
      <c r="B18" s="639" t="str">
        <f>HYPERLINK("#'Segmentation Indexes'!A1", "Segmentation Index Analysis")</f>
      </c>
      <c r="C18" s="605" t="str">
        <f>HYPERLINK("#'Segmentation Indexes'!A1", "12")</f>
      </c>
      <c r="D18" s="639"/>
      <c r="E18" s="639"/>
      <c r="F18" s="605"/>
      <c r="G18" s="595"/>
      <c r="H18" s="595"/>
    </row>
    <row r="19" ht="15.75" customHeight="1">
      <c r="A19" s="595"/>
      <c r="B19" s="639" t="str">
        <f>HYPERLINK("#'Segmentation Ranking'!A1", "Segmentation Ranking Analysis")</f>
      </c>
      <c r="C19" s="605" t="str">
        <f>HYPERLINK("#'Segmentation Ranking'!A1", "13")</f>
      </c>
      <c r="D19" s="639"/>
      <c r="E19" s="639"/>
      <c r="F19" s="605"/>
      <c r="G19" s="595"/>
      <c r="H19" s="595"/>
    </row>
    <row r="20" ht="15.75" customHeight="1">
      <c r="A20" s="595"/>
      <c r="B20" s="639" t="str">
        <f>HYPERLINK("#'Segmentation DOW Month'!A1", "Segmentation Day Of Week - Current Month")</f>
      </c>
      <c r="C20" s="605" t="str">
        <f>HYPERLINK("#'Segmentation DOW Month'!A1", "14")</f>
      </c>
      <c r="D20" s="639"/>
      <c r="E20" s="639"/>
      <c r="F20" s="605"/>
      <c r="G20" s="595"/>
      <c r="H20" s="595"/>
    </row>
    <row r="21" ht="15.75" customHeight="1">
      <c r="A21" s="595"/>
      <c r="B21" s="639" t="str">
        <f>HYPERLINK("#'Segmentation DOW YTD'!A1", "Segmentation Day Of Week - Year to Date")</f>
      </c>
      <c r="C21" s="605" t="str">
        <f>HYPERLINK("#'Segmentation DOW YTD'!A1", "15")</f>
      </c>
      <c r="D21" s="639"/>
      <c r="E21" s="639"/>
      <c r="F21" s="605"/>
      <c r="G21" s="595"/>
      <c r="H21" s="595"/>
    </row>
    <row r="22" ht="15.75" customHeight="1">
      <c r="A22" s="595"/>
      <c r="B22" s="639" t="str">
        <f>HYPERLINK("#'Segmentation DOW Run 3'!A1", "Segmentation Day Of Week - Running 3 Month")</f>
      </c>
      <c r="C22" s="605" t="str">
        <f>HYPERLINK("#'Segmentation DOW Run 3'!A1", "16")</f>
      </c>
      <c r="D22" s="639"/>
      <c r="E22" s="639"/>
      <c r="F22" s="605"/>
      <c r="G22" s="595"/>
      <c r="H22" s="595"/>
    </row>
    <row r="23" ht="15.75" customHeight="1">
      <c r="A23" s="595"/>
      <c r="B23" s="639" t="str">
        <f>HYPERLINK("#'Segmentation DOW Run 12'!A1", "Segmentation Day Of Week - Running 12 Month")</f>
      </c>
      <c r="C23" s="605" t="str">
        <f>HYPERLINK("#'Segmentation DOW Run 12'!A1", "17")</f>
      </c>
      <c r="D23" s="639"/>
      <c r="E23" s="639"/>
      <c r="F23" s="605"/>
      <c r="G23" s="595"/>
      <c r="H23" s="595"/>
    </row>
    <row r="24" ht="15.75" customHeight="1">
      <c r="A24" s="595"/>
      <c r="B24" s="639" t="str">
        <f>HYPERLINK("#'Add Rev ADR'!A1", "Additional Revenue ADR Analysis (TrevPOR)")</f>
      </c>
      <c r="C24" s="605" t="str">
        <f>HYPERLINK("#'Add Rev ADR'!A1", "18")</f>
      </c>
      <c r="D24" s="639"/>
      <c r="E24" s="639"/>
      <c r="F24" s="605"/>
      <c r="G24" s="595"/>
      <c r="H24" s="595"/>
    </row>
    <row r="25" ht="15.75" customHeight="1">
      <c r="A25" s="595"/>
      <c r="B25" s="639" t="str">
        <f>HYPERLINK("#'Add Rev RevPAR'!A1", "Additional Revenue RevPAR Analysis (TrevPAR)")</f>
      </c>
      <c r="C25" s="605" t="str">
        <f>HYPERLINK("#'Add Rev RevPAR'!A1", "19")</f>
      </c>
      <c r="D25" s="639"/>
      <c r="E25" s="639"/>
      <c r="F25" s="605"/>
      <c r="G25" s="595"/>
      <c r="H25" s="595"/>
    </row>
    <row r="26" ht="15.75" customHeight="1">
      <c r="A26" s="595"/>
      <c r="B26" s="639" t="str">
        <f>HYPERLINK("#'Segmentation Response'!A1", "Segmentation Response Report")</f>
      </c>
      <c r="C26" s="605" t="str">
        <f>HYPERLINK("#'Segmentation Response'!A1", "20")</f>
      </c>
      <c r="D26" s="639"/>
      <c r="E26" s="639"/>
      <c r="F26" s="605"/>
      <c r="G26" s="595"/>
      <c r="H26" s="595"/>
    </row>
    <row r="27" ht="15.75" customHeight="1">
      <c r="A27" s="595"/>
      <c r="B27" s="639" t="str">
        <f>HYPERLINK("#'Help'!A1", "Help")</f>
      </c>
      <c r="C27" s="605" t="str">
        <f>HYPERLINK("#'Help'!A1", "21")</f>
      </c>
      <c r="D27" s="639"/>
      <c r="E27" s="639"/>
      <c r="F27" s="605"/>
      <c r="G27" s="595"/>
      <c r="H27" s="595"/>
    </row>
    <row r="28" ht="15.75" customHeight="1">
      <c r="A28" s="595"/>
      <c r="B28" s="639"/>
      <c r="C28" s="605"/>
      <c r="D28" s="639"/>
      <c r="E28" s="639"/>
      <c r="F28" s="605"/>
      <c r="G28" s="595"/>
      <c r="H28" s="595"/>
    </row>
    <row r="29" ht="15.75" customHeight="1">
      <c r="A29" s="595"/>
      <c r="B29" s="639"/>
      <c r="C29" s="605"/>
      <c r="D29" s="639"/>
      <c r="E29" s="639"/>
      <c r="F29" s="605"/>
      <c r="G29" s="595"/>
      <c r="H29" s="595"/>
    </row>
    <row r="30" ht="0" hidden="1" customHeight="1">
      <c r="A30" s="595"/>
      <c r="B30" s="639"/>
      <c r="C30" s="605"/>
      <c r="D30" s="639"/>
      <c r="E30" s="639"/>
      <c r="F30" s="605"/>
      <c r="G30" s="595"/>
      <c r="H30" s="595"/>
    </row>
    <row r="31" ht="0" hidden="1" customHeight="1">
      <c r="A31" s="595"/>
      <c r="B31" s="639"/>
      <c r="C31" s="605"/>
      <c r="D31" s="639"/>
      <c r="E31" s="639"/>
      <c r="F31" s="605"/>
      <c r="G31" s="595"/>
      <c r="H31" s="595"/>
    </row>
    <row r="32" ht="0" hidden="1" customHeight="1">
      <c r="A32" s="595"/>
      <c r="B32" s="639"/>
      <c r="C32" s="605"/>
      <c r="D32" s="639"/>
      <c r="E32" s="639"/>
      <c r="F32" s="605"/>
      <c r="G32" s="595"/>
      <c r="H32" s="595"/>
    </row>
    <row r="33" ht="0" hidden="1" customHeight="1">
      <c r="A33" s="595"/>
      <c r="B33" s="639"/>
      <c r="C33" s="605"/>
      <c r="D33" s="639"/>
      <c r="E33" s="639"/>
      <c r="F33" s="605"/>
      <c r="G33" s="595"/>
      <c r="H33" s="595"/>
    </row>
    <row r="34" ht="0" hidden="1" customHeight="1">
      <c r="A34" s="595"/>
      <c r="B34" s="639"/>
      <c r="C34" s="605"/>
      <c r="D34" s="639"/>
      <c r="E34" s="639"/>
      <c r="F34" s="605"/>
      <c r="G34" s="595"/>
      <c r="H34" s="595"/>
    </row>
    <row r="35" ht="0" hidden="1" customHeight="1">
      <c r="A35" s="595"/>
      <c r="B35" s="639"/>
      <c r="C35" s="605"/>
      <c r="D35" s="639"/>
      <c r="E35" s="639"/>
      <c r="F35" s="605"/>
      <c r="G35" s="595"/>
      <c r="H35" s="595"/>
    </row>
    <row r="36" ht="0" hidden="1" customHeight="1">
      <c r="A36" s="595"/>
      <c r="B36" s="639"/>
      <c r="C36" s="605"/>
      <c r="D36" s="639"/>
      <c r="E36" s="639"/>
      <c r="F36" s="605"/>
      <c r="G36" s="595"/>
      <c r="H36" s="595"/>
    </row>
    <row r="37" ht="0" hidden="1" customHeight="1">
      <c r="A37" s="595"/>
      <c r="B37" s="639"/>
      <c r="C37" s="605"/>
      <c r="D37" s="639"/>
      <c r="E37" s="639"/>
      <c r="F37" s="605"/>
      <c r="G37" s="595"/>
      <c r="H37" s="595"/>
    </row>
    <row r="38" ht="0" hidden="1" customHeight="1">
      <c r="A38" s="595"/>
      <c r="B38" s="639"/>
      <c r="C38" s="605"/>
      <c r="D38" s="639"/>
      <c r="E38" s="639"/>
      <c r="F38" s="605"/>
      <c r="G38" s="595"/>
      <c r="H38" s="595"/>
    </row>
    <row r="39" ht="0" hidden="1" customHeight="1">
      <c r="A39" s="595"/>
      <c r="B39" s="639"/>
      <c r="C39" s="605"/>
      <c r="D39" s="639"/>
      <c r="E39" s="639"/>
      <c r="F39" s="605"/>
      <c r="G39" s="595"/>
      <c r="H39" s="595"/>
    </row>
    <row r="40" ht="0" hidden="1" customHeight="1">
      <c r="A40" s="595"/>
      <c r="B40" s="639"/>
      <c r="C40" s="605"/>
      <c r="D40" s="639"/>
      <c r="E40" s="639"/>
      <c r="F40" s="605"/>
      <c r="G40" s="595"/>
      <c r="H40" s="595"/>
    </row>
    <row r="41" ht="0" hidden="1" customHeight="1">
      <c r="A41" s="595"/>
      <c r="B41" s="639"/>
      <c r="C41" s="605"/>
      <c r="D41" s="639"/>
      <c r="E41" s="639"/>
      <c r="F41" s="605"/>
      <c r="G41" s="595"/>
      <c r="H41" s="595"/>
    </row>
    <row r="42" ht="0" hidden="1" customHeight="1">
      <c r="A42" s="595"/>
      <c r="B42" s="639"/>
      <c r="C42" s="605"/>
      <c r="D42" s="639"/>
      <c r="E42" s="639"/>
      <c r="F42" s="605"/>
      <c r="G42" s="595"/>
      <c r="H42" s="595"/>
    </row>
    <row r="43" ht="0" hidden="1" customHeight="1">
      <c r="A43" s="595"/>
      <c r="B43" s="639"/>
      <c r="C43" s="605"/>
      <c r="D43" s="639"/>
      <c r="E43" s="639"/>
      <c r="F43" s="605"/>
      <c r="G43" s="595"/>
      <c r="H43" s="595"/>
    </row>
    <row r="44" ht="0" hidden="1" customHeight="1">
      <c r="A44" s="595"/>
      <c r="B44" s="639"/>
      <c r="C44" s="605"/>
      <c r="D44" s="639"/>
      <c r="E44" s="639"/>
      <c r="F44" s="605"/>
      <c r="G44" s="595"/>
      <c r="H44" s="595"/>
    </row>
    <row r="45" ht="0" hidden="1" customHeight="1">
      <c r="A45" s="595"/>
      <c r="B45" s="639"/>
      <c r="C45" s="605"/>
      <c r="D45" s="639"/>
      <c r="E45" s="639"/>
      <c r="F45" s="605"/>
      <c r="G45" s="595"/>
      <c r="H45" s="595"/>
    </row>
    <row r="46" ht="0" hidden="1" customHeight="1">
      <c r="A46" s="595"/>
      <c r="B46" s="639"/>
      <c r="C46" s="605"/>
      <c r="D46" s="639"/>
      <c r="E46" s="639"/>
      <c r="F46" s="605"/>
      <c r="G46" s="595"/>
      <c r="H46" s="595"/>
    </row>
    <row r="47" ht="0" hidden="1" customHeight="1">
      <c r="A47" s="595"/>
      <c r="B47" s="639"/>
      <c r="C47" s="605"/>
      <c r="D47" s="639"/>
      <c r="E47" s="639"/>
      <c r="F47" s="605"/>
      <c r="G47" s="595"/>
      <c r="H47" s="595"/>
    </row>
    <row r="48" ht="0" hidden="1" customHeight="1">
      <c r="A48" s="595"/>
      <c r="B48" s="639"/>
      <c r="C48" s="605"/>
      <c r="D48" s="639"/>
      <c r="E48" s="639"/>
      <c r="F48" s="605"/>
      <c r="G48" s="595"/>
      <c r="H48" s="595"/>
    </row>
    <row r="49" ht="0" hidden="1" customHeight="1">
      <c r="A49" s="595"/>
      <c r="B49" s="639"/>
      <c r="C49" s="605"/>
      <c r="D49" s="639"/>
      <c r="E49" s="639"/>
      <c r="F49" s="605"/>
      <c r="G49" s="595"/>
      <c r="H49" s="595"/>
    </row>
    <row r="50" ht="15.75" customHeight="1">
      <c r="A50" s="595"/>
      <c r="B50" s="639"/>
      <c r="C50" s="605"/>
      <c r="D50" s="639"/>
      <c r="E50" s="639"/>
      <c r="F50" s="605"/>
      <c r="G50" s="595"/>
      <c r="H50" s="595"/>
    </row>
    <row r="51" ht="15.75" customHeight="1">
      <c r="A51" s="595"/>
      <c r="B51" s="639"/>
      <c r="C51" s="605"/>
      <c r="D51" s="639"/>
      <c r="E51" s="639"/>
      <c r="F51" s="605"/>
      <c r="G51" s="595"/>
      <c r="H51" s="595"/>
    </row>
    <row r="52" ht="15.75" customHeight="1">
      <c r="A52" s="595"/>
      <c r="B52" s="639"/>
      <c r="C52" s="605"/>
      <c r="D52" s="639"/>
      <c r="E52" s="639"/>
      <c r="F52" s="605"/>
      <c r="G52" s="595"/>
      <c r="H52" s="595"/>
    </row>
    <row r="53" ht="15.75" customHeight="1">
      <c r="A53" s="595"/>
      <c r="B53" s="639"/>
      <c r="C53" s="605"/>
      <c r="D53" s="639"/>
      <c r="E53" s="639"/>
      <c r="F53" s="605"/>
      <c r="G53" s="595"/>
      <c r="H53" s="595"/>
    </row>
    <row r="54" ht="15.75" customHeight="1">
      <c r="A54" s="595"/>
      <c r="B54" s="639"/>
      <c r="C54" s="605"/>
      <c r="D54" s="639"/>
      <c r="E54" s="639"/>
      <c r="F54" s="605"/>
      <c r="G54" s="595"/>
      <c r="H54" s="595"/>
    </row>
    <row r="55" ht="15.75" customHeight="1">
      <c r="A55" s="595"/>
      <c r="B55" s="639"/>
      <c r="C55" s="605"/>
      <c r="D55" s="639"/>
      <c r="E55" s="639"/>
      <c r="F55" s="605"/>
      <c r="G55" s="595"/>
      <c r="H55" s="595"/>
    </row>
    <row r="56" ht="15.75" customHeight="1">
      <c r="A56" s="595"/>
      <c r="B56" s="639"/>
      <c r="C56" s="605"/>
      <c r="D56" s="639"/>
      <c r="E56" s="639"/>
      <c r="F56" s="605"/>
      <c r="G56" s="595"/>
      <c r="H56" s="595"/>
    </row>
    <row r="57" ht="10.5" customHeight="1">
      <c r="A57" s="595"/>
      <c r="B57" s="639"/>
      <c r="C57" s="639"/>
      <c r="D57" s="639"/>
      <c r="E57" s="639"/>
      <c r="F57" s="639"/>
      <c r="G57" s="595"/>
      <c r="H57" s="595"/>
    </row>
    <row r="58" ht="10.5" customHeight="1">
      <c r="A58" s="595"/>
      <c r="B58" s="602" t="s">
        <v>118</v>
      </c>
      <c r="C58" s="602"/>
      <c r="D58" s="603"/>
      <c r="E58" s="602" t="s">
        <v>119</v>
      </c>
      <c r="F58" s="602"/>
      <c r="G58" s="595"/>
      <c r="H58" s="595"/>
    </row>
    <row r="59" ht="10.5" customHeight="1">
      <c r="A59" s="595"/>
      <c r="B59" s="602" t="s">
        <v>124</v>
      </c>
      <c r="C59" s="602"/>
      <c r="D59" s="603"/>
      <c r="E59" s="602" t="s">
        <v>120</v>
      </c>
      <c r="F59" s="602"/>
      <c r="G59" s="595"/>
      <c r="H59" s="595"/>
    </row>
    <row r="60" ht="10.5" customHeight="1">
      <c r="A60" s="595"/>
      <c r="B60" s="602" t="s">
        <v>112</v>
      </c>
      <c r="C60" s="602"/>
      <c r="D60" s="603"/>
      <c r="E60" s="602" t="s">
        <v>125</v>
      </c>
      <c r="F60" s="602"/>
      <c r="G60" s="595"/>
      <c r="H60" s="595"/>
    </row>
    <row r="61" ht="20.1" customHeight="1">
      <c r="A61" s="595"/>
      <c r="B61" s="602"/>
      <c r="C61" s="602"/>
      <c r="D61" s="603"/>
      <c r="E61" s="602"/>
      <c r="F61" s="602"/>
      <c r="G61" s="595"/>
      <c r="H61" s="595"/>
    </row>
    <row r="62" ht="48" customHeight="1">
      <c r="A62" s="595"/>
      <c r="B62" s="694" t="s">
        <v>126</v>
      </c>
      <c r="C62" s="694"/>
      <c r="D62" s="694"/>
      <c r="E62" s="694"/>
      <c r="F62" s="694"/>
      <c r="G62" s="595"/>
      <c r="H62" s="595"/>
    </row>
    <row r="63" ht="8.1" customHeight="1">
      <c r="A63" s="595"/>
      <c r="B63" s="594"/>
      <c r="C63" s="595"/>
      <c r="D63" s="601"/>
      <c r="E63" s="595"/>
      <c r="F63" s="595"/>
      <c r="G63" s="595"/>
      <c r="H63" s="595"/>
    </row>
    <row r="64" ht="15.75" customHeight="1">
      <c r="A64" s="235"/>
      <c r="B64" s="235"/>
      <c r="C64" s="235"/>
      <c r="D64" s="235"/>
      <c r="E64" s="235"/>
      <c r="F64" s="235"/>
      <c r="G64" s="235"/>
      <c r="H64" s="235"/>
    </row>
    <row r="65" ht="15.75" customHeight="1">
      <c r="A65" s="235"/>
      <c r="B65" s="235"/>
      <c r="C65" s="235"/>
      <c r="D65" s="235"/>
      <c r="E65" s="235"/>
      <c r="F65" s="235"/>
      <c r="G65" s="235"/>
      <c r="H65" s="235"/>
    </row>
    <row r="66" ht="15.75" customHeight="1">
      <c r="A66" s="235"/>
      <c r="B66" s="235"/>
      <c r="C66" s="235"/>
      <c r="D66" s="235"/>
      <c r="E66" s="235"/>
      <c r="F66" s="235"/>
      <c r="G66" s="235"/>
      <c r="H66" s="235"/>
    </row>
    <row r="67" ht="15.75" customHeight="1">
      <c r="A67" s="235"/>
      <c r="B67" s="235"/>
      <c r="C67" s="235"/>
      <c r="D67" s="235"/>
      <c r="E67" s="235"/>
      <c r="F67" s="235"/>
      <c r="G67" s="235"/>
      <c r="H67" s="235"/>
    </row>
    <row r="68" ht="15.75" customHeight="1">
      <c r="A68" s="235"/>
      <c r="B68" s="235"/>
      <c r="C68" s="235"/>
      <c r="D68" s="235"/>
      <c r="E68" s="235"/>
      <c r="F68" s="235"/>
      <c r="G68" s="235"/>
      <c r="H68" s="235"/>
    </row>
    <row r="69" ht="15.75" customHeight="1">
      <c r="A69" s="235"/>
      <c r="B69" s="235"/>
      <c r="C69" s="235"/>
      <c r="D69" s="235"/>
      <c r="E69" s="235"/>
      <c r="F69" s="235"/>
      <c r="G69" s="235"/>
      <c r="H69" s="235"/>
    </row>
    <row r="70" ht="15.75" customHeight="1">
      <c r="A70" s="235"/>
      <c r="B70" s="235"/>
      <c r="C70" s="235"/>
      <c r="D70" s="235"/>
      <c r="E70" s="235"/>
      <c r="F70" s="235"/>
      <c r="G70" s="235"/>
      <c r="H70" s="235"/>
    </row>
    <row r="71" ht="15.75" customHeight="1">
      <c r="A71" s="235"/>
      <c r="B71" s="235"/>
      <c r="C71" s="235"/>
      <c r="D71" s="235"/>
      <c r="E71" s="235"/>
      <c r="F71" s="235"/>
      <c r="G71" s="235"/>
      <c r="H71" s="235"/>
    </row>
    <row r="72" ht="15.75" customHeight="1">
      <c r="A72" s="235"/>
      <c r="B72" s="235"/>
      <c r="C72" s="235"/>
      <c r="D72" s="235"/>
      <c r="E72" s="235"/>
      <c r="F72" s="235"/>
      <c r="G72" s="235"/>
      <c r="H72" s="235"/>
    </row>
    <row r="73" ht="15.75" customHeight="1">
      <c r="A73" s="235"/>
      <c r="B73" s="235"/>
      <c r="C73" s="235"/>
      <c r="D73" s="235"/>
      <c r="E73" s="235"/>
      <c r="F73" s="235"/>
      <c r="G73" s="235"/>
      <c r="H73" s="235"/>
    </row>
    <row r="74" ht="15.75" customHeight="1">
      <c r="A74" s="235"/>
      <c r="B74" s="235"/>
      <c r="C74" s="235"/>
      <c r="D74" s="235"/>
      <c r="E74" s="235"/>
      <c r="F74" s="235"/>
      <c r="G74" s="235"/>
      <c r="H74" s="235"/>
    </row>
    <row r="75" ht="15.75" customHeight="1">
      <c r="A75" s="235"/>
      <c r="B75" s="235"/>
      <c r="C75" s="235"/>
      <c r="D75" s="235"/>
      <c r="E75" s="235"/>
      <c r="F75" s="235"/>
      <c r="G75" s="235"/>
      <c r="H75" s="235"/>
    </row>
    <row r="76" ht="15.75" customHeight="1">
      <c r="A76" s="235"/>
      <c r="B76" s="235"/>
      <c r="C76" s="235"/>
      <c r="D76" s="235"/>
      <c r="E76" s="235"/>
      <c r="F76" s="235"/>
      <c r="G76" s="235"/>
      <c r="H76" s="235"/>
    </row>
    <row r="77" ht="15.75" customHeight="1">
      <c r="A77" s="235"/>
      <c r="B77" s="235"/>
      <c r="C77" s="235"/>
      <c r="D77" s="235"/>
      <c r="E77" s="235"/>
      <c r="F77" s="235"/>
      <c r="G77" s="235"/>
      <c r="H77" s="235"/>
    </row>
    <row r="78" ht="15.75" customHeight="1">
      <c r="A78" s="235"/>
      <c r="B78" s="235"/>
      <c r="C78" s="235"/>
      <c r="D78" s="235"/>
      <c r="E78" s="235"/>
      <c r="F78" s="235"/>
      <c r="G78" s="235"/>
      <c r="H78" s="235"/>
    </row>
    <row r="79" ht="15.75" customHeight="1">
      <c r="A79" s="235"/>
      <c r="B79" s="235"/>
      <c r="C79" s="235"/>
      <c r="D79" s="235"/>
      <c r="E79" s="235"/>
      <c r="F79" s="235"/>
      <c r="G79" s="235"/>
      <c r="H79" s="235"/>
    </row>
    <row r="80" ht="15.75" customHeight="1">
      <c r="A80" s="235"/>
      <c r="B80" s="235"/>
      <c r="C80" s="235"/>
      <c r="D80" s="235"/>
      <c r="E80" s="235"/>
      <c r="F80" s="235"/>
      <c r="G80" s="235"/>
      <c r="H80" s="235"/>
    </row>
    <row r="81" ht="15.75" customHeight="1">
      <c r="A81" s="235"/>
      <c r="B81" s="235"/>
      <c r="C81" s="235"/>
      <c r="D81" s="235"/>
      <c r="E81" s="235"/>
      <c r="F81" s="235"/>
      <c r="G81" s="235"/>
      <c r="H81" s="235"/>
    </row>
    <row r="82" ht="15.75" customHeight="1">
      <c r="A82" s="235"/>
      <c r="B82" s="235"/>
      <c r="C82" s="235"/>
      <c r="D82" s="235"/>
      <c r="E82" s="235"/>
      <c r="F82" s="235"/>
      <c r="G82" s="235"/>
      <c r="H82" s="235"/>
    </row>
    <row r="83" ht="15.75" customHeight="1">
      <c r="A83" s="235"/>
      <c r="B83" s="235"/>
      <c r="C83" s="235"/>
      <c r="D83" s="235"/>
      <c r="E83" s="235"/>
      <c r="F83" s="235"/>
      <c r="G83" s="235"/>
      <c r="H83" s="235"/>
    </row>
    <row r="84" ht="15.75" customHeight="1">
      <c r="A84" s="235"/>
      <c r="B84" s="235"/>
      <c r="C84" s="235"/>
      <c r="D84" s="235"/>
      <c r="E84" s="235"/>
      <c r="F84" s="235"/>
      <c r="G84" s="235"/>
      <c r="H84" s="235"/>
    </row>
    <row r="85" ht="15.75" customHeight="1">
      <c r="A85" s="235"/>
      <c r="B85" s="235"/>
      <c r="C85" s="235"/>
      <c r="D85" s="235"/>
      <c r="E85" s="235"/>
      <c r="F85" s="235"/>
      <c r="G85" s="235"/>
      <c r="H85" s="235"/>
    </row>
    <row r="86" ht="15.75" customHeight="1">
      <c r="A86" s="235"/>
      <c r="B86" s="235"/>
      <c r="C86" s="235"/>
      <c r="D86" s="235"/>
      <c r="E86" s="235"/>
      <c r="F86" s="235"/>
      <c r="G86" s="235"/>
      <c r="H86" s="235"/>
    </row>
    <row r="87" s="235" customFormat="1" ht="15.75" customHeight="1"/>
    <row r="88" s="235" customFormat="1" ht="15.75" customHeight="1"/>
    <row r="89" s="235" customFormat="1" ht="15.75" customHeight="1"/>
    <row r="90" s="235" customFormat="1" ht="15.75" customHeight="1"/>
    <row r="91" s="4" customFormat="1" ht="15.75" customHeight="1">
      <c r="B91" s="523"/>
      <c r="D91" s="522"/>
      <c r="I91" s="235"/>
      <c r="J91" s="235"/>
      <c r="K91" s="235"/>
      <c r="L91" s="235"/>
      <c r="M91" s="235"/>
      <c r="N91" s="235"/>
      <c r="O91" s="235"/>
      <c r="P91" s="235"/>
      <c r="Q91" s="235"/>
      <c r="R91" s="235"/>
      <c r="S91" s="235"/>
      <c r="T91" s="235"/>
      <c r="U91" s="235"/>
      <c r="V91" s="235"/>
      <c r="W91" s="235"/>
      <c r="X91" s="235"/>
      <c r="Y91" s="235"/>
      <c r="Z91" s="235"/>
      <c r="AA91" s="235"/>
    </row>
    <row r="92" s="4" customFormat="1" ht="15.75" customHeight="1">
      <c r="B92" s="523"/>
      <c r="D92" s="522"/>
      <c r="I92" s="235"/>
      <c r="J92" s="235"/>
      <c r="K92" s="235"/>
      <c r="L92" s="235"/>
      <c r="M92" s="235"/>
      <c r="N92" s="235"/>
      <c r="O92" s="235"/>
      <c r="P92" s="235"/>
      <c r="Q92" s="235"/>
      <c r="R92" s="235"/>
      <c r="S92" s="235"/>
      <c r="T92" s="235"/>
      <c r="U92" s="235"/>
      <c r="V92" s="235"/>
      <c r="W92" s="235"/>
      <c r="X92" s="235"/>
      <c r="Y92" s="235"/>
      <c r="Z92" s="235"/>
      <c r="AA92" s="235"/>
    </row>
    <row r="93" s="4" customFormat="1" ht="15.75" customHeight="1">
      <c r="B93" s="523"/>
      <c r="D93" s="522"/>
      <c r="I93" s="235"/>
      <c r="J93" s="235"/>
      <c r="K93" s="235"/>
      <c r="L93" s="235"/>
      <c r="M93" s="235"/>
      <c r="N93" s="235"/>
      <c r="O93" s="235"/>
      <c r="P93" s="235"/>
      <c r="Q93" s="235"/>
      <c r="R93" s="235"/>
      <c r="S93" s="235"/>
      <c r="T93" s="235"/>
      <c r="U93" s="235"/>
      <c r="V93" s="235"/>
      <c r="W93" s="235"/>
      <c r="X93" s="235"/>
      <c r="Y93" s="235"/>
      <c r="Z93" s="235"/>
      <c r="AA93" s="235"/>
    </row>
    <row r="94" s="4" customFormat="1" ht="15.75" customHeight="1">
      <c r="B94" s="523"/>
      <c r="D94" s="522"/>
      <c r="I94" s="235"/>
      <c r="J94" s="235"/>
      <c r="K94" s="235"/>
      <c r="L94" s="235"/>
      <c r="M94" s="235"/>
      <c r="N94" s="235"/>
      <c r="O94" s="235"/>
      <c r="P94" s="235"/>
      <c r="Q94" s="235"/>
      <c r="R94" s="235"/>
      <c r="S94" s="235"/>
      <c r="T94" s="235"/>
      <c r="U94" s="235"/>
      <c r="V94" s="235"/>
      <c r="W94" s="235"/>
      <c r="X94" s="235"/>
      <c r="Y94" s="235"/>
      <c r="Z94" s="235"/>
      <c r="AA94" s="235"/>
    </row>
    <row r="95" s="4" customFormat="1" ht="15.75" customHeight="1">
      <c r="B95" s="523"/>
      <c r="D95" s="522"/>
      <c r="I95" s="235"/>
      <c r="J95" s="235"/>
      <c r="K95" s="235"/>
      <c r="L95" s="235"/>
      <c r="M95" s="235"/>
      <c r="N95" s="235"/>
      <c r="O95" s="235"/>
      <c r="P95" s="235"/>
      <c r="Q95" s="235"/>
      <c r="R95" s="235"/>
      <c r="S95" s="235"/>
      <c r="T95" s="235"/>
      <c r="U95" s="235"/>
      <c r="V95" s="235"/>
      <c r="W95" s="235"/>
      <c r="X95" s="235"/>
      <c r="Y95" s="235"/>
      <c r="Z95" s="235"/>
      <c r="AA95" s="235"/>
    </row>
    <row r="96" s="4" customFormat="1" ht="15.75" customHeight="1">
      <c r="B96" s="523"/>
      <c r="D96" s="522"/>
      <c r="I96" s="235"/>
      <c r="J96" s="235"/>
      <c r="K96" s="235"/>
      <c r="L96" s="235"/>
      <c r="M96" s="235"/>
      <c r="N96" s="235"/>
      <c r="O96" s="235"/>
      <c r="P96" s="235"/>
      <c r="Q96" s="235"/>
      <c r="R96" s="235"/>
      <c r="S96" s="235"/>
      <c r="T96" s="235"/>
      <c r="U96" s="235"/>
      <c r="V96" s="235"/>
      <c r="W96" s="235"/>
      <c r="X96" s="235"/>
      <c r="Y96" s="235"/>
      <c r="Z96" s="235"/>
      <c r="AA96" s="235"/>
    </row>
    <row r="97" s="4" customFormat="1" ht="15.75" customHeight="1">
      <c r="B97" s="523"/>
      <c r="D97" s="522"/>
      <c r="I97" s="235"/>
      <c r="J97" s="235"/>
      <c r="K97" s="235"/>
      <c r="L97" s="235"/>
      <c r="M97" s="235"/>
      <c r="N97" s="235"/>
      <c r="O97" s="235"/>
      <c r="P97" s="235"/>
      <c r="Q97" s="235"/>
      <c r="R97" s="235"/>
      <c r="S97" s="235"/>
      <c r="T97" s="235"/>
      <c r="U97" s="235"/>
      <c r="V97" s="235"/>
      <c r="W97" s="235"/>
      <c r="X97" s="235"/>
      <c r="Y97" s="235"/>
      <c r="Z97" s="235"/>
      <c r="AA97" s="235"/>
    </row>
    <row r="98" s="4" customFormat="1" ht="15.75" customHeight="1">
      <c r="B98" s="523"/>
      <c r="D98" s="522"/>
      <c r="I98" s="235"/>
      <c r="J98" s="235"/>
      <c r="K98" s="235"/>
      <c r="L98" s="235"/>
      <c r="M98" s="235"/>
      <c r="N98" s="235"/>
      <c r="O98" s="235"/>
      <c r="P98" s="235"/>
      <c r="Q98" s="235"/>
      <c r="R98" s="235"/>
      <c r="S98" s="235"/>
      <c r="T98" s="235"/>
      <c r="U98" s="235"/>
      <c r="V98" s="235"/>
      <c r="W98" s="235"/>
      <c r="X98" s="235"/>
      <c r="Y98" s="235"/>
      <c r="Z98" s="235"/>
      <c r="AA98" s="235"/>
    </row>
    <row r="99" s="4" customFormat="1" ht="15.75" customHeight="1">
      <c r="B99" s="523"/>
      <c r="D99" s="522"/>
      <c r="I99" s="235"/>
      <c r="J99" s="235"/>
      <c r="K99" s="235"/>
      <c r="L99" s="235"/>
      <c r="M99" s="235"/>
      <c r="N99" s="235"/>
      <c r="O99" s="235"/>
      <c r="P99" s="235"/>
      <c r="Q99" s="235"/>
      <c r="R99" s="235"/>
      <c r="S99" s="235"/>
      <c r="T99" s="235"/>
      <c r="U99" s="235"/>
      <c r="V99" s="235"/>
      <c r="W99" s="235"/>
      <c r="X99" s="235"/>
      <c r="Y99" s="235"/>
      <c r="Z99" s="235"/>
      <c r="AA99" s="235"/>
    </row>
    <row r="100" s="4" customFormat="1" ht="15.75" customHeight="1">
      <c r="B100" s="523"/>
      <c r="D100" s="522"/>
      <c r="I100" s="235"/>
      <c r="J100" s="235"/>
      <c r="K100" s="235"/>
      <c r="L100" s="235"/>
      <c r="M100" s="235"/>
      <c r="N100" s="235"/>
      <c r="O100" s="235"/>
      <c r="P100" s="235"/>
      <c r="Q100" s="235"/>
      <c r="R100" s="235"/>
      <c r="S100" s="235"/>
      <c r="T100" s="235"/>
      <c r="U100" s="235"/>
      <c r="V100" s="235"/>
      <c r="W100" s="235"/>
      <c r="X100" s="235"/>
      <c r="Y100" s="235"/>
      <c r="Z100" s="235"/>
      <c r="AA100" s="235"/>
    </row>
    <row r="101" s="4" customFormat="1" ht="15.75" customHeight="1">
      <c r="B101" s="523"/>
      <c r="D101" s="522"/>
      <c r="I101" s="235"/>
      <c r="J101" s="235"/>
      <c r="K101" s="235"/>
      <c r="L101" s="235"/>
      <c r="M101" s="235"/>
      <c r="N101" s="235"/>
      <c r="O101" s="235"/>
      <c r="P101" s="235"/>
      <c r="Q101" s="235"/>
      <c r="R101" s="235"/>
      <c r="S101" s="235"/>
      <c r="T101" s="235"/>
      <c r="U101" s="235"/>
      <c r="V101" s="235"/>
      <c r="W101" s="235"/>
      <c r="X101" s="235"/>
      <c r="Y101" s="235"/>
      <c r="Z101" s="235"/>
      <c r="AA101" s="235"/>
    </row>
    <row r="102" s="4" customFormat="1">
      <c r="B102" s="523"/>
      <c r="D102" s="522"/>
      <c r="I102" s="235"/>
      <c r="J102" s="235"/>
      <c r="K102" s="235"/>
      <c r="L102" s="235"/>
      <c r="M102" s="235"/>
      <c r="N102" s="235"/>
      <c r="O102" s="235"/>
      <c r="P102" s="235"/>
      <c r="Q102" s="235"/>
      <c r="R102" s="235"/>
      <c r="S102" s="235"/>
      <c r="T102" s="235"/>
      <c r="U102" s="235"/>
      <c r="V102" s="235"/>
      <c r="W102" s="235"/>
      <c r="X102" s="235"/>
      <c r="Y102" s="235"/>
      <c r="Z102" s="235"/>
      <c r="AA102" s="235"/>
    </row>
    <row r="103" s="4" customFormat="1">
      <c r="B103" s="523"/>
      <c r="D103" s="522"/>
      <c r="I103" s="235"/>
      <c r="J103" s="235"/>
      <c r="K103" s="235"/>
      <c r="L103" s="235"/>
      <c r="M103" s="235"/>
      <c r="N103" s="235"/>
      <c r="O103" s="235"/>
      <c r="P103" s="235"/>
      <c r="Q103" s="235"/>
      <c r="R103" s="235"/>
      <c r="S103" s="235"/>
      <c r="T103" s="235"/>
      <c r="U103" s="235"/>
      <c r="V103" s="235"/>
      <c r="W103" s="235"/>
      <c r="X103" s="235"/>
      <c r="Y103" s="235"/>
      <c r="Z103" s="235"/>
      <c r="AA103" s="235"/>
    </row>
    <row r="104" s="4" customFormat="1">
      <c r="B104" s="523"/>
      <c r="D104" s="522"/>
      <c r="I104" s="235"/>
      <c r="J104" s="235"/>
      <c r="K104" s="235"/>
      <c r="L104" s="235"/>
      <c r="M104" s="235"/>
      <c r="N104" s="235"/>
      <c r="O104" s="235"/>
      <c r="P104" s="235"/>
      <c r="Q104" s="235"/>
      <c r="R104" s="235"/>
      <c r="S104" s="235"/>
      <c r="T104" s="235"/>
      <c r="U104" s="235"/>
      <c r="V104" s="235"/>
      <c r="W104" s="235"/>
      <c r="X104" s="235"/>
      <c r="Y104" s="235"/>
      <c r="Z104" s="235"/>
      <c r="AA104" s="235"/>
    </row>
    <row r="105" s="4" customFormat="1">
      <c r="B105" s="523"/>
      <c r="D105" s="522"/>
      <c r="I105" s="235"/>
      <c r="J105" s="235"/>
      <c r="K105" s="235"/>
      <c r="L105" s="235"/>
      <c r="M105" s="235"/>
      <c r="N105" s="235"/>
      <c r="O105" s="235"/>
      <c r="P105" s="235"/>
      <c r="Q105" s="235"/>
      <c r="R105" s="235"/>
      <c r="S105" s="235"/>
      <c r="T105" s="235"/>
      <c r="U105" s="235"/>
      <c r="V105" s="235"/>
      <c r="W105" s="235"/>
      <c r="X105" s="235"/>
      <c r="Y105" s="235"/>
      <c r="Z105" s="235"/>
      <c r="AA105" s="235"/>
    </row>
    <row r="106" s="4" customFormat="1">
      <c r="B106" s="523"/>
      <c r="D106" s="522"/>
      <c r="I106" s="235"/>
      <c r="J106" s="235"/>
      <c r="K106" s="235"/>
      <c r="L106" s="235"/>
      <c r="M106" s="235"/>
      <c r="N106" s="235"/>
      <c r="O106" s="235"/>
      <c r="P106" s="235"/>
      <c r="Q106" s="235"/>
      <c r="R106" s="235"/>
      <c r="S106" s="235"/>
      <c r="T106" s="235"/>
      <c r="U106" s="235"/>
      <c r="V106" s="235"/>
      <c r="W106" s="235"/>
      <c r="X106" s="235"/>
      <c r="Y106" s="235"/>
      <c r="Z106" s="235"/>
      <c r="AA106" s="235"/>
    </row>
    <row r="107" s="4" customFormat="1">
      <c r="B107" s="523"/>
      <c r="D107" s="522"/>
      <c r="I107" s="235"/>
      <c r="J107" s="235"/>
      <c r="K107" s="235"/>
      <c r="L107" s="235"/>
      <c r="M107" s="235"/>
      <c r="N107" s="235"/>
      <c r="O107" s="235"/>
      <c r="P107" s="235"/>
      <c r="Q107" s="235"/>
      <c r="R107" s="235"/>
      <c r="S107" s="235"/>
      <c r="T107" s="235"/>
      <c r="U107" s="235"/>
      <c r="V107" s="235"/>
      <c r="W107" s="235"/>
      <c r="X107" s="235"/>
      <c r="Y107" s="235"/>
      <c r="Z107" s="235"/>
      <c r="AA107" s="235"/>
    </row>
    <row r="108" s="4" customFormat="1">
      <c r="B108" s="523"/>
      <c r="D108" s="522"/>
      <c r="I108" s="235"/>
      <c r="J108" s="235"/>
      <c r="K108" s="235"/>
      <c r="L108" s="235"/>
      <c r="M108" s="235"/>
      <c r="N108" s="235"/>
      <c r="O108" s="235"/>
      <c r="P108" s="235"/>
      <c r="Q108" s="235"/>
      <c r="R108" s="235"/>
      <c r="S108" s="235"/>
      <c r="T108" s="235"/>
      <c r="U108" s="235"/>
      <c r="V108" s="235"/>
      <c r="W108" s="235"/>
      <c r="X108" s="235"/>
      <c r="Y108" s="235"/>
      <c r="Z108" s="235"/>
      <c r="AA108" s="235"/>
    </row>
    <row r="109" s="4" customFormat="1">
      <c r="B109" s="523"/>
      <c r="D109" s="522"/>
      <c r="I109" s="235"/>
      <c r="J109" s="235"/>
      <c r="K109" s="235"/>
      <c r="L109" s="235"/>
      <c r="M109" s="235"/>
      <c r="N109" s="235"/>
      <c r="O109" s="235"/>
      <c r="P109" s="235"/>
      <c r="Q109" s="235"/>
      <c r="R109" s="235"/>
      <c r="S109" s="235"/>
      <c r="T109" s="235"/>
      <c r="U109" s="235"/>
      <c r="V109" s="235"/>
      <c r="W109" s="235"/>
      <c r="X109" s="235"/>
      <c r="Y109" s="235"/>
      <c r="Z109" s="235"/>
      <c r="AA109" s="235"/>
    </row>
    <row r="110" s="4" customFormat="1">
      <c r="B110" s="523"/>
      <c r="D110" s="522"/>
      <c r="I110" s="235"/>
      <c r="J110" s="235"/>
      <c r="K110" s="235"/>
      <c r="L110" s="235"/>
      <c r="M110" s="235"/>
      <c r="N110" s="235"/>
      <c r="O110" s="235"/>
      <c r="P110" s="235"/>
      <c r="Q110" s="235"/>
      <c r="R110" s="235"/>
      <c r="S110" s="235"/>
      <c r="T110" s="235"/>
      <c r="U110" s="235"/>
      <c r="V110" s="235"/>
      <c r="W110" s="235"/>
      <c r="X110" s="235"/>
      <c r="Y110" s="235"/>
      <c r="Z110" s="235"/>
      <c r="AA110" s="235"/>
    </row>
    <row r="111" s="4" customFormat="1">
      <c r="B111" s="523"/>
      <c r="D111" s="522"/>
      <c r="I111" s="235"/>
      <c r="J111" s="235"/>
      <c r="K111" s="235"/>
      <c r="L111" s="235"/>
      <c r="M111" s="235"/>
      <c r="N111" s="235"/>
      <c r="O111" s="235"/>
      <c r="P111" s="235"/>
      <c r="Q111" s="235"/>
      <c r="R111" s="235"/>
      <c r="S111" s="235"/>
      <c r="T111" s="235"/>
      <c r="U111" s="235"/>
      <c r="V111" s="235"/>
      <c r="W111" s="235"/>
      <c r="X111" s="235"/>
      <c r="Y111" s="235"/>
      <c r="Z111" s="235"/>
      <c r="AA111" s="235"/>
    </row>
    <row r="112" s="4" customFormat="1">
      <c r="B112" s="524"/>
      <c r="D112" s="522"/>
      <c r="I112" s="235"/>
      <c r="J112" s="235"/>
      <c r="K112" s="235"/>
      <c r="L112" s="235"/>
      <c r="M112" s="235"/>
      <c r="N112" s="235"/>
      <c r="O112" s="235"/>
      <c r="P112" s="235"/>
      <c r="Q112" s="235"/>
      <c r="R112" s="235"/>
      <c r="S112" s="235"/>
      <c r="T112" s="235"/>
      <c r="U112" s="235"/>
      <c r="V112" s="235"/>
      <c r="W112" s="235"/>
      <c r="X112" s="235"/>
      <c r="Y112" s="235"/>
      <c r="Z112" s="235"/>
      <c r="AA112" s="235"/>
    </row>
    <row r="113" s="4" customFormat="1">
      <c r="B113" s="524"/>
      <c r="D113" s="522"/>
      <c r="I113" s="235"/>
      <c r="J113" s="235"/>
      <c r="K113" s="235"/>
      <c r="L113" s="235"/>
      <c r="M113" s="235"/>
      <c r="N113" s="235"/>
      <c r="O113" s="235"/>
      <c r="P113" s="235"/>
      <c r="Q113" s="235"/>
      <c r="R113" s="235"/>
      <c r="S113" s="235"/>
      <c r="T113" s="235"/>
      <c r="U113" s="235"/>
      <c r="V113" s="235"/>
      <c r="W113" s="235"/>
      <c r="X113" s="235"/>
      <c r="Y113" s="235"/>
      <c r="Z113" s="235"/>
      <c r="AA113" s="235"/>
    </row>
    <row r="114" s="4" customFormat="1">
      <c r="B114" s="524"/>
      <c r="D114" s="522"/>
      <c r="I114" s="235"/>
      <c r="J114" s="235"/>
      <c r="K114" s="235"/>
      <c r="L114" s="235"/>
      <c r="M114" s="235"/>
      <c r="N114" s="235"/>
      <c r="O114" s="235"/>
      <c r="P114" s="235"/>
      <c r="Q114" s="235"/>
      <c r="R114" s="235"/>
      <c r="S114" s="235"/>
      <c r="T114" s="235"/>
      <c r="U114" s="235"/>
      <c r="V114" s="235"/>
      <c r="W114" s="235"/>
      <c r="X114" s="235"/>
      <c r="Y114" s="235"/>
      <c r="Z114" s="235"/>
      <c r="AA114" s="235"/>
    </row>
    <row r="115" s="4" customFormat="1">
      <c r="B115" s="524"/>
      <c r="D115" s="522"/>
      <c r="I115" s="235"/>
      <c r="J115" s="235"/>
      <c r="K115" s="235"/>
      <c r="L115" s="235"/>
      <c r="M115" s="235"/>
      <c r="N115" s="235"/>
      <c r="O115" s="235"/>
      <c r="P115" s="235"/>
      <c r="Q115" s="235"/>
      <c r="R115" s="235"/>
      <c r="S115" s="235"/>
      <c r="T115" s="235"/>
      <c r="U115" s="235"/>
      <c r="V115" s="235"/>
      <c r="W115" s="235"/>
      <c r="X115" s="235"/>
      <c r="Y115" s="235"/>
      <c r="Z115" s="235"/>
      <c r="AA115" s="235"/>
    </row>
    <row r="116" s="4" customFormat="1">
      <c r="B116" s="524"/>
      <c r="D116" s="522"/>
      <c r="I116" s="235"/>
      <c r="J116" s="235"/>
      <c r="K116" s="235"/>
      <c r="L116" s="235"/>
      <c r="M116" s="235"/>
      <c r="N116" s="235"/>
      <c r="O116" s="235"/>
      <c r="P116" s="235"/>
      <c r="Q116" s="235"/>
      <c r="R116" s="235"/>
      <c r="S116" s="235"/>
      <c r="T116" s="235"/>
      <c r="U116" s="235"/>
      <c r="V116" s="235"/>
      <c r="W116" s="235"/>
      <c r="X116" s="235"/>
      <c r="Y116" s="235"/>
      <c r="Z116" s="235"/>
      <c r="AA116" s="235"/>
    </row>
    <row r="117" s="4" customFormat="1">
      <c r="B117" s="524"/>
      <c r="D117" s="520"/>
      <c r="I117" s="235"/>
      <c r="J117" s="235"/>
      <c r="K117" s="235"/>
      <c r="L117" s="235"/>
      <c r="M117" s="235"/>
      <c r="N117" s="235"/>
      <c r="O117" s="235"/>
      <c r="P117" s="235"/>
      <c r="Q117" s="235"/>
      <c r="R117" s="235"/>
      <c r="S117" s="235"/>
      <c r="T117" s="235"/>
      <c r="U117" s="235"/>
      <c r="V117" s="235"/>
      <c r="W117" s="235"/>
      <c r="X117" s="235"/>
      <c r="Y117" s="235"/>
      <c r="Z117" s="235"/>
      <c r="AA117" s="235"/>
    </row>
    <row r="118" s="4" customFormat="1">
      <c r="B118" s="524"/>
      <c r="D118" s="520"/>
      <c r="I118" s="235"/>
      <c r="J118" s="235"/>
      <c r="K118" s="235"/>
      <c r="L118" s="235"/>
      <c r="M118" s="235"/>
      <c r="N118" s="235"/>
      <c r="O118" s="235"/>
      <c r="P118" s="235"/>
      <c r="Q118" s="235"/>
      <c r="R118" s="235"/>
      <c r="S118" s="235"/>
      <c r="T118" s="235"/>
      <c r="U118" s="235"/>
      <c r="V118" s="235"/>
      <c r="W118" s="235"/>
      <c r="X118" s="235"/>
      <c r="Y118" s="235"/>
      <c r="Z118" s="235"/>
      <c r="AA118" s="235"/>
    </row>
    <row r="119" s="4" customFormat="1">
      <c r="B119" s="524"/>
      <c r="D119" s="520"/>
      <c r="I119" s="235"/>
      <c r="J119" s="235"/>
      <c r="K119" s="235"/>
      <c r="L119" s="235"/>
      <c r="M119" s="235"/>
      <c r="N119" s="235"/>
      <c r="O119" s="235"/>
      <c r="P119" s="235"/>
      <c r="Q119" s="235"/>
      <c r="R119" s="235"/>
      <c r="S119" s="235"/>
      <c r="T119" s="235"/>
      <c r="U119" s="235"/>
      <c r="V119" s="235"/>
      <c r="W119" s="235"/>
      <c r="X119" s="235"/>
      <c r="Y119" s="235"/>
      <c r="Z119" s="235"/>
      <c r="AA119" s="235"/>
    </row>
    <row r="120" s="4" customFormat="1">
      <c r="B120" s="524"/>
      <c r="D120" s="520"/>
      <c r="I120" s="235"/>
      <c r="J120" s="235"/>
      <c r="K120" s="235"/>
      <c r="L120" s="235"/>
      <c r="M120" s="235"/>
      <c r="N120" s="235"/>
      <c r="O120" s="235"/>
      <c r="P120" s="235"/>
      <c r="Q120" s="235"/>
      <c r="R120" s="235"/>
      <c r="S120" s="235"/>
      <c r="T120" s="235"/>
      <c r="U120" s="235"/>
      <c r="V120" s="235"/>
      <c r="W120" s="235"/>
      <c r="X120" s="235"/>
      <c r="Y120" s="235"/>
      <c r="Z120" s="235"/>
      <c r="AA120" s="235"/>
    </row>
    <row r="121" s="4" customFormat="1">
      <c r="B121" s="524"/>
      <c r="D121" s="520"/>
      <c r="I121" s="235"/>
      <c r="J121" s="235"/>
      <c r="K121" s="235"/>
      <c r="L121" s="235"/>
      <c r="M121" s="235"/>
      <c r="N121" s="235"/>
      <c r="O121" s="235"/>
      <c r="P121" s="235"/>
      <c r="Q121" s="235"/>
      <c r="R121" s="235"/>
      <c r="S121" s="235"/>
      <c r="T121" s="235"/>
      <c r="U121" s="235"/>
      <c r="V121" s="235"/>
      <c r="W121" s="235"/>
      <c r="X121" s="235"/>
      <c r="Y121" s="235"/>
      <c r="Z121" s="235"/>
      <c r="AA121" s="235"/>
    </row>
    <row r="122" s="4" customFormat="1">
      <c r="B122" s="524"/>
      <c r="D122" s="520"/>
      <c r="I122" s="235"/>
      <c r="J122" s="235"/>
      <c r="K122" s="235"/>
      <c r="L122" s="235"/>
      <c r="M122" s="235"/>
      <c r="N122" s="235"/>
      <c r="O122" s="235"/>
      <c r="P122" s="235"/>
      <c r="Q122" s="235"/>
      <c r="R122" s="235"/>
      <c r="S122" s="235"/>
      <c r="T122" s="235"/>
      <c r="U122" s="235"/>
      <c r="V122" s="235"/>
      <c r="W122" s="235"/>
      <c r="X122" s="235"/>
      <c r="Y122" s="235"/>
      <c r="Z122" s="235"/>
      <c r="AA122" s="235"/>
    </row>
    <row r="123" s="4" customFormat="1">
      <c r="B123" s="524"/>
      <c r="D123" s="520"/>
      <c r="I123" s="235"/>
      <c r="J123" s="235"/>
      <c r="K123" s="235"/>
      <c r="L123" s="235"/>
      <c r="M123" s="235"/>
      <c r="N123" s="235"/>
      <c r="O123" s="235"/>
      <c r="P123" s="235"/>
      <c r="Q123" s="235"/>
      <c r="R123" s="235"/>
      <c r="S123" s="235"/>
      <c r="T123" s="235"/>
      <c r="U123" s="235"/>
      <c r="V123" s="235"/>
      <c r="W123" s="235"/>
      <c r="X123" s="235"/>
      <c r="Y123" s="235"/>
      <c r="Z123" s="235"/>
      <c r="AA123" s="235"/>
    </row>
    <row r="124" s="4" customFormat="1">
      <c r="B124" s="524"/>
      <c r="D124" s="520"/>
      <c r="I124" s="235"/>
      <c r="J124" s="235"/>
      <c r="K124" s="235"/>
      <c r="L124" s="235"/>
      <c r="M124" s="235"/>
      <c r="N124" s="235"/>
      <c r="O124" s="235"/>
      <c r="P124" s="235"/>
      <c r="Q124" s="235"/>
      <c r="R124" s="235"/>
      <c r="S124" s="235"/>
      <c r="T124" s="235"/>
      <c r="U124" s="235"/>
      <c r="V124" s="235"/>
      <c r="W124" s="235"/>
      <c r="X124" s="235"/>
      <c r="Y124" s="235"/>
      <c r="Z124" s="235"/>
      <c r="AA124" s="235"/>
    </row>
    <row r="125" s="4" customFormat="1">
      <c r="B125" s="524"/>
      <c r="D125" s="520"/>
      <c r="I125" s="235"/>
      <c r="J125" s="235"/>
      <c r="K125" s="235"/>
      <c r="L125" s="235"/>
      <c r="M125" s="235"/>
      <c r="N125" s="235"/>
      <c r="O125" s="235"/>
      <c r="P125" s="235"/>
      <c r="Q125" s="235"/>
      <c r="R125" s="235"/>
      <c r="S125" s="235"/>
      <c r="T125" s="235"/>
      <c r="U125" s="235"/>
      <c r="V125" s="235"/>
      <c r="W125" s="235"/>
      <c r="X125" s="235"/>
      <c r="Y125" s="235"/>
      <c r="Z125" s="235"/>
      <c r="AA125" s="235"/>
    </row>
    <row r="126" s="4" customFormat="1">
      <c r="B126" s="524"/>
      <c r="D126" s="520"/>
      <c r="I126" s="235"/>
      <c r="J126" s="235"/>
      <c r="K126" s="235"/>
      <c r="L126" s="235"/>
      <c r="M126" s="235"/>
      <c r="N126" s="235"/>
      <c r="O126" s="235"/>
      <c r="P126" s="235"/>
      <c r="Q126" s="235"/>
      <c r="R126" s="235"/>
      <c r="S126" s="235"/>
      <c r="T126" s="235"/>
      <c r="U126" s="235"/>
      <c r="V126" s="235"/>
      <c r="W126" s="235"/>
      <c r="X126" s="235"/>
      <c r="Y126" s="235"/>
      <c r="Z126" s="235"/>
      <c r="AA126" s="235"/>
    </row>
    <row r="127" s="4" customFormat="1">
      <c r="B127" s="524"/>
      <c r="D127" s="520"/>
      <c r="I127" s="235"/>
      <c r="J127" s="235"/>
      <c r="K127" s="235"/>
      <c r="L127" s="235"/>
      <c r="M127" s="235"/>
      <c r="N127" s="235"/>
      <c r="O127" s="235"/>
      <c r="P127" s="235"/>
      <c r="Q127" s="235"/>
      <c r="R127" s="235"/>
      <c r="S127" s="235"/>
      <c r="T127" s="235"/>
      <c r="U127" s="235"/>
      <c r="V127" s="235"/>
      <c r="W127" s="235"/>
      <c r="X127" s="235"/>
      <c r="Y127" s="235"/>
      <c r="Z127" s="235"/>
      <c r="AA127" s="235"/>
    </row>
    <row r="128" s="4" customFormat="1">
      <c r="B128" s="524"/>
      <c r="D128" s="520"/>
      <c r="I128" s="235"/>
      <c r="J128" s="235"/>
      <c r="K128" s="235"/>
      <c r="L128" s="235"/>
      <c r="M128" s="235"/>
      <c r="N128" s="235"/>
      <c r="O128" s="235"/>
      <c r="P128" s="235"/>
      <c r="Q128" s="235"/>
      <c r="R128" s="235"/>
      <c r="S128" s="235"/>
      <c r="T128" s="235"/>
      <c r="U128" s="235"/>
      <c r="V128" s="235"/>
      <c r="W128" s="235"/>
      <c r="X128" s="235"/>
      <c r="Y128" s="235"/>
      <c r="Z128" s="235"/>
      <c r="AA128" s="235"/>
    </row>
    <row r="129" s="4" customFormat="1">
      <c r="B129" s="524"/>
      <c r="D129" s="520"/>
      <c r="I129" s="235"/>
      <c r="J129" s="235"/>
      <c r="K129" s="235"/>
      <c r="L129" s="235"/>
      <c r="M129" s="235"/>
      <c r="N129" s="235"/>
      <c r="O129" s="235"/>
      <c r="P129" s="235"/>
      <c r="Q129" s="235"/>
      <c r="R129" s="235"/>
      <c r="S129" s="235"/>
      <c r="T129" s="235"/>
      <c r="U129" s="235"/>
      <c r="V129" s="235"/>
      <c r="W129" s="235"/>
      <c r="X129" s="235"/>
      <c r="Y129" s="235"/>
      <c r="Z129" s="235"/>
      <c r="AA129" s="235"/>
    </row>
    <row r="130" s="4" customFormat="1">
      <c r="B130" s="524"/>
      <c r="D130" s="520"/>
      <c r="I130" s="235"/>
      <c r="J130" s="235"/>
      <c r="K130" s="235"/>
      <c r="L130" s="235"/>
      <c r="M130" s="235"/>
      <c r="N130" s="235"/>
      <c r="O130" s="235"/>
      <c r="P130" s="235"/>
      <c r="Q130" s="235"/>
      <c r="R130" s="235"/>
      <c r="S130" s="235"/>
      <c r="T130" s="235"/>
      <c r="U130" s="235"/>
      <c r="V130" s="235"/>
      <c r="W130" s="235"/>
      <c r="X130" s="235"/>
      <c r="Y130" s="235"/>
      <c r="Z130" s="235"/>
      <c r="AA130" s="235"/>
    </row>
    <row r="131">
      <c r="B131" s="525"/>
      <c r="D131" s="521"/>
    </row>
    <row r="132">
      <c r="B132" s="525"/>
    </row>
    <row r="133">
      <c r="B133" s="525"/>
    </row>
    <row r="134">
      <c r="B134" s="525"/>
    </row>
    <row r="135">
      <c r="B135" s="525"/>
    </row>
    <row r="136">
      <c r="B136" s="525"/>
    </row>
    <row r="137">
      <c r="B137" s="525"/>
    </row>
    <row r="138">
      <c r="B138" s="525"/>
    </row>
    <row r="139">
      <c r="B139" s="525"/>
    </row>
    <row r="140">
      <c r="B140" s="525"/>
    </row>
    <row r="141">
      <c r="B141" s="525"/>
    </row>
    <row r="142">
      <c r="B142" s="525"/>
    </row>
    <row r="143">
      <c r="B143" s="525"/>
    </row>
    <row r="144">
      <c r="B144" s="525"/>
    </row>
    <row r="145">
      <c r="B145" s="525"/>
    </row>
    <row r="146">
      <c r="B146" s="525"/>
    </row>
    <row r="147">
      <c r="B147" s="525"/>
    </row>
    <row r="148">
      <c r="B148" s="525"/>
    </row>
    <row r="149">
      <c r="B149" s="525"/>
    </row>
    <row r="150">
      <c r="B150" s="525"/>
    </row>
    <row r="151">
      <c r="B151" s="525"/>
    </row>
    <row r="152">
      <c r="B152" s="525"/>
    </row>
    <row r="153">
      <c r="B153" s="525"/>
    </row>
  </sheetData>
  <sheetProtection sheet="1" objects="1" scenarios="1"/>
  <mergeCells count="3">
    <mergeCell ref="B62:F62"/>
    <mergeCell ref="B5:E5"/>
    <mergeCell ref="B4:E4"/>
  </mergeCells>
  <phoneticPr fontId="0" type="noConversion"/>
  <printOptions horizontalCentered="1" verticalCentered="1"/>
  <pageMargins left="0.25" right="0.25" top="0.25" bottom="0.25" header="0" footer="0"/>
  <pageSetup scale="57" fitToWidth="1" fitToHeight="1" orientation="landscape" r:id="rId1"/>
  <headerFooter alignWithMargins="0">
    <oddHeader/>
    <oddFooter/>
  </headerFooter>
  <rowBreaks count="1" manualBreakCount="1">
    <brk id="38" max="16383" man="1"/>
  </rowBreaks>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V64"/>
  <sheetViews>
    <sheetView showGridLines="0" workbookViewId="0"/>
  </sheetViews>
  <sheetFormatPr defaultRowHeight="12.75"/>
  <cols>
    <col min="1" max="1" width="1.7109375" style="2"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110" customWidth="1"/>
    <col min="14" max="14" width="10.7109375" customWidth="1"/>
    <col min="15" max="16" width="3.7109375" customWidth="1"/>
    <col min="17" max="17" width="13.7109375" customWidth="1"/>
    <col min="18" max="18" width="13.7109375" style="110" customWidth="1"/>
    <col min="19" max="19" width="10.7109375" customWidth="1"/>
    <col min="20" max="20" width="3.7109375" customWidth="1"/>
    <col min="21" max="21" width="2.7109375" customWidth="1"/>
    <col min="22" max="24" width="7" style="236" customWidth="1"/>
    <col min="25" max="38" width="9.140625" style="236" customWidth="1"/>
  </cols>
  <sheetData>
    <row r="1" ht="26.25" customHeight="1">
      <c r="B1" s="220" t="s">
        <v>127</v>
      </c>
      <c r="C1" s="103"/>
      <c r="D1" s="103"/>
      <c r="E1" s="103"/>
      <c r="F1" s="103"/>
      <c r="G1" s="103"/>
      <c r="H1" s="103"/>
      <c r="I1" s="104"/>
      <c r="J1" s="103"/>
      <c r="K1" s="103"/>
      <c r="L1" s="103"/>
      <c r="M1" s="13"/>
      <c r="N1" s="51"/>
      <c r="O1" s="2"/>
      <c r="P1" s="2"/>
      <c r="Q1" s="2"/>
      <c r="R1" s="22"/>
      <c r="S1" s="51"/>
      <c r="T1" s="2"/>
      <c r="U1" s="2"/>
      <c r="V1" s="236"/>
    </row>
    <row r="2" ht="21.75" customHeight="1">
      <c r="B2" s="935" t="s">
        <v>170</v>
      </c>
      <c r="C2" s="935"/>
      <c r="D2" s="935"/>
      <c r="E2" s="935"/>
      <c r="F2" s="935"/>
      <c r="G2" s="935"/>
      <c r="H2" s="935"/>
      <c r="I2" s="935"/>
      <c r="J2" s="935"/>
      <c r="K2" s="935"/>
      <c r="L2" s="935"/>
      <c r="M2" s="935"/>
      <c r="N2" s="935"/>
      <c r="O2" s="935"/>
      <c r="P2" s="935"/>
      <c r="Q2" s="935"/>
      <c r="R2" s="935"/>
      <c r="S2" s="935"/>
      <c r="T2" s="2"/>
      <c r="U2" s="2"/>
    </row>
    <row r="3" ht="19.5" customHeight="1">
      <c r="A3"/>
      <c r="B3" s="115" t="s">
        <v>171</v>
      </c>
      <c r="C3" s="115"/>
      <c r="D3" s="115"/>
      <c r="E3" s="115"/>
      <c r="F3" s="115"/>
      <c r="G3" s="115"/>
      <c r="H3" s="115"/>
      <c r="I3" s="115"/>
      <c r="J3" s="115"/>
      <c r="K3" s="115"/>
      <c r="L3" s="115"/>
      <c r="M3" s="115"/>
      <c r="N3" s="115"/>
      <c r="O3" s="115"/>
      <c r="P3" s="115"/>
      <c r="Q3" s="115"/>
      <c r="R3" s="115"/>
      <c r="S3" s="115"/>
      <c r="T3" s="2"/>
      <c r="U3" s="2"/>
    </row>
    <row r="4" ht="18.75" customHeight="1">
      <c r="A4"/>
      <c r="B4" s="936" t="s">
        <v>172</v>
      </c>
      <c r="C4" s="936"/>
      <c r="D4" s="936"/>
      <c r="E4" s="936"/>
      <c r="F4" s="936"/>
      <c r="G4" s="936"/>
      <c r="H4" s="936"/>
      <c r="I4" s="936"/>
      <c r="J4" s="936"/>
      <c r="K4" s="936"/>
      <c r="L4" s="936"/>
      <c r="M4" s="936"/>
      <c r="N4" s="936"/>
      <c r="O4" s="936"/>
      <c r="P4" s="936"/>
      <c r="Q4" s="200"/>
      <c r="R4" s="203"/>
      <c r="S4" s="200"/>
      <c r="T4" s="222"/>
      <c r="U4" s="2"/>
    </row>
    <row r="5" ht="12" customHeight="1">
      <c r="A5"/>
      <c r="B5" s="129"/>
      <c r="D5" s="13"/>
      <c r="E5" s="13"/>
      <c r="F5" s="2"/>
      <c r="G5" s="2"/>
      <c r="H5" s="2"/>
      <c r="I5" s="2"/>
      <c r="J5" s="2"/>
      <c r="K5" s="2"/>
      <c r="L5" s="2"/>
      <c r="M5" s="2"/>
      <c r="N5" s="9"/>
      <c r="O5" s="2"/>
      <c r="P5" s="2"/>
      <c r="Q5" s="2"/>
      <c r="R5" s="2"/>
      <c r="S5" s="2"/>
      <c r="T5" s="2"/>
      <c r="U5" s="2"/>
    </row>
    <row r="6" ht="17.1" customHeight="1">
      <c r="B6" s="699" t="s">
        <v>173</v>
      </c>
      <c r="C6" s="937"/>
      <c r="D6" s="937"/>
      <c r="E6" s="937"/>
      <c r="F6" s="937"/>
      <c r="G6" s="937"/>
      <c r="H6" s="937"/>
      <c r="I6" s="937"/>
      <c r="J6" s="937"/>
      <c r="K6" s="937"/>
      <c r="L6" s="937"/>
      <c r="M6" s="937"/>
      <c r="N6" s="937"/>
      <c r="O6" s="937"/>
      <c r="P6" s="937"/>
      <c r="Q6" s="937"/>
      <c r="R6" s="937"/>
      <c r="S6" s="937"/>
      <c r="T6" s="938"/>
      <c r="U6" s="2"/>
    </row>
    <row r="7">
      <c r="B7" s="2"/>
      <c r="C7" s="2"/>
      <c r="D7" s="2"/>
      <c r="E7" s="2"/>
      <c r="F7" s="934" t="s">
        <v>22</v>
      </c>
      <c r="G7" s="934"/>
      <c r="H7" s="934"/>
      <c r="I7" s="934"/>
      <c r="J7" s="934"/>
      <c r="K7" s="934" t="s">
        <v>9</v>
      </c>
      <c r="L7" s="934"/>
      <c r="M7" s="934"/>
      <c r="N7" s="934"/>
      <c r="O7" s="934"/>
      <c r="P7" s="934" t="s">
        <v>10</v>
      </c>
      <c r="Q7" s="934"/>
      <c r="R7" s="934"/>
      <c r="S7" s="934"/>
      <c r="T7" s="934"/>
      <c r="U7" s="2"/>
    </row>
    <row r="8" ht="20.1" customHeight="1">
      <c r="B8" s="2"/>
      <c r="C8" s="2"/>
      <c r="D8" s="2"/>
      <c r="E8" s="2"/>
      <c r="F8" s="934"/>
      <c r="G8" s="934"/>
      <c r="H8" s="934"/>
      <c r="I8" s="934"/>
      <c r="J8" s="934"/>
      <c r="K8" s="934"/>
      <c r="L8" s="934"/>
      <c r="M8" s="934"/>
      <c r="N8" s="934"/>
      <c r="O8" s="934"/>
      <c r="P8" s="934"/>
      <c r="Q8" s="934"/>
      <c r="R8" s="934"/>
      <c r="S8" s="934"/>
      <c r="T8" s="934"/>
      <c r="U8" s="2"/>
    </row>
    <row r="9" ht="20.1" customHeight="1">
      <c r="B9" s="2"/>
      <c r="C9" s="2"/>
      <c r="D9" s="2"/>
      <c r="E9" s="2"/>
      <c r="F9" s="2"/>
      <c r="G9" s="22" t="s">
        <v>25</v>
      </c>
      <c r="H9" s="22" t="s">
        <v>15</v>
      </c>
      <c r="I9" s="593" t="s">
        <v>97</v>
      </c>
      <c r="J9" s="3"/>
      <c r="K9" s="3"/>
      <c r="L9" s="22" t="s">
        <v>25</v>
      </c>
      <c r="M9" s="22" t="s">
        <v>15</v>
      </c>
      <c r="N9" s="593" t="s">
        <v>98</v>
      </c>
      <c r="O9" s="2"/>
      <c r="P9" s="2"/>
      <c r="Q9" s="22" t="s">
        <v>25</v>
      </c>
      <c r="R9" s="22" t="s">
        <v>15</v>
      </c>
      <c r="S9" s="593" t="s">
        <v>99</v>
      </c>
      <c r="T9" s="2"/>
      <c r="U9" s="2"/>
    </row>
    <row r="10" ht="15" customHeight="1">
      <c r="B10" s="2"/>
      <c r="C10" s="109"/>
      <c r="D10" s="109"/>
      <c r="E10" s="109"/>
      <c r="F10" s="165"/>
      <c r="G10" s="185"/>
      <c r="H10" s="166"/>
      <c r="I10" s="176"/>
      <c r="J10" s="167"/>
      <c r="K10" s="165"/>
      <c r="L10" s="185"/>
      <c r="M10" s="168"/>
      <c r="N10" s="176"/>
      <c r="O10" s="167"/>
      <c r="P10" s="142"/>
      <c r="Q10" s="187"/>
      <c r="R10" s="168"/>
      <c r="S10" s="176"/>
      <c r="T10" s="167"/>
      <c r="U10" s="2"/>
    </row>
    <row r="11" ht="20.1" customHeight="1">
      <c r="B11" s="2"/>
      <c r="C11" s="180"/>
      <c r="D11" s="105" t="s">
        <v>42</v>
      </c>
      <c r="E11" s="180"/>
      <c r="F11" s="164"/>
      <c r="G11" s="193">
        <v>40.860215053763440860215053760</v>
      </c>
      <c r="H11" s="193">
        <v>59.800491098833640270104358500</v>
      </c>
      <c r="I11" s="193">
        <v>68.327557688875520877589515330</v>
      </c>
      <c r="J11" s="194"/>
      <c r="K11" s="194"/>
      <c r="L11" s="195">
        <v>103.99178947368421052631578947</v>
      </c>
      <c r="M11" s="195">
        <v>136.99934096391726120207360263</v>
      </c>
      <c r="N11" s="193">
        <v>75.906780822461444105212426380</v>
      </c>
      <c r="O11" s="194"/>
      <c r="P11" s="193"/>
      <c r="Q11" s="195">
        <v>42.491268817204301075268817204</v>
      </c>
      <c r="R11" s="195">
        <v>81.92627869858809085328422345</v>
      </c>
      <c r="S11" s="193">
        <v>51.865249456192393329901740930</v>
      </c>
      <c r="T11" s="141"/>
      <c r="U11" s="2"/>
    </row>
    <row r="12" ht="15" customHeight="1">
      <c r="B12" s="2"/>
      <c r="C12" s="109"/>
      <c r="D12" s="109"/>
      <c r="E12" s="109"/>
      <c r="F12" s="165"/>
      <c r="G12" s="193"/>
      <c r="H12" s="193"/>
      <c r="I12" s="193"/>
      <c r="J12" s="194"/>
      <c r="K12" s="194"/>
      <c r="L12" s="195"/>
      <c r="M12" s="195"/>
      <c r="N12" s="193"/>
      <c r="O12" s="194"/>
      <c r="P12" s="193"/>
      <c r="Q12" s="195"/>
      <c r="R12" s="195"/>
      <c r="S12" s="193"/>
      <c r="T12" s="167"/>
      <c r="U12" s="2"/>
    </row>
    <row r="13" ht="20.1" customHeight="1">
      <c r="B13" s="111"/>
      <c r="C13" s="188"/>
      <c r="D13" s="189" t="s">
        <v>58</v>
      </c>
      <c r="E13" s="188"/>
      <c r="F13" s="169"/>
      <c r="G13" s="196">
        <v>38.017584506623893542446385080</v>
      </c>
      <c r="H13" s="196">
        <v>53.748868064670390606717336670</v>
      </c>
      <c r="I13" s="196">
        <v>70.731879340901407651754031970</v>
      </c>
      <c r="J13" s="197"/>
      <c r="K13" s="197"/>
      <c r="L13" s="198">
        <v>111.16751464958199859364012814</v>
      </c>
      <c r="M13" s="198">
        <v>136.94504306591451179343505092</v>
      </c>
      <c r="N13" s="196">
        <v>81.17673495935630927175970899</v>
      </c>
      <c r="O13" s="197"/>
      <c r="P13" s="196"/>
      <c r="Q13" s="198">
        <v>42.26320382581833303629774847</v>
      </c>
      <c r="R13" s="198">
        <v>73.606410518604438203962028021</v>
      </c>
      <c r="S13" s="196">
        <v>57.417830224364244218329324790</v>
      </c>
      <c r="T13" s="170"/>
      <c r="U13" s="2"/>
    </row>
    <row r="14" ht="15" customHeight="1">
      <c r="B14" s="2"/>
      <c r="C14" s="180"/>
      <c r="D14" s="105"/>
      <c r="E14" s="105"/>
      <c r="F14" s="137"/>
      <c r="G14" s="193"/>
      <c r="H14" s="193"/>
      <c r="I14" s="193"/>
      <c r="J14" s="194"/>
      <c r="K14" s="194"/>
      <c r="L14" s="195"/>
      <c r="M14" s="195"/>
      <c r="N14" s="193"/>
      <c r="O14" s="194"/>
      <c r="P14" s="193"/>
      <c r="Q14" s="195"/>
      <c r="R14" s="195"/>
      <c r="S14" s="193"/>
      <c r="T14" s="167"/>
      <c r="U14" s="2"/>
    </row>
    <row r="15" ht="20.1" customHeight="1">
      <c r="B15" s="2"/>
      <c r="C15" s="180"/>
      <c r="D15" s="105" t="s">
        <v>44</v>
      </c>
      <c r="E15" s="180"/>
      <c r="F15" s="137"/>
      <c r="G15" s="193">
        <v>38.183859151601087084958052700</v>
      </c>
      <c r="H15" s="193">
        <v>55.470220387347459170663590550</v>
      </c>
      <c r="I15" s="193">
        <v>68.836681889843988586294204180</v>
      </c>
      <c r="J15" s="194"/>
      <c r="K15" s="194"/>
      <c r="L15" s="195">
        <v>107.86127649698282531332198669</v>
      </c>
      <c r="M15" s="195">
        <v>137.27722140133895182327295282</v>
      </c>
      <c r="N15" s="193">
        <v>78.571867492622043292550136160</v>
      </c>
      <c r="O15" s="194"/>
      <c r="P15" s="193"/>
      <c r="Q15" s="195">
        <v>41.185597896726928984993501123</v>
      </c>
      <c r="R15" s="195">
        <v>76.147977252949628640236375043</v>
      </c>
      <c r="S15" s="193">
        <v>54.086266480779602398500864520</v>
      </c>
      <c r="T15" s="141"/>
      <c r="U15" s="2"/>
    </row>
    <row r="16" ht="15" customHeight="1">
      <c r="B16" s="2"/>
      <c r="C16" s="180"/>
      <c r="D16" s="105"/>
      <c r="E16" s="180"/>
      <c r="F16" s="137"/>
      <c r="G16" s="193"/>
      <c r="H16" s="193"/>
      <c r="I16" s="193"/>
      <c r="J16" s="194"/>
      <c r="K16" s="194"/>
      <c r="L16" s="195"/>
      <c r="M16" s="195"/>
      <c r="N16" s="193"/>
      <c r="O16" s="194"/>
      <c r="P16" s="193"/>
      <c r="Q16" s="195"/>
      <c r="R16" s="195"/>
      <c r="S16" s="193"/>
      <c r="T16" s="167"/>
      <c r="U16" s="2"/>
    </row>
    <row r="17" ht="20.1" customHeight="1">
      <c r="B17" s="111"/>
      <c r="C17" s="188"/>
      <c r="D17" s="189" t="s">
        <v>45</v>
      </c>
      <c r="E17" s="188"/>
      <c r="F17" s="169"/>
      <c r="G17" s="196">
        <v>37.575489762851671822065105320</v>
      </c>
      <c r="H17" s="196">
        <v>51.368601629708115744594969600</v>
      </c>
      <c r="I17" s="196">
        <v>73.148749568309239705441506760</v>
      </c>
      <c r="J17" s="197"/>
      <c r="K17" s="197"/>
      <c r="L17" s="198">
        <v>112.07238965111720893767150137</v>
      </c>
      <c r="M17" s="198">
        <v>138.29859689617915725370788724</v>
      </c>
      <c r="N17" s="196">
        <v>81.03653411265851912193371291</v>
      </c>
      <c r="O17" s="197"/>
      <c r="P17" s="196"/>
      <c r="Q17" s="198">
        <v>42.111749300338783325968478421</v>
      </c>
      <c r="R17" s="198">
        <v>71.042055299074144150962435985</v>
      </c>
      <c r="S17" s="196">
        <v>59.277211396884062599101683060</v>
      </c>
      <c r="T17" s="170"/>
      <c r="U17" s="2"/>
    </row>
    <row r="18" ht="15" customHeight="1">
      <c r="B18" s="2"/>
      <c r="C18" s="105"/>
      <c r="D18" s="105"/>
      <c r="E18" s="105"/>
      <c r="F18" s="137"/>
      <c r="G18" s="191"/>
      <c r="H18" s="192"/>
      <c r="I18" s="187"/>
      <c r="J18" s="141"/>
      <c r="K18" s="137"/>
      <c r="L18" s="191"/>
      <c r="M18" s="192"/>
      <c r="N18" s="187"/>
      <c r="O18" s="141"/>
      <c r="P18" s="190"/>
      <c r="Q18" s="141"/>
      <c r="R18" s="192"/>
      <c r="S18" s="187"/>
      <c r="T18" s="141"/>
      <c r="U18" s="2"/>
    </row>
    <row r="19" ht="15" customHeight="1">
      <c r="B19" s="2"/>
      <c r="C19" s="105"/>
      <c r="D19" s="105"/>
      <c r="E19" s="105"/>
      <c r="F19" s="137"/>
      <c r="G19" s="138"/>
      <c r="H19" s="139"/>
      <c r="I19" s="140"/>
      <c r="J19" s="141"/>
      <c r="K19" s="137"/>
      <c r="L19" s="138"/>
      <c r="M19" s="139"/>
      <c r="N19" s="140"/>
      <c r="O19" s="141"/>
      <c r="P19" s="142"/>
      <c r="Q19" s="141"/>
      <c r="R19" s="157"/>
      <c r="S19" s="140"/>
      <c r="T19" s="141"/>
      <c r="U19" s="2"/>
    </row>
    <row r="20" ht="17.1" customHeight="1">
      <c r="B20" s="699" t="s">
        <v>174</v>
      </c>
      <c r="C20" s="937"/>
      <c r="D20" s="937"/>
      <c r="E20" s="937"/>
      <c r="F20" s="937"/>
      <c r="G20" s="937"/>
      <c r="H20" s="937"/>
      <c r="I20" s="937"/>
      <c r="J20" s="937"/>
      <c r="K20" s="937"/>
      <c r="L20" s="937"/>
      <c r="M20" s="937"/>
      <c r="N20" s="937"/>
      <c r="O20" s="937"/>
      <c r="P20" s="937"/>
      <c r="Q20" s="937"/>
      <c r="R20" s="937"/>
      <c r="S20" s="937"/>
      <c r="T20" s="938"/>
      <c r="U20" s="2"/>
    </row>
    <row r="21">
      <c r="B21" s="2"/>
      <c r="C21" s="2"/>
      <c r="D21" s="2"/>
      <c r="E21" s="2"/>
      <c r="F21" s="934" t="s">
        <v>72</v>
      </c>
      <c r="G21" s="934"/>
      <c r="H21" s="934"/>
      <c r="I21" s="934"/>
      <c r="J21" s="934"/>
      <c r="K21" s="934" t="s">
        <v>9</v>
      </c>
      <c r="L21" s="934"/>
      <c r="M21" s="934"/>
      <c r="N21" s="934"/>
      <c r="O21" s="934"/>
      <c r="P21" s="934" t="s">
        <v>10</v>
      </c>
      <c r="Q21" s="934"/>
      <c r="R21" s="934"/>
      <c r="S21" s="934"/>
      <c r="T21" s="934"/>
      <c r="U21" s="2"/>
    </row>
    <row r="22" ht="20.1" customHeight="1">
      <c r="B22" s="2"/>
      <c r="C22" s="2"/>
      <c r="D22" s="2"/>
      <c r="E22" s="2"/>
      <c r="F22" s="934"/>
      <c r="G22" s="934"/>
      <c r="H22" s="934"/>
      <c r="I22" s="934"/>
      <c r="J22" s="934"/>
      <c r="K22" s="934"/>
      <c r="L22" s="934"/>
      <c r="M22" s="934"/>
      <c r="N22" s="934"/>
      <c r="O22" s="934"/>
      <c r="P22" s="934"/>
      <c r="Q22" s="934"/>
      <c r="R22" s="934"/>
      <c r="S22" s="934"/>
      <c r="T22" s="934"/>
      <c r="U22" s="2"/>
    </row>
    <row r="23" ht="20.1" customHeight="1">
      <c r="B23" s="2"/>
      <c r="C23" s="2"/>
      <c r="D23" s="2"/>
      <c r="E23" s="2"/>
      <c r="F23" s="2"/>
      <c r="G23" s="22" t="s">
        <v>25</v>
      </c>
      <c r="H23" s="22" t="s">
        <v>15</v>
      </c>
      <c r="I23" s="593" t="s">
        <v>97</v>
      </c>
      <c r="J23" s="3"/>
      <c r="K23" s="3"/>
      <c r="L23" s="22" t="s">
        <v>25</v>
      </c>
      <c r="M23" s="22" t="s">
        <v>15</v>
      </c>
      <c r="N23" s="593" t="s">
        <v>98</v>
      </c>
      <c r="O23" s="2"/>
      <c r="P23" s="2"/>
      <c r="Q23" s="22" t="s">
        <v>25</v>
      </c>
      <c r="R23" s="22" t="s">
        <v>15</v>
      </c>
      <c r="S23" s="593" t="s">
        <v>99</v>
      </c>
      <c r="T23" s="2"/>
      <c r="U23" s="2"/>
    </row>
    <row r="24" ht="15" customHeight="1">
      <c r="B24" s="2"/>
      <c r="C24" s="109"/>
      <c r="D24" s="109"/>
      <c r="E24" s="109"/>
      <c r="F24" s="165"/>
      <c r="G24" s="185"/>
      <c r="H24" s="166"/>
      <c r="I24" s="176"/>
      <c r="J24" s="167"/>
      <c r="K24" s="165"/>
      <c r="L24" s="185"/>
      <c r="M24" s="168"/>
      <c r="N24" s="176"/>
      <c r="O24" s="167"/>
      <c r="P24" s="142"/>
      <c r="Q24" s="187"/>
      <c r="R24" s="168"/>
      <c r="S24" s="176"/>
      <c r="T24" s="167"/>
      <c r="U24" s="2"/>
    </row>
    <row r="25" ht="20.1" customHeight="1">
      <c r="B25" s="2"/>
      <c r="C25" s="180"/>
      <c r="D25" s="105" t="s">
        <v>42</v>
      </c>
      <c r="E25" s="180"/>
      <c r="F25" s="164"/>
      <c r="G25" s="193">
        <v>16.683725690735221245242624570</v>
      </c>
      <c r="H25" s="193">
        <v>5.8628559008387659210662012100</v>
      </c>
      <c r="I25" s="193">
        <v>10.221592548224389000348385620</v>
      </c>
      <c r="J25" s="193"/>
      <c r="K25" s="193"/>
      <c r="L25" s="193">
        <v>-4.9409938722821046016522355700</v>
      </c>
      <c r="M25" s="193">
        <v>-1.1200406530874745558608498700</v>
      </c>
      <c r="N25" s="193">
        <v>-3.8642342132935802559476049400</v>
      </c>
      <c r="O25" s="193"/>
      <c r="P25" s="193"/>
      <c r="Q25" s="193">
        <v>10.918389954639361677116857900</v>
      </c>
      <c r="R25" s="193">
        <v>4.6771488783097477288291690600</v>
      </c>
      <c r="S25" s="193">
        <v>5.9623720583279966279302234800</v>
      </c>
      <c r="T25" s="141"/>
      <c r="U25" s="2"/>
    </row>
    <row r="26" ht="15" customHeight="1">
      <c r="B26" s="2"/>
      <c r="C26" s="109"/>
      <c r="D26" s="109"/>
      <c r="E26" s="109"/>
      <c r="F26" s="165"/>
      <c r="G26" s="193"/>
      <c r="H26" s="193"/>
      <c r="I26" s="193"/>
      <c r="J26" s="193"/>
      <c r="K26" s="193"/>
      <c r="L26" s="193"/>
      <c r="M26" s="193"/>
      <c r="N26" s="193"/>
      <c r="O26" s="193"/>
      <c r="P26" s="193"/>
      <c r="Q26" s="193"/>
      <c r="R26" s="193"/>
      <c r="S26" s="193"/>
      <c r="T26" s="167"/>
      <c r="U26" s="2"/>
    </row>
    <row r="27" ht="20.1" customHeight="1">
      <c r="B27" s="111"/>
      <c r="C27" s="188"/>
      <c r="D27" s="189" t="s">
        <v>58</v>
      </c>
      <c r="E27" s="188"/>
      <c r="F27" s="169"/>
      <c r="G27" s="196">
        <v>-4.9293587413725625159941223500</v>
      </c>
      <c r="H27" s="196">
        <v>-3.2796262390412729014700562900</v>
      </c>
      <c r="I27" s="196">
        <v>-1.7056721745920568166254732200</v>
      </c>
      <c r="J27" s="196"/>
      <c r="K27" s="196"/>
      <c r="L27" s="196">
        <v>-2.9841420391460347229841613800</v>
      </c>
      <c r="M27" s="196">
        <v>-2.2560530404893914882574880900</v>
      </c>
      <c r="N27" s="196">
        <v>-0.7448942070154062619131934100</v>
      </c>
      <c r="O27" s="196"/>
      <c r="P27" s="196"/>
      <c r="Q27" s="196">
        <v>-7.7664017141368452084717401400</v>
      </c>
      <c r="R27" s="196">
        <v>-5.4616891720060733880760034500</v>
      </c>
      <c r="S27" s="196">
        <v>-2.4378609284861439907935469400</v>
      </c>
      <c r="T27" s="170"/>
      <c r="U27" s="2"/>
    </row>
    <row r="28" ht="15" customHeight="1">
      <c r="B28" s="2"/>
      <c r="C28" s="180"/>
      <c r="D28" s="105"/>
      <c r="E28" s="105"/>
      <c r="F28" s="137"/>
      <c r="G28" s="193"/>
      <c r="H28" s="193"/>
      <c r="I28" s="193"/>
      <c r="J28" s="193"/>
      <c r="K28" s="193"/>
      <c r="L28" s="193"/>
      <c r="M28" s="193"/>
      <c r="N28" s="193"/>
      <c r="O28" s="193"/>
      <c r="P28" s="193"/>
      <c r="Q28" s="193"/>
      <c r="R28" s="193"/>
      <c r="S28" s="193"/>
      <c r="T28" s="167"/>
      <c r="U28" s="2"/>
    </row>
    <row r="29" ht="20.1" customHeight="1">
      <c r="B29" s="2"/>
      <c r="C29" s="180"/>
      <c r="D29" s="105" t="s">
        <v>44</v>
      </c>
      <c r="E29" s="180"/>
      <c r="F29" s="137"/>
      <c r="G29" s="193">
        <v>1.0633307270116020713505952600</v>
      </c>
      <c r="H29" s="193">
        <v>0.2248793329729499829702600800</v>
      </c>
      <c r="I29" s="193">
        <v>0.8365701209885328369222273400</v>
      </c>
      <c r="J29" s="193"/>
      <c r="K29" s="193"/>
      <c r="L29" s="193">
        <v>-6.3284769118517615318111705500</v>
      </c>
      <c r="M29" s="193">
        <v>-2.3369167716142636668942366900</v>
      </c>
      <c r="N29" s="193">
        <v>-4.0870716019712890844467973500</v>
      </c>
      <c r="O29" s="193"/>
      <c r="P29" s="193"/>
      <c r="Q29" s="193">
        <v>-5.3324388243002800009248900900</v>
      </c>
      <c r="R29" s="193">
        <v>-2.1172926814600620645008885900</v>
      </c>
      <c r="S29" s="193">
        <v>-3.2846927008570770400353574700</v>
      </c>
      <c r="T29" s="141"/>
      <c r="U29" s="2"/>
    </row>
    <row r="30" ht="15" customHeight="1">
      <c r="B30" s="2"/>
      <c r="C30" s="180"/>
      <c r="D30" s="105"/>
      <c r="E30" s="180"/>
      <c r="F30" s="137"/>
      <c r="G30" s="193"/>
      <c r="H30" s="193"/>
      <c r="I30" s="193"/>
      <c r="J30" s="193"/>
      <c r="K30" s="193"/>
      <c r="L30" s="193"/>
      <c r="M30" s="193"/>
      <c r="N30" s="193"/>
      <c r="O30" s="193"/>
      <c r="P30" s="193"/>
      <c r="Q30" s="193"/>
      <c r="R30" s="193"/>
      <c r="S30" s="193"/>
      <c r="T30" s="167"/>
      <c r="U30" s="2"/>
    </row>
    <row r="31" ht="20.1" customHeight="1">
      <c r="B31" s="111"/>
      <c r="C31" s="188"/>
      <c r="D31" s="189" t="s">
        <v>45</v>
      </c>
      <c r="E31" s="188"/>
      <c r="F31" s="169"/>
      <c r="G31" s="196">
        <v>-13.279688066707958758945749030</v>
      </c>
      <c r="H31" s="196">
        <v>-2.7205392974017316838129036400</v>
      </c>
      <c r="I31" s="196">
        <v>-10.854448300797699462131287680</v>
      </c>
      <c r="J31" s="196"/>
      <c r="K31" s="196"/>
      <c r="L31" s="196">
        <v>-0.0736483930706315842560415200</v>
      </c>
      <c r="M31" s="196">
        <v>0.1967354695113905344359052700</v>
      </c>
      <c r="N31" s="196">
        <v>-0.2698529660690232315167738300</v>
      </c>
      <c r="O31" s="196"/>
      <c r="P31" s="196"/>
      <c r="Q31" s="196">
        <v>-13.343556182863321895855095760</v>
      </c>
      <c r="R31" s="196">
        <v>-2.5291560936191237643591652800</v>
      </c>
      <c r="S31" s="196">
        <v>-11.095010216235647345761402800</v>
      </c>
      <c r="T31" s="170"/>
      <c r="U31" s="2"/>
    </row>
    <row r="32" ht="15" customHeight="1">
      <c r="B32" s="2"/>
      <c r="C32" s="105"/>
      <c r="D32" s="105"/>
      <c r="E32" s="105"/>
      <c r="F32" s="137"/>
      <c r="G32" s="191"/>
      <c r="H32" s="192"/>
      <c r="I32" s="187"/>
      <c r="J32" s="141"/>
      <c r="K32" s="137"/>
      <c r="L32" s="191"/>
      <c r="M32" s="192"/>
      <c r="N32" s="187"/>
      <c r="O32" s="141"/>
      <c r="P32" s="190"/>
      <c r="Q32" s="141"/>
      <c r="R32" s="192"/>
      <c r="S32" s="187"/>
      <c r="T32" s="141"/>
      <c r="U32" s="2"/>
    </row>
    <row r="33" ht="15" customHeight="1">
      <c r="B33" s="2"/>
      <c r="C33" s="105"/>
      <c r="D33" s="34"/>
      <c r="E33" s="34"/>
      <c r="F33" s="137"/>
      <c r="G33" s="138"/>
      <c r="H33" s="139"/>
      <c r="I33" s="140"/>
      <c r="J33" s="141"/>
      <c r="K33" s="137"/>
      <c r="L33" s="138"/>
      <c r="M33" s="139"/>
      <c r="N33" s="140"/>
      <c r="O33" s="141"/>
      <c r="P33" s="142"/>
      <c r="Q33" s="141"/>
      <c r="R33" s="139"/>
      <c r="S33" s="140"/>
      <c r="T33" s="141"/>
      <c r="U33" s="2"/>
    </row>
    <row r="34" ht="39.95" customHeight="1">
      <c r="B34" s="933" t="s">
        <v>126</v>
      </c>
      <c r="C34" s="933"/>
      <c r="D34" s="933"/>
      <c r="E34" s="933"/>
      <c r="F34" s="933"/>
      <c r="G34" s="933"/>
      <c r="H34" s="933"/>
      <c r="I34" s="933"/>
      <c r="J34" s="933"/>
      <c r="K34" s="933"/>
      <c r="L34" s="933"/>
      <c r="M34" s="933"/>
      <c r="N34" s="933"/>
      <c r="O34" s="933"/>
      <c r="P34" s="933"/>
      <c r="Q34" s="933"/>
      <c r="R34" s="933"/>
      <c r="S34" s="933"/>
      <c r="T34" s="933"/>
      <c r="U34" s="2"/>
    </row>
    <row r="35" ht="18">
      <c r="B35" s="2"/>
      <c r="C35" s="2"/>
      <c r="D35" s="2"/>
      <c r="E35" s="2"/>
      <c r="F35" s="2"/>
      <c r="G35" s="2"/>
      <c r="H35" s="106"/>
      <c r="I35" s="107"/>
      <c r="J35" s="127"/>
      <c r="K35" s="108"/>
      <c r="L35" s="2"/>
      <c r="M35" s="106"/>
      <c r="N35" s="107"/>
      <c r="O35" s="127"/>
      <c r="P35" s="2"/>
      <c r="Q35" s="2"/>
      <c r="R35" s="13"/>
      <c r="S35" s="51"/>
      <c r="T35" s="2"/>
      <c r="U35" s="2"/>
    </row>
    <row r="36" s="236" customFormat="1">
      <c r="A36" s="236"/>
    </row>
    <row r="37" s="236" customFormat="1"/>
    <row r="38" s="236" customFormat="1"/>
    <row r="39" s="236" customFormat="1"/>
    <row r="40" s="236" customFormat="1"/>
    <row r="41" s="236" customFormat="1"/>
    <row r="42" s="236" customFormat="1"/>
    <row r="43" s="236" customFormat="1"/>
    <row r="44" s="236" customFormat="1"/>
    <row r="45" s="236" customFormat="1"/>
    <row r="46" s="236" customFormat="1"/>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sheetData>
  <mergeCells count="12">
    <mergeCell ref="B34:T34"/>
    <mergeCell ref="K21:O22"/>
    <mergeCell ref="P21:T22"/>
    <mergeCell ref="F21:J22"/>
    <mergeCell ref="K7:O8"/>
    <mergeCell ref="P7:T8"/>
    <mergeCell ref="B2:S2"/>
    <mergeCell ref="B3:S3"/>
    <mergeCell ref="B4:P4"/>
    <mergeCell ref="B6:T6"/>
    <mergeCell ref="B20:T20"/>
    <mergeCell ref="F7:J8"/>
  </mergeCells>
  <phoneticPr fontId="12" type="noConversion"/>
  <printOptions horizontalCentered="1" verticalCentered="1"/>
  <pageMargins left="0.25" right="0.25" top="0.25" bottom="0.25" header="0" footer="0"/>
  <pageSetup scale="86" fitToWidth="1" fitToHeight="1" orientation="landscape" r:id="rId1"/>
  <headerFooter alignWithMargins="0">
    <oddHeader/>
    <oddFooter/>
  </headerFooter>
  <rowBreaks count="1" manualBreakCount="1">
    <brk id="36" max="16383" man="1"/>
  </rowBreaks>
  <colBreaks count="1" manualBreakCount="1">
    <brk id="22" max="1048575" man="1"/>
  </col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pageSetUpPr fitToPage="1"/>
  </sheetPr>
  <dimension ref="A1:AI82"/>
  <sheetViews>
    <sheetView showGridLines="0" zoomScale="80" workbookViewId="0"/>
  </sheetViews>
  <sheetFormatPr defaultRowHeight="12.75"/>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9" customWidth="1"/>
    <col min="17" max="17" width="1.7109375" style="9" customWidth="1"/>
    <col min="18" max="18" width="10.7109375" customWidth="1"/>
    <col min="19" max="19" width="1.7109375" customWidth="1"/>
    <col min="20" max="20" width="10.7109375" customWidth="1"/>
    <col min="21" max="21" width="2.7109375" customWidth="1"/>
    <col min="22" max="23" width="11.7109375" style="236" customWidth="1"/>
    <col min="24" max="24" width="5.7109375" style="236" customWidth="1"/>
    <col min="25" max="35" width="9.140625" style="236" customWidth="1"/>
  </cols>
  <sheetData>
    <row r="1" ht="30.75" customHeight="1">
      <c r="B1" s="20" t="s">
        <v>129</v>
      </c>
      <c r="E1" s="12"/>
      <c r="F1" s="12"/>
      <c r="G1" s="12"/>
      <c r="H1" s="12"/>
      <c r="I1" s="12"/>
      <c r="J1" s="12"/>
      <c r="K1" s="12"/>
      <c r="L1" s="12"/>
      <c r="M1" s="12"/>
      <c r="N1" s="12"/>
      <c r="O1" s="12"/>
      <c r="Q1" s="231"/>
      <c r="R1" s="2"/>
      <c r="S1" s="2"/>
      <c r="T1" s="2"/>
      <c r="U1" s="2"/>
      <c r="V1" s="236"/>
    </row>
    <row r="2" ht="18" customHeight="1">
      <c r="B2" s="948" t="s">
        <v>170</v>
      </c>
      <c r="C2" s="948"/>
      <c r="D2" s="948"/>
      <c r="E2" s="948"/>
      <c r="F2" s="948"/>
      <c r="G2" s="948"/>
      <c r="H2" s="948"/>
      <c r="I2" s="948"/>
      <c r="J2" s="948"/>
      <c r="K2" s="948"/>
      <c r="L2" s="948"/>
      <c r="M2" s="948"/>
      <c r="N2" s="948"/>
      <c r="O2" s="948"/>
      <c r="P2" s="948"/>
      <c r="Q2" s="948"/>
      <c r="R2" s="948"/>
      <c r="S2" s="948"/>
      <c r="T2" s="948"/>
      <c r="U2" s="2"/>
    </row>
    <row r="3" ht="18" customHeight="1">
      <c r="B3" s="947" t="s">
        <v>171</v>
      </c>
      <c r="C3" s="947"/>
      <c r="D3" s="947"/>
      <c r="E3" s="947"/>
      <c r="F3" s="947"/>
      <c r="G3" s="947"/>
      <c r="H3" s="947"/>
      <c r="I3" s="947"/>
      <c r="J3" s="947"/>
      <c r="K3" s="947"/>
      <c r="L3" s="947"/>
      <c r="M3" s="947"/>
      <c r="N3" s="947"/>
      <c r="O3" s="947"/>
      <c r="P3" s="947"/>
      <c r="Q3" s="947"/>
      <c r="R3" s="947"/>
      <c r="S3" s="947"/>
      <c r="T3" s="947"/>
      <c r="U3" s="2"/>
    </row>
    <row r="4" ht="18" customHeight="1">
      <c r="B4" s="947" t="s">
        <v>172</v>
      </c>
      <c r="C4" s="947"/>
      <c r="D4" s="947"/>
      <c r="E4" s="947"/>
      <c r="F4" s="947"/>
      <c r="G4" s="947"/>
      <c r="H4" s="947"/>
      <c r="I4" s="947"/>
      <c r="J4" s="947"/>
      <c r="K4" s="947"/>
      <c r="L4" s="947"/>
      <c r="M4" s="947"/>
      <c r="N4" s="947"/>
      <c r="O4" s="947"/>
      <c r="P4" s="947"/>
      <c r="Q4" s="947"/>
      <c r="R4" s="947"/>
      <c r="S4" s="947"/>
      <c r="T4" s="947"/>
      <c r="U4" s="2"/>
    </row>
    <row r="5" s="122" customFormat="1" ht="21" customHeight="1">
      <c r="B5" s="163"/>
      <c r="C5" s="163"/>
      <c r="D5" s="237"/>
      <c r="E5" s="719" t="s">
        <v>22</v>
      </c>
      <c r="F5" s="719"/>
      <c r="G5" s="719"/>
      <c r="H5" s="719"/>
      <c r="I5" s="719"/>
      <c r="J5" s="719"/>
      <c r="K5" s="719"/>
      <c r="L5" s="951"/>
      <c r="M5" s="537"/>
      <c r="N5" s="714" t="s">
        <v>28</v>
      </c>
      <c r="O5" s="714"/>
      <c r="P5" s="714"/>
      <c r="Q5" s="714"/>
      <c r="R5" s="714"/>
      <c r="S5" s="714"/>
      <c r="T5" s="715"/>
      <c r="V5" s="236"/>
      <c r="W5" s="236"/>
      <c r="X5" s="236"/>
      <c r="Y5" s="236"/>
      <c r="Z5" s="236"/>
      <c r="AA5" s="236"/>
      <c r="AB5" s="236"/>
      <c r="AC5" s="236"/>
      <c r="AD5" s="236"/>
      <c r="AE5" s="236"/>
      <c r="AF5" s="236"/>
      <c r="AG5" s="236"/>
      <c r="AH5" s="236"/>
      <c r="AI5" s="236"/>
    </row>
    <row r="6" s="122" customFormat="1" ht="15.75" customHeight="1">
      <c r="B6" s="723"/>
      <c r="C6" s="723"/>
      <c r="D6" s="237"/>
      <c r="E6" s="749" t="s">
        <v>42</v>
      </c>
      <c r="F6" s="711" t="s">
        <v>24</v>
      </c>
      <c r="G6" s="751" t="s">
        <v>37</v>
      </c>
      <c r="H6" s="724" t="s">
        <v>24</v>
      </c>
      <c r="I6" s="751" t="s">
        <v>44</v>
      </c>
      <c r="J6" s="711" t="s">
        <v>24</v>
      </c>
      <c r="K6" s="751" t="s">
        <v>45</v>
      </c>
      <c r="L6" s="711" t="s">
        <v>24</v>
      </c>
      <c r="M6" s="538"/>
      <c r="N6" s="711" t="s">
        <v>63</v>
      </c>
      <c r="O6" s="710" t="s">
        <v>64</v>
      </c>
      <c r="P6" s="754"/>
      <c r="Q6" s="710" t="s">
        <v>65</v>
      </c>
      <c r="R6" s="754"/>
      <c r="S6" s="710" t="s">
        <v>66</v>
      </c>
      <c r="T6" s="754"/>
      <c r="V6" s="236"/>
      <c r="W6" s="236"/>
      <c r="X6" s="236"/>
      <c r="Y6" s="236"/>
      <c r="Z6" s="236"/>
      <c r="AA6" s="236"/>
      <c r="AB6" s="236"/>
      <c r="AC6" s="236"/>
      <c r="AD6" s="236"/>
      <c r="AE6" s="236"/>
      <c r="AF6" s="236"/>
      <c r="AG6" s="236"/>
      <c r="AH6" s="236"/>
      <c r="AI6" s="236"/>
    </row>
    <row r="7" s="122" customFormat="1" ht="24" customHeight="1">
      <c r="B7" s="776"/>
      <c r="C7" s="776"/>
      <c r="D7" s="237"/>
      <c r="E7" s="940"/>
      <c r="F7" s="939"/>
      <c r="G7" s="943"/>
      <c r="H7" s="952"/>
      <c r="I7" s="943"/>
      <c r="J7" s="939"/>
      <c r="K7" s="943"/>
      <c r="L7" s="939"/>
      <c r="M7" s="539"/>
      <c r="N7" s="939"/>
      <c r="O7" s="845"/>
      <c r="P7" s="944"/>
      <c r="Q7" s="845"/>
      <c r="R7" s="944"/>
      <c r="S7" s="845"/>
      <c r="T7" s="944"/>
      <c r="V7" s="236"/>
      <c r="W7" s="236"/>
      <c r="X7" s="236"/>
      <c r="Y7" s="236"/>
      <c r="Z7" s="236"/>
      <c r="AA7" s="236"/>
      <c r="AB7" s="236"/>
      <c r="AC7" s="236"/>
      <c r="AD7" s="236"/>
      <c r="AE7" s="236"/>
      <c r="AF7" s="236"/>
      <c r="AG7" s="236"/>
      <c r="AH7" s="236"/>
      <c r="AI7" s="236"/>
    </row>
    <row r="8" ht="20.1" customHeight="1">
      <c r="B8" s="717" t="s">
        <v>175</v>
      </c>
      <c r="C8" s="347"/>
      <c r="D8" s="345"/>
      <c r="E8" s="238">
        <v>40.860215053763440860215053760</v>
      </c>
      <c r="F8" s="239">
        <v>16.683725690735221245242624570</v>
      </c>
      <c r="G8" s="238">
        <v>38.017584506623893542446385080</v>
      </c>
      <c r="H8" s="239">
        <v>-4.9293587413725625159941223500</v>
      </c>
      <c r="I8" s="238">
        <v>38.183859151601087084958052700</v>
      </c>
      <c r="J8" s="239">
        <v>1.0633307270116020713505952600</v>
      </c>
      <c r="K8" s="238">
        <v>37.575489762851671822065105320</v>
      </c>
      <c r="L8" s="239">
        <v>-13.279688066707958758945749030</v>
      </c>
      <c r="M8" s="540"/>
      <c r="N8" s="536">
        <v>0</v>
      </c>
      <c r="O8" s="178"/>
      <c r="P8" s="178">
        <v>-0.5494505494505494505494505500</v>
      </c>
      <c r="Q8" s="178"/>
      <c r="R8" s="178">
        <v>0</v>
      </c>
      <c r="S8" s="178"/>
      <c r="T8" s="249">
        <v>-0.2732240437158469945355191300</v>
      </c>
    </row>
    <row r="9" ht="20.1" customHeight="1">
      <c r="B9" s="708" t="s">
        <v>176</v>
      </c>
      <c r="C9" s="950"/>
      <c r="D9" s="345"/>
      <c r="E9" s="240">
        <v>66.175769103040183558252573740</v>
      </c>
      <c r="F9" s="241">
        <v>8.092159074611054654775790720</v>
      </c>
      <c r="G9" s="240">
        <v>61.212969437816667059898987820</v>
      </c>
      <c r="H9" s="241">
        <v>8.689975797146399128099384840</v>
      </c>
      <c r="I9" s="240">
        <v>63.247995867603129730032754850</v>
      </c>
      <c r="J9" s="241">
        <v>6.8006813921309224907004004600</v>
      </c>
      <c r="K9" s="240">
        <v>58.586929735371948696936840530</v>
      </c>
      <c r="L9" s="241">
        <v>7.983652792343109725182790690</v>
      </c>
      <c r="M9" s="540"/>
      <c r="N9" s="121">
        <v>0.0090579710144927536231884100</v>
      </c>
      <c r="O9" s="179"/>
      <c r="P9" s="179">
        <v>-1.3543714008260922745367777400</v>
      </c>
      <c r="Q9" s="179"/>
      <c r="R9" s="179">
        <v>-1.408303354207687486737629600</v>
      </c>
      <c r="S9" s="179"/>
      <c r="T9" s="248">
        <v>-0.8278157919737186021911337700</v>
      </c>
    </row>
    <row r="10" ht="20.1" customHeight="1">
      <c r="B10" s="706" t="s">
        <v>177</v>
      </c>
      <c r="C10" s="949"/>
      <c r="D10" s="345"/>
      <c r="E10" s="242">
        <v>75.380196523053665910808767950</v>
      </c>
      <c r="F10" s="243">
        <v>7.6859950329338084440125256400</v>
      </c>
      <c r="G10" s="242">
        <v>67.514563836584357499906039760</v>
      </c>
      <c r="H10" s="243">
        <v>4.4630188182421131777044012200</v>
      </c>
      <c r="I10" s="242">
        <v>71.170416884702598988313274030</v>
      </c>
      <c r="J10" s="243">
        <v>4.870973901013317509284158700</v>
      </c>
      <c r="K10" s="242">
        <v>65.291753509184763526889431730</v>
      </c>
      <c r="L10" s="243">
        <v>1.1318939998923601117725276400</v>
      </c>
      <c r="M10" s="540"/>
      <c r="N10" s="536">
        <v>0</v>
      </c>
      <c r="O10" s="178"/>
      <c r="P10" s="178">
        <v>0</v>
      </c>
      <c r="Q10" s="178"/>
      <c r="R10" s="178">
        <v>0</v>
      </c>
      <c r="S10" s="178"/>
      <c r="T10" s="249">
        <v>-0.2046407604137545429130556300</v>
      </c>
    </row>
    <row r="11" ht="20.1" customHeight="1">
      <c r="B11" s="708" t="s">
        <v>178</v>
      </c>
      <c r="C11" s="950"/>
      <c r="D11" s="345"/>
      <c r="E11" s="240">
        <v>62.50738468529879572824358100</v>
      </c>
      <c r="F11" s="241">
        <v>4.5998342232897304723632572500</v>
      </c>
      <c r="G11" s="240">
        <v>57.596015827327201889558065180</v>
      </c>
      <c r="H11" s="241">
        <v>4.409229415410196477060339200</v>
      </c>
      <c r="I11" s="240">
        <v>59.649787104334968467965308140</v>
      </c>
      <c r="J11" s="241">
        <v>2.8921877042684522110808670900</v>
      </c>
      <c r="K11" s="240">
        <v>55.124786318312455529828803750</v>
      </c>
      <c r="L11" s="241">
        <v>3.6223042658403386676551804100</v>
      </c>
      <c r="M11" s="540"/>
      <c r="N11" s="121">
        <v>2.1587743732590529247910863500</v>
      </c>
      <c r="O11" s="179"/>
      <c r="P11" s="179">
        <v>-0.5057980227122675147323709800</v>
      </c>
      <c r="Q11" s="179"/>
      <c r="R11" s="179">
        <v>-0.1663286540798717757284911500</v>
      </c>
      <c r="S11" s="179"/>
      <c r="T11" s="248">
        <v>-1.3474081622550113906918572700</v>
      </c>
    </row>
    <row r="12" ht="20.1" customHeight="1">
      <c r="B12" s="706" t="s">
        <v>179</v>
      </c>
      <c r="C12" s="949"/>
      <c r="D12" s="345"/>
      <c r="E12" s="242">
        <v>70.968921389396709323583180990</v>
      </c>
      <c r="F12" s="243">
        <v>4.6220185958675437148765186400</v>
      </c>
      <c r="G12" s="242">
        <v>63.445513953558839273990727930</v>
      </c>
      <c r="H12" s="243">
        <v>-2.2174657533907137217668214900</v>
      </c>
      <c r="I12" s="242">
        <v>65.239970267392570866062639370</v>
      </c>
      <c r="J12" s="243">
        <v>-3.6593686958386747137151673900</v>
      </c>
      <c r="K12" s="242">
        <v>61.937117609634288329565486350</v>
      </c>
      <c r="L12" s="243">
        <v>-2.2724345929789115610758426300</v>
      </c>
      <c r="M12" s="540"/>
      <c r="N12" s="536">
        <v>0</v>
      </c>
      <c r="O12" s="178"/>
      <c r="P12" s="178">
        <v>0</v>
      </c>
      <c r="Q12" s="178"/>
      <c r="R12" s="178">
        <v>0</v>
      </c>
      <c r="S12" s="178"/>
      <c r="T12" s="249">
        <v>-0.4124614960807392752498059200</v>
      </c>
    </row>
    <row r="13" ht="20.1" customHeight="1">
      <c r="B13" s="734" t="s">
        <v>74</v>
      </c>
      <c r="C13" s="946"/>
      <c r="D13" s="345"/>
      <c r="E13" s="244">
        <v>59.800491098833640270104358500</v>
      </c>
      <c r="F13" s="245">
        <v>5.8628559008387659210662012100</v>
      </c>
      <c r="G13" s="244">
        <v>53.748868064670390606717336670</v>
      </c>
      <c r="H13" s="245">
        <v>-3.2796262390412729014700562900</v>
      </c>
      <c r="I13" s="244">
        <v>55.470220387347459170663590550</v>
      </c>
      <c r="J13" s="245">
        <v>0.2248793329729499829702600800</v>
      </c>
      <c r="K13" s="244">
        <v>51.368601629708115744594969600</v>
      </c>
      <c r="L13" s="245">
        <v>-2.7205392974017316838129036400</v>
      </c>
      <c r="M13" s="540"/>
      <c r="N13" s="333">
        <v>0</v>
      </c>
      <c r="O13" s="250"/>
      <c r="P13" s="250">
        <v>0</v>
      </c>
      <c r="Q13" s="250"/>
      <c r="R13" s="250">
        <v>0</v>
      </c>
      <c r="S13" s="250"/>
      <c r="T13" s="251">
        <v>0</v>
      </c>
    </row>
    <row r="14" ht="9.95" customHeight="1">
      <c r="B14" s="54"/>
      <c r="C14" s="54"/>
      <c r="D14" s="54"/>
      <c r="E14" s="535"/>
      <c r="F14" s="535"/>
      <c r="G14" s="535"/>
      <c r="H14" s="535"/>
      <c r="I14" s="535"/>
      <c r="J14" s="535"/>
      <c r="K14" s="535"/>
      <c r="L14" s="535"/>
      <c r="M14" s="156"/>
      <c r="N14" s="156"/>
      <c r="O14" s="156"/>
      <c r="P14" s="156"/>
      <c r="Q14" s="156"/>
      <c r="R14" s="156"/>
      <c r="S14" s="156"/>
      <c r="T14" s="156"/>
    </row>
    <row r="15" ht="21" customHeight="1">
      <c r="B15" s="4"/>
      <c r="C15" s="4"/>
      <c r="D15" s="54"/>
      <c r="E15" s="719" t="s">
        <v>90</v>
      </c>
      <c r="F15" s="719"/>
      <c r="G15" s="719"/>
      <c r="H15" s="719"/>
      <c r="I15" s="719"/>
      <c r="J15" s="719"/>
      <c r="K15" s="719"/>
      <c r="L15" s="942"/>
      <c r="M15" s="537"/>
      <c r="N15" s="719" t="s">
        <v>29</v>
      </c>
      <c r="O15" s="719"/>
      <c r="P15" s="719"/>
      <c r="Q15" s="719"/>
      <c r="R15" s="719"/>
      <c r="S15" s="719"/>
      <c r="T15" s="942"/>
    </row>
    <row r="16" ht="22.5" customHeight="1">
      <c r="B16" s="4"/>
      <c r="C16" s="4"/>
      <c r="D16" s="54"/>
      <c r="E16" s="749" t="s">
        <v>42</v>
      </c>
      <c r="F16" s="711" t="s">
        <v>24</v>
      </c>
      <c r="G16" s="749" t="s">
        <v>37</v>
      </c>
      <c r="H16" s="711" t="s">
        <v>24</v>
      </c>
      <c r="I16" s="749" t="s">
        <v>44</v>
      </c>
      <c r="J16" s="711" t="s">
        <v>24</v>
      </c>
      <c r="K16" s="749" t="s">
        <v>45</v>
      </c>
      <c r="L16" s="711" t="s">
        <v>24</v>
      </c>
      <c r="M16" s="538"/>
      <c r="N16" s="754" t="s">
        <v>63</v>
      </c>
      <c r="O16" s="710" t="s">
        <v>64</v>
      </c>
      <c r="P16" s="754"/>
      <c r="Q16" s="710" t="s">
        <v>65</v>
      </c>
      <c r="R16" s="754"/>
      <c r="S16" s="710" t="s">
        <v>66</v>
      </c>
      <c r="T16" s="754"/>
    </row>
    <row r="17" ht="18.75" customHeight="1">
      <c r="B17" s="4"/>
      <c r="C17" s="4"/>
      <c r="D17" s="54"/>
      <c r="E17" s="940"/>
      <c r="F17" s="939"/>
      <c r="G17" s="940"/>
      <c r="H17" s="939"/>
      <c r="I17" s="940"/>
      <c r="J17" s="939"/>
      <c r="K17" s="940"/>
      <c r="L17" s="939"/>
      <c r="M17" s="539"/>
      <c r="N17" s="944"/>
      <c r="O17" s="845"/>
      <c r="P17" s="944"/>
      <c r="Q17" s="845"/>
      <c r="R17" s="944"/>
      <c r="S17" s="845"/>
      <c r="T17" s="944"/>
    </row>
    <row r="18" ht="20.1" customHeight="1">
      <c r="B18" s="736" t="s">
        <v>175</v>
      </c>
      <c r="C18" s="348"/>
      <c r="D18" s="345"/>
      <c r="E18" s="253">
        <v>103.99178947368421052631578947</v>
      </c>
      <c r="F18" s="239">
        <v>-4.9409938722821046016522355700</v>
      </c>
      <c r="G18" s="253">
        <v>111.16751464958199859364012814</v>
      </c>
      <c r="H18" s="239">
        <v>-2.9841420391460347229841613800</v>
      </c>
      <c r="I18" s="253">
        <v>107.86127649698282531332198669</v>
      </c>
      <c r="J18" s="239">
        <v>-6.3284769118517615318111705500</v>
      </c>
      <c r="K18" s="253">
        <v>112.07238965111720893767150137</v>
      </c>
      <c r="L18" s="239">
        <v>-0.0736483930706315842560415200</v>
      </c>
      <c r="M18" s="540"/>
      <c r="N18" s="238">
        <v>16.683725690890481064483111570</v>
      </c>
      <c r="O18" s="246"/>
      <c r="P18" s="246">
        <v>-5.4517249021201152397133781500</v>
      </c>
      <c r="Q18" s="246"/>
      <c r="R18" s="246">
        <v>1.0633307271305707584050039100</v>
      </c>
      <c r="S18" s="246"/>
      <c r="T18" s="247">
        <v>-13.516628809709461979184323830</v>
      </c>
    </row>
    <row r="19" ht="20.1" customHeight="1">
      <c r="B19" s="730" t="s">
        <v>176</v>
      </c>
      <c r="C19" s="941"/>
      <c r="D19" s="345"/>
      <c r="E19" s="254">
        <v>102.31161893117512340666259113</v>
      </c>
      <c r="F19" s="241">
        <v>1.5231802778766626123744724200</v>
      </c>
      <c r="G19" s="254">
        <v>99.570800854529127387986567</v>
      </c>
      <c r="H19" s="241">
        <v>0.0611718264246291166000888900</v>
      </c>
      <c r="I19" s="254">
        <v>101.42560465458597324815964369</v>
      </c>
      <c r="J19" s="241">
        <v>0.4078048011663675994995566500</v>
      </c>
      <c r="K19" s="254">
        <v>98.47336069479879410744338324</v>
      </c>
      <c r="L19" s="241">
        <v>0.2573911453139788748329542300</v>
      </c>
      <c r="M19" s="540"/>
      <c r="N19" s="240">
        <v>8.101950031070297781679374250</v>
      </c>
      <c r="O19" s="179"/>
      <c r="P19" s="179">
        <v>7.217909849326824327176038600</v>
      </c>
      <c r="Q19" s="179"/>
      <c r="R19" s="179">
        <v>5.2966038138347338282007779700</v>
      </c>
      <c r="S19" s="179"/>
      <c r="T19" s="248">
        <v>7.0897470617400885753414342200</v>
      </c>
    </row>
    <row r="20" ht="20.1" customHeight="1">
      <c r="B20" s="532" t="s">
        <v>177</v>
      </c>
      <c r="C20" s="345"/>
      <c r="D20" s="345"/>
      <c r="E20" s="255">
        <v>129.41200064174554789026151131</v>
      </c>
      <c r="F20" s="243">
        <v>1.537264185895225008360108200</v>
      </c>
      <c r="G20" s="255">
        <v>128.98619059282846051645178769</v>
      </c>
      <c r="H20" s="243">
        <v>0.7581689719657016994381281200</v>
      </c>
      <c r="I20" s="255">
        <v>130.04875811409804841499366278</v>
      </c>
      <c r="J20" s="243">
        <v>0.2021303910385488885818382900</v>
      </c>
      <c r="K20" s="255">
        <v>127.8106191922716810733606784</v>
      </c>
      <c r="L20" s="243">
        <v>2.4168064297776811596178559200</v>
      </c>
      <c r="M20" s="540"/>
      <c r="N20" s="242">
        <v>7.6859950329338084440125256500</v>
      </c>
      <c r="O20" s="178"/>
      <c r="P20" s="178">
        <v>4.4630188181839328221072954400</v>
      </c>
      <c r="Q20" s="178"/>
      <c r="R20" s="178">
        <v>4.8709739010383773701293932800</v>
      </c>
      <c r="S20" s="178"/>
      <c r="T20" s="249">
        <v>0.9249369229969803869492670400</v>
      </c>
    </row>
    <row r="21" ht="20.1" customHeight="1">
      <c r="B21" s="730" t="s">
        <v>178</v>
      </c>
      <c r="C21" s="941"/>
      <c r="D21" s="345"/>
      <c r="E21" s="254">
        <v>102.65386502844471909703920464</v>
      </c>
      <c r="F21" s="241">
        <v>0.6414082483888324868049713700</v>
      </c>
      <c r="G21" s="254">
        <v>99.83787650527939765748362447</v>
      </c>
      <c r="H21" s="241">
        <v>-0.0797655334301638077829225700</v>
      </c>
      <c r="I21" s="254">
        <v>101.12511029435102486463153752</v>
      </c>
      <c r="J21" s="241">
        <v>-0.1258113140222570580449579700</v>
      </c>
      <c r="K21" s="254">
        <v>98.86996925560784583147263921</v>
      </c>
      <c r="L21" s="241">
        <v>0.3965287045578195929705832900</v>
      </c>
      <c r="M21" s="540"/>
      <c r="N21" s="240">
        <v>6.8579086389061528899937849600</v>
      </c>
      <c r="O21" s="179"/>
      <c r="P21" s="179">
        <v>3.8811295975727315844535649600</v>
      </c>
      <c r="Q21" s="179"/>
      <c r="R21" s="179">
        <v>2.7210485133020344287949921800</v>
      </c>
      <c r="S21" s="179"/>
      <c r="T21" s="248">
        <v>2.2260888802659683271543864700</v>
      </c>
    </row>
    <row r="22" ht="20.1" customHeight="1">
      <c r="B22" s="532" t="s">
        <v>179</v>
      </c>
      <c r="C22" s="345"/>
      <c r="D22" s="345"/>
      <c r="E22" s="255">
        <v>150.59003091190108191653786708</v>
      </c>
      <c r="F22" s="243">
        <v>1.3968317270502875502354081200</v>
      </c>
      <c r="G22" s="255">
        <v>149.59532281045283409349603203</v>
      </c>
      <c r="H22" s="243">
        <v>1.6611439333401463097947687400</v>
      </c>
      <c r="I22" s="255">
        <v>150.93039153797595036105251813</v>
      </c>
      <c r="J22" s="243">
        <v>2.0903769915979338402188774800</v>
      </c>
      <c r="K22" s="255">
        <v>147.49096430789968372032594265</v>
      </c>
      <c r="L22" s="243">
        <v>2.4639646998675196775946443900</v>
      </c>
      <c r="M22" s="540"/>
      <c r="N22" s="242">
        <v>4.6220185958765665004716345500</v>
      </c>
      <c r="O22" s="178"/>
      <c r="P22" s="178">
        <v>-2.2174657534246575342465753400</v>
      </c>
      <c r="Q22" s="178"/>
      <c r="R22" s="178">
        <v>-3.659368695858549899133736800</v>
      </c>
      <c r="S22" s="178"/>
      <c r="T22" s="249">
        <v>-2.6755231712714168299930454600</v>
      </c>
    </row>
    <row r="23" ht="20.1" customHeight="1">
      <c r="B23" s="726" t="s">
        <v>74</v>
      </c>
      <c r="C23" s="349"/>
      <c r="D23" s="345"/>
      <c r="E23" s="256">
        <v>136.99934096391726120207360263</v>
      </c>
      <c r="F23" s="245">
        <v>-1.1200406530874745558608498700</v>
      </c>
      <c r="G23" s="256">
        <v>136.94504306591451179343505092</v>
      </c>
      <c r="H23" s="245">
        <v>-2.2560530404893914882574880900</v>
      </c>
      <c r="I23" s="256">
        <v>137.27722140133895182327295282</v>
      </c>
      <c r="J23" s="245">
        <v>-2.3369167716142636668942366900</v>
      </c>
      <c r="K23" s="256">
        <v>138.29859689617915725370788724</v>
      </c>
      <c r="L23" s="245">
        <v>0.1967354695113905344359052700</v>
      </c>
      <c r="M23" s="540"/>
      <c r="N23" s="244">
        <v>5.8628559008911106281243207900</v>
      </c>
      <c r="O23" s="250"/>
      <c r="P23" s="250">
        <v>-3.279626239030250967899529100</v>
      </c>
      <c r="Q23" s="250"/>
      <c r="R23" s="250">
        <v>0.2248793330408073716542343100</v>
      </c>
      <c r="S23" s="250"/>
      <c r="T23" s="251">
        <v>-2.7205392974109291387712616500</v>
      </c>
    </row>
    <row r="24" ht="9.95" customHeight="1">
      <c r="B24" s="54"/>
      <c r="C24" s="54"/>
      <c r="D24" s="54"/>
      <c r="E24" s="535"/>
      <c r="F24" s="535"/>
      <c r="G24" s="535"/>
      <c r="H24" s="535"/>
      <c r="I24" s="535"/>
      <c r="J24" s="535"/>
      <c r="K24" s="535"/>
      <c r="L24" s="535"/>
      <c r="M24" s="156"/>
      <c r="N24" s="156"/>
      <c r="O24" s="156"/>
      <c r="P24" s="156"/>
      <c r="Q24" s="156"/>
      <c r="R24" s="156"/>
      <c r="S24" s="156"/>
      <c r="T24" s="156"/>
    </row>
    <row r="25" s="122" customFormat="1" ht="21" customHeight="1">
      <c r="B25" s="163"/>
      <c r="C25" s="163"/>
      <c r="D25" s="237"/>
      <c r="E25" s="719" t="s">
        <v>10</v>
      </c>
      <c r="F25" s="719"/>
      <c r="G25" s="719"/>
      <c r="H25" s="719"/>
      <c r="I25" s="719"/>
      <c r="J25" s="719"/>
      <c r="K25" s="719"/>
      <c r="L25" s="942"/>
      <c r="M25" s="537"/>
      <c r="N25" s="719" t="s">
        <v>38</v>
      </c>
      <c r="O25" s="719"/>
      <c r="P25" s="719"/>
      <c r="Q25" s="719"/>
      <c r="R25" s="719"/>
      <c r="S25" s="719"/>
      <c r="T25" s="942"/>
      <c r="V25" s="236"/>
      <c r="W25" s="236"/>
      <c r="X25" s="236"/>
      <c r="Y25" s="236"/>
      <c r="Z25" s="236"/>
      <c r="AA25" s="236"/>
      <c r="AB25" s="236"/>
      <c r="AC25" s="236"/>
      <c r="AD25" s="236"/>
      <c r="AE25" s="236"/>
      <c r="AF25" s="236"/>
      <c r="AG25" s="236"/>
      <c r="AH25" s="236"/>
      <c r="AI25" s="236"/>
    </row>
    <row r="26" s="122" customFormat="1" ht="19.5" customHeight="1">
      <c r="B26" s="163"/>
      <c r="C26" s="163"/>
      <c r="D26" s="237"/>
      <c r="E26" s="749" t="s">
        <v>42</v>
      </c>
      <c r="F26" s="711" t="s">
        <v>24</v>
      </c>
      <c r="G26" s="749" t="s">
        <v>37</v>
      </c>
      <c r="H26" s="711" t="s">
        <v>24</v>
      </c>
      <c r="I26" s="749" t="s">
        <v>44</v>
      </c>
      <c r="J26" s="711" t="s">
        <v>24</v>
      </c>
      <c r="K26" s="749" t="s">
        <v>45</v>
      </c>
      <c r="L26" s="711" t="s">
        <v>24</v>
      </c>
      <c r="M26" s="538"/>
      <c r="N26" s="754" t="s">
        <v>63</v>
      </c>
      <c r="O26" s="710" t="s">
        <v>64</v>
      </c>
      <c r="P26" s="754"/>
      <c r="Q26" s="710" t="s">
        <v>65</v>
      </c>
      <c r="R26" s="754"/>
      <c r="S26" s="710" t="s">
        <v>66</v>
      </c>
      <c r="T26" s="754"/>
      <c r="V26" s="236"/>
      <c r="W26" s="236"/>
      <c r="X26" s="236"/>
      <c r="Y26" s="236"/>
      <c r="Z26" s="236"/>
      <c r="AA26" s="236"/>
      <c r="AB26" s="236"/>
      <c r="AC26" s="236"/>
      <c r="AD26" s="236"/>
      <c r="AE26" s="236"/>
      <c r="AF26" s="236"/>
      <c r="AG26" s="236"/>
      <c r="AH26" s="236"/>
      <c r="AI26" s="236"/>
    </row>
    <row r="27" s="122" customFormat="1" ht="25.5" customHeight="1">
      <c r="B27" s="163"/>
      <c r="C27" s="163"/>
      <c r="D27" s="237"/>
      <c r="E27" s="940"/>
      <c r="F27" s="939"/>
      <c r="G27" s="940"/>
      <c r="H27" s="939"/>
      <c r="I27" s="940"/>
      <c r="J27" s="939"/>
      <c r="K27" s="940"/>
      <c r="L27" s="939"/>
      <c r="M27" s="539"/>
      <c r="N27" s="944"/>
      <c r="O27" s="845"/>
      <c r="P27" s="944"/>
      <c r="Q27" s="845"/>
      <c r="R27" s="944"/>
      <c r="S27" s="845"/>
      <c r="T27" s="944"/>
      <c r="V27" s="236"/>
      <c r="W27" s="236"/>
      <c r="X27" s="236"/>
      <c r="Y27" s="236"/>
      <c r="Z27" s="236"/>
      <c r="AA27" s="236"/>
      <c r="AB27" s="236"/>
      <c r="AC27" s="236"/>
      <c r="AD27" s="236"/>
      <c r="AE27" s="236"/>
      <c r="AF27" s="236"/>
      <c r="AG27" s="236"/>
      <c r="AH27" s="236"/>
      <c r="AI27" s="236"/>
    </row>
    <row r="28" ht="20.1" customHeight="1">
      <c r="B28" s="736" t="s">
        <v>175</v>
      </c>
      <c r="C28" s="348"/>
      <c r="D28" s="345"/>
      <c r="E28" s="253">
        <v>42.491268817204301075268817204</v>
      </c>
      <c r="F28" s="239">
        <v>10.918389954639361677116857900</v>
      </c>
      <c r="G28" s="253">
        <v>42.26320382581833303629774847</v>
      </c>
      <c r="H28" s="239">
        <v>-7.7664017141368452084717401400</v>
      </c>
      <c r="I28" s="253">
        <v>41.185597896726928984993501123</v>
      </c>
      <c r="J28" s="239">
        <v>-5.3324388243002800009248900900</v>
      </c>
      <c r="K28" s="253">
        <v>42.111749300338783325968478421</v>
      </c>
      <c r="L28" s="239">
        <v>-13.343556182863321895855095760</v>
      </c>
      <c r="M28" s="540"/>
      <c r="N28" s="238">
        <v>10.918389954581246276231051820</v>
      </c>
      <c r="O28" s="246"/>
      <c r="P28" s="246">
        <v>-8.273179726622898963518076950</v>
      </c>
      <c r="Q28" s="246"/>
      <c r="R28" s="246">
        <v>-5.3324388242699400642985651900</v>
      </c>
      <c r="S28" s="246"/>
      <c r="T28" s="247">
        <v>-13.580322422851280846146713840</v>
      </c>
    </row>
    <row r="29" ht="20.1" customHeight="1">
      <c r="B29" s="730" t="s">
        <v>176</v>
      </c>
      <c r="C29" s="941"/>
      <c r="D29" s="345"/>
      <c r="E29" s="254">
        <v>67.705500709476798599160704043</v>
      </c>
      <c r="F29" s="241">
        <v>9.738597523610138540804877720</v>
      </c>
      <c r="G29" s="254">
        <v>60.950243896072211510127572932</v>
      </c>
      <c r="H29" s="241">
        <v>8.756463440481491562211497500</v>
      </c>
      <c r="I29" s="254">
        <v>64.149662240624023961495030713</v>
      </c>
      <c r="J29" s="241">
        <v>7.2362196986146472494567298600</v>
      </c>
      <c r="K29" s="254">
        <v>57.692518638321147685289394354</v>
      </c>
      <c r="L29" s="241">
        <v>8.261593152950920533350976320</v>
      </c>
      <c r="M29" s="540"/>
      <c r="N29" s="240">
        <v>9.748537613896790996605179490</v>
      </c>
      <c r="O29" s="179"/>
      <c r="P29" s="179">
        <v>7.2834970030284103936297313300</v>
      </c>
      <c r="Q29" s="179"/>
      <c r="R29" s="179">
        <v>5.7260084196839686692275073100</v>
      </c>
      <c r="S29" s="179"/>
      <c r="T29" s="248">
        <v>7.3653865882663986309517395900</v>
      </c>
    </row>
    <row r="30" ht="20.1" customHeight="1">
      <c r="B30" s="532" t="s">
        <v>177</v>
      </c>
      <c r="C30" s="345"/>
      <c r="D30" s="345"/>
      <c r="E30" s="255">
        <v>97.55102040816326530612244898</v>
      </c>
      <c r="F30" s="243">
        <v>9.341413267861289213273966220</v>
      </c>
      <c r="G30" s="255">
        <v>87.08446398817353829192818932</v>
      </c>
      <c r="H30" s="243">
        <v>5.2550250141078910732834408100</v>
      </c>
      <c r="I30" s="255">
        <v>92.55624330318207869228277392</v>
      </c>
      <c r="J30" s="243">
        <v>5.0829500106706371642552719200</v>
      </c>
      <c r="K30" s="255">
        <v>83.44979444158082019178812169</v>
      </c>
      <c r="L30" s="243">
        <v>3.5760561167143292266456387500</v>
      </c>
      <c r="M30" s="540"/>
      <c r="N30" s="242">
        <v>9.341413267842576831278049130</v>
      </c>
      <c r="O30" s="178"/>
      <c r="P30" s="178">
        <v>5.2550250140790883171004382600</v>
      </c>
      <c r="Q30" s="178"/>
      <c r="R30" s="178">
        <v>5.0829500106826387204009429700</v>
      </c>
      <c r="S30" s="178"/>
      <c r="T30" s="249">
        <v>3.3640972878201956472644439600</v>
      </c>
    </row>
    <row r="31" ht="20.1" customHeight="1">
      <c r="B31" s="730" t="s">
        <v>178</v>
      </c>
      <c r="C31" s="941"/>
      <c r="D31" s="345"/>
      <c r="E31" s="254">
        <v>64.166246307657350602135878209</v>
      </c>
      <c r="F31" s="241">
        <v>5.2707461877907583704972864200</v>
      </c>
      <c r="G31" s="254">
        <v>57.502639153648107783794457398</v>
      </c>
      <c r="H31" s="241">
        <v>4.3259468365773239910747140700</v>
      </c>
      <c r="I31" s="254">
        <v>60.320912999604311302876032056</v>
      </c>
      <c r="J31" s="241">
        <v>2.7627376909032052792302169700</v>
      </c>
      <c r="K31" s="254">
        <v>54.501859285135044932921347623</v>
      </c>
      <c r="L31" s="241">
        <v>4.0331964465291500863589317300</v>
      </c>
      <c r="M31" s="540"/>
      <c r="N31" s="240">
        <v>7.5433040789968004993376502400</v>
      </c>
      <c r="O31" s="179"/>
      <c r="P31" s="179">
        <v>3.7982682603751845472883694100</v>
      </c>
      <c r="Q31" s="179"/>
      <c r="R31" s="179">
        <v>2.5918138124326100008610206400</v>
      </c>
      <c r="S31" s="179"/>
      <c r="T31" s="248">
        <v>2.6314446662480993086863543100</v>
      </c>
    </row>
    <row r="32" ht="20.1" customHeight="1">
      <c r="B32" s="532" t="s">
        <v>179</v>
      </c>
      <c r="C32" s="345"/>
      <c r="D32" s="345"/>
      <c r="E32" s="255">
        <v>106.87212065813528336380255941</v>
      </c>
      <c r="F32" s="243">
        <v>6.0834121451283430880235754900</v>
      </c>
      <c r="G32" s="255">
        <v>94.9115214075772420131909865</v>
      </c>
      <c r="H32" s="243">
        <v>-0.5931571179751398724009582600</v>
      </c>
      <c r="I32" s="255">
        <v>98.46694256383470277437370673</v>
      </c>
      <c r="J32" s="243">
        <v>-1.6454863055017347889930866700</v>
      </c>
      <c r="K32" s="255">
        <v>91.35165202696755795736591033</v>
      </c>
      <c r="L32" s="243">
        <v>0.1355381207382320122354701400</v>
      </c>
      <c r="M32" s="540"/>
      <c r="N32" s="242">
        <v>6.0834121451088358611069861200</v>
      </c>
      <c r="O32" s="178"/>
      <c r="P32" s="178">
        <v>-0.5931571179277298493088314200</v>
      </c>
      <c r="Q32" s="178"/>
      <c r="R32" s="178">
        <v>-1.6454863055068939015409189300</v>
      </c>
      <c r="S32" s="178"/>
      <c r="T32" s="249">
        <v>-0.2774824179056179854241710300</v>
      </c>
    </row>
    <row r="33" ht="20.1" customHeight="1">
      <c r="B33" s="726" t="s">
        <v>74</v>
      </c>
      <c r="C33" s="349"/>
      <c r="D33" s="345"/>
      <c r="E33" s="256">
        <v>81.92627869858809085328422345</v>
      </c>
      <c r="F33" s="245">
        <v>4.6771488783097477288291690600</v>
      </c>
      <c r="G33" s="256">
        <v>73.606410518604438203962028021</v>
      </c>
      <c r="H33" s="245">
        <v>-5.4616891720060733880760034500</v>
      </c>
      <c r="I33" s="256">
        <v>76.147977252949628640236375043</v>
      </c>
      <c r="J33" s="245">
        <v>-2.1172926814600620645008885900</v>
      </c>
      <c r="K33" s="256">
        <v>71.042055299074144150962435985</v>
      </c>
      <c r="L33" s="245">
        <v>-2.5291560936191237643591652800</v>
      </c>
      <c r="M33" s="540"/>
      <c r="N33" s="244">
        <v>4.6771488782517829532904745400</v>
      </c>
      <c r="O33" s="250"/>
      <c r="P33" s="250">
        <v>-5.4616891720124352859764197100</v>
      </c>
      <c r="Q33" s="250"/>
      <c r="R33" s="250">
        <v>-2.1172926814303923868184534100</v>
      </c>
      <c r="S33" s="250"/>
      <c r="T33" s="251">
        <v>-2.5291560936578984629678932200</v>
      </c>
    </row>
    <row r="34" ht="9.95" customHeight="1">
      <c r="B34" s="54"/>
      <c r="C34" s="54"/>
      <c r="D34" s="54"/>
      <c r="E34" s="535"/>
      <c r="F34" s="535"/>
      <c r="G34" s="535"/>
      <c r="H34" s="535"/>
      <c r="I34" s="535"/>
      <c r="J34" s="535"/>
      <c r="K34" s="535"/>
      <c r="L34" s="535"/>
      <c r="M34" s="156"/>
      <c r="N34" s="156"/>
      <c r="O34" s="156"/>
      <c r="P34" s="156"/>
      <c r="Q34" s="156"/>
      <c r="R34" s="156"/>
      <c r="S34" s="156"/>
      <c r="T34" s="156"/>
    </row>
    <row r="35" ht="21" customHeight="1">
      <c r="B35" s="9"/>
      <c r="C35" s="155"/>
      <c r="D35" s="252"/>
      <c r="E35" s="719" t="s">
        <v>30</v>
      </c>
      <c r="F35" s="719"/>
      <c r="G35" s="719"/>
      <c r="H35" s="719"/>
      <c r="I35" s="719"/>
      <c r="J35" s="719"/>
      <c r="K35" s="719"/>
      <c r="L35" s="942"/>
      <c r="M35" s="124"/>
      <c r="N35" s="756" t="s">
        <v>56</v>
      </c>
      <c r="O35" s="756"/>
      <c r="P35" s="756"/>
      <c r="Q35" s="756"/>
      <c r="R35" s="756"/>
      <c r="S35" s="756"/>
      <c r="T35" s="756"/>
      <c r="U35" s="125"/>
    </row>
    <row r="36" ht="24.95" customHeight="1">
      <c r="B36" s="9"/>
      <c r="C36" s="155"/>
      <c r="D36" s="252"/>
      <c r="E36" s="745" t="s">
        <v>31</v>
      </c>
      <c r="F36" s="747"/>
      <c r="G36" s="746"/>
      <c r="H36" s="745" t="s">
        <v>32</v>
      </c>
      <c r="I36" s="747"/>
      <c r="J36" s="746"/>
      <c r="K36" s="745" t="s">
        <v>36</v>
      </c>
      <c r="L36" s="746"/>
      <c r="M36" s="124"/>
      <c r="N36" s="741"/>
      <c r="O36" s="741"/>
      <c r="P36" s="741"/>
      <c r="Q36" s="741"/>
      <c r="R36" s="741"/>
      <c r="S36" s="741"/>
      <c r="T36" s="741"/>
      <c r="U36" s="123"/>
    </row>
    <row r="37" ht="24.95" customHeight="1">
      <c r="B37" s="9"/>
      <c r="C37" s="155"/>
      <c r="D37" s="252"/>
      <c r="E37" s="745" t="s">
        <v>33</v>
      </c>
      <c r="F37" s="746"/>
      <c r="G37" s="257" t="s">
        <v>34</v>
      </c>
      <c r="H37" s="745" t="s">
        <v>33</v>
      </c>
      <c r="I37" s="746"/>
      <c r="J37" s="257" t="s">
        <v>34</v>
      </c>
      <c r="K37" s="745" t="s">
        <v>34</v>
      </c>
      <c r="L37" s="746"/>
      <c r="M37" s="124"/>
      <c r="N37" s="741"/>
      <c r="O37" s="741"/>
      <c r="P37" s="741"/>
      <c r="Q37" s="741"/>
      <c r="R37" s="741"/>
      <c r="S37" s="741"/>
      <c r="T37" s="741"/>
      <c r="U37" s="123"/>
    </row>
    <row r="38" ht="18.95" customHeight="1">
      <c r="B38" s="743" t="s">
        <v>176</v>
      </c>
      <c r="C38" s="945"/>
      <c r="D38" s="54"/>
      <c r="E38" s="769">
        <v>137</v>
      </c>
      <c r="F38" s="769"/>
      <c r="G38" s="258">
        <v>11041</v>
      </c>
      <c r="H38" s="758">
        <v>105</v>
      </c>
      <c r="I38" s="758"/>
      <c r="J38" s="259">
        <v>9116</v>
      </c>
      <c r="K38" s="761">
        <v>82.56498505570147631555112762</v>
      </c>
      <c r="L38" s="762"/>
      <c r="N38" s="692"/>
      <c r="O38" s="741"/>
      <c r="P38" s="741"/>
      <c r="Q38" s="692"/>
      <c r="R38" s="692"/>
      <c r="S38" s="741"/>
      <c r="T38" s="741"/>
      <c r="U38" s="123"/>
    </row>
    <row r="39" ht="18.95" customHeight="1">
      <c r="B39" s="532" t="s">
        <v>177</v>
      </c>
      <c r="C39" s="345"/>
      <c r="D39" s="54"/>
      <c r="E39" s="772">
        <v>19</v>
      </c>
      <c r="F39" s="772"/>
      <c r="G39" s="90">
        <v>2205</v>
      </c>
      <c r="H39" s="765">
        <v>19</v>
      </c>
      <c r="I39" s="765"/>
      <c r="J39" s="54">
        <v>2205</v>
      </c>
      <c r="K39" s="766">
        <v>100</v>
      </c>
      <c r="L39" s="767"/>
      <c r="N39" s="693"/>
      <c r="O39" s="740"/>
      <c r="P39" s="740"/>
      <c r="Q39" s="740"/>
      <c r="R39" s="740"/>
      <c r="S39" s="740"/>
      <c r="T39" s="740"/>
      <c r="U39" s="123"/>
    </row>
    <row r="40" ht="18.95" customHeight="1">
      <c r="B40" s="730" t="s">
        <v>178</v>
      </c>
      <c r="C40" s="941"/>
      <c r="D40" s="54"/>
      <c r="E40" s="770">
        <v>76</v>
      </c>
      <c r="F40" s="770"/>
      <c r="G40" s="126">
        <v>5868</v>
      </c>
      <c r="H40" s="771">
        <v>57</v>
      </c>
      <c r="I40" s="771"/>
      <c r="J40" s="120">
        <v>4640</v>
      </c>
      <c r="K40" s="759">
        <v>79.072937968643490115882753920</v>
      </c>
      <c r="L40" s="760"/>
      <c r="N40" s="763"/>
      <c r="O40" s="763"/>
      <c r="P40" s="763"/>
      <c r="Q40" s="763"/>
      <c r="R40" s="763"/>
      <c r="S40" s="763"/>
      <c r="T40" s="763"/>
      <c r="U40" s="123"/>
    </row>
    <row r="41" ht="18.95" customHeight="1">
      <c r="B41" s="532" t="s">
        <v>179</v>
      </c>
      <c r="C41" s="345"/>
      <c r="D41" s="54"/>
      <c r="E41" s="772">
        <v>8</v>
      </c>
      <c r="F41" s="772"/>
      <c r="G41" s="90">
        <v>1094</v>
      </c>
      <c r="H41" s="765">
        <v>8</v>
      </c>
      <c r="I41" s="765"/>
      <c r="J41" s="54">
        <v>1094</v>
      </c>
      <c r="K41" s="766">
        <v>100</v>
      </c>
      <c r="L41" s="767"/>
      <c r="N41" s="763"/>
      <c r="O41" s="763"/>
      <c r="P41" s="763"/>
      <c r="Q41" s="763"/>
      <c r="R41" s="763"/>
      <c r="S41" s="763"/>
      <c r="T41" s="763"/>
      <c r="U41" s="123"/>
    </row>
    <row r="42" ht="18.95" customHeight="1">
      <c r="B42" s="726" t="s">
        <v>74</v>
      </c>
      <c r="C42" s="349"/>
      <c r="D42" s="54"/>
      <c r="E42" s="768">
        <v>7</v>
      </c>
      <c r="F42" s="768"/>
      <c r="G42" s="260">
        <v>1086</v>
      </c>
      <c r="H42" s="764">
        <v>7</v>
      </c>
      <c r="I42" s="764"/>
      <c r="J42" s="260">
        <v>1086</v>
      </c>
      <c r="K42" s="774">
        <v>100</v>
      </c>
      <c r="L42" s="775"/>
      <c r="N42" s="763"/>
      <c r="O42" s="763"/>
      <c r="P42" s="763"/>
      <c r="Q42" s="763"/>
      <c r="R42" s="763"/>
      <c r="S42" s="763"/>
      <c r="T42" s="763"/>
      <c r="U42" s="123"/>
    </row>
    <row r="43" ht="15" customHeight="1">
      <c r="B43" s="2"/>
      <c r="C43" s="44"/>
      <c r="D43" s="44"/>
      <c r="E43" s="16"/>
      <c r="F43" s="19"/>
      <c r="G43" s="123"/>
      <c r="H43" s="124"/>
      <c r="I43" s="124"/>
      <c r="J43" s="124"/>
      <c r="K43" s="125"/>
      <c r="L43" s="123"/>
      <c r="M43" s="124"/>
      <c r="N43" s="125"/>
      <c r="O43" s="125"/>
      <c r="P43" s="124"/>
      <c r="Q43" s="124"/>
      <c r="R43" s="123"/>
      <c r="S43" s="123"/>
      <c r="T43" s="123"/>
      <c r="U43" s="123"/>
    </row>
    <row r="44" ht="39.95" customHeight="1">
      <c r="B44" s="933" t="s">
        <v>126</v>
      </c>
      <c r="C44" s="933"/>
      <c r="D44" s="933"/>
      <c r="E44" s="933"/>
      <c r="F44" s="933"/>
      <c r="G44" s="933"/>
      <c r="H44" s="933"/>
      <c r="I44" s="933"/>
      <c r="J44" s="933"/>
      <c r="K44" s="933"/>
      <c r="L44" s="933"/>
      <c r="M44" s="933"/>
      <c r="N44" s="933"/>
      <c r="O44" s="933"/>
      <c r="P44" s="933"/>
      <c r="Q44" s="933"/>
      <c r="R44" s="933"/>
      <c r="S44" s="933"/>
      <c r="T44" s="933"/>
      <c r="U44" s="2"/>
    </row>
    <row r="45" ht="12" customHeight="1">
      <c r="B45" s="2"/>
      <c r="C45" s="2"/>
      <c r="D45" s="2"/>
      <c r="E45" s="2"/>
      <c r="F45" s="2"/>
      <c r="G45" s="2"/>
      <c r="H45" s="2"/>
      <c r="I45" s="2"/>
      <c r="J45" s="2"/>
      <c r="K45" s="2"/>
      <c r="L45" s="2"/>
      <c r="M45" s="2"/>
      <c r="N45" s="2"/>
      <c r="O45" s="2"/>
      <c r="R45" s="2"/>
      <c r="S45" s="2"/>
      <c r="T45" s="2"/>
      <c r="U45" s="2"/>
    </row>
    <row r="46" s="236" customFormat="1" ht="18" customHeight="1">
      <c r="A46" s="23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106">
    <mergeCell ref="H40:I40"/>
    <mergeCell ref="H39:I39"/>
    <mergeCell ref="K42:L42"/>
    <mergeCell ref="K41:L41"/>
    <mergeCell ref="F16:F17"/>
    <mergeCell ref="G16:G17"/>
    <mergeCell ref="B7:C7"/>
    <mergeCell ref="K36:L36"/>
    <mergeCell ref="B31:C31"/>
    <mergeCell ref="H36:J36"/>
    <mergeCell ref="E39:F39"/>
    <mergeCell ref="L6:L7"/>
    <mergeCell ref="E6:E7"/>
    <mergeCell ref="F6:F7"/>
    <mergeCell ref="H16:H17"/>
    <mergeCell ref="E15:L15"/>
    <mergeCell ref="I6:I7"/>
    <mergeCell ref="J6:J7"/>
    <mergeCell ref="K6:K7"/>
    <mergeCell ref="I16:I17"/>
    <mergeCell ref="J16:J17"/>
    <mergeCell ref="K16:K17"/>
    <mergeCell ref="L16:L17"/>
    <mergeCell ref="E35:L35"/>
    <mergeCell ref="B44:T44"/>
    <mergeCell ref="J26:J27"/>
    <mergeCell ref="K26:K27"/>
    <mergeCell ref="E25:L25"/>
    <mergeCell ref="E26:E27"/>
    <mergeCell ref="F26:F27"/>
    <mergeCell ref="G26:G27"/>
    <mergeCell ref="H26:H27"/>
    <mergeCell ref="I26:I27"/>
    <mergeCell ref="H38:I38"/>
    <mergeCell ref="K40:L40"/>
    <mergeCell ref="K38:L38"/>
    <mergeCell ref="N40:T42"/>
    <mergeCell ref="N37:P37"/>
    <mergeCell ref="H37:I37"/>
    <mergeCell ref="H42:I42"/>
    <mergeCell ref="H41:I41"/>
    <mergeCell ref="Q37:T37"/>
    <mergeCell ref="K39:L39"/>
    <mergeCell ref="E42:F42"/>
    <mergeCell ref="E38:F38"/>
    <mergeCell ref="E40:F40"/>
    <mergeCell ref="E41:F41"/>
    <mergeCell ref="E37:F37"/>
    <mergeCell ref="L26:L27"/>
    <mergeCell ref="E36:G36"/>
    <mergeCell ref="E16:E17"/>
    <mergeCell ref="G6:G7"/>
    <mergeCell ref="N15:T15"/>
    <mergeCell ref="N6:N7"/>
    <mergeCell ref="N16:N17"/>
    <mergeCell ref="O16:P17"/>
    <mergeCell ref="Q16:R17"/>
    <mergeCell ref="S16:T17"/>
    <mergeCell ref="N36:T36"/>
    <mergeCell ref="N25:T25"/>
    <mergeCell ref="N35:T35"/>
    <mergeCell ref="N26:N27"/>
    <mergeCell ref="O26:P27"/>
    <mergeCell ref="Q26:R27"/>
    <mergeCell ref="S26:T27"/>
    <mergeCell ref="S39:T39"/>
    <mergeCell ref="Q39:R39"/>
    <mergeCell ref="O39:P39"/>
    <mergeCell ref="O38:P38"/>
    <mergeCell ref="Q38:R38"/>
    <mergeCell ref="S38:T38"/>
    <mergeCell ref="B38:C38"/>
    <mergeCell ref="B33:C33"/>
    <mergeCell ref="B32:C32"/>
    <mergeCell ref="K37:L37"/>
    <mergeCell ref="B42:C42"/>
    <mergeCell ref="B41:C41"/>
    <mergeCell ref="B40:C40"/>
    <mergeCell ref="B39:C39"/>
    <mergeCell ref="B21:C21"/>
    <mergeCell ref="B20:C20"/>
    <mergeCell ref="B19:C19"/>
    <mergeCell ref="B13:C13"/>
    <mergeCell ref="B30:C30"/>
    <mergeCell ref="B29:C29"/>
    <mergeCell ref="B23:C23"/>
    <mergeCell ref="B22:C22"/>
    <mergeCell ref="B25:C25"/>
    <mergeCell ref="B28:C28"/>
    <mergeCell ref="B18:C18"/>
    <mergeCell ref="B4:T4"/>
    <mergeCell ref="B3:T3"/>
    <mergeCell ref="B2:T2"/>
    <mergeCell ref="B12:C12"/>
    <mergeCell ref="B11:C11"/>
    <mergeCell ref="B10:C10"/>
    <mergeCell ref="B9:C9"/>
    <mergeCell ref="O6:P7"/>
    <mergeCell ref="S6:T7"/>
    <mergeCell ref="Q6:R7"/>
    <mergeCell ref="N5:T5"/>
    <mergeCell ref="B5:C5"/>
    <mergeCell ref="B8:C8"/>
    <mergeCell ref="E5:L5"/>
    <mergeCell ref="B6:C6"/>
    <mergeCell ref="H6:H7"/>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22"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9">
    <pageSetUpPr fitToPage="1"/>
  </sheetPr>
  <dimension ref="A1:EI109"/>
  <sheetViews>
    <sheetView showGridLines="0" zoomScale="70" workbookViewId="0"/>
  </sheetViews>
  <sheetFormatPr defaultRowHeight="12.75"/>
  <cols>
    <col min="1" max="1" width="1.5703125" style="34" customWidth="1"/>
    <col min="2" max="2" width="15.7109375" style="34" customWidth="1"/>
    <col min="3" max="3" width="18.7109375" customWidth="1"/>
    <col min="4" max="21" width="11.7109375" customWidth="1"/>
    <col min="22" max="22" width="2.7109375" customWidth="1"/>
    <col min="23" max="37" width="9.140625" style="281" customWidth="1"/>
  </cols>
  <sheetData>
    <row r="1" s="2" customFormat="1" ht="23.25">
      <c r="B1" s="657" t="s">
        <v>135</v>
      </c>
      <c r="C1" s="130"/>
      <c r="P1" s="222"/>
      <c r="Q1" s="222"/>
      <c r="R1" s="222"/>
      <c r="S1" s="222"/>
      <c r="T1" s="222"/>
      <c r="U1" s="222"/>
      <c r="W1" s="281"/>
      <c r="X1" s="281"/>
      <c r="Y1" s="281"/>
      <c r="Z1" s="281"/>
      <c r="AA1" s="281"/>
      <c r="AB1" s="281"/>
      <c r="AC1" s="281"/>
      <c r="AD1" s="281"/>
      <c r="AE1" s="281"/>
      <c r="AF1" s="281"/>
      <c r="AG1" s="281"/>
      <c r="AH1" s="281"/>
      <c r="AI1" s="281"/>
      <c r="AJ1" s="281"/>
      <c r="AK1" s="281"/>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4"/>
      <c r="CS1" s="34"/>
      <c r="CT1" s="34"/>
      <c r="CU1" s="34"/>
      <c r="CV1" s="34"/>
      <c r="CW1" s="34"/>
      <c r="CX1" s="34"/>
      <c r="CY1" s="34"/>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c r="ED1" s="34"/>
      <c r="EE1" s="34"/>
      <c r="EF1" s="34"/>
      <c r="EG1" s="34"/>
      <c r="EH1" s="34"/>
      <c r="EI1" s="34"/>
    </row>
    <row r="2" s="2" customFormat="1" ht="15" customHeight="1">
      <c r="B2" s="66" t="s">
        <v>170</v>
      </c>
      <c r="C2" s="130"/>
      <c r="W2" s="281"/>
      <c r="X2" s="281"/>
      <c r="Y2" s="281"/>
      <c r="Z2" s="281"/>
      <c r="AA2" s="281"/>
      <c r="AB2" s="281"/>
      <c r="AC2" s="281"/>
      <c r="AD2" s="281"/>
      <c r="AE2" s="281"/>
      <c r="AF2" s="281"/>
      <c r="AG2" s="281"/>
      <c r="AH2" s="281"/>
      <c r="AI2" s="281"/>
      <c r="AJ2" s="281"/>
      <c r="AK2" s="281"/>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34"/>
      <c r="CZ2" s="34"/>
      <c r="DA2" s="34"/>
      <c r="DB2" s="34"/>
      <c r="DC2" s="34"/>
      <c r="DD2" s="34"/>
      <c r="DE2" s="34"/>
      <c r="DF2" s="34"/>
      <c r="DG2" s="34"/>
      <c r="DH2" s="34"/>
      <c r="DI2" s="34"/>
      <c r="DJ2" s="34"/>
      <c r="DK2" s="34"/>
      <c r="DL2" s="34"/>
      <c r="DM2" s="34"/>
      <c r="DN2" s="34"/>
      <c r="DO2" s="34"/>
      <c r="DP2" s="34"/>
      <c r="DQ2" s="34"/>
      <c r="DR2" s="34"/>
      <c r="DS2" s="34"/>
      <c r="DT2" s="34"/>
      <c r="DU2" s="34"/>
      <c r="DV2" s="34"/>
      <c r="DW2" s="34"/>
      <c r="DX2" s="34"/>
      <c r="DY2" s="34"/>
      <c r="DZ2" s="34"/>
      <c r="EA2" s="34"/>
      <c r="EB2" s="34"/>
      <c r="EC2" s="34"/>
      <c r="ED2" s="34"/>
      <c r="EE2" s="34"/>
      <c r="EF2" s="34"/>
      <c r="EG2" s="34"/>
      <c r="EH2" s="34"/>
      <c r="EI2" s="34"/>
    </row>
    <row r="3" s="2" customFormat="1" ht="17.1" customHeight="1">
      <c r="B3" s="66" t="s">
        <v>171</v>
      </c>
      <c r="C3" s="130"/>
      <c r="O3" s="961"/>
      <c r="P3" s="961"/>
      <c r="Q3" s="961"/>
      <c r="R3" s="961"/>
      <c r="S3" s="961"/>
      <c r="T3" s="961"/>
      <c r="U3" s="961"/>
      <c r="W3" s="281"/>
      <c r="X3" s="281"/>
      <c r="Y3" s="281"/>
      <c r="Z3" s="281"/>
      <c r="AA3" s="281"/>
      <c r="AB3" s="281"/>
      <c r="AC3" s="281"/>
      <c r="AD3" s="281"/>
      <c r="AE3" s="281"/>
      <c r="AF3" s="281"/>
      <c r="AG3" s="281"/>
      <c r="AH3" s="281"/>
      <c r="AI3" s="281"/>
      <c r="AJ3" s="281"/>
      <c r="AK3" s="281"/>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34"/>
      <c r="CT3" s="34"/>
      <c r="CU3" s="34"/>
      <c r="CV3" s="34"/>
      <c r="CW3" s="34"/>
      <c r="CX3" s="34"/>
      <c r="CY3" s="34"/>
      <c r="CZ3" s="34"/>
      <c r="DA3" s="34"/>
      <c r="DB3" s="34"/>
      <c r="DC3" s="34"/>
      <c r="DD3" s="34"/>
      <c r="DE3" s="34"/>
      <c r="DF3" s="34"/>
      <c r="DG3" s="34"/>
      <c r="DH3" s="34"/>
      <c r="DI3" s="34"/>
      <c r="DJ3" s="34"/>
      <c r="DK3" s="34"/>
      <c r="DL3" s="34"/>
      <c r="DM3" s="34"/>
      <c r="DN3" s="34"/>
      <c r="DO3" s="34"/>
      <c r="DP3" s="34"/>
      <c r="DQ3" s="34"/>
      <c r="DR3" s="34"/>
      <c r="DS3" s="34"/>
      <c r="DT3" s="34"/>
      <c r="DU3" s="34"/>
      <c r="DV3" s="34"/>
      <c r="DW3" s="34"/>
      <c r="DX3" s="34"/>
      <c r="DY3" s="34"/>
      <c r="DZ3" s="34"/>
      <c r="EA3" s="34"/>
      <c r="EB3" s="34"/>
      <c r="EC3" s="34"/>
      <c r="ED3" s="34"/>
      <c r="EE3" s="34"/>
      <c r="EF3" s="34"/>
      <c r="EG3" s="34"/>
      <c r="EH3" s="34"/>
      <c r="EI3" s="34"/>
    </row>
    <row r="4" s="2" customFormat="1" ht="15.75" customHeight="1">
      <c r="A4" s="9"/>
      <c r="B4" s="66" t="s">
        <v>172</v>
      </c>
      <c r="C4" s="131"/>
      <c r="D4" s="131"/>
      <c r="E4" s="131"/>
      <c r="G4" s="132"/>
      <c r="H4" s="132"/>
      <c r="I4" s="132"/>
      <c r="J4" s="132"/>
      <c r="K4" s="132"/>
      <c r="L4" s="132"/>
      <c r="M4" s="132"/>
      <c r="N4" s="132"/>
      <c r="O4" s="132"/>
      <c r="P4" s="132"/>
      <c r="Q4" s="132"/>
      <c r="R4" s="132"/>
      <c r="S4" s="132"/>
      <c r="T4" s="132"/>
      <c r="U4" s="132"/>
      <c r="V4" s="132"/>
      <c r="W4" s="281"/>
      <c r="X4" s="281"/>
      <c r="Y4" s="281"/>
      <c r="Z4" s="281"/>
      <c r="AA4" s="281"/>
      <c r="AB4" s="281"/>
      <c r="AC4" s="281"/>
      <c r="AD4" s="281"/>
      <c r="AE4" s="281"/>
      <c r="AF4" s="281"/>
      <c r="AG4" s="281"/>
      <c r="AH4" s="281"/>
      <c r="AI4" s="281"/>
      <c r="AJ4" s="281"/>
      <c r="AK4" s="281"/>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c r="CK4" s="34"/>
      <c r="CL4" s="34"/>
      <c r="CM4" s="34"/>
      <c r="CN4" s="34"/>
      <c r="CO4" s="34"/>
      <c r="CP4" s="34"/>
      <c r="CQ4" s="34"/>
      <c r="CR4" s="34"/>
      <c r="CS4" s="34"/>
      <c r="CT4" s="34"/>
      <c r="CU4" s="34"/>
      <c r="CV4" s="34"/>
      <c r="CW4" s="34"/>
      <c r="CX4" s="34"/>
      <c r="CY4" s="34"/>
      <c r="CZ4" s="34"/>
      <c r="DA4" s="34"/>
      <c r="DB4" s="34"/>
      <c r="DC4" s="34"/>
      <c r="DD4" s="34"/>
      <c r="DE4" s="34"/>
      <c r="DF4" s="34"/>
      <c r="DG4" s="34"/>
      <c r="DH4" s="34"/>
      <c r="DI4" s="34"/>
      <c r="DJ4" s="34"/>
      <c r="DK4" s="34"/>
      <c r="DL4" s="34"/>
      <c r="DM4" s="34"/>
      <c r="DN4" s="34"/>
      <c r="DO4" s="34"/>
      <c r="DP4" s="34"/>
      <c r="DQ4" s="34"/>
      <c r="DR4" s="34"/>
      <c r="DS4" s="34"/>
      <c r="DT4" s="34"/>
      <c r="DU4" s="34"/>
      <c r="DV4" s="34"/>
      <c r="DW4" s="34"/>
      <c r="DX4" s="34"/>
      <c r="DY4" s="34"/>
      <c r="DZ4" s="34"/>
      <c r="EA4" s="34"/>
      <c r="EB4" s="34"/>
      <c r="EC4" s="34"/>
      <c r="ED4" s="34"/>
      <c r="EE4" s="34"/>
      <c r="EF4" s="34"/>
      <c r="EG4" s="34"/>
      <c r="EH4" s="34"/>
      <c r="EI4" s="34"/>
    </row>
    <row r="5" s="2" customFormat="1" ht="20.1" customHeight="1">
      <c r="A5" s="9"/>
      <c r="B5" s="66"/>
      <c r="C5" s="131"/>
      <c r="D5" s="131"/>
      <c r="E5" s="131"/>
      <c r="G5" s="132"/>
      <c r="H5" s="132"/>
      <c r="I5" s="132"/>
      <c r="J5" s="132"/>
      <c r="K5" s="132"/>
      <c r="L5" s="132"/>
      <c r="M5" s="132"/>
      <c r="N5" s="132"/>
      <c r="O5" s="132"/>
      <c r="P5" s="132"/>
      <c r="Q5" s="132"/>
      <c r="R5" s="132"/>
      <c r="S5" s="132"/>
      <c r="T5" s="132"/>
      <c r="U5" s="132"/>
      <c r="V5" s="132"/>
      <c r="W5" s="281"/>
      <c r="X5" s="281"/>
      <c r="Y5" s="281"/>
      <c r="Z5" s="281"/>
      <c r="AA5" s="281"/>
      <c r="AB5" s="281"/>
      <c r="AC5" s="281"/>
      <c r="AD5" s="281"/>
      <c r="AE5" s="281"/>
      <c r="AF5" s="281"/>
      <c r="AG5" s="281"/>
      <c r="AH5" s="281"/>
      <c r="AI5" s="281"/>
      <c r="AJ5" s="281"/>
      <c r="AK5" s="281"/>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c r="CK5" s="34"/>
      <c r="CL5" s="34"/>
      <c r="CM5" s="34"/>
      <c r="CN5" s="34"/>
      <c r="CO5" s="34"/>
      <c r="CP5" s="34"/>
      <c r="CQ5" s="34"/>
      <c r="CR5" s="34"/>
      <c r="CS5" s="34"/>
      <c r="CT5" s="34"/>
      <c r="CU5" s="34"/>
      <c r="CV5" s="34"/>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c r="EE5" s="34"/>
      <c r="EF5" s="34"/>
      <c r="EG5" s="34"/>
      <c r="EH5" s="34"/>
      <c r="EI5" s="34"/>
    </row>
    <row r="6" s="2" customFormat="1" ht="20.1" customHeight="1">
      <c r="A6" s="9"/>
      <c r="B6" s="66"/>
      <c r="C6" s="131"/>
      <c r="D6" s="131"/>
      <c r="E6" s="131"/>
      <c r="G6" s="132"/>
      <c r="H6" s="132"/>
      <c r="I6" s="132"/>
      <c r="J6" s="132"/>
      <c r="K6" s="132"/>
      <c r="L6" s="132"/>
      <c r="M6" s="132"/>
      <c r="N6" s="132"/>
      <c r="O6" s="132"/>
      <c r="P6" s="132"/>
      <c r="Q6" s="132"/>
      <c r="R6" s="132"/>
      <c r="S6" s="132"/>
      <c r="T6" s="132"/>
      <c r="U6" s="132"/>
      <c r="V6" s="132"/>
      <c r="W6" s="281"/>
      <c r="X6" s="281"/>
      <c r="Y6" s="281"/>
      <c r="Z6" s="281"/>
      <c r="AA6" s="281"/>
      <c r="AB6" s="281"/>
      <c r="AC6" s="281"/>
      <c r="AD6" s="281"/>
      <c r="AE6" s="281"/>
      <c r="AF6" s="281"/>
      <c r="AG6" s="281"/>
      <c r="AH6" s="281"/>
      <c r="AI6" s="281"/>
      <c r="AJ6" s="281"/>
      <c r="AK6" s="281"/>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c r="CT6" s="34"/>
      <c r="CU6" s="34"/>
      <c r="CV6" s="34"/>
      <c r="CW6" s="34"/>
      <c r="CX6" s="34"/>
      <c r="CY6" s="34"/>
      <c r="CZ6" s="34"/>
      <c r="DA6" s="34"/>
      <c r="DB6" s="34"/>
      <c r="DC6" s="34"/>
      <c r="DD6" s="34"/>
      <c r="DE6" s="34"/>
      <c r="DF6" s="34"/>
      <c r="DG6" s="34"/>
      <c r="DH6" s="34"/>
      <c r="DI6" s="34"/>
      <c r="DJ6" s="34"/>
      <c r="DK6" s="34"/>
      <c r="DL6" s="34"/>
      <c r="DM6" s="34"/>
      <c r="DN6" s="34"/>
      <c r="DO6" s="34"/>
      <c r="DP6" s="34"/>
      <c r="DQ6" s="34"/>
      <c r="DR6" s="34"/>
      <c r="DS6" s="34"/>
      <c r="DT6" s="34"/>
      <c r="DU6" s="34"/>
      <c r="DV6" s="34"/>
      <c r="DW6" s="34"/>
      <c r="DX6" s="34"/>
      <c r="DY6" s="34"/>
      <c r="DZ6" s="34"/>
      <c r="EA6" s="34"/>
      <c r="EB6" s="34"/>
      <c r="EC6" s="34"/>
      <c r="ED6" s="34"/>
      <c r="EE6" s="34"/>
      <c r="EF6" s="34"/>
      <c r="EG6" s="34"/>
      <c r="EH6" s="34"/>
      <c r="EI6" s="34"/>
    </row>
    <row r="7" s="2" customFormat="1" ht="20.1" customHeight="1">
      <c r="A7" s="9"/>
      <c r="B7" s="66"/>
      <c r="C7" s="131"/>
      <c r="D7" s="131"/>
      <c r="E7" s="131"/>
      <c r="G7" s="132"/>
      <c r="H7" s="132"/>
      <c r="I7" s="132"/>
      <c r="J7" s="132"/>
      <c r="K7" s="132"/>
      <c r="L7" s="132"/>
      <c r="M7" s="132"/>
      <c r="N7" s="132"/>
      <c r="O7" s="132"/>
      <c r="P7" s="132"/>
      <c r="Q7" s="132"/>
      <c r="R7" s="132"/>
      <c r="S7" s="132"/>
      <c r="T7" s="132"/>
      <c r="U7" s="132"/>
      <c r="V7" s="132"/>
      <c r="W7" s="281"/>
      <c r="X7" s="281"/>
      <c r="Y7" s="281"/>
      <c r="Z7" s="281"/>
      <c r="AA7" s="281"/>
      <c r="AB7" s="281"/>
      <c r="AC7" s="281"/>
      <c r="AD7" s="281"/>
      <c r="AE7" s="281"/>
      <c r="AF7" s="281"/>
      <c r="AG7" s="281"/>
      <c r="AH7" s="281"/>
      <c r="AI7" s="281"/>
      <c r="AJ7" s="281"/>
      <c r="AK7" s="281"/>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c r="DU7" s="34"/>
      <c r="DV7" s="34"/>
      <c r="DW7" s="34"/>
      <c r="DX7" s="34"/>
      <c r="DY7" s="34"/>
      <c r="DZ7" s="34"/>
      <c r="EA7" s="34"/>
      <c r="EB7" s="34"/>
      <c r="EC7" s="34"/>
      <c r="ED7" s="34"/>
      <c r="EE7" s="34"/>
      <c r="EF7" s="34"/>
      <c r="EG7" s="34"/>
      <c r="EH7" s="34"/>
      <c r="EI7" s="34"/>
    </row>
    <row r="8" s="2" customFormat="1" ht="20.1" customHeight="1">
      <c r="A8" s="9"/>
      <c r="B8" s="66"/>
      <c r="C8" s="131"/>
      <c r="D8" s="131"/>
      <c r="E8" s="131"/>
      <c r="G8" s="132"/>
      <c r="H8" s="132"/>
      <c r="I8" s="132"/>
      <c r="J8" s="132"/>
      <c r="K8" s="132"/>
      <c r="L8" s="132"/>
      <c r="M8" s="132"/>
      <c r="N8" s="132"/>
      <c r="O8" s="132"/>
      <c r="P8" s="132"/>
      <c r="Q8" s="132"/>
      <c r="R8" s="132"/>
      <c r="S8" s="132"/>
      <c r="T8" s="132"/>
      <c r="U8" s="132"/>
      <c r="V8" s="132"/>
      <c r="W8" s="281"/>
      <c r="X8" s="281"/>
      <c r="Y8" s="281"/>
      <c r="Z8" s="281"/>
      <c r="AA8" s="281"/>
      <c r="AB8" s="281"/>
      <c r="AC8" s="281"/>
      <c r="AD8" s="281"/>
      <c r="AE8" s="281"/>
      <c r="AF8" s="281"/>
      <c r="AG8" s="281"/>
      <c r="AH8" s="281"/>
      <c r="AI8" s="281"/>
      <c r="AJ8" s="281"/>
      <c r="AK8" s="281"/>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34"/>
      <c r="CQ8" s="34"/>
      <c r="CR8" s="34"/>
      <c r="CS8" s="34"/>
      <c r="CT8" s="34"/>
      <c r="CU8" s="34"/>
      <c r="CV8" s="34"/>
      <c r="CW8" s="34"/>
      <c r="CX8" s="34"/>
      <c r="CY8" s="34"/>
      <c r="CZ8" s="34"/>
      <c r="DA8" s="34"/>
      <c r="DB8" s="34"/>
      <c r="DC8" s="34"/>
      <c r="DD8" s="34"/>
      <c r="DE8" s="34"/>
      <c r="DF8" s="34"/>
      <c r="DG8" s="34"/>
      <c r="DH8" s="34"/>
      <c r="DI8" s="34"/>
      <c r="DJ8" s="34"/>
      <c r="DK8" s="34"/>
      <c r="DL8" s="34"/>
      <c r="DM8" s="34"/>
      <c r="DN8" s="34"/>
      <c r="DO8" s="34"/>
      <c r="DP8" s="34"/>
      <c r="DQ8" s="34"/>
      <c r="DR8" s="34"/>
      <c r="DS8" s="34"/>
      <c r="DT8" s="34"/>
      <c r="DU8" s="34"/>
      <c r="DV8" s="34"/>
      <c r="DW8" s="34"/>
      <c r="DX8" s="34"/>
      <c r="DY8" s="34"/>
      <c r="DZ8" s="34"/>
      <c r="EA8" s="34"/>
      <c r="EB8" s="34"/>
      <c r="EC8" s="34"/>
      <c r="ED8" s="34"/>
      <c r="EE8" s="34"/>
      <c r="EF8" s="34"/>
      <c r="EG8" s="34"/>
      <c r="EH8" s="34"/>
      <c r="EI8" s="34"/>
    </row>
    <row r="9" s="2" customFormat="1" ht="20.1" customHeight="1">
      <c r="A9" s="9"/>
      <c r="B9" s="66"/>
      <c r="C9" s="131"/>
      <c r="D9" s="131"/>
      <c r="E9" s="131"/>
      <c r="G9" s="132"/>
      <c r="H9" s="132"/>
      <c r="I9" s="132"/>
      <c r="J9" s="132"/>
      <c r="K9" s="132"/>
      <c r="L9" s="132"/>
      <c r="M9" s="132"/>
      <c r="N9" s="132"/>
      <c r="O9" s="132"/>
      <c r="P9" s="132"/>
      <c r="Q9" s="132"/>
      <c r="R9" s="132"/>
      <c r="S9" s="132"/>
      <c r="T9" s="132"/>
      <c r="U9" s="132"/>
      <c r="V9" s="132"/>
      <c r="W9" s="281"/>
      <c r="X9" s="281"/>
      <c r="Y9" s="281"/>
      <c r="Z9" s="281"/>
      <c r="AA9" s="281"/>
      <c r="AB9" s="281"/>
      <c r="AC9" s="281"/>
      <c r="AD9" s="281"/>
      <c r="AE9" s="281"/>
      <c r="AF9" s="281"/>
      <c r="AG9" s="281"/>
      <c r="AH9" s="281"/>
      <c r="AI9" s="281"/>
      <c r="AJ9" s="281"/>
      <c r="AK9" s="281"/>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c r="CK9" s="34"/>
      <c r="CL9" s="34"/>
      <c r="CM9" s="34"/>
      <c r="CN9" s="34"/>
      <c r="CO9" s="34"/>
      <c r="CP9" s="34"/>
      <c r="CQ9" s="34"/>
      <c r="CR9" s="34"/>
      <c r="CS9" s="34"/>
      <c r="CT9" s="34"/>
      <c r="CU9" s="34"/>
      <c r="CV9" s="34"/>
      <c r="CW9" s="34"/>
      <c r="CX9" s="34"/>
      <c r="CY9" s="34"/>
      <c r="CZ9" s="34"/>
      <c r="DA9" s="34"/>
      <c r="DB9" s="34"/>
      <c r="DC9" s="34"/>
      <c r="DD9" s="34"/>
      <c r="DE9" s="34"/>
      <c r="DF9" s="34"/>
      <c r="DG9" s="34"/>
      <c r="DH9" s="34"/>
      <c r="DI9" s="34"/>
      <c r="DJ9" s="34"/>
      <c r="DK9" s="34"/>
      <c r="DL9" s="34"/>
      <c r="DM9" s="34"/>
      <c r="DN9" s="34"/>
      <c r="DO9" s="34"/>
      <c r="DP9" s="34"/>
      <c r="DQ9" s="34"/>
      <c r="DR9" s="34"/>
      <c r="DS9" s="34"/>
      <c r="DT9" s="34"/>
      <c r="DU9" s="34"/>
      <c r="DV9" s="34"/>
      <c r="DW9" s="34"/>
      <c r="DX9" s="34"/>
      <c r="DY9" s="34"/>
      <c r="DZ9" s="34"/>
      <c r="EA9" s="34"/>
      <c r="EB9" s="34"/>
      <c r="EC9" s="34"/>
      <c r="ED9" s="34"/>
      <c r="EE9" s="34"/>
      <c r="EF9" s="34"/>
      <c r="EG9" s="34"/>
      <c r="EH9" s="34"/>
      <c r="EI9" s="34"/>
    </row>
    <row r="10" s="2" customFormat="1" ht="20.1" customHeight="1">
      <c r="A10" s="9"/>
      <c r="B10" s="66"/>
      <c r="C10" s="131"/>
      <c r="D10" s="131"/>
      <c r="E10" s="131"/>
      <c r="G10" s="132"/>
      <c r="H10" s="132"/>
      <c r="I10" s="132"/>
      <c r="J10" s="132"/>
      <c r="K10" s="132"/>
      <c r="L10" s="132"/>
      <c r="M10" s="132"/>
      <c r="N10" s="132"/>
      <c r="O10" s="132"/>
      <c r="P10" s="132"/>
      <c r="Q10" s="132"/>
      <c r="R10" s="132"/>
      <c r="S10" s="132"/>
      <c r="T10" s="132"/>
      <c r="U10" s="132"/>
      <c r="V10" s="132"/>
      <c r="W10" s="281"/>
      <c r="X10" s="281"/>
      <c r="Y10" s="281"/>
      <c r="Z10" s="281"/>
      <c r="AA10" s="281"/>
      <c r="AB10" s="281"/>
      <c r="AC10" s="281"/>
      <c r="AD10" s="281"/>
      <c r="AE10" s="281"/>
      <c r="AF10" s="281"/>
      <c r="AG10" s="281"/>
      <c r="AH10" s="281"/>
      <c r="AI10" s="281"/>
      <c r="AJ10" s="281"/>
      <c r="AK10" s="281"/>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c r="CK10" s="34"/>
      <c r="CL10" s="34"/>
      <c r="CM10" s="34"/>
      <c r="CN10" s="34"/>
      <c r="CO10" s="34"/>
      <c r="CP10" s="34"/>
      <c r="CQ10" s="34"/>
      <c r="CR10" s="34"/>
      <c r="CS10" s="34"/>
      <c r="CT10" s="34"/>
      <c r="CU10" s="34"/>
      <c r="CV10" s="34"/>
      <c r="CW10" s="34"/>
      <c r="CX10" s="34"/>
      <c r="CY10" s="34"/>
      <c r="CZ10" s="34"/>
      <c r="DA10" s="34"/>
      <c r="DB10" s="34"/>
      <c r="DC10" s="34"/>
      <c r="DD10" s="34"/>
      <c r="DE10" s="34"/>
      <c r="DF10" s="34"/>
      <c r="DG10" s="34"/>
      <c r="DH10" s="34"/>
      <c r="DI10" s="34"/>
      <c r="DJ10" s="34"/>
      <c r="DK10" s="34"/>
      <c r="DL10" s="34"/>
      <c r="DM10" s="34"/>
      <c r="DN10" s="34"/>
      <c r="DO10" s="34"/>
      <c r="DP10" s="34"/>
      <c r="DQ10" s="34"/>
      <c r="DR10" s="34"/>
      <c r="DS10" s="34"/>
      <c r="DT10" s="34"/>
      <c r="DU10" s="34"/>
      <c r="DV10" s="34"/>
      <c r="DW10" s="34"/>
      <c r="DX10" s="34"/>
      <c r="DY10" s="34"/>
      <c r="DZ10" s="34"/>
      <c r="EA10" s="34"/>
      <c r="EB10" s="34"/>
      <c r="EC10" s="34"/>
      <c r="ED10" s="34"/>
      <c r="EE10" s="34"/>
      <c r="EF10" s="34"/>
      <c r="EG10" s="34"/>
      <c r="EH10" s="34"/>
      <c r="EI10" s="34"/>
    </row>
    <row r="11" s="2" customFormat="1" ht="20.1" customHeight="1">
      <c r="A11" s="9"/>
      <c r="B11" s="66"/>
      <c r="C11" s="131"/>
      <c r="D11" s="131"/>
      <c r="E11" s="131"/>
      <c r="G11" s="132"/>
      <c r="H11" s="132"/>
      <c r="I11" s="132"/>
      <c r="J11" s="132"/>
      <c r="K11" s="132"/>
      <c r="L11" s="132"/>
      <c r="M11" s="132"/>
      <c r="N11" s="132"/>
      <c r="O11" s="132"/>
      <c r="P11" s="132"/>
      <c r="Q11" s="132"/>
      <c r="R11" s="132"/>
      <c r="S11" s="132"/>
      <c r="T11" s="132"/>
      <c r="U11" s="132"/>
      <c r="V11" s="132"/>
      <c r="W11" s="281"/>
      <c r="X11" s="281"/>
      <c r="Y11" s="281"/>
      <c r="Z11" s="281"/>
      <c r="AA11" s="281"/>
      <c r="AB11" s="281"/>
      <c r="AC11" s="281"/>
      <c r="AD11" s="281"/>
      <c r="AE11" s="281"/>
      <c r="AF11" s="281"/>
      <c r="AG11" s="281"/>
      <c r="AH11" s="281"/>
      <c r="AI11" s="281"/>
      <c r="AJ11" s="281"/>
      <c r="AK11" s="281"/>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row>
    <row r="12" s="2" customFormat="1" ht="20.1" customHeight="1">
      <c r="A12" s="9"/>
      <c r="B12" s="66"/>
      <c r="C12" s="131"/>
      <c r="D12" s="131"/>
      <c r="E12" s="131"/>
      <c r="G12" s="132"/>
      <c r="H12" s="132"/>
      <c r="I12" s="132"/>
      <c r="J12" s="132"/>
      <c r="K12" s="132"/>
      <c r="L12" s="132"/>
      <c r="M12" s="132"/>
      <c r="N12" s="132"/>
      <c r="O12" s="132"/>
      <c r="P12" s="132"/>
      <c r="Q12" s="132"/>
      <c r="R12" s="132"/>
      <c r="S12" s="132"/>
      <c r="T12" s="132"/>
      <c r="U12" s="132"/>
      <c r="V12" s="132"/>
      <c r="W12" s="281"/>
      <c r="X12" s="281"/>
      <c r="Y12" s="281"/>
      <c r="Z12" s="281"/>
      <c r="AA12" s="281"/>
      <c r="AB12" s="281"/>
      <c r="AC12" s="281"/>
      <c r="AD12" s="281"/>
      <c r="AE12" s="281"/>
      <c r="AF12" s="281"/>
      <c r="AG12" s="281"/>
      <c r="AH12" s="281"/>
      <c r="AI12" s="281"/>
      <c r="AJ12" s="281"/>
      <c r="AK12" s="281"/>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c r="CV12" s="34"/>
      <c r="CW12" s="34"/>
      <c r="CX12" s="34"/>
      <c r="CY12" s="34"/>
      <c r="CZ12" s="34"/>
      <c r="DA12" s="34"/>
      <c r="DB12" s="34"/>
      <c r="DC12" s="34"/>
      <c r="DD12" s="34"/>
      <c r="DE12" s="34"/>
      <c r="DF12" s="34"/>
      <c r="DG12" s="34"/>
      <c r="DH12" s="34"/>
      <c r="DI12" s="34"/>
      <c r="DJ12" s="34"/>
      <c r="DK12" s="34"/>
      <c r="DL12" s="34"/>
      <c r="DM12" s="34"/>
      <c r="DN12" s="34"/>
      <c r="DO12" s="34"/>
      <c r="DP12" s="34"/>
      <c r="DQ12" s="34"/>
      <c r="DR12" s="34"/>
      <c r="DS12" s="34"/>
      <c r="DT12" s="34"/>
      <c r="DU12" s="34"/>
      <c r="DV12" s="34"/>
      <c r="DW12" s="34"/>
      <c r="DX12" s="34"/>
      <c r="DY12" s="34"/>
      <c r="DZ12" s="34"/>
      <c r="EA12" s="34"/>
      <c r="EB12" s="34"/>
      <c r="EC12" s="34"/>
      <c r="ED12" s="34"/>
      <c r="EE12" s="34"/>
      <c r="EF12" s="34"/>
      <c r="EG12" s="34"/>
      <c r="EH12" s="34"/>
      <c r="EI12" s="34"/>
    </row>
    <row r="13" s="2" customFormat="1" ht="20.1" customHeight="1">
      <c r="A13" s="9"/>
      <c r="B13" s="66"/>
      <c r="C13" s="131"/>
      <c r="D13" s="131"/>
      <c r="E13" s="131"/>
      <c r="G13" s="132"/>
      <c r="H13" s="132"/>
      <c r="I13" s="132"/>
      <c r="J13" s="132"/>
      <c r="K13" s="132"/>
      <c r="L13" s="132"/>
      <c r="M13" s="132"/>
      <c r="N13" s="132"/>
      <c r="O13" s="132"/>
      <c r="P13" s="132"/>
      <c r="Q13" s="132"/>
      <c r="R13" s="132"/>
      <c r="S13" s="132"/>
      <c r="T13" s="132"/>
      <c r="U13" s="132"/>
      <c r="V13" s="132"/>
      <c r="W13" s="281"/>
      <c r="X13" s="1014" t="s">
        <v>43</v>
      </c>
      <c r="Y13" s="1014" t="s">
        <v>46</v>
      </c>
      <c r="Z13" s="1014" t="s">
        <v>47</v>
      </c>
      <c r="AA13" s="1014" t="s">
        <v>48</v>
      </c>
      <c r="AB13" s="1014" t="s">
        <v>49</v>
      </c>
      <c r="AC13" s="1014" t="s">
        <v>50</v>
      </c>
      <c r="AD13" s="1014" t="s">
        <v>51</v>
      </c>
      <c r="AE13" s="1014" t="s">
        <v>40</v>
      </c>
      <c r="AF13" s="1014" t="s">
        <v>52</v>
      </c>
      <c r="AG13" s="281"/>
      <c r="AH13" s="281"/>
      <c r="AI13" s="281"/>
      <c r="AJ13" s="281"/>
      <c r="AK13" s="281"/>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c r="CT13" s="34"/>
      <c r="CU13" s="34"/>
      <c r="CV13" s="34"/>
      <c r="CW13" s="34"/>
      <c r="CX13" s="34"/>
      <c r="CY13" s="34"/>
      <c r="CZ13" s="34"/>
      <c r="DA13" s="34"/>
      <c r="DB13" s="34"/>
      <c r="DC13" s="34"/>
      <c r="DD13" s="34"/>
      <c r="DE13" s="34"/>
      <c r="DF13" s="34"/>
      <c r="DG13" s="34"/>
      <c r="DH13" s="34"/>
      <c r="DI13" s="34"/>
      <c r="DJ13" s="34"/>
      <c r="DK13" s="34"/>
      <c r="DL13" s="34"/>
      <c r="DM13" s="34"/>
      <c r="DN13" s="34"/>
      <c r="DO13" s="34"/>
      <c r="DP13" s="34"/>
      <c r="DQ13" s="34"/>
      <c r="DR13" s="34"/>
      <c r="DS13" s="34"/>
      <c r="DT13" s="34"/>
      <c r="DU13" s="34"/>
      <c r="DV13" s="34"/>
      <c r="DW13" s="34"/>
      <c r="DX13" s="34"/>
      <c r="DY13" s="34"/>
      <c r="DZ13" s="34"/>
      <c r="EA13" s="34"/>
      <c r="EB13" s="34"/>
      <c r="EC13" s="34"/>
      <c r="ED13" s="34"/>
      <c r="EE13" s="34"/>
      <c r="EF13" s="34"/>
      <c r="EG13" s="34"/>
      <c r="EH13" s="34"/>
      <c r="EI13" s="34"/>
    </row>
    <row r="14" s="2" customFormat="1" ht="20.1" customHeight="1">
      <c r="A14" s="9"/>
      <c r="B14" s="66"/>
      <c r="C14" s="131"/>
      <c r="D14" s="131"/>
      <c r="E14" s="131"/>
      <c r="G14" s="132"/>
      <c r="H14" s="132"/>
      <c r="I14" s="132"/>
      <c r="J14" s="132"/>
      <c r="K14" s="132"/>
      <c r="L14" s="132"/>
      <c r="M14" s="132"/>
      <c r="N14" s="132"/>
      <c r="O14" s="132"/>
      <c r="P14" s="132"/>
      <c r="Q14" s="132"/>
      <c r="R14" s="132"/>
      <c r="S14" s="132"/>
      <c r="T14" s="132"/>
      <c r="U14" s="132"/>
      <c r="V14" s="132"/>
      <c r="W14" s="281"/>
      <c r="X14" s="1014" t="str">
        <f>D18</f>
      </c>
      <c r="Y14" s="1014" t="str">
        <f>D24</f>
      </c>
      <c r="Z14" s="1014" t="str">
        <f>D30</f>
      </c>
      <c r="AA14" s="1014" t="str">
        <f>D36</f>
      </c>
      <c r="AB14" s="1014" t="str">
        <f>D42</f>
      </c>
      <c r="AC14" s="1014" t="str">
        <f>D48</f>
      </c>
      <c r="AD14" s="1014" t="str">
        <f>D54</f>
      </c>
      <c r="AE14" s="1014" t="str">
        <f>D60</f>
      </c>
      <c r="AF14" s="1014" t="str">
        <f>D66</f>
      </c>
      <c r="AG14" s="281"/>
      <c r="AH14" s="281"/>
      <c r="AI14" s="281"/>
      <c r="AJ14" s="281"/>
      <c r="AK14" s="281"/>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c r="CK14" s="34"/>
      <c r="CL14" s="34"/>
      <c r="CM14" s="34"/>
      <c r="CN14" s="34"/>
      <c r="CO14" s="34"/>
      <c r="CP14" s="34"/>
      <c r="CQ14" s="34"/>
      <c r="CR14" s="34"/>
      <c r="CS14" s="34"/>
      <c r="CT14" s="34"/>
      <c r="CU14" s="34"/>
      <c r="CV14" s="34"/>
      <c r="CW14" s="34"/>
      <c r="CX14" s="34"/>
      <c r="CY14" s="34"/>
      <c r="CZ14" s="34"/>
      <c r="DA14" s="34"/>
      <c r="DB14" s="34"/>
      <c r="DC14" s="34"/>
      <c r="DD14" s="34"/>
      <c r="DE14" s="34"/>
      <c r="DF14" s="34"/>
      <c r="DG14" s="34"/>
      <c r="DH14" s="34"/>
      <c r="DI14" s="34"/>
      <c r="DJ14" s="34"/>
      <c r="DK14" s="34"/>
      <c r="DL14" s="34"/>
      <c r="DM14" s="34"/>
      <c r="DN14" s="34"/>
      <c r="DO14" s="34"/>
      <c r="DP14" s="34"/>
      <c r="DQ14" s="34"/>
      <c r="DR14" s="34"/>
      <c r="DS14" s="34"/>
      <c r="DT14" s="34"/>
      <c r="DU14" s="34"/>
      <c r="DV14" s="34"/>
      <c r="DW14" s="34"/>
      <c r="DX14" s="34"/>
      <c r="DY14" s="34"/>
      <c r="DZ14" s="34"/>
      <c r="EA14" s="34"/>
      <c r="EB14" s="34"/>
      <c r="EC14" s="34"/>
      <c r="ED14" s="34"/>
      <c r="EE14" s="34"/>
      <c r="EF14" s="34"/>
      <c r="EG14" s="34"/>
      <c r="EH14" s="34"/>
      <c r="EI14" s="34"/>
    </row>
    <row r="15" s="2" customFormat="1" ht="15.95" customHeight="1">
      <c r="D15" s="810" t="s">
        <v>22</v>
      </c>
      <c r="E15" s="810"/>
      <c r="F15" s="810"/>
      <c r="G15" s="810"/>
      <c r="H15" s="810"/>
      <c r="I15" s="962"/>
      <c r="J15" s="810" t="s">
        <v>90</v>
      </c>
      <c r="K15" s="810"/>
      <c r="L15" s="810"/>
      <c r="M15" s="810"/>
      <c r="N15" s="810"/>
      <c r="O15" s="962"/>
      <c r="P15" s="810" t="s">
        <v>10</v>
      </c>
      <c r="Q15" s="810"/>
      <c r="R15" s="810"/>
      <c r="S15" s="810"/>
      <c r="T15" s="810"/>
      <c r="U15" s="962"/>
      <c r="W15" s="281"/>
      <c r="X15" s="1014" t="str">
        <f>F18</f>
      </c>
      <c r="Y15" s="1014" t="str">
        <f>F24</f>
      </c>
      <c r="Z15" s="1014" t="str">
        <f>F30</f>
      </c>
      <c r="AA15" s="1014" t="str">
        <f>F36</f>
      </c>
      <c r="AB15" s="1014" t="str">
        <f>F42</f>
      </c>
      <c r="AC15" s="1014" t="str">
        <f>F48</f>
      </c>
      <c r="AD15" s="1014" t="str">
        <f>F54</f>
      </c>
      <c r="AE15" s="1014" t="str">
        <f>F60</f>
      </c>
      <c r="AF15" s="1014" t="str">
        <f>F66</f>
      </c>
      <c r="AG15" s="281"/>
      <c r="AH15" s="281"/>
      <c r="AI15" s="281"/>
      <c r="AJ15" s="281"/>
      <c r="AK15" s="281"/>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34"/>
      <c r="CR15" s="34"/>
      <c r="CS15" s="34"/>
      <c r="CT15" s="34"/>
      <c r="CU15" s="34"/>
      <c r="CV15" s="34"/>
      <c r="CW15" s="34"/>
      <c r="CX15" s="34"/>
      <c r="CY15" s="34"/>
      <c r="CZ15" s="34"/>
      <c r="DA15" s="34"/>
      <c r="DB15" s="34"/>
      <c r="DC15" s="34"/>
      <c r="DD15" s="34"/>
      <c r="DE15" s="34"/>
      <c r="DF15" s="34"/>
      <c r="DG15" s="34"/>
      <c r="DH15" s="34"/>
      <c r="DI15" s="34"/>
      <c r="DJ15" s="34"/>
      <c r="DK15" s="34"/>
      <c r="DL15" s="34"/>
      <c r="DM15" s="34"/>
      <c r="DN15" s="34"/>
      <c r="DO15" s="34"/>
      <c r="DP15" s="34"/>
      <c r="DQ15" s="34"/>
      <c r="DR15" s="34"/>
      <c r="DS15" s="34"/>
      <c r="DT15" s="34"/>
      <c r="DU15" s="34"/>
      <c r="DV15" s="34"/>
      <c r="DW15" s="34"/>
      <c r="DX15" s="34"/>
      <c r="DY15" s="34"/>
      <c r="DZ15" s="34"/>
      <c r="EA15" s="34"/>
      <c r="EB15" s="34"/>
      <c r="EC15" s="34"/>
      <c r="ED15" s="34"/>
      <c r="EE15" s="34"/>
      <c r="EF15" s="34"/>
      <c r="EG15" s="34"/>
      <c r="EH15" s="34"/>
      <c r="EI15" s="34"/>
    </row>
    <row r="16" s="2" customFormat="1" ht="15.95" customHeight="1">
      <c r="D16" s="808" t="s">
        <v>19</v>
      </c>
      <c r="E16" s="809"/>
      <c r="F16" s="808" t="s">
        <v>35</v>
      </c>
      <c r="G16" s="809"/>
      <c r="H16" s="808" t="s">
        <v>97</v>
      </c>
      <c r="I16" s="809"/>
      <c r="J16" s="808" t="s">
        <v>19</v>
      </c>
      <c r="K16" s="809"/>
      <c r="L16" s="808" t="s">
        <v>35</v>
      </c>
      <c r="M16" s="809"/>
      <c r="N16" s="808" t="s">
        <v>98</v>
      </c>
      <c r="O16" s="809"/>
      <c r="P16" s="808" t="s">
        <v>19</v>
      </c>
      <c r="Q16" s="809"/>
      <c r="R16" s="808" t="s">
        <v>35</v>
      </c>
      <c r="S16" s="809"/>
      <c r="T16" s="808" t="s">
        <v>99</v>
      </c>
      <c r="U16" s="809"/>
      <c r="W16" s="281"/>
      <c r="X16" s="1014" t="str">
        <f>J18</f>
      </c>
      <c r="Y16" s="1014" t="str">
        <f>J24</f>
      </c>
      <c r="Z16" s="1014" t="str">
        <f>J30</f>
      </c>
      <c r="AA16" s="1014" t="str">
        <f>J36</f>
      </c>
      <c r="AB16" s="1014" t="str">
        <f>J42</f>
      </c>
      <c r="AC16" s="1014" t="str">
        <f>J48</f>
      </c>
      <c r="AD16" s="1014" t="str">
        <f>J54</f>
      </c>
      <c r="AE16" s="1014" t="str">
        <f>J60</f>
      </c>
      <c r="AF16" s="1014" t="str">
        <f>J66</f>
      </c>
      <c r="AG16" s="281"/>
      <c r="AH16" s="281"/>
      <c r="AI16" s="281"/>
      <c r="AJ16" s="281"/>
      <c r="AK16" s="281"/>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34"/>
      <c r="CR16" s="34"/>
      <c r="CS16" s="34"/>
      <c r="CT16" s="34"/>
      <c r="CU16" s="34"/>
      <c r="CV16" s="34"/>
      <c r="CW16" s="34"/>
      <c r="CX16" s="34"/>
      <c r="CY16" s="34"/>
      <c r="CZ16" s="34"/>
      <c r="DA16" s="34"/>
      <c r="DB16" s="34"/>
      <c r="DC16" s="34"/>
      <c r="DD16" s="34"/>
      <c r="DE16" s="34"/>
      <c r="DF16" s="34"/>
      <c r="DG16" s="34"/>
      <c r="DH16" s="34"/>
      <c r="DI16" s="34"/>
      <c r="DJ16" s="34"/>
      <c r="DK16" s="34"/>
      <c r="DL16" s="34"/>
      <c r="DM16" s="34"/>
      <c r="DN16" s="34"/>
      <c r="DO16" s="34"/>
      <c r="DP16" s="34"/>
      <c r="DQ16" s="34"/>
      <c r="DR16" s="34"/>
      <c r="DS16" s="34"/>
      <c r="DT16" s="34"/>
      <c r="DU16" s="34"/>
      <c r="DV16" s="34"/>
      <c r="DW16" s="34"/>
      <c r="DX16" s="34"/>
      <c r="DY16" s="34"/>
      <c r="DZ16" s="34"/>
      <c r="EA16" s="34"/>
      <c r="EB16" s="34"/>
      <c r="EC16" s="34"/>
      <c r="ED16" s="34"/>
      <c r="EE16" s="34"/>
      <c r="EF16" s="34"/>
      <c r="EG16" s="34"/>
      <c r="EH16" s="34"/>
      <c r="EI16" s="34"/>
    </row>
    <row r="17" s="2" customFormat="1" ht="15.95" customHeight="1">
      <c r="B17" s="611" t="s">
        <v>39</v>
      </c>
      <c r="C17" s="611" t="s">
        <v>41</v>
      </c>
      <c r="D17" s="298"/>
      <c r="E17" s="298" t="s">
        <v>24</v>
      </c>
      <c r="F17" s="299"/>
      <c r="G17" s="298" t="s">
        <v>24</v>
      </c>
      <c r="H17" s="299"/>
      <c r="I17" s="298" t="s">
        <v>24</v>
      </c>
      <c r="J17" s="299"/>
      <c r="K17" s="298" t="s">
        <v>24</v>
      </c>
      <c r="L17" s="299"/>
      <c r="M17" s="298" t="s">
        <v>24</v>
      </c>
      <c r="N17" s="299"/>
      <c r="O17" s="298" t="s">
        <v>24</v>
      </c>
      <c r="P17" s="299"/>
      <c r="Q17" s="298" t="s">
        <v>24</v>
      </c>
      <c r="R17" s="299"/>
      <c r="S17" s="298" t="s">
        <v>24</v>
      </c>
      <c r="T17" s="299"/>
      <c r="U17" s="298" t="s">
        <v>24</v>
      </c>
      <c r="W17" s="281"/>
      <c r="X17" s="1014" t="str">
        <f>L18</f>
      </c>
      <c r="Y17" s="1014" t="str">
        <f>L24</f>
      </c>
      <c r="Z17" s="1014" t="str">
        <f>L30</f>
      </c>
      <c r="AA17" s="1014" t="str">
        <f>L36</f>
      </c>
      <c r="AB17" s="1014" t="str">
        <f>L42</f>
      </c>
      <c r="AC17" s="1014" t="str">
        <f>L48</f>
      </c>
      <c r="AD17" s="1014" t="str">
        <f>L54</f>
      </c>
      <c r="AE17" s="1014" t="str">
        <f>L60</f>
      </c>
      <c r="AF17" s="1014" t="str">
        <f>L66</f>
      </c>
      <c r="AG17" s="281"/>
      <c r="AH17" s="281"/>
      <c r="AI17" s="281"/>
      <c r="AJ17" s="281"/>
      <c r="AK17" s="281"/>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34"/>
      <c r="CR17" s="34"/>
      <c r="CS17" s="34"/>
      <c r="CT17" s="34"/>
      <c r="CU17" s="34"/>
      <c r="CV17" s="34"/>
      <c r="CW17" s="34"/>
      <c r="CX17" s="34"/>
      <c r="CY17" s="34"/>
      <c r="CZ17" s="34"/>
      <c r="DA17" s="34"/>
      <c r="DB17" s="34"/>
      <c r="DC17" s="34"/>
      <c r="DD17" s="34"/>
      <c r="DE17" s="34"/>
      <c r="DF17" s="34"/>
      <c r="DG17" s="34"/>
      <c r="DH17" s="34"/>
      <c r="DI17" s="34"/>
      <c r="DJ17" s="34"/>
      <c r="DK17" s="34"/>
      <c r="DL17" s="34"/>
      <c r="DM17" s="34"/>
      <c r="DN17" s="34"/>
      <c r="DO17" s="34"/>
      <c r="DP17" s="34"/>
      <c r="DQ17" s="34"/>
      <c r="DR17" s="34"/>
      <c r="DS17" s="34"/>
      <c r="DT17" s="34"/>
      <c r="DU17" s="34"/>
      <c r="DV17" s="34"/>
      <c r="DW17" s="34"/>
      <c r="DX17" s="34"/>
      <c r="DY17" s="34"/>
      <c r="DZ17" s="34"/>
      <c r="EA17" s="34"/>
      <c r="EB17" s="34"/>
      <c r="EC17" s="34"/>
      <c r="ED17" s="34"/>
      <c r="EE17" s="34"/>
      <c r="EF17" s="34"/>
      <c r="EG17" s="34"/>
      <c r="EH17" s="34"/>
      <c r="EI17" s="34"/>
    </row>
    <row r="18" s="2" customFormat="1" ht="15.95" customHeight="1">
      <c r="B18" s="300" t="s">
        <v>43</v>
      </c>
      <c r="C18" s="303" t="s">
        <v>42</v>
      </c>
      <c r="D18" s="307">
        <v>25.00</v>
      </c>
      <c r="E18" s="308">
        <v>18.020304568665708985029406670</v>
      </c>
      <c r="F18" s="308">
        <v>37.955801104972375690607734810</v>
      </c>
      <c r="G18" s="308">
        <v>14.563646470111603908168559060</v>
      </c>
      <c r="H18" s="308">
        <v>65.866084424988452631422861390</v>
      </c>
      <c r="I18" s="309">
        <v>3.0172381945130171762530152600</v>
      </c>
      <c r="J18" s="317">
        <v>94.81054601631304615753301545</v>
      </c>
      <c r="K18" s="308">
        <v>-11.864867972666941003974682350</v>
      </c>
      <c r="L18" s="318">
        <v>126.00388703973112774760962374</v>
      </c>
      <c r="M18" s="308">
        <v>-2.4044084242746671681074826600</v>
      </c>
      <c r="N18" s="308">
        <v>75.244143846483974776491520030</v>
      </c>
      <c r="O18" s="309">
        <v>-9.693531639785951235831223050</v>
      </c>
      <c r="P18" s="317">
        <v>23.702636504078261539383253862</v>
      </c>
      <c r="Q18" s="308">
        <v>4.0173512506863012502591085700</v>
      </c>
      <c r="R18" s="318">
        <v>47.825784749334411471054039506</v>
      </c>
      <c r="S18" s="308">
        <v>11.809068503368366892482108810</v>
      </c>
      <c r="T18" s="308">
        <v>49.560371310844374882022535940</v>
      </c>
      <c r="U18" s="309">
        <v>-6.9687703842323563218147630700</v>
      </c>
      <c r="W18" s="281"/>
      <c r="X18" s="1014"/>
      <c r="Y18" s="1014"/>
      <c r="Z18" s="1014"/>
      <c r="AA18" s="1014"/>
      <c r="AB18" s="1014"/>
      <c r="AC18" s="1014"/>
      <c r="AD18" s="1014"/>
      <c r="AE18" s="1014"/>
      <c r="AF18" s="1014"/>
      <c r="AG18" s="281"/>
      <c r="AH18" s="281"/>
      <c r="AI18" s="281"/>
      <c r="AJ18" s="281"/>
      <c r="AK18" s="281"/>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c r="CT18" s="34"/>
      <c r="CU18" s="34"/>
      <c r="CV18" s="34"/>
      <c r="CW18" s="34"/>
      <c r="CX18" s="34"/>
      <c r="CY18" s="34"/>
      <c r="CZ18" s="34"/>
      <c r="DA18" s="34"/>
      <c r="DB18" s="34"/>
      <c r="DC18" s="34"/>
      <c r="DD18" s="34"/>
      <c r="DE18" s="34"/>
      <c r="DF18" s="34"/>
      <c r="DG18" s="34"/>
      <c r="DH18" s="34"/>
      <c r="DI18" s="34"/>
      <c r="DJ18" s="34"/>
      <c r="DK18" s="34"/>
      <c r="DL18" s="34"/>
      <c r="DM18" s="34"/>
      <c r="DN18" s="34"/>
      <c r="DO18" s="34"/>
      <c r="DP18" s="34"/>
      <c r="DQ18" s="34"/>
      <c r="DR18" s="34"/>
      <c r="DS18" s="34"/>
      <c r="DT18" s="34"/>
      <c r="DU18" s="34"/>
      <c r="DV18" s="34"/>
      <c r="DW18" s="34"/>
      <c r="DX18" s="34"/>
      <c r="DY18" s="34"/>
      <c r="DZ18" s="34"/>
      <c r="EA18" s="34"/>
      <c r="EB18" s="34"/>
      <c r="EC18" s="34"/>
      <c r="ED18" s="34"/>
      <c r="EE18" s="34"/>
      <c r="EF18" s="34"/>
      <c r="EG18" s="34"/>
      <c r="EH18" s="34"/>
      <c r="EI18" s="34"/>
    </row>
    <row r="19" s="2" customFormat="1" ht="15.95" customHeight="1">
      <c r="B19" s="301"/>
      <c r="C19" s="304" t="s">
        <v>58</v>
      </c>
      <c r="D19" s="310">
        <v>20.910444586258242927036800680</v>
      </c>
      <c r="E19" s="134">
        <v>-1.7270067843266510921965390300</v>
      </c>
      <c r="F19" s="134">
        <v>31.286301175803938234877461400</v>
      </c>
      <c r="G19" s="134">
        <v>-9.208634422249406212469484370</v>
      </c>
      <c r="H19" s="134">
        <v>66.835783714926654819934582570</v>
      </c>
      <c r="I19" s="311">
        <v>8.240461623715165647052479740</v>
      </c>
      <c r="J19" s="319">
        <v>102.29673882103687521874571915</v>
      </c>
      <c r="K19" s="134">
        <v>-4.0610020248935502360747637100</v>
      </c>
      <c r="L19" s="135">
        <v>125.05488151240919953746337911</v>
      </c>
      <c r="M19" s="134">
        <v>-2.8089804132886561935011922600</v>
      </c>
      <c r="N19" s="134">
        <v>81.80147594709726881097852851</v>
      </c>
      <c r="O19" s="311">
        <v>-1.2882070965871378081170682200</v>
      </c>
      <c r="P19" s="319">
        <v>21.390702884722239595836426701</v>
      </c>
      <c r="Q19" s="134">
        <v>-5.7178750285324721666696704700</v>
      </c>
      <c r="R19" s="135">
        <v>39.125046865017101172756463065</v>
      </c>
      <c r="S19" s="134">
        <v>-11.758946098415114969740084700</v>
      </c>
      <c r="T19" s="134">
        <v>54.672657539632673858105618150</v>
      </c>
      <c r="U19" s="311">
        <v>6.8461003158628692695458733100</v>
      </c>
      <c r="W19" s="281"/>
      <c r="X19" s="281"/>
      <c r="Y19" s="281"/>
      <c r="Z19" s="281"/>
      <c r="AA19" s="281"/>
      <c r="AB19" s="281"/>
      <c r="AC19" s="281"/>
      <c r="AD19" s="281"/>
      <c r="AE19" s="281"/>
      <c r="AF19" s="281"/>
      <c r="AG19" s="281"/>
      <c r="AH19" s="281"/>
      <c r="AI19" s="281"/>
      <c r="AJ19" s="281"/>
      <c r="AK19" s="281"/>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c r="CK19" s="34"/>
      <c r="CL19" s="34"/>
      <c r="CM19" s="34"/>
      <c r="CN19" s="34"/>
      <c r="CO19" s="34"/>
      <c r="CP19" s="34"/>
      <c r="CQ19" s="34"/>
      <c r="CR19" s="34"/>
      <c r="CS19" s="34"/>
      <c r="CT19" s="34"/>
      <c r="CU19" s="34"/>
      <c r="CV19" s="34"/>
      <c r="CW19" s="34"/>
      <c r="CX19" s="34"/>
      <c r="CY19" s="34"/>
      <c r="CZ19" s="34"/>
      <c r="DA19" s="34"/>
      <c r="DB19" s="34"/>
      <c r="DC19" s="34"/>
      <c r="DD19" s="34"/>
      <c r="DE19" s="34"/>
      <c r="DF19" s="34"/>
      <c r="DG19" s="34"/>
      <c r="DH19" s="34"/>
      <c r="DI19" s="34"/>
      <c r="DJ19" s="34"/>
      <c r="DK19" s="34"/>
      <c r="DL19" s="34"/>
      <c r="DM19" s="34"/>
      <c r="DN19" s="34"/>
      <c r="DO19" s="34"/>
      <c r="DP19" s="34"/>
      <c r="DQ19" s="34"/>
      <c r="DR19" s="34"/>
      <c r="DS19" s="34"/>
      <c r="DT19" s="34"/>
      <c r="DU19" s="34"/>
      <c r="DV19" s="34"/>
      <c r="DW19" s="34"/>
      <c r="DX19" s="34"/>
      <c r="DY19" s="34"/>
      <c r="DZ19" s="34"/>
      <c r="EA19" s="34"/>
      <c r="EB19" s="34"/>
      <c r="EC19" s="34"/>
      <c r="ED19" s="34"/>
      <c r="EE19" s="34"/>
      <c r="EF19" s="34"/>
      <c r="EG19" s="34"/>
      <c r="EH19" s="34"/>
      <c r="EI19" s="34"/>
    </row>
    <row r="20" s="2" customFormat="1" ht="15.95" customHeight="1">
      <c r="B20" s="301"/>
      <c r="C20" s="305" t="s">
        <v>44</v>
      </c>
      <c r="D20" s="312">
        <v>25.00</v>
      </c>
      <c r="E20" s="159">
        <v>16.924564796784000838044339990</v>
      </c>
      <c r="F20" s="159">
        <v>34.438305709023941068139963170</v>
      </c>
      <c r="G20" s="159">
        <v>4.8522751778461163451249533700</v>
      </c>
      <c r="H20" s="159">
        <v>72.593582887751000886499506040</v>
      </c>
      <c r="I20" s="313">
        <v>11.513617228238109519437787950</v>
      </c>
      <c r="J20" s="320">
        <v>101.90431382321588211246643588</v>
      </c>
      <c r="K20" s="159">
        <v>-3.5665888781831825301802822300</v>
      </c>
      <c r="L20" s="160">
        <v>124.55418848521441696118333637</v>
      </c>
      <c r="M20" s="159">
        <v>-4.3912692174130805932233828100</v>
      </c>
      <c r="N20" s="159">
        <v>81.81524448318696106793558863</v>
      </c>
      <c r="O20" s="313">
        <v>0.8625575640890369338862860700</v>
      </c>
      <c r="P20" s="320">
        <v>25.47607845580397052811660897</v>
      </c>
      <c r="Q20" s="159">
        <v>12.754346273085934190827895680</v>
      </c>
      <c r="R20" s="160">
        <v>42.894352203932036780370688585</v>
      </c>
      <c r="S20" s="159">
        <v>0.247929494246035510962091800</v>
      </c>
      <c r="T20" s="159">
        <v>59.392617318714649927005396350</v>
      </c>
      <c r="U20" s="313">
        <v>12.475486368625589237140505490</v>
      </c>
      <c r="W20" s="281"/>
      <c r="X20" s="281"/>
      <c r="Y20" s="281"/>
      <c r="Z20" s="281"/>
      <c r="AA20" s="281"/>
      <c r="AB20" s="281"/>
      <c r="AC20" s="281"/>
      <c r="AD20" s="281"/>
      <c r="AE20" s="281"/>
      <c r="AF20" s="281"/>
      <c r="AG20" s="281"/>
      <c r="AH20" s="281"/>
      <c r="AI20" s="281"/>
      <c r="AJ20" s="281"/>
      <c r="AK20" s="281"/>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c r="CK20" s="34"/>
      <c r="CL20" s="34"/>
      <c r="CM20" s="34"/>
      <c r="CN20" s="34"/>
      <c r="CO20" s="34"/>
      <c r="CP20" s="34"/>
      <c r="CQ20" s="34"/>
      <c r="CR20" s="34"/>
      <c r="CS20" s="34"/>
      <c r="CT20" s="34"/>
      <c r="CU20" s="34"/>
      <c r="CV20" s="34"/>
      <c r="CW20" s="34"/>
      <c r="CX20" s="34"/>
      <c r="CY20" s="34"/>
      <c r="CZ20" s="34"/>
      <c r="DA20" s="34"/>
      <c r="DB20" s="34"/>
      <c r="DC20" s="34"/>
      <c r="DD20" s="34"/>
      <c r="DE20" s="34"/>
      <c r="DF20" s="34"/>
      <c r="DG20" s="34"/>
      <c r="DH20" s="34"/>
      <c r="DI20" s="34"/>
      <c r="DJ20" s="34"/>
      <c r="DK20" s="34"/>
      <c r="DL20" s="34"/>
      <c r="DM20" s="34"/>
      <c r="DN20" s="34"/>
      <c r="DO20" s="34"/>
      <c r="DP20" s="34"/>
      <c r="DQ20" s="34"/>
      <c r="DR20" s="34"/>
      <c r="DS20" s="34"/>
      <c r="DT20" s="34"/>
      <c r="DU20" s="34"/>
      <c r="DV20" s="34"/>
      <c r="DW20" s="34"/>
      <c r="DX20" s="34"/>
      <c r="DY20" s="34"/>
      <c r="DZ20" s="34"/>
      <c r="EA20" s="34"/>
      <c r="EB20" s="34"/>
      <c r="EC20" s="34"/>
      <c r="ED20" s="34"/>
      <c r="EE20" s="34"/>
      <c r="EF20" s="34"/>
      <c r="EG20" s="34"/>
      <c r="EH20" s="34"/>
      <c r="EI20" s="34"/>
    </row>
    <row r="21" s="2" customFormat="1" ht="15.95" customHeight="1">
      <c r="B21" s="302"/>
      <c r="C21" s="306" t="s">
        <v>45</v>
      </c>
      <c r="D21" s="314">
        <v>23.152503397094177903208947420</v>
      </c>
      <c r="E21" s="315">
        <v>-13.677239603306646742320195180</v>
      </c>
      <c r="F21" s="315">
        <v>30.372574018982858761864286730</v>
      </c>
      <c r="G21" s="315">
        <v>-8.328191239619981473385456500</v>
      </c>
      <c r="H21" s="315">
        <v>76.228321585818827215313954780</v>
      </c>
      <c r="I21" s="316">
        <v>-5.8349981702842835866372745100</v>
      </c>
      <c r="J21" s="321">
        <v>102.89593538536394735484432383</v>
      </c>
      <c r="K21" s="315">
        <v>-1.1290416334318014419086496400</v>
      </c>
      <c r="L21" s="322">
        <v>126.34239241660080828020839075</v>
      </c>
      <c r="M21" s="315">
        <v>-0.7842257992037740152546670300</v>
      </c>
      <c r="N21" s="315">
        <v>81.44212992744037494329513867</v>
      </c>
      <c r="O21" s="316">
        <v>-0.3475413431396628218693253800</v>
      </c>
      <c r="P21" s="321">
        <v>23.822984935568218186576792859</v>
      </c>
      <c r="Q21" s="315">
        <v>-14.651859507400883549291352590</v>
      </c>
      <c r="R21" s="322">
        <v>38.373436654085866688308087514</v>
      </c>
      <c r="S21" s="315">
        <v>-9.047105214493314639237164360</v>
      </c>
      <c r="T21" s="315">
        <v>62.081968707441420859999242740</v>
      </c>
      <c r="U21" s="316">
        <v>-6.1622604824516682574246521700</v>
      </c>
      <c r="W21" s="281"/>
      <c r="X21" s="281"/>
      <c r="Y21" s="281"/>
      <c r="Z21" s="281"/>
      <c r="AA21" s="281"/>
      <c r="AB21" s="281"/>
      <c r="AC21" s="281"/>
      <c r="AD21" s="281"/>
      <c r="AE21" s="281"/>
      <c r="AF21" s="281"/>
      <c r="AG21" s="281"/>
      <c r="AH21" s="281"/>
      <c r="AI21" s="281"/>
      <c r="AJ21" s="281"/>
      <c r="AK21" s="281"/>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c r="CK21" s="34"/>
      <c r="CL21" s="34"/>
      <c r="CM21" s="34"/>
      <c r="CN21" s="34"/>
      <c r="CO21" s="34"/>
      <c r="CP21" s="34"/>
      <c r="CQ21" s="34"/>
      <c r="CR21" s="34"/>
      <c r="CS21" s="34"/>
      <c r="CT21" s="34"/>
      <c r="CU21" s="34"/>
      <c r="CV21" s="34"/>
      <c r="CW21" s="34"/>
      <c r="CX21" s="34"/>
      <c r="CY21" s="34"/>
      <c r="CZ21" s="34"/>
      <c r="DA21" s="34"/>
      <c r="DB21" s="34"/>
      <c r="DC21" s="34"/>
      <c r="DD21" s="34"/>
      <c r="DE21" s="34"/>
      <c r="DF21" s="34"/>
      <c r="DG21" s="34"/>
      <c r="DH21" s="34"/>
      <c r="DI21" s="34"/>
      <c r="DJ21" s="34"/>
      <c r="DK21" s="34"/>
      <c r="DL21" s="34"/>
      <c r="DM21" s="34"/>
      <c r="DN21" s="34"/>
      <c r="DO21" s="34"/>
      <c r="DP21" s="34"/>
      <c r="DQ21" s="34"/>
      <c r="DR21" s="34"/>
      <c r="DS21" s="34"/>
      <c r="DT21" s="34"/>
      <c r="DU21" s="34"/>
      <c r="DV21" s="34"/>
      <c r="DW21" s="34"/>
      <c r="DX21" s="34"/>
      <c r="DY21" s="34"/>
      <c r="DZ21" s="34"/>
      <c r="EA21" s="34"/>
      <c r="EB21" s="34"/>
      <c r="EC21" s="34"/>
      <c r="ED21" s="34"/>
      <c r="EE21" s="34"/>
      <c r="EF21" s="34"/>
      <c r="EG21" s="34"/>
      <c r="EH21" s="34"/>
      <c r="EI21" s="34"/>
    </row>
    <row r="22" s="2" customFormat="1" ht="5.1" customHeight="1">
      <c r="B22" s="297"/>
      <c r="C22" s="297"/>
      <c r="D22" s="159"/>
      <c r="E22" s="159"/>
      <c r="F22" s="159"/>
      <c r="G22" s="159"/>
      <c r="H22" s="159"/>
      <c r="I22" s="159"/>
      <c r="J22" s="160"/>
      <c r="K22" s="159"/>
      <c r="L22" s="160"/>
      <c r="M22" s="159"/>
      <c r="N22" s="159"/>
      <c r="O22" s="159"/>
      <c r="P22" s="160"/>
      <c r="Q22" s="159"/>
      <c r="R22" s="160"/>
      <c r="S22" s="159"/>
      <c r="T22" s="159"/>
      <c r="U22" s="159"/>
      <c r="W22" s="281"/>
      <c r="X22" s="281"/>
      <c r="Y22" s="281"/>
      <c r="Z22" s="281"/>
      <c r="AA22" s="281"/>
      <c r="AB22" s="281"/>
      <c r="AC22" s="281"/>
      <c r="AD22" s="281"/>
      <c r="AE22" s="281"/>
      <c r="AF22" s="281"/>
      <c r="AG22" s="281"/>
      <c r="AH22" s="281"/>
      <c r="AI22" s="281"/>
      <c r="AJ22" s="281"/>
      <c r="AK22" s="281"/>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c r="CK22" s="34"/>
      <c r="CL22" s="34"/>
      <c r="CM22" s="34"/>
      <c r="CN22" s="34"/>
      <c r="CO22" s="34"/>
      <c r="CP22" s="34"/>
      <c r="CQ22" s="34"/>
      <c r="CR22" s="34"/>
      <c r="CS22" s="34"/>
      <c r="CT22" s="34"/>
      <c r="CU22" s="34"/>
      <c r="CV22" s="34"/>
      <c r="CW22" s="34"/>
      <c r="CX22" s="34"/>
      <c r="CY22" s="34"/>
      <c r="CZ22" s="34"/>
      <c r="DA22" s="34"/>
      <c r="DB22" s="34"/>
      <c r="DC22" s="34"/>
      <c r="DD22" s="34"/>
      <c r="DE22" s="34"/>
      <c r="DF22" s="34"/>
      <c r="DG22" s="34"/>
      <c r="DH22" s="34"/>
      <c r="DI22" s="34"/>
      <c r="DJ22" s="34"/>
      <c r="DK22" s="34"/>
      <c r="DL22" s="34"/>
      <c r="DM22" s="34"/>
      <c r="DN22" s="34"/>
      <c r="DO22" s="34"/>
      <c r="DP22" s="34"/>
      <c r="DQ22" s="34"/>
      <c r="DR22" s="34"/>
      <c r="DS22" s="34"/>
      <c r="DT22" s="34"/>
      <c r="DU22" s="34"/>
      <c r="DV22" s="34"/>
      <c r="DW22" s="34"/>
      <c r="DX22" s="34"/>
      <c r="DY22" s="34"/>
      <c r="DZ22" s="34"/>
      <c r="EA22" s="34"/>
      <c r="EB22" s="34"/>
      <c r="EC22" s="34"/>
      <c r="ED22" s="34"/>
      <c r="EE22" s="34"/>
      <c r="EF22" s="34"/>
      <c r="EG22" s="34"/>
      <c r="EH22" s="34"/>
      <c r="EI22" s="34"/>
    </row>
    <row r="23" s="9" customFormat="1" ht="5.1" customHeight="1">
      <c r="B23" s="297"/>
      <c r="C23" s="297"/>
      <c r="D23" s="159"/>
      <c r="E23" s="159"/>
      <c r="F23" s="159"/>
      <c r="G23" s="159"/>
      <c r="H23" s="159"/>
      <c r="I23" s="159"/>
      <c r="J23" s="160"/>
      <c r="K23" s="159"/>
      <c r="L23" s="160"/>
      <c r="M23" s="159"/>
      <c r="N23" s="159"/>
      <c r="O23" s="159"/>
      <c r="P23" s="160"/>
      <c r="Q23" s="159"/>
      <c r="R23" s="160"/>
      <c r="S23" s="159"/>
      <c r="T23" s="159"/>
      <c r="U23" s="159"/>
      <c r="W23" s="281"/>
      <c r="X23" s="281"/>
      <c r="Y23" s="281"/>
      <c r="Z23" s="281"/>
      <c r="AA23" s="281"/>
      <c r="AB23" s="281"/>
      <c r="AC23" s="281"/>
      <c r="AD23" s="281"/>
      <c r="AE23" s="281"/>
      <c r="AF23" s="281"/>
      <c r="AG23" s="281"/>
      <c r="AH23" s="281"/>
      <c r="AI23" s="281"/>
      <c r="AJ23" s="281"/>
      <c r="AK23" s="281"/>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c r="BU23" s="54"/>
      <c r="BV23" s="54"/>
      <c r="BW23" s="54"/>
      <c r="BX23" s="54"/>
      <c r="BY23" s="54"/>
      <c r="BZ23" s="54"/>
      <c r="CA23" s="54"/>
      <c r="CB23" s="54"/>
      <c r="CC23" s="54"/>
      <c r="CD23" s="54"/>
      <c r="CE23" s="54"/>
      <c r="CF23" s="54"/>
      <c r="CG23" s="54"/>
      <c r="CH23" s="54"/>
      <c r="CI23" s="54"/>
      <c r="CJ23" s="54"/>
      <c r="CK23" s="54"/>
      <c r="CL23" s="54"/>
      <c r="CM23" s="54"/>
      <c r="CN23" s="54"/>
      <c r="CO23" s="54"/>
      <c r="CP23" s="54"/>
      <c r="CQ23" s="54"/>
      <c r="CR23" s="54"/>
      <c r="CS23" s="54"/>
      <c r="CT23" s="54"/>
      <c r="CU23" s="54"/>
      <c r="CV23" s="54"/>
      <c r="CW23" s="54"/>
      <c r="CX23" s="54"/>
      <c r="CY23" s="54"/>
      <c r="CZ23" s="54"/>
      <c r="DA23" s="54"/>
      <c r="DB23" s="54"/>
      <c r="DC23" s="54"/>
      <c r="DD23" s="54"/>
      <c r="DE23" s="54"/>
      <c r="DF23" s="54"/>
      <c r="DG23" s="54"/>
      <c r="DH23" s="54"/>
      <c r="DI23" s="54"/>
      <c r="DJ23" s="54"/>
      <c r="DK23" s="54"/>
      <c r="DL23" s="54"/>
      <c r="DM23" s="54"/>
      <c r="DN23" s="54"/>
      <c r="DO23" s="54"/>
      <c r="DP23" s="54"/>
      <c r="DQ23" s="54"/>
      <c r="DR23" s="54"/>
      <c r="DS23" s="54"/>
      <c r="DT23" s="54"/>
      <c r="DU23" s="54"/>
      <c r="DV23" s="54"/>
      <c r="DW23" s="54"/>
      <c r="DX23" s="54"/>
      <c r="DY23" s="54"/>
      <c r="DZ23" s="54"/>
      <c r="EA23" s="54"/>
      <c r="EB23" s="54"/>
      <c r="EC23" s="54"/>
      <c r="ED23" s="54"/>
      <c r="EE23" s="54"/>
      <c r="EF23" s="54"/>
      <c r="EG23" s="54"/>
      <c r="EH23" s="54"/>
      <c r="EI23" s="54"/>
    </row>
    <row r="24" s="2" customFormat="1" ht="15.95" customHeight="1">
      <c r="B24" s="323" t="s">
        <v>46</v>
      </c>
      <c r="C24" s="303" t="s">
        <v>42</v>
      </c>
      <c r="D24" s="307">
        <v>35.00</v>
      </c>
      <c r="E24" s="308">
        <v>21.116279069623228988642681180</v>
      </c>
      <c r="F24" s="308">
        <v>50.423572744014732965009208100</v>
      </c>
      <c r="G24" s="308">
        <v>4.1559676653364142658779904800</v>
      </c>
      <c r="H24" s="308">
        <v>69.411979547134963324922464560</v>
      </c>
      <c r="I24" s="309">
        <v>16.283571440694487778181087450</v>
      </c>
      <c r="J24" s="317">
        <v>99.459815252490301061411735</v>
      </c>
      <c r="K24" s="308">
        <v>1.498805042208208477294935600</v>
      </c>
      <c r="L24" s="318">
        <v>136.88949158084720632050176332</v>
      </c>
      <c r="M24" s="308">
        <v>-3.9014562808460746347913723500</v>
      </c>
      <c r="N24" s="308">
        <v>72.657012677838338538731702030</v>
      </c>
      <c r="O24" s="309">
        <v>5.6195038073248266292465742500</v>
      </c>
      <c r="P24" s="317">
        <v>34.810935338371605371494107251</v>
      </c>
      <c r="Q24" s="308">
        <v>22.931575967342898678166375100</v>
      </c>
      <c r="R24" s="318">
        <v>69.024572366180414531405861505</v>
      </c>
      <c r="S24" s="308">
        <v>0.092368122854334189599310400</v>
      </c>
      <c r="T24" s="308">
        <v>50.432670779453967461230586710</v>
      </c>
      <c r="U24" s="309">
        <v>22.818131164984773432298300350</v>
      </c>
      <c r="W24" s="281"/>
      <c r="X24" s="281"/>
      <c r="Y24" s="281"/>
      <c r="Z24" s="281"/>
      <c r="AA24" s="281"/>
      <c r="AB24" s="281"/>
      <c r="AC24" s="281"/>
      <c r="AD24" s="281"/>
      <c r="AE24" s="281"/>
      <c r="AF24" s="281"/>
      <c r="AG24" s="281"/>
      <c r="AH24" s="281"/>
      <c r="AI24" s="281"/>
      <c r="AJ24" s="281"/>
      <c r="AK24" s="281"/>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34"/>
      <c r="DC24" s="34"/>
      <c r="DD24" s="34"/>
      <c r="DE24" s="34"/>
      <c r="DF24" s="34"/>
      <c r="DG24" s="34"/>
      <c r="DH24" s="34"/>
      <c r="DI24" s="34"/>
      <c r="DJ24" s="34"/>
      <c r="DK24" s="34"/>
      <c r="DL24" s="34"/>
      <c r="DM24" s="34"/>
      <c r="DN24" s="34"/>
      <c r="DO24" s="34"/>
      <c r="DP24" s="34"/>
      <c r="DQ24" s="34"/>
      <c r="DR24" s="34"/>
      <c r="DS24" s="34"/>
      <c r="DT24" s="34"/>
      <c r="DU24" s="34"/>
      <c r="DV24" s="34"/>
      <c r="DW24" s="34"/>
      <c r="DX24" s="34"/>
      <c r="DY24" s="34"/>
      <c r="DZ24" s="34"/>
      <c r="EA24" s="34"/>
      <c r="EB24" s="34"/>
      <c r="EC24" s="34"/>
      <c r="ED24" s="34"/>
      <c r="EE24" s="34"/>
      <c r="EF24" s="34"/>
      <c r="EG24" s="34"/>
      <c r="EH24" s="34"/>
      <c r="EI24" s="34"/>
    </row>
    <row r="25" s="2" customFormat="1" ht="15.95" customHeight="1">
      <c r="B25" s="324"/>
      <c r="C25" s="304" t="s">
        <v>58</v>
      </c>
      <c r="D25" s="310">
        <v>26.113608500204331834899877400</v>
      </c>
      <c r="E25" s="134">
        <v>-21.464296824025239223919558600</v>
      </c>
      <c r="F25" s="134">
        <v>47.311942201444963875903102420</v>
      </c>
      <c r="G25" s="134">
        <v>-5.524112572652938162680971300</v>
      </c>
      <c r="H25" s="134">
        <v>55.194539232911914331936072160</v>
      </c>
      <c r="I25" s="311">
        <v>-16.872224951077903168055884730</v>
      </c>
      <c r="J25" s="319">
        <v>108.16715148269762952919950294</v>
      </c>
      <c r="K25" s="134">
        <v>-1.3314204700810257928191056400</v>
      </c>
      <c r="L25" s="135">
        <v>139.01942410465116644610392725</v>
      </c>
      <c r="M25" s="134">
        <v>-1.713807514031324163716338800</v>
      </c>
      <c r="N25" s="134">
        <v>77.807221673737814103442128760</v>
      </c>
      <c r="O25" s="311">
        <v>0.3890546924499657882564538200</v>
      </c>
      <c r="P25" s="319">
        <v>28.246346464014624139419077393</v>
      </c>
      <c r="Q25" s="134">
        <v>-22.509937252446421876301229260</v>
      </c>
      <c r="R25" s="135">
        <v>65.772789581174207839407223548</v>
      </c>
      <c r="S25" s="134">
        <v>-7.1432474302027539391872824400</v>
      </c>
      <c r="T25" s="134">
        <v>42.945337492707390942177807360</v>
      </c>
      <c r="U25" s="311">
        <v>-16.548812441711633693580582760</v>
      </c>
      <c r="W25" s="281"/>
      <c r="X25" s="281"/>
      <c r="Y25" s="281"/>
      <c r="Z25" s="281"/>
      <c r="AA25" s="281"/>
      <c r="AB25" s="281"/>
      <c r="AC25" s="281"/>
      <c r="AD25" s="281"/>
      <c r="AE25" s="281"/>
      <c r="AF25" s="281"/>
      <c r="AG25" s="281"/>
      <c r="AH25" s="281"/>
      <c r="AI25" s="281"/>
      <c r="AJ25" s="281"/>
      <c r="AK25" s="281"/>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c r="CV25" s="34"/>
      <c r="CW25" s="34"/>
      <c r="CX25" s="34"/>
      <c r="CY25" s="34"/>
      <c r="CZ25" s="34"/>
      <c r="DA25" s="34"/>
      <c r="DB25" s="34"/>
      <c r="DC25" s="34"/>
      <c r="DD25" s="34"/>
      <c r="DE25" s="34"/>
      <c r="DF25" s="34"/>
      <c r="DG25" s="34"/>
      <c r="DH25" s="34"/>
      <c r="DI25" s="34"/>
      <c r="DJ25" s="34"/>
      <c r="DK25" s="34"/>
      <c r="DL25" s="34"/>
      <c r="DM25" s="34"/>
      <c r="DN25" s="34"/>
      <c r="DO25" s="34"/>
      <c r="DP25" s="34"/>
      <c r="DQ25" s="34"/>
      <c r="DR25" s="34"/>
      <c r="DS25" s="34"/>
      <c r="DT25" s="34"/>
      <c r="DU25" s="34"/>
      <c r="DV25" s="34"/>
      <c r="DW25" s="34"/>
      <c r="DX25" s="34"/>
      <c r="DY25" s="34"/>
      <c r="DZ25" s="34"/>
      <c r="EA25" s="34"/>
      <c r="EB25" s="34"/>
      <c r="EC25" s="34"/>
      <c r="ED25" s="34"/>
      <c r="EE25" s="34"/>
      <c r="EF25" s="34"/>
      <c r="EG25" s="34"/>
      <c r="EH25" s="34"/>
      <c r="EI25" s="34"/>
    </row>
    <row r="26" s="2" customFormat="1" ht="15.95" customHeight="1">
      <c r="B26" s="324"/>
      <c r="C26" s="305" t="s">
        <v>44</v>
      </c>
      <c r="D26" s="312">
        <v>30.514705882352941176470588240</v>
      </c>
      <c r="E26" s="159">
        <v>5.8601991728126830073500202300</v>
      </c>
      <c r="F26" s="159">
        <v>48.377957217736223261085139540</v>
      </c>
      <c r="G26" s="159">
        <v>0.9906846074008498678641949400</v>
      </c>
      <c r="H26" s="159">
        <v>63.075639479850862715916796790</v>
      </c>
      <c r="I26" s="313">
        <v>4.821746267553377204598813200</v>
      </c>
      <c r="J26" s="320">
        <v>103.54003402053189137047381694</v>
      </c>
      <c r="K26" s="159">
        <v>-5.0728405424324863891126614100</v>
      </c>
      <c r="L26" s="160">
        <v>139.64091720337534403562211286</v>
      </c>
      <c r="M26" s="159">
        <v>-1.179348711155930609201612200</v>
      </c>
      <c r="N26" s="159">
        <v>74.147345988651871735815018910</v>
      </c>
      <c r="O26" s="313">
        <v>-3.9399576713798419039105935400</v>
      </c>
      <c r="P26" s="320">
        <v>31.594936851853481557901936786</v>
      </c>
      <c r="Q26" s="159">
        <v>0.4900800709275572727735974600</v>
      </c>
      <c r="R26" s="160">
        <v>67.555423183103385731923716589</v>
      </c>
      <c r="S26" s="159">
        <v>-0.200347729923438230305190600</v>
      </c>
      <c r="T26" s="159">
        <v>46.768912639655298309201743260</v>
      </c>
      <c r="U26" s="313">
        <v>0.6918138342332430924313808200</v>
      </c>
      <c r="W26" s="281"/>
      <c r="X26" s="281"/>
      <c r="Y26" s="281"/>
      <c r="Z26" s="281"/>
      <c r="AA26" s="281"/>
      <c r="AB26" s="281"/>
      <c r="AC26" s="281"/>
      <c r="AD26" s="281"/>
      <c r="AE26" s="281"/>
      <c r="AF26" s="281"/>
      <c r="AG26" s="281"/>
      <c r="AH26" s="281"/>
      <c r="AI26" s="281"/>
      <c r="AJ26" s="281"/>
      <c r="AK26" s="281"/>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c r="CU26" s="34"/>
      <c r="CV26" s="34"/>
      <c r="CW26" s="34"/>
      <c r="CX26" s="34"/>
      <c r="CY26" s="34"/>
      <c r="CZ26" s="34"/>
      <c r="DA26" s="34"/>
      <c r="DB26" s="34"/>
      <c r="DC26" s="34"/>
      <c r="DD26" s="34"/>
      <c r="DE26" s="34"/>
      <c r="DF26" s="34"/>
      <c r="DG26" s="34"/>
      <c r="DH26" s="34"/>
      <c r="DI26" s="34"/>
      <c r="DJ26" s="34"/>
      <c r="DK26" s="34"/>
      <c r="DL26" s="34"/>
      <c r="DM26" s="34"/>
      <c r="DN26" s="34"/>
      <c r="DO26" s="34"/>
      <c r="DP26" s="34"/>
      <c r="DQ26" s="34"/>
      <c r="DR26" s="34"/>
      <c r="DS26" s="34"/>
      <c r="DT26" s="34"/>
      <c r="DU26" s="34"/>
      <c r="DV26" s="34"/>
      <c r="DW26" s="34"/>
      <c r="DX26" s="34"/>
      <c r="DY26" s="34"/>
      <c r="DZ26" s="34"/>
      <c r="EA26" s="34"/>
      <c r="EB26" s="34"/>
      <c r="EC26" s="34"/>
      <c r="ED26" s="34"/>
      <c r="EE26" s="34"/>
      <c r="EF26" s="34"/>
      <c r="EG26" s="34"/>
      <c r="EH26" s="34"/>
      <c r="EI26" s="34"/>
    </row>
    <row r="27" s="2" customFormat="1" ht="15.95" customHeight="1">
      <c r="B27" s="325"/>
      <c r="C27" s="306" t="s">
        <v>45</v>
      </c>
      <c r="D27" s="314">
        <v>28.433541122059119243917152620</v>
      </c>
      <c r="E27" s="315">
        <v>-21.223371603304323772420009400</v>
      </c>
      <c r="F27" s="315">
        <v>44.157197956843531741895131870</v>
      </c>
      <c r="G27" s="315">
        <v>-6.0404224509372680740244384800</v>
      </c>
      <c r="H27" s="315">
        <v>64.391633612885276291044535880</v>
      </c>
      <c r="I27" s="316">
        <v>-16.159022367354286317842473700</v>
      </c>
      <c r="J27" s="321">
        <v>108.42088862199659574194424679</v>
      </c>
      <c r="K27" s="315">
        <v>2.2276587641073106597041734100</v>
      </c>
      <c r="L27" s="322">
        <v>139.96432565740058971630127817</v>
      </c>
      <c r="M27" s="315">
        <v>0.5195101019513704057826191700</v>
      </c>
      <c r="N27" s="315">
        <v>77.463230800243788166121319400</v>
      </c>
      <c r="O27" s="316">
        <v>1.6993205204248309163202002700</v>
      </c>
      <c r="P27" s="321">
        <v>30.827897951237318797327400958</v>
      </c>
      <c r="Q27" s="315">
        <v>-19.468497136937929225439478090</v>
      </c>
      <c r="R27" s="322">
        <v>61.804324349499520279188180375</v>
      </c>
      <c r="S27" s="315">
        <v>-5.5522929538491273865842045200</v>
      </c>
      <c r="T27" s="315">
        <v>49.879839761546908644645891190</v>
      </c>
      <c r="U27" s="316">
        <v>-14.734295429933212822617926410</v>
      </c>
      <c r="W27" s="281"/>
      <c r="X27" s="281"/>
      <c r="Y27" s="281"/>
      <c r="Z27" s="281"/>
      <c r="AA27" s="281"/>
      <c r="AB27" s="281"/>
      <c r="AC27" s="281"/>
      <c r="AD27" s="281"/>
      <c r="AE27" s="281"/>
      <c r="AF27" s="281"/>
      <c r="AG27" s="281"/>
      <c r="AH27" s="281"/>
      <c r="AI27" s="281"/>
      <c r="AJ27" s="281"/>
      <c r="AK27" s="281"/>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c r="CK27" s="34"/>
      <c r="CL27" s="34"/>
      <c r="CM27" s="34"/>
      <c r="CN27" s="34"/>
      <c r="CO27" s="34"/>
      <c r="CP27" s="34"/>
      <c r="CQ27" s="34"/>
      <c r="CR27" s="34"/>
      <c r="CS27" s="34"/>
      <c r="CT27" s="34"/>
      <c r="CU27" s="34"/>
      <c r="CV27" s="34"/>
      <c r="CW27" s="34"/>
      <c r="CX27" s="34"/>
      <c r="CY27" s="34"/>
      <c r="CZ27" s="34"/>
      <c r="DA27" s="34"/>
      <c r="DB27" s="34"/>
      <c r="DC27" s="34"/>
      <c r="DD27" s="34"/>
      <c r="DE27" s="34"/>
      <c r="DF27" s="34"/>
      <c r="DG27" s="34"/>
      <c r="DH27" s="34"/>
      <c r="DI27" s="34"/>
      <c r="DJ27" s="34"/>
      <c r="DK27" s="34"/>
      <c r="DL27" s="34"/>
      <c r="DM27" s="34"/>
      <c r="DN27" s="34"/>
      <c r="DO27" s="34"/>
      <c r="DP27" s="34"/>
      <c r="DQ27" s="34"/>
      <c r="DR27" s="34"/>
      <c r="DS27" s="34"/>
      <c r="DT27" s="34"/>
      <c r="DU27" s="34"/>
      <c r="DV27" s="34"/>
      <c r="DW27" s="34"/>
      <c r="DX27" s="34"/>
      <c r="DY27" s="34"/>
      <c r="DZ27" s="34"/>
      <c r="EA27" s="34"/>
      <c r="EB27" s="34"/>
      <c r="EC27" s="34"/>
      <c r="ED27" s="34"/>
      <c r="EE27" s="34"/>
      <c r="EF27" s="34"/>
      <c r="EG27" s="34"/>
      <c r="EH27" s="34"/>
      <c r="EI27" s="34"/>
    </row>
    <row r="28" s="2" customFormat="1" ht="5.1" customHeight="1">
      <c r="B28" s="54"/>
      <c r="C28" s="297"/>
      <c r="D28" s="159"/>
      <c r="E28" s="159"/>
      <c r="F28" s="159"/>
      <c r="G28" s="159"/>
      <c r="H28" s="159"/>
      <c r="I28" s="159"/>
      <c r="J28" s="160"/>
      <c r="K28" s="159"/>
      <c r="L28" s="160"/>
      <c r="M28" s="159"/>
      <c r="N28" s="159"/>
      <c r="O28" s="159"/>
      <c r="P28" s="160"/>
      <c r="Q28" s="159"/>
      <c r="R28" s="160"/>
      <c r="S28" s="159"/>
      <c r="T28" s="159"/>
      <c r="U28" s="159"/>
      <c r="W28" s="281"/>
      <c r="X28" s="281"/>
      <c r="Y28" s="281"/>
      <c r="Z28" s="281"/>
      <c r="AA28" s="281"/>
      <c r="AB28" s="281"/>
      <c r="AC28" s="281"/>
      <c r="AD28" s="281"/>
      <c r="AE28" s="281"/>
      <c r="AF28" s="281"/>
      <c r="AG28" s="281"/>
      <c r="AH28" s="281"/>
      <c r="AI28" s="281"/>
      <c r="AJ28" s="281"/>
      <c r="AK28" s="281"/>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c r="CK28" s="34"/>
      <c r="CL28" s="34"/>
      <c r="CM28" s="34"/>
      <c r="CN28" s="34"/>
      <c r="CO28" s="34"/>
      <c r="CP28" s="34"/>
      <c r="CQ28" s="34"/>
      <c r="CR28" s="34"/>
      <c r="CS28" s="34"/>
      <c r="CT28" s="34"/>
      <c r="CU28" s="34"/>
      <c r="CV28" s="34"/>
      <c r="CW28" s="34"/>
      <c r="CX28" s="34"/>
      <c r="CY28" s="34"/>
      <c r="CZ28" s="34"/>
      <c r="DA28" s="34"/>
      <c r="DB28" s="34"/>
      <c r="DC28" s="34"/>
      <c r="DD28" s="34"/>
      <c r="DE28" s="34"/>
      <c r="DF28" s="34"/>
      <c r="DG28" s="34"/>
      <c r="DH28" s="34"/>
      <c r="DI28" s="34"/>
      <c r="DJ28" s="34"/>
      <c r="DK28" s="34"/>
      <c r="DL28" s="34"/>
      <c r="DM28" s="34"/>
      <c r="DN28" s="34"/>
      <c r="DO28" s="34"/>
      <c r="DP28" s="34"/>
      <c r="DQ28" s="34"/>
      <c r="DR28" s="34"/>
      <c r="DS28" s="34"/>
      <c r="DT28" s="34"/>
      <c r="DU28" s="34"/>
      <c r="DV28" s="34"/>
      <c r="DW28" s="34"/>
      <c r="DX28" s="34"/>
      <c r="DY28" s="34"/>
      <c r="DZ28" s="34"/>
      <c r="EA28" s="34"/>
      <c r="EB28" s="34"/>
      <c r="EC28" s="34"/>
      <c r="ED28" s="34"/>
      <c r="EE28" s="34"/>
      <c r="EF28" s="34"/>
      <c r="EG28" s="34"/>
      <c r="EH28" s="34"/>
      <c r="EI28" s="34"/>
    </row>
    <row r="29" s="9" customFormat="1" ht="5.1" customHeight="1">
      <c r="B29" s="54"/>
      <c r="C29" s="297"/>
      <c r="D29" s="159"/>
      <c r="E29" s="159"/>
      <c r="F29" s="159"/>
      <c r="G29" s="159"/>
      <c r="H29" s="159"/>
      <c r="I29" s="159"/>
      <c r="J29" s="160"/>
      <c r="K29" s="159"/>
      <c r="L29" s="160"/>
      <c r="M29" s="159"/>
      <c r="N29" s="159"/>
      <c r="O29" s="159"/>
      <c r="P29" s="160"/>
      <c r="Q29" s="159"/>
      <c r="R29" s="160"/>
      <c r="S29" s="159"/>
      <c r="T29" s="159"/>
      <c r="U29" s="159"/>
      <c r="W29" s="281"/>
      <c r="X29" s="281"/>
      <c r="Y29" s="281"/>
      <c r="Z29" s="281"/>
      <c r="AA29" s="281"/>
      <c r="AB29" s="281"/>
      <c r="AC29" s="281"/>
      <c r="AD29" s="281"/>
      <c r="AE29" s="281"/>
      <c r="AF29" s="281"/>
      <c r="AG29" s="281"/>
      <c r="AH29" s="281"/>
      <c r="AI29" s="281"/>
      <c r="AJ29" s="281"/>
      <c r="AK29" s="281"/>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M29" s="54"/>
      <c r="CN29" s="54"/>
      <c r="CO29" s="54"/>
      <c r="CP29" s="54"/>
      <c r="CQ29" s="54"/>
      <c r="CR29" s="54"/>
      <c r="CS29" s="54"/>
      <c r="CT29" s="54"/>
      <c r="CU29" s="54"/>
      <c r="CV29" s="54"/>
      <c r="CW29" s="54"/>
      <c r="CX29" s="54"/>
      <c r="CY29" s="54"/>
      <c r="CZ29" s="54"/>
      <c r="DA29" s="54"/>
      <c r="DB29" s="54"/>
      <c r="DC29" s="54"/>
      <c r="DD29" s="54"/>
      <c r="DE29" s="54"/>
      <c r="DF29" s="54"/>
      <c r="DG29" s="54"/>
      <c r="DH29" s="54"/>
      <c r="DI29" s="54"/>
      <c r="DJ29" s="54"/>
      <c r="DK29" s="54"/>
      <c r="DL29" s="54"/>
      <c r="DM29" s="54"/>
      <c r="DN29" s="54"/>
      <c r="DO29" s="54"/>
      <c r="DP29" s="54"/>
      <c r="DQ29" s="54"/>
      <c r="DR29" s="54"/>
      <c r="DS29" s="54"/>
      <c r="DT29" s="54"/>
      <c r="DU29" s="54"/>
      <c r="DV29" s="54"/>
      <c r="DW29" s="54"/>
      <c r="DX29" s="54"/>
      <c r="DY29" s="54"/>
      <c r="DZ29" s="54"/>
      <c r="EA29" s="54"/>
      <c r="EB29" s="54"/>
      <c r="EC29" s="54"/>
      <c r="ED29" s="54"/>
      <c r="EE29" s="54"/>
      <c r="EF29" s="54"/>
      <c r="EG29" s="54"/>
      <c r="EH29" s="54"/>
      <c r="EI29" s="54"/>
    </row>
    <row r="30" s="2" customFormat="1" ht="15.95" customHeight="1">
      <c r="B30" s="323" t="s">
        <v>47</v>
      </c>
      <c r="C30" s="303" t="s">
        <v>42</v>
      </c>
      <c r="D30" s="307">
        <v>38.888888888888888888888888890</v>
      </c>
      <c r="E30" s="308">
        <v>18.095238095172540330417917830</v>
      </c>
      <c r="F30" s="308">
        <v>63.213627992633517495395948430</v>
      </c>
      <c r="G30" s="308">
        <v>4.6493902438213995575550895200</v>
      </c>
      <c r="H30" s="308">
        <v>61.519786355944248413061758250</v>
      </c>
      <c r="I30" s="308">
        <v>12.848472236889443072416961340</v>
      </c>
      <c r="J30" s="317">
        <v>101.36077328326035949346658956</v>
      </c>
      <c r="K30" s="308">
        <v>-11.401467854278839192013951880</v>
      </c>
      <c r="L30" s="318">
        <v>142.23468335589655217745577269</v>
      </c>
      <c r="M30" s="308">
        <v>-1.1002988871734992753440177700</v>
      </c>
      <c r="N30" s="308">
        <v>71.263049835485740934911661150</v>
      </c>
      <c r="O30" s="309">
        <v>-10.415773608191736950538565570</v>
      </c>
      <c r="P30" s="317">
        <v>39.418078499045695358570340385</v>
      </c>
      <c r="Q30" s="308">
        <v>4.6306474864247407269928510700</v>
      </c>
      <c r="R30" s="318">
        <v>89.91170361309666949339170161</v>
      </c>
      <c r="S30" s="308">
        <v>3.4979341676035188880659282200</v>
      </c>
      <c r="T30" s="308">
        <v>43.840876009497100221028645100</v>
      </c>
      <c r="U30" s="309">
        <v>1.0944308482890371225356833200</v>
      </c>
      <c r="W30" s="281"/>
      <c r="X30" s="281"/>
      <c r="Y30" s="281"/>
      <c r="Z30" s="281"/>
      <c r="AA30" s="281"/>
      <c r="AB30" s="281"/>
      <c r="AC30" s="281"/>
      <c r="AD30" s="281"/>
      <c r="AE30" s="281"/>
      <c r="AF30" s="281"/>
      <c r="AG30" s="281"/>
      <c r="AH30" s="281"/>
      <c r="AI30" s="281"/>
      <c r="AJ30" s="281"/>
      <c r="AK30" s="281"/>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c r="CK30" s="34"/>
      <c r="CL30" s="34"/>
      <c r="CM30" s="34"/>
      <c r="CN30" s="34"/>
      <c r="CO30" s="34"/>
      <c r="CP30" s="34"/>
      <c r="CQ30" s="34"/>
      <c r="CR30" s="34"/>
      <c r="CS30" s="34"/>
      <c r="CT30" s="34"/>
      <c r="CU30" s="34"/>
      <c r="CV30" s="34"/>
      <c r="CW30" s="34"/>
      <c r="CX30" s="34"/>
      <c r="CY30" s="34"/>
      <c r="CZ30" s="34"/>
      <c r="DA30" s="34"/>
      <c r="DB30" s="34"/>
      <c r="DC30" s="34"/>
      <c r="DD30" s="34"/>
      <c r="DE30" s="34"/>
      <c r="DF30" s="34"/>
      <c r="DG30" s="34"/>
      <c r="DH30" s="34"/>
      <c r="DI30" s="34"/>
      <c r="DJ30" s="34"/>
      <c r="DK30" s="34"/>
      <c r="DL30" s="34"/>
      <c r="DM30" s="34"/>
      <c r="DN30" s="34"/>
      <c r="DO30" s="34"/>
      <c r="DP30" s="34"/>
      <c r="DQ30" s="34"/>
      <c r="DR30" s="34"/>
      <c r="DS30" s="34"/>
      <c r="DT30" s="34"/>
      <c r="DU30" s="34"/>
      <c r="DV30" s="34"/>
      <c r="DW30" s="34"/>
      <c r="DX30" s="34"/>
      <c r="DY30" s="34"/>
      <c r="DZ30" s="34"/>
      <c r="EA30" s="34"/>
      <c r="EB30" s="34"/>
      <c r="EC30" s="34"/>
      <c r="ED30" s="34"/>
      <c r="EE30" s="34"/>
      <c r="EF30" s="34"/>
      <c r="EG30" s="34"/>
      <c r="EH30" s="34"/>
      <c r="EI30" s="34"/>
    </row>
    <row r="31" s="2" customFormat="1" ht="15.95" customHeight="1">
      <c r="B31" s="324"/>
      <c r="C31" s="304" t="s">
        <v>58</v>
      </c>
      <c r="D31" s="310">
        <v>34.900221729490022172949002220</v>
      </c>
      <c r="E31" s="134">
        <v>-19.245228572302372431533561460</v>
      </c>
      <c r="F31" s="134">
        <v>58.154696132596685082872928180</v>
      </c>
      <c r="G31" s="134">
        <v>-4.1178031830439766836225860300</v>
      </c>
      <c r="H31" s="134">
        <v>60.012731645804046522077660820</v>
      </c>
      <c r="I31" s="134">
        <v>-15.777095114058119006944057330</v>
      </c>
      <c r="J31" s="319">
        <v>111.25608330109171979969593935</v>
      </c>
      <c r="K31" s="134">
        <v>-3.8113349179965739716863431600</v>
      </c>
      <c r="L31" s="135">
        <v>143.61292225429789628703277504</v>
      </c>
      <c r="M31" s="134">
        <v>-2.3586137378626145256677816300</v>
      </c>
      <c r="N31" s="134">
        <v>77.469409823781045704105052690</v>
      </c>
      <c r="O31" s="311">
        <v>-1.4878129405504391576540418900</v>
      </c>
      <c r="P31" s="319">
        <v>38.828619759627132364683239144</v>
      </c>
      <c r="Q31" s="134">
        <v>-22.323063373660526364288951660</v>
      </c>
      <c r="R31" s="135">
        <v>83.51765854412926277996171216</v>
      </c>
      <c r="S31" s="134">
        <v>-6.3792938494646020205885692300</v>
      </c>
      <c r="T31" s="134">
        <v>46.491509025153497190765407870</v>
      </c>
      <c r="U31" s="311">
        <v>-17.030174391730293476945375620</v>
      </c>
      <c r="W31" s="281"/>
      <c r="X31" s="281"/>
      <c r="Y31" s="281"/>
      <c r="Z31" s="281"/>
      <c r="AA31" s="281"/>
      <c r="AB31" s="281"/>
      <c r="AC31" s="281"/>
      <c r="AD31" s="281"/>
      <c r="AE31" s="281"/>
      <c r="AF31" s="281"/>
      <c r="AG31" s="281"/>
      <c r="AH31" s="281"/>
      <c r="AI31" s="281"/>
      <c r="AJ31" s="281"/>
      <c r="AK31" s="281"/>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c r="CK31" s="34"/>
      <c r="CL31" s="34"/>
      <c r="CM31" s="34"/>
      <c r="CN31" s="34"/>
      <c r="CO31" s="34"/>
      <c r="CP31" s="34"/>
      <c r="CQ31" s="34"/>
      <c r="CR31" s="34"/>
      <c r="CS31" s="34"/>
      <c r="CT31" s="34"/>
      <c r="CU31" s="34"/>
      <c r="CV31" s="34"/>
      <c r="CW31" s="34"/>
      <c r="CX31" s="34"/>
      <c r="CY31" s="34"/>
      <c r="CZ31" s="34"/>
      <c r="DA31" s="34"/>
      <c r="DB31" s="34"/>
      <c r="DC31" s="34"/>
      <c r="DD31" s="34"/>
      <c r="DE31" s="34"/>
      <c r="DF31" s="34"/>
      <c r="DG31" s="34"/>
      <c r="DH31" s="34"/>
      <c r="DI31" s="34"/>
      <c r="DJ31" s="34"/>
      <c r="DK31" s="34"/>
      <c r="DL31" s="34"/>
      <c r="DM31" s="34"/>
      <c r="DN31" s="34"/>
      <c r="DO31" s="34"/>
      <c r="DP31" s="34"/>
      <c r="DQ31" s="34"/>
      <c r="DR31" s="34"/>
      <c r="DS31" s="34"/>
      <c r="DT31" s="34"/>
      <c r="DU31" s="34"/>
      <c r="DV31" s="34"/>
      <c r="DW31" s="34"/>
      <c r="DX31" s="34"/>
      <c r="DY31" s="34"/>
      <c r="DZ31" s="34"/>
      <c r="EA31" s="34"/>
      <c r="EB31" s="34"/>
      <c r="EC31" s="34"/>
      <c r="ED31" s="34"/>
      <c r="EE31" s="34"/>
      <c r="EF31" s="34"/>
      <c r="EG31" s="34"/>
      <c r="EH31" s="34"/>
      <c r="EI31" s="34"/>
    </row>
    <row r="32" s="2" customFormat="1" ht="15.95" customHeight="1">
      <c r="B32" s="324"/>
      <c r="C32" s="305" t="s">
        <v>44</v>
      </c>
      <c r="D32" s="312">
        <v>35.866666666666666666666666670</v>
      </c>
      <c r="E32" s="159">
        <v>-5.9375271150086781334550287300</v>
      </c>
      <c r="F32" s="159">
        <v>58.740614817962884261226802660</v>
      </c>
      <c r="G32" s="159">
        <v>2.2943135562563197132275145100</v>
      </c>
      <c r="H32" s="159">
        <v>61.059399493510195194339081950</v>
      </c>
      <c r="I32" s="159">
        <v>-8.047212386581651850139714350</v>
      </c>
      <c r="J32" s="320">
        <v>105.88185549414830550761686289</v>
      </c>
      <c r="K32" s="159">
        <v>-9.870270252654102086554211440</v>
      </c>
      <c r="L32" s="160">
        <v>143.48547215778910025650671584</v>
      </c>
      <c r="M32" s="159">
        <v>-1.1218342742655661236621692500</v>
      </c>
      <c r="N32" s="159">
        <v>73.792735879004787530369142990</v>
      </c>
      <c r="O32" s="313">
        <v>-8.847692424547884731734103270</v>
      </c>
      <c r="P32" s="320">
        <v>37.976292170567858908731914822</v>
      </c>
      <c r="Q32" s="159">
        <v>-15.221747395030874387074584770</v>
      </c>
      <c r="R32" s="160">
        <v>84.28424851994227287343888614</v>
      </c>
      <c r="S32" s="159">
        <v>1.1467408860788563281704003600</v>
      </c>
      <c r="T32" s="159">
        <v>45.057401397606856553520970610</v>
      </c>
      <c r="U32" s="313">
        <v>-16.182912210239517382572494990</v>
      </c>
      <c r="W32" s="281"/>
      <c r="X32" s="281"/>
      <c r="Y32" s="281"/>
      <c r="Z32" s="281"/>
      <c r="AA32" s="281"/>
      <c r="AB32" s="281"/>
      <c r="AC32" s="281"/>
      <c r="AD32" s="281"/>
      <c r="AE32" s="281"/>
      <c r="AF32" s="281"/>
      <c r="AG32" s="281"/>
      <c r="AH32" s="281"/>
      <c r="AI32" s="281"/>
      <c r="AJ32" s="281"/>
      <c r="AK32" s="281"/>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c r="CK32" s="34"/>
      <c r="CL32" s="34"/>
      <c r="CM32" s="34"/>
      <c r="CN32" s="34"/>
      <c r="CO32" s="34"/>
      <c r="CP32" s="34"/>
      <c r="CQ32" s="34"/>
      <c r="CR32" s="34"/>
      <c r="CS32" s="34"/>
      <c r="CT32" s="34"/>
      <c r="CU32" s="34"/>
      <c r="CV32" s="34"/>
      <c r="CW32" s="34"/>
      <c r="CX32" s="34"/>
      <c r="CY32" s="34"/>
      <c r="CZ32" s="34"/>
      <c r="DA32" s="34"/>
      <c r="DB32" s="34"/>
      <c r="DC32" s="34"/>
      <c r="DD32" s="34"/>
      <c r="DE32" s="34"/>
      <c r="DF32" s="34"/>
      <c r="DG32" s="34"/>
      <c r="DH32" s="34"/>
      <c r="DI32" s="34"/>
      <c r="DJ32" s="34"/>
      <c r="DK32" s="34"/>
      <c r="DL32" s="34"/>
      <c r="DM32" s="34"/>
      <c r="DN32" s="34"/>
      <c r="DO32" s="34"/>
      <c r="DP32" s="34"/>
      <c r="DQ32" s="34"/>
      <c r="DR32" s="34"/>
      <c r="DS32" s="34"/>
      <c r="DT32" s="34"/>
      <c r="DU32" s="34"/>
      <c r="DV32" s="34"/>
      <c r="DW32" s="34"/>
      <c r="DX32" s="34"/>
      <c r="DY32" s="34"/>
      <c r="DZ32" s="34"/>
      <c r="EA32" s="34"/>
      <c r="EB32" s="34"/>
      <c r="EC32" s="34"/>
      <c r="ED32" s="34"/>
      <c r="EE32" s="34"/>
      <c r="EF32" s="34"/>
      <c r="EG32" s="34"/>
      <c r="EH32" s="34"/>
      <c r="EI32" s="34"/>
    </row>
    <row r="33" s="2" customFormat="1" ht="15.95" customHeight="1">
      <c r="B33" s="325"/>
      <c r="C33" s="306" t="s">
        <v>45</v>
      </c>
      <c r="D33" s="314">
        <v>36.435432230522945570971184630</v>
      </c>
      <c r="E33" s="315">
        <v>-17.585710820043349442043947010</v>
      </c>
      <c r="F33" s="315">
        <v>55.236223261085139538178212210</v>
      </c>
      <c r="G33" s="315">
        <v>-2.6617533647015566241899644500</v>
      </c>
      <c r="H33" s="315">
        <v>65.962931712933613995478145720</v>
      </c>
      <c r="I33" s="315">
        <v>-15.332059053078175710936351480</v>
      </c>
      <c r="J33" s="321">
        <v>111.39107147372628507976022117</v>
      </c>
      <c r="K33" s="315">
        <v>1.0314599113844891700563024500</v>
      </c>
      <c r="L33" s="322">
        <v>144.99575306512577397018532769</v>
      </c>
      <c r="M33" s="315">
        <v>0.6206902405108437831803105900</v>
      </c>
      <c r="N33" s="315">
        <v>76.823678707137077484892942850</v>
      </c>
      <c r="O33" s="316">
        <v>0.408235791229591341083984400</v>
      </c>
      <c r="P33" s="321">
        <v>40.585818357662917530661835118</v>
      </c>
      <c r="Q33" s="315">
        <v>-16.735640465864758758080560710</v>
      </c>
      <c r="R33" s="322">
        <v>80.09017788214457195516346024</v>
      </c>
      <c r="S33" s="315">
        <v>-2.0575843675604968777572862100</v>
      </c>
      <c r="T33" s="315">
        <v>50.675150724985178876015684490</v>
      </c>
      <c r="U33" s="316">
        <v>-14.986414214396941846322197200</v>
      </c>
      <c r="W33" s="281"/>
      <c r="X33" s="281"/>
      <c r="Y33" s="281"/>
      <c r="Z33" s="281"/>
      <c r="AA33" s="281"/>
      <c r="AB33" s="281"/>
      <c r="AC33" s="281"/>
      <c r="AD33" s="281"/>
      <c r="AE33" s="281"/>
      <c r="AF33" s="281"/>
      <c r="AG33" s="281"/>
      <c r="AH33" s="281"/>
      <c r="AI33" s="281"/>
      <c r="AJ33" s="281"/>
      <c r="AK33" s="281"/>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c r="CK33" s="34"/>
      <c r="CL33" s="34"/>
      <c r="CM33" s="34"/>
      <c r="CN33" s="34"/>
      <c r="CO33" s="34"/>
      <c r="CP33" s="34"/>
      <c r="CQ33" s="34"/>
      <c r="CR33" s="34"/>
      <c r="CS33" s="34"/>
      <c r="CT33" s="34"/>
      <c r="CU33" s="34"/>
      <c r="CV33" s="34"/>
      <c r="CW33" s="34"/>
      <c r="CX33" s="34"/>
      <c r="CY33" s="34"/>
      <c r="CZ33" s="34"/>
      <c r="DA33" s="34"/>
      <c r="DB33" s="34"/>
      <c r="DC33" s="34"/>
      <c r="DD33" s="34"/>
      <c r="DE33" s="34"/>
      <c r="DF33" s="34"/>
      <c r="DG33" s="34"/>
      <c r="DH33" s="34"/>
      <c r="DI33" s="34"/>
      <c r="DJ33" s="34"/>
      <c r="DK33" s="34"/>
      <c r="DL33" s="34"/>
      <c r="DM33" s="34"/>
      <c r="DN33" s="34"/>
      <c r="DO33" s="34"/>
      <c r="DP33" s="34"/>
      <c r="DQ33" s="34"/>
      <c r="DR33" s="34"/>
      <c r="DS33" s="34"/>
      <c r="DT33" s="34"/>
      <c r="DU33" s="34"/>
      <c r="DV33" s="34"/>
      <c r="DW33" s="34"/>
      <c r="DX33" s="34"/>
      <c r="DY33" s="34"/>
      <c r="DZ33" s="34"/>
      <c r="EA33" s="34"/>
      <c r="EB33" s="34"/>
      <c r="EC33" s="34"/>
      <c r="ED33" s="34"/>
      <c r="EE33" s="34"/>
      <c r="EF33" s="34"/>
      <c r="EG33" s="34"/>
      <c r="EH33" s="34"/>
      <c r="EI33" s="34"/>
    </row>
    <row r="34" s="2" customFormat="1" ht="5.1" customHeight="1">
      <c r="B34" s="54"/>
      <c r="C34" s="297"/>
      <c r="D34" s="159"/>
      <c r="E34" s="159"/>
      <c r="F34" s="159"/>
      <c r="G34" s="159"/>
      <c r="H34" s="159"/>
      <c r="I34" s="159"/>
      <c r="J34" s="160"/>
      <c r="K34" s="159"/>
      <c r="L34" s="160"/>
      <c r="M34" s="159"/>
      <c r="N34" s="159"/>
      <c r="O34" s="159"/>
      <c r="P34" s="160"/>
      <c r="Q34" s="159"/>
      <c r="R34" s="160"/>
      <c r="S34" s="159"/>
      <c r="T34" s="159"/>
      <c r="U34" s="159"/>
      <c r="W34" s="281"/>
      <c r="X34" s="281"/>
      <c r="Y34" s="281"/>
      <c r="Z34" s="281"/>
      <c r="AA34" s="281"/>
      <c r="AB34" s="281"/>
      <c r="AC34" s="281"/>
      <c r="AD34" s="281"/>
      <c r="AE34" s="281"/>
      <c r="AF34" s="281"/>
      <c r="AG34" s="281"/>
      <c r="AH34" s="281"/>
      <c r="AI34" s="281"/>
      <c r="AJ34" s="281"/>
      <c r="AK34" s="281"/>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c r="CK34" s="34"/>
      <c r="CL34" s="34"/>
      <c r="CM34" s="34"/>
      <c r="CN34" s="34"/>
      <c r="CO34" s="34"/>
      <c r="CP34" s="34"/>
      <c r="CQ34" s="34"/>
      <c r="CR34" s="34"/>
      <c r="CS34" s="34"/>
      <c r="CT34" s="34"/>
      <c r="CU34" s="34"/>
      <c r="CV34" s="34"/>
      <c r="CW34" s="34"/>
      <c r="CX34" s="34"/>
      <c r="CY34" s="34"/>
      <c r="CZ34" s="34"/>
      <c r="DA34" s="34"/>
      <c r="DB34" s="34"/>
      <c r="DC34" s="34"/>
      <c r="DD34" s="34"/>
      <c r="DE34" s="34"/>
      <c r="DF34" s="34"/>
      <c r="DG34" s="34"/>
      <c r="DH34" s="34"/>
      <c r="DI34" s="34"/>
      <c r="DJ34" s="34"/>
      <c r="DK34" s="34"/>
      <c r="DL34" s="34"/>
      <c r="DM34" s="34"/>
      <c r="DN34" s="34"/>
      <c r="DO34" s="34"/>
      <c r="DP34" s="34"/>
      <c r="DQ34" s="34"/>
      <c r="DR34" s="34"/>
      <c r="DS34" s="34"/>
      <c r="DT34" s="34"/>
      <c r="DU34" s="34"/>
      <c r="DV34" s="34"/>
      <c r="DW34" s="34"/>
      <c r="DX34" s="34"/>
      <c r="DY34" s="34"/>
      <c r="DZ34" s="34"/>
      <c r="EA34" s="34"/>
      <c r="EB34" s="34"/>
      <c r="EC34" s="34"/>
      <c r="ED34" s="34"/>
      <c r="EE34" s="34"/>
      <c r="EF34" s="34"/>
      <c r="EG34" s="34"/>
      <c r="EH34" s="34"/>
      <c r="EI34" s="34"/>
    </row>
    <row r="35" s="9" customFormat="1" ht="5.1" customHeight="1">
      <c r="B35" s="54"/>
      <c r="C35" s="297"/>
      <c r="D35" s="159"/>
      <c r="E35" s="159"/>
      <c r="F35" s="159"/>
      <c r="G35" s="159"/>
      <c r="H35" s="159"/>
      <c r="I35" s="159"/>
      <c r="J35" s="160"/>
      <c r="K35" s="159"/>
      <c r="L35" s="160"/>
      <c r="M35" s="159"/>
      <c r="N35" s="159"/>
      <c r="O35" s="159"/>
      <c r="P35" s="160"/>
      <c r="Q35" s="159"/>
      <c r="R35" s="160"/>
      <c r="S35" s="159"/>
      <c r="T35" s="159"/>
      <c r="U35" s="159"/>
      <c r="W35" s="281"/>
      <c r="X35" s="281"/>
      <c r="Y35" s="281"/>
      <c r="Z35" s="281"/>
      <c r="AA35" s="281"/>
      <c r="AB35" s="281"/>
      <c r="AC35" s="281"/>
      <c r="AD35" s="281"/>
      <c r="AE35" s="281"/>
      <c r="AF35" s="281"/>
      <c r="AG35" s="281"/>
      <c r="AH35" s="281"/>
      <c r="AI35" s="281"/>
      <c r="AJ35" s="281"/>
      <c r="AK35" s="281"/>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c r="BU35" s="54"/>
      <c r="BV35" s="54"/>
      <c r="BW35" s="54"/>
      <c r="BX35" s="54"/>
      <c r="BY35" s="54"/>
      <c r="BZ35" s="54"/>
      <c r="CA35" s="54"/>
      <c r="CB35" s="54"/>
      <c r="CC35" s="54"/>
      <c r="CD35" s="54"/>
      <c r="CE35" s="54"/>
      <c r="CF35" s="54"/>
      <c r="CG35" s="54"/>
      <c r="CH35" s="54"/>
      <c r="CI35" s="54"/>
      <c r="CJ35" s="54"/>
      <c r="CK35" s="54"/>
      <c r="CL35" s="54"/>
      <c r="CM35" s="54"/>
      <c r="CN35" s="54"/>
      <c r="CO35" s="54"/>
      <c r="CP35" s="54"/>
      <c r="CQ35" s="54"/>
      <c r="CR35" s="54"/>
      <c r="CS35" s="54"/>
      <c r="CT35" s="54"/>
      <c r="CU35" s="54"/>
      <c r="CV35" s="54"/>
      <c r="CW35" s="54"/>
      <c r="CX35" s="54"/>
      <c r="CY35" s="54"/>
      <c r="CZ35" s="54"/>
      <c r="DA35" s="54"/>
      <c r="DB35" s="54"/>
      <c r="DC35" s="54"/>
      <c r="DD35" s="54"/>
      <c r="DE35" s="54"/>
      <c r="DF35" s="54"/>
      <c r="DG35" s="54"/>
      <c r="DH35" s="54"/>
      <c r="DI35" s="54"/>
      <c r="DJ35" s="54"/>
      <c r="DK35" s="54"/>
      <c r="DL35" s="54"/>
      <c r="DM35" s="54"/>
      <c r="DN35" s="54"/>
      <c r="DO35" s="54"/>
      <c r="DP35" s="54"/>
      <c r="DQ35" s="54"/>
      <c r="DR35" s="54"/>
      <c r="DS35" s="54"/>
      <c r="DT35" s="54"/>
      <c r="DU35" s="54"/>
      <c r="DV35" s="54"/>
      <c r="DW35" s="54"/>
      <c r="DX35" s="54"/>
      <c r="DY35" s="54"/>
      <c r="DZ35" s="54"/>
      <c r="EA35" s="54"/>
      <c r="EB35" s="54"/>
      <c r="EC35" s="54"/>
      <c r="ED35" s="54"/>
      <c r="EE35" s="54"/>
      <c r="EF35" s="54"/>
      <c r="EG35" s="54"/>
      <c r="EH35" s="54"/>
      <c r="EI35" s="54"/>
    </row>
    <row r="36" s="2" customFormat="1" ht="15.95" customHeight="1">
      <c r="B36" s="323" t="s">
        <v>48</v>
      </c>
      <c r="C36" s="303" t="s">
        <v>42</v>
      </c>
      <c r="D36" s="307">
        <v>35.677083333333333333333333330</v>
      </c>
      <c r="E36" s="308">
        <v>29.481707316886211778703422820</v>
      </c>
      <c r="F36" s="308">
        <v>67.403314917127071823204419890</v>
      </c>
      <c r="G36" s="308">
        <v>3.7194473963929949936814006500</v>
      </c>
      <c r="H36" s="308">
        <v>52.930754781442024100964131080</v>
      </c>
      <c r="I36" s="308">
        <v>24.838408386593764062711820880</v>
      </c>
      <c r="J36" s="317">
        <v>105.49392948797281279754666454</v>
      </c>
      <c r="K36" s="308">
        <v>-4.4738616158042514471563229300</v>
      </c>
      <c r="L36" s="318">
        <v>140.98919380154896955824047753</v>
      </c>
      <c r="M36" s="308">
        <v>-0.7585233962018057514123464500</v>
      </c>
      <c r="N36" s="308">
        <v>74.824124206638630296534885980</v>
      </c>
      <c r="O36" s="309">
        <v>-3.7437353279274264077985379400</v>
      </c>
      <c r="P36" s="317">
        <v>37.63715713503196706579138813</v>
      </c>
      <c r="Q36" s="308">
        <v>23.688874913784031758513616480</v>
      </c>
      <c r="R36" s="318">
        <v>95.03139029717665351439413403</v>
      </c>
      <c r="S36" s="308">
        <v>2.9327111215015685708457028200</v>
      </c>
      <c r="T36" s="308">
        <v>39.604973701138103132037683150</v>
      </c>
      <c r="U36" s="309">
        <v>20.164788788997900180633823390</v>
      </c>
      <c r="W36" s="281"/>
      <c r="X36" s="281"/>
      <c r="Y36" s="281"/>
      <c r="Z36" s="281"/>
      <c r="AA36" s="281"/>
      <c r="AB36" s="281"/>
      <c r="AC36" s="281"/>
      <c r="AD36" s="281"/>
      <c r="AE36" s="281"/>
      <c r="AF36" s="281"/>
      <c r="AG36" s="281"/>
      <c r="AH36" s="281"/>
      <c r="AI36" s="281"/>
      <c r="AJ36" s="281"/>
      <c r="AK36" s="281"/>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c r="CK36" s="34"/>
      <c r="CL36" s="34"/>
      <c r="CM36" s="34"/>
      <c r="CN36" s="34"/>
      <c r="CO36" s="34"/>
      <c r="CP36" s="34"/>
      <c r="CQ36" s="34"/>
      <c r="CR36" s="34"/>
      <c r="CS36" s="34"/>
      <c r="CT36" s="34"/>
      <c r="CU36" s="34"/>
      <c r="CV36" s="34"/>
      <c r="CW36" s="34"/>
      <c r="CX36" s="34"/>
      <c r="CY36" s="34"/>
      <c r="CZ36" s="34"/>
      <c r="DA36" s="34"/>
      <c r="DB36" s="34"/>
      <c r="DC36" s="34"/>
      <c r="DD36" s="34"/>
      <c r="DE36" s="34"/>
      <c r="DF36" s="34"/>
      <c r="DG36" s="34"/>
      <c r="DH36" s="34"/>
      <c r="DI36" s="34"/>
      <c r="DJ36" s="34"/>
      <c r="DK36" s="34"/>
      <c r="DL36" s="34"/>
      <c r="DM36" s="34"/>
      <c r="DN36" s="34"/>
      <c r="DO36" s="34"/>
      <c r="DP36" s="34"/>
      <c r="DQ36" s="34"/>
      <c r="DR36" s="34"/>
      <c r="DS36" s="34"/>
      <c r="DT36" s="34"/>
      <c r="DU36" s="34"/>
      <c r="DV36" s="34"/>
      <c r="DW36" s="34"/>
      <c r="DX36" s="34"/>
      <c r="DY36" s="34"/>
      <c r="DZ36" s="34"/>
      <c r="EA36" s="34"/>
      <c r="EB36" s="34"/>
      <c r="EC36" s="34"/>
      <c r="ED36" s="34"/>
      <c r="EE36" s="34"/>
      <c r="EF36" s="34"/>
      <c r="EG36" s="34"/>
      <c r="EH36" s="34"/>
      <c r="EI36" s="34"/>
    </row>
    <row r="37" s="2" customFormat="1" ht="15.95" customHeight="1">
      <c r="B37" s="324"/>
      <c r="C37" s="304" t="s">
        <v>58</v>
      </c>
      <c r="D37" s="310">
        <v>39.811783960720130932896890340</v>
      </c>
      <c r="E37" s="134">
        <v>-8.796879567014524660350133910</v>
      </c>
      <c r="F37" s="134">
        <v>60.415781272134863295084289560</v>
      </c>
      <c r="G37" s="134">
        <v>-2.3838895322629160558527341100</v>
      </c>
      <c r="H37" s="134">
        <v>65.896332253680889883110488910</v>
      </c>
      <c r="I37" s="134">
        <v>-6.5696020913076648119751848900</v>
      </c>
      <c r="J37" s="319">
        <v>114.58603780826040798096311903</v>
      </c>
      <c r="K37" s="134">
        <v>-1.4249362949998419398134179800</v>
      </c>
      <c r="L37" s="135">
        <v>142.60708882376495430501226721</v>
      </c>
      <c r="M37" s="134">
        <v>-3.329940472618595532897485700</v>
      </c>
      <c r="N37" s="134">
        <v>80.35087088120748504560717012</v>
      </c>
      <c r="O37" s="311">
        <v>1.9706248107025282815538746700</v>
      </c>
      <c r="P37" s="319">
        <v>45.618745821373722162633844034</v>
      </c>
      <c r="Q37" s="134">
        <v>-10.096465932280289658268605090</v>
      </c>
      <c r="R37" s="135">
        <v>86.15718686232491696731846814</v>
      </c>
      <c r="S37" s="134">
        <v>-5.6344479025328107513709745700</v>
      </c>
      <c r="T37" s="134">
        <v>52.948276844604384980273418340</v>
      </c>
      <c r="U37" s="311">
        <v>-4.7284394893013526351191382800</v>
      </c>
      <c r="W37" s="281"/>
      <c r="X37" s="281"/>
      <c r="Y37" s="281"/>
      <c r="Z37" s="281"/>
      <c r="AA37" s="281"/>
      <c r="AB37" s="281"/>
      <c r="AC37" s="281"/>
      <c r="AD37" s="281"/>
      <c r="AE37" s="281"/>
      <c r="AF37" s="281"/>
      <c r="AG37" s="281"/>
      <c r="AH37" s="281"/>
      <c r="AI37" s="281"/>
      <c r="AJ37" s="281"/>
      <c r="AK37" s="281"/>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c r="CK37" s="34"/>
      <c r="CL37" s="34"/>
      <c r="CM37" s="34"/>
      <c r="CN37" s="34"/>
      <c r="CO37" s="34"/>
      <c r="CP37" s="34"/>
      <c r="CQ37" s="34"/>
      <c r="CR37" s="34"/>
      <c r="CS37" s="34"/>
      <c r="CT37" s="34"/>
      <c r="CU37" s="34"/>
      <c r="CV37" s="34"/>
      <c r="CW37" s="34"/>
      <c r="CX37" s="34"/>
      <c r="CY37" s="34"/>
      <c r="CZ37" s="34"/>
      <c r="DA37" s="34"/>
      <c r="DB37" s="34"/>
      <c r="DC37" s="34"/>
      <c r="DD37" s="34"/>
      <c r="DE37" s="34"/>
      <c r="DF37" s="34"/>
      <c r="DG37" s="34"/>
      <c r="DH37" s="34"/>
      <c r="DI37" s="34"/>
      <c r="DJ37" s="34"/>
      <c r="DK37" s="34"/>
      <c r="DL37" s="34"/>
      <c r="DM37" s="34"/>
      <c r="DN37" s="34"/>
      <c r="DO37" s="34"/>
      <c r="DP37" s="34"/>
      <c r="DQ37" s="34"/>
      <c r="DR37" s="34"/>
      <c r="DS37" s="34"/>
      <c r="DT37" s="34"/>
      <c r="DU37" s="34"/>
      <c r="DV37" s="34"/>
      <c r="DW37" s="34"/>
      <c r="DX37" s="34"/>
      <c r="DY37" s="34"/>
      <c r="DZ37" s="34"/>
      <c r="EA37" s="34"/>
      <c r="EB37" s="34"/>
      <c r="EC37" s="34"/>
      <c r="ED37" s="34"/>
      <c r="EE37" s="34"/>
      <c r="EF37" s="34"/>
      <c r="EG37" s="34"/>
      <c r="EH37" s="34"/>
      <c r="EI37" s="34"/>
    </row>
    <row r="38" s="2" customFormat="1" ht="15.95" customHeight="1">
      <c r="B38" s="324"/>
      <c r="C38" s="305" t="s">
        <v>44</v>
      </c>
      <c r="D38" s="312">
        <v>35.298935298935298935298935300</v>
      </c>
      <c r="E38" s="159">
        <v>-5.268784070049895639115611300</v>
      </c>
      <c r="F38" s="159">
        <v>61.580960475988100297492562690</v>
      </c>
      <c r="G38" s="159">
        <v>0.2883838966880051473581700300</v>
      </c>
      <c r="H38" s="159">
        <v>57.321183408128853321879999090</v>
      </c>
      <c r="I38" s="159">
        <v>-5.5411880727552111492320659400</v>
      </c>
      <c r="J38" s="320">
        <v>109.87141630519310002570616412</v>
      </c>
      <c r="K38" s="159">
        <v>-4.3691518267436614090989872300</v>
      </c>
      <c r="L38" s="160">
        <v>143.3345342666130603861941342</v>
      </c>
      <c r="M38" s="159">
        <v>-1.7361438040749054674186068800</v>
      </c>
      <c r="N38" s="159">
        <v>76.653834239858747468521956730</v>
      </c>
      <c r="O38" s="313">
        <v>-2.6795284904517360057668052600</v>
      </c>
      <c r="P38" s="320">
        <v>38.783440153593960778934772101</v>
      </c>
      <c r="Q38" s="159">
        <v>-9.407734721454330430592396450</v>
      </c>
      <c r="R38" s="160">
        <v>88.26678289516460879710807499</v>
      </c>
      <c r="S38" s="159">
        <v>-1.4527666665552576806850864900</v>
      </c>
      <c r="T38" s="159">
        <v>43.938884913979375648917846910</v>
      </c>
      <c r="U38" s="313">
        <v>-8.072238850033585393555366180</v>
      </c>
      <c r="W38" s="281"/>
      <c r="X38" s="281"/>
      <c r="Y38" s="281"/>
      <c r="Z38" s="281"/>
      <c r="AA38" s="281"/>
      <c r="AB38" s="281"/>
      <c r="AC38" s="281"/>
      <c r="AD38" s="281"/>
      <c r="AE38" s="281"/>
      <c r="AF38" s="281"/>
      <c r="AG38" s="281"/>
      <c r="AH38" s="281"/>
      <c r="AI38" s="281"/>
      <c r="AJ38" s="281"/>
      <c r="AK38" s="281"/>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c r="CK38" s="34"/>
      <c r="CL38" s="34"/>
      <c r="CM38" s="34"/>
      <c r="CN38" s="34"/>
      <c r="CO38" s="34"/>
      <c r="CP38" s="34"/>
      <c r="CQ38" s="34"/>
      <c r="CR38" s="34"/>
      <c r="CS38" s="34"/>
      <c r="CT38" s="34"/>
      <c r="CU38" s="34"/>
      <c r="CV38" s="34"/>
      <c r="CW38" s="34"/>
      <c r="CX38" s="34"/>
      <c r="CY38" s="34"/>
      <c r="CZ38" s="34"/>
      <c r="DA38" s="34"/>
      <c r="DB38" s="34"/>
      <c r="DC38" s="34"/>
      <c r="DD38" s="34"/>
      <c r="DE38" s="34"/>
      <c r="DF38" s="34"/>
      <c r="DG38" s="34"/>
      <c r="DH38" s="34"/>
      <c r="DI38" s="34"/>
      <c r="DJ38" s="34"/>
      <c r="DK38" s="34"/>
      <c r="DL38" s="34"/>
      <c r="DM38" s="34"/>
      <c r="DN38" s="34"/>
      <c r="DO38" s="34"/>
      <c r="DP38" s="34"/>
      <c r="DQ38" s="34"/>
      <c r="DR38" s="34"/>
      <c r="DS38" s="34"/>
      <c r="DT38" s="34"/>
      <c r="DU38" s="34"/>
      <c r="DV38" s="34"/>
      <c r="DW38" s="34"/>
      <c r="DX38" s="34"/>
      <c r="DY38" s="34"/>
      <c r="DZ38" s="34"/>
      <c r="EA38" s="34"/>
      <c r="EB38" s="34"/>
      <c r="EC38" s="34"/>
      <c r="ED38" s="34"/>
      <c r="EE38" s="34"/>
      <c r="EF38" s="34"/>
      <c r="EG38" s="34"/>
      <c r="EH38" s="34"/>
      <c r="EI38" s="34"/>
    </row>
    <row r="39" s="2" customFormat="1" ht="15.95" customHeight="1">
      <c r="B39" s="325"/>
      <c r="C39" s="306" t="s">
        <v>45</v>
      </c>
      <c r="D39" s="314">
        <v>39.320886335658596635207221990</v>
      </c>
      <c r="E39" s="315">
        <v>-13.917697456207761993649571450</v>
      </c>
      <c r="F39" s="315">
        <v>57.600226661000141663125088540</v>
      </c>
      <c r="G39" s="315">
        <v>-2.2779250442306782046066149800</v>
      </c>
      <c r="H39" s="315">
        <v>68.265159036747347835592264510</v>
      </c>
      <c r="I39" s="315">
        <v>-11.911098303287184409644001700</v>
      </c>
      <c r="J39" s="321">
        <v>112.30181051157792294554744336</v>
      </c>
      <c r="K39" s="315">
        <v>-0.009095950944271245065322300</v>
      </c>
      <c r="L39" s="322">
        <v>142.72983123913587377111983907</v>
      </c>
      <c r="M39" s="315">
        <v>-0.4724917189108019760239677900</v>
      </c>
      <c r="N39" s="315">
        <v>78.681386740695242081905862790</v>
      </c>
      <c r="O39" s="316">
        <v>0.4655956689998004376325475200</v>
      </c>
      <c r="P39" s="321">
        <v>44.158067264144253041678636683</v>
      </c>
      <c r="Q39" s="315">
        <v>-13.925527460132965888676772820</v>
      </c>
      <c r="R39" s="322">
        <v>82.21270630660525042546724262</v>
      </c>
      <c r="S39" s="315">
        <v>-2.7396537559832514443993485500</v>
      </c>
      <c r="T39" s="315">
        <v>53.711973790843645748568376790</v>
      </c>
      <c r="U39" s="316">
        <v>-11.500960192137043220317573820</v>
      </c>
      <c r="W39" s="281"/>
      <c r="X39" s="281"/>
      <c r="Y39" s="281"/>
      <c r="Z39" s="281"/>
      <c r="AA39" s="281"/>
      <c r="AB39" s="281"/>
      <c r="AC39" s="281"/>
      <c r="AD39" s="281"/>
      <c r="AE39" s="281"/>
      <c r="AF39" s="281"/>
      <c r="AG39" s="281"/>
      <c r="AH39" s="281"/>
      <c r="AI39" s="281"/>
      <c r="AJ39" s="281"/>
      <c r="AK39" s="281"/>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c r="CK39" s="34"/>
      <c r="CL39" s="34"/>
      <c r="CM39" s="34"/>
      <c r="CN39" s="34"/>
      <c r="CO39" s="34"/>
      <c r="CP39" s="34"/>
      <c r="CQ39" s="34"/>
      <c r="CR39" s="34"/>
      <c r="CS39" s="34"/>
      <c r="CT39" s="34"/>
      <c r="CU39" s="34"/>
      <c r="CV39" s="34"/>
      <c r="CW39" s="34"/>
      <c r="CX39" s="34"/>
      <c r="CY39" s="34"/>
      <c r="CZ39" s="34"/>
      <c r="DA39" s="34"/>
      <c r="DB39" s="34"/>
      <c r="DC39" s="34"/>
      <c r="DD39" s="34"/>
      <c r="DE39" s="34"/>
      <c r="DF39" s="34"/>
      <c r="DG39" s="34"/>
      <c r="DH39" s="34"/>
      <c r="DI39" s="34"/>
      <c r="DJ39" s="34"/>
      <c r="DK39" s="34"/>
      <c r="DL39" s="34"/>
      <c r="DM39" s="34"/>
      <c r="DN39" s="34"/>
      <c r="DO39" s="34"/>
      <c r="DP39" s="34"/>
      <c r="DQ39" s="34"/>
      <c r="DR39" s="34"/>
      <c r="DS39" s="34"/>
      <c r="DT39" s="34"/>
      <c r="DU39" s="34"/>
      <c r="DV39" s="34"/>
      <c r="DW39" s="34"/>
      <c r="DX39" s="34"/>
      <c r="DY39" s="34"/>
      <c r="DZ39" s="34"/>
      <c r="EA39" s="34"/>
      <c r="EB39" s="34"/>
      <c r="EC39" s="34"/>
      <c r="ED39" s="34"/>
      <c r="EE39" s="34"/>
      <c r="EF39" s="34"/>
      <c r="EG39" s="34"/>
      <c r="EH39" s="34"/>
      <c r="EI39" s="34"/>
    </row>
    <row r="40" s="2" customFormat="1" ht="5.1" customHeight="1">
      <c r="B40" s="54"/>
      <c r="C40" s="297"/>
      <c r="D40" s="159"/>
      <c r="E40" s="159"/>
      <c r="F40" s="159"/>
      <c r="G40" s="159"/>
      <c r="H40" s="159"/>
      <c r="I40" s="159"/>
      <c r="J40" s="160"/>
      <c r="K40" s="159"/>
      <c r="L40" s="160"/>
      <c r="M40" s="159"/>
      <c r="N40" s="159"/>
      <c r="O40" s="159"/>
      <c r="P40" s="160"/>
      <c r="Q40" s="159"/>
      <c r="R40" s="160"/>
      <c r="S40" s="159"/>
      <c r="T40" s="159"/>
      <c r="U40" s="159"/>
      <c r="W40" s="281"/>
      <c r="X40" s="281"/>
      <c r="Y40" s="281"/>
      <c r="Z40" s="281"/>
      <c r="AA40" s="281"/>
      <c r="AB40" s="281"/>
      <c r="AC40" s="281"/>
      <c r="AD40" s="281"/>
      <c r="AE40" s="281"/>
      <c r="AF40" s="281"/>
      <c r="AG40" s="281"/>
      <c r="AH40" s="281"/>
      <c r="AI40" s="281"/>
      <c r="AJ40" s="281"/>
      <c r="AK40" s="281"/>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c r="CK40" s="34"/>
      <c r="CL40" s="34"/>
      <c r="CM40" s="34"/>
      <c r="CN40" s="34"/>
      <c r="CO40" s="34"/>
      <c r="CP40" s="34"/>
      <c r="CQ40" s="34"/>
      <c r="CR40" s="34"/>
      <c r="CS40" s="34"/>
      <c r="CT40" s="34"/>
      <c r="CU40" s="34"/>
      <c r="CV40" s="34"/>
      <c r="CW40" s="34"/>
      <c r="CX40" s="34"/>
      <c r="CY40" s="34"/>
      <c r="CZ40" s="34"/>
      <c r="DA40" s="34"/>
      <c r="DB40" s="34"/>
      <c r="DC40" s="34"/>
      <c r="DD40" s="34"/>
      <c r="DE40" s="34"/>
      <c r="DF40" s="34"/>
      <c r="DG40" s="34"/>
      <c r="DH40" s="34"/>
      <c r="DI40" s="34"/>
      <c r="DJ40" s="34"/>
      <c r="DK40" s="34"/>
      <c r="DL40" s="34"/>
      <c r="DM40" s="34"/>
      <c r="DN40" s="34"/>
      <c r="DO40" s="34"/>
      <c r="DP40" s="34"/>
      <c r="DQ40" s="34"/>
      <c r="DR40" s="34"/>
      <c r="DS40" s="34"/>
      <c r="DT40" s="34"/>
      <c r="DU40" s="34"/>
      <c r="DV40" s="34"/>
      <c r="DW40" s="34"/>
      <c r="DX40" s="34"/>
      <c r="DY40" s="34"/>
      <c r="DZ40" s="34"/>
      <c r="EA40" s="34"/>
      <c r="EB40" s="34"/>
      <c r="EC40" s="34"/>
      <c r="ED40" s="34"/>
      <c r="EE40" s="34"/>
      <c r="EF40" s="34"/>
      <c r="EG40" s="34"/>
      <c r="EH40" s="34"/>
      <c r="EI40" s="34"/>
    </row>
    <row r="41" s="9" customFormat="1" ht="5.1" customHeight="1">
      <c r="B41" s="54"/>
      <c r="C41" s="297"/>
      <c r="D41" s="159"/>
      <c r="E41" s="159"/>
      <c r="F41" s="159"/>
      <c r="G41" s="159"/>
      <c r="H41" s="159"/>
      <c r="I41" s="159"/>
      <c r="J41" s="160"/>
      <c r="K41" s="159"/>
      <c r="L41" s="160"/>
      <c r="M41" s="159"/>
      <c r="N41" s="159"/>
      <c r="O41" s="159"/>
      <c r="P41" s="160"/>
      <c r="Q41" s="159"/>
      <c r="R41" s="160"/>
      <c r="S41" s="159"/>
      <c r="T41" s="159"/>
      <c r="U41" s="159"/>
      <c r="W41" s="281"/>
      <c r="X41" s="281"/>
      <c r="Y41" s="281"/>
      <c r="Z41" s="281"/>
      <c r="AA41" s="281"/>
      <c r="AB41" s="281"/>
      <c r="AC41" s="281"/>
      <c r="AD41" s="281"/>
      <c r="AE41" s="281"/>
      <c r="AF41" s="281"/>
      <c r="AG41" s="281"/>
      <c r="AH41" s="281"/>
      <c r="AI41" s="281"/>
      <c r="AJ41" s="281"/>
      <c r="AK41" s="281"/>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c r="BU41" s="54"/>
      <c r="BV41" s="54"/>
      <c r="BW41" s="54"/>
      <c r="BX41" s="54"/>
      <c r="BY41" s="54"/>
      <c r="BZ41" s="54"/>
      <c r="CA41" s="54"/>
      <c r="CB41" s="54"/>
      <c r="CC41" s="54"/>
      <c r="CD41" s="54"/>
      <c r="CE41" s="54"/>
      <c r="CF41" s="54"/>
      <c r="CG41" s="54"/>
      <c r="CH41" s="54"/>
      <c r="CI41" s="54"/>
      <c r="CJ41" s="54"/>
      <c r="CK41" s="54"/>
      <c r="CL41" s="54"/>
      <c r="CM41" s="54"/>
      <c r="CN41" s="54"/>
      <c r="CO41" s="54"/>
      <c r="CP41" s="54"/>
      <c r="CQ41" s="54"/>
      <c r="CR41" s="54"/>
      <c r="CS41" s="54"/>
      <c r="CT41" s="54"/>
      <c r="CU41" s="54"/>
      <c r="CV41" s="54"/>
      <c r="CW41" s="54"/>
      <c r="CX41" s="54"/>
      <c r="CY41" s="54"/>
      <c r="CZ41" s="54"/>
      <c r="DA41" s="54"/>
      <c r="DB41" s="54"/>
      <c r="DC41" s="54"/>
      <c r="DD41" s="54"/>
      <c r="DE41" s="54"/>
      <c r="DF41" s="54"/>
      <c r="DG41" s="54"/>
      <c r="DH41" s="54"/>
      <c r="DI41" s="54"/>
      <c r="DJ41" s="54"/>
      <c r="DK41" s="54"/>
      <c r="DL41" s="54"/>
      <c r="DM41" s="54"/>
      <c r="DN41" s="54"/>
      <c r="DO41" s="54"/>
      <c r="DP41" s="54"/>
      <c r="DQ41" s="54"/>
      <c r="DR41" s="54"/>
      <c r="DS41" s="54"/>
      <c r="DT41" s="54"/>
      <c r="DU41" s="54"/>
      <c r="DV41" s="54"/>
      <c r="DW41" s="54"/>
      <c r="DX41" s="54"/>
      <c r="DY41" s="54"/>
      <c r="DZ41" s="54"/>
      <c r="EA41" s="54"/>
      <c r="EB41" s="54"/>
      <c r="EC41" s="54"/>
      <c r="ED41" s="54"/>
      <c r="EE41" s="54"/>
      <c r="EF41" s="54"/>
      <c r="EG41" s="54"/>
      <c r="EH41" s="54"/>
      <c r="EI41" s="54"/>
    </row>
    <row r="42" s="2" customFormat="1" ht="15.95" customHeight="1">
      <c r="B42" s="323" t="s">
        <v>49</v>
      </c>
      <c r="C42" s="303" t="s">
        <v>42</v>
      </c>
      <c r="D42" s="307">
        <v>37.500</v>
      </c>
      <c r="E42" s="308">
        <v>12.955465586985998787064233980</v>
      </c>
      <c r="F42" s="308">
        <v>64.387661141804788213627992630</v>
      </c>
      <c r="G42" s="308">
        <v>5.1108605788122778943587222900</v>
      </c>
      <c r="H42" s="308">
        <v>58.240972470508442660805815430</v>
      </c>
      <c r="I42" s="308">
        <v>7.4631726589816032453488293300</v>
      </c>
      <c r="J42" s="317">
        <v>107.22520615975829988274463149</v>
      </c>
      <c r="K42" s="308">
        <v>2.7048975666663466775926906300</v>
      </c>
      <c r="L42" s="318">
        <v>137.97470146126537471903051626</v>
      </c>
      <c r="M42" s="308">
        <v>0.4917565278049628068530478700</v>
      </c>
      <c r="N42" s="308">
        <v>77.713671436957948938811335450</v>
      </c>
      <c r="O42" s="309">
        <v>2.2023110305966849435925077900</v>
      </c>
      <c r="P42" s="317">
        <v>40.209452309909362456029236809</v>
      </c>
      <c r="Q42" s="308">
        <v>16.010795227206572725465372280</v>
      </c>
      <c r="R42" s="318">
        <v>88.83868323829632898000192311</v>
      </c>
      <c r="S42" s="308">
        <v>5.6277500969928882271502366700</v>
      </c>
      <c r="T42" s="308">
        <v>45.261197987426184213010721730</v>
      </c>
      <c r="U42" s="309">
        <v>9.829845964182044721477631950</v>
      </c>
      <c r="W42" s="281"/>
      <c r="X42" s="281"/>
      <c r="Y42" s="281"/>
      <c r="Z42" s="281"/>
      <c r="AA42" s="281"/>
      <c r="AB42" s="281"/>
      <c r="AC42" s="281"/>
      <c r="AD42" s="281"/>
      <c r="AE42" s="281"/>
      <c r="AF42" s="281"/>
      <c r="AG42" s="281"/>
      <c r="AH42" s="281"/>
      <c r="AI42" s="281"/>
      <c r="AJ42" s="281"/>
      <c r="AK42" s="281"/>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c r="CK42" s="34"/>
      <c r="CL42" s="34"/>
      <c r="CM42" s="34"/>
      <c r="CN42" s="34"/>
      <c r="CO42" s="34"/>
      <c r="CP42" s="34"/>
      <c r="CQ42" s="34"/>
      <c r="CR42" s="34"/>
      <c r="CS42" s="34"/>
      <c r="CT42" s="34"/>
      <c r="CU42" s="34"/>
      <c r="CV42" s="34"/>
      <c r="CW42" s="34"/>
      <c r="CX42" s="34"/>
      <c r="CY42" s="34"/>
      <c r="CZ42" s="34"/>
      <c r="DA42" s="34"/>
      <c r="DB42" s="34"/>
      <c r="DC42" s="34"/>
      <c r="DD42" s="34"/>
      <c r="DE42" s="34"/>
      <c r="DF42" s="34"/>
      <c r="DG42" s="34"/>
      <c r="DH42" s="34"/>
      <c r="DI42" s="34"/>
      <c r="DJ42" s="34"/>
      <c r="DK42" s="34"/>
      <c r="DL42" s="34"/>
      <c r="DM42" s="34"/>
      <c r="DN42" s="34"/>
      <c r="DO42" s="34"/>
      <c r="DP42" s="34"/>
      <c r="DQ42" s="34"/>
      <c r="DR42" s="34"/>
      <c r="DS42" s="34"/>
      <c r="DT42" s="34"/>
      <c r="DU42" s="34"/>
      <c r="DV42" s="34"/>
      <c r="DW42" s="34"/>
      <c r="DX42" s="34"/>
      <c r="DY42" s="34"/>
      <c r="DZ42" s="34"/>
      <c r="EA42" s="34"/>
      <c r="EB42" s="34"/>
      <c r="EC42" s="34"/>
      <c r="ED42" s="34"/>
      <c r="EE42" s="34"/>
      <c r="EF42" s="34"/>
      <c r="EG42" s="34"/>
      <c r="EH42" s="34"/>
      <c r="EI42" s="34"/>
    </row>
    <row r="43" s="2" customFormat="1" ht="15.95" customHeight="1">
      <c r="B43" s="324"/>
      <c r="C43" s="304" t="s">
        <v>58</v>
      </c>
      <c r="D43" s="310">
        <v>37.315875613747954173486088380</v>
      </c>
      <c r="E43" s="134">
        <v>-2.5069829994744492558648741400</v>
      </c>
      <c r="F43" s="134">
        <v>54.873211503045757189403598240</v>
      </c>
      <c r="G43" s="134">
        <v>-0.1978567159033689750894540800</v>
      </c>
      <c r="H43" s="134">
        <v>68.003812045350835374608178930</v>
      </c>
      <c r="I43" s="134">
        <v>-2.3137041023150733951271711600</v>
      </c>
      <c r="J43" s="319">
        <v>112.76790182291761175303174788</v>
      </c>
      <c r="K43" s="134">
        <v>-0.8872724009208297014315840300</v>
      </c>
      <c r="L43" s="135">
        <v>135.54292512473929544101821423</v>
      </c>
      <c r="M43" s="134">
        <v>-0.9741744703484809567995719500</v>
      </c>
      <c r="N43" s="134">
        <v>83.19718769472528256101107492</v>
      </c>
      <c r="O43" s="311">
        <v>0.0877569755775726487157863900</v>
      </c>
      <c r="P43" s="319">
        <v>42.080329976473347757268802809</v>
      </c>
      <c r="Q43" s="134">
        <v>-3.3720116321274217606749963200</v>
      </c>
      <c r="R43" s="135">
        <v>74.376755981113140797674465622</v>
      </c>
      <c r="S43" s="134">
        <v>-1.1701037165464296645393488200</v>
      </c>
      <c r="T43" s="134">
        <v>56.577259146885150161738831670</v>
      </c>
      <c r="U43" s="311">
        <v>-2.2279775638583324234220340400</v>
      </c>
      <c r="W43" s="281"/>
      <c r="X43" s="281"/>
      <c r="Y43" s="281"/>
      <c r="Z43" s="281"/>
      <c r="AA43" s="281"/>
      <c r="AB43" s="281"/>
      <c r="AC43" s="281"/>
      <c r="AD43" s="281"/>
      <c r="AE43" s="281"/>
      <c r="AF43" s="281"/>
      <c r="AG43" s="281"/>
      <c r="AH43" s="281"/>
      <c r="AI43" s="281"/>
      <c r="AJ43" s="281"/>
      <c r="AK43" s="281"/>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c r="CK43" s="34"/>
      <c r="CL43" s="34"/>
      <c r="CM43" s="34"/>
      <c r="CN43" s="34"/>
      <c r="CO43" s="34"/>
      <c r="CP43" s="34"/>
      <c r="CQ43" s="34"/>
      <c r="CR43" s="34"/>
      <c r="CS43" s="34"/>
      <c r="CT43" s="34"/>
      <c r="CU43" s="34"/>
      <c r="CV43" s="34"/>
      <c r="CW43" s="34"/>
      <c r="CX43" s="34"/>
      <c r="CY43" s="34"/>
      <c r="CZ43" s="34"/>
      <c r="DA43" s="34"/>
      <c r="DB43" s="34"/>
      <c r="DC43" s="34"/>
      <c r="DD43" s="34"/>
      <c r="DE43" s="34"/>
      <c r="DF43" s="34"/>
      <c r="DG43" s="34"/>
      <c r="DH43" s="34"/>
      <c r="DI43" s="34"/>
      <c r="DJ43" s="34"/>
      <c r="DK43" s="34"/>
      <c r="DL43" s="34"/>
      <c r="DM43" s="34"/>
      <c r="DN43" s="34"/>
      <c r="DO43" s="34"/>
      <c r="DP43" s="34"/>
      <c r="DQ43" s="34"/>
      <c r="DR43" s="34"/>
      <c r="DS43" s="34"/>
      <c r="DT43" s="34"/>
      <c r="DU43" s="34"/>
      <c r="DV43" s="34"/>
      <c r="DW43" s="34"/>
      <c r="DX43" s="34"/>
      <c r="DY43" s="34"/>
      <c r="DZ43" s="34"/>
      <c r="EA43" s="34"/>
      <c r="EB43" s="34"/>
      <c r="EC43" s="34"/>
      <c r="ED43" s="34"/>
      <c r="EE43" s="34"/>
      <c r="EF43" s="34"/>
      <c r="EG43" s="34"/>
      <c r="EH43" s="34"/>
      <c r="EI43" s="34"/>
    </row>
    <row r="44" s="2" customFormat="1" ht="15.95" customHeight="1">
      <c r="B44" s="324"/>
      <c r="C44" s="305" t="s">
        <v>44</v>
      </c>
      <c r="D44" s="312">
        <v>33.579033579033579033579033580</v>
      </c>
      <c r="E44" s="159">
        <v>-10.084049619018177504463447750</v>
      </c>
      <c r="F44" s="159">
        <v>56.424422722765264201728290130</v>
      </c>
      <c r="G44" s="159">
        <v>-0.5368959919991292665023907200</v>
      </c>
      <c r="H44" s="159">
        <v>59.511523483367339227329445470</v>
      </c>
      <c r="I44" s="159">
        <v>-9.598688601336156222959731320</v>
      </c>
      <c r="J44" s="320">
        <v>107.92288772107123336694054979</v>
      </c>
      <c r="K44" s="159">
        <v>-4.8120644754545269085990711900</v>
      </c>
      <c r="L44" s="160">
        <v>136.36208056292757277795052015</v>
      </c>
      <c r="M44" s="159">
        <v>-0.4362120157883718567267288200</v>
      </c>
      <c r="N44" s="159">
        <v>79.144353969642927763950586120</v>
      </c>
      <c r="O44" s="313">
        <v>-4.3950240828254389724313630500</v>
      </c>
      <c r="P44" s="320">
        <v>36.239462707321216773501740717</v>
      </c>
      <c r="Q44" s="159">
        <v>-14.410863124960631174216570050</v>
      </c>
      <c r="R44" s="160">
        <v>76.941516770383981070204975457</v>
      </c>
      <c r="S44" s="159">
        <v>-0.9707660029716880122700217900</v>
      </c>
      <c r="T44" s="159">
        <v>47.100010798413087652870413210</v>
      </c>
      <c r="U44" s="313">
        <v>-13.571848008465620564217735990</v>
      </c>
      <c r="W44" s="281"/>
      <c r="X44" s="281"/>
      <c r="Y44" s="281"/>
      <c r="Z44" s="281"/>
      <c r="AA44" s="281"/>
      <c r="AB44" s="281"/>
      <c r="AC44" s="281"/>
      <c r="AD44" s="281"/>
      <c r="AE44" s="281"/>
      <c r="AF44" s="281"/>
      <c r="AG44" s="281"/>
      <c r="AH44" s="281"/>
      <c r="AI44" s="281"/>
      <c r="AJ44" s="281"/>
      <c r="AK44" s="281"/>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c r="CK44" s="34"/>
      <c r="CL44" s="34"/>
      <c r="CM44" s="34"/>
      <c r="CN44" s="34"/>
      <c r="CO44" s="34"/>
      <c r="CP44" s="34"/>
      <c r="CQ44" s="34"/>
      <c r="CR44" s="34"/>
      <c r="CS44" s="34"/>
      <c r="CT44" s="34"/>
      <c r="CU44" s="34"/>
      <c r="CV44" s="34"/>
      <c r="CW44" s="34"/>
      <c r="CX44" s="34"/>
      <c r="CY44" s="34"/>
      <c r="CZ44" s="34"/>
      <c r="DA44" s="34"/>
      <c r="DB44" s="34"/>
      <c r="DC44" s="34"/>
      <c r="DD44" s="34"/>
      <c r="DE44" s="34"/>
      <c r="DF44" s="34"/>
      <c r="DG44" s="34"/>
      <c r="DH44" s="34"/>
      <c r="DI44" s="34"/>
      <c r="DJ44" s="34"/>
      <c r="DK44" s="34"/>
      <c r="DL44" s="34"/>
      <c r="DM44" s="34"/>
      <c r="DN44" s="34"/>
      <c r="DO44" s="34"/>
      <c r="DP44" s="34"/>
      <c r="DQ44" s="34"/>
      <c r="DR44" s="34"/>
      <c r="DS44" s="34"/>
      <c r="DT44" s="34"/>
      <c r="DU44" s="34"/>
      <c r="DV44" s="34"/>
      <c r="DW44" s="34"/>
      <c r="DX44" s="34"/>
      <c r="DY44" s="34"/>
      <c r="DZ44" s="34"/>
      <c r="EA44" s="34"/>
      <c r="EB44" s="34"/>
      <c r="EC44" s="34"/>
      <c r="ED44" s="34"/>
      <c r="EE44" s="34"/>
      <c r="EF44" s="34"/>
      <c r="EG44" s="34"/>
      <c r="EH44" s="34"/>
      <c r="EI44" s="34"/>
    </row>
    <row r="45" s="2" customFormat="1" ht="15.95" customHeight="1">
      <c r="B45" s="325"/>
      <c r="C45" s="306" t="s">
        <v>45</v>
      </c>
      <c r="D45" s="314">
        <v>36.263848994665572425112843660</v>
      </c>
      <c r="E45" s="315">
        <v>-11.181578253553290113892399010</v>
      </c>
      <c r="F45" s="315">
        <v>52.082447938801529961750956230</v>
      </c>
      <c r="G45" s="315">
        <v>0.761832238050528379282547300</v>
      </c>
      <c r="H45" s="315">
        <v>69.627773712321989813255132370</v>
      </c>
      <c r="I45" s="315">
        <v>-11.853109680874221136179781940</v>
      </c>
      <c r="J45" s="321">
        <v>109.25784671224306814710104826</v>
      </c>
      <c r="K45" s="315">
        <v>-0.9445998842875423217096878300</v>
      </c>
      <c r="L45" s="322">
        <v>136.73174781754221024063563266</v>
      </c>
      <c r="M45" s="315">
        <v>1.0536556942521650808821981800</v>
      </c>
      <c r="N45" s="315">
        <v>79.90671402670345532760603209</v>
      </c>
      <c r="O45" s="316">
        <v>-1.9774203761793579036755739700</v>
      </c>
      <c r="P45" s="321">
        <v>39.621100546551010043085987445</v>
      </c>
      <c r="Q45" s="315">
        <v>-12.020556962676991679302497240</v>
      </c>
      <c r="R45" s="322">
        <v>71.213241372884818805736917901</v>
      </c>
      <c r="S45" s="315">
        <v>1.8235150210391505045235157800</v>
      </c>
      <c r="T45" s="315">
        <v>55.637266023434665811233220850</v>
      </c>
      <c r="U45" s="316">
        <v>-13.596144251060579891296985430</v>
      </c>
      <c r="W45" s="281"/>
      <c r="X45" s="281"/>
      <c r="Y45" s="281"/>
      <c r="Z45" s="281"/>
      <c r="AA45" s="281"/>
      <c r="AB45" s="281"/>
      <c r="AC45" s="281"/>
      <c r="AD45" s="281"/>
      <c r="AE45" s="281"/>
      <c r="AF45" s="281"/>
      <c r="AG45" s="281"/>
      <c r="AH45" s="281"/>
      <c r="AI45" s="281"/>
      <c r="AJ45" s="281"/>
      <c r="AK45" s="281"/>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c r="CK45" s="34"/>
      <c r="CL45" s="34"/>
      <c r="CM45" s="34"/>
      <c r="CN45" s="34"/>
      <c r="CO45" s="34"/>
      <c r="CP45" s="34"/>
      <c r="CQ45" s="34"/>
      <c r="CR45" s="34"/>
      <c r="CS45" s="34"/>
      <c r="CT45" s="34"/>
      <c r="CU45" s="34"/>
      <c r="CV45" s="34"/>
      <c r="CW45" s="34"/>
      <c r="CX45" s="34"/>
      <c r="CY45" s="34"/>
      <c r="CZ45" s="34"/>
      <c r="DA45" s="34"/>
      <c r="DB45" s="34"/>
      <c r="DC45" s="34"/>
      <c r="DD45" s="34"/>
      <c r="DE45" s="34"/>
      <c r="DF45" s="34"/>
      <c r="DG45" s="34"/>
      <c r="DH45" s="34"/>
      <c r="DI45" s="34"/>
      <c r="DJ45" s="34"/>
      <c r="DK45" s="34"/>
      <c r="DL45" s="34"/>
      <c r="DM45" s="34"/>
      <c r="DN45" s="34"/>
      <c r="DO45" s="34"/>
      <c r="DP45" s="34"/>
      <c r="DQ45" s="34"/>
      <c r="DR45" s="34"/>
      <c r="DS45" s="34"/>
      <c r="DT45" s="34"/>
      <c r="DU45" s="34"/>
      <c r="DV45" s="34"/>
      <c r="DW45" s="34"/>
      <c r="DX45" s="34"/>
      <c r="DY45" s="34"/>
      <c r="DZ45" s="34"/>
      <c r="EA45" s="34"/>
      <c r="EB45" s="34"/>
      <c r="EC45" s="34"/>
      <c r="ED45" s="34"/>
      <c r="EE45" s="34"/>
      <c r="EF45" s="34"/>
      <c r="EG45" s="34"/>
      <c r="EH45" s="34"/>
      <c r="EI45" s="34"/>
    </row>
    <row r="46" s="2" customFormat="1" ht="5.1" customHeight="1">
      <c r="A46" s="54"/>
      <c r="B46" s="54"/>
      <c r="C46" s="297"/>
      <c r="D46" s="159"/>
      <c r="E46" s="159"/>
      <c r="F46" s="159"/>
      <c r="G46" s="159"/>
      <c r="H46" s="159"/>
      <c r="I46" s="159"/>
      <c r="J46" s="160"/>
      <c r="K46" s="159"/>
      <c r="L46" s="160"/>
      <c r="M46" s="159"/>
      <c r="N46" s="159"/>
      <c r="O46" s="159"/>
      <c r="P46" s="160"/>
      <c r="Q46" s="159"/>
      <c r="R46" s="160"/>
      <c r="S46" s="159"/>
      <c r="T46" s="159"/>
      <c r="U46" s="159"/>
      <c r="W46" s="281"/>
      <c r="X46" s="281"/>
      <c r="Y46" s="281"/>
      <c r="Z46" s="281"/>
      <c r="AA46" s="281"/>
      <c r="AB46" s="281"/>
      <c r="AC46" s="281"/>
      <c r="AD46" s="281"/>
      <c r="AE46" s="281"/>
      <c r="AF46" s="281"/>
      <c r="AG46" s="281"/>
      <c r="AH46" s="281"/>
      <c r="AI46" s="281"/>
      <c r="AJ46" s="281"/>
      <c r="AK46" s="281"/>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c r="CK46" s="34"/>
      <c r="CL46" s="34"/>
      <c r="CM46" s="34"/>
      <c r="CN46" s="34"/>
      <c r="CO46" s="34"/>
      <c r="CP46" s="34"/>
      <c r="CQ46" s="34"/>
      <c r="CR46" s="34"/>
      <c r="CS46" s="34"/>
      <c r="CT46" s="34"/>
      <c r="CU46" s="34"/>
      <c r="CV46" s="34"/>
      <c r="CW46" s="34"/>
      <c r="CX46" s="34"/>
      <c r="CY46" s="34"/>
      <c r="CZ46" s="34"/>
      <c r="DA46" s="34"/>
      <c r="DB46" s="34"/>
      <c r="DC46" s="34"/>
      <c r="DD46" s="34"/>
      <c r="DE46" s="34"/>
      <c r="DF46" s="34"/>
      <c r="DG46" s="34"/>
      <c r="DH46" s="34"/>
      <c r="DI46" s="34"/>
      <c r="DJ46" s="34"/>
      <c r="DK46" s="34"/>
      <c r="DL46" s="34"/>
      <c r="DM46" s="34"/>
      <c r="DN46" s="34"/>
      <c r="DO46" s="34"/>
      <c r="DP46" s="34"/>
      <c r="DQ46" s="34"/>
      <c r="DR46" s="34"/>
      <c r="DS46" s="34"/>
      <c r="DT46" s="34"/>
      <c r="DU46" s="34"/>
      <c r="DV46" s="34"/>
      <c r="DW46" s="34"/>
      <c r="DX46" s="34"/>
      <c r="DY46" s="34"/>
      <c r="DZ46" s="34"/>
      <c r="EA46" s="34"/>
      <c r="EB46" s="34"/>
      <c r="EC46" s="34"/>
      <c r="ED46" s="34"/>
      <c r="EE46" s="34"/>
      <c r="EF46" s="34"/>
      <c r="EG46" s="34"/>
      <c r="EH46" s="34"/>
      <c r="EI46" s="34"/>
    </row>
    <row r="47" s="9" customFormat="1" ht="5.1" customHeight="1">
      <c r="A47" s="54"/>
      <c r="B47" s="54"/>
      <c r="C47" s="297"/>
      <c r="D47" s="159"/>
      <c r="E47" s="159"/>
      <c r="F47" s="159"/>
      <c r="G47" s="159"/>
      <c r="H47" s="159"/>
      <c r="I47" s="159"/>
      <c r="J47" s="160"/>
      <c r="K47" s="159"/>
      <c r="L47" s="160"/>
      <c r="M47" s="159"/>
      <c r="N47" s="159"/>
      <c r="O47" s="159"/>
      <c r="P47" s="160"/>
      <c r="Q47" s="159"/>
      <c r="R47" s="160"/>
      <c r="S47" s="159"/>
      <c r="T47" s="159"/>
      <c r="U47" s="159"/>
      <c r="W47" s="281"/>
      <c r="X47" s="281"/>
      <c r="Y47" s="281"/>
      <c r="Z47" s="281"/>
      <c r="AA47" s="281"/>
      <c r="AB47" s="281"/>
      <c r="AC47" s="281"/>
      <c r="AD47" s="281"/>
      <c r="AE47" s="281"/>
      <c r="AF47" s="281"/>
      <c r="AG47" s="281"/>
      <c r="AH47" s="281"/>
      <c r="AI47" s="281"/>
      <c r="AJ47" s="281"/>
      <c r="AK47" s="281"/>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c r="BS47" s="54"/>
      <c r="BT47" s="54"/>
      <c r="BU47" s="54"/>
      <c r="BV47" s="54"/>
      <c r="BW47" s="54"/>
      <c r="BX47" s="54"/>
      <c r="BY47" s="54"/>
      <c r="BZ47" s="54"/>
      <c r="CA47" s="54"/>
      <c r="CB47" s="54"/>
      <c r="CC47" s="54"/>
      <c r="CD47" s="54"/>
      <c r="CE47" s="54"/>
      <c r="CF47" s="54"/>
      <c r="CG47" s="54"/>
      <c r="CH47" s="54"/>
      <c r="CI47" s="54"/>
      <c r="CJ47" s="54"/>
      <c r="CK47" s="54"/>
      <c r="CL47" s="54"/>
      <c r="CM47" s="54"/>
      <c r="CN47" s="54"/>
      <c r="CO47" s="54"/>
      <c r="CP47" s="54"/>
      <c r="CQ47" s="54"/>
      <c r="CR47" s="54"/>
      <c r="CS47" s="54"/>
      <c r="CT47" s="54"/>
      <c r="CU47" s="54"/>
      <c r="CV47" s="54"/>
      <c r="CW47" s="54"/>
      <c r="CX47" s="54"/>
      <c r="CY47" s="54"/>
      <c r="CZ47" s="54"/>
      <c r="DA47" s="54"/>
      <c r="DB47" s="54"/>
      <c r="DC47" s="54"/>
      <c r="DD47" s="54"/>
      <c r="DE47" s="54"/>
      <c r="DF47" s="54"/>
      <c r="DG47" s="54"/>
      <c r="DH47" s="54"/>
      <c r="DI47" s="54"/>
      <c r="DJ47" s="54"/>
      <c r="DK47" s="54"/>
      <c r="DL47" s="54"/>
      <c r="DM47" s="54"/>
      <c r="DN47" s="54"/>
      <c r="DO47" s="54"/>
      <c r="DP47" s="54"/>
      <c r="DQ47" s="54"/>
      <c r="DR47" s="54"/>
      <c r="DS47" s="54"/>
      <c r="DT47" s="54"/>
      <c r="DU47" s="54"/>
      <c r="DV47" s="54"/>
      <c r="DW47" s="54"/>
      <c r="DX47" s="54"/>
      <c r="DY47" s="54"/>
      <c r="DZ47" s="54"/>
      <c r="EA47" s="54"/>
      <c r="EB47" s="54"/>
      <c r="EC47" s="54"/>
      <c r="ED47" s="54"/>
      <c r="EE47" s="54"/>
      <c r="EF47" s="54"/>
      <c r="EG47" s="54"/>
      <c r="EH47" s="54"/>
      <c r="EI47" s="54"/>
    </row>
    <row r="48" s="2" customFormat="1" ht="15.95" customHeight="1">
      <c r="B48" s="323" t="s">
        <v>50</v>
      </c>
      <c r="C48" s="303" t="s">
        <v>42</v>
      </c>
      <c r="D48" s="307">
        <v>64.322916666666666666666666670</v>
      </c>
      <c r="E48" s="308">
        <v>28.30093833767502749247114100</v>
      </c>
      <c r="F48" s="308">
        <v>73.227440147329650092081031310</v>
      </c>
      <c r="G48" s="308">
        <v>3.6831812255413999751822674200</v>
      </c>
      <c r="H48" s="308">
        <v>87.83990883373566105079467197</v>
      </c>
      <c r="I48" s="308">
        <v>23.743250179421086758494661320</v>
      </c>
      <c r="J48" s="317">
        <v>109.32746317131851702365062854</v>
      </c>
      <c r="K48" s="308">
        <v>-5.9655761300683127204001254500</v>
      </c>
      <c r="L48" s="318">
        <v>136.82754438358975129929081548</v>
      </c>
      <c r="M48" s="308">
        <v>-1.8012044470213669767885010300</v>
      </c>
      <c r="N48" s="308">
        <v>79.90164821259657666597462310</v>
      </c>
      <c r="O48" s="309">
        <v>-4.2407563755141791710912970800</v>
      </c>
      <c r="P48" s="317">
        <v>70.322613029467900273025274087</v>
      </c>
      <c r="Q48" s="308">
        <v>20.647048185731482007808700490</v>
      </c>
      <c r="R48" s="318">
        <v>100.19530816855409734876705434</v>
      </c>
      <c r="S48" s="308">
        <v>1.8156351545092518836482103900</v>
      </c>
      <c r="T48" s="308">
        <v>70.185534946541696696172612650</v>
      </c>
      <c r="U48" s="309">
        <v>18.495600408022586317008491160</v>
      </c>
      <c r="W48" s="281"/>
      <c r="X48" s="281"/>
      <c r="Y48" s="281"/>
      <c r="Z48" s="281"/>
      <c r="AA48" s="281"/>
      <c r="AB48" s="281"/>
      <c r="AC48" s="281"/>
      <c r="AD48" s="281"/>
      <c r="AE48" s="281"/>
      <c r="AF48" s="281"/>
      <c r="AG48" s="281"/>
      <c r="AH48" s="281"/>
      <c r="AI48" s="281"/>
      <c r="AJ48" s="281"/>
      <c r="AK48" s="281"/>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c r="CK48" s="34"/>
      <c r="CL48" s="34"/>
      <c r="CM48" s="34"/>
      <c r="CN48" s="34"/>
      <c r="CO48" s="34"/>
      <c r="CP48" s="34"/>
      <c r="CQ48" s="34"/>
      <c r="CR48" s="34"/>
      <c r="CS48" s="34"/>
      <c r="CT48" s="34"/>
      <c r="CU48" s="34"/>
      <c r="CV48" s="34"/>
      <c r="CW48" s="34"/>
      <c r="CX48" s="34"/>
      <c r="CY48" s="34"/>
      <c r="CZ48" s="34"/>
      <c r="DA48" s="34"/>
      <c r="DB48" s="34"/>
      <c r="DC48" s="34"/>
      <c r="DD48" s="34"/>
      <c r="DE48" s="34"/>
      <c r="DF48" s="34"/>
      <c r="DG48" s="34"/>
      <c r="DH48" s="34"/>
      <c r="DI48" s="34"/>
      <c r="DJ48" s="34"/>
      <c r="DK48" s="34"/>
      <c r="DL48" s="34"/>
      <c r="DM48" s="34"/>
      <c r="DN48" s="34"/>
      <c r="DO48" s="34"/>
      <c r="DP48" s="34"/>
      <c r="DQ48" s="34"/>
      <c r="DR48" s="34"/>
      <c r="DS48" s="34"/>
      <c r="DT48" s="34"/>
      <c r="DU48" s="34"/>
      <c r="DV48" s="34"/>
      <c r="DW48" s="34"/>
      <c r="DX48" s="34"/>
      <c r="DY48" s="34"/>
      <c r="DZ48" s="34"/>
      <c r="EA48" s="34"/>
      <c r="EB48" s="34"/>
      <c r="EC48" s="34"/>
      <c r="ED48" s="34"/>
      <c r="EE48" s="34"/>
      <c r="EF48" s="34"/>
      <c r="EG48" s="34"/>
      <c r="EH48" s="34"/>
      <c r="EI48" s="34"/>
    </row>
    <row r="49" s="2" customFormat="1" ht="15.95" customHeight="1">
      <c r="B49" s="324"/>
      <c r="C49" s="304" t="s">
        <v>58</v>
      </c>
      <c r="D49" s="310">
        <v>53.702945990180032733224222590</v>
      </c>
      <c r="E49" s="134">
        <v>7.4503296684278657599615130600</v>
      </c>
      <c r="F49" s="134">
        <v>63.004674883127921801954951130</v>
      </c>
      <c r="G49" s="134">
        <v>-2.1738359249371822893477697200</v>
      </c>
      <c r="H49" s="134">
        <v>85.23644648563211964021427053</v>
      </c>
      <c r="I49" s="134">
        <v>9.838028184348724325872434580</v>
      </c>
      <c r="J49" s="319">
        <v>112.94243055311302770464875456</v>
      </c>
      <c r="K49" s="134">
        <v>-4.3166486359086104918973163600</v>
      </c>
      <c r="L49" s="135">
        <v>134.27290423531833377381026594</v>
      </c>
      <c r="M49" s="134">
        <v>-2.0585792201935044098541149600</v>
      </c>
      <c r="N49" s="134">
        <v>84.11408928430755889414074822</v>
      </c>
      <c r="O49" s="311">
        <v>-2.3055305893243399554503775900</v>
      </c>
      <c r="P49" s="319">
        <v>60.653412479934880876575896217</v>
      </c>
      <c r="Q49" s="134">
        <v>2.8120764785400282412475436400</v>
      </c>
      <c r="R49" s="135">
        <v>84.59820676959601777291700776</v>
      </c>
      <c r="S49" s="134">
        <v>-4.1876650104659618128108568800</v>
      </c>
      <c r="T49" s="134">
        <v>71.695860699650695822159799900</v>
      </c>
      <c r="U49" s="311">
        <v>7.3056788457837960755521085200</v>
      </c>
      <c r="W49" s="281"/>
      <c r="X49" s="281"/>
      <c r="Y49" s="281"/>
      <c r="Z49" s="281"/>
      <c r="AA49" s="281"/>
      <c r="AB49" s="281"/>
      <c r="AC49" s="281"/>
      <c r="AD49" s="281"/>
      <c r="AE49" s="281"/>
      <c r="AF49" s="281"/>
      <c r="AG49" s="281"/>
      <c r="AH49" s="281"/>
      <c r="AI49" s="281"/>
      <c r="AJ49" s="281"/>
      <c r="AK49" s="281"/>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c r="CK49" s="34"/>
      <c r="CL49" s="34"/>
      <c r="CM49" s="34"/>
      <c r="CN49" s="34"/>
      <c r="CO49" s="34"/>
      <c r="CP49" s="34"/>
      <c r="CQ49" s="34"/>
      <c r="CR49" s="34"/>
      <c r="CS49" s="34"/>
      <c r="CT49" s="34"/>
      <c r="CU49" s="34"/>
      <c r="CV49" s="34"/>
      <c r="CW49" s="34"/>
      <c r="CX49" s="34"/>
      <c r="CY49" s="34"/>
      <c r="CZ49" s="34"/>
      <c r="DA49" s="34"/>
      <c r="DB49" s="34"/>
      <c r="DC49" s="34"/>
      <c r="DD49" s="34"/>
      <c r="DE49" s="34"/>
      <c r="DF49" s="34"/>
      <c r="DG49" s="34"/>
      <c r="DH49" s="34"/>
      <c r="DI49" s="34"/>
      <c r="DJ49" s="34"/>
      <c r="DK49" s="34"/>
      <c r="DL49" s="34"/>
      <c r="DM49" s="34"/>
      <c r="DN49" s="34"/>
      <c r="DO49" s="34"/>
      <c r="DP49" s="34"/>
      <c r="DQ49" s="34"/>
      <c r="DR49" s="34"/>
      <c r="DS49" s="34"/>
      <c r="DT49" s="34"/>
      <c r="DU49" s="34"/>
      <c r="DV49" s="34"/>
      <c r="DW49" s="34"/>
      <c r="DX49" s="34"/>
      <c r="DY49" s="34"/>
      <c r="DZ49" s="34"/>
      <c r="EA49" s="34"/>
      <c r="EB49" s="34"/>
      <c r="EC49" s="34"/>
      <c r="ED49" s="34"/>
      <c r="EE49" s="34"/>
      <c r="EF49" s="34"/>
      <c r="EG49" s="34"/>
      <c r="EH49" s="34"/>
      <c r="EI49" s="34"/>
    </row>
    <row r="50" s="2" customFormat="1" ht="15.95" customHeight="1">
      <c r="B50" s="324"/>
      <c r="C50" s="305" t="s">
        <v>44</v>
      </c>
      <c r="D50" s="312">
        <v>52.497952497952497952497952500</v>
      </c>
      <c r="E50" s="159">
        <v>1.2281093621252136886028247700</v>
      </c>
      <c r="F50" s="159">
        <v>64.931293384332058365207536480</v>
      </c>
      <c r="G50" s="159">
        <v>-2.9125185342096149622567748800</v>
      </c>
      <c r="H50" s="159">
        <v>80.85154285660077453652613380</v>
      </c>
      <c r="I50" s="159">
        <v>4.2648422164112264167642240700</v>
      </c>
      <c r="J50" s="320">
        <v>112.05355530735394083599157725</v>
      </c>
      <c r="K50" s="159">
        <v>-7.2421905423431166685232868400</v>
      </c>
      <c r="L50" s="160">
        <v>134.22786851245425413861637383</v>
      </c>
      <c r="M50" s="159">
        <v>-4.3390763582788754070984755800</v>
      </c>
      <c r="N50" s="159">
        <v>83.48009735170526727616807745</v>
      </c>
      <c r="O50" s="313">
        <v>-3.0347963133965244848427259500</v>
      </c>
      <c r="P50" s="320">
        <v>58.825822237521602027740049975</v>
      </c>
      <c r="Q50" s="159">
        <v>-6.1030232002784003256721175500</v>
      </c>
      <c r="R50" s="160">
        <v>87.15589110735714319936933694</v>
      </c>
      <c r="S50" s="159">
        <v>-7.125218489383560436730650200</v>
      </c>
      <c r="T50" s="159">
        <v>67.494946687002522050860958200</v>
      </c>
      <c r="U50" s="313">
        <v>1.1006166285359680390637284300</v>
      </c>
      <c r="W50" s="281"/>
      <c r="X50" s="281"/>
      <c r="Y50" s="281"/>
      <c r="Z50" s="281"/>
      <c r="AA50" s="281"/>
      <c r="AB50" s="281"/>
      <c r="AC50" s="281"/>
      <c r="AD50" s="281"/>
      <c r="AE50" s="281"/>
      <c r="AF50" s="281"/>
      <c r="AG50" s="281"/>
      <c r="AH50" s="281"/>
      <c r="AI50" s="281"/>
      <c r="AJ50" s="281"/>
      <c r="AK50" s="281"/>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c r="CK50" s="34"/>
      <c r="CL50" s="34"/>
      <c r="CM50" s="34"/>
      <c r="CN50" s="34"/>
      <c r="CO50" s="34"/>
      <c r="CP50" s="34"/>
      <c r="CQ50" s="34"/>
      <c r="CR50" s="34"/>
      <c r="CS50" s="34"/>
      <c r="CT50" s="34"/>
      <c r="CU50" s="34"/>
      <c r="CV50" s="34"/>
      <c r="CW50" s="34"/>
      <c r="CX50" s="34"/>
      <c r="CY50" s="34"/>
      <c r="CZ50" s="34"/>
      <c r="DA50" s="34"/>
      <c r="DB50" s="34"/>
      <c r="DC50" s="34"/>
      <c r="DD50" s="34"/>
      <c r="DE50" s="34"/>
      <c r="DF50" s="34"/>
      <c r="DG50" s="34"/>
      <c r="DH50" s="34"/>
      <c r="DI50" s="34"/>
      <c r="DJ50" s="34"/>
      <c r="DK50" s="34"/>
      <c r="DL50" s="34"/>
      <c r="DM50" s="34"/>
      <c r="DN50" s="34"/>
      <c r="DO50" s="34"/>
      <c r="DP50" s="34"/>
      <c r="DQ50" s="34"/>
      <c r="DR50" s="34"/>
      <c r="DS50" s="34"/>
      <c r="DT50" s="34"/>
      <c r="DU50" s="34"/>
      <c r="DV50" s="34"/>
      <c r="DW50" s="34"/>
      <c r="DX50" s="34"/>
      <c r="DY50" s="34"/>
      <c r="DZ50" s="34"/>
      <c r="EA50" s="34"/>
      <c r="EB50" s="34"/>
      <c r="EC50" s="34"/>
      <c r="ED50" s="34"/>
      <c r="EE50" s="34"/>
      <c r="EF50" s="34"/>
      <c r="EG50" s="34"/>
      <c r="EH50" s="34"/>
      <c r="EI50" s="34"/>
    </row>
    <row r="51" s="2" customFormat="1" ht="15.95" customHeight="1">
      <c r="B51" s="325"/>
      <c r="C51" s="306" t="s">
        <v>45</v>
      </c>
      <c r="D51" s="314">
        <v>49.948707427164546573656134590</v>
      </c>
      <c r="E51" s="315">
        <v>-8.727772863191926218175884250</v>
      </c>
      <c r="F51" s="315">
        <v>61.338362374273976483921235300</v>
      </c>
      <c r="G51" s="315">
        <v>-1.4681595308344111580260846300</v>
      </c>
      <c r="H51" s="315">
        <v>81.43143294626402487857417756</v>
      </c>
      <c r="I51" s="315">
        <v>-7.3677841576277485692668579700</v>
      </c>
      <c r="J51" s="321">
        <v>118.24019476774534226349447167</v>
      </c>
      <c r="K51" s="315">
        <v>0.6019485699882675280237193100</v>
      </c>
      <c r="L51" s="322">
        <v>136.59573118202239801628526659</v>
      </c>
      <c r="M51" s="315">
        <v>-0.0915019550791427808988211500</v>
      </c>
      <c r="N51" s="315">
        <v>86.56214491081147955188846926</v>
      </c>
      <c r="O51" s="316">
        <v>0.6940856270977740508141616800</v>
      </c>
      <c r="P51" s="321">
        <v>59.059448945850643360787298169</v>
      </c>
      <c r="Q51" s="315">
        <v>-8.178360997092917205831683540</v>
      </c>
      <c r="R51" s="322">
        <v>83.78558458021805221855265174</v>
      </c>
      <c r="S51" s="315">
        <v>-1.5583180912560589059507457200</v>
      </c>
      <c r="T51" s="315">
        <v>70.488794989928881833920171480</v>
      </c>
      <c r="U51" s="316">
        <v>-6.7248372614251955299559017800</v>
      </c>
      <c r="W51" s="281"/>
      <c r="X51" s="281"/>
      <c r="Y51" s="281"/>
      <c r="Z51" s="281"/>
      <c r="AA51" s="281"/>
      <c r="AB51" s="281"/>
      <c r="AC51" s="281"/>
      <c r="AD51" s="281"/>
      <c r="AE51" s="281"/>
      <c r="AF51" s="281"/>
      <c r="AG51" s="281"/>
      <c r="AH51" s="281"/>
      <c r="AI51" s="281"/>
      <c r="AJ51" s="281"/>
      <c r="AK51" s="281"/>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c r="CK51" s="34"/>
      <c r="CL51" s="34"/>
      <c r="CM51" s="34"/>
      <c r="CN51" s="34"/>
      <c r="CO51" s="34"/>
      <c r="CP51" s="34"/>
      <c r="CQ51" s="34"/>
      <c r="CR51" s="34"/>
      <c r="CS51" s="34"/>
      <c r="CT51" s="34"/>
      <c r="CU51" s="34"/>
      <c r="CV51" s="34"/>
      <c r="CW51" s="34"/>
      <c r="CX51" s="34"/>
      <c r="CY51" s="34"/>
      <c r="CZ51" s="34"/>
      <c r="DA51" s="34"/>
      <c r="DB51" s="34"/>
      <c r="DC51" s="34"/>
      <c r="DD51" s="34"/>
      <c r="DE51" s="34"/>
      <c r="DF51" s="34"/>
      <c r="DG51" s="34"/>
      <c r="DH51" s="34"/>
      <c r="DI51" s="34"/>
      <c r="DJ51" s="34"/>
      <c r="DK51" s="34"/>
      <c r="DL51" s="34"/>
      <c r="DM51" s="34"/>
      <c r="DN51" s="34"/>
      <c r="DO51" s="34"/>
      <c r="DP51" s="34"/>
      <c r="DQ51" s="34"/>
      <c r="DR51" s="34"/>
      <c r="DS51" s="34"/>
      <c r="DT51" s="34"/>
      <c r="DU51" s="34"/>
      <c r="DV51" s="34"/>
      <c r="DW51" s="34"/>
      <c r="DX51" s="34"/>
      <c r="DY51" s="34"/>
      <c r="DZ51" s="34"/>
      <c r="EA51" s="34"/>
      <c r="EB51" s="34"/>
      <c r="EC51" s="34"/>
      <c r="ED51" s="34"/>
      <c r="EE51" s="34"/>
      <c r="EF51" s="34"/>
      <c r="EG51" s="34"/>
      <c r="EH51" s="34"/>
      <c r="EI51" s="34"/>
    </row>
    <row r="52" s="2" customFormat="1" ht="5.1" customHeight="1">
      <c r="B52" s="54"/>
      <c r="C52" s="297"/>
      <c r="D52" s="159"/>
      <c r="E52" s="159"/>
      <c r="F52" s="159"/>
      <c r="G52" s="159"/>
      <c r="H52" s="159"/>
      <c r="I52" s="159"/>
      <c r="J52" s="160"/>
      <c r="K52" s="159"/>
      <c r="L52" s="160"/>
      <c r="M52" s="159"/>
      <c r="N52" s="159"/>
      <c r="O52" s="159"/>
      <c r="P52" s="160"/>
      <c r="Q52" s="159"/>
      <c r="R52" s="160"/>
      <c r="S52" s="159"/>
      <c r="T52" s="159"/>
      <c r="U52" s="159"/>
      <c r="W52" s="281"/>
      <c r="X52" s="281"/>
      <c r="Y52" s="281"/>
      <c r="Z52" s="281"/>
      <c r="AA52" s="281"/>
      <c r="AB52" s="281"/>
      <c r="AC52" s="281"/>
      <c r="AD52" s="281"/>
      <c r="AE52" s="281"/>
      <c r="AF52" s="281"/>
      <c r="AG52" s="281"/>
      <c r="AH52" s="281"/>
      <c r="AI52" s="281"/>
      <c r="AJ52" s="281"/>
      <c r="AK52" s="281"/>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c r="CK52" s="34"/>
      <c r="CL52" s="34"/>
      <c r="CM52" s="34"/>
      <c r="CN52" s="34"/>
      <c r="CO52" s="34"/>
      <c r="CP52" s="34"/>
      <c r="CQ52" s="34"/>
      <c r="CR52" s="34"/>
      <c r="CS52" s="34"/>
      <c r="CT52" s="34"/>
      <c r="CU52" s="34"/>
      <c r="CV52" s="34"/>
      <c r="CW52" s="34"/>
      <c r="CX52" s="34"/>
      <c r="CY52" s="34"/>
      <c r="CZ52" s="34"/>
      <c r="DA52" s="34"/>
      <c r="DB52" s="34"/>
      <c r="DC52" s="34"/>
      <c r="DD52" s="34"/>
      <c r="DE52" s="34"/>
      <c r="DF52" s="34"/>
      <c r="DG52" s="34"/>
      <c r="DH52" s="34"/>
      <c r="DI52" s="34"/>
      <c r="DJ52" s="34"/>
      <c r="DK52" s="34"/>
      <c r="DL52" s="34"/>
      <c r="DM52" s="34"/>
      <c r="DN52" s="34"/>
      <c r="DO52" s="34"/>
      <c r="DP52" s="34"/>
      <c r="DQ52" s="34"/>
      <c r="DR52" s="34"/>
      <c r="DS52" s="34"/>
      <c r="DT52" s="34"/>
      <c r="DU52" s="34"/>
      <c r="DV52" s="34"/>
      <c r="DW52" s="34"/>
      <c r="DX52" s="34"/>
      <c r="DY52" s="34"/>
      <c r="DZ52" s="34"/>
      <c r="EA52" s="34"/>
      <c r="EB52" s="34"/>
      <c r="EC52" s="34"/>
      <c r="ED52" s="34"/>
      <c r="EE52" s="34"/>
      <c r="EF52" s="34"/>
      <c r="EG52" s="34"/>
      <c r="EH52" s="34"/>
      <c r="EI52" s="34"/>
    </row>
    <row r="53" s="9" customFormat="1" ht="5.1" customHeight="1">
      <c r="B53" s="54"/>
      <c r="C53" s="297"/>
      <c r="D53" s="159"/>
      <c r="E53" s="159"/>
      <c r="F53" s="159"/>
      <c r="G53" s="159"/>
      <c r="H53" s="159"/>
      <c r="I53" s="159"/>
      <c r="J53" s="160"/>
      <c r="K53" s="159"/>
      <c r="L53" s="160"/>
      <c r="M53" s="159"/>
      <c r="N53" s="159"/>
      <c r="O53" s="159"/>
      <c r="P53" s="160"/>
      <c r="Q53" s="159"/>
      <c r="R53" s="160"/>
      <c r="S53" s="159"/>
      <c r="T53" s="159"/>
      <c r="U53" s="159"/>
      <c r="W53" s="281"/>
      <c r="X53" s="281"/>
      <c r="Y53" s="281"/>
      <c r="Z53" s="281"/>
      <c r="AA53" s="281"/>
      <c r="AB53" s="281"/>
      <c r="AC53" s="281"/>
      <c r="AD53" s="281"/>
      <c r="AE53" s="281"/>
      <c r="AF53" s="281"/>
      <c r="AG53" s="281"/>
      <c r="AH53" s="281"/>
      <c r="AI53" s="281"/>
      <c r="AJ53" s="281"/>
      <c r="AK53" s="281"/>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c r="BS53" s="54"/>
      <c r="BT53" s="54"/>
      <c r="BU53" s="54"/>
      <c r="BV53" s="54"/>
      <c r="BW53" s="54"/>
      <c r="BX53" s="54"/>
      <c r="BY53" s="54"/>
      <c r="BZ53" s="54"/>
      <c r="CA53" s="54"/>
      <c r="CB53" s="54"/>
      <c r="CC53" s="54"/>
      <c r="CD53" s="54"/>
      <c r="CE53" s="54"/>
      <c r="CF53" s="54"/>
      <c r="CG53" s="54"/>
      <c r="CH53" s="54"/>
      <c r="CI53" s="54"/>
      <c r="CJ53" s="54"/>
      <c r="CK53" s="54"/>
      <c r="CL53" s="54"/>
      <c r="CM53" s="54"/>
      <c r="CN53" s="54"/>
      <c r="CO53" s="54"/>
      <c r="CP53" s="54"/>
      <c r="CQ53" s="54"/>
      <c r="CR53" s="54"/>
      <c r="CS53" s="54"/>
      <c r="CT53" s="54"/>
      <c r="CU53" s="54"/>
      <c r="CV53" s="54"/>
      <c r="CW53" s="54"/>
      <c r="CX53" s="54"/>
      <c r="CY53" s="54"/>
      <c r="CZ53" s="54"/>
      <c r="DA53" s="54"/>
      <c r="DB53" s="54"/>
      <c r="DC53" s="54"/>
      <c r="DD53" s="54"/>
      <c r="DE53" s="54"/>
      <c r="DF53" s="54"/>
      <c r="DG53" s="54"/>
      <c r="DH53" s="54"/>
      <c r="DI53" s="54"/>
      <c r="DJ53" s="54"/>
      <c r="DK53" s="54"/>
      <c r="DL53" s="54"/>
      <c r="DM53" s="54"/>
      <c r="DN53" s="54"/>
      <c r="DO53" s="54"/>
      <c r="DP53" s="54"/>
      <c r="DQ53" s="54"/>
      <c r="DR53" s="54"/>
      <c r="DS53" s="54"/>
      <c r="DT53" s="54"/>
      <c r="DU53" s="54"/>
      <c r="DV53" s="54"/>
      <c r="DW53" s="54"/>
      <c r="DX53" s="54"/>
      <c r="DY53" s="54"/>
      <c r="DZ53" s="54"/>
      <c r="EA53" s="54"/>
      <c r="EB53" s="54"/>
      <c r="EC53" s="54"/>
      <c r="ED53" s="54"/>
      <c r="EE53" s="54"/>
      <c r="EF53" s="54"/>
      <c r="EG53" s="54"/>
      <c r="EH53" s="54"/>
      <c r="EI53" s="54"/>
    </row>
    <row r="54" s="2" customFormat="1" ht="15.95" customHeight="1">
      <c r="B54" s="323" t="s">
        <v>51</v>
      </c>
      <c r="C54" s="303" t="s">
        <v>42</v>
      </c>
      <c r="D54" s="307">
        <v>55.07812500</v>
      </c>
      <c r="E54" s="308">
        <v>8.522576800939425912543169010</v>
      </c>
      <c r="F54" s="308">
        <v>69.797421731123388581952117860</v>
      </c>
      <c r="G54" s="308">
        <v>14.053566054766354090699525530</v>
      </c>
      <c r="H54" s="308">
        <v>78.911403364142537594267140110</v>
      </c>
      <c r="I54" s="308">
        <v>-4.8494663035801524912403965600</v>
      </c>
      <c r="J54" s="317">
        <v>105.03421975284046987371055969</v>
      </c>
      <c r="K54" s="308">
        <v>-4.0713267127214649569226174400</v>
      </c>
      <c r="L54" s="318">
        <v>135.25866169035913506621320955</v>
      </c>
      <c r="M54" s="308">
        <v>0.5980280752392333326475999700</v>
      </c>
      <c r="N54" s="308">
        <v>77.654339056864471714028166360</v>
      </c>
      <c r="O54" s="309">
        <v>-4.6415967364666944615667393700</v>
      </c>
      <c r="P54" s="317">
        <v>57.850878848244165047629644202</v>
      </c>
      <c r="Q54" s="308">
        <v>4.1042681422257222231340981400</v>
      </c>
      <c r="R54" s="318">
        <v>94.40705852789339261527588659</v>
      </c>
      <c r="S54" s="308">
        <v>14.735638400642376157856790550</v>
      </c>
      <c r="T54" s="308">
        <v>61.278128722914894264962602030</v>
      </c>
      <c r="U54" s="309">
        <v>-9.265970370449171765490760880</v>
      </c>
      <c r="W54" s="281"/>
      <c r="X54" s="281"/>
      <c r="Y54" s="281"/>
      <c r="Z54" s="281"/>
      <c r="AA54" s="281"/>
      <c r="AB54" s="281"/>
      <c r="AC54" s="281"/>
      <c r="AD54" s="281"/>
      <c r="AE54" s="281"/>
      <c r="AF54" s="281"/>
      <c r="AG54" s="281"/>
      <c r="AH54" s="281"/>
      <c r="AI54" s="281"/>
      <c r="AJ54" s="281"/>
      <c r="AK54" s="281"/>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c r="CK54" s="34"/>
      <c r="CL54" s="34"/>
      <c r="CM54" s="34"/>
      <c r="CN54" s="34"/>
      <c r="CO54" s="34"/>
      <c r="CP54" s="34"/>
      <c r="CQ54" s="34"/>
      <c r="CR54" s="34"/>
      <c r="CS54" s="34"/>
      <c r="CT54" s="34"/>
      <c r="CU54" s="34"/>
      <c r="CV54" s="34"/>
      <c r="CW54" s="34"/>
      <c r="CX54" s="34"/>
      <c r="CY54" s="34"/>
      <c r="CZ54" s="34"/>
      <c r="DA54" s="34"/>
      <c r="DB54" s="34"/>
      <c r="DC54" s="34"/>
      <c r="DD54" s="34"/>
      <c r="DE54" s="34"/>
      <c r="DF54" s="34"/>
      <c r="DG54" s="34"/>
      <c r="DH54" s="34"/>
      <c r="DI54" s="34"/>
      <c r="DJ54" s="34"/>
      <c r="DK54" s="34"/>
      <c r="DL54" s="34"/>
      <c r="DM54" s="34"/>
      <c r="DN54" s="34"/>
      <c r="DO54" s="34"/>
      <c r="DP54" s="34"/>
      <c r="DQ54" s="34"/>
      <c r="DR54" s="34"/>
      <c r="DS54" s="34"/>
      <c r="DT54" s="34"/>
      <c r="DU54" s="34"/>
      <c r="DV54" s="34"/>
      <c r="DW54" s="34"/>
      <c r="DX54" s="34"/>
      <c r="DY54" s="34"/>
      <c r="DZ54" s="34"/>
      <c r="EA54" s="34"/>
      <c r="EB54" s="34"/>
      <c r="EC54" s="34"/>
      <c r="ED54" s="34"/>
      <c r="EE54" s="34"/>
      <c r="EF54" s="34"/>
      <c r="EG54" s="34"/>
      <c r="EH54" s="34"/>
      <c r="EI54" s="34"/>
    </row>
    <row r="55" s="2" customFormat="1" ht="15.95" customHeight="1">
      <c r="B55" s="324"/>
      <c r="C55" s="304" t="s">
        <v>58</v>
      </c>
      <c r="D55" s="310">
        <v>52.516366612111292962356792140</v>
      </c>
      <c r="E55" s="134">
        <v>4.4710608540418121189312451500</v>
      </c>
      <c r="F55" s="134">
        <v>61.315342116447088822779430510</v>
      </c>
      <c r="G55" s="134">
        <v>-1.8619106862451536689495008300</v>
      </c>
      <c r="H55" s="134">
        <v>85.64963482127379804942471202</v>
      </c>
      <c r="I55" s="134">
        <v>6.45312292565212128683700200</v>
      </c>
      <c r="J55" s="319">
        <v>110.54681274885728035206367986</v>
      </c>
      <c r="K55" s="134">
        <v>-4.7493823159491486094311222800</v>
      </c>
      <c r="L55" s="135">
        <v>133.86279524973155732411964926</v>
      </c>
      <c r="M55" s="134">
        <v>-2.4517892047300961682473660700</v>
      </c>
      <c r="N55" s="134">
        <v>82.58217867231113783878692259</v>
      </c>
      <c r="O55" s="311">
        <v>-2.3553411102792938930853617500</v>
      </c>
      <c r="P55" s="319">
        <v>58.055169461194075013041625653</v>
      </c>
      <c r="Q55" s="134">
        <v>-0.4906692353251480912467249400</v>
      </c>
      <c r="R55" s="135">
        <v>82.07843087401198654032028218</v>
      </c>
      <c r="S55" s="134">
        <v>-4.2680497657220032884586286100</v>
      </c>
      <c r="T55" s="134">
        <v>70.731334460225679061684282530</v>
      </c>
      <c r="U55" s="311">
        <v>3.9457887582443025307230289500</v>
      </c>
      <c r="W55" s="281"/>
      <c r="X55" s="281"/>
      <c r="Y55" s="281"/>
      <c r="Z55" s="281"/>
      <c r="AA55" s="281"/>
      <c r="AB55" s="281"/>
      <c r="AC55" s="281"/>
      <c r="AD55" s="281"/>
      <c r="AE55" s="281"/>
      <c r="AF55" s="281"/>
      <c r="AG55" s="281"/>
      <c r="AH55" s="281"/>
      <c r="AI55" s="281"/>
      <c r="AJ55" s="281"/>
      <c r="AK55" s="281"/>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c r="CK55" s="34"/>
      <c r="CL55" s="34"/>
      <c r="CM55" s="34"/>
      <c r="CN55" s="34"/>
      <c r="CO55" s="34"/>
      <c r="CP55" s="34"/>
      <c r="CQ55" s="34"/>
      <c r="CR55" s="34"/>
      <c r="CS55" s="34"/>
      <c r="CT55" s="34"/>
      <c r="CU55" s="34"/>
      <c r="CV55" s="34"/>
      <c r="CW55" s="34"/>
      <c r="CX55" s="34"/>
      <c r="CY55" s="34"/>
      <c r="CZ55" s="34"/>
      <c r="DA55" s="34"/>
      <c r="DB55" s="34"/>
      <c r="DC55" s="34"/>
      <c r="DD55" s="34"/>
      <c r="DE55" s="34"/>
      <c r="DF55" s="34"/>
      <c r="DG55" s="34"/>
      <c r="DH55" s="34"/>
      <c r="DI55" s="34"/>
      <c r="DJ55" s="34"/>
      <c r="DK55" s="34"/>
      <c r="DL55" s="34"/>
      <c r="DM55" s="34"/>
      <c r="DN55" s="34"/>
      <c r="DO55" s="34"/>
      <c r="DP55" s="34"/>
      <c r="DQ55" s="34"/>
      <c r="DR55" s="34"/>
      <c r="DS55" s="34"/>
      <c r="DT55" s="34"/>
      <c r="DU55" s="34"/>
      <c r="DV55" s="34"/>
      <c r="DW55" s="34"/>
      <c r="DX55" s="34"/>
      <c r="DY55" s="34"/>
      <c r="DZ55" s="34"/>
      <c r="EA55" s="34"/>
      <c r="EB55" s="34"/>
      <c r="EC55" s="34"/>
      <c r="ED55" s="34"/>
      <c r="EE55" s="34"/>
      <c r="EF55" s="34"/>
      <c r="EG55" s="34"/>
      <c r="EH55" s="34"/>
      <c r="EI55" s="34"/>
    </row>
    <row r="56" s="2" customFormat="1" ht="15.95" customHeight="1">
      <c r="B56" s="324"/>
      <c r="C56" s="305" t="s">
        <v>44</v>
      </c>
      <c r="D56" s="312">
        <v>54.545454545454545454545454550</v>
      </c>
      <c r="E56" s="159">
        <v>9.817576262304856920698790650</v>
      </c>
      <c r="F56" s="159">
        <v>63.755489446097180903810738060</v>
      </c>
      <c r="G56" s="159">
        <v>-0.7169644826285391648828947700</v>
      </c>
      <c r="H56" s="159">
        <v>85.55413034914934142688520897</v>
      </c>
      <c r="I56" s="159">
        <v>10.610615086422890588474682040</v>
      </c>
      <c r="J56" s="320">
        <v>108.92818352304373799848995881</v>
      </c>
      <c r="K56" s="159">
        <v>-6.5679255503517338949323360600</v>
      </c>
      <c r="L56" s="160">
        <v>134.79251251521005743149708587</v>
      </c>
      <c r="M56" s="159">
        <v>-3.4506420055704263153858866300</v>
      </c>
      <c r="N56" s="159">
        <v>80.81174650614243319305759581</v>
      </c>
      <c r="O56" s="313">
        <v>-3.2286942239045505873284781400</v>
      </c>
      <c r="P56" s="320">
        <v>59.415372830751129817358159353</v>
      </c>
      <c r="Q56" s="159">
        <v>2.6048396120384742988933045100</v>
      </c>
      <c r="R56" s="160">
        <v>85.93762609076396989240014661</v>
      </c>
      <c r="S56" s="159">
        <v>-4.1428666106042071834317370100</v>
      </c>
      <c r="T56" s="159">
        <v>69.137786943258147802313926090</v>
      </c>
      <c r="U56" s="313">
        <v>7.0393365460562546293828220800</v>
      </c>
      <c r="W56" s="281"/>
      <c r="X56" s="281"/>
      <c r="Y56" s="281"/>
      <c r="Z56" s="281"/>
      <c r="AA56" s="281"/>
      <c r="AB56" s="281"/>
      <c r="AC56" s="281"/>
      <c r="AD56" s="281"/>
      <c r="AE56" s="281"/>
      <c r="AF56" s="281"/>
      <c r="AG56" s="281"/>
      <c r="AH56" s="281"/>
      <c r="AI56" s="281"/>
      <c r="AJ56" s="281"/>
      <c r="AK56" s="281"/>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c r="CK56" s="34"/>
      <c r="CL56" s="34"/>
      <c r="CM56" s="34"/>
      <c r="CN56" s="34"/>
      <c r="CO56" s="34"/>
      <c r="CP56" s="34"/>
      <c r="CQ56" s="34"/>
      <c r="CR56" s="34"/>
      <c r="CS56" s="34"/>
      <c r="CT56" s="34"/>
      <c r="CU56" s="34"/>
      <c r="CV56" s="34"/>
      <c r="CW56" s="34"/>
      <c r="CX56" s="34"/>
      <c r="CY56" s="34"/>
      <c r="CZ56" s="34"/>
      <c r="DA56" s="34"/>
      <c r="DB56" s="34"/>
      <c r="DC56" s="34"/>
      <c r="DD56" s="34"/>
      <c r="DE56" s="34"/>
      <c r="DF56" s="34"/>
      <c r="DG56" s="34"/>
      <c r="DH56" s="34"/>
      <c r="DI56" s="34"/>
      <c r="DJ56" s="34"/>
      <c r="DK56" s="34"/>
      <c r="DL56" s="34"/>
      <c r="DM56" s="34"/>
      <c r="DN56" s="34"/>
      <c r="DO56" s="34"/>
      <c r="DP56" s="34"/>
      <c r="DQ56" s="34"/>
      <c r="DR56" s="34"/>
      <c r="DS56" s="34"/>
      <c r="DT56" s="34"/>
      <c r="DU56" s="34"/>
      <c r="DV56" s="34"/>
      <c r="DW56" s="34"/>
      <c r="DX56" s="34"/>
      <c r="DY56" s="34"/>
      <c r="DZ56" s="34"/>
      <c r="EA56" s="34"/>
      <c r="EB56" s="34"/>
      <c r="EC56" s="34"/>
      <c r="ED56" s="34"/>
      <c r="EE56" s="34"/>
      <c r="EF56" s="34"/>
      <c r="EG56" s="34"/>
      <c r="EH56" s="34"/>
      <c r="EI56" s="34"/>
    </row>
    <row r="57" s="2" customFormat="1" ht="15.95" customHeight="1">
      <c r="B57" s="325"/>
      <c r="C57" s="306" t="s">
        <v>45</v>
      </c>
      <c r="D57" s="314">
        <v>49.405006155108740254411161260</v>
      </c>
      <c r="E57" s="315">
        <v>-10.240591471196002786196173480</v>
      </c>
      <c r="F57" s="315">
        <v>58.931860036832412523020257830</v>
      </c>
      <c r="G57" s="315">
        <v>-1.9254403364389876650102517300</v>
      </c>
      <c r="H57" s="315">
        <v>83.83411981949625238510466220</v>
      </c>
      <c r="I57" s="315">
        <v>-8.478397622443750897655970080</v>
      </c>
      <c r="J57" s="321">
        <v>114.56767772929847395291942673</v>
      </c>
      <c r="K57" s="315">
        <v>-2.4884774482241385784075836700</v>
      </c>
      <c r="L57" s="322">
        <v>135.73738308988173509049317031</v>
      </c>
      <c r="M57" s="315">
        <v>-0.0742296105108047491185547200</v>
      </c>
      <c r="N57" s="315">
        <v>84.40392404899934326335805158</v>
      </c>
      <c r="O57" s="316">
        <v>-2.4160412557413752059901471900</v>
      </c>
      <c r="P57" s="321">
        <v>56.602168233925056478996713083</v>
      </c>
      <c r="Q57" s="315">
        <v>-12.474234110099460400071594930</v>
      </c>
      <c r="R57" s="322">
        <v>79.99256462018813117671789042</v>
      </c>
      <c r="S57" s="315">
        <v>-1.998240700051126514097180300</v>
      </c>
      <c r="T57" s="315">
        <v>70.759286819554827151330810060</v>
      </c>
      <c r="U57" s="316">
        <v>-10.689597293935066702093462190</v>
      </c>
      <c r="W57" s="281"/>
      <c r="X57" s="281"/>
      <c r="Y57" s="281"/>
      <c r="Z57" s="281"/>
      <c r="AA57" s="281"/>
      <c r="AB57" s="281"/>
      <c r="AC57" s="281"/>
      <c r="AD57" s="281"/>
      <c r="AE57" s="281"/>
      <c r="AF57" s="281"/>
      <c r="AG57" s="281"/>
      <c r="AH57" s="281"/>
      <c r="AI57" s="281"/>
      <c r="AJ57" s="281"/>
      <c r="AK57" s="281"/>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c r="CK57" s="34"/>
      <c r="CL57" s="34"/>
      <c r="CM57" s="34"/>
      <c r="CN57" s="34"/>
      <c r="CO57" s="34"/>
      <c r="CP57" s="34"/>
      <c r="CQ57" s="34"/>
      <c r="CR57" s="34"/>
      <c r="CS57" s="34"/>
      <c r="CT57" s="34"/>
      <c r="CU57" s="34"/>
      <c r="CV57" s="34"/>
      <c r="CW57" s="34"/>
      <c r="CX57" s="34"/>
      <c r="CY57" s="34"/>
      <c r="CZ57" s="34"/>
      <c r="DA57" s="34"/>
      <c r="DB57" s="34"/>
      <c r="DC57" s="34"/>
      <c r="DD57" s="34"/>
      <c r="DE57" s="34"/>
      <c r="DF57" s="34"/>
      <c r="DG57" s="34"/>
      <c r="DH57" s="34"/>
      <c r="DI57" s="34"/>
      <c r="DJ57" s="34"/>
      <c r="DK57" s="34"/>
      <c r="DL57" s="34"/>
      <c r="DM57" s="34"/>
      <c r="DN57" s="34"/>
      <c r="DO57" s="34"/>
      <c r="DP57" s="34"/>
      <c r="DQ57" s="34"/>
      <c r="DR57" s="34"/>
      <c r="DS57" s="34"/>
      <c r="DT57" s="34"/>
      <c r="DU57" s="34"/>
      <c r="DV57" s="34"/>
      <c r="DW57" s="34"/>
      <c r="DX57" s="34"/>
      <c r="DY57" s="34"/>
      <c r="DZ57" s="34"/>
      <c r="EA57" s="34"/>
      <c r="EB57" s="34"/>
      <c r="EC57" s="34"/>
      <c r="ED57" s="34"/>
      <c r="EE57" s="34"/>
      <c r="EF57" s="34"/>
      <c r="EG57" s="34"/>
      <c r="EH57" s="34"/>
      <c r="EI57" s="34"/>
    </row>
    <row r="58" s="2" customFormat="1" ht="5.1" customHeight="1">
      <c r="B58" s="54"/>
      <c r="C58" s="297"/>
      <c r="D58" s="159"/>
      <c r="E58" s="159"/>
      <c r="F58" s="159"/>
      <c r="G58" s="159"/>
      <c r="H58" s="159"/>
      <c r="I58" s="159"/>
      <c r="J58" s="160"/>
      <c r="K58" s="159"/>
      <c r="L58" s="160"/>
      <c r="M58" s="159"/>
      <c r="N58" s="159"/>
      <c r="O58" s="159"/>
      <c r="P58" s="160"/>
      <c r="Q58" s="159"/>
      <c r="R58" s="160"/>
      <c r="S58" s="159"/>
      <c r="T58" s="159"/>
      <c r="U58" s="159"/>
      <c r="W58" s="281"/>
      <c r="X58" s="281"/>
      <c r="Y58" s="281"/>
      <c r="Z58" s="281"/>
      <c r="AA58" s="281"/>
      <c r="AB58" s="281"/>
      <c r="AC58" s="281"/>
      <c r="AD58" s="281"/>
      <c r="AE58" s="281"/>
      <c r="AF58" s="281"/>
      <c r="AG58" s="281"/>
      <c r="AH58" s="281"/>
      <c r="AI58" s="281"/>
      <c r="AJ58" s="281"/>
      <c r="AK58" s="281"/>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c r="CK58" s="34"/>
      <c r="CL58" s="34"/>
      <c r="CM58" s="34"/>
      <c r="CN58" s="34"/>
      <c r="CO58" s="34"/>
      <c r="CP58" s="34"/>
      <c r="CQ58" s="34"/>
      <c r="CR58" s="34"/>
      <c r="CS58" s="34"/>
      <c r="CT58" s="34"/>
      <c r="CU58" s="34"/>
      <c r="CV58" s="34"/>
      <c r="CW58" s="34"/>
      <c r="CX58" s="34"/>
      <c r="CY58" s="34"/>
      <c r="CZ58" s="34"/>
      <c r="DA58" s="34"/>
      <c r="DB58" s="34"/>
      <c r="DC58" s="34"/>
      <c r="DD58" s="34"/>
      <c r="DE58" s="34"/>
      <c r="DF58" s="34"/>
      <c r="DG58" s="34"/>
      <c r="DH58" s="34"/>
      <c r="DI58" s="34"/>
      <c r="DJ58" s="34"/>
      <c r="DK58" s="34"/>
      <c r="DL58" s="34"/>
      <c r="DM58" s="34"/>
      <c r="DN58" s="34"/>
      <c r="DO58" s="34"/>
      <c r="DP58" s="34"/>
      <c r="DQ58" s="34"/>
      <c r="DR58" s="34"/>
      <c r="DS58" s="34"/>
      <c r="DT58" s="34"/>
      <c r="DU58" s="34"/>
      <c r="DV58" s="34"/>
      <c r="DW58" s="34"/>
      <c r="DX58" s="34"/>
      <c r="DY58" s="34"/>
      <c r="DZ58" s="34"/>
      <c r="EA58" s="34"/>
      <c r="EB58" s="34"/>
      <c r="EC58" s="34"/>
      <c r="ED58" s="34"/>
      <c r="EE58" s="34"/>
      <c r="EF58" s="34"/>
      <c r="EG58" s="34"/>
      <c r="EH58" s="34"/>
      <c r="EI58" s="34"/>
    </row>
    <row r="59" s="2" customFormat="1" ht="15.95" customHeight="1">
      <c r="B59" s="806" t="s">
        <v>57</v>
      </c>
      <c r="C59" s="611"/>
      <c r="D59" s="526"/>
      <c r="E59" s="527"/>
      <c r="F59" s="527"/>
      <c r="G59" s="527"/>
      <c r="H59" s="527"/>
      <c r="I59" s="527"/>
      <c r="J59" s="527"/>
      <c r="K59" s="527"/>
      <c r="L59" s="527"/>
      <c r="M59" s="527"/>
      <c r="N59" s="527"/>
      <c r="O59" s="527"/>
      <c r="P59" s="527"/>
      <c r="Q59" s="527"/>
      <c r="R59" s="527"/>
      <c r="S59" s="527"/>
      <c r="T59" s="527"/>
      <c r="U59" s="528"/>
      <c r="W59" s="281"/>
      <c r="X59" s="281"/>
      <c r="Y59" s="281"/>
      <c r="Z59" s="281"/>
      <c r="AA59" s="281"/>
      <c r="AB59" s="281"/>
      <c r="AC59" s="281"/>
      <c r="AD59" s="281"/>
      <c r="AE59" s="281"/>
      <c r="AF59" s="281"/>
      <c r="AG59" s="281"/>
      <c r="AH59" s="281"/>
      <c r="AI59" s="281"/>
      <c r="AJ59" s="281"/>
      <c r="AK59" s="281"/>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c r="CK59" s="34"/>
      <c r="CL59" s="34"/>
      <c r="CM59" s="34"/>
      <c r="CN59" s="34"/>
      <c r="CO59" s="34"/>
      <c r="CP59" s="34"/>
      <c r="CQ59" s="34"/>
      <c r="CR59" s="34"/>
      <c r="CS59" s="34"/>
      <c r="CT59" s="34"/>
      <c r="CU59" s="34"/>
      <c r="CV59" s="34"/>
      <c r="CW59" s="34"/>
      <c r="CX59" s="34"/>
      <c r="CY59" s="34"/>
      <c r="CZ59" s="34"/>
      <c r="DA59" s="34"/>
      <c r="DB59" s="34"/>
      <c r="DC59" s="34"/>
      <c r="DD59" s="34"/>
      <c r="DE59" s="34"/>
      <c r="DF59" s="34"/>
      <c r="DG59" s="34"/>
      <c r="DH59" s="34"/>
      <c r="DI59" s="34"/>
      <c r="DJ59" s="34"/>
      <c r="DK59" s="34"/>
      <c r="DL59" s="34"/>
      <c r="DM59" s="34"/>
      <c r="DN59" s="34"/>
      <c r="DO59" s="34"/>
      <c r="DP59" s="34"/>
      <c r="DQ59" s="34"/>
      <c r="DR59" s="34"/>
      <c r="DS59" s="34"/>
      <c r="DT59" s="34"/>
      <c r="DU59" s="34"/>
      <c r="DV59" s="34"/>
      <c r="DW59" s="34"/>
      <c r="DX59" s="34"/>
      <c r="DY59" s="34"/>
      <c r="DZ59" s="34"/>
      <c r="EA59" s="34"/>
      <c r="EB59" s="34"/>
      <c r="EC59" s="34"/>
      <c r="ED59" s="34"/>
      <c r="EE59" s="34"/>
      <c r="EF59" s="34"/>
      <c r="EG59" s="34"/>
      <c r="EH59" s="34"/>
      <c r="EI59" s="34"/>
    </row>
    <row r="60" ht="15.95" customHeight="1">
      <c r="B60" s="344" t="s">
        <v>40</v>
      </c>
      <c r="C60" s="348" t="s">
        <v>42</v>
      </c>
      <c r="D60" s="238">
        <v>33.779761904761904761904761900</v>
      </c>
      <c r="E60" s="327">
        <v>18.975428313773254516087333190</v>
      </c>
      <c r="F60" s="327">
        <v>55.541603884145320609409007200</v>
      </c>
      <c r="G60" s="327">
        <v>5.4689274089566950843514682900</v>
      </c>
      <c r="H60" s="327">
        <v>60.818844870326298042478105840</v>
      </c>
      <c r="I60" s="239">
        <v>12.806142279801549734501635820</v>
      </c>
      <c r="J60" s="326">
        <v>101.80913233327249180156903281</v>
      </c>
      <c r="K60" s="327">
        <v>-4.8933649283704793710819745200</v>
      </c>
      <c r="L60" s="328">
        <v>137.43824258256458729678276462</v>
      </c>
      <c r="M60" s="327">
        <v>-1.490976224293698826257803200</v>
      </c>
      <c r="N60" s="327">
        <v>74.076276311584446787581905930</v>
      </c>
      <c r="O60" s="239">
        <v>-3.4538853129510184291896449300</v>
      </c>
      <c r="P60" s="326">
        <v>34.390882499483416129399063167</v>
      </c>
      <c r="Q60" s="327">
        <v>13.153526431212173414272175850</v>
      </c>
      <c r="R60" s="328">
        <v>76.335404280538760816520479093</v>
      </c>
      <c r="S60" s="327">
        <v>3.8964107773795722699938045200</v>
      </c>
      <c r="T60" s="327">
        <v>45.052335575654534873082079780</v>
      </c>
      <c r="U60" s="239">
        <v>8.909947499261657961275253260</v>
      </c>
    </row>
    <row r="61" ht="15.95" customHeight="1">
      <c r="B61" s="345" t="s">
        <v>67</v>
      </c>
      <c r="C61" s="304" t="s">
        <v>58</v>
      </c>
      <c r="D61" s="240">
        <v>31.845400108873162765378334240</v>
      </c>
      <c r="E61" s="121">
        <v>-11.379701388798240456894608190</v>
      </c>
      <c r="F61" s="121">
        <v>50.348337544791354376347309660</v>
      </c>
      <c r="G61" s="121">
        <v>-3.9373588587899547730344614400</v>
      </c>
      <c r="H61" s="121">
        <v>63.250152163489200802578977470</v>
      </c>
      <c r="I61" s="241">
        <v>-7.7473848746792070633161617800</v>
      </c>
      <c r="J61" s="329">
        <v>110.79361886545189528094011216</v>
      </c>
      <c r="K61" s="121">
        <v>-2.1389583667011107007167386300</v>
      </c>
      <c r="L61" s="136">
        <v>138.40272417232699064004756246</v>
      </c>
      <c r="M61" s="121">
        <v>-2.2212030581569505245102603500</v>
      </c>
      <c r="N61" s="121">
        <v>80.05161713979195882667639338</v>
      </c>
      <c r="O61" s="241">
        <v>0.0841130122149177609299307200</v>
      </c>
      <c r="P61" s="329">
        <v>35.282671222803134860832860977</v>
      </c>
      <c r="Q61" s="121">
        <v>-13.275252680688659660703384850</v>
      </c>
      <c r="R61" s="136">
        <v>69.683470737469729501590038246</v>
      </c>
      <c r="S61" s="121">
        <v>-6.0711051815505166679627460700</v>
      </c>
      <c r="T61" s="121">
        <v>50.632769650229040962503279300</v>
      </c>
      <c r="U61" s="241">
        <v>-7.6697884213358025665513717800</v>
      </c>
    </row>
    <row r="62" ht="15.95" customHeight="1">
      <c r="B62" s="345"/>
      <c r="C62" s="305" t="s">
        <v>44</v>
      </c>
      <c r="D62" s="341">
        <v>31.986699916874480465502909390</v>
      </c>
      <c r="E62" s="156">
        <v>-1.847918275425127321868975500</v>
      </c>
      <c r="F62" s="156">
        <v>51.912452188695282617934551640</v>
      </c>
      <c r="G62" s="156">
        <v>1.2712449909946727250221438500</v>
      </c>
      <c r="H62" s="156">
        <v>61.616622926237260000150252520</v>
      </c>
      <c r="I62" s="331">
        <v>-3.0800088086557676061962540400</v>
      </c>
      <c r="J62" s="330">
        <v>106.12329304658991393821989935</v>
      </c>
      <c r="K62" s="156">
        <v>-6.0114755102258329279390093200</v>
      </c>
      <c r="L62" s="186">
        <v>138.67282642098311079826738308</v>
      </c>
      <c r="M62" s="156">
        <v>-1.564159099768466709649111300</v>
      </c>
      <c r="N62" s="156">
        <v>76.527821481338950647607713080</v>
      </c>
      <c r="O62" s="331">
        <v>-4.5179848821220064708436073600</v>
      </c>
      <c r="P62" s="330">
        <v>33.945339288718037309581892992</v>
      </c>
      <c r="Q62" s="156">
        <v>-7.7483066309975133524898132800</v>
      </c>
      <c r="R62" s="186">
        <v>71.988464714505257050609268351</v>
      </c>
      <c r="S62" s="156">
        <v>-0.3127984030098922432175372200</v>
      </c>
      <c r="T62" s="156">
        <v>47.153859195834089966619263030</v>
      </c>
      <c r="U62" s="331">
        <v>-7.4588393585115137523225751500</v>
      </c>
    </row>
    <row r="63" ht="15.95" customHeight="1">
      <c r="B63" s="346"/>
      <c r="C63" s="349" t="s">
        <v>45</v>
      </c>
      <c r="D63" s="244">
        <v>32.710473552574464126997250870</v>
      </c>
      <c r="E63" s="333">
        <v>-15.434942534764515844080263020</v>
      </c>
      <c r="F63" s="333">
        <v>47.875433063087854476690445450</v>
      </c>
      <c r="G63" s="333">
        <v>-3.1607288328818992407908445800</v>
      </c>
      <c r="H63" s="333">
        <v>68.324130894987284046622146760</v>
      </c>
      <c r="I63" s="245">
        <v>-12.674830731287841211441633730</v>
      </c>
      <c r="J63" s="332">
        <v>109.41530589140894015556306214</v>
      </c>
      <c r="K63" s="333">
        <v>0.291608678848014274377377300</v>
      </c>
      <c r="L63" s="334">
        <v>139.36139496654160182259673756</v>
      </c>
      <c r="M63" s="333">
        <v>0.3296584463132877981885661600</v>
      </c>
      <c r="N63" s="333">
        <v>78.511919256915039567901570160</v>
      </c>
      <c r="O63" s="245">
        <v>-0.0379247453389637402288644500</v>
      </c>
      <c r="P63" s="332">
        <v>35.790264696077770891539417067</v>
      </c>
      <c r="Q63" s="333">
        <v>-15.188343487911120641339883800</v>
      </c>
      <c r="R63" s="334">
        <v>66.719871362992111050881649005</v>
      </c>
      <c r="S63" s="333">
        <v>-2.8414899962050271082249742700</v>
      </c>
      <c r="T63" s="333">
        <v>53.642586481252612081028207040</v>
      </c>
      <c r="U63" s="245">
        <v>-12.707948579316226767129733880</v>
      </c>
    </row>
    <row r="64" ht="5.1" customHeight="1">
      <c r="B64" s="54"/>
      <c r="C64" s="54"/>
      <c r="D64" s="156"/>
      <c r="E64" s="156"/>
      <c r="F64" s="156"/>
      <c r="G64" s="156"/>
      <c r="H64" s="156"/>
      <c r="I64" s="156"/>
      <c r="J64" s="156"/>
      <c r="K64" s="156"/>
      <c r="L64" s="156"/>
      <c r="M64" s="156"/>
      <c r="N64" s="156"/>
      <c r="O64" s="156"/>
      <c r="P64" s="156"/>
      <c r="Q64" s="156"/>
      <c r="R64" s="156"/>
      <c r="S64" s="156"/>
      <c r="T64" s="156"/>
      <c r="U64" s="156"/>
    </row>
    <row r="65" s="4" customFormat="1" ht="5.1" customHeight="1">
      <c r="A65" s="54"/>
      <c r="B65" s="54"/>
      <c r="C65" s="54"/>
      <c r="D65" s="156"/>
      <c r="E65" s="156"/>
      <c r="F65" s="156"/>
      <c r="G65" s="156"/>
      <c r="H65" s="156"/>
      <c r="I65" s="156"/>
      <c r="J65" s="156"/>
      <c r="K65" s="156"/>
      <c r="L65" s="156"/>
      <c r="M65" s="156"/>
      <c r="N65" s="156"/>
      <c r="O65" s="156"/>
      <c r="P65" s="156"/>
      <c r="Q65" s="156"/>
      <c r="R65" s="156"/>
      <c r="S65" s="156"/>
      <c r="T65" s="156"/>
      <c r="U65" s="156"/>
      <c r="W65" s="281"/>
      <c r="X65" s="281"/>
      <c r="Y65" s="281"/>
      <c r="Z65" s="281"/>
      <c r="AA65" s="281"/>
      <c r="AB65" s="281"/>
      <c r="AC65" s="281"/>
      <c r="AD65" s="281"/>
      <c r="AE65" s="281"/>
      <c r="AF65" s="281"/>
      <c r="AG65" s="281"/>
      <c r="AH65" s="281"/>
      <c r="AI65" s="281"/>
      <c r="AJ65" s="281"/>
      <c r="AK65" s="281"/>
    </row>
    <row r="66" ht="15.95" customHeight="1">
      <c r="B66" s="347" t="s">
        <v>52</v>
      </c>
      <c r="C66" s="348" t="s">
        <v>42</v>
      </c>
      <c r="D66" s="238">
        <v>59.700520833333333333333333330</v>
      </c>
      <c r="E66" s="327">
        <v>18.270617603528741212886457480</v>
      </c>
      <c r="F66" s="327">
        <v>71.512430939226519337016574590</v>
      </c>
      <c r="G66" s="327">
        <v>9.366687529274233263771818190</v>
      </c>
      <c r="H66" s="327">
        <v>83.48271768874816420111940701</v>
      </c>
      <c r="I66" s="239">
        <v>8.141354808768780739672060270</v>
      </c>
      <c r="J66" s="326">
        <v>107.34704663258764031217336667</v>
      </c>
      <c r="K66" s="327">
        <v>-4.5642488800655945706395907400</v>
      </c>
      <c r="L66" s="328">
        <v>136.06191548839013301203968057</v>
      </c>
      <c r="M66" s="327">
        <v>-0.5384667086303008093932571400</v>
      </c>
      <c r="N66" s="327">
        <v>78.895733789474355468523733890</v>
      </c>
      <c r="O66" s="239">
        <v>-4.0475770261676904133493177800</v>
      </c>
      <c r="P66" s="326">
        <v>64.086745938856032660327459141</v>
      </c>
      <c r="Q66" s="327">
        <v>12.872452264124801658300312020</v>
      </c>
      <c r="R66" s="328">
        <v>97.30118334822374498202147047</v>
      </c>
      <c r="S66" s="327">
        <v>8.777784326632986784081652830</v>
      </c>
      <c r="T66" s="327">
        <v>65.864302707929594886134744890</v>
      </c>
      <c r="U66" s="239">
        <v>3.7642501756031813599902456800</v>
      </c>
    </row>
    <row r="67" ht="15.95" customHeight="1">
      <c r="B67" s="345" t="s">
        <v>55</v>
      </c>
      <c r="C67" s="304" t="s">
        <v>58</v>
      </c>
      <c r="D67" s="240">
        <v>53.109656301145662847790507360</v>
      </c>
      <c r="E67" s="121">
        <v>5.9563935117089043992349547500</v>
      </c>
      <c r="F67" s="121">
        <v>62.160008499787505312367190820</v>
      </c>
      <c r="G67" s="121">
        <v>-2.0202408180653053419961066700</v>
      </c>
      <c r="H67" s="121">
        <v>85.44023333155841398325037904</v>
      </c>
      <c r="I67" s="241">
        <v>8.141104240599743472078003050</v>
      </c>
      <c r="J67" s="329">
        <v>111.75800241298889375740571012</v>
      </c>
      <c r="K67" s="121">
        <v>-4.5174239396140649951174484300</v>
      </c>
      <c r="L67" s="136">
        <v>134.07063614235010140981021902</v>
      </c>
      <c r="M67" s="121">
        <v>-2.2525323942365479119641797200</v>
      </c>
      <c r="N67" s="121">
        <v>83.35755362142664662267594921</v>
      </c>
      <c r="O67" s="241">
        <v>-2.317084627309799202516396900</v>
      </c>
      <c r="P67" s="329">
        <v>59.354290970564477944808760937</v>
      </c>
      <c r="Q67" s="121">
        <v>1.1698940256855450152970814900</v>
      </c>
      <c r="R67" s="136">
        <v>83.33831882180400215661864496</v>
      </c>
      <c r="S67" s="121">
        <v>-4.2272666333931715223336606700</v>
      </c>
      <c r="T67" s="121">
        <v>71.220888313670090849527289880</v>
      </c>
      <c r="U67" s="241">
        <v>5.6353833384888066077461982100</v>
      </c>
    </row>
    <row r="68" ht="15.95" customHeight="1">
      <c r="B68" s="345"/>
      <c r="C68" s="305" t="s">
        <v>44</v>
      </c>
      <c r="D68" s="342">
        <v>53.521703521703521703521703520</v>
      </c>
      <c r="E68" s="161">
        <v>5.4301255523954031134968134800</v>
      </c>
      <c r="F68" s="161">
        <v>64.343391415214619634509137270</v>
      </c>
      <c r="G68" s="161">
        <v>-1.8370434407234163052592879400</v>
      </c>
      <c r="H68" s="161">
        <v>83.18135296340620934861689572</v>
      </c>
      <c r="I68" s="336">
        <v>7.4031684127490281096268789400</v>
      </c>
      <c r="J68" s="335">
        <v>110.46097871335960641382166304</v>
      </c>
      <c r="K68" s="161">
        <v>-6.9719051996720159049965971100</v>
      </c>
      <c r="L68" s="162">
        <v>134.50761095349371833055931136</v>
      </c>
      <c r="M68" s="161">
        <v>-3.9027493443139649552556805100</v>
      </c>
      <c r="N68" s="161">
        <v>82.12247465427555406367286954</v>
      </c>
      <c r="O68" s="336">
        <v>-3.1938019395829339334792613700</v>
      </c>
      <c r="P68" s="335">
        <v>59.120597534136365922549104666</v>
      </c>
      <c r="Q68" s="161">
        <v>-1.92036285302451484892027400</v>
      </c>
      <c r="R68" s="162">
        <v>86.54675859906055654588474177</v>
      </c>
      <c r="S68" s="161">
        <v>-5.6680975840749697408411169100</v>
      </c>
      <c r="T68" s="161">
        <v>68.310585504413288555082667490</v>
      </c>
      <c r="U68" s="336">
        <v>3.972923936652695586466980300</v>
      </c>
    </row>
    <row r="69" ht="15.95" customHeight="1">
      <c r="B69" s="346"/>
      <c r="C69" s="349" t="s">
        <v>45</v>
      </c>
      <c r="D69" s="343">
        <v>49.676856791136643414033647930</v>
      </c>
      <c r="E69" s="338">
        <v>-9.488850346917104945641144770</v>
      </c>
      <c r="F69" s="338">
        <v>60.135111205553194503470746560</v>
      </c>
      <c r="G69" s="338">
        <v>-1.6761538548397403918421863900</v>
      </c>
      <c r="H69" s="338">
        <v>82.60873854759007089915983054</v>
      </c>
      <c r="I69" s="340">
        <v>-7.945881694510308728427346620</v>
      </c>
      <c r="J69" s="337">
        <v>116.41398495286045658628957582</v>
      </c>
      <c r="K69" s="338">
        <v>-0.9342258921556586616184538500</v>
      </c>
      <c r="L69" s="339">
        <v>136.17514453459765292035686711</v>
      </c>
      <c r="M69" s="338">
        <v>-0.0792252791796826846166739700</v>
      </c>
      <c r="N69" s="338">
        <v>85.48842400771710719911845346</v>
      </c>
      <c r="O69" s="340">
        <v>-0.8556785267439046596926722500</v>
      </c>
      <c r="P69" s="337">
        <v>57.830808589887849919892005632</v>
      </c>
      <c r="Q69" s="338">
        <v>-10.334428942329170483935862300</v>
      </c>
      <c r="R69" s="339">
        <v>81.88907460020309169763527108</v>
      </c>
      <c r="S69" s="338">
        <v>-1.7540511964946501478682803700</v>
      </c>
      <c r="T69" s="338">
        <v>70.620908677049096977508044080</v>
      </c>
      <c r="U69" s="340">
        <v>-8.733569017627083560418184010</v>
      </c>
    </row>
    <row r="70" ht="5.1" customHeight="1">
      <c r="B70" s="54"/>
      <c r="C70" s="54"/>
      <c r="D70" s="161"/>
      <c r="E70" s="161"/>
      <c r="F70" s="161"/>
      <c r="G70" s="161"/>
      <c r="H70" s="161"/>
      <c r="I70" s="161"/>
      <c r="J70" s="162"/>
      <c r="K70" s="161"/>
      <c r="L70" s="162"/>
      <c r="M70" s="161"/>
      <c r="N70" s="161"/>
      <c r="O70" s="161"/>
      <c r="P70" s="162"/>
      <c r="Q70" s="161"/>
      <c r="R70" s="162"/>
      <c r="S70" s="161"/>
      <c r="T70" s="161"/>
      <c r="U70" s="161"/>
    </row>
    <row r="71" s="4" customFormat="1" ht="5.1" customHeight="1">
      <c r="A71" s="54"/>
      <c r="B71" s="54"/>
      <c r="C71" s="54"/>
      <c r="D71" s="161"/>
      <c r="E71" s="161"/>
      <c r="F71" s="161"/>
      <c r="G71" s="161"/>
      <c r="H71" s="161"/>
      <c r="I71" s="161"/>
      <c r="J71" s="162"/>
      <c r="K71" s="161"/>
      <c r="L71" s="162"/>
      <c r="M71" s="161"/>
      <c r="N71" s="161"/>
      <c r="O71" s="161"/>
      <c r="P71" s="162"/>
      <c r="Q71" s="161"/>
      <c r="R71" s="162"/>
      <c r="S71" s="161"/>
      <c r="T71" s="161"/>
      <c r="U71" s="161"/>
      <c r="W71" s="281"/>
      <c r="X71" s="281"/>
      <c r="Y71" s="281"/>
      <c r="Z71" s="281"/>
      <c r="AA71" s="281"/>
      <c r="AB71" s="281"/>
      <c r="AC71" s="281"/>
      <c r="AD71" s="281"/>
      <c r="AE71" s="281"/>
      <c r="AF71" s="281"/>
      <c r="AG71" s="281"/>
      <c r="AH71" s="281"/>
      <c r="AI71" s="281"/>
      <c r="AJ71" s="281"/>
      <c r="AK71" s="281"/>
    </row>
    <row r="72" ht="15.95" customHeight="1">
      <c r="B72" s="347" t="s">
        <v>12</v>
      </c>
      <c r="C72" s="348" t="s">
        <v>42</v>
      </c>
      <c r="D72" s="238">
        <v>40.860215053763440860215053760</v>
      </c>
      <c r="E72" s="327">
        <v>16.683725690735221245242624570</v>
      </c>
      <c r="F72" s="327">
        <v>59.800491098833640270104358500</v>
      </c>
      <c r="G72" s="327">
        <v>5.8628559008387659210662012100</v>
      </c>
      <c r="H72" s="327">
        <v>68.327557688875520877589515330</v>
      </c>
      <c r="I72" s="239">
        <v>10.221592548224389000348385620</v>
      </c>
      <c r="J72" s="326">
        <v>103.99178947368421052631578947</v>
      </c>
      <c r="K72" s="327">
        <v>-4.9409938722821046016522355700</v>
      </c>
      <c r="L72" s="328">
        <v>136.99934096391726120207360263</v>
      </c>
      <c r="M72" s="327">
        <v>-1.1200406530874745558608498700</v>
      </c>
      <c r="N72" s="327">
        <v>75.906780822461444105212426380</v>
      </c>
      <c r="O72" s="239">
        <v>-3.8642342132935802559476049400</v>
      </c>
      <c r="P72" s="326">
        <v>42.491268817204301075268817204</v>
      </c>
      <c r="Q72" s="327">
        <v>10.918389954639361677116857900</v>
      </c>
      <c r="R72" s="328">
        <v>81.92627869858809085328422345</v>
      </c>
      <c r="S72" s="327">
        <v>4.6771488783097477288291690600</v>
      </c>
      <c r="T72" s="327">
        <v>51.865249456192393329901740930</v>
      </c>
      <c r="U72" s="239">
        <v>5.9623720583279966279302234800</v>
      </c>
    </row>
    <row r="73" ht="15.95" customHeight="1">
      <c r="B73" s="345"/>
      <c r="C73" s="304" t="s">
        <v>58</v>
      </c>
      <c r="D73" s="240">
        <v>38.017584506623893542446385080</v>
      </c>
      <c r="E73" s="121">
        <v>-4.9293587413725625159941223500</v>
      </c>
      <c r="F73" s="121">
        <v>53.748868064670390606717336670</v>
      </c>
      <c r="G73" s="121">
        <v>-3.2796262390412729014700562900</v>
      </c>
      <c r="H73" s="121">
        <v>70.731879340901407651754031970</v>
      </c>
      <c r="I73" s="241">
        <v>-1.7056721745920568166254732200</v>
      </c>
      <c r="J73" s="329">
        <v>111.16751464958199859364012814</v>
      </c>
      <c r="K73" s="121">
        <v>-2.9841420391460347229841613800</v>
      </c>
      <c r="L73" s="136">
        <v>136.94504306591451179343505092</v>
      </c>
      <c r="M73" s="121">
        <v>-2.2560530404893914882574880900</v>
      </c>
      <c r="N73" s="121">
        <v>81.17673495935630927175970899</v>
      </c>
      <c r="O73" s="241">
        <v>-0.7448942070154062619131934100</v>
      </c>
      <c r="P73" s="329">
        <v>42.26320382581833303629774847</v>
      </c>
      <c r="Q73" s="121">
        <v>-7.7664017141368452084717401400</v>
      </c>
      <c r="R73" s="136">
        <v>73.606410518604438203962028021</v>
      </c>
      <c r="S73" s="121">
        <v>-5.4616891720060733880760034500</v>
      </c>
      <c r="T73" s="121">
        <v>57.417830224364244218329324790</v>
      </c>
      <c r="U73" s="241">
        <v>-2.4378609284861439907935469400</v>
      </c>
    </row>
    <row r="74" ht="15.95" customHeight="1">
      <c r="B74" s="345"/>
      <c r="C74" s="305" t="s">
        <v>44</v>
      </c>
      <c r="D74" s="341">
        <v>38.183859151601087084958052700</v>
      </c>
      <c r="E74" s="156">
        <v>1.0633307270116020713505952600</v>
      </c>
      <c r="F74" s="156">
        <v>55.470220387347459170663590550</v>
      </c>
      <c r="G74" s="156">
        <v>0.2248793329729499829702600800</v>
      </c>
      <c r="H74" s="156">
        <v>68.836681889843988586294204180</v>
      </c>
      <c r="I74" s="331">
        <v>0.8365701209885328369222273400</v>
      </c>
      <c r="J74" s="330">
        <v>107.86127649698282531332198669</v>
      </c>
      <c r="K74" s="156">
        <v>-6.3284769118517615318111705500</v>
      </c>
      <c r="L74" s="186">
        <v>137.27722140133895182327295282</v>
      </c>
      <c r="M74" s="156">
        <v>-2.3369167716142636668942366900</v>
      </c>
      <c r="N74" s="156">
        <v>78.571867492622043292550136160</v>
      </c>
      <c r="O74" s="331">
        <v>-4.0870716019712890844467973500</v>
      </c>
      <c r="P74" s="330">
        <v>41.185597896726928984993501123</v>
      </c>
      <c r="Q74" s="156">
        <v>-5.3324388243002800009248900900</v>
      </c>
      <c r="R74" s="186">
        <v>76.147977252949628640236375043</v>
      </c>
      <c r="S74" s="156">
        <v>-2.1172926814600620645008885900</v>
      </c>
      <c r="T74" s="156">
        <v>54.086266480779602398500864520</v>
      </c>
      <c r="U74" s="331">
        <v>-3.2846927008570770400353574700</v>
      </c>
    </row>
    <row r="75" ht="15.95" customHeight="1">
      <c r="B75" s="346"/>
      <c r="C75" s="349" t="s">
        <v>45</v>
      </c>
      <c r="D75" s="244">
        <v>37.575489762851671822065105320</v>
      </c>
      <c r="E75" s="333">
        <v>-13.279688066707958758945749030</v>
      </c>
      <c r="F75" s="333">
        <v>51.368601629708115744594969600</v>
      </c>
      <c r="G75" s="333">
        <v>-2.7205392974017316838129036400</v>
      </c>
      <c r="H75" s="333">
        <v>73.148749568309239705441506760</v>
      </c>
      <c r="I75" s="245">
        <v>-10.854448300797699462131287680</v>
      </c>
      <c r="J75" s="332">
        <v>112.07238965111720893767150137</v>
      </c>
      <c r="K75" s="333">
        <v>-0.0736483930706315842560415200</v>
      </c>
      <c r="L75" s="334">
        <v>138.29859689617915725370788724</v>
      </c>
      <c r="M75" s="333">
        <v>0.1967354695113905344359052700</v>
      </c>
      <c r="N75" s="333">
        <v>81.03653411265851912193371291</v>
      </c>
      <c r="O75" s="245">
        <v>-0.2698529660690232315167738300</v>
      </c>
      <c r="P75" s="332">
        <v>42.111749300338783325968478421</v>
      </c>
      <c r="Q75" s="333">
        <v>-13.343556182863321895855095760</v>
      </c>
      <c r="R75" s="334">
        <v>71.042055299074144150962435985</v>
      </c>
      <c r="S75" s="333">
        <v>-2.5291560936191237643591652800</v>
      </c>
      <c r="T75" s="333">
        <v>59.277211396884062599101683060</v>
      </c>
      <c r="U75" s="245">
        <v>-11.095010216235647345761402800</v>
      </c>
    </row>
    <row r="76" ht="9.95" customHeight="1"/>
    <row r="77" ht="24" customHeight="1">
      <c r="B77" s="816" t="s">
        <v>126</v>
      </c>
      <c r="C77" s="816"/>
      <c r="D77" s="816"/>
      <c r="E77" s="816"/>
      <c r="F77" s="816"/>
      <c r="G77" s="816"/>
      <c r="H77" s="816"/>
      <c r="I77" s="816"/>
      <c r="J77" s="816"/>
      <c r="K77" s="816"/>
      <c r="L77" s="816"/>
      <c r="M77" s="816"/>
      <c r="N77" s="816"/>
      <c r="O77" s="816"/>
      <c r="P77" s="816"/>
      <c r="Q77" s="816"/>
      <c r="R77" s="816"/>
      <c r="S77" s="816"/>
      <c r="T77" s="816"/>
      <c r="U77" s="816"/>
    </row>
    <row r="78" ht="9.95" customHeight="1">
      <c r="S78" s="55"/>
    </row>
    <row r="79" s="235" customFormat="1">
      <c r="A79" s="235"/>
    </row>
    <row r="80" s="235" customFormat="1"/>
    <row r="81" s="235" customFormat="1"/>
    <row r="82" s="235" customFormat="1"/>
    <row r="83" s="235" customFormat="1"/>
    <row r="84" s="235" customFormat="1"/>
    <row r="85" s="235" customFormat="1"/>
    <row r="86" s="235" customFormat="1"/>
    <row r="87" s="235" customFormat="1"/>
    <row r="88" s="235" customFormat="1"/>
    <row r="89" s="235" customFormat="1"/>
    <row r="90" s="235" customFormat="1"/>
    <row r="91" s="235" customFormat="1"/>
    <row r="92" s="235" customFormat="1"/>
    <row r="93" s="235" customFormat="1"/>
    <row r="94" s="235" customFormat="1"/>
    <row r="95" s="235" customFormat="1"/>
    <row r="96" s="235" customFormat="1"/>
    <row r="97" s="235" customFormat="1"/>
    <row r="98" s="235" customFormat="1"/>
    <row r="99" s="235" customFormat="1"/>
    <row r="100" s="235" customFormat="1"/>
    <row r="101" s="235" customFormat="1"/>
    <row r="102" s="235" customFormat="1"/>
    <row r="103" s="235" customFormat="1"/>
    <row r="104" s="235" customFormat="1"/>
    <row r="105" s="235" customFormat="1"/>
    <row r="106" s="235" customFormat="1"/>
    <row r="107" s="235" customFormat="1"/>
    <row r="108" s="235" customFormat="1"/>
    <row r="109" s="235" customFormat="1"/>
  </sheetData>
  <mergeCells count="15">
    <mergeCell ref="B77:U77"/>
    <mergeCell ref="J16:K16"/>
    <mergeCell ref="T16:U16"/>
    <mergeCell ref="L16:M16"/>
    <mergeCell ref="N16:O16"/>
    <mergeCell ref="O3:U3"/>
    <mergeCell ref="B59:C59"/>
    <mergeCell ref="P16:Q16"/>
    <mergeCell ref="R16:S16"/>
    <mergeCell ref="D15:I15"/>
    <mergeCell ref="J15:O15"/>
    <mergeCell ref="P15:U15"/>
    <mergeCell ref="D16:E16"/>
    <mergeCell ref="F16:G16"/>
    <mergeCell ref="H16:I16"/>
  </mergeCells>
  <phoneticPr fontId="12" type="noConversion"/>
  <printOptions horizontalCentered="1" verticalCentered="1"/>
  <pageMargins left="0.25" right="0.25" top="0.25" bottom="0.25" header="0" footer="0"/>
  <pageSetup scale="53" fitToWidth="1" fitToHeight="1" orientation="landscape" r:id="rId1"/>
  <headerFooter alignWithMargins="0">
    <oddHeader/>
    <oddFooter/>
  </headerFooter>
  <rowBreaks count="1" manualBreakCount="1">
    <brk id="79" max="16383" man="1"/>
  </rowBreaks>
  <colBreaks count="1" manualBreakCount="1">
    <brk id="23" max="1048575" man="1"/>
  </colBreaks>
  <drawing r:id="rId78"/>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pageSetUpPr fitToPage="1"/>
  </sheetPr>
  <dimension ref="A1:AW94"/>
  <sheetViews>
    <sheetView showGridLines="0" zoomScale="55" zoomScaleNormal="75" workbookViewId="0"/>
  </sheetViews>
  <sheetFormatPr defaultRowHeight="12.75"/>
  <cols>
    <col min="1" max="1" width="2.140625" customWidth="1"/>
    <col min="2" max="2" width="23" customWidth="1"/>
    <col min="3" max="30" width="10.28515625" customWidth="1"/>
    <col min="31" max="32" width="10.28515625" style="34" customWidth="1"/>
    <col min="33" max="33" width="0" style="34" customWidth="1"/>
    <col min="34" max="34" width="2.7109375" customWidth="1"/>
    <col min="35" max="38" width="9.28515625" style="236" customWidth="1"/>
    <col min="39" max="49" width="9.140625" style="236" customWidth="1"/>
  </cols>
  <sheetData>
    <row r="1" ht="39.95" customHeight="1">
      <c r="A1" s="7"/>
      <c r="B1" s="656" t="s">
        <v>137</v>
      </c>
      <c r="AA1" s="955"/>
      <c r="AB1" s="955"/>
      <c r="AC1" s="955"/>
      <c r="AD1" s="955"/>
      <c r="AE1" s="955"/>
      <c r="AF1" s="955"/>
      <c r="AG1" s="955"/>
      <c r="AH1"/>
    </row>
    <row r="2" ht="21.95" customHeight="1">
      <c r="A2" s="6"/>
      <c r="B2" s="935" t="s">
        <v>170</v>
      </c>
      <c r="C2" s="935"/>
      <c r="D2" s="935"/>
      <c r="E2" s="935"/>
      <c r="F2" s="935"/>
      <c r="G2" s="935"/>
      <c r="H2" s="935"/>
      <c r="I2" s="935"/>
      <c r="J2" s="935"/>
      <c r="K2" s="935"/>
      <c r="L2" s="935"/>
      <c r="M2" s="935"/>
      <c r="N2" s="935"/>
      <c r="O2" s="935"/>
      <c r="P2" s="935"/>
      <c r="Q2" s="935"/>
      <c r="R2" s="935"/>
      <c r="S2" s="935"/>
      <c r="T2" s="935"/>
      <c r="U2" s="935"/>
      <c r="V2" s="935"/>
      <c r="W2" s="935"/>
      <c r="X2" s="935"/>
      <c r="Y2" s="935"/>
      <c r="Z2" s="935"/>
      <c r="AA2" s="935"/>
      <c r="AB2" s="935"/>
      <c r="AC2" s="935"/>
      <c r="AD2" s="935"/>
      <c r="AE2" s="935"/>
      <c r="AF2" s="935"/>
      <c r="AG2" s="935"/>
    </row>
    <row r="3" ht="21.95" customHeight="1">
      <c r="A3" s="6"/>
      <c r="B3" s="935" t="s">
        <v>171</v>
      </c>
      <c r="C3" s="935"/>
      <c r="D3" s="935"/>
      <c r="E3" s="935"/>
      <c r="F3" s="935"/>
      <c r="G3" s="935"/>
      <c r="H3" s="935"/>
      <c r="I3" s="935"/>
      <c r="J3" s="935"/>
      <c r="K3" s="935"/>
      <c r="L3" s="935"/>
      <c r="M3" s="935"/>
      <c r="N3" s="935"/>
      <c r="O3" s="935"/>
      <c r="P3" s="935"/>
      <c r="Q3" s="935"/>
      <c r="R3" s="935"/>
      <c r="S3" s="935"/>
      <c r="T3" s="935"/>
      <c r="U3" s="956"/>
      <c r="V3" s="956"/>
      <c r="W3" s="956"/>
      <c r="X3" s="956"/>
      <c r="Y3" s="956"/>
      <c r="Z3" s="956"/>
      <c r="AA3" s="956"/>
      <c r="AB3" s="956"/>
      <c r="AC3" s="956"/>
      <c r="AD3" s="956"/>
      <c r="AE3" s="956"/>
      <c r="AF3" s="956"/>
      <c r="AG3" s="956"/>
    </row>
    <row r="4" ht="21.95" customHeight="1">
      <c r="A4" s="6"/>
      <c r="B4" s="935" t="s">
        <v>256</v>
      </c>
      <c r="C4" s="935"/>
      <c r="D4" s="935"/>
      <c r="E4" s="935"/>
      <c r="F4" s="935"/>
      <c r="G4" s="935"/>
      <c r="H4" s="935"/>
      <c r="I4" s="935"/>
      <c r="J4" s="935"/>
      <c r="K4" s="935"/>
      <c r="L4" s="935"/>
      <c r="M4" s="935"/>
      <c r="N4" s="935"/>
      <c r="O4" s="935"/>
      <c r="P4" s="935"/>
      <c r="Q4" s="935"/>
      <c r="R4" s="935"/>
      <c r="S4" s="935"/>
      <c r="T4" s="935"/>
      <c r="U4" s="935"/>
      <c r="V4" s="935"/>
      <c r="W4" s="935"/>
      <c r="X4" s="935"/>
      <c r="Y4" s="935"/>
      <c r="Z4" s="935"/>
      <c r="AA4" s="935"/>
      <c r="AB4" s="935"/>
      <c r="AC4" s="935"/>
      <c r="AD4" s="935"/>
      <c r="AE4" s="935"/>
      <c r="AF4" s="935"/>
      <c r="AG4" s="935"/>
      <c r="AH4" s="4"/>
    </row>
    <row r="5" ht="21.95"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row>
    <row r="6" ht="21.95" customHeight="1">
      <c r="A6" s="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row>
    <row r="7" ht="21.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row>
    <row r="8" ht="21.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row>
    <row r="9" ht="21.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row>
    <row r="10" ht="21.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row r="11" ht="21.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row>
    <row r="12" ht="21.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row>
    <row r="13" ht="21.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ht="21.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ht="21.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row>
    <row r="16" ht="21.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row>
    <row r="17" ht="21.9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ht="21.95" customHeight="1">
      <c r="AE18"/>
      <c r="AF18"/>
      <c r="AG18"/>
    </row>
    <row r="19" ht="21.95" customHeight="1">
      <c r="AE19"/>
      <c r="AF19"/>
      <c r="AG19"/>
    </row>
    <row r="20" ht="30" customHeight="1">
      <c r="AE20"/>
      <c r="AF20"/>
      <c r="AG20"/>
    </row>
    <row r="21" ht="31.5" customHeight="1">
      <c r="AE21"/>
      <c r="AF21"/>
      <c r="AG21"/>
    </row>
    <row r="22" ht="30" customHeight="1">
      <c r="A22" s="8"/>
      <c r="B22" s="25"/>
      <c r="X22" s="792"/>
      <c r="Y22" s="792"/>
      <c r="Z22" s="792"/>
      <c r="AA22" s="792"/>
      <c r="AB22" s="792"/>
      <c r="AC22" s="792"/>
      <c r="AD22" s="792"/>
      <c r="AE22"/>
      <c r="AF22"/>
      <c r="AG22"/>
    </row>
    <row r="23" s="82" customFormat="1" ht="21.95" customHeight="1">
      <c r="B23" s="25"/>
      <c r="C23" s="41" t="s">
        <v>257</v>
      </c>
      <c r="D23" s="41" t="s">
        <v>259</v>
      </c>
      <c r="E23" s="41" t="s">
        <v>260</v>
      </c>
      <c r="F23" s="41" t="s">
        <v>261</v>
      </c>
      <c r="G23" s="41" t="s">
        <v>262</v>
      </c>
      <c r="H23" s="41" t="s">
        <v>263</v>
      </c>
      <c r="I23" s="41" t="s">
        <v>264</v>
      </c>
      <c r="J23" s="41" t="s">
        <v>257</v>
      </c>
      <c r="K23" s="41" t="s">
        <v>259</v>
      </c>
      <c r="L23" s="41" t="s">
        <v>260</v>
      </c>
      <c r="M23" s="41" t="s">
        <v>261</v>
      </c>
      <c r="N23" s="41" t="s">
        <v>262</v>
      </c>
      <c r="O23" s="41" t="s">
        <v>263</v>
      </c>
      <c r="P23" s="41" t="s">
        <v>264</v>
      </c>
      <c r="Q23" s="41" t="s">
        <v>257</v>
      </c>
      <c r="R23" s="41" t="s">
        <v>259</v>
      </c>
      <c r="S23" s="41" t="s">
        <v>260</v>
      </c>
      <c r="T23" s="41" t="s">
        <v>261</v>
      </c>
      <c r="U23" s="41" t="s">
        <v>262</v>
      </c>
      <c r="V23" s="41" t="s">
        <v>263</v>
      </c>
      <c r="W23" s="41" t="s">
        <v>264</v>
      </c>
      <c r="X23" s="42" t="s">
        <v>257</v>
      </c>
      <c r="Y23" s="42" t="s">
        <v>259</v>
      </c>
      <c r="Z23" s="42" t="s">
        <v>260</v>
      </c>
      <c r="AA23" s="42" t="s">
        <v>261</v>
      </c>
      <c r="AB23" s="42" t="s">
        <v>262</v>
      </c>
      <c r="AC23" s="42" t="s">
        <v>263</v>
      </c>
      <c r="AD23" s="42" t="s">
        <v>264</v>
      </c>
      <c r="AE23" s="42" t="s">
        <v>257</v>
      </c>
      <c r="AF23" s="42" t="s">
        <v>259</v>
      </c>
      <c r="AG23" s="42"/>
      <c r="AH23" s="96"/>
      <c r="AI23" s="236"/>
      <c r="AJ23" s="236"/>
      <c r="AK23" s="236"/>
      <c r="AL23" s="236"/>
      <c r="AM23" s="236"/>
      <c r="AN23" s="236"/>
      <c r="AO23" s="236"/>
      <c r="AP23" s="236"/>
      <c r="AQ23" s="236"/>
      <c r="AR23" s="236"/>
      <c r="AS23" s="236"/>
      <c r="AT23" s="236"/>
      <c r="AU23" s="236"/>
      <c r="AV23" s="236"/>
      <c r="AW23" s="236"/>
    </row>
    <row r="24" s="35" customFormat="1" ht="20.1" customHeight="1">
      <c r="B24" s="784" t="s">
        <v>22</v>
      </c>
      <c r="C24" s="350" t="s">
        <v>258</v>
      </c>
      <c r="D24" s="351"/>
      <c r="E24" s="351"/>
      <c r="F24" s="351"/>
      <c r="G24" s="351"/>
      <c r="H24" s="351"/>
      <c r="I24" s="351"/>
      <c r="J24" s="351"/>
      <c r="K24" s="351"/>
      <c r="L24" s="351"/>
      <c r="M24" s="351"/>
      <c r="N24" s="351"/>
      <c r="O24" s="351"/>
      <c r="P24" s="351"/>
      <c r="Q24" s="351"/>
      <c r="R24" s="351"/>
      <c r="S24" s="352"/>
      <c r="T24" s="352"/>
      <c r="U24" s="352"/>
      <c r="V24" s="352"/>
      <c r="W24" s="352"/>
      <c r="X24" s="352"/>
      <c r="Y24" s="352"/>
      <c r="Z24" s="352"/>
      <c r="AA24" s="352"/>
      <c r="AB24" s="352"/>
      <c r="AC24" s="352"/>
      <c r="AD24" s="352"/>
      <c r="AE24" s="352"/>
      <c r="AF24" s="352"/>
      <c r="AG24" s="353"/>
      <c r="AH24" s="529"/>
      <c r="AI24" s="236"/>
      <c r="AJ24" s="236"/>
      <c r="AK24" s="236"/>
      <c r="AL24" s="236"/>
      <c r="AM24" s="236"/>
      <c r="AN24" s="236"/>
      <c r="AO24" s="236"/>
      <c r="AP24" s="236"/>
      <c r="AQ24" s="236"/>
      <c r="AR24" s="236"/>
      <c r="AS24" s="236"/>
      <c r="AT24" s="236"/>
      <c r="AU24" s="236"/>
      <c r="AV24" s="236"/>
      <c r="AW24" s="236"/>
    </row>
    <row r="25" s="36" customFormat="1" ht="20.1" customHeight="1">
      <c r="B25" s="964"/>
      <c r="C25" s="354">
        <v>1</v>
      </c>
      <c r="D25" s="355">
        <v>2</v>
      </c>
      <c r="E25" s="355">
        <v>3</v>
      </c>
      <c r="F25" s="355">
        <v>4</v>
      </c>
      <c r="G25" s="355">
        <v>5</v>
      </c>
      <c r="H25" s="355">
        <v>6</v>
      </c>
      <c r="I25" s="355">
        <v>7</v>
      </c>
      <c r="J25" s="355">
        <v>8</v>
      </c>
      <c r="K25" s="355">
        <v>9</v>
      </c>
      <c r="L25" s="355">
        <v>10</v>
      </c>
      <c r="M25" s="355">
        <v>11</v>
      </c>
      <c r="N25" s="355">
        <v>12</v>
      </c>
      <c r="O25" s="355">
        <v>13</v>
      </c>
      <c r="P25" s="355">
        <v>14</v>
      </c>
      <c r="Q25" s="355">
        <v>15</v>
      </c>
      <c r="R25" s="355">
        <v>16</v>
      </c>
      <c r="S25" s="355">
        <v>17</v>
      </c>
      <c r="T25" s="355">
        <v>18</v>
      </c>
      <c r="U25" s="355">
        <v>19</v>
      </c>
      <c r="V25" s="355">
        <v>20</v>
      </c>
      <c r="W25" s="355">
        <v>21</v>
      </c>
      <c r="X25" s="355">
        <v>22</v>
      </c>
      <c r="Y25" s="355">
        <v>23</v>
      </c>
      <c r="Z25" s="355">
        <v>24</v>
      </c>
      <c r="AA25" s="355">
        <v>25</v>
      </c>
      <c r="AB25" s="355">
        <v>26</v>
      </c>
      <c r="AC25" s="355">
        <v>27</v>
      </c>
      <c r="AD25" s="355">
        <v>28</v>
      </c>
      <c r="AE25" s="355">
        <v>29</v>
      </c>
      <c r="AF25" s="355">
        <v>30</v>
      </c>
      <c r="AG25" s="356"/>
      <c r="AH25" s="529"/>
      <c r="AI25" s="236"/>
      <c r="AJ25" s="236"/>
      <c r="AK25" s="236"/>
      <c r="AL25" s="236"/>
      <c r="AM25" s="236"/>
      <c r="AN25" s="236"/>
      <c r="AO25" s="236"/>
      <c r="AP25" s="236"/>
      <c r="AQ25" s="236"/>
      <c r="AR25" s="236"/>
      <c r="AS25" s="236"/>
      <c r="AT25" s="236"/>
      <c r="AU25" s="236"/>
      <c r="AV25" s="236"/>
      <c r="AW25" s="236"/>
    </row>
    <row r="26" ht="24.95" customHeight="1">
      <c r="B26" s="263" t="s">
        <v>19</v>
      </c>
      <c r="C26" s="573">
        <v>23.118279569892473118279569890</v>
      </c>
      <c r="D26" s="574">
        <v>23.655913978494623655913978490</v>
      </c>
      <c r="E26" s="574">
        <v>28.494623655913978494623655910</v>
      </c>
      <c r="F26" s="574">
        <v>25.268817204301075268817204300</v>
      </c>
      <c r="G26" s="574">
        <v>42.473118279569892473118279570</v>
      </c>
      <c r="H26" s="574">
        <v>80.64516129032258064516129032</v>
      </c>
      <c r="I26" s="574">
        <v>72.043010752688172043010752690</v>
      </c>
      <c r="J26" s="574">
        <v>26.344086021505376344086021510</v>
      </c>
      <c r="K26" s="574">
        <v>25.268817204301075268817204300</v>
      </c>
      <c r="L26" s="574"/>
      <c r="M26" s="574">
        <v>29.032258064516129032258064520</v>
      </c>
      <c r="N26" s="574">
        <v>38.172043010752688172043010750</v>
      </c>
      <c r="O26" s="574">
        <v>36.559139784946236559139784950</v>
      </c>
      <c r="P26" s="574">
        <v>16.666666666666666666666666670</v>
      </c>
      <c r="Q26" s="574">
        <v>26.344086021505376344086021510</v>
      </c>
      <c r="R26" s="574">
        <v>46.236559139784946236559139780</v>
      </c>
      <c r="S26" s="574">
        <v>31.720430107526881720430107530</v>
      </c>
      <c r="T26" s="574">
        <v>31.720430107526881720430107530</v>
      </c>
      <c r="U26" s="574">
        <v>30.645161290322580645161290320</v>
      </c>
      <c r="V26" s="574">
        <v>75.806451612903225806451612900</v>
      </c>
      <c r="W26" s="574">
        <v>74.731182795698924731182795700</v>
      </c>
      <c r="X26" s="574">
        <v>23.655913978494623655913978490</v>
      </c>
      <c r="Y26" s="574">
        <v>54.838709677419354838709677420</v>
      </c>
      <c r="Z26" s="574">
        <v>56.989247311827956989247311830</v>
      </c>
      <c r="AA26" s="574">
        <v>57.526881720430107526881720430</v>
      </c>
      <c r="AB26" s="574">
        <v>39.247311827956989247311827960</v>
      </c>
      <c r="AC26" s="574">
        <v>65.591397849462365591397849460</v>
      </c>
      <c r="AD26" s="574">
        <v>57.526881720430107526881720430</v>
      </c>
      <c r="AE26" s="574">
        <v>26.881720430107526881720430110</v>
      </c>
      <c r="AF26" s="574">
        <v>26.344086021505376344086021510</v>
      </c>
      <c r="AG26" s="575"/>
      <c r="AH26" s="530"/>
    </row>
    <row r="27" ht="24.95" customHeight="1">
      <c r="B27" s="38" t="s">
        <v>35</v>
      </c>
      <c r="C27" s="271">
        <v>33.333333333333333333333333330</v>
      </c>
      <c r="D27" s="97">
        <v>48.987108655616942909760589320</v>
      </c>
      <c r="E27" s="97">
        <v>62.799263351749539594843462250</v>
      </c>
      <c r="F27" s="97">
        <v>73.388581952117863720073664830</v>
      </c>
      <c r="G27" s="97">
        <v>69.152854511970534069981583790</v>
      </c>
      <c r="H27" s="97">
        <v>76.335174953959484346224677720</v>
      </c>
      <c r="I27" s="97">
        <v>66.114180478821362799263351750</v>
      </c>
      <c r="J27" s="97">
        <v>38.766114180478821362799263350</v>
      </c>
      <c r="K27" s="97">
        <v>50.184162062615101289134438310</v>
      </c>
      <c r="L27" s="97">
        <v>62.062615101289134438305709020</v>
      </c>
      <c r="M27" s="97">
        <v>66.574585635359116022099447510</v>
      </c>
      <c r="N27" s="97">
        <v>64.917127071823204419889502760</v>
      </c>
      <c r="O27" s="97">
        <v>67.771639042357274401473296500</v>
      </c>
      <c r="P27" s="97">
        <v>62.338858195211786372007366480</v>
      </c>
      <c r="Q27" s="97">
        <v>41.988950276243093922651933700</v>
      </c>
      <c r="R27" s="97">
        <v>60.589318600368324125230202580</v>
      </c>
      <c r="S27" s="97">
        <v>66.850828729281767955801104970</v>
      </c>
      <c r="T27" s="97">
        <v>58.471454880294659300184162060</v>
      </c>
      <c r="U27" s="97">
        <v>60.497237569060773480662983430</v>
      </c>
      <c r="V27" s="97">
        <v>78.729281767955801104972375690</v>
      </c>
      <c r="W27" s="97">
        <v>79.37384898710865561694290976</v>
      </c>
      <c r="X27" s="97">
        <v>41.804788213627992633517495400</v>
      </c>
      <c r="Y27" s="97">
        <v>51.565377532228360957642725600</v>
      </c>
      <c r="Z27" s="97">
        <v>61.510128913443830570902394110</v>
      </c>
      <c r="AA27" s="97">
        <v>71.546961325966850828729281770</v>
      </c>
      <c r="AB27" s="97">
        <v>63.364293085655314757481940140</v>
      </c>
      <c r="AC27" s="97">
        <v>70.441988950276243093922651930</v>
      </c>
      <c r="AD27" s="97">
        <v>71.731123388581952117863720070</v>
      </c>
      <c r="AE27" s="97">
        <v>34.346224677716390423572744010</v>
      </c>
      <c r="AF27" s="97">
        <v>41.252302025782688766114180480</v>
      </c>
      <c r="AG27" s="272"/>
      <c r="AH27" s="530"/>
    </row>
    <row r="28" ht="24.95" customHeight="1">
      <c r="A28" s="23"/>
      <c r="B28" s="40" t="s">
        <v>97</v>
      </c>
      <c r="C28" s="581">
        <v>69.354838709746774193548456440</v>
      </c>
      <c r="D28" s="582">
        <v>48.290080038823395986935571700</v>
      </c>
      <c r="E28" s="582">
        <v>45.374136789365090807557138910</v>
      </c>
      <c r="F28" s="582">
        <v>34.431537620925530063028787230</v>
      </c>
      <c r="G28" s="582">
        <v>61.419183024757988132141849610</v>
      </c>
      <c r="H28" s="582">
        <v>105.64613409076458176314261143</v>
      </c>
      <c r="I28" s="582">
        <v>108.96756222485325252527276236</v>
      </c>
      <c r="J28" s="582">
        <v>67.956478430734462516955701740</v>
      </c>
      <c r="K28" s="582">
        <v>50.352175199778395410400454180</v>
      </c>
      <c r="L28" s="582"/>
      <c r="M28" s="582">
        <v>43.608619997296201800488877670</v>
      </c>
      <c r="N28" s="582">
        <v>58.801189659137925183876329690</v>
      </c>
      <c r="O28" s="582">
        <v>53.944600280470900283553896680</v>
      </c>
      <c r="P28" s="582">
        <v>26.735598227479205548852462840</v>
      </c>
      <c r="Q28" s="582">
        <v>62.740520656544301038036583540</v>
      </c>
      <c r="R28" s="582">
        <v>76.311403078693313814960722340</v>
      </c>
      <c r="S28" s="582">
        <v>47.449569003808262443146477610</v>
      </c>
      <c r="T28" s="582">
        <v>54.249428498852042648085296630</v>
      </c>
      <c r="U28" s="582">
        <v>50.655472087167037061698672950</v>
      </c>
      <c r="V28" s="582">
        <v>96.28749292580898857216615590</v>
      </c>
      <c r="W28" s="582">
        <v>94.15088690967271744945942618</v>
      </c>
      <c r="X28" s="582">
        <v>56.586613613793752468857211320</v>
      </c>
      <c r="Y28" s="582">
        <v>106.34792626733959735023044692</v>
      </c>
      <c r="Z28" s="582">
        <v>92.65018350402584248154266010</v>
      </c>
      <c r="AA28" s="582">
        <v>80.40436750110444170127818634</v>
      </c>
      <c r="AB28" s="582">
        <v>61.939161500429157856214129430</v>
      </c>
      <c r="AC28" s="582">
        <v>93.11406282940144523404977639</v>
      </c>
      <c r="AD28" s="582">
        <v>80.19793780278739149985135052</v>
      </c>
      <c r="AE28" s="582">
        <v>78.266885756328969702983950820</v>
      </c>
      <c r="AF28" s="582">
        <v>63.860887096747394783266140290</v>
      </c>
      <c r="AG28" s="583"/>
      <c r="AH28" s="531"/>
    </row>
    <row r="29" ht="24.95" customHeight="1">
      <c r="B29" s="25" t="s">
        <v>68</v>
      </c>
      <c r="R29" s="4"/>
      <c r="S29" s="4"/>
      <c r="T29" s="4"/>
      <c r="U29" s="4"/>
      <c r="V29" s="4"/>
      <c r="W29" s="4"/>
      <c r="X29" s="4"/>
      <c r="Y29" s="4"/>
      <c r="Z29" s="4"/>
      <c r="AA29" s="4"/>
      <c r="AB29" s="4"/>
      <c r="AC29" s="4"/>
      <c r="AD29" s="4"/>
      <c r="AE29" s="4"/>
      <c r="AF29" s="4"/>
      <c r="AG29" s="4"/>
      <c r="AH29" s="4"/>
    </row>
    <row r="30" ht="24.95" customHeight="1">
      <c r="B30" s="37" t="s">
        <v>19</v>
      </c>
      <c r="C30" s="573">
        <v>2.3809523809085034013605630100</v>
      </c>
      <c r="D30" s="574">
        <v>-30.158730158656991685563037500</v>
      </c>
      <c r="E30" s="574">
        <v>-36.144578313283785745391188550</v>
      </c>
      <c r="F30" s="574">
        <v>-22.950819672057887664606218980</v>
      </c>
      <c r="G30" s="574">
        <v>-12.222222222233925925925924370</v>
      </c>
      <c r="H30" s="574">
        <v>38.888888888966049382716092250</v>
      </c>
      <c r="I30" s="574">
        <v>21.818181818257123966942195320</v>
      </c>
      <c r="J30" s="574">
        <v>63.333333332974000000000790560</v>
      </c>
      <c r="K30" s="574">
        <v>20.512820512727810650887645270</v>
      </c>
      <c r="L30" s="574"/>
      <c r="M30" s="574">
        <v>31.707317073100059488399799990</v>
      </c>
      <c r="N30" s="574">
        <v>16.393442623061488847084222390</v>
      </c>
      <c r="O30" s="574">
        <v>-26.086956521742344045368619890</v>
      </c>
      <c r="P30" s="574">
        <v>-59.210526315825969529085839910</v>
      </c>
      <c r="Q30" s="574">
        <v>-3.9215686274170703575547746400</v>
      </c>
      <c r="R30" s="574">
        <v>43.333333333462333333333449420</v>
      </c>
      <c r="S30" s="574">
        <v>0.0000000000847457627119362400</v>
      </c>
      <c r="T30" s="574">
        <v>1.7241379311151605231867465200</v>
      </c>
      <c r="U30" s="574">
        <v>-10.937499999902587890624893460</v>
      </c>
      <c r="V30" s="574">
        <v>80.76923076909171597633146790</v>
      </c>
      <c r="W30" s="574">
        <v>19.827586206991587395957269190</v>
      </c>
      <c r="X30" s="574">
        <v>-0.0000000000227272727272675800</v>
      </c>
      <c r="Y30" s="574">
        <v>92.45283018877365610537562481</v>
      </c>
      <c r="Z30" s="574">
        <v>171.79487179466272189349128510</v>
      </c>
      <c r="AA30" s="574">
        <v>137.77777777774607407407407830</v>
      </c>
      <c r="AB30" s="574">
        <v>128.12499999958652343750074944</v>
      </c>
      <c r="AC30" s="574">
        <v>28.421052631589761772853186500</v>
      </c>
      <c r="AD30" s="574">
        <v>52.857142856941959183673733420</v>
      </c>
      <c r="AE30" s="574">
        <v>66.666666666300000000000806680</v>
      </c>
      <c r="AF30" s="574">
        <v>122.72727272816363636363992731</v>
      </c>
      <c r="AG30" s="575"/>
      <c r="AH30" s="530"/>
    </row>
    <row r="31" ht="24.95" customHeight="1">
      <c r="B31" s="38" t="s">
        <v>35</v>
      </c>
      <c r="C31" s="271">
        <v>8.059701492640534640231776020</v>
      </c>
      <c r="D31" s="97">
        <v>-0.9310986965525919915107935300</v>
      </c>
      <c r="E31" s="97">
        <v>4.2813455658152484358780543100</v>
      </c>
      <c r="F31" s="97">
        <v>17.205882353005639705882388400</v>
      </c>
      <c r="G31" s="97">
        <v>16.614906832224618552525026090</v>
      </c>
      <c r="H31" s="97">
        <v>4.9367088607090177856113045300</v>
      </c>
      <c r="I31" s="97">
        <v>-6.0209424084187864915983476600</v>
      </c>
      <c r="J31" s="97">
        <v>20.285714285873750204081844050</v>
      </c>
      <c r="K31" s="97">
        <v>12.139917695397106640247981400</v>
      </c>
      <c r="L31" s="97">
        <v>10.310965630140925369855974750</v>
      </c>
      <c r="M31" s="97">
        <v>-4.111405835553177395183248100</v>
      </c>
      <c r="N31" s="97">
        <v>0.5706134094042177366346437600</v>
      </c>
      <c r="O31" s="97">
        <v>0.8219178082371326702946175700</v>
      </c>
      <c r="P31" s="97">
        <v>7.1202531645054358275917568700</v>
      </c>
      <c r="Q31" s="97">
        <v>21.925133689924332980640054340</v>
      </c>
      <c r="R31" s="97">
        <v>24.385633270306782780221627560</v>
      </c>
      <c r="S31" s="97">
        <v>4.0114613180035935665553049300</v>
      </c>
      <c r="T31" s="97">
        <v>-19.313850063485240623925289980</v>
      </c>
      <c r="U31" s="97">
        <v>-15.877080665816506957002168840</v>
      </c>
      <c r="V31" s="97">
        <v>2.1505376344349635796045853700</v>
      </c>
      <c r="W31" s="97">
        <v>5.2503052502828894345377909400</v>
      </c>
      <c r="X31" s="97">
        <v>7.328605200928880170346900</v>
      </c>
      <c r="Y31" s="97">
        <v>1.4492753622548834278513320700</v>
      </c>
      <c r="Z31" s="97">
        <v>0.4511278195836146757872244100</v>
      </c>
      <c r="AA31" s="97">
        <v>28.217821782122360552886996200</v>
      </c>
      <c r="AB31" s="97">
        <v>27.906361135630539439702190470</v>
      </c>
      <c r="AC31" s="97">
        <v>6.9930069930048980390239131900</v>
      </c>
      <c r="AD31" s="97">
        <v>26.666666666764292682926904510</v>
      </c>
      <c r="AE31" s="97">
        <v>17.665615141929853018738375100</v>
      </c>
      <c r="AF31" s="97">
        <v>38.271604938486694101509250910</v>
      </c>
      <c r="AG31" s="272"/>
      <c r="AH31" s="530"/>
    </row>
    <row r="32" ht="24.95" customHeight="1">
      <c r="A32" s="23"/>
      <c r="B32" s="40" t="s">
        <v>97</v>
      </c>
      <c r="C32" s="581">
        <v>-5.2551960010376232099016861800</v>
      </c>
      <c r="D32" s="582">
        <v>-29.502327246592786391704083990</v>
      </c>
      <c r="E32" s="582">
        <v>-38.76620852914575111277594500</v>
      </c>
      <c r="F32" s="582">
        <v>-34.261678013902715143500058690</v>
      </c>
      <c r="G32" s="582">
        <v>-24.728510134600059537480722410</v>
      </c>
      <c r="H32" s="582">
        <v>32.354912210160678928953332770</v>
      </c>
      <c r="I32" s="582">
        <v>29.622689288458239866700782060</v>
      </c>
      <c r="J32" s="582">
        <v>35.787806808862729101576726130</v>
      </c>
      <c r="K32" s="582">
        <v>7.4664784756902413925288390100</v>
      </c>
      <c r="L32" s="582"/>
      <c r="M32" s="582">
        <v>37.354518773388892697933587930</v>
      </c>
      <c r="N32" s="582">
        <v>15.733054295971783372134979470</v>
      </c>
      <c r="O32" s="582">
        <v>-26.689508506708788911463172090</v>
      </c>
      <c r="P32" s="582">
        <v>-61.921791184007000087394995710</v>
      </c>
      <c r="Q32" s="582">
        <v>-21.198830409329545349553587650</v>
      </c>
      <c r="R32" s="582">
        <v>15.233029381864616444186135810</v>
      </c>
      <c r="S32" s="582">
        <v>-3.8567493113371921627901592400</v>
      </c>
      <c r="T32" s="582">
        <v>26.073852837172710643137805570</v>
      </c>
      <c r="U32" s="582">
        <v>5.8718607306325407435641269400</v>
      </c>
      <c r="V32" s="582">
        <v>76.963562752924529607034765320</v>
      </c>
      <c r="W32" s="582">
        <v>13.850108008691459570312004480</v>
      </c>
      <c r="X32" s="582">
        <v>-6.8281938325481140184927572400</v>
      </c>
      <c r="Y32" s="582">
        <v>89.70350404326155447382322564</v>
      </c>
      <c r="Z32" s="582">
        <v>170.57423614321379555177683044</v>
      </c>
      <c r="AA32" s="582">
        <v>85.44830544839807580252158948</v>
      </c>
      <c r="AB32" s="582">
        <v>78.353131129887558387627312720</v>
      </c>
      <c r="AC32" s="582">
        <v>20.027519779846444412078447230</v>
      </c>
      <c r="AD32" s="582">
        <v>20.676691729235321622707507810</v>
      </c>
      <c r="AE32" s="582">
        <v>41.644325290647520924941226600</v>
      </c>
      <c r="AF32" s="582">
        <v>61.079545454204241877868627720</v>
      </c>
      <c r="AG32" s="583"/>
      <c r="AH32" s="531"/>
    </row>
    <row r="33" ht="30" customHeight="1">
      <c r="A33" s="8"/>
      <c r="B33" s="25"/>
      <c r="X33" s="792"/>
      <c r="Y33" s="792"/>
      <c r="Z33" s="792"/>
      <c r="AA33" s="792"/>
      <c r="AB33" s="792"/>
      <c r="AC33" s="792"/>
      <c r="AD33" s="792"/>
      <c r="AE33"/>
      <c r="AF33"/>
      <c r="AG33" s="4"/>
      <c r="AH33" s="4"/>
    </row>
    <row r="34" s="35" customFormat="1" ht="20.1" customHeight="1">
      <c r="B34" s="784" t="s">
        <v>9</v>
      </c>
      <c r="C34" s="350" t="s">
        <v>258</v>
      </c>
      <c r="D34" s="351"/>
      <c r="E34" s="351"/>
      <c r="F34" s="351"/>
      <c r="G34" s="351"/>
      <c r="H34" s="351"/>
      <c r="I34" s="351"/>
      <c r="J34" s="351"/>
      <c r="K34" s="351"/>
      <c r="L34" s="351"/>
      <c r="M34" s="351"/>
      <c r="N34" s="351"/>
      <c r="O34" s="351"/>
      <c r="P34" s="351"/>
      <c r="Q34" s="351"/>
      <c r="R34" s="351"/>
      <c r="S34" s="352"/>
      <c r="T34" s="352"/>
      <c r="U34" s="352"/>
      <c r="V34" s="352"/>
      <c r="W34" s="352"/>
      <c r="X34" s="352"/>
      <c r="Y34" s="352"/>
      <c r="Z34" s="352"/>
      <c r="AA34" s="352"/>
      <c r="AB34" s="352"/>
      <c r="AC34" s="352"/>
      <c r="AD34" s="352"/>
      <c r="AE34" s="352"/>
      <c r="AF34" s="352"/>
      <c r="AG34" s="353"/>
      <c r="AH34" s="529"/>
      <c r="AI34" s="236"/>
      <c r="AJ34" s="236"/>
      <c r="AK34" s="236"/>
      <c r="AL34" s="236"/>
      <c r="AM34" s="236"/>
      <c r="AN34" s="236"/>
      <c r="AO34" s="236"/>
      <c r="AP34" s="236"/>
      <c r="AQ34" s="236"/>
      <c r="AR34" s="236"/>
      <c r="AS34" s="236"/>
      <c r="AT34" s="236"/>
      <c r="AU34" s="236"/>
      <c r="AV34" s="236"/>
      <c r="AW34" s="236"/>
    </row>
    <row r="35" s="36" customFormat="1" ht="20.1" customHeight="1">
      <c r="B35" s="964"/>
      <c r="C35" s="354">
        <v>1</v>
      </c>
      <c r="D35" s="355">
        <v>2</v>
      </c>
      <c r="E35" s="355">
        <v>3</v>
      </c>
      <c r="F35" s="355">
        <v>4</v>
      </c>
      <c r="G35" s="355">
        <v>5</v>
      </c>
      <c r="H35" s="355">
        <v>6</v>
      </c>
      <c r="I35" s="355">
        <v>7</v>
      </c>
      <c r="J35" s="355">
        <v>8</v>
      </c>
      <c r="K35" s="355">
        <v>9</v>
      </c>
      <c r="L35" s="355">
        <v>10</v>
      </c>
      <c r="M35" s="355">
        <v>11</v>
      </c>
      <c r="N35" s="355">
        <v>12</v>
      </c>
      <c r="O35" s="355">
        <v>13</v>
      </c>
      <c r="P35" s="355">
        <v>14</v>
      </c>
      <c r="Q35" s="355">
        <v>15</v>
      </c>
      <c r="R35" s="355">
        <v>16</v>
      </c>
      <c r="S35" s="355">
        <v>17</v>
      </c>
      <c r="T35" s="355">
        <v>18</v>
      </c>
      <c r="U35" s="355">
        <v>19</v>
      </c>
      <c r="V35" s="355">
        <v>20</v>
      </c>
      <c r="W35" s="355">
        <v>21</v>
      </c>
      <c r="X35" s="355">
        <v>22</v>
      </c>
      <c r="Y35" s="355">
        <v>23</v>
      </c>
      <c r="Z35" s="355">
        <v>24</v>
      </c>
      <c r="AA35" s="355">
        <v>25</v>
      </c>
      <c r="AB35" s="355">
        <v>26</v>
      </c>
      <c r="AC35" s="355">
        <v>27</v>
      </c>
      <c r="AD35" s="355">
        <v>28</v>
      </c>
      <c r="AE35" s="355">
        <v>29</v>
      </c>
      <c r="AF35" s="355">
        <v>30</v>
      </c>
      <c r="AG35" s="356"/>
      <c r="AH35" s="529"/>
      <c r="AI35" s="236"/>
      <c r="AJ35" s="236"/>
      <c r="AK35" s="236"/>
      <c r="AL35" s="236"/>
      <c r="AM35" s="236"/>
      <c r="AN35" s="236"/>
      <c r="AO35" s="236"/>
      <c r="AP35" s="236"/>
      <c r="AQ35" s="236"/>
      <c r="AR35" s="236"/>
      <c r="AS35" s="236"/>
      <c r="AT35" s="236"/>
      <c r="AU35" s="236"/>
      <c r="AV35" s="236"/>
      <c r="AW35" s="236"/>
    </row>
    <row r="36" ht="24.95" customHeight="1">
      <c r="B36" s="263" t="s">
        <v>19</v>
      </c>
      <c r="C36" s="578">
        <v>107.51162790697674418604651163</v>
      </c>
      <c r="D36" s="579">
        <v>110.11363636363636363636363636</v>
      </c>
      <c r="E36" s="579">
        <v>118.6226415094339622641509434</v>
      </c>
      <c r="F36" s="579">
        <v>126.70212765957446808510638298</v>
      </c>
      <c r="G36" s="579">
        <v>120.06329113924050632911392405</v>
      </c>
      <c r="H36" s="579">
        <v>111.14666666666666666666666667</v>
      </c>
      <c r="I36" s="579">
        <v>115.41791044776119402985074627</v>
      </c>
      <c r="J36" s="579">
        <v>88.89795918367346938775510204</v>
      </c>
      <c r="K36" s="579">
        <v>107.25531914893617021276595745</v>
      </c>
      <c r="L36" s="579"/>
      <c r="M36" s="579">
        <v>115.000000000</v>
      </c>
      <c r="N36" s="579">
        <v>115.02816901408450704225352113</v>
      </c>
      <c r="O36" s="579">
        <v>110.01470588235294117647058824</v>
      </c>
      <c r="P36" s="579">
        <v>90.96774193548387096774193548</v>
      </c>
      <c r="Q36" s="579">
        <v>99.2448979591836734693877551</v>
      </c>
      <c r="R36" s="579">
        <v>96.67441860465116279069767442</v>
      </c>
      <c r="S36" s="579">
        <v>93.83050847457627118644067797</v>
      </c>
      <c r="T36" s="579">
        <v>98.37288135593220338983050847</v>
      </c>
      <c r="U36" s="579">
        <v>96.54385964912280701754385965</v>
      </c>
      <c r="V36" s="579">
        <v>109.56028368794326241134751773</v>
      </c>
      <c r="W36" s="579">
        <v>106.61151079136690647482014388</v>
      </c>
      <c r="X36" s="579">
        <v>88.20454545454545454545454545</v>
      </c>
      <c r="Y36" s="579">
        <v>98.77450980392156862745098039</v>
      </c>
      <c r="Z36" s="579">
        <v>99.56603773584905660377358491</v>
      </c>
      <c r="AA36" s="579">
        <v>98.30841121495327102803738318</v>
      </c>
      <c r="AB36" s="579">
        <v>99.72602739726027397260273973</v>
      </c>
      <c r="AC36" s="579">
        <v>111.69672131147540983606557377</v>
      </c>
      <c r="AD36" s="579">
        <v>99.84112149532710280373831776</v>
      </c>
      <c r="AE36" s="579">
        <v>94.060000000</v>
      </c>
      <c r="AF36" s="579">
        <v>95.12244897959183673469387755</v>
      </c>
      <c r="AG36" s="580"/>
      <c r="AH36" s="530"/>
    </row>
    <row r="37" ht="24.95" customHeight="1">
      <c r="B37" s="38" t="s">
        <v>35</v>
      </c>
      <c r="C37" s="276">
        <v>119.65571823204419889502762432</v>
      </c>
      <c r="D37" s="101">
        <v>139.3487406015037593984962406</v>
      </c>
      <c r="E37" s="101">
        <v>142.07052785923753665689149559</v>
      </c>
      <c r="F37" s="101">
        <v>146.09846925972396486825595983</v>
      </c>
      <c r="G37" s="101">
        <v>136.370306258322237017310253</v>
      </c>
      <c r="H37" s="101">
        <v>134.85673100120627261761158022</v>
      </c>
      <c r="I37" s="101">
        <v>133.64530640668523676880222841</v>
      </c>
      <c r="J37" s="101">
        <v>120.17969121140142517814726841</v>
      </c>
      <c r="K37" s="101">
        <v>137.74974311926605504587155962</v>
      </c>
      <c r="L37" s="101">
        <v>143.9077151335311572700296736</v>
      </c>
      <c r="M37" s="101">
        <v>136.00625172890733056708160443</v>
      </c>
      <c r="N37" s="101">
        <v>132.9863262411347517730496454</v>
      </c>
      <c r="O37" s="101">
        <v>136.69892663043478260869565218</v>
      </c>
      <c r="P37" s="101">
        <v>135.2623338257016248153618907</v>
      </c>
      <c r="Q37" s="101">
        <v>130.14013157894736842105263158</v>
      </c>
      <c r="R37" s="101">
        <v>137.66876899696048632218844984</v>
      </c>
      <c r="S37" s="101">
        <v>141.4679063360881542699724518</v>
      </c>
      <c r="T37" s="101">
        <v>136.92388976377952755905511812</v>
      </c>
      <c r="U37" s="101">
        <v>131.20566210045662100456621004</v>
      </c>
      <c r="V37" s="101">
        <v>138.41991812865497076023391813</v>
      </c>
      <c r="W37" s="101">
        <v>139.00614849187935034802784223</v>
      </c>
      <c r="X37" s="101">
        <v>134.99008810572687224669603523</v>
      </c>
      <c r="Y37" s="101">
        <v>141.07851785714285714285714285</v>
      </c>
      <c r="Z37" s="101">
        <v>144.04239520958083832335329341</v>
      </c>
      <c r="AA37" s="101">
        <v>146.02247104247104247104247105</v>
      </c>
      <c r="AB37" s="101">
        <v>153.67954397394136807817589578</v>
      </c>
      <c r="AC37" s="101">
        <v>139.84824836601307189542483661</v>
      </c>
      <c r="AD37" s="101">
        <v>134.91435173299101412066752247</v>
      </c>
      <c r="AE37" s="101">
        <v>125.0401072386058981233243968</v>
      </c>
      <c r="AF37" s="101">
        <v>129.80238839285714285714285714</v>
      </c>
      <c r="AG37" s="277"/>
      <c r="AH37" s="530"/>
    </row>
    <row r="38" ht="24.95" customHeight="1">
      <c r="A38" s="23"/>
      <c r="B38" s="40" t="s">
        <v>98</v>
      </c>
      <c r="C38" s="581">
        <v>89.85080654358939453684872486</v>
      </c>
      <c r="D38" s="582">
        <v>79.020187687617365392284984800</v>
      </c>
      <c r="E38" s="582">
        <v>83.49560130233046568098363024</v>
      </c>
      <c r="F38" s="582">
        <v>86.72378862118862384237546450</v>
      </c>
      <c r="G38" s="582">
        <v>88.04210713718552746648798060</v>
      </c>
      <c r="H38" s="582">
        <v>82.41833080298946790948891758</v>
      </c>
      <c r="I38" s="582">
        <v>86.36136468311840586724998004</v>
      </c>
      <c r="J38" s="582">
        <v>73.970866697684434210144714150</v>
      </c>
      <c r="K38" s="582">
        <v>77.862445853017869013458442330</v>
      </c>
      <c r="L38" s="582"/>
      <c r="M38" s="582">
        <v>84.55493665778572684971651560</v>
      </c>
      <c r="N38" s="582">
        <v>86.49623782037716994852851592</v>
      </c>
      <c r="O38" s="582">
        <v>80.47956819719983993240941579</v>
      </c>
      <c r="P38" s="582">
        <v>67.252825943921348117500948380</v>
      </c>
      <c r="Q38" s="582">
        <v>76.260025831474215997971846740</v>
      </c>
      <c r="R38" s="582">
        <v>70.222476244236510226967141490</v>
      </c>
      <c r="S38" s="582">
        <v>66.326356913527359060559802280</v>
      </c>
      <c r="T38" s="582">
        <v>71.844936282214844238227507680</v>
      </c>
      <c r="U38" s="582">
        <v>73.582083351839506170812320540</v>
      </c>
      <c r="V38" s="582">
        <v>79.150663552680589233586743920</v>
      </c>
      <c r="W38" s="582">
        <v>76.695536095354260461754926600</v>
      </c>
      <c r="X38" s="582">
        <v>65.341497803512426310250209510</v>
      </c>
      <c r="Y38" s="582">
        <v>70.013855620436392951799072570</v>
      </c>
      <c r="Z38" s="582">
        <v>69.122731256285909360642274030</v>
      </c>
      <c r="AA38" s="582">
        <v>67.324166282832250084189903140</v>
      </c>
      <c r="AB38" s="582">
        <v>64.892193728917582248845187030</v>
      </c>
      <c r="AC38" s="582">
        <v>79.86994661467007096604679240</v>
      </c>
      <c r="AD38" s="582">
        <v>74.003336348467960513309786590</v>
      </c>
      <c r="AE38" s="582">
        <v>75.223863828360176391669769710</v>
      </c>
      <c r="AF38" s="582">
        <v>73.282510558792533731504240520</v>
      </c>
      <c r="AG38" s="583"/>
      <c r="AH38" s="531"/>
    </row>
    <row r="39" ht="24.95" customHeight="1">
      <c r="B39" s="25" t="s">
        <v>68</v>
      </c>
      <c r="S39" s="4"/>
      <c r="T39" s="4"/>
      <c r="U39" s="4"/>
      <c r="V39" s="4"/>
      <c r="W39" s="4"/>
      <c r="X39" s="4"/>
      <c r="Y39" s="4"/>
      <c r="Z39" s="4"/>
      <c r="AA39" s="4"/>
      <c r="AB39" s="4"/>
      <c r="AC39" s="4"/>
      <c r="AD39" s="4"/>
      <c r="AE39" s="4"/>
      <c r="AF39" s="4"/>
      <c r="AG39" s="4"/>
      <c r="AH39" s="4"/>
    </row>
    <row r="40" ht="24.95" customHeight="1">
      <c r="B40" s="37" t="s">
        <v>19</v>
      </c>
      <c r="C40" s="573">
        <v>-11.094932622721866607493086220</v>
      </c>
      <c r="D40" s="574">
        <v>19.709388971719171159679522290</v>
      </c>
      <c r="E40" s="574">
        <v>9.946166893125523667415468010</v>
      </c>
      <c r="F40" s="574">
        <v>9.349600838074929954723685780</v>
      </c>
      <c r="G40" s="574">
        <v>14.273436997971841862418718370</v>
      </c>
      <c r="H40" s="574">
        <v>2.2038314176245210727969348700</v>
      </c>
      <c r="I40" s="574">
        <v>7.1751658724869415409615647400</v>
      </c>
      <c r="J40" s="574">
        <v>-4.0669505212501888079904473700</v>
      </c>
      <c r="K40" s="574">
        <v>3.4617226516736491690180703200</v>
      </c>
      <c r="L40" s="574"/>
      <c r="M40" s="574">
        <v>14.247637509047747348555205510</v>
      </c>
      <c r="N40" s="574">
        <v>16.906336385465640444616808060</v>
      </c>
      <c r="O40" s="574">
        <v>-1.5624106090444894994597412300</v>
      </c>
      <c r="P40" s="574">
        <v>-21.302807204390940428242144490</v>
      </c>
      <c r="Q40" s="574">
        <v>-3.0737304496247290092218663100</v>
      </c>
      <c r="R40" s="574">
        <v>-9.846672112513633291892909660</v>
      </c>
      <c r="S40" s="574">
        <v>-22.832450515762080784706473080</v>
      </c>
      <c r="T40" s="574">
        <v>-10.331178396270263081681255580</v>
      </c>
      <c r="U40" s="574">
        <v>-12.839511672395829466457793520</v>
      </c>
      <c r="V40" s="574">
        <v>-20.608490081200534484530784250</v>
      </c>
      <c r="W40" s="574">
        <v>-6.6857673598539111817766793200</v>
      </c>
      <c r="X40" s="574">
        <v>-33.782630950327173735181821250</v>
      </c>
      <c r="Y40" s="574">
        <v>9.154483311299355138403182830</v>
      </c>
      <c r="Z40" s="574">
        <v>-18.848997456669662266357370900</v>
      </c>
      <c r="AA40" s="574">
        <v>-12.932916656694892114182271820</v>
      </c>
      <c r="AB40" s="574">
        <v>-1.5051581261626923727380348300</v>
      </c>
      <c r="AC40" s="574">
        <v>0.3422082703419271990749350300</v>
      </c>
      <c r="AD40" s="574">
        <v>-4.4582569422707150203461074100</v>
      </c>
      <c r="AE40" s="574">
        <v>25.413333333333333333333333330</v>
      </c>
      <c r="AF40" s="574">
        <v>17.765553041740405260636789450</v>
      </c>
      <c r="AG40" s="575"/>
      <c r="AH40" s="530"/>
    </row>
    <row r="41" ht="24.95" customHeight="1">
      <c r="B41" s="38" t="s">
        <v>35</v>
      </c>
      <c r="C41" s="271">
        <v>-8.452296230783923117771584700</v>
      </c>
      <c r="D41" s="97">
        <v>-3.6155019620251057444761910400</v>
      </c>
      <c r="E41" s="97">
        <v>2.9061702860914876381764544500</v>
      </c>
      <c r="F41" s="97">
        <v>-0.5560233597934293955666952300</v>
      </c>
      <c r="G41" s="97">
        <v>-5.4519818669872395894509897800</v>
      </c>
      <c r="H41" s="97">
        <v>-11.216966007162069130635761650</v>
      </c>
      <c r="I41" s="97">
        <v>-4.933208295741201052023546100</v>
      </c>
      <c r="J41" s="97">
        <v>-7.8486641626245689794540169900</v>
      </c>
      <c r="K41" s="97">
        <v>3.1907556360915216071099257500</v>
      </c>
      <c r="L41" s="97">
        <v>-0.6487509271517496900739000300</v>
      </c>
      <c r="M41" s="97">
        <v>-3.0341438473086109445591038700</v>
      </c>
      <c r="N41" s="97">
        <v>0.9352186750906707646664025200</v>
      </c>
      <c r="O41" s="97">
        <v>3.8298734100582834959939205600</v>
      </c>
      <c r="P41" s="97">
        <v>0.5251873052154322729305047600</v>
      </c>
      <c r="Q41" s="97">
        <v>-0.9314885482156040479441327300</v>
      </c>
      <c r="R41" s="97">
        <v>-3.4464899139871484181203192500</v>
      </c>
      <c r="S41" s="97">
        <v>-0.4733207317321638109392448300</v>
      </c>
      <c r="T41" s="97">
        <v>-3.7801164058900878387525330100</v>
      </c>
      <c r="U41" s="97">
        <v>-8.198354619801275267969728840</v>
      </c>
      <c r="V41" s="97">
        <v>-4.1448126048784091144034316400</v>
      </c>
      <c r="W41" s="97">
        <v>2.2863117504477164153135535100</v>
      </c>
      <c r="X41" s="97">
        <v>3.3869844483780306738405392700</v>
      </c>
      <c r="Y41" s="97">
        <v>-4.5202907656743841643115945200</v>
      </c>
      <c r="Z41" s="97">
        <v>-3.5262939726882847072279276700</v>
      </c>
      <c r="AA41" s="97">
        <v>6.2090461497177291185998630500</v>
      </c>
      <c r="AB41" s="97">
        <v>20.864390246486163599996187490</v>
      </c>
      <c r="AC41" s="97">
        <v>10.582870585768144215974433380</v>
      </c>
      <c r="AD41" s="97">
        <v>9.989176790200001697678788800</v>
      </c>
      <c r="AE41" s="97">
        <v>3.1565378696030993573061553600</v>
      </c>
      <c r="AF41" s="97">
        <v>5.4269594954797372740275818800</v>
      </c>
      <c r="AG41" s="272"/>
      <c r="AH41" s="530"/>
    </row>
    <row r="42" ht="24.95" customHeight="1">
      <c r="A42" s="23"/>
      <c r="B42" s="40" t="s">
        <v>98</v>
      </c>
      <c r="C42" s="581">
        <v>-2.8866222560496789017434359600</v>
      </c>
      <c r="D42" s="582">
        <v>24.199836497099225862788225630</v>
      </c>
      <c r="E42" s="582">
        <v>6.8411802592170912942448937700</v>
      </c>
      <c r="F42" s="582">
        <v>9.961009738836791686071186320</v>
      </c>
      <c r="G42" s="582">
        <v>20.862858105922990631394552650</v>
      </c>
      <c r="H42" s="582">
        <v>15.116398732129897670800054100</v>
      </c>
      <c r="I42" s="582">
        <v>12.736702218661771005245518760</v>
      </c>
      <c r="J42" s="582">
        <v>4.103807727811884506888533800</v>
      </c>
      <c r="K42" s="582">
        <v>0.2625884595047578422977624500</v>
      </c>
      <c r="L42" s="582"/>
      <c r="M42" s="582">
        <v>17.822542946630380227478563180</v>
      </c>
      <c r="N42" s="582">
        <v>15.823136780328634885346557750</v>
      </c>
      <c r="O42" s="582">
        <v>-5.1933839867268176365984793100</v>
      </c>
      <c r="P42" s="582">
        <v>-21.713955571428750842251135700</v>
      </c>
      <c r="Q42" s="582">
        <v>-2.1623842631665971057110471200</v>
      </c>
      <c r="R42" s="582">
        <v>-6.6286375222804296403001864700</v>
      </c>
      <c r="S42" s="582">
        <v>-22.465463480111928015297251570</v>
      </c>
      <c r="T42" s="582">
        <v>-6.8084285136598136226881005900</v>
      </c>
      <c r="U42" s="582">
        <v>-5.0556360219546589578869501100</v>
      </c>
      <c r="V42" s="582">
        <v>-17.175572781935326487916485720</v>
      </c>
      <c r="W42" s="582">
        <v>-8.771534486607738275529630980</v>
      </c>
      <c r="X42" s="582">
        <v>-35.951929149517764870606723830</v>
      </c>
      <c r="Y42" s="582">
        <v>14.322178174375279569082190430</v>
      </c>
      <c r="Z42" s="582">
        <v>-15.882776888092913175962845660</v>
      </c>
      <c r="AA42" s="582">
        <v>-18.022911889691345993609195560</v>
      </c>
      <c r="AB42" s="582">
        <v>-18.507972718047350145618735090</v>
      </c>
      <c r="AC42" s="582">
        <v>-9.260622609226014954881135040</v>
      </c>
      <c r="AD42" s="582">
        <v>-13.135323087312601417029802350</v>
      </c>
      <c r="AE42" s="582">
        <v>21.575748782698992285439499710</v>
      </c>
      <c r="AF42" s="582">
        <v>11.703451949364383535862274010</v>
      </c>
      <c r="AG42" s="583"/>
      <c r="AH42" s="531"/>
    </row>
    <row r="43" ht="30" customHeight="1">
      <c r="A43" s="8"/>
      <c r="B43" s="25"/>
      <c r="X43" s="792"/>
      <c r="Y43" s="792"/>
      <c r="Z43" s="792"/>
      <c r="AA43" s="792"/>
      <c r="AB43" s="792"/>
      <c r="AC43" s="792"/>
      <c r="AD43" s="792"/>
      <c r="AE43"/>
      <c r="AF43"/>
      <c r="AG43" s="4"/>
      <c r="AH43" s="4"/>
    </row>
    <row r="44" s="35" customFormat="1" ht="20.1" customHeight="1">
      <c r="B44" s="784" t="s">
        <v>10</v>
      </c>
      <c r="C44" s="350" t="s">
        <v>258</v>
      </c>
      <c r="D44" s="351"/>
      <c r="E44" s="351"/>
      <c r="F44" s="351"/>
      <c r="G44" s="351"/>
      <c r="H44" s="351"/>
      <c r="I44" s="351"/>
      <c r="J44" s="351"/>
      <c r="K44" s="351"/>
      <c r="L44" s="351"/>
      <c r="M44" s="351"/>
      <c r="N44" s="351"/>
      <c r="O44" s="351"/>
      <c r="P44" s="351"/>
      <c r="Q44" s="351"/>
      <c r="R44" s="351"/>
      <c r="S44" s="352"/>
      <c r="T44" s="352"/>
      <c r="U44" s="352"/>
      <c r="V44" s="352"/>
      <c r="W44" s="352"/>
      <c r="X44" s="352"/>
      <c r="Y44" s="352"/>
      <c r="Z44" s="352"/>
      <c r="AA44" s="352"/>
      <c r="AB44" s="352"/>
      <c r="AC44" s="352"/>
      <c r="AD44" s="352"/>
      <c r="AE44" s="352"/>
      <c r="AF44" s="352"/>
      <c r="AG44" s="353"/>
      <c r="AH44" s="529"/>
      <c r="AI44" s="236"/>
      <c r="AJ44" s="236"/>
      <c r="AK44" s="236"/>
      <c r="AL44" s="236"/>
      <c r="AM44" s="236"/>
      <c r="AN44" s="236"/>
      <c r="AO44" s="236"/>
      <c r="AP44" s="236"/>
      <c r="AQ44" s="236"/>
      <c r="AR44" s="236"/>
      <c r="AS44" s="236"/>
      <c r="AT44" s="236"/>
      <c r="AU44" s="236"/>
      <c r="AV44" s="236"/>
      <c r="AW44" s="236"/>
    </row>
    <row r="45" s="36" customFormat="1" ht="20.1" customHeight="1">
      <c r="B45" s="964"/>
      <c r="C45" s="354">
        <v>1</v>
      </c>
      <c r="D45" s="355">
        <v>2</v>
      </c>
      <c r="E45" s="355">
        <v>3</v>
      </c>
      <c r="F45" s="355">
        <v>4</v>
      </c>
      <c r="G45" s="355">
        <v>5</v>
      </c>
      <c r="H45" s="355">
        <v>6</v>
      </c>
      <c r="I45" s="355">
        <v>7</v>
      </c>
      <c r="J45" s="355">
        <v>8</v>
      </c>
      <c r="K45" s="355">
        <v>9</v>
      </c>
      <c r="L45" s="355">
        <v>10</v>
      </c>
      <c r="M45" s="355">
        <v>11</v>
      </c>
      <c r="N45" s="355">
        <v>12</v>
      </c>
      <c r="O45" s="355">
        <v>13</v>
      </c>
      <c r="P45" s="355">
        <v>14</v>
      </c>
      <c r="Q45" s="355">
        <v>15</v>
      </c>
      <c r="R45" s="355">
        <v>16</v>
      </c>
      <c r="S45" s="355">
        <v>17</v>
      </c>
      <c r="T45" s="355">
        <v>18</v>
      </c>
      <c r="U45" s="355">
        <v>19</v>
      </c>
      <c r="V45" s="355">
        <v>20</v>
      </c>
      <c r="W45" s="355">
        <v>21</v>
      </c>
      <c r="X45" s="355">
        <v>22</v>
      </c>
      <c r="Y45" s="355">
        <v>23</v>
      </c>
      <c r="Z45" s="355">
        <v>24</v>
      </c>
      <c r="AA45" s="355">
        <v>25</v>
      </c>
      <c r="AB45" s="355">
        <v>26</v>
      </c>
      <c r="AC45" s="355">
        <v>27</v>
      </c>
      <c r="AD45" s="355">
        <v>28</v>
      </c>
      <c r="AE45" s="355">
        <v>29</v>
      </c>
      <c r="AF45" s="355">
        <v>30</v>
      </c>
      <c r="AG45" s="356"/>
      <c r="AH45" s="529"/>
      <c r="AI45" s="236"/>
      <c r="AJ45" s="236"/>
      <c r="AK45" s="236"/>
      <c r="AL45" s="236"/>
      <c r="AM45" s="236"/>
      <c r="AN45" s="236"/>
      <c r="AO45" s="236"/>
      <c r="AP45" s="236"/>
      <c r="AQ45" s="236"/>
      <c r="AR45" s="236"/>
      <c r="AS45" s="236"/>
      <c r="AT45" s="236"/>
      <c r="AU45" s="236"/>
      <c r="AV45" s="236"/>
      <c r="AW45" s="236"/>
    </row>
    <row r="46" ht="24.95" customHeight="1">
      <c r="B46" s="263" t="s">
        <v>19</v>
      </c>
      <c r="C46" s="578">
        <v>24.854838709677419354838709677</v>
      </c>
      <c r="D46" s="579">
        <v>26.048387096774193548387096774</v>
      </c>
      <c r="E46" s="579">
        <v>33.801075268817204301075268817</v>
      </c>
      <c r="F46" s="579">
        <v>32.016129032258064516129032258</v>
      </c>
      <c r="G46" s="579">
        <v>50.994623655913978494623655914</v>
      </c>
      <c r="H46" s="579">
        <v>89.63440860215053763440860215</v>
      </c>
      <c r="I46" s="579">
        <v>83.15053763440860215053763441</v>
      </c>
      <c r="J46" s="579">
        <v>23.41935483870967741935483871</v>
      </c>
      <c r="K46" s="579">
        <v>27.102150537634408602150537634</v>
      </c>
      <c r="L46" s="579"/>
      <c r="M46" s="579">
        <v>33.387096774193548387096774194</v>
      </c>
      <c r="N46" s="579">
        <v>43.908602150537634408602150538</v>
      </c>
      <c r="O46" s="579">
        <v>40.220430107526881720430107527</v>
      </c>
      <c r="P46" s="579">
        <v>15.161290322580645161290322581</v>
      </c>
      <c r="Q46" s="579">
        <v>26.145161290322580645161290323</v>
      </c>
      <c r="R46" s="579">
        <v>44.698924731182795698924731183</v>
      </c>
      <c r="S46" s="579">
        <v>29.763440860215053763440860215</v>
      </c>
      <c r="T46" s="579">
        <v>31.204301075268817204301075269</v>
      </c>
      <c r="U46" s="579">
        <v>29.586021505376344086021505376</v>
      </c>
      <c r="V46" s="579">
        <v>83.05376344086021505376344086</v>
      </c>
      <c r="W46" s="579">
        <v>79.67204301075268817204301075</v>
      </c>
      <c r="X46" s="579">
        <v>20.865591397849462365591397849</v>
      </c>
      <c r="Y46" s="579">
        <v>54.166666666666666666666666667</v>
      </c>
      <c r="Z46" s="579">
        <v>56.741935483870967741935483871</v>
      </c>
      <c r="AA46" s="579">
        <v>56.55376344086021505376344086</v>
      </c>
      <c r="AB46" s="579">
        <v>39.139784946236559139784946237</v>
      </c>
      <c r="AC46" s="579">
        <v>73.263440860215053763440860215</v>
      </c>
      <c r="AD46" s="579">
        <v>57.435483870967741935483870968</v>
      </c>
      <c r="AE46" s="579">
        <v>25.284946236559139784946236559</v>
      </c>
      <c r="AF46" s="579">
        <v>25.059139784946236559139784946</v>
      </c>
      <c r="AG46" s="580"/>
      <c r="AH46" s="530"/>
    </row>
    <row r="47" ht="24.95" customHeight="1">
      <c r="B47" s="38" t="s">
        <v>35</v>
      </c>
      <c r="C47" s="276">
        <v>39.88523941068139963167587477</v>
      </c>
      <c r="D47" s="101">
        <v>68.262918968692449355432780847</v>
      </c>
      <c r="E47" s="101">
        <v>89.2192449355432780847145488</v>
      </c>
      <c r="F47" s="101">
        <v>107.21959484346224677716390424</v>
      </c>
      <c r="G47" s="101">
        <v>94.30395948434622467771639042</v>
      </c>
      <c r="H47" s="101">
        <v>102.94312154696132596685082873</v>
      </c>
      <c r="I47" s="101">
        <v>88.35849907918968692449355433</v>
      </c>
      <c r="J47" s="101">
        <v>46.588996316758747697974217311</v>
      </c>
      <c r="K47" s="101">
        <v>69.128554327808471454880294659</v>
      </c>
      <c r="L47" s="101">
        <v>89.31289134438305709023941068</v>
      </c>
      <c r="M47" s="101">
        <v>90.54559852670349907918968692</v>
      </c>
      <c r="N47" s="101">
        <v>86.33090239410681399631675875</v>
      </c>
      <c r="O47" s="101">
        <v>92.64310313075506445672191529</v>
      </c>
      <c r="P47" s="101">
        <v>84.32099447513812154696132597</v>
      </c>
      <c r="Q47" s="101">
        <v>54.644475138121546961325966851</v>
      </c>
      <c r="R47" s="101">
        <v>83.41256906077348066298342541</v>
      </c>
      <c r="S47" s="101">
        <v>94.57246777163904235727440147</v>
      </c>
      <c r="T47" s="101">
        <v>80.06139042357274401473296501</v>
      </c>
      <c r="U47" s="101">
        <v>79.37580110497237569060773481</v>
      </c>
      <c r="V47" s="101">
        <v>108.97700736648250460405156538</v>
      </c>
      <c r="W47" s="101">
        <v>110.33453038674033149171270718</v>
      </c>
      <c r="X47" s="101">
        <v>56.432320441988950276243093923</v>
      </c>
      <c r="Y47" s="101">
        <v>72.747670349907918968692449355</v>
      </c>
      <c r="Z47" s="101">
        <v>88.60066298342541436464088398</v>
      </c>
      <c r="AA47" s="101">
        <v>104.47464088397790055248618785</v>
      </c>
      <c r="AB47" s="101">
        <v>97.37795665634674922600619195</v>
      </c>
      <c r="AC47" s="101">
        <v>98.51188766114180478821362799</v>
      </c>
      <c r="AD47" s="101">
        <v>96.77558011049723756906077348</v>
      </c>
      <c r="AE47" s="101">
        <v>42.946556169429097605893186004</v>
      </c>
      <c r="AF47" s="101">
        <v>53.546473296500920810313075506</v>
      </c>
      <c r="AG47" s="277"/>
      <c r="AH47" s="530"/>
    </row>
    <row r="48" ht="24.95" customHeight="1">
      <c r="A48" s="23"/>
      <c r="B48" s="40" t="s">
        <v>99</v>
      </c>
      <c r="C48" s="581">
        <v>62.315881957598629796304184370</v>
      </c>
      <c r="D48" s="582">
        <v>38.158911881160448130251091430</v>
      </c>
      <c r="E48" s="582">
        <v>37.885408348000807096648026320</v>
      </c>
      <c r="F48" s="582">
        <v>29.860333905373814439458619350</v>
      </c>
      <c r="G48" s="582">
        <v>54.074742921482223801320203370</v>
      </c>
      <c r="H48" s="582">
        <v>87.07178027550563531816057623</v>
      </c>
      <c r="I48" s="582">
        <v>94.10587379927849396978672893</v>
      </c>
      <c r="J48" s="582">
        <v>50.267996072421620465749347920</v>
      </c>
      <c r="K48" s="582">
        <v>39.205435150746813217013745010</v>
      </c>
      <c r="L48" s="582"/>
      <c r="M48" s="582">
        <v>36.873241016070364851369320600</v>
      </c>
      <c r="N48" s="582">
        <v>50.860816848751511026344246450</v>
      </c>
      <c r="O48" s="582">
        <v>43.414381371423699923574351810</v>
      </c>
      <c r="P48" s="582">
        <v>17.980445340997224660578014790</v>
      </c>
      <c r="Q48" s="582">
        <v>47.845937259434446556366987930</v>
      </c>
      <c r="R48" s="582">
        <v>53.587756898605340286992820340</v>
      </c>
      <c r="S48" s="582">
        <v>31.471570491420527130417432040</v>
      </c>
      <c r="T48" s="582">
        <v>38.975467338462069617546920390</v>
      </c>
      <c r="U48" s="582">
        <v>37.27335169347056391642260500</v>
      </c>
      <c r="V48" s="582">
        <v>76.212189569073538864128394460</v>
      </c>
      <c r="W48" s="582">
        <v>72.209527453933456287603106010</v>
      </c>
      <c r="X48" s="582">
        <v>36.974540891499749833362341980</v>
      </c>
      <c r="Y48" s="582">
        <v>74.458283552087829779168666530</v>
      </c>
      <c r="Z48" s="582">
        <v>64.042337351924777066685152080</v>
      </c>
      <c r="AA48" s="582">
        <v>54.131570075127452546988207230</v>
      </c>
      <c r="AB48" s="582">
        <v>40.193680674962445165727671070</v>
      </c>
      <c r="AC48" s="582">
        <v>74.370152272642972607963715390</v>
      </c>
      <c r="AD48" s="582">
        <v>59.349149656749080258445505860</v>
      </c>
      <c r="AE48" s="582">
        <v>58.875375564048147608037940250</v>
      </c>
      <c r="AF48" s="582">
        <v>46.798861329648383595185303030</v>
      </c>
      <c r="AG48" s="583"/>
      <c r="AH48" s="531"/>
    </row>
    <row r="49" ht="24.95" customHeight="1">
      <c r="B49" s="25" t="s">
        <v>68</v>
      </c>
      <c r="S49" s="4"/>
      <c r="T49" s="4"/>
      <c r="U49" s="4"/>
      <c r="V49" s="4"/>
      <c r="W49" s="4"/>
      <c r="X49" s="4"/>
      <c r="Y49" s="4"/>
      <c r="Z49" s="4"/>
      <c r="AA49" s="4"/>
      <c r="AB49" s="4"/>
      <c r="AC49" s="4"/>
      <c r="AD49" s="4"/>
      <c r="AE49" s="4"/>
      <c r="AF49" s="4"/>
      <c r="AG49" s="4"/>
      <c r="AH49" s="4"/>
    </row>
    <row r="50" ht="24.95" customHeight="1">
      <c r="B50" s="37" t="s">
        <v>19</v>
      </c>
      <c r="C50" s="573">
        <v>-8.978145304182986195546861550</v>
      </c>
      <c r="D50" s="574">
        <v>-16.393442622965247033197072430</v>
      </c>
      <c r="E50" s="574">
        <v>-29.793411501921287808856289160</v>
      </c>
      <c r="F50" s="574">
        <v>-15.747028862478777589134125640</v>
      </c>
      <c r="G50" s="574">
        <v>0.3066835871786277560188074300</v>
      </c>
      <c r="H50" s="574">
        <v>41.949765857862595914568158610</v>
      </c>
      <c r="I50" s="574">
        <v>30.558838426495113766406634330</v>
      </c>
      <c r="J50" s="574">
        <v>56.690647482431478701931652140</v>
      </c>
      <c r="K50" s="574">
        <v>24.684640118637369034792929840</v>
      </c>
      <c r="L50" s="574"/>
      <c r="M50" s="574">
        <v>50.472498182772218317510429960</v>
      </c>
      <c r="N50" s="574">
        <v>36.071309563483374585456963790</v>
      </c>
      <c r="O50" s="574">
        <v>-27.241781754557847801130831620</v>
      </c>
      <c r="P50" s="574">
        <v>-67.899829254411658512709062910</v>
      </c>
      <c r="Q50" s="574">
        <v>-6.8747606280975679449449402600</v>
      </c>
      <c r="R50" s="574">
        <v>29.219769971883037241249116990</v>
      </c>
      <c r="S50" s="574">
        <v>-22.832450515714751928039229180</v>
      </c>
      <c r="T50" s="574">
        <v>-8.785164230829200789008492020</v>
      </c>
      <c r="U50" s="574">
        <v>-22.372690083214395151375350160</v>
      </c>
      <c r="V50" s="574">
        <v>43.515421776379338701572287590</v>
      </c>
      <c r="W50" s="574">
        <v>11.816192560242551085828260800</v>
      </c>
      <c r="X50" s="574">
        <v>-33.782630950408519078494774900</v>
      </c>
      <c r="Y50" s="574">
        <v>110.07089241000906197199414744</v>
      </c>
      <c r="Z50" s="574">
        <v>120.56426332299464038285792835</v>
      </c>
      <c r="AA50" s="574">
        <v>107.02617594942878952777654548</v>
      </c>
      <c r="AB50" s="574">
        <v>124.69135802481618655692736702</v>
      </c>
      <c r="AC50" s="574">
        <v>28.860520094511469107858444620</v>
      </c>
      <c r="AD50" s="574">
        <v>46.042378674133311405650358600</v>
      </c>
      <c r="AE50" s="574">
        <v>109.02222222305831111111445547</v>
      </c>
      <c r="AF50" s="574">
        <v>162.29600450087732671170146752</v>
      </c>
      <c r="AG50" s="575"/>
      <c r="AH50" s="530"/>
    </row>
    <row r="51" ht="24.95" customHeight="1">
      <c r="B51" s="38" t="s">
        <v>35</v>
      </c>
      <c r="C51" s="271">
        <v>-1.0738245837222658249713947800</v>
      </c>
      <c r="D51" s="97">
        <v>-4.5129367667940930433907643900</v>
      </c>
      <c r="E51" s="97">
        <v>7.3119390445473736769874829100</v>
      </c>
      <c r="F51" s="97">
        <v>16.554190268034352432693706600</v>
      </c>
      <c r="G51" s="97">
        <v>10.257083257654867213204340880</v>
      </c>
      <c r="H51" s="97">
        <v>-6.8340061011910288503426589100</v>
      </c>
      <c r="I51" s="97">
        <v>-10.657125073738492653393902900</v>
      </c>
      <c r="J51" s="97">
        <v>10.844892535765879254644811770</v>
      </c>
      <c r="K51" s="97">
        <v>15.718028439628553305761347570</v>
      </c>
      <c r="L51" s="97">
        <v>9.595322217898466604225302830</v>
      </c>
      <c r="M51" s="97">
        <v>-7.0208037156699334157613799500</v>
      </c>
      <c r="N51" s="97">
        <v>1.5111685677119016376875634700</v>
      </c>
      <c r="O51" s="97">
        <v>4.6832696298343054150991863200</v>
      </c>
      <c r="P51" s="97">
        <v>7.6828351355007114579738008800</v>
      </c>
      <c r="Q51" s="97">
        <v>20.789415032185090474964594430</v>
      </c>
      <c r="R51" s="97">
        <v>20.098694965249066093933574260</v>
      </c>
      <c r="S51" s="97">
        <v>3.5191535083086619353562699400</v>
      </c>
      <c r="T51" s="97">
        <v>-22.363880454529791548134224880</v>
      </c>
      <c r="U51" s="97">
        <v>-22.773775909355754475683848240</v>
      </c>
      <c r="V51" s="97">
        <v>-2.0834107254797772637545594500</v>
      </c>
      <c r="W51" s="97">
        <v>7.6566553466717874110572744500</v>
      </c>
      <c r="X51" s="97">
        <v>10.963808367810927824451201940</v>
      </c>
      <c r="Y51" s="97">
        <v>-3.1365268637034090146237648700</v>
      </c>
      <c r="Z51" s="97">
        <v>-3.0910742462838357585429393700</v>
      </c>
      <c r="AA51" s="97">
        <v>36.178925508913195999070476060</v>
      </c>
      <c r="AB51" s="97">
        <v>54.593243473268367194861744290</v>
      </c>
      <c r="AC51" s="97">
        <v>18.315938458918018369734401540</v>
      </c>
      <c r="AD51" s="97">
        <v>39.319623934292119097490357160</v>
      </c>
      <c r="AE51" s="97">
        <v>21.379774843344562689951624170</v>
      </c>
      <c r="AF51" s="97">
        <v>45.775548932071794979317623560</v>
      </c>
      <c r="AG51" s="272"/>
      <c r="AH51" s="530"/>
    </row>
    <row r="52" ht="24.95" customHeight="1">
      <c r="A52" s="23"/>
      <c r="B52" s="40" t="s">
        <v>99</v>
      </c>
      <c r="C52" s="581">
        <v>-7.990120599717290199747844600</v>
      </c>
      <c r="D52" s="582">
        <v>-12.442005706289492297132922640</v>
      </c>
      <c r="E52" s="582">
        <v>-34.577094475062236944661636910</v>
      </c>
      <c r="F52" s="582">
        <v>-27.713477358780086863200452190</v>
      </c>
      <c r="G52" s="582">
        <v>-9.024726009873328217488014930</v>
      </c>
      <c r="H52" s="582">
        <v>52.362208481242963096874080180</v>
      </c>
      <c r="I52" s="582">
        <v>46.132345230981778462688336510</v>
      </c>
      <c r="J52" s="582">
        <v>41.360277318607930989014087420</v>
      </c>
      <c r="K52" s="582">
        <v>7.7486730459873752013149760900</v>
      </c>
      <c r="L52" s="582"/>
      <c r="M52" s="582">
        <v>61.834586870775570691886938860</v>
      </c>
      <c r="N52" s="582">
        <v>34.045653777156644001269268480</v>
      </c>
      <c r="O52" s="582">
        <v>-30.496803832464039148473547310</v>
      </c>
      <c r="P52" s="582">
        <v>-70.190076528707528590370058650</v>
      </c>
      <c r="Q52" s="582">
        <v>-22.902814499786976337323211500</v>
      </c>
      <c r="R52" s="582">
        <v>7.5946495582970589676732422800</v>
      </c>
      <c r="S52" s="582">
        <v>-25.455776183482787502211674920</v>
      </c>
      <c r="T52" s="582">
        <v>17.490204692574211653696963810</v>
      </c>
      <c r="U52" s="582">
        <v>0.5193648023086695884197810400</v>
      </c>
      <c r="V52" s="582">
        <v>46.569057234934754051232376850</v>
      </c>
      <c r="W52" s="582">
        <v>3.8637065215988090827189137900</v>
      </c>
      <c r="X52" s="582">
        <v>-40.325255573311436118172758250</v>
      </c>
      <c r="Y52" s="582">
        <v>116.87317789507027483518037744</v>
      </c>
      <c r="Z52" s="582">
        <v>127.59953389987919507302593306</v>
      </c>
      <c r="AA52" s="582">
        <v>52.025120756255672244918578580</v>
      </c>
      <c r="AB52" s="582">
        <v>45.343582278506096588518159390</v>
      </c>
      <c r="AC52" s="582">
        <v>8.912224145891188151366228900</v>
      </c>
      <c r="AD52" s="582">
        <v>4.8254183795511999728104343700</v>
      </c>
      <c r="AE52" s="582">
        <v>72.205149080407090081458720250</v>
      </c>
      <c r="AF52" s="582">
        <v>79.93141265708827146467947131</v>
      </c>
      <c r="AG52" s="583"/>
      <c r="AH52" s="531"/>
    </row>
    <row r="53" ht="16.5" customHeight="1">
      <c r="B53" s="99"/>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c r="AA53" s="100"/>
      <c r="AB53" s="100"/>
      <c r="AC53" s="100"/>
      <c r="AD53" s="100"/>
      <c r="AE53" s="100"/>
      <c r="AF53" s="100"/>
      <c r="AG53" s="100"/>
      <c r="AH53" s="4"/>
    </row>
    <row r="54" ht="0" hidden="1" customHeight="1">
      <c r="B54" s="223" t="s">
        <v>89</v>
      </c>
      <c r="C54" s="357"/>
      <c r="D54" s="358"/>
      <c r="E54" s="358"/>
      <c r="F54" s="358"/>
      <c r="G54" s="358"/>
      <c r="H54" s="358"/>
      <c r="I54" s="358"/>
      <c r="J54" s="358"/>
      <c r="K54" s="358"/>
      <c r="L54" s="358"/>
      <c r="M54" s="358"/>
      <c r="N54" s="358"/>
      <c r="O54" s="358"/>
      <c r="P54" s="358"/>
      <c r="Q54" s="358"/>
      <c r="R54" s="358"/>
      <c r="S54" s="358"/>
      <c r="T54" s="358"/>
      <c r="U54" s="358"/>
      <c r="V54" s="358"/>
      <c r="W54" s="358"/>
      <c r="X54" s="358"/>
      <c r="Y54" s="358"/>
      <c r="Z54" s="358"/>
      <c r="AA54" s="358"/>
      <c r="AB54" s="358"/>
      <c r="AC54" s="358"/>
      <c r="AD54" s="358"/>
      <c r="AE54" s="358"/>
      <c r="AF54" s="358"/>
      <c r="AG54" s="359"/>
      <c r="AH54" s="532"/>
    </row>
    <row r="55" ht="0" hidden="1" customHeight="1">
      <c r="B55" s="99"/>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c r="AA55" s="100"/>
      <c r="AB55" s="100"/>
      <c r="AC55" s="100"/>
      <c r="AD55" s="100"/>
      <c r="AE55" s="100"/>
      <c r="AF55" s="100"/>
      <c r="AG55" s="100"/>
      <c r="AH55" s="4"/>
    </row>
    <row r="56" ht="24" customHeight="1">
      <c r="B56" s="816" t="s">
        <v>126</v>
      </c>
      <c r="C56" s="816"/>
      <c r="D56" s="816"/>
      <c r="E56" s="816"/>
      <c r="F56" s="816"/>
      <c r="G56" s="816"/>
      <c r="H56" s="816"/>
      <c r="I56" s="816"/>
      <c r="J56" s="816"/>
      <c r="K56" s="816"/>
      <c r="L56" s="816"/>
      <c r="M56" s="816"/>
      <c r="N56" s="816"/>
      <c r="O56" s="816"/>
      <c r="P56" s="816"/>
      <c r="Q56" s="816"/>
      <c r="R56" s="816"/>
      <c r="S56" s="816"/>
      <c r="T56" s="816"/>
      <c r="U56" s="816"/>
      <c r="V56" s="816"/>
      <c r="W56" s="816"/>
      <c r="X56" s="816"/>
      <c r="Y56" s="816"/>
      <c r="Z56" s="816"/>
      <c r="AA56" s="816"/>
      <c r="AB56" s="816"/>
      <c r="AC56" s="816"/>
      <c r="AD56" s="816"/>
      <c r="AE56" s="816"/>
      <c r="AF56" s="816"/>
      <c r="AG56" s="816"/>
    </row>
    <row r="57" ht="15" customHeight="1">
      <c r="A57"/>
      <c r="AE57"/>
      <c r="AF57"/>
      <c r="AG57"/>
    </row>
    <row r="58" s="282" customFormat="1"/>
    <row r="59" s="282" customFormat="1"/>
    <row r="60" s="282" customFormat="1">
      <c r="C60" s="282">
        <v>100</v>
      </c>
      <c r="D60" s="282">
        <v>100</v>
      </c>
      <c r="E60" s="282">
        <v>100</v>
      </c>
      <c r="F60" s="282">
        <v>100</v>
      </c>
      <c r="G60" s="282">
        <v>100</v>
      </c>
      <c r="H60" s="282">
        <v>100</v>
      </c>
      <c r="I60" s="282">
        <v>100</v>
      </c>
      <c r="J60" s="282">
        <v>100</v>
      </c>
      <c r="K60" s="282">
        <v>100</v>
      </c>
      <c r="L60" s="282">
        <v>100</v>
      </c>
      <c r="M60" s="282">
        <v>100</v>
      </c>
      <c r="N60" s="282">
        <v>100</v>
      </c>
      <c r="O60" s="282">
        <v>100</v>
      </c>
      <c r="P60" s="282">
        <v>100</v>
      </c>
      <c r="Q60" s="282">
        <v>100</v>
      </c>
      <c r="R60" s="282">
        <v>100</v>
      </c>
      <c r="S60" s="282">
        <v>100</v>
      </c>
      <c r="T60" s="282">
        <v>100</v>
      </c>
      <c r="U60" s="282">
        <v>100</v>
      </c>
      <c r="V60" s="282">
        <v>100</v>
      </c>
      <c r="W60" s="282">
        <v>100</v>
      </c>
      <c r="X60" s="282">
        <v>100</v>
      </c>
      <c r="Y60" s="282">
        <v>100</v>
      </c>
      <c r="Z60" s="282">
        <v>100</v>
      </c>
      <c r="AA60" s="282">
        <v>100</v>
      </c>
      <c r="AB60" s="282">
        <v>100</v>
      </c>
      <c r="AC60" s="282">
        <v>100</v>
      </c>
      <c r="AD60" s="282">
        <v>100</v>
      </c>
      <c r="AE60" s="282">
        <v>100</v>
      </c>
      <c r="AF60" s="282">
        <v>100</v>
      </c>
      <c r="AG60" s="282">
        <v>100</v>
      </c>
    </row>
    <row r="61" s="282" customFormat="1"/>
    <row r="62" s="282" customFormat="1"/>
    <row r="63" s="282" customFormat="1"/>
    <row r="64" s="282" customFormat="1"/>
    <row r="65" s="282" customFormat="1" ht="10.5" customHeight="1">
      <c r="B65" s="1014"/>
      <c r="C65" s="1014"/>
      <c r="D65" s="1014"/>
      <c r="E65" s="1014"/>
      <c r="F65" s="1014"/>
      <c r="G65" s="1014"/>
      <c r="H65" s="1014"/>
      <c r="I65" s="1014"/>
      <c r="J65" s="1014"/>
      <c r="K65" s="1014"/>
      <c r="L65" s="1014"/>
      <c r="M65" s="1014"/>
      <c r="N65" s="1014"/>
      <c r="O65" s="1014"/>
      <c r="P65" s="1014"/>
      <c r="Q65" s="1014"/>
      <c r="R65" s="1014"/>
      <c r="S65" s="1014"/>
      <c r="T65" s="1014"/>
      <c r="U65" s="1014"/>
      <c r="V65" s="1014"/>
      <c r="W65" s="1014"/>
      <c r="X65" s="1014"/>
      <c r="Y65" s="1014"/>
      <c r="Z65" s="1014"/>
      <c r="AA65" s="1014"/>
      <c r="AB65" s="1014"/>
      <c r="AC65" s="1014"/>
      <c r="AD65" s="1014"/>
      <c r="AE65" s="1014"/>
      <c r="AF65" s="1014"/>
      <c r="AG65" s="1014"/>
      <c r="AH65" s="1014"/>
      <c r="AI65" s="1014"/>
    </row>
    <row r="66" s="282" customFormat="1">
      <c r="B66" s="1014"/>
      <c r="C66" s="1014"/>
      <c r="D66" s="1014"/>
      <c r="E66" s="1014"/>
      <c r="F66" s="1014"/>
      <c r="G66" s="1014"/>
      <c r="H66" s="1014"/>
      <c r="I66" s="1014"/>
      <c r="J66" s="1014"/>
      <c r="K66" s="1014"/>
      <c r="L66" s="1014"/>
      <c r="M66" s="1014"/>
      <c r="N66" s="1014"/>
      <c r="O66" s="1014"/>
      <c r="P66" s="1014"/>
      <c r="Q66" s="1014"/>
      <c r="R66" s="1014"/>
      <c r="S66" s="1014"/>
      <c r="T66" s="1014"/>
      <c r="U66" s="1014"/>
      <c r="V66" s="1014"/>
      <c r="W66" s="1014"/>
      <c r="X66" s="1014"/>
      <c r="Y66" s="1014"/>
      <c r="Z66" s="1014"/>
      <c r="AA66" s="1014"/>
      <c r="AB66" s="1014"/>
      <c r="AC66" s="1014"/>
      <c r="AD66" s="1014"/>
      <c r="AE66" s="1014"/>
      <c r="AF66" s="1014"/>
      <c r="AG66" s="1014"/>
      <c r="AH66" s="1014"/>
      <c r="AI66" s="1014"/>
    </row>
    <row r="67" s="282" customFormat="1">
      <c r="B67" s="1014"/>
      <c r="C67" s="1014"/>
      <c r="D67" s="1014"/>
      <c r="E67" s="1014"/>
      <c r="F67" s="1014"/>
      <c r="G67" s="1014"/>
      <c r="H67" s="1014"/>
      <c r="I67" s="1014"/>
      <c r="J67" s="1014"/>
      <c r="K67" s="1014"/>
      <c r="L67" s="1014"/>
      <c r="M67" s="1014"/>
      <c r="N67" s="1014"/>
      <c r="O67" s="1014"/>
      <c r="P67" s="1014"/>
      <c r="Q67" s="1014"/>
      <c r="R67" s="1014"/>
      <c r="S67" s="1014"/>
      <c r="T67" s="1014"/>
      <c r="U67" s="1014"/>
      <c r="V67" s="1014"/>
      <c r="W67" s="1014"/>
      <c r="X67" s="1014"/>
      <c r="Y67" s="1014"/>
      <c r="Z67" s="1014"/>
      <c r="AA67" s="1014"/>
      <c r="AB67" s="1014"/>
      <c r="AC67" s="1014"/>
      <c r="AD67" s="1014"/>
      <c r="AE67" s="1014"/>
      <c r="AF67" s="1014"/>
      <c r="AG67" s="1014"/>
      <c r="AH67" s="1014"/>
      <c r="AI67" s="1014"/>
    </row>
    <row r="68" s="282" customFormat="1">
      <c r="B68" s="1014"/>
      <c r="C68" s="1014"/>
      <c r="D68" s="1014"/>
      <c r="E68" s="1014"/>
      <c r="F68" s="1014"/>
      <c r="G68" s="1014"/>
      <c r="H68" s="1014"/>
      <c r="I68" s="1014"/>
      <c r="J68" s="1014"/>
      <c r="K68" s="1014"/>
      <c r="L68" s="1014"/>
      <c r="M68" s="1014"/>
      <c r="N68" s="1014"/>
      <c r="O68" s="1014"/>
      <c r="P68" s="1014"/>
      <c r="Q68" s="1014"/>
      <c r="R68" s="1014"/>
      <c r="S68" s="1014"/>
      <c r="T68" s="1014"/>
      <c r="U68" s="1014"/>
      <c r="V68" s="1014"/>
      <c r="W68" s="1014"/>
      <c r="X68" s="1014"/>
      <c r="Y68" s="1014"/>
      <c r="Z68" s="1014"/>
      <c r="AA68" s="1014"/>
      <c r="AB68" s="1014"/>
      <c r="AC68" s="1014"/>
      <c r="AD68" s="1014"/>
      <c r="AE68" s="1014"/>
      <c r="AF68" s="1014"/>
      <c r="AG68" s="1014"/>
      <c r="AH68" s="1014"/>
      <c r="AI68" s="1014"/>
    </row>
    <row r="69" s="282" customFormat="1">
      <c r="B69" s="1014"/>
      <c r="C69" s="1014"/>
      <c r="D69" s="1014"/>
      <c r="E69" s="1014"/>
      <c r="F69" s="1014"/>
      <c r="G69" s="1014"/>
      <c r="H69" s="1014"/>
      <c r="I69" s="1014"/>
      <c r="J69" s="1014"/>
      <c r="K69" s="1014"/>
      <c r="L69" s="1014"/>
      <c r="M69" s="1014"/>
      <c r="N69" s="1014"/>
      <c r="O69" s="1014"/>
      <c r="P69" s="1014"/>
      <c r="Q69" s="1014"/>
      <c r="R69" s="1014"/>
      <c r="S69" s="1014"/>
      <c r="T69" s="1014"/>
      <c r="U69" s="1014"/>
      <c r="V69" s="1014"/>
      <c r="W69" s="1014"/>
      <c r="X69" s="1014"/>
      <c r="Y69" s="1014"/>
      <c r="Z69" s="1014"/>
      <c r="AA69" s="1014"/>
      <c r="AB69" s="1014"/>
      <c r="AC69" s="1014"/>
      <c r="AD69" s="1014"/>
      <c r="AE69" s="1014"/>
      <c r="AF69" s="1014"/>
      <c r="AG69" s="1014"/>
      <c r="AH69" s="1014"/>
      <c r="AI69" s="1014"/>
    </row>
    <row r="70" s="282" customFormat="1">
      <c r="B70" s="1014"/>
      <c r="C70" s="1014"/>
      <c r="D70" s="1014"/>
      <c r="E70" s="1014"/>
      <c r="F70" s="1014"/>
      <c r="G70" s="1014"/>
      <c r="H70" s="1014"/>
      <c r="I70" s="1014"/>
      <c r="J70" s="1014"/>
      <c r="K70" s="1014"/>
      <c r="L70" s="1014"/>
      <c r="M70" s="1014"/>
      <c r="N70" s="1014"/>
      <c r="O70" s="1014"/>
      <c r="P70" s="1014"/>
      <c r="Q70" s="1014"/>
      <c r="R70" s="1014"/>
      <c r="S70" s="1014"/>
      <c r="T70" s="1014"/>
      <c r="U70" s="1014"/>
      <c r="V70" s="1014"/>
      <c r="W70" s="1014"/>
      <c r="X70" s="1014"/>
      <c r="Y70" s="1014"/>
      <c r="Z70" s="1014"/>
      <c r="AA70" s="1014"/>
      <c r="AB70" s="1014"/>
      <c r="AC70" s="1014"/>
      <c r="AD70" s="1014"/>
      <c r="AE70" s="1014"/>
      <c r="AF70" s="1014"/>
      <c r="AG70" s="1014"/>
      <c r="AH70" s="1014"/>
      <c r="AI70" s="1014"/>
    </row>
    <row r="71" s="282" customFormat="1"/>
    <row r="72" s="282" customFormat="1"/>
    <row r="73" s="282" customFormat="1"/>
    <row r="74" s="282" customFormat="1"/>
    <row r="75" s="282" customFormat="1"/>
    <row r="76" s="282" customFormat="1"/>
    <row r="77" s="282" customFormat="1"/>
    <row r="78" s="282" customFormat="1"/>
    <row r="79" s="282" customFormat="1"/>
    <row r="80" s="282" customFormat="1"/>
    <row r="81" s="282" customFormat="1"/>
    <row r="82" s="282" customFormat="1"/>
    <row r="83" s="282" customFormat="1"/>
    <row r="84" s="282" customFormat="1"/>
    <row r="85" s="282" customFormat="1"/>
    <row r="86" s="282" customFormat="1"/>
    <row r="87" s="282" customFormat="1"/>
    <row r="88" s="282" customFormat="1"/>
    <row r="89" s="282" customFormat="1"/>
    <row r="90" s="282" customFormat="1"/>
    <row r="91" s="282" customFormat="1"/>
    <row r="92" s="282" customFormat="1"/>
    <row r="93" s="282" customFormat="1"/>
    <row r="94" s="282" customFormat="1"/>
  </sheetData>
  <mergeCells count="12">
    <mergeCell ref="B56:AG56"/>
    <mergeCell ref="B34:B35"/>
    <mergeCell ref="B3:T3"/>
    <mergeCell ref="AA1:AG1"/>
    <mergeCell ref="U3:AG3"/>
    <mergeCell ref="B44:B45"/>
    <mergeCell ref="B4:AG4"/>
    <mergeCell ref="B2:AG2"/>
    <mergeCell ref="X22:AD22"/>
    <mergeCell ref="X33:AD33"/>
    <mergeCell ref="X43:AD43"/>
    <mergeCell ref="B24:B25"/>
  </mergeCells>
  <phoneticPr fontId="0" type="noConversion"/>
  <printOptions horizontalCentered="1" verticalCentered="1"/>
  <pageMargins left="0.25" right="0.25" top="0.25" bottom="0.25" header="0" footer="0"/>
  <pageSetup scale="41" fitToWidth="1" fitToHeight="1" orientation="landscape" r:id="rId1"/>
  <headerFooter alignWithMargins="0">
    <oddHeader/>
    <oddFooter/>
  </headerFooter>
  <rowBreaks count="1" manualBreakCount="1">
    <brk id="57" max="16383" man="1"/>
  </rowBreaks>
  <colBreaks count="1" manualBreakCount="1">
    <brk id="34" max="1048575" man="1"/>
  </colBreaks>
  <drawing r:id="rId81"/>
</worksheet>
</file>

<file path=xl/worksheets/sheet2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4">
    <pageSetUpPr fitToPage="1"/>
  </sheetPr>
  <dimension ref="A1:AI86"/>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9" width="9.140625" style="236" customWidth="1"/>
  </cols>
  <sheetData>
    <row r="1" ht="39.95" customHeight="1">
      <c r="B1" s="656" t="s">
        <v>159</v>
      </c>
      <c r="AD1" s="75"/>
      <c r="AG1" s="688"/>
      <c r="AI1" s="236"/>
    </row>
    <row r="2" ht="21" customHeight="1">
      <c r="B2" s="66" t="s">
        <v>170</v>
      </c>
    </row>
    <row r="3" ht="21" customHeight="1">
      <c r="B3" s="66" t="s">
        <v>171</v>
      </c>
      <c r="U3" s="99" t="s">
        <v>265</v>
      </c>
      <c r="V3" s="99"/>
      <c r="W3" s="99"/>
      <c r="X3" s="99"/>
      <c r="Y3" s="99"/>
      <c r="Z3" s="99"/>
      <c r="AA3" s="99"/>
      <c r="AB3" s="99"/>
      <c r="AC3" s="99"/>
      <c r="AD3" s="99"/>
      <c r="AE3" s="99"/>
      <c r="AF3" s="99"/>
      <c r="AG3" s="99"/>
    </row>
    <row r="4" ht="21" customHeight="1">
      <c r="A4" s="54"/>
      <c r="B4" s="211" t="s">
        <v>172</v>
      </c>
      <c r="C4" s="88"/>
      <c r="D4" s="88"/>
      <c r="E4" s="88"/>
      <c r="F4" s="88"/>
      <c r="G4" s="88"/>
      <c r="H4" s="212"/>
      <c r="I4" s="212"/>
      <c r="J4" s="212"/>
      <c r="K4" s="212"/>
      <c r="L4" s="212"/>
      <c r="M4" s="212"/>
      <c r="N4" s="212"/>
      <c r="O4" s="212"/>
      <c r="P4" s="212"/>
      <c r="Q4" s="212"/>
      <c r="R4" s="212"/>
      <c r="S4" s="212"/>
      <c r="T4" s="212"/>
      <c r="U4" s="212"/>
      <c r="V4" s="212"/>
      <c r="W4" s="212"/>
      <c r="X4" s="54"/>
      <c r="Y4" s="54"/>
      <c r="AC4" s="212"/>
    </row>
    <row r="5" ht="24.95" customHeight="1"/>
    <row r="6" ht="24.95" customHeight="1">
      <c r="D6" s="802" t="s">
        <v>91</v>
      </c>
      <c r="E6" s="802"/>
      <c r="F6" s="802"/>
      <c r="G6" s="802"/>
      <c r="H6" s="802"/>
      <c r="I6" s="802"/>
      <c r="J6" s="802"/>
      <c r="K6" s="802"/>
      <c r="L6" s="802"/>
      <c r="M6" s="802"/>
      <c r="N6" s="802"/>
      <c r="O6" s="960"/>
      <c r="Q6" s="802" t="s">
        <v>70</v>
      </c>
      <c r="R6" s="802"/>
      <c r="S6" s="802"/>
      <c r="T6" s="802"/>
      <c r="U6" s="802"/>
      <c r="V6" s="802"/>
      <c r="W6" s="802"/>
      <c r="X6" s="802"/>
      <c r="Y6" s="802"/>
      <c r="Z6" s="802"/>
      <c r="AA6" s="802"/>
      <c r="AB6" s="960"/>
      <c r="AD6" s="802" t="s">
        <v>77</v>
      </c>
      <c r="AE6" s="802"/>
      <c r="AF6" s="802"/>
      <c r="AG6" s="960"/>
    </row>
    <row r="7" ht="24.95" customHeight="1">
      <c r="D7" s="839" t="s">
        <v>20</v>
      </c>
      <c r="E7" s="839"/>
      <c r="F7" s="283"/>
      <c r="G7" s="839" t="s">
        <v>18</v>
      </c>
      <c r="H7" s="839"/>
      <c r="I7" s="283"/>
      <c r="J7" s="839" t="s">
        <v>17</v>
      </c>
      <c r="K7" s="839"/>
      <c r="L7" s="283"/>
      <c r="M7" s="839" t="s">
        <v>101</v>
      </c>
      <c r="N7" s="839"/>
      <c r="O7" s="283"/>
      <c r="Q7" s="839" t="s">
        <v>20</v>
      </c>
      <c r="R7" s="839"/>
      <c r="S7" s="283"/>
      <c r="T7" s="839" t="s">
        <v>18</v>
      </c>
      <c r="U7" s="839"/>
      <c r="V7" s="283"/>
      <c r="W7" s="839" t="s">
        <v>17</v>
      </c>
      <c r="X7" s="839"/>
      <c r="Y7" s="283"/>
      <c r="Z7" s="839" t="s">
        <v>101</v>
      </c>
      <c r="AA7" s="839"/>
      <c r="AB7" s="283"/>
      <c r="AD7" s="839" t="s">
        <v>78</v>
      </c>
      <c r="AE7" s="839"/>
      <c r="AF7" s="839"/>
      <c r="AG7" s="283"/>
    </row>
    <row r="8" ht="30" customHeight="1">
      <c r="A8" s="57"/>
      <c r="B8" s="845"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c r="AC8" s="63"/>
      <c r="AD8" s="412" t="s">
        <v>20</v>
      </c>
      <c r="AE8" s="413" t="s">
        <v>18</v>
      </c>
      <c r="AF8" s="413" t="s">
        <v>17</v>
      </c>
      <c r="AG8" s="414" t="s">
        <v>12</v>
      </c>
    </row>
    <row r="9" ht="20.1" customHeight="1">
      <c r="A9" s="57"/>
      <c r="B9" s="284">
        <v>2024</v>
      </c>
      <c r="C9" s="285" t="s">
        <v>180</v>
      </c>
      <c r="D9" s="434">
        <v>110.24415328132170720513997246</v>
      </c>
      <c r="E9" s="435">
        <v>136.03291907151819322459222081</v>
      </c>
      <c r="F9" s="436">
        <v>121.44245972043657849385890527</v>
      </c>
      <c r="G9" s="434"/>
      <c r="H9" s="435"/>
      <c r="I9" s="436"/>
      <c r="J9" s="434"/>
      <c r="K9" s="435"/>
      <c r="L9" s="436"/>
      <c r="M9" s="434"/>
      <c r="N9" s="435"/>
      <c r="O9" s="436"/>
      <c r="P9" s="75"/>
      <c r="Q9" s="415">
        <v>9.272447093668969263018191940</v>
      </c>
      <c r="R9" s="416">
        <v>5.2141467127183510212748757500</v>
      </c>
      <c r="S9" s="417">
        <v>5.1145468289748741655456436800</v>
      </c>
      <c r="T9" s="415"/>
      <c r="U9" s="416"/>
      <c r="V9" s="417"/>
      <c r="W9" s="415"/>
      <c r="X9" s="416"/>
      <c r="Y9" s="417"/>
      <c r="Z9" s="415"/>
      <c r="AA9" s="416"/>
      <c r="AB9" s="417"/>
      <c r="AC9" s="75"/>
      <c r="AD9" s="460" t="s">
        <v>182</v>
      </c>
      <c r="AE9" s="461"/>
      <c r="AF9" s="461"/>
      <c r="AG9" s="462"/>
    </row>
    <row r="10" ht="20.1" customHeight="1">
      <c r="A10" s="58"/>
      <c r="B10" s="286"/>
      <c r="C10" s="287" t="s">
        <v>183</v>
      </c>
      <c r="D10" s="437">
        <v>117.62047297297297297297297297</v>
      </c>
      <c r="E10" s="147">
        <v>142.37903615076512272773955017</v>
      </c>
      <c r="F10" s="438">
        <v>128.54935905261872787205469418</v>
      </c>
      <c r="G10" s="437"/>
      <c r="H10" s="147"/>
      <c r="I10" s="438"/>
      <c r="J10" s="437"/>
      <c r="K10" s="147"/>
      <c r="L10" s="438"/>
      <c r="M10" s="437"/>
      <c r="N10" s="147"/>
      <c r="O10" s="438"/>
      <c r="P10" s="75"/>
      <c r="Q10" s="446">
        <v>7.3052871538292183944411291200</v>
      </c>
      <c r="R10" s="148">
        <v>5.145103624665942812599963100</v>
      </c>
      <c r="S10" s="447">
        <v>7.3085632558375789967439624900</v>
      </c>
      <c r="T10" s="446"/>
      <c r="U10" s="148"/>
      <c r="V10" s="447"/>
      <c r="W10" s="446"/>
      <c r="X10" s="148"/>
      <c r="Y10" s="447"/>
      <c r="Z10" s="446"/>
      <c r="AA10" s="148"/>
      <c r="AB10" s="447"/>
      <c r="AC10" s="75"/>
      <c r="AD10" s="446" t="s">
        <v>185</v>
      </c>
      <c r="AE10" s="148"/>
      <c r="AF10" s="148"/>
      <c r="AG10" s="447"/>
    </row>
    <row r="11" ht="20.1" customHeight="1">
      <c r="A11" s="58"/>
      <c r="B11" s="288"/>
      <c r="C11" s="289" t="s">
        <v>186</v>
      </c>
      <c r="D11" s="439">
        <v>114.08175337186897880539499037</v>
      </c>
      <c r="E11" s="149">
        <v>139.9661972115578904829258436</v>
      </c>
      <c r="F11" s="442">
        <v>127.50264370932754880694143167</v>
      </c>
      <c r="G11" s="439"/>
      <c r="H11" s="149"/>
      <c r="I11" s="442"/>
      <c r="J11" s="439"/>
      <c r="K11" s="149"/>
      <c r="L11" s="442"/>
      <c r="M11" s="439"/>
      <c r="N11" s="149"/>
      <c r="O11" s="442"/>
      <c r="P11" s="75"/>
      <c r="Q11" s="497">
        <v>3.878622823206542039004647600</v>
      </c>
      <c r="R11" s="216">
        <v>5.2765893633239340814064061500</v>
      </c>
      <c r="S11" s="498">
        <v>6.8940976291338897261490894300</v>
      </c>
      <c r="T11" s="497"/>
      <c r="U11" s="216"/>
      <c r="V11" s="498"/>
      <c r="W11" s="497"/>
      <c r="X11" s="216"/>
      <c r="Y11" s="498"/>
      <c r="Z11" s="497"/>
      <c r="AA11" s="216"/>
      <c r="AB11" s="498"/>
      <c r="AC11" s="75"/>
      <c r="AD11" s="448" t="s">
        <v>182</v>
      </c>
      <c r="AE11" s="150"/>
      <c r="AF11" s="150"/>
      <c r="AG11" s="449"/>
    </row>
    <row r="12" ht="20.1" customHeight="1">
      <c r="A12" s="58"/>
      <c r="B12" s="286"/>
      <c r="C12" s="287" t="s">
        <v>187</v>
      </c>
      <c r="D12" s="437">
        <v>117.82745454545454545454545455</v>
      </c>
      <c r="E12" s="147">
        <v>141.94785792230467044958533391</v>
      </c>
      <c r="F12" s="438">
        <v>129.81345628415300546448087432</v>
      </c>
      <c r="G12" s="437"/>
      <c r="H12" s="147"/>
      <c r="I12" s="438"/>
      <c r="J12" s="437"/>
      <c r="K12" s="147"/>
      <c r="L12" s="438"/>
      <c r="M12" s="437"/>
      <c r="N12" s="147"/>
      <c r="O12" s="438"/>
      <c r="P12" s="75"/>
      <c r="Q12" s="446">
        <v>5.476468327719782638637544500</v>
      </c>
      <c r="R12" s="148">
        <v>3.1749469759971631078091178900</v>
      </c>
      <c r="S12" s="447">
        <v>7.4213032338823601633928926300</v>
      </c>
      <c r="T12" s="446"/>
      <c r="U12" s="148"/>
      <c r="V12" s="447"/>
      <c r="W12" s="446"/>
      <c r="X12" s="148"/>
      <c r="Y12" s="447"/>
      <c r="Z12" s="446"/>
      <c r="AA12" s="148"/>
      <c r="AB12" s="447"/>
      <c r="AC12" s="75"/>
      <c r="AD12" s="446" t="s">
        <v>182</v>
      </c>
      <c r="AE12" s="148"/>
      <c r="AF12" s="148"/>
      <c r="AG12" s="447"/>
    </row>
    <row r="13" ht="20.1" customHeight="1">
      <c r="A13" s="58"/>
      <c r="B13" s="288"/>
      <c r="C13" s="289" t="s">
        <v>188</v>
      </c>
      <c r="D13" s="439">
        <v>117.52575480329368709972552608</v>
      </c>
      <c r="E13" s="149">
        <v>141.20826207971498552660877309</v>
      </c>
      <c r="F13" s="442">
        <v>132.11236370758884850595225141</v>
      </c>
      <c r="G13" s="439"/>
      <c r="H13" s="149"/>
      <c r="I13" s="442"/>
      <c r="J13" s="439"/>
      <c r="K13" s="149"/>
      <c r="L13" s="442"/>
      <c r="M13" s="439"/>
      <c r="N13" s="149"/>
      <c r="O13" s="442"/>
      <c r="P13" s="75"/>
      <c r="Q13" s="448">
        <v>10.226214005229359300678140410</v>
      </c>
      <c r="R13" s="150">
        <v>3.6189903803210685505260510300</v>
      </c>
      <c r="S13" s="498">
        <v>8.174776967958106466911479970</v>
      </c>
      <c r="T13" s="448"/>
      <c r="U13" s="150"/>
      <c r="V13" s="498"/>
      <c r="W13" s="448"/>
      <c r="X13" s="150"/>
      <c r="Y13" s="498"/>
      <c r="Z13" s="448"/>
      <c r="AA13" s="150"/>
      <c r="AB13" s="498"/>
      <c r="AC13" s="75"/>
      <c r="AD13" s="448" t="s">
        <v>185</v>
      </c>
      <c r="AE13" s="150"/>
      <c r="AF13" s="150"/>
      <c r="AG13" s="449"/>
    </row>
    <row r="14" ht="20.1" customHeight="1">
      <c r="A14" s="58"/>
      <c r="B14" s="286"/>
      <c r="C14" s="287" t="s">
        <v>189</v>
      </c>
      <c r="D14" s="437">
        <v>109.39709314227226202661207779</v>
      </c>
      <c r="E14" s="147">
        <v>138.55117039773962182134318626</v>
      </c>
      <c r="F14" s="438">
        <v>127.45271568945038332793434834</v>
      </c>
      <c r="G14" s="437"/>
      <c r="H14" s="147"/>
      <c r="I14" s="438"/>
      <c r="J14" s="437"/>
      <c r="K14" s="147"/>
      <c r="L14" s="438"/>
      <c r="M14" s="437"/>
      <c r="N14" s="147"/>
      <c r="O14" s="438"/>
      <c r="P14" s="75"/>
      <c r="Q14" s="446">
        <v>-1.3795264710813315756653270900</v>
      </c>
      <c r="R14" s="148">
        <v>0.7626931534247070126745672500</v>
      </c>
      <c r="S14" s="447">
        <v>2.9931422383351941752657794600</v>
      </c>
      <c r="T14" s="446"/>
      <c r="U14" s="148"/>
      <c r="V14" s="447"/>
      <c r="W14" s="446"/>
      <c r="X14" s="148"/>
      <c r="Y14" s="447"/>
      <c r="Z14" s="446"/>
      <c r="AA14" s="148"/>
      <c r="AB14" s="447"/>
      <c r="AC14" s="75"/>
      <c r="AD14" s="446" t="s">
        <v>181</v>
      </c>
      <c r="AE14" s="148"/>
      <c r="AF14" s="148"/>
      <c r="AG14" s="447"/>
    </row>
    <row r="15" ht="20.1" customHeight="1">
      <c r="A15" s="58"/>
      <c r="B15" s="288"/>
      <c r="C15" s="289" t="s">
        <v>190</v>
      </c>
      <c r="D15" s="439">
        <v>109.38009060562708631378159275</v>
      </c>
      <c r="E15" s="149">
        <v>137.82991548380106187019178675</v>
      </c>
      <c r="F15" s="442">
        <v>125.11385161361872019518686925</v>
      </c>
      <c r="G15" s="439"/>
      <c r="H15" s="149"/>
      <c r="I15" s="442"/>
      <c r="J15" s="439"/>
      <c r="K15" s="149"/>
      <c r="L15" s="442"/>
      <c r="M15" s="439"/>
      <c r="N15" s="149"/>
      <c r="O15" s="442"/>
      <c r="P15" s="75"/>
      <c r="Q15" s="448">
        <v>0.7102988985575264292281716200</v>
      </c>
      <c r="R15" s="150">
        <v>4.3376094386158889208936714200</v>
      </c>
      <c r="S15" s="498">
        <v>4.1094534793265940288027053900</v>
      </c>
      <c r="T15" s="448"/>
      <c r="U15" s="150"/>
      <c r="V15" s="498"/>
      <c r="W15" s="448"/>
      <c r="X15" s="150"/>
      <c r="Y15" s="498"/>
      <c r="Z15" s="448"/>
      <c r="AA15" s="150"/>
      <c r="AB15" s="498"/>
      <c r="AC15" s="75"/>
      <c r="AD15" s="448" t="s">
        <v>182</v>
      </c>
      <c r="AE15" s="150"/>
      <c r="AF15" s="150"/>
      <c r="AG15" s="449"/>
    </row>
    <row r="16" ht="20.1" customHeight="1">
      <c r="A16" s="58"/>
      <c r="B16" s="286"/>
      <c r="C16" s="287" t="s">
        <v>191</v>
      </c>
      <c r="D16" s="437">
        <v>106.55835941443715295305401312</v>
      </c>
      <c r="E16" s="147">
        <v>134.57845210580380071905495636</v>
      </c>
      <c r="F16" s="438">
        <v>123.2612169489898747540668938</v>
      </c>
      <c r="G16" s="437"/>
      <c r="H16" s="147"/>
      <c r="I16" s="438"/>
      <c r="J16" s="437"/>
      <c r="K16" s="147"/>
      <c r="L16" s="438"/>
      <c r="M16" s="437"/>
      <c r="N16" s="147"/>
      <c r="O16" s="438"/>
      <c r="P16" s="75"/>
      <c r="Q16" s="446">
        <v>2.4680984472401921575587216500</v>
      </c>
      <c r="R16" s="148">
        <v>2.6157705886378468229330834700</v>
      </c>
      <c r="S16" s="447">
        <v>3.4644204847495866121546140900</v>
      </c>
      <c r="T16" s="446"/>
      <c r="U16" s="148"/>
      <c r="V16" s="447"/>
      <c r="W16" s="446"/>
      <c r="X16" s="148"/>
      <c r="Y16" s="447"/>
      <c r="Z16" s="446"/>
      <c r="AA16" s="148"/>
      <c r="AB16" s="447"/>
      <c r="AC16" s="75"/>
      <c r="AD16" s="446" t="s">
        <v>182</v>
      </c>
      <c r="AE16" s="148"/>
      <c r="AF16" s="148"/>
      <c r="AG16" s="447"/>
    </row>
    <row r="17" ht="20.1" customHeight="1">
      <c r="A17" s="58"/>
      <c r="B17" s="288"/>
      <c r="C17" s="289" t="s">
        <v>192</v>
      </c>
      <c r="D17" s="439">
        <v>113.41747701736465781409601634</v>
      </c>
      <c r="E17" s="149">
        <v>143.80249740932642487046632123</v>
      </c>
      <c r="F17" s="442">
        <v>126.21182538220666789463989685</v>
      </c>
      <c r="G17" s="439"/>
      <c r="H17" s="149"/>
      <c r="I17" s="442"/>
      <c r="J17" s="439"/>
      <c r="K17" s="149"/>
      <c r="L17" s="442"/>
      <c r="M17" s="439"/>
      <c r="N17" s="149"/>
      <c r="O17" s="442"/>
      <c r="P17" s="75"/>
      <c r="Q17" s="448">
        <v>3.0511771464398959703073851300</v>
      </c>
      <c r="R17" s="150">
        <v>5.4704977749635496837495312600</v>
      </c>
      <c r="S17" s="498">
        <v>5.3016260696120401847664599200</v>
      </c>
      <c r="T17" s="448"/>
      <c r="U17" s="150"/>
      <c r="V17" s="498"/>
      <c r="W17" s="448"/>
      <c r="X17" s="150"/>
      <c r="Y17" s="498"/>
      <c r="Z17" s="448"/>
      <c r="AA17" s="150"/>
      <c r="AB17" s="498"/>
      <c r="AC17" s="75"/>
      <c r="AD17" s="448" t="s">
        <v>182</v>
      </c>
      <c r="AE17" s="150"/>
      <c r="AF17" s="150"/>
      <c r="AG17" s="449"/>
    </row>
    <row r="18" ht="20.1" customHeight="1">
      <c r="A18" s="58"/>
      <c r="B18" s="286"/>
      <c r="C18" s="287" t="s">
        <v>193</v>
      </c>
      <c r="D18" s="437">
        <v>115.5049691738594327990135635</v>
      </c>
      <c r="E18" s="147">
        <v>148.3283264830037769384581204</v>
      </c>
      <c r="F18" s="438">
        <v>132.62477944657227697207040496</v>
      </c>
      <c r="G18" s="437"/>
      <c r="H18" s="147"/>
      <c r="I18" s="438"/>
      <c r="J18" s="437"/>
      <c r="K18" s="147"/>
      <c r="L18" s="438"/>
      <c r="M18" s="437"/>
      <c r="N18" s="147"/>
      <c r="O18" s="438"/>
      <c r="P18" s="75"/>
      <c r="Q18" s="446">
        <v>-3.9553383285127001908727005800</v>
      </c>
      <c r="R18" s="148">
        <v>1.0205278258138634103270525100</v>
      </c>
      <c r="S18" s="447">
        <v>0.7027861737643878804031561400</v>
      </c>
      <c r="T18" s="446"/>
      <c r="U18" s="148"/>
      <c r="V18" s="447"/>
      <c r="W18" s="446"/>
      <c r="X18" s="148"/>
      <c r="Y18" s="447"/>
      <c r="Z18" s="446"/>
      <c r="AA18" s="148"/>
      <c r="AB18" s="447"/>
      <c r="AC18" s="75"/>
      <c r="AD18" s="446" t="s">
        <v>182</v>
      </c>
      <c r="AE18" s="148"/>
      <c r="AF18" s="148"/>
      <c r="AG18" s="447"/>
    </row>
    <row r="19" ht="20.1" customHeight="1">
      <c r="A19" s="58"/>
      <c r="B19" s="288"/>
      <c r="C19" s="289" t="s">
        <v>194</v>
      </c>
      <c r="D19" s="439">
        <v>119.96041147807255008121277748</v>
      </c>
      <c r="E19" s="149">
        <v>141.43044335578689528475199019</v>
      </c>
      <c r="F19" s="442">
        <v>129.33809876543209876543209877</v>
      </c>
      <c r="G19" s="439"/>
      <c r="H19" s="149"/>
      <c r="I19" s="442"/>
      <c r="J19" s="439"/>
      <c r="K19" s="149"/>
      <c r="L19" s="442"/>
      <c r="M19" s="439"/>
      <c r="N19" s="149"/>
      <c r="O19" s="442"/>
      <c r="P19" s="75"/>
      <c r="Q19" s="448">
        <v>8.674807644302534639762149560</v>
      </c>
      <c r="R19" s="150">
        <v>2.1412662890634182816844979400</v>
      </c>
      <c r="S19" s="498">
        <v>6.3370804429546164173161859900</v>
      </c>
      <c r="T19" s="448"/>
      <c r="U19" s="150"/>
      <c r="V19" s="498"/>
      <c r="W19" s="448"/>
      <c r="X19" s="150"/>
      <c r="Y19" s="498"/>
      <c r="Z19" s="448"/>
      <c r="AA19" s="150"/>
      <c r="AB19" s="498"/>
      <c r="AC19" s="75"/>
      <c r="AD19" s="448" t="s">
        <v>195</v>
      </c>
      <c r="AE19" s="150"/>
      <c r="AF19" s="150"/>
      <c r="AG19" s="449"/>
    </row>
    <row r="20" ht="20.1" customHeight="1">
      <c r="A20" s="58"/>
      <c r="B20" s="286"/>
      <c r="C20" s="287" t="s">
        <v>196</v>
      </c>
      <c r="D20" s="437">
        <v>112.97590395480225988700564972</v>
      </c>
      <c r="E20" s="147">
        <v>130.7352521186440677966101695</v>
      </c>
      <c r="F20" s="438">
        <v>121.94267718202508865717461494</v>
      </c>
      <c r="G20" s="437"/>
      <c r="H20" s="147"/>
      <c r="I20" s="438"/>
      <c r="J20" s="437"/>
      <c r="K20" s="147"/>
      <c r="L20" s="438"/>
      <c r="M20" s="437"/>
      <c r="N20" s="147"/>
      <c r="O20" s="438"/>
      <c r="P20" s="75"/>
      <c r="Q20" s="446">
        <v>6.9165239108966313909585985800</v>
      </c>
      <c r="R20" s="148">
        <v>2.3708200831142928700288273100</v>
      </c>
      <c r="S20" s="447">
        <v>5.2341377781561400717476950700</v>
      </c>
      <c r="T20" s="446"/>
      <c r="U20" s="148"/>
      <c r="V20" s="447"/>
      <c r="W20" s="446"/>
      <c r="X20" s="148"/>
      <c r="Y20" s="447"/>
      <c r="Z20" s="446"/>
      <c r="AA20" s="148"/>
      <c r="AB20" s="447"/>
      <c r="AC20" s="75"/>
      <c r="AD20" s="446" t="s">
        <v>195</v>
      </c>
      <c r="AE20" s="148"/>
      <c r="AF20" s="148"/>
      <c r="AG20" s="447"/>
    </row>
    <row r="21" ht="20.1" customHeight="1">
      <c r="A21" s="58"/>
      <c r="B21" s="288">
        <v>2025</v>
      </c>
      <c r="C21" s="289" t="s">
        <v>180</v>
      </c>
      <c r="D21" s="439">
        <v>109.71301504251144538914323087</v>
      </c>
      <c r="E21" s="149">
        <v>134.77290423317140874392782791</v>
      </c>
      <c r="F21" s="442">
        <v>123.58492955516859268640177299</v>
      </c>
      <c r="G21" s="439"/>
      <c r="H21" s="149"/>
      <c r="I21" s="442"/>
      <c r="J21" s="439"/>
      <c r="K21" s="149"/>
      <c r="L21" s="442"/>
      <c r="M21" s="439"/>
      <c r="N21" s="149"/>
      <c r="O21" s="442"/>
      <c r="P21" s="75"/>
      <c r="Q21" s="448">
        <v>-0.4817835894056870062383912400</v>
      </c>
      <c r="R21" s="150">
        <v>-0.9262572963433338434696739800</v>
      </c>
      <c r="S21" s="498">
        <v>1.7641851455423863723925596400</v>
      </c>
      <c r="T21" s="448"/>
      <c r="U21" s="150"/>
      <c r="V21" s="498"/>
      <c r="W21" s="448"/>
      <c r="X21" s="150"/>
      <c r="Y21" s="498"/>
      <c r="Z21" s="448"/>
      <c r="AA21" s="150"/>
      <c r="AB21" s="498"/>
      <c r="AC21" s="75"/>
      <c r="AD21" s="448" t="s">
        <v>185</v>
      </c>
      <c r="AE21" s="150"/>
      <c r="AF21" s="150"/>
      <c r="AG21" s="449"/>
    </row>
    <row r="22" ht="20.1" customHeight="1">
      <c r="A22" s="58"/>
      <c r="B22" s="286"/>
      <c r="C22" s="287" t="s">
        <v>183</v>
      </c>
      <c r="D22" s="437">
        <v>117.42785225718194254445964432</v>
      </c>
      <c r="E22" s="147">
        <v>140.8465501385041551246537396</v>
      </c>
      <c r="F22" s="438">
        <v>131.88390204159877312374197259</v>
      </c>
      <c r="G22" s="437"/>
      <c r="H22" s="147"/>
      <c r="I22" s="438"/>
      <c r="J22" s="437"/>
      <c r="K22" s="147"/>
      <c r="L22" s="438"/>
      <c r="M22" s="437"/>
      <c r="N22" s="147"/>
      <c r="O22" s="438"/>
      <c r="P22" s="75"/>
      <c r="Q22" s="446">
        <v>-0.1637646159289581345597669700</v>
      </c>
      <c r="R22" s="148">
        <v>-1.076342454427574895274243500</v>
      </c>
      <c r="S22" s="447">
        <v>2.5939786970344522131003786100</v>
      </c>
      <c r="T22" s="446"/>
      <c r="U22" s="148"/>
      <c r="V22" s="447"/>
      <c r="W22" s="446"/>
      <c r="X22" s="148"/>
      <c r="Y22" s="447"/>
      <c r="Z22" s="446"/>
      <c r="AA22" s="148"/>
      <c r="AB22" s="447"/>
      <c r="AC22" s="75"/>
      <c r="AD22" s="446" t="s">
        <v>195</v>
      </c>
      <c r="AE22" s="148"/>
      <c r="AF22" s="148"/>
      <c r="AG22" s="447"/>
    </row>
    <row r="23" ht="20.1" customHeight="1">
      <c r="A23" s="58"/>
      <c r="B23" s="288"/>
      <c r="C23" s="289" t="s">
        <v>186</v>
      </c>
      <c r="D23" s="439">
        <v>114.9407459831675592960979342</v>
      </c>
      <c r="E23" s="149">
        <v>133.82462907527349915637076145</v>
      </c>
      <c r="F23" s="442">
        <v>127.54082913236764299236381426</v>
      </c>
      <c r="G23" s="439"/>
      <c r="H23" s="149"/>
      <c r="I23" s="442"/>
      <c r="J23" s="439"/>
      <c r="K23" s="149"/>
      <c r="L23" s="442"/>
      <c r="M23" s="439"/>
      <c r="N23" s="149"/>
      <c r="O23" s="442"/>
      <c r="P23" s="75"/>
      <c r="Q23" s="448">
        <v>0.7529623150753060801343672300</v>
      </c>
      <c r="R23" s="150">
        <v>-4.3878938334244499706619180400</v>
      </c>
      <c r="S23" s="498">
        <v>0.0299487304394283398164138800</v>
      </c>
      <c r="T23" s="448"/>
      <c r="U23" s="150"/>
      <c r="V23" s="498"/>
      <c r="W23" s="448"/>
      <c r="X23" s="150"/>
      <c r="Y23" s="498"/>
      <c r="Z23" s="448"/>
      <c r="AA23" s="150"/>
      <c r="AB23" s="498"/>
      <c r="AC23" s="75"/>
      <c r="AD23" s="448" t="s">
        <v>195</v>
      </c>
      <c r="AE23" s="150"/>
      <c r="AF23" s="150"/>
      <c r="AG23" s="449"/>
    </row>
    <row r="24" ht="20.1" customHeight="1">
      <c r="A24" s="59"/>
      <c r="B24" s="286"/>
      <c r="C24" s="287" t="s">
        <v>187</v>
      </c>
      <c r="D24" s="437">
        <v>110.37336654431043523859465128</v>
      </c>
      <c r="E24" s="147">
        <v>138.94153855264716333056970272</v>
      </c>
      <c r="F24" s="438">
        <v>130.83379408748383644713960851</v>
      </c>
      <c r="G24" s="437"/>
      <c r="H24" s="147"/>
      <c r="I24" s="438"/>
      <c r="J24" s="437"/>
      <c r="K24" s="147"/>
      <c r="L24" s="438"/>
      <c r="M24" s="437"/>
      <c r="N24" s="147"/>
      <c r="O24" s="438"/>
      <c r="P24" s="96"/>
      <c r="Q24" s="446">
        <v>-6.3262743220096551817564348800</v>
      </c>
      <c r="R24" s="148">
        <v>-2.1179040062009587226377464700</v>
      </c>
      <c r="S24" s="447">
        <v>0.786003109762377491278663500</v>
      </c>
      <c r="T24" s="446"/>
      <c r="U24" s="148"/>
      <c r="V24" s="447"/>
      <c r="W24" s="446"/>
      <c r="X24" s="148"/>
      <c r="Y24" s="447"/>
      <c r="Z24" s="446"/>
      <c r="AA24" s="148"/>
      <c r="AB24" s="447"/>
      <c r="AC24" s="96"/>
      <c r="AD24" s="446" t="s">
        <v>182</v>
      </c>
      <c r="AE24" s="148"/>
      <c r="AF24" s="148"/>
      <c r="AG24" s="447"/>
    </row>
    <row r="25" ht="20.1" customHeight="1">
      <c r="A25" s="60"/>
      <c r="B25" s="288"/>
      <c r="C25" s="289" t="s">
        <v>188</v>
      </c>
      <c r="D25" s="439">
        <v>109.63275043936731107205623902</v>
      </c>
      <c r="E25" s="149">
        <v>136.04742655826558265582655827</v>
      </c>
      <c r="F25" s="442">
        <v>129.97679302959096674915261286</v>
      </c>
      <c r="G25" s="439"/>
      <c r="H25" s="149"/>
      <c r="I25" s="442"/>
      <c r="J25" s="439"/>
      <c r="K25" s="149"/>
      <c r="L25" s="442"/>
      <c r="M25" s="439"/>
      <c r="N25" s="149"/>
      <c r="O25" s="442"/>
      <c r="P25" s="96"/>
      <c r="Q25" s="448">
        <v>-6.7159784484201088825050433900</v>
      </c>
      <c r="R25" s="150">
        <v>-3.6547688112764723367150381600</v>
      </c>
      <c r="S25" s="498">
        <v>-1.6164805609985318340129726400</v>
      </c>
      <c r="T25" s="448"/>
      <c r="U25" s="150"/>
      <c r="V25" s="498"/>
      <c r="W25" s="448"/>
      <c r="X25" s="150"/>
      <c r="Y25" s="498"/>
      <c r="Z25" s="448"/>
      <c r="AA25" s="150"/>
      <c r="AB25" s="498"/>
      <c r="AC25" s="96"/>
      <c r="AD25" s="448" t="s">
        <v>182</v>
      </c>
      <c r="AE25" s="150"/>
      <c r="AF25" s="150"/>
      <c r="AG25" s="449"/>
    </row>
    <row r="26" ht="20.1" customHeight="1">
      <c r="A26" s="60"/>
      <c r="B26" s="290"/>
      <c r="C26" s="291" t="s">
        <v>189</v>
      </c>
      <c r="D26" s="443">
        <v>103.99178947368421052631578947</v>
      </c>
      <c r="E26" s="444">
        <v>136.99934096391726120207360263</v>
      </c>
      <c r="F26" s="445">
        <v>129.41200064174554789026151131</v>
      </c>
      <c r="G26" s="443"/>
      <c r="H26" s="444"/>
      <c r="I26" s="445"/>
      <c r="J26" s="443"/>
      <c r="K26" s="444"/>
      <c r="L26" s="445"/>
      <c r="M26" s="443"/>
      <c r="N26" s="444"/>
      <c r="O26" s="445"/>
      <c r="P26" s="184"/>
      <c r="Q26" s="450">
        <v>-4.9409938722821046016522355700</v>
      </c>
      <c r="R26" s="451">
        <v>-1.1200406530874745558608498700</v>
      </c>
      <c r="S26" s="452">
        <v>1.537264185895225008360108200</v>
      </c>
      <c r="T26" s="450"/>
      <c r="U26" s="451"/>
      <c r="V26" s="452"/>
      <c r="W26" s="450"/>
      <c r="X26" s="451"/>
      <c r="Y26" s="452"/>
      <c r="Z26" s="450"/>
      <c r="AA26" s="451"/>
      <c r="AB26" s="452"/>
      <c r="AC26" s="184"/>
      <c r="AD26" s="450" t="s">
        <v>184</v>
      </c>
      <c r="AE26" s="451"/>
      <c r="AF26" s="451"/>
      <c r="AG26" s="452"/>
    </row>
    <row r="27" ht="21" customHeight="1">
      <c r="A27" s="112"/>
      <c r="B27" s="114"/>
      <c r="C27" s="114"/>
      <c r="D27" s="151"/>
      <c r="E27" s="151"/>
      <c r="F27" s="151"/>
      <c r="G27" s="151"/>
      <c r="H27" s="151"/>
      <c r="I27" s="151"/>
      <c r="J27" s="151"/>
      <c r="K27" s="151"/>
      <c r="L27" s="151"/>
      <c r="M27" s="151"/>
      <c r="N27" s="151"/>
      <c r="O27" s="151"/>
      <c r="P27" s="152"/>
      <c r="Q27" s="151"/>
      <c r="R27" s="151"/>
      <c r="S27" s="151"/>
      <c r="T27" s="151"/>
      <c r="U27" s="151"/>
      <c r="V27" s="151"/>
      <c r="W27" s="151"/>
      <c r="X27" s="151"/>
      <c r="Y27" s="151"/>
      <c r="Z27" s="151"/>
      <c r="AA27" s="151"/>
      <c r="AB27" s="151"/>
      <c r="AC27" s="152"/>
      <c r="AD27" s="151"/>
      <c r="AE27" s="151"/>
      <c r="AF27" s="151"/>
      <c r="AG27" s="151"/>
      <c r="AH27" s="9"/>
    </row>
    <row r="28" ht="24.95" customHeight="1">
      <c r="A28" s="112"/>
      <c r="B28" s="847" t="s">
        <v>58</v>
      </c>
      <c r="C28" s="847"/>
      <c r="D28" s="847"/>
      <c r="E28" s="847"/>
      <c r="F28" s="847"/>
      <c r="G28" s="847"/>
      <c r="H28" s="847"/>
      <c r="I28" s="847"/>
      <c r="J28" s="847"/>
      <c r="K28" s="847"/>
      <c r="L28" s="847"/>
      <c r="M28" s="847"/>
      <c r="N28" s="847"/>
      <c r="O28" s="973"/>
      <c r="P28" s="433"/>
      <c r="Q28" s="836"/>
      <c r="R28" s="836"/>
      <c r="S28" s="836"/>
      <c r="T28" s="836"/>
      <c r="U28" s="836"/>
      <c r="V28" s="836"/>
      <c r="W28" s="836"/>
      <c r="X28" s="836"/>
      <c r="Y28" s="836"/>
      <c r="Z28" s="836"/>
      <c r="AA28" s="836"/>
      <c r="AB28" s="971"/>
      <c r="AC28" s="433"/>
      <c r="AD28" s="836"/>
      <c r="AE28" s="836"/>
      <c r="AF28" s="836"/>
      <c r="AG28" s="971"/>
      <c r="AH28" s="9"/>
    </row>
    <row r="29" ht="20.1" customHeight="1">
      <c r="A29" s="58"/>
      <c r="B29" s="284">
        <v>2023</v>
      </c>
      <c r="C29" s="285"/>
      <c r="D29" s="454">
        <v>108.84779939096389285936237648</v>
      </c>
      <c r="E29" s="455">
        <v>135.04855952599669300018372221</v>
      </c>
      <c r="F29" s="436">
        <v>120.51223259963223915378593406</v>
      </c>
      <c r="G29" s="454"/>
      <c r="H29" s="455"/>
      <c r="I29" s="436"/>
      <c r="J29" s="454"/>
      <c r="K29" s="455"/>
      <c r="L29" s="436"/>
      <c r="M29" s="454"/>
      <c r="N29" s="455"/>
      <c r="O29" s="436"/>
      <c r="P29" s="217"/>
      <c r="Q29" s="460">
        <v>-7.3253975759693579575550186700</v>
      </c>
      <c r="R29" s="461">
        <v>2.1421191289519123556342631700</v>
      </c>
      <c r="S29" s="417">
        <v>0.6252967467765630360485848600</v>
      </c>
      <c r="T29" s="460"/>
      <c r="U29" s="461"/>
      <c r="V29" s="417"/>
      <c r="W29" s="460"/>
      <c r="X29" s="461"/>
      <c r="Y29" s="417"/>
      <c r="Z29" s="460"/>
      <c r="AA29" s="461"/>
      <c r="AB29" s="417"/>
      <c r="AC29" s="75"/>
      <c r="AD29" s="460" t="s">
        <v>182</v>
      </c>
      <c r="AE29" s="461"/>
      <c r="AF29" s="461"/>
      <c r="AG29" s="462"/>
    </row>
    <row r="30" ht="20.1" customHeight="1">
      <c r="A30" s="58"/>
      <c r="B30" s="286">
        <v>2024</v>
      </c>
      <c r="C30" s="287"/>
      <c r="D30" s="437">
        <v>114.58695205732437024451503287</v>
      </c>
      <c r="E30" s="147">
        <v>140.10590663236315409979504942</v>
      </c>
      <c r="F30" s="438">
        <v>128.01561591365500771491265478</v>
      </c>
      <c r="G30" s="437"/>
      <c r="H30" s="147"/>
      <c r="I30" s="438"/>
      <c r="J30" s="437"/>
      <c r="K30" s="147"/>
      <c r="L30" s="438"/>
      <c r="M30" s="437"/>
      <c r="N30" s="147"/>
      <c r="O30" s="438"/>
      <c r="P30" s="217"/>
      <c r="Q30" s="446">
        <v>5.2726400519208915207411286500</v>
      </c>
      <c r="R30" s="148">
        <v>3.7448360235115997173461398500</v>
      </c>
      <c r="S30" s="447">
        <v>6.2262420604096522921394233500</v>
      </c>
      <c r="T30" s="446"/>
      <c r="U30" s="148"/>
      <c r="V30" s="447"/>
      <c r="W30" s="446"/>
      <c r="X30" s="148"/>
      <c r="Y30" s="447"/>
      <c r="Z30" s="446"/>
      <c r="AA30" s="148"/>
      <c r="AB30" s="447"/>
      <c r="AC30" s="75"/>
      <c r="AD30" s="446" t="s">
        <v>182</v>
      </c>
      <c r="AE30" s="148"/>
      <c r="AF30" s="148"/>
      <c r="AG30" s="447"/>
    </row>
    <row r="31" ht="20.1" customHeight="1">
      <c r="A31" s="58"/>
      <c r="B31" s="425">
        <v>2025</v>
      </c>
      <c r="C31" s="426"/>
      <c r="D31" s="457">
        <v>111.16751464958199859364012814</v>
      </c>
      <c r="E31" s="458">
        <v>136.94504306591451179343505092</v>
      </c>
      <c r="F31" s="499">
        <v>128.98619059282846051645178769</v>
      </c>
      <c r="G31" s="457"/>
      <c r="H31" s="458"/>
      <c r="I31" s="499"/>
      <c r="J31" s="457"/>
      <c r="K31" s="458"/>
      <c r="L31" s="499"/>
      <c r="M31" s="457"/>
      <c r="N31" s="458"/>
      <c r="O31" s="499"/>
      <c r="P31" s="496"/>
      <c r="Q31" s="463">
        <v>-2.9841420391460347229841613800</v>
      </c>
      <c r="R31" s="464">
        <v>-2.2560530404893914882574880900</v>
      </c>
      <c r="S31" s="500">
        <v>0.7581689719657016994381281200</v>
      </c>
      <c r="T31" s="463"/>
      <c r="U31" s="464"/>
      <c r="V31" s="500"/>
      <c r="W31" s="463"/>
      <c r="X31" s="464"/>
      <c r="Y31" s="500"/>
      <c r="Z31" s="463"/>
      <c r="AA31" s="464"/>
      <c r="AB31" s="500"/>
      <c r="AC31" s="184"/>
      <c r="AD31" s="463" t="s">
        <v>182</v>
      </c>
      <c r="AE31" s="464"/>
      <c r="AF31" s="464"/>
      <c r="AG31" s="465"/>
    </row>
    <row r="32" ht="21" customHeight="1"/>
    <row r="33" ht="24.95" customHeight="1">
      <c r="A33" s="112"/>
      <c r="B33" s="842" t="s">
        <v>44</v>
      </c>
      <c r="C33" s="842"/>
      <c r="D33" s="842"/>
      <c r="E33" s="842"/>
      <c r="F33" s="842"/>
      <c r="G33" s="842"/>
      <c r="H33" s="842"/>
      <c r="I33" s="842"/>
      <c r="J33" s="842"/>
      <c r="K33" s="842"/>
      <c r="L33" s="842"/>
      <c r="M33" s="842"/>
      <c r="N33" s="842"/>
      <c r="O33" s="972"/>
      <c r="P33" s="433"/>
      <c r="Q33" s="836"/>
      <c r="R33" s="836"/>
      <c r="S33" s="836"/>
      <c r="T33" s="836"/>
      <c r="U33" s="836"/>
      <c r="V33" s="836"/>
      <c r="W33" s="836"/>
      <c r="X33" s="836"/>
      <c r="Y33" s="836"/>
      <c r="Z33" s="836"/>
      <c r="AA33" s="836"/>
      <c r="AB33" s="971"/>
      <c r="AC33" s="433"/>
      <c r="AD33" s="836"/>
      <c r="AE33" s="836"/>
      <c r="AF33" s="836"/>
      <c r="AG33" s="971"/>
      <c r="AH33" s="9"/>
    </row>
    <row r="34" ht="20.1" customHeight="1">
      <c r="A34" s="58"/>
      <c r="B34" s="284">
        <v>2023</v>
      </c>
      <c r="C34" s="285"/>
      <c r="D34" s="454">
        <v>109.85559656160458452722063037</v>
      </c>
      <c r="E34" s="455">
        <v>137.14902179448903250733215082</v>
      </c>
      <c r="F34" s="436">
        <v>122.3069143681076606766174468</v>
      </c>
      <c r="G34" s="454"/>
      <c r="H34" s="455"/>
      <c r="I34" s="436"/>
      <c r="J34" s="454"/>
      <c r="K34" s="455"/>
      <c r="L34" s="436"/>
      <c r="M34" s="454"/>
      <c r="N34" s="455"/>
      <c r="O34" s="436"/>
      <c r="P34" s="75"/>
      <c r="Q34" s="460">
        <v>-8.929558673969736655363250160</v>
      </c>
      <c r="R34" s="461">
        <v>1.7070047914846892247476089200</v>
      </c>
      <c r="S34" s="417">
        <v>-0.2155222465981955598743091300</v>
      </c>
      <c r="T34" s="460"/>
      <c r="U34" s="461"/>
      <c r="V34" s="417"/>
      <c r="W34" s="460"/>
      <c r="X34" s="461"/>
      <c r="Y34" s="417"/>
      <c r="Z34" s="460"/>
      <c r="AA34" s="461"/>
      <c r="AB34" s="417"/>
      <c r="AC34" s="75"/>
      <c r="AD34" s="460" t="s">
        <v>182</v>
      </c>
      <c r="AE34" s="461"/>
      <c r="AF34" s="461"/>
      <c r="AG34" s="462"/>
    </row>
    <row r="35" ht="20.1" customHeight="1">
      <c r="A35" s="58"/>
      <c r="B35" s="286">
        <v>2024</v>
      </c>
      <c r="C35" s="287"/>
      <c r="D35" s="437">
        <v>115.14841751368256450351837373</v>
      </c>
      <c r="E35" s="147">
        <v>140.5620392716103554190434401</v>
      </c>
      <c r="F35" s="438">
        <v>129.78642031518498391763479078</v>
      </c>
      <c r="G35" s="437"/>
      <c r="H35" s="147"/>
      <c r="I35" s="438"/>
      <c r="J35" s="437"/>
      <c r="K35" s="147"/>
      <c r="L35" s="438"/>
      <c r="M35" s="437"/>
      <c r="N35" s="147"/>
      <c r="O35" s="438"/>
      <c r="P35" s="75"/>
      <c r="Q35" s="446">
        <v>4.8179802556665273453117091600</v>
      </c>
      <c r="R35" s="148">
        <v>2.4885467154292350106955323700</v>
      </c>
      <c r="S35" s="447">
        <v>6.1153582246170893436321064500</v>
      </c>
      <c r="T35" s="446"/>
      <c r="U35" s="148"/>
      <c r="V35" s="447"/>
      <c r="W35" s="446"/>
      <c r="X35" s="148"/>
      <c r="Y35" s="447"/>
      <c r="Z35" s="446"/>
      <c r="AA35" s="148"/>
      <c r="AB35" s="447"/>
      <c r="AC35" s="75"/>
      <c r="AD35" s="446" t="s">
        <v>182</v>
      </c>
      <c r="AE35" s="148"/>
      <c r="AF35" s="148"/>
      <c r="AG35" s="447"/>
    </row>
    <row r="36" ht="20.1" customHeight="1">
      <c r="A36" s="58"/>
      <c r="B36" s="425">
        <v>2025</v>
      </c>
      <c r="C36" s="426"/>
      <c r="D36" s="457">
        <v>107.86127649698282531332198669</v>
      </c>
      <c r="E36" s="458">
        <v>137.27722140133895182327295282</v>
      </c>
      <c r="F36" s="499">
        <v>130.04875811409804841499366278</v>
      </c>
      <c r="G36" s="457"/>
      <c r="H36" s="458"/>
      <c r="I36" s="499"/>
      <c r="J36" s="457"/>
      <c r="K36" s="458"/>
      <c r="L36" s="499"/>
      <c r="M36" s="457"/>
      <c r="N36" s="458"/>
      <c r="O36" s="499"/>
      <c r="P36" s="184"/>
      <c r="Q36" s="463">
        <v>-6.3284769118517615318111705500</v>
      </c>
      <c r="R36" s="464">
        <v>-2.3369167716142636668942366900</v>
      </c>
      <c r="S36" s="500">
        <v>0.2021303910385488885818382900</v>
      </c>
      <c r="T36" s="463"/>
      <c r="U36" s="464"/>
      <c r="V36" s="500"/>
      <c r="W36" s="463"/>
      <c r="X36" s="464"/>
      <c r="Y36" s="500"/>
      <c r="Z36" s="463"/>
      <c r="AA36" s="464"/>
      <c r="AB36" s="500"/>
      <c r="AC36" s="184"/>
      <c r="AD36" s="463" t="s">
        <v>181</v>
      </c>
      <c r="AE36" s="464"/>
      <c r="AF36" s="464"/>
      <c r="AG36" s="465"/>
    </row>
    <row r="37" ht="21" customHeight="1"/>
    <row r="38" ht="24.95" customHeight="1">
      <c r="A38" s="112"/>
      <c r="B38" s="842" t="s">
        <v>45</v>
      </c>
      <c r="C38" s="842"/>
      <c r="D38" s="842"/>
      <c r="E38" s="842"/>
      <c r="F38" s="842"/>
      <c r="G38" s="842"/>
      <c r="H38" s="842"/>
      <c r="I38" s="842"/>
      <c r="J38" s="842"/>
      <c r="K38" s="842"/>
      <c r="L38" s="842"/>
      <c r="M38" s="842"/>
      <c r="N38" s="842"/>
      <c r="O38" s="972"/>
      <c r="P38" s="433"/>
      <c r="Q38" s="836"/>
      <c r="R38" s="836"/>
      <c r="S38" s="836"/>
      <c r="T38" s="836"/>
      <c r="U38" s="836"/>
      <c r="V38" s="836"/>
      <c r="W38" s="836"/>
      <c r="X38" s="836"/>
      <c r="Y38" s="836"/>
      <c r="Z38" s="836"/>
      <c r="AA38" s="836"/>
      <c r="AB38" s="971"/>
      <c r="AC38" s="433"/>
      <c r="AD38" s="836"/>
      <c r="AE38" s="836"/>
      <c r="AF38" s="836"/>
      <c r="AG38" s="971"/>
      <c r="AH38" s="9"/>
    </row>
    <row r="39" ht="20.1" customHeight="1">
      <c r="A39" s="58"/>
      <c r="B39" s="284">
        <v>2023</v>
      </c>
      <c r="C39" s="285"/>
      <c r="D39" s="454">
        <v>111.21860108580598900536074026</v>
      </c>
      <c r="E39" s="455">
        <v>134.87620103360165991047242128</v>
      </c>
      <c r="F39" s="436">
        <v>120.92477191776541898394051115</v>
      </c>
      <c r="G39" s="454"/>
      <c r="H39" s="455"/>
      <c r="I39" s="436"/>
      <c r="J39" s="454"/>
      <c r="K39" s="455"/>
      <c r="L39" s="436"/>
      <c r="M39" s="454"/>
      <c r="N39" s="455"/>
      <c r="O39" s="436"/>
      <c r="P39" s="75"/>
      <c r="Q39" s="460">
        <v>-8.457586311126949215084316030</v>
      </c>
      <c r="R39" s="461">
        <v>3.1118044940753544585612167200</v>
      </c>
      <c r="S39" s="417">
        <v>2.0392533487918613062203654100</v>
      </c>
      <c r="T39" s="460"/>
      <c r="U39" s="461"/>
      <c r="V39" s="417"/>
      <c r="W39" s="460"/>
      <c r="X39" s="461"/>
      <c r="Y39" s="417"/>
      <c r="Z39" s="460"/>
      <c r="AA39" s="461"/>
      <c r="AB39" s="417"/>
      <c r="AC39" s="75"/>
      <c r="AD39" s="460" t="s">
        <v>182</v>
      </c>
      <c r="AE39" s="461"/>
      <c r="AF39" s="461"/>
      <c r="AG39" s="462"/>
    </row>
    <row r="40" ht="20.1" customHeight="1">
      <c r="A40" s="58"/>
      <c r="B40" s="286">
        <v>2024</v>
      </c>
      <c r="C40" s="287"/>
      <c r="D40" s="437">
        <v>112.15498999898294741838153033</v>
      </c>
      <c r="E40" s="147">
        <v>138.02704873379768425541735096</v>
      </c>
      <c r="F40" s="438">
        <v>124.7945758588768733051964673</v>
      </c>
      <c r="G40" s="437"/>
      <c r="H40" s="147"/>
      <c r="I40" s="438"/>
      <c r="J40" s="437"/>
      <c r="K40" s="147"/>
      <c r="L40" s="438"/>
      <c r="M40" s="437"/>
      <c r="N40" s="147"/>
      <c r="O40" s="438"/>
      <c r="P40" s="75"/>
      <c r="Q40" s="446">
        <v>0.8419355252100021809763174900</v>
      </c>
      <c r="R40" s="148">
        <v>2.3361035349837244212289309300</v>
      </c>
      <c r="S40" s="447">
        <v>3.2001746868767442437759163800</v>
      </c>
      <c r="T40" s="446"/>
      <c r="U40" s="148"/>
      <c r="V40" s="447"/>
      <c r="W40" s="446"/>
      <c r="X40" s="148"/>
      <c r="Y40" s="447"/>
      <c r="Z40" s="446"/>
      <c r="AA40" s="148"/>
      <c r="AB40" s="447"/>
      <c r="AC40" s="75"/>
      <c r="AD40" s="446" t="s">
        <v>182</v>
      </c>
      <c r="AE40" s="148"/>
      <c r="AF40" s="148"/>
      <c r="AG40" s="447"/>
    </row>
    <row r="41" ht="20.1" customHeight="1">
      <c r="A41" s="58"/>
      <c r="B41" s="425">
        <v>2025</v>
      </c>
      <c r="C41" s="426"/>
      <c r="D41" s="457">
        <v>112.07238965111720893767150137</v>
      </c>
      <c r="E41" s="458">
        <v>138.29859689617915725370788724</v>
      </c>
      <c r="F41" s="499">
        <v>127.8106191922716810733606784</v>
      </c>
      <c r="G41" s="457"/>
      <c r="H41" s="458"/>
      <c r="I41" s="499"/>
      <c r="J41" s="457"/>
      <c r="K41" s="458"/>
      <c r="L41" s="499"/>
      <c r="M41" s="457"/>
      <c r="N41" s="458"/>
      <c r="O41" s="499"/>
      <c r="P41" s="184"/>
      <c r="Q41" s="463">
        <v>-0.0736483930706315842560415200</v>
      </c>
      <c r="R41" s="464">
        <v>0.1967354695113905344359052700</v>
      </c>
      <c r="S41" s="500">
        <v>2.4168064297776811596178559200</v>
      </c>
      <c r="T41" s="463"/>
      <c r="U41" s="464"/>
      <c r="V41" s="500"/>
      <c r="W41" s="463"/>
      <c r="X41" s="464"/>
      <c r="Y41" s="500"/>
      <c r="Z41" s="463"/>
      <c r="AA41" s="464"/>
      <c r="AB41" s="500"/>
      <c r="AC41" s="184"/>
      <c r="AD41" s="463" t="s">
        <v>182</v>
      </c>
      <c r="AE41" s="464"/>
      <c r="AF41" s="464"/>
      <c r="AG41" s="465"/>
    </row>
    <row r="42" ht="14.1" customHeight="1"/>
    <row r="43" ht="20.1" customHeight="1">
      <c r="B43" s="167" t="s">
        <v>102</v>
      </c>
    </row>
    <row r="44" ht="14.1" customHeight="1">
      <c r="B44" s="167"/>
    </row>
    <row r="45" ht="24" customHeight="1">
      <c r="B45" s="816" t="s">
        <v>126</v>
      </c>
      <c r="C45" s="816"/>
      <c r="D45" s="816"/>
      <c r="E45" s="816"/>
      <c r="F45" s="816"/>
      <c r="G45" s="816"/>
      <c r="H45" s="816"/>
      <c r="I45" s="816"/>
      <c r="J45" s="816"/>
      <c r="K45" s="816"/>
      <c r="L45" s="816"/>
      <c r="M45" s="816"/>
      <c r="N45" s="816"/>
      <c r="O45" s="816"/>
      <c r="P45" s="816"/>
      <c r="Q45" s="816"/>
      <c r="R45" s="816"/>
      <c r="S45" s="816"/>
      <c r="T45" s="816"/>
      <c r="U45" s="816"/>
      <c r="V45" s="816"/>
      <c r="W45" s="816"/>
      <c r="X45" s="816"/>
      <c r="Y45" s="816"/>
      <c r="Z45" s="816"/>
      <c r="AA45" s="816"/>
      <c r="AB45" s="816"/>
      <c r="AC45" s="816"/>
      <c r="AD45" s="816"/>
      <c r="AE45" s="816"/>
      <c r="AF45" s="816"/>
      <c r="AG45" s="816"/>
    </row>
    <row r="46" ht="14.1" customHeight="1"/>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row>
    <row r="49">
      <c r="A49" s="236"/>
      <c r="B49" s="236"/>
      <c r="C49" s="236"/>
      <c r="D49" s="236"/>
      <c r="E49" s="236"/>
      <c r="F49" s="236"/>
      <c r="G49" s="236"/>
      <c r="H49" s="236"/>
      <c r="I49" s="236"/>
      <c r="J49" s="236"/>
      <c r="K49" s="236"/>
      <c r="L49" s="236"/>
      <c r="M49" s="236"/>
      <c r="N49" s="236"/>
      <c r="O49" s="236"/>
      <c r="P49" s="236"/>
      <c r="Q49" s="236"/>
      <c r="R49" s="236"/>
      <c r="S49" s="236"/>
      <c r="T49" s="236"/>
      <c r="U49" s="236"/>
      <c r="V49" s="236"/>
      <c r="W49" s="236"/>
      <c r="X49" s="236"/>
      <c r="Y49" s="236"/>
      <c r="Z49" s="236"/>
      <c r="AA49" s="236"/>
      <c r="AB49" s="236"/>
      <c r="AC49" s="236"/>
      <c r="AD49" s="236"/>
      <c r="AE49" s="236"/>
      <c r="AF49" s="236"/>
      <c r="AG49" s="236"/>
      <c r="AH49" s="236"/>
    </row>
    <row r="50">
      <c r="A50" s="236"/>
      <c r="B50" s="236"/>
      <c r="C50" s="236"/>
      <c r="D50" s="236"/>
      <c r="E50" s="236"/>
      <c r="F50" s="236"/>
      <c r="G50" s="236"/>
      <c r="H50" s="236"/>
      <c r="I50" s="236"/>
      <c r="J50" s="236"/>
      <c r="K50" s="236"/>
      <c r="L50" s="236"/>
      <c r="M50" s="236"/>
      <c r="N50" s="236"/>
      <c r="O50" s="236"/>
      <c r="P50" s="236"/>
      <c r="Q50" s="236"/>
      <c r="R50" s="236"/>
      <c r="S50" s="236"/>
      <c r="T50" s="236"/>
      <c r="U50" s="236"/>
      <c r="V50" s="236"/>
      <c r="W50" s="236"/>
      <c r="X50" s="236"/>
      <c r="Y50" s="236"/>
      <c r="Z50" s="236"/>
      <c r="AA50" s="236"/>
      <c r="AB50" s="236"/>
      <c r="AC50" s="236"/>
      <c r="AD50" s="236"/>
      <c r="AE50" s="236"/>
      <c r="AF50" s="236"/>
      <c r="AG50" s="236"/>
      <c r="AH50" s="236"/>
    </row>
    <row r="51">
      <c r="A51" s="236"/>
      <c r="B51" s="236"/>
      <c r="C51" s="236"/>
      <c r="D51" s="236"/>
      <c r="E51" s="236"/>
      <c r="F51" s="236"/>
      <c r="G51" s="236"/>
      <c r="H51" s="236"/>
      <c r="I51" s="236"/>
      <c r="J51" s="236"/>
      <c r="K51" s="236"/>
      <c r="L51" s="236"/>
      <c r="M51" s="236"/>
      <c r="N51" s="236"/>
      <c r="O51" s="236"/>
      <c r="P51" s="236"/>
      <c r="Q51" s="236"/>
      <c r="R51" s="236"/>
      <c r="S51" s="236"/>
      <c r="T51" s="236"/>
      <c r="U51" s="236"/>
      <c r="V51" s="236"/>
      <c r="W51" s="236"/>
      <c r="X51" s="236"/>
      <c r="Y51" s="236"/>
      <c r="Z51" s="236"/>
      <c r="AA51" s="236"/>
      <c r="AB51" s="236"/>
      <c r="AC51" s="236"/>
      <c r="AD51" s="236"/>
      <c r="AE51" s="236"/>
      <c r="AF51" s="236"/>
      <c r="AG51" s="236"/>
      <c r="AH51" s="236"/>
    </row>
    <row r="52">
      <c r="A52" s="236"/>
      <c r="B52" s="236"/>
      <c r="C52" s="236"/>
      <c r="D52" s="236"/>
      <c r="E52" s="236"/>
      <c r="F52" s="236"/>
      <c r="G52" s="236"/>
      <c r="H52" s="236"/>
      <c r="I52" s="236"/>
      <c r="J52" s="236"/>
      <c r="K52" s="236"/>
      <c r="L52" s="236"/>
      <c r="M52" s="236"/>
      <c r="N52" s="236"/>
      <c r="O52" s="236"/>
      <c r="P52" s="236"/>
      <c r="Q52" s="236"/>
      <c r="R52" s="236"/>
      <c r="S52" s="236"/>
      <c r="T52" s="236"/>
      <c r="U52" s="236"/>
      <c r="V52" s="236"/>
      <c r="W52" s="236"/>
      <c r="X52" s="236"/>
      <c r="Y52" s="236"/>
      <c r="Z52" s="236"/>
      <c r="AA52" s="236"/>
      <c r="AB52" s="236"/>
      <c r="AC52" s="236"/>
      <c r="AD52" s="236"/>
      <c r="AE52" s="236"/>
      <c r="AF52" s="236"/>
      <c r="AG52" s="236"/>
      <c r="AH52" s="236"/>
    </row>
    <row r="53">
      <c r="A53" s="236"/>
      <c r="B53" s="236"/>
      <c r="C53" s="236"/>
      <c r="D53" s="236"/>
      <c r="E53" s="236"/>
      <c r="F53" s="236"/>
      <c r="G53" s="236"/>
      <c r="H53" s="236"/>
      <c r="I53" s="236"/>
      <c r="J53" s="236"/>
      <c r="K53" s="236"/>
      <c r="L53" s="236"/>
      <c r="M53" s="236"/>
      <c r="N53" s="236"/>
      <c r="O53" s="236"/>
      <c r="P53" s="236"/>
      <c r="Q53" s="236"/>
      <c r="R53" s="236"/>
      <c r="S53" s="236"/>
      <c r="T53" s="236"/>
      <c r="U53" s="236"/>
      <c r="V53" s="236"/>
      <c r="W53" s="236"/>
      <c r="X53" s="236"/>
      <c r="Y53" s="236"/>
      <c r="Z53" s="236"/>
      <c r="AA53" s="236"/>
      <c r="AB53" s="236"/>
      <c r="AC53" s="236"/>
      <c r="AD53" s="236"/>
      <c r="AE53" s="236"/>
      <c r="AF53" s="236"/>
      <c r="AG53" s="236"/>
      <c r="AH53" s="236"/>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c r="AD54" s="236"/>
      <c r="AE54" s="236"/>
      <c r="AF54" s="236"/>
      <c r="AG54" s="236"/>
      <c r="AH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c r="AD55" s="236"/>
      <c r="AE55" s="236"/>
      <c r="AF55" s="236"/>
      <c r="AG55" s="236"/>
      <c r="AH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c r="AD56" s="236"/>
      <c r="AE56" s="236"/>
      <c r="AF56" s="236"/>
      <c r="AG56" s="236"/>
      <c r="AH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c r="AD57" s="236"/>
      <c r="AE57" s="236"/>
      <c r="AF57" s="236"/>
      <c r="AG57" s="236"/>
      <c r="AH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c r="AD58" s="236"/>
      <c r="AE58" s="236"/>
      <c r="AF58" s="236"/>
      <c r="AG58" s="236"/>
      <c r="AH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c r="AD59" s="236"/>
      <c r="AE59" s="236"/>
      <c r="AF59" s="236"/>
      <c r="AG59" s="236"/>
      <c r="AH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c r="AD60" s="236"/>
      <c r="AE60" s="236"/>
      <c r="AF60" s="236"/>
      <c r="AG60" s="236"/>
      <c r="AH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c r="AD61" s="236"/>
      <c r="AE61" s="236"/>
      <c r="AF61" s="236"/>
      <c r="AG61" s="236"/>
      <c r="AH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c r="AD62" s="236"/>
      <c r="AE62" s="236"/>
      <c r="AF62" s="236"/>
      <c r="AG62" s="236"/>
      <c r="AH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c r="AD63" s="236"/>
      <c r="AE63" s="236"/>
      <c r="AF63" s="236"/>
      <c r="AG63" s="236"/>
      <c r="AH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c r="AD64" s="236"/>
      <c r="AE64" s="236"/>
      <c r="AF64" s="236"/>
      <c r="AG64" s="236"/>
      <c r="AH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sheetData>
  <mergeCells count="24">
    <mergeCell ref="U3:AG3"/>
    <mergeCell ref="AD6:AG6"/>
    <mergeCell ref="Q6:AB6"/>
    <mergeCell ref="Q7:S7"/>
    <mergeCell ref="AD7:AG7"/>
    <mergeCell ref="M7:O7"/>
    <mergeCell ref="T7:V7"/>
    <mergeCell ref="W7:Y7"/>
    <mergeCell ref="D6:O6"/>
    <mergeCell ref="Z7:AB7"/>
    <mergeCell ref="D7:F7"/>
    <mergeCell ref="G7:I7"/>
    <mergeCell ref="J7:L7"/>
    <mergeCell ref="B45:AG45"/>
    <mergeCell ref="B33:O33"/>
    <mergeCell ref="Q28:AB28"/>
    <mergeCell ref="B38:O38"/>
    <mergeCell ref="B28:O28"/>
    <mergeCell ref="Q33:AB33"/>
    <mergeCell ref="B8:C8"/>
    <mergeCell ref="AD38:AG38"/>
    <mergeCell ref="AD33:AG33"/>
    <mergeCell ref="AD28:AG28"/>
    <mergeCell ref="Q38:AB38"/>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7" max="16383" man="1"/>
  </rowBreaks>
  <colBreaks count="1" manualBreakCount="1">
    <brk id="35" max="1048575" man="1"/>
  </col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5">
    <pageSetUpPr fitToPage="1"/>
  </sheetPr>
  <dimension ref="A1:AW78"/>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8" width="9.140625" style="236" customWidth="1"/>
  </cols>
  <sheetData>
    <row r="1" ht="39.95" customHeight="1">
      <c r="B1" s="656" t="s">
        <v>161</v>
      </c>
      <c r="AD1" s="75"/>
      <c r="AG1" s="688"/>
      <c r="AI1" s="236"/>
    </row>
    <row r="2" ht="21" customHeight="1">
      <c r="B2" s="66" t="s">
        <v>170</v>
      </c>
    </row>
    <row r="3" ht="21" customHeight="1">
      <c r="B3" s="66" t="s">
        <v>171</v>
      </c>
      <c r="U3" s="99" t="s">
        <v>265</v>
      </c>
      <c r="V3" s="99"/>
      <c r="W3" s="99"/>
      <c r="X3" s="99"/>
      <c r="Y3" s="99"/>
      <c r="Z3" s="99"/>
      <c r="AA3" s="99"/>
      <c r="AB3" s="99"/>
      <c r="AC3" s="99"/>
      <c r="AD3" s="99"/>
      <c r="AE3" s="99"/>
      <c r="AF3" s="99"/>
      <c r="AG3" s="99"/>
    </row>
    <row r="4" ht="21" customHeight="1">
      <c r="A4" s="54"/>
      <c r="B4" s="211" t="s">
        <v>172</v>
      </c>
      <c r="C4" s="88"/>
      <c r="D4" s="88"/>
      <c r="E4" s="88"/>
      <c r="F4" s="88"/>
      <c r="G4" s="88"/>
      <c r="H4" s="212"/>
      <c r="I4" s="212"/>
      <c r="J4" s="212"/>
      <c r="K4" s="212"/>
      <c r="L4" s="212"/>
      <c r="M4" s="212"/>
      <c r="N4" s="212"/>
      <c r="O4" s="212"/>
      <c r="P4" s="212"/>
      <c r="Q4" s="212"/>
      <c r="R4" s="212"/>
      <c r="S4" s="212"/>
      <c r="T4" s="212"/>
      <c r="U4" s="212"/>
      <c r="V4" s="212"/>
      <c r="W4" s="212"/>
      <c r="X4" s="54"/>
      <c r="Y4" s="54"/>
      <c r="AC4" s="212"/>
    </row>
    <row r="5" ht="24.95" customHeight="1"/>
    <row r="6" ht="24.95" customHeight="1">
      <c r="D6" s="802" t="s">
        <v>92</v>
      </c>
      <c r="E6" s="802"/>
      <c r="F6" s="802"/>
      <c r="G6" s="802"/>
      <c r="H6" s="802"/>
      <c r="I6" s="802"/>
      <c r="J6" s="802"/>
      <c r="K6" s="802"/>
      <c r="L6" s="802"/>
      <c r="M6" s="802"/>
      <c r="N6" s="802"/>
      <c r="O6" s="960"/>
      <c r="Q6" s="802" t="s">
        <v>70</v>
      </c>
      <c r="R6" s="802"/>
      <c r="S6" s="802"/>
      <c r="T6" s="802"/>
      <c r="U6" s="802"/>
      <c r="V6" s="802"/>
      <c r="W6" s="802"/>
      <c r="X6" s="802"/>
      <c r="Y6" s="802"/>
      <c r="Z6" s="802"/>
      <c r="AA6" s="802"/>
      <c r="AB6" s="960"/>
      <c r="AD6" s="802" t="s">
        <v>77</v>
      </c>
      <c r="AE6" s="802"/>
      <c r="AF6" s="802"/>
      <c r="AG6" s="960"/>
    </row>
    <row r="7" ht="24.95" customHeight="1">
      <c r="D7" s="839" t="s">
        <v>20</v>
      </c>
      <c r="E7" s="839"/>
      <c r="F7" s="283"/>
      <c r="G7" s="839" t="s">
        <v>18</v>
      </c>
      <c r="H7" s="839"/>
      <c r="I7" s="283"/>
      <c r="J7" s="839" t="s">
        <v>17</v>
      </c>
      <c r="K7" s="839"/>
      <c r="L7" s="283"/>
      <c r="M7" s="839" t="s">
        <v>103</v>
      </c>
      <c r="N7" s="839"/>
      <c r="O7" s="283"/>
      <c r="Q7" s="839" t="s">
        <v>20</v>
      </c>
      <c r="R7" s="839"/>
      <c r="S7" s="283"/>
      <c r="T7" s="839" t="s">
        <v>18</v>
      </c>
      <c r="U7" s="839"/>
      <c r="V7" s="283"/>
      <c r="W7" s="839" t="s">
        <v>17</v>
      </c>
      <c r="X7" s="839"/>
      <c r="Y7" s="283"/>
      <c r="Z7" s="839" t="s">
        <v>103</v>
      </c>
      <c r="AA7" s="839"/>
      <c r="AB7" s="283"/>
      <c r="AD7" s="839" t="s">
        <v>78</v>
      </c>
      <c r="AE7" s="839"/>
      <c r="AF7" s="839"/>
      <c r="AG7" s="283"/>
    </row>
    <row r="8" ht="30" customHeight="1">
      <c r="A8" s="57"/>
      <c r="B8" s="845"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c r="AC8" s="63"/>
      <c r="AD8" s="412" t="s">
        <v>20</v>
      </c>
      <c r="AE8" s="413" t="s">
        <v>18</v>
      </c>
      <c r="AF8" s="413" t="s">
        <v>17</v>
      </c>
      <c r="AG8" s="414" t="s">
        <v>12</v>
      </c>
    </row>
    <row r="9" ht="20.1" customHeight="1">
      <c r="A9" s="57"/>
      <c r="B9" s="284">
        <v>2024</v>
      </c>
      <c r="C9" s="285" t="s">
        <v>180</v>
      </c>
      <c r="D9" s="434">
        <v>41.66181234824835241068331599</v>
      </c>
      <c r="E9" s="435">
        <v>64.408148577199548505911008139</v>
      </c>
      <c r="F9" s="436">
        <v>64.948752834467120181405895692</v>
      </c>
      <c r="G9" s="434"/>
      <c r="H9" s="435"/>
      <c r="I9" s="436"/>
      <c r="J9" s="434"/>
      <c r="K9" s="435"/>
      <c r="L9" s="436"/>
      <c r="M9" s="434"/>
      <c r="N9" s="435"/>
      <c r="O9" s="436"/>
      <c r="P9" s="75"/>
      <c r="Q9" s="415">
        <v>38.272161566184566472604468240</v>
      </c>
      <c r="R9" s="416">
        <v>14.400647926413381910564419920</v>
      </c>
      <c r="S9" s="417">
        <v>6.0896300054026404177337443600</v>
      </c>
      <c r="T9" s="415"/>
      <c r="U9" s="416"/>
      <c r="V9" s="417"/>
      <c r="W9" s="415"/>
      <c r="X9" s="416"/>
      <c r="Y9" s="417"/>
      <c r="Z9" s="415"/>
      <c r="AA9" s="416"/>
      <c r="AB9" s="417"/>
      <c r="AC9" s="75"/>
      <c r="AD9" s="460" t="s">
        <v>181</v>
      </c>
      <c r="AE9" s="461"/>
      <c r="AF9" s="461"/>
      <c r="AG9" s="462"/>
    </row>
    <row r="10" ht="20.1" customHeight="1">
      <c r="A10" s="58"/>
      <c r="B10" s="286"/>
      <c r="C10" s="287" t="s">
        <v>183</v>
      </c>
      <c r="D10" s="437">
        <v>51.636129032258064516129032258</v>
      </c>
      <c r="E10" s="147">
        <v>88.03865339429729503250789266</v>
      </c>
      <c r="F10" s="438">
        <v>85.27274052478134110787172012</v>
      </c>
      <c r="G10" s="437"/>
      <c r="H10" s="147"/>
      <c r="I10" s="438"/>
      <c r="J10" s="437"/>
      <c r="K10" s="147"/>
      <c r="L10" s="438"/>
      <c r="M10" s="437"/>
      <c r="N10" s="147"/>
      <c r="O10" s="438"/>
      <c r="P10" s="75"/>
      <c r="Q10" s="446">
        <v>-12.660417138870887119715226190</v>
      </c>
      <c r="R10" s="148">
        <v>13.275024239765803880900337970</v>
      </c>
      <c r="S10" s="447">
        <v>9.139321747926963232500404160</v>
      </c>
      <c r="T10" s="446"/>
      <c r="U10" s="148"/>
      <c r="V10" s="447"/>
      <c r="W10" s="446"/>
      <c r="X10" s="148"/>
      <c r="Y10" s="447"/>
      <c r="Z10" s="446"/>
      <c r="AA10" s="148"/>
      <c r="AB10" s="447"/>
      <c r="AC10" s="75"/>
      <c r="AD10" s="446" t="s">
        <v>184</v>
      </c>
      <c r="AE10" s="148"/>
      <c r="AF10" s="148"/>
      <c r="AG10" s="447"/>
    </row>
    <row r="11" ht="20.1" customHeight="1">
      <c r="A11" s="58"/>
      <c r="B11" s="288"/>
      <c r="C11" s="289" t="s">
        <v>186</v>
      </c>
      <c r="D11" s="439">
        <v>51.342724592438432188692334374</v>
      </c>
      <c r="E11" s="149">
        <v>82.30175369809303154517911246</v>
      </c>
      <c r="F11" s="442">
        <v>82.55075707702435813034891376</v>
      </c>
      <c r="G11" s="439"/>
      <c r="H11" s="149"/>
      <c r="I11" s="442"/>
      <c r="J11" s="439"/>
      <c r="K11" s="149"/>
      <c r="L11" s="442"/>
      <c r="M11" s="439"/>
      <c r="N11" s="149"/>
      <c r="O11" s="442"/>
      <c r="P11" s="75"/>
      <c r="Q11" s="497">
        <v>-4.9153346644153312349941984500</v>
      </c>
      <c r="R11" s="216">
        <v>5.2234354758919183618295285500</v>
      </c>
      <c r="S11" s="498">
        <v>-2.1408881578316269599369272900</v>
      </c>
      <c r="T11" s="497"/>
      <c r="U11" s="216"/>
      <c r="V11" s="498"/>
      <c r="W11" s="497"/>
      <c r="X11" s="216"/>
      <c r="Y11" s="498"/>
      <c r="Z11" s="497"/>
      <c r="AA11" s="216"/>
      <c r="AB11" s="498"/>
      <c r="AC11" s="75"/>
      <c r="AD11" s="448" t="s">
        <v>182</v>
      </c>
      <c r="AE11" s="150"/>
      <c r="AF11" s="150"/>
      <c r="AG11" s="449"/>
    </row>
    <row r="12" ht="20.1" customHeight="1">
      <c r="A12" s="58"/>
      <c r="B12" s="286"/>
      <c r="C12" s="287" t="s">
        <v>187</v>
      </c>
      <c r="D12" s="437">
        <v>47.616650537634408602150537634</v>
      </c>
      <c r="E12" s="147">
        <v>79.8532946593001841620626151</v>
      </c>
      <c r="F12" s="438">
        <v>86.18907029478458049886621315</v>
      </c>
      <c r="G12" s="437"/>
      <c r="H12" s="147"/>
      <c r="I12" s="438"/>
      <c r="J12" s="437"/>
      <c r="K12" s="147"/>
      <c r="L12" s="438"/>
      <c r="M12" s="437"/>
      <c r="N12" s="147"/>
      <c r="O12" s="438"/>
      <c r="P12" s="75"/>
      <c r="Q12" s="446">
        <v>-9.734559362771999342678643710</v>
      </c>
      <c r="R12" s="148">
        <v>12.038774035848980612499971150</v>
      </c>
      <c r="S12" s="447">
        <v>0.2580568242142763179342311300</v>
      </c>
      <c r="T12" s="446"/>
      <c r="U12" s="148"/>
      <c r="V12" s="447"/>
      <c r="W12" s="446"/>
      <c r="X12" s="148"/>
      <c r="Y12" s="447"/>
      <c r="Z12" s="446"/>
      <c r="AA12" s="148"/>
      <c r="AB12" s="447"/>
      <c r="AC12" s="75"/>
      <c r="AD12" s="446" t="s">
        <v>181</v>
      </c>
      <c r="AE12" s="148"/>
      <c r="AF12" s="148"/>
      <c r="AG12" s="447"/>
    </row>
    <row r="13" ht="20.1" customHeight="1">
      <c r="A13" s="58"/>
      <c r="B13" s="288"/>
      <c r="C13" s="289" t="s">
        <v>188</v>
      </c>
      <c r="D13" s="439">
        <v>44.556243496357960457856399584</v>
      </c>
      <c r="E13" s="149">
        <v>75.347983722449949503950573279</v>
      </c>
      <c r="F13" s="442">
        <v>88.80741716041255211762124205</v>
      </c>
      <c r="G13" s="439"/>
      <c r="H13" s="149"/>
      <c r="I13" s="442"/>
      <c r="J13" s="439"/>
      <c r="K13" s="149"/>
      <c r="L13" s="442"/>
      <c r="M13" s="439"/>
      <c r="N13" s="149"/>
      <c r="O13" s="442"/>
      <c r="P13" s="75"/>
      <c r="Q13" s="448">
        <v>-9.108070986195240707175412560</v>
      </c>
      <c r="R13" s="150">
        <v>6.4941668968608354570424656200</v>
      </c>
      <c r="S13" s="498">
        <v>1.4785902064429453586473327700</v>
      </c>
      <c r="T13" s="448"/>
      <c r="U13" s="150"/>
      <c r="V13" s="498"/>
      <c r="W13" s="448"/>
      <c r="X13" s="150"/>
      <c r="Y13" s="498"/>
      <c r="Z13" s="448"/>
      <c r="AA13" s="150"/>
      <c r="AB13" s="498"/>
      <c r="AC13" s="75"/>
      <c r="AD13" s="448" t="s">
        <v>184</v>
      </c>
      <c r="AE13" s="150"/>
      <c r="AF13" s="150"/>
      <c r="AG13" s="449"/>
    </row>
    <row r="14" ht="20.1" customHeight="1">
      <c r="A14" s="58"/>
      <c r="B14" s="286"/>
      <c r="C14" s="287" t="s">
        <v>189</v>
      </c>
      <c r="D14" s="437">
        <v>38.30858781362007168458781362</v>
      </c>
      <c r="E14" s="147">
        <v>78.265676488643339472068753837</v>
      </c>
      <c r="F14" s="438">
        <v>89.21690098261526832955404384</v>
      </c>
      <c r="G14" s="437"/>
      <c r="H14" s="147"/>
      <c r="I14" s="438"/>
      <c r="J14" s="437"/>
      <c r="K14" s="147"/>
      <c r="L14" s="438"/>
      <c r="M14" s="437"/>
      <c r="N14" s="147"/>
      <c r="O14" s="438"/>
      <c r="P14" s="75"/>
      <c r="Q14" s="446">
        <v>-43.964988288624132992069287490</v>
      </c>
      <c r="R14" s="148">
        <v>-17.887149982492582030921235500</v>
      </c>
      <c r="S14" s="447">
        <v>-11.297359781584029208499387620</v>
      </c>
      <c r="T14" s="446"/>
      <c r="U14" s="148"/>
      <c r="V14" s="447"/>
      <c r="W14" s="446"/>
      <c r="X14" s="148"/>
      <c r="Y14" s="447"/>
      <c r="Z14" s="446"/>
      <c r="AA14" s="148"/>
      <c r="AB14" s="447"/>
      <c r="AC14" s="75"/>
      <c r="AD14" s="446" t="s">
        <v>184</v>
      </c>
      <c r="AE14" s="148"/>
      <c r="AF14" s="148"/>
      <c r="AG14" s="447"/>
    </row>
    <row r="15" ht="20.1" customHeight="1">
      <c r="A15" s="58"/>
      <c r="B15" s="288"/>
      <c r="C15" s="289" t="s">
        <v>190</v>
      </c>
      <c r="D15" s="439">
        <v>39.779751994450225459590704128</v>
      </c>
      <c r="E15" s="149">
        <v>75.56777104497118754826828254</v>
      </c>
      <c r="F15" s="442">
        <v>82.52151269109794455416575232</v>
      </c>
      <c r="G15" s="439"/>
      <c r="H15" s="149"/>
      <c r="I15" s="442"/>
      <c r="J15" s="439"/>
      <c r="K15" s="149"/>
      <c r="L15" s="442"/>
      <c r="M15" s="439"/>
      <c r="N15" s="149"/>
      <c r="O15" s="442"/>
      <c r="P15" s="75"/>
      <c r="Q15" s="448">
        <v>-26.414809480785131019138690630</v>
      </c>
      <c r="R15" s="150">
        <v>-0.0797138622203536817149202200</v>
      </c>
      <c r="S15" s="498">
        <v>-2.7841698746347301326630807800</v>
      </c>
      <c r="T15" s="448"/>
      <c r="U15" s="150"/>
      <c r="V15" s="498"/>
      <c r="W15" s="448"/>
      <c r="X15" s="150"/>
      <c r="Y15" s="498"/>
      <c r="Z15" s="448"/>
      <c r="AA15" s="150"/>
      <c r="AB15" s="498"/>
      <c r="AC15" s="75"/>
      <c r="AD15" s="448" t="s">
        <v>184</v>
      </c>
      <c r="AE15" s="150"/>
      <c r="AF15" s="150"/>
      <c r="AG15" s="449"/>
    </row>
    <row r="16" ht="20.1" customHeight="1">
      <c r="A16" s="58"/>
      <c r="B16" s="286"/>
      <c r="C16" s="287" t="s">
        <v>191</v>
      </c>
      <c r="D16" s="437">
        <v>36.609800554977454040929587236</v>
      </c>
      <c r="E16" s="147">
        <v>62.264420186538347294005821897</v>
      </c>
      <c r="F16" s="438">
        <v>75.15589203423304805793285056</v>
      </c>
      <c r="G16" s="437"/>
      <c r="H16" s="147"/>
      <c r="I16" s="438"/>
      <c r="J16" s="437"/>
      <c r="K16" s="147"/>
      <c r="L16" s="438"/>
      <c r="M16" s="437"/>
      <c r="N16" s="147"/>
      <c r="O16" s="438"/>
      <c r="P16" s="75"/>
      <c r="Q16" s="446">
        <v>-9.621859739982332590239049250</v>
      </c>
      <c r="R16" s="148">
        <v>0.9820092676423936832988026100</v>
      </c>
      <c r="S16" s="447">
        <v>-4.6439760080648529808986196900</v>
      </c>
      <c r="T16" s="446"/>
      <c r="U16" s="148"/>
      <c r="V16" s="447"/>
      <c r="W16" s="446"/>
      <c r="X16" s="148"/>
      <c r="Y16" s="447"/>
      <c r="Z16" s="446"/>
      <c r="AA16" s="148"/>
      <c r="AB16" s="447"/>
      <c r="AC16" s="75"/>
      <c r="AD16" s="446" t="s">
        <v>181</v>
      </c>
      <c r="AE16" s="148"/>
      <c r="AF16" s="148"/>
      <c r="AG16" s="447"/>
    </row>
    <row r="17" ht="20.1" customHeight="1">
      <c r="A17" s="58"/>
      <c r="B17" s="288"/>
      <c r="C17" s="289" t="s">
        <v>192</v>
      </c>
      <c r="D17" s="439">
        <v>59.69661827956989247311827957</v>
      </c>
      <c r="E17" s="149">
        <v>68.149495395948434622467771639</v>
      </c>
      <c r="F17" s="442">
        <v>82.86669690098261526832955404</v>
      </c>
      <c r="G17" s="439"/>
      <c r="H17" s="149"/>
      <c r="I17" s="442"/>
      <c r="J17" s="439"/>
      <c r="K17" s="149"/>
      <c r="L17" s="442"/>
      <c r="M17" s="439"/>
      <c r="N17" s="149"/>
      <c r="O17" s="442"/>
      <c r="P17" s="75"/>
      <c r="Q17" s="448">
        <v>0.252172003579827430114328600</v>
      </c>
      <c r="R17" s="150">
        <v>12.852701707967331593098589860</v>
      </c>
      <c r="S17" s="498">
        <v>5.3695563417602688554153482900</v>
      </c>
      <c r="T17" s="448"/>
      <c r="U17" s="150"/>
      <c r="V17" s="498"/>
      <c r="W17" s="448"/>
      <c r="X17" s="150"/>
      <c r="Y17" s="498"/>
      <c r="Z17" s="448"/>
      <c r="AA17" s="150"/>
      <c r="AB17" s="498"/>
      <c r="AC17" s="75"/>
      <c r="AD17" s="448" t="s">
        <v>185</v>
      </c>
      <c r="AE17" s="150"/>
      <c r="AF17" s="150"/>
      <c r="AG17" s="449"/>
    </row>
    <row r="18" ht="20.1" customHeight="1">
      <c r="A18" s="58"/>
      <c r="B18" s="286"/>
      <c r="C18" s="287" t="s">
        <v>193</v>
      </c>
      <c r="D18" s="437">
        <v>48.73804890738813735691987513</v>
      </c>
      <c r="E18" s="147">
        <v>79.32344769203350561397255391</v>
      </c>
      <c r="F18" s="438">
        <v>90.17049228293467924804330334</v>
      </c>
      <c r="G18" s="437"/>
      <c r="H18" s="147"/>
      <c r="I18" s="438"/>
      <c r="J18" s="437"/>
      <c r="K18" s="147"/>
      <c r="L18" s="438"/>
      <c r="M18" s="437"/>
      <c r="N18" s="147"/>
      <c r="O18" s="438"/>
      <c r="P18" s="75"/>
      <c r="Q18" s="446">
        <v>-15.731459846152867457443652470</v>
      </c>
      <c r="R18" s="148">
        <v>-4.0984137634965002733049435300</v>
      </c>
      <c r="S18" s="447">
        <v>0.3056557211828672499248984700</v>
      </c>
      <c r="T18" s="446"/>
      <c r="U18" s="148"/>
      <c r="V18" s="447"/>
      <c r="W18" s="446"/>
      <c r="X18" s="148"/>
      <c r="Y18" s="447"/>
      <c r="Z18" s="446"/>
      <c r="AA18" s="148"/>
      <c r="AB18" s="447"/>
      <c r="AC18" s="75"/>
      <c r="AD18" s="446" t="s">
        <v>181</v>
      </c>
      <c r="AE18" s="148"/>
      <c r="AF18" s="148"/>
      <c r="AG18" s="447"/>
    </row>
    <row r="19" ht="20.1" customHeight="1">
      <c r="A19" s="58"/>
      <c r="B19" s="288"/>
      <c r="C19" s="289" t="s">
        <v>194</v>
      </c>
      <c r="D19" s="439">
        <v>39.707326164874551971326164875</v>
      </c>
      <c r="E19" s="149">
        <v>70.888862492326580724370779619</v>
      </c>
      <c r="F19" s="442">
        <v>80.16824303642485460667278849</v>
      </c>
      <c r="G19" s="439"/>
      <c r="H19" s="149"/>
      <c r="I19" s="442"/>
      <c r="J19" s="439"/>
      <c r="K19" s="149"/>
      <c r="L19" s="442"/>
      <c r="M19" s="439"/>
      <c r="N19" s="149"/>
      <c r="O19" s="442"/>
      <c r="P19" s="75"/>
      <c r="Q19" s="448">
        <v>-22.471081607120345418385740430</v>
      </c>
      <c r="R19" s="150">
        <v>0.0760111897531788916549899400</v>
      </c>
      <c r="S19" s="498">
        <v>5.9728265531350781303469955200</v>
      </c>
      <c r="T19" s="448"/>
      <c r="U19" s="150"/>
      <c r="V19" s="498"/>
      <c r="W19" s="448"/>
      <c r="X19" s="150"/>
      <c r="Y19" s="498"/>
      <c r="Z19" s="448"/>
      <c r="AA19" s="150"/>
      <c r="AB19" s="498"/>
      <c r="AC19" s="75"/>
      <c r="AD19" s="448" t="s">
        <v>184</v>
      </c>
      <c r="AE19" s="150"/>
      <c r="AF19" s="150"/>
      <c r="AG19" s="449"/>
    </row>
    <row r="20" ht="20.1" customHeight="1">
      <c r="A20" s="58"/>
      <c r="B20" s="286"/>
      <c r="C20" s="287" t="s">
        <v>196</v>
      </c>
      <c r="D20" s="437">
        <v>27.744342698577870274020117933</v>
      </c>
      <c r="E20" s="147">
        <v>54.987559258599180181785777936</v>
      </c>
      <c r="F20" s="438">
        <v>68.244408898367842649367576054</v>
      </c>
      <c r="G20" s="437"/>
      <c r="H20" s="147"/>
      <c r="I20" s="438"/>
      <c r="J20" s="437"/>
      <c r="K20" s="147"/>
      <c r="L20" s="438"/>
      <c r="M20" s="437"/>
      <c r="N20" s="147"/>
      <c r="O20" s="438"/>
      <c r="P20" s="75"/>
      <c r="Q20" s="446">
        <v>-38.532765790520028260549492340</v>
      </c>
      <c r="R20" s="148">
        <v>-2.8177251022093367469024587900</v>
      </c>
      <c r="S20" s="447">
        <v>8.943252366667545639573321190</v>
      </c>
      <c r="T20" s="446"/>
      <c r="U20" s="148"/>
      <c r="V20" s="447"/>
      <c r="W20" s="446"/>
      <c r="X20" s="148"/>
      <c r="Y20" s="447"/>
      <c r="Z20" s="446"/>
      <c r="AA20" s="148"/>
      <c r="AB20" s="447"/>
      <c r="AC20" s="75"/>
      <c r="AD20" s="446" t="s">
        <v>184</v>
      </c>
      <c r="AE20" s="148"/>
      <c r="AF20" s="148"/>
      <c r="AG20" s="447"/>
    </row>
    <row r="21" ht="20.1" customHeight="1">
      <c r="A21" s="58"/>
      <c r="B21" s="288">
        <v>2025</v>
      </c>
      <c r="C21" s="289" t="s">
        <v>180</v>
      </c>
      <c r="D21" s="439">
        <v>29.093166840097121054457162678</v>
      </c>
      <c r="E21" s="149">
        <v>57.686614091368145903879284738</v>
      </c>
      <c r="F21" s="442">
        <v>68.526311169629141979372394119</v>
      </c>
      <c r="G21" s="439"/>
      <c r="H21" s="149"/>
      <c r="I21" s="442"/>
      <c r="J21" s="439"/>
      <c r="K21" s="149"/>
      <c r="L21" s="442"/>
      <c r="M21" s="439"/>
      <c r="N21" s="149"/>
      <c r="O21" s="442"/>
      <c r="P21" s="75"/>
      <c r="Q21" s="448">
        <v>-30.168263932104018744927954770</v>
      </c>
      <c r="R21" s="150">
        <v>-10.435844895891366659130995200</v>
      </c>
      <c r="S21" s="498">
        <v>5.5082787259138651526686600800</v>
      </c>
      <c r="T21" s="448"/>
      <c r="U21" s="150"/>
      <c r="V21" s="498"/>
      <c r="W21" s="448"/>
      <c r="X21" s="150"/>
      <c r="Y21" s="498"/>
      <c r="Z21" s="448"/>
      <c r="AA21" s="150"/>
      <c r="AB21" s="498"/>
      <c r="AC21" s="75"/>
      <c r="AD21" s="448" t="s">
        <v>184</v>
      </c>
      <c r="AE21" s="150"/>
      <c r="AF21" s="150"/>
      <c r="AG21" s="449"/>
    </row>
    <row r="22" ht="20.1" customHeight="1">
      <c r="A22" s="58"/>
      <c r="B22" s="286"/>
      <c r="C22" s="287" t="s">
        <v>183</v>
      </c>
      <c r="D22" s="437">
        <v>49.446866359447004608294930876</v>
      </c>
      <c r="E22" s="147">
        <v>83.60563766114180478821362799</v>
      </c>
      <c r="F22" s="438">
        <v>89.14446064139941690962099125</v>
      </c>
      <c r="G22" s="437"/>
      <c r="H22" s="147"/>
      <c r="I22" s="438"/>
      <c r="J22" s="437"/>
      <c r="K22" s="147"/>
      <c r="L22" s="438"/>
      <c r="M22" s="437"/>
      <c r="N22" s="147"/>
      <c r="O22" s="438"/>
      <c r="P22" s="75"/>
      <c r="Q22" s="446">
        <v>-4.2397885238135176603058353200</v>
      </c>
      <c r="R22" s="148">
        <v>-5.0353061550180499042280908600</v>
      </c>
      <c r="S22" s="447">
        <v>4.5403960196088674982340835100</v>
      </c>
      <c r="T22" s="446"/>
      <c r="U22" s="148"/>
      <c r="V22" s="447"/>
      <c r="W22" s="446"/>
      <c r="X22" s="148"/>
      <c r="Y22" s="447"/>
      <c r="Z22" s="446"/>
      <c r="AA22" s="148"/>
      <c r="AB22" s="447"/>
      <c r="AC22" s="75"/>
      <c r="AD22" s="446" t="s">
        <v>184</v>
      </c>
      <c r="AE22" s="148"/>
      <c r="AF22" s="148"/>
      <c r="AG22" s="447"/>
    </row>
    <row r="23" ht="20.1" customHeight="1">
      <c r="A23" s="58"/>
      <c r="B23" s="288"/>
      <c r="C23" s="289" t="s">
        <v>186</v>
      </c>
      <c r="D23" s="439">
        <v>52.10806625043357613596947624</v>
      </c>
      <c r="E23" s="149">
        <v>73.03391879047109843759282362</v>
      </c>
      <c r="F23" s="442">
        <v>87.71965474361787725843025382</v>
      </c>
      <c r="G23" s="439"/>
      <c r="H23" s="149"/>
      <c r="I23" s="442"/>
      <c r="J23" s="439"/>
      <c r="K23" s="149"/>
      <c r="L23" s="442"/>
      <c r="M23" s="439"/>
      <c r="N23" s="149"/>
      <c r="O23" s="442"/>
      <c r="P23" s="75"/>
      <c r="Q23" s="448">
        <v>1.4906525980252823073191516900</v>
      </c>
      <c r="R23" s="150">
        <v>-11.260798817999982350253584020</v>
      </c>
      <c r="S23" s="498">
        <v>6.2614782100623729430878830800</v>
      </c>
      <c r="T23" s="448"/>
      <c r="U23" s="150"/>
      <c r="V23" s="498"/>
      <c r="W23" s="448"/>
      <c r="X23" s="150"/>
      <c r="Y23" s="498"/>
      <c r="Z23" s="448"/>
      <c r="AA23" s="150"/>
      <c r="AB23" s="498"/>
      <c r="AC23" s="75"/>
      <c r="AD23" s="448" t="s">
        <v>185</v>
      </c>
      <c r="AE23" s="150"/>
      <c r="AF23" s="150"/>
      <c r="AG23" s="449"/>
    </row>
    <row r="24" ht="20.1" customHeight="1">
      <c r="A24" s="59"/>
      <c r="B24" s="286"/>
      <c r="C24" s="287" t="s">
        <v>187</v>
      </c>
      <c r="D24" s="437">
        <v>37.720790322580645161290322581</v>
      </c>
      <c r="E24" s="147">
        <v>72.012486801718845917740945365</v>
      </c>
      <c r="F24" s="438">
        <v>88.71381708238851095993953137</v>
      </c>
      <c r="G24" s="437"/>
      <c r="H24" s="147"/>
      <c r="I24" s="438"/>
      <c r="J24" s="437"/>
      <c r="K24" s="147"/>
      <c r="L24" s="438"/>
      <c r="M24" s="437"/>
      <c r="N24" s="147"/>
      <c r="O24" s="438"/>
      <c r="P24" s="96"/>
      <c r="Q24" s="446">
        <v>-20.782352608370028584775291310</v>
      </c>
      <c r="R24" s="148">
        <v>-9.819016098251852887226654110</v>
      </c>
      <c r="S24" s="447">
        <v>2.9293120101573194304054489600</v>
      </c>
      <c r="T24" s="446"/>
      <c r="U24" s="148"/>
      <c r="V24" s="447"/>
      <c r="W24" s="446"/>
      <c r="X24" s="148"/>
      <c r="Y24" s="447"/>
      <c r="Z24" s="446"/>
      <c r="AA24" s="148"/>
      <c r="AB24" s="447"/>
      <c r="AC24" s="96"/>
      <c r="AD24" s="446" t="s">
        <v>181</v>
      </c>
      <c r="AE24" s="148"/>
      <c r="AF24" s="148"/>
      <c r="AG24" s="447"/>
    </row>
    <row r="25" ht="20.1" customHeight="1">
      <c r="A25" s="60"/>
      <c r="B25" s="288"/>
      <c r="C25" s="289" t="s">
        <v>188</v>
      </c>
      <c r="D25" s="439">
        <v>43.275084980922650017343045439</v>
      </c>
      <c r="E25" s="149">
        <v>74.558160161587358165508227886</v>
      </c>
      <c r="F25" s="442">
        <v>91.44106502816180235535074245</v>
      </c>
      <c r="G25" s="439"/>
      <c r="H25" s="149"/>
      <c r="I25" s="442"/>
      <c r="J25" s="439"/>
      <c r="K25" s="149"/>
      <c r="L25" s="442"/>
      <c r="M25" s="439"/>
      <c r="N25" s="149"/>
      <c r="O25" s="442"/>
      <c r="P25" s="96"/>
      <c r="Q25" s="448">
        <v>-2.8753737185695724921816157400</v>
      </c>
      <c r="R25" s="150">
        <v>-1.0482345005044074011217168900</v>
      </c>
      <c r="S25" s="498">
        <v>2.9655719668155925766634243600</v>
      </c>
      <c r="T25" s="448"/>
      <c r="U25" s="150"/>
      <c r="V25" s="498"/>
      <c r="W25" s="448"/>
      <c r="X25" s="150"/>
      <c r="Y25" s="498"/>
      <c r="Z25" s="448"/>
      <c r="AA25" s="150"/>
      <c r="AB25" s="498"/>
      <c r="AC25" s="96"/>
      <c r="AD25" s="448" t="s">
        <v>182</v>
      </c>
      <c r="AE25" s="150"/>
      <c r="AF25" s="150"/>
      <c r="AG25" s="449"/>
    </row>
    <row r="26" ht="20.1" customHeight="1">
      <c r="A26" s="60"/>
      <c r="B26" s="290"/>
      <c r="C26" s="291" t="s">
        <v>189</v>
      </c>
      <c r="D26" s="443">
        <v>42.491268817204301075268817204</v>
      </c>
      <c r="E26" s="444">
        <v>81.92627869858809085328422345</v>
      </c>
      <c r="F26" s="445">
        <v>97.55102040816326530612244898</v>
      </c>
      <c r="G26" s="443"/>
      <c r="H26" s="444"/>
      <c r="I26" s="445"/>
      <c r="J26" s="443"/>
      <c r="K26" s="444"/>
      <c r="L26" s="445"/>
      <c r="M26" s="443"/>
      <c r="N26" s="444"/>
      <c r="O26" s="445"/>
      <c r="P26" s="453"/>
      <c r="Q26" s="450">
        <v>10.918389954639361677116857900</v>
      </c>
      <c r="R26" s="451">
        <v>4.6771488783097477288291690600</v>
      </c>
      <c r="S26" s="452">
        <v>9.341413267861289213273966220</v>
      </c>
      <c r="T26" s="450"/>
      <c r="U26" s="451"/>
      <c r="V26" s="452"/>
      <c r="W26" s="450"/>
      <c r="X26" s="451"/>
      <c r="Y26" s="452"/>
      <c r="Z26" s="450"/>
      <c r="AA26" s="451"/>
      <c r="AB26" s="452"/>
      <c r="AC26" s="453"/>
      <c r="AD26" s="450" t="s">
        <v>181</v>
      </c>
      <c r="AE26" s="451"/>
      <c r="AF26" s="451"/>
      <c r="AG26" s="452"/>
    </row>
    <row r="27" ht="21" customHeight="1">
      <c r="A27" s="112"/>
      <c r="B27" s="114"/>
      <c r="C27" s="114"/>
      <c r="D27" s="151"/>
      <c r="E27" s="151"/>
      <c r="F27" s="151"/>
      <c r="G27" s="151"/>
      <c r="H27" s="151"/>
      <c r="I27" s="151"/>
      <c r="J27" s="151"/>
      <c r="K27" s="151"/>
      <c r="L27" s="151"/>
      <c r="M27" s="151"/>
      <c r="N27" s="151"/>
      <c r="O27" s="151"/>
      <c r="P27" s="152"/>
      <c r="Q27" s="151"/>
      <c r="R27" s="151"/>
      <c r="S27" s="151"/>
      <c r="T27" s="151"/>
      <c r="U27" s="151"/>
      <c r="V27" s="151"/>
      <c r="W27" s="151"/>
      <c r="X27" s="151"/>
      <c r="Y27" s="151"/>
      <c r="Z27" s="151"/>
      <c r="AA27" s="151"/>
      <c r="AB27" s="151"/>
      <c r="AC27" s="152"/>
      <c r="AD27" s="151"/>
      <c r="AE27" s="151"/>
      <c r="AF27" s="151"/>
      <c r="AG27" s="151"/>
      <c r="AH27" s="9"/>
    </row>
    <row r="28" ht="24.95" customHeight="1">
      <c r="A28" s="112"/>
      <c r="B28" s="847" t="s">
        <v>58</v>
      </c>
      <c r="C28" s="847"/>
      <c r="D28" s="847"/>
      <c r="E28" s="847"/>
      <c r="F28" s="847"/>
      <c r="G28" s="847"/>
      <c r="H28" s="847"/>
      <c r="I28" s="847"/>
      <c r="J28" s="847"/>
      <c r="K28" s="847"/>
      <c r="L28" s="847"/>
      <c r="M28" s="847"/>
      <c r="N28" s="847"/>
      <c r="O28" s="973"/>
      <c r="P28" s="501"/>
      <c r="Q28" s="836"/>
      <c r="R28" s="836"/>
      <c r="S28" s="836"/>
      <c r="T28" s="836"/>
      <c r="U28" s="836"/>
      <c r="V28" s="836"/>
      <c r="W28" s="836"/>
      <c r="X28" s="836"/>
      <c r="Y28" s="836"/>
      <c r="Z28" s="836"/>
      <c r="AA28" s="836"/>
      <c r="AB28" s="971"/>
      <c r="AC28" s="501"/>
      <c r="AD28" s="836"/>
      <c r="AE28" s="836"/>
      <c r="AF28" s="836"/>
      <c r="AG28" s="971"/>
      <c r="AH28" s="9"/>
    </row>
    <row r="29" ht="20.1" customHeight="1">
      <c r="A29" s="58"/>
      <c r="B29" s="284">
        <v>2023</v>
      </c>
      <c r="C29" s="285"/>
      <c r="D29" s="454">
        <v>52.024889799798015802293114715</v>
      </c>
      <c r="E29" s="455">
        <v>74.791094034573629213597468535</v>
      </c>
      <c r="F29" s="436">
        <v>82.92774332569123413638015059</v>
      </c>
      <c r="G29" s="454"/>
      <c r="H29" s="455"/>
      <c r="I29" s="436"/>
      <c r="J29" s="454"/>
      <c r="K29" s="455"/>
      <c r="L29" s="436"/>
      <c r="M29" s="454"/>
      <c r="N29" s="455"/>
      <c r="O29" s="436"/>
      <c r="P29" s="75"/>
      <c r="Q29" s="460">
        <v>-8.158709884464353151364628490</v>
      </c>
      <c r="R29" s="461">
        <v>2.806974077970680975252279600</v>
      </c>
      <c r="S29" s="417">
        <v>13.938091628153903973706313160</v>
      </c>
      <c r="T29" s="460"/>
      <c r="U29" s="461"/>
      <c r="V29" s="417"/>
      <c r="W29" s="460"/>
      <c r="X29" s="461"/>
      <c r="Y29" s="417"/>
      <c r="Z29" s="460"/>
      <c r="AA29" s="461"/>
      <c r="AB29" s="417"/>
      <c r="AC29" s="75"/>
      <c r="AD29" s="460" t="s">
        <v>181</v>
      </c>
      <c r="AE29" s="461"/>
      <c r="AF29" s="461"/>
      <c r="AG29" s="462"/>
    </row>
    <row r="30" ht="20.1" customHeight="1">
      <c r="A30" s="58"/>
      <c r="B30" s="286">
        <v>2024</v>
      </c>
      <c r="C30" s="287"/>
      <c r="D30" s="437">
        <v>45.821918055063216353538934184</v>
      </c>
      <c r="E30" s="147">
        <v>77.858817101705239702433279407</v>
      </c>
      <c r="F30" s="438">
        <v>82.73663321682264065847333409</v>
      </c>
      <c r="G30" s="437"/>
      <c r="H30" s="147"/>
      <c r="I30" s="438"/>
      <c r="J30" s="437"/>
      <c r="K30" s="147"/>
      <c r="L30" s="438"/>
      <c r="M30" s="437"/>
      <c r="N30" s="147"/>
      <c r="O30" s="438"/>
      <c r="P30" s="75"/>
      <c r="Q30" s="446">
        <v>-11.923084832292388279360950410</v>
      </c>
      <c r="R30" s="148">
        <v>4.1017224132141237932168669400</v>
      </c>
      <c r="S30" s="447">
        <v>-0.2304537675971374506873884600</v>
      </c>
      <c r="T30" s="446"/>
      <c r="U30" s="148"/>
      <c r="V30" s="447"/>
      <c r="W30" s="446"/>
      <c r="X30" s="148"/>
      <c r="Y30" s="447"/>
      <c r="Z30" s="446"/>
      <c r="AA30" s="148"/>
      <c r="AB30" s="447"/>
      <c r="AC30" s="75"/>
      <c r="AD30" s="446" t="s">
        <v>184</v>
      </c>
      <c r="AE30" s="148"/>
      <c r="AF30" s="148"/>
      <c r="AG30" s="447"/>
    </row>
    <row r="31" ht="20.1" customHeight="1">
      <c r="A31" s="58"/>
      <c r="B31" s="425">
        <v>2025</v>
      </c>
      <c r="C31" s="426"/>
      <c r="D31" s="457">
        <v>42.26320382581833303629774847</v>
      </c>
      <c r="E31" s="458">
        <v>73.606410518604438203962028021</v>
      </c>
      <c r="F31" s="499">
        <v>87.08446398817353829192818932</v>
      </c>
      <c r="G31" s="457"/>
      <c r="H31" s="458"/>
      <c r="I31" s="499"/>
      <c r="J31" s="457"/>
      <c r="K31" s="458"/>
      <c r="L31" s="499"/>
      <c r="M31" s="457"/>
      <c r="N31" s="458"/>
      <c r="O31" s="499"/>
      <c r="P31" s="453"/>
      <c r="Q31" s="463">
        <v>-7.7664017141368452084717401400</v>
      </c>
      <c r="R31" s="464">
        <v>-5.4616891720060733880760034500</v>
      </c>
      <c r="S31" s="500">
        <v>5.2550250141078910732834408100</v>
      </c>
      <c r="T31" s="463"/>
      <c r="U31" s="464"/>
      <c r="V31" s="500"/>
      <c r="W31" s="463"/>
      <c r="X31" s="464"/>
      <c r="Y31" s="500"/>
      <c r="Z31" s="463"/>
      <c r="AA31" s="464"/>
      <c r="AB31" s="500"/>
      <c r="AC31" s="453"/>
      <c r="AD31" s="463" t="s">
        <v>184</v>
      </c>
      <c r="AE31" s="464"/>
      <c r="AF31" s="464"/>
      <c r="AG31" s="465"/>
    </row>
    <row r="32" ht="21" customHeight="1"/>
    <row r="33" ht="24.95" customHeight="1">
      <c r="A33" s="112"/>
      <c r="B33" s="842" t="s">
        <v>44</v>
      </c>
      <c r="C33" s="842"/>
      <c r="D33" s="842"/>
      <c r="E33" s="842"/>
      <c r="F33" s="842"/>
      <c r="G33" s="842"/>
      <c r="H33" s="842"/>
      <c r="I33" s="842"/>
      <c r="J33" s="842"/>
      <c r="K33" s="842"/>
      <c r="L33" s="842"/>
      <c r="M33" s="842"/>
      <c r="N33" s="842"/>
      <c r="O33" s="972"/>
      <c r="P33" s="501"/>
      <c r="Q33" s="836"/>
      <c r="R33" s="836"/>
      <c r="S33" s="836"/>
      <c r="T33" s="836"/>
      <c r="U33" s="836"/>
      <c r="V33" s="836"/>
      <c r="W33" s="836"/>
      <c r="X33" s="836"/>
      <c r="Y33" s="836"/>
      <c r="Z33" s="836"/>
      <c r="AA33" s="836"/>
      <c r="AB33" s="971"/>
      <c r="AC33" s="501"/>
      <c r="AD33" s="836"/>
      <c r="AE33" s="836"/>
      <c r="AF33" s="836"/>
      <c r="AG33" s="971"/>
      <c r="AH33" s="9"/>
    </row>
    <row r="34" ht="20.1" customHeight="1">
      <c r="A34" s="58"/>
      <c r="B34" s="284">
        <v>2023</v>
      </c>
      <c r="C34" s="285"/>
      <c r="D34" s="454">
        <v>56.628268935365709559257946355</v>
      </c>
      <c r="E34" s="455">
        <v>79.021739724364033756298949668</v>
      </c>
      <c r="F34" s="436">
        <v>91.31128055617851536218883158</v>
      </c>
      <c r="G34" s="454"/>
      <c r="H34" s="455"/>
      <c r="I34" s="436"/>
      <c r="J34" s="454"/>
      <c r="K34" s="455"/>
      <c r="L34" s="436"/>
      <c r="M34" s="454"/>
      <c r="N34" s="455"/>
      <c r="O34" s="436"/>
      <c r="P34" s="75"/>
      <c r="Q34" s="460">
        <v>-4.8281709702362444775195597600</v>
      </c>
      <c r="R34" s="461">
        <v>-1.6005681788799029643206758300</v>
      </c>
      <c r="S34" s="417">
        <v>11.823467977594858964087673080</v>
      </c>
      <c r="T34" s="460"/>
      <c r="U34" s="461"/>
      <c r="V34" s="417"/>
      <c r="W34" s="460"/>
      <c r="X34" s="461"/>
      <c r="Y34" s="417"/>
      <c r="Z34" s="460"/>
      <c r="AA34" s="461"/>
      <c r="AB34" s="417"/>
      <c r="AC34" s="75"/>
      <c r="AD34" s="460" t="s">
        <v>185</v>
      </c>
      <c r="AE34" s="461"/>
      <c r="AF34" s="461"/>
      <c r="AG34" s="462"/>
    </row>
    <row r="35" ht="20.1" customHeight="1">
      <c r="A35" s="58"/>
      <c r="B35" s="286">
        <v>2024</v>
      </c>
      <c r="C35" s="287"/>
      <c r="D35" s="437">
        <v>43.505502185986056953798889283</v>
      </c>
      <c r="E35" s="147">
        <v>77.79512780037641916094954769</v>
      </c>
      <c r="F35" s="438">
        <v>88.07922055268994044504248586</v>
      </c>
      <c r="G35" s="437"/>
      <c r="H35" s="147"/>
      <c r="I35" s="438"/>
      <c r="J35" s="437"/>
      <c r="K35" s="147"/>
      <c r="L35" s="438"/>
      <c r="M35" s="437"/>
      <c r="N35" s="147"/>
      <c r="O35" s="438"/>
      <c r="P35" s="75"/>
      <c r="Q35" s="446">
        <v>-23.173526219535407278687935560</v>
      </c>
      <c r="R35" s="148">
        <v>-1.5522461645384817754183950900</v>
      </c>
      <c r="S35" s="447">
        <v>-3.539606479969143257403838100</v>
      </c>
      <c r="T35" s="446"/>
      <c r="U35" s="148"/>
      <c r="V35" s="447"/>
      <c r="W35" s="446"/>
      <c r="X35" s="148"/>
      <c r="Y35" s="447"/>
      <c r="Z35" s="446"/>
      <c r="AA35" s="148"/>
      <c r="AB35" s="447"/>
      <c r="AC35" s="75"/>
      <c r="AD35" s="446" t="s">
        <v>184</v>
      </c>
      <c r="AE35" s="148"/>
      <c r="AF35" s="148"/>
      <c r="AG35" s="447"/>
    </row>
    <row r="36" ht="20.1" customHeight="1">
      <c r="A36" s="58"/>
      <c r="B36" s="425">
        <v>2025</v>
      </c>
      <c r="C36" s="426"/>
      <c r="D36" s="457">
        <v>41.185597896726928984993501123</v>
      </c>
      <c r="E36" s="458">
        <v>76.147977252949628640236375043</v>
      </c>
      <c r="F36" s="499">
        <v>92.55624330318207869228277392</v>
      </c>
      <c r="G36" s="457"/>
      <c r="H36" s="458"/>
      <c r="I36" s="499"/>
      <c r="J36" s="457"/>
      <c r="K36" s="458"/>
      <c r="L36" s="499"/>
      <c r="M36" s="457"/>
      <c r="N36" s="458"/>
      <c r="O36" s="499"/>
      <c r="P36" s="453"/>
      <c r="Q36" s="463">
        <v>-5.3324388243002800009248900900</v>
      </c>
      <c r="R36" s="464">
        <v>-2.1172926814600620645008885900</v>
      </c>
      <c r="S36" s="500">
        <v>5.0829500106706371642552719200</v>
      </c>
      <c r="T36" s="463"/>
      <c r="U36" s="464"/>
      <c r="V36" s="500"/>
      <c r="W36" s="463"/>
      <c r="X36" s="464"/>
      <c r="Y36" s="500"/>
      <c r="Z36" s="463"/>
      <c r="AA36" s="464"/>
      <c r="AB36" s="500"/>
      <c r="AC36" s="453"/>
      <c r="AD36" s="463" t="s">
        <v>181</v>
      </c>
      <c r="AE36" s="464"/>
      <c r="AF36" s="464"/>
      <c r="AG36" s="465"/>
    </row>
    <row r="37" ht="21" customHeight="1"/>
    <row r="38" ht="24.95" customHeight="1">
      <c r="A38" s="112"/>
      <c r="B38" s="842" t="s">
        <v>45</v>
      </c>
      <c r="C38" s="842"/>
      <c r="D38" s="842"/>
      <c r="E38" s="842"/>
      <c r="F38" s="842"/>
      <c r="G38" s="842"/>
      <c r="H38" s="842"/>
      <c r="I38" s="842"/>
      <c r="J38" s="842"/>
      <c r="K38" s="842"/>
      <c r="L38" s="842"/>
      <c r="M38" s="842"/>
      <c r="N38" s="842"/>
      <c r="O38" s="972"/>
      <c r="P38" s="501"/>
      <c r="Q38" s="836"/>
      <c r="R38" s="836"/>
      <c r="S38" s="836"/>
      <c r="T38" s="836"/>
      <c r="U38" s="836"/>
      <c r="V38" s="836"/>
      <c r="W38" s="836"/>
      <c r="X38" s="836"/>
      <c r="Y38" s="836"/>
      <c r="Z38" s="836"/>
      <c r="AA38" s="836"/>
      <c r="AB38" s="971"/>
      <c r="AC38" s="501"/>
      <c r="AD38" s="836"/>
      <c r="AE38" s="836"/>
      <c r="AF38" s="836"/>
      <c r="AG38" s="971"/>
      <c r="AH38" s="9"/>
    </row>
    <row r="39" ht="20.1" customHeight="1">
      <c r="A39" s="58"/>
      <c r="B39" s="284">
        <v>2023</v>
      </c>
      <c r="C39" s="285"/>
      <c r="D39" s="454">
        <v>47.97848239799675946383856238</v>
      </c>
      <c r="E39" s="455">
        <v>70.84377648275688084966825601</v>
      </c>
      <c r="F39" s="436">
        <v>76.942306712639393657006181468</v>
      </c>
      <c r="G39" s="454"/>
      <c r="H39" s="455"/>
      <c r="I39" s="436"/>
      <c r="J39" s="454"/>
      <c r="K39" s="455"/>
      <c r="L39" s="436"/>
      <c r="M39" s="454"/>
      <c r="N39" s="455"/>
      <c r="O39" s="436"/>
      <c r="P39" s="75"/>
      <c r="Q39" s="460">
        <v>-18.649026893225435154460984110</v>
      </c>
      <c r="R39" s="461">
        <v>-3.7555359863621025940722030200</v>
      </c>
      <c r="S39" s="417">
        <v>4.3407321676971013266389543500</v>
      </c>
      <c r="T39" s="460"/>
      <c r="U39" s="461"/>
      <c r="V39" s="417"/>
      <c r="W39" s="460"/>
      <c r="X39" s="461"/>
      <c r="Y39" s="417"/>
      <c r="Z39" s="460"/>
      <c r="AA39" s="461"/>
      <c r="AB39" s="417"/>
      <c r="AC39" s="75"/>
      <c r="AD39" s="460" t="s">
        <v>181</v>
      </c>
      <c r="AE39" s="461"/>
      <c r="AF39" s="461"/>
      <c r="AG39" s="462"/>
    </row>
    <row r="40" ht="20.1" customHeight="1">
      <c r="A40" s="58"/>
      <c r="B40" s="286">
        <v>2024</v>
      </c>
      <c r="C40" s="287"/>
      <c r="D40" s="437">
        <v>48.596212174628356542687584464</v>
      </c>
      <c r="E40" s="147">
        <v>72.885441894128994544132041676</v>
      </c>
      <c r="F40" s="438">
        <v>80.56861553753921659988196192</v>
      </c>
      <c r="G40" s="437"/>
      <c r="H40" s="147"/>
      <c r="I40" s="438"/>
      <c r="J40" s="437"/>
      <c r="K40" s="147"/>
      <c r="L40" s="438"/>
      <c r="M40" s="437"/>
      <c r="N40" s="147"/>
      <c r="O40" s="438"/>
      <c r="P40" s="75"/>
      <c r="Q40" s="446">
        <v>1.2875142058559710233867336400</v>
      </c>
      <c r="R40" s="148">
        <v>2.8819262787673182048390946600</v>
      </c>
      <c r="S40" s="447">
        <v>4.7130232766278316777145116800</v>
      </c>
      <c r="T40" s="446"/>
      <c r="U40" s="148"/>
      <c r="V40" s="447"/>
      <c r="W40" s="446"/>
      <c r="X40" s="148"/>
      <c r="Y40" s="447"/>
      <c r="Z40" s="446"/>
      <c r="AA40" s="148"/>
      <c r="AB40" s="447"/>
      <c r="AC40" s="75"/>
      <c r="AD40" s="446" t="s">
        <v>182</v>
      </c>
      <c r="AE40" s="148"/>
      <c r="AF40" s="148"/>
      <c r="AG40" s="447"/>
    </row>
    <row r="41" ht="20.1" customHeight="1">
      <c r="A41" s="58"/>
      <c r="B41" s="425">
        <v>2025</v>
      </c>
      <c r="C41" s="426"/>
      <c r="D41" s="457">
        <v>42.111749300338783325968478421</v>
      </c>
      <c r="E41" s="458">
        <v>71.042055299074144150962435985</v>
      </c>
      <c r="F41" s="499">
        <v>83.44979444158082019178812169</v>
      </c>
      <c r="G41" s="457"/>
      <c r="H41" s="458"/>
      <c r="I41" s="499"/>
      <c r="J41" s="457"/>
      <c r="K41" s="458"/>
      <c r="L41" s="499"/>
      <c r="M41" s="457"/>
      <c r="N41" s="458"/>
      <c r="O41" s="499"/>
      <c r="P41" s="453"/>
      <c r="Q41" s="463">
        <v>-13.343556182863321895855095760</v>
      </c>
      <c r="R41" s="464">
        <v>-2.5291560936191237643591652800</v>
      </c>
      <c r="S41" s="500">
        <v>3.5760561167143292266456387500</v>
      </c>
      <c r="T41" s="463"/>
      <c r="U41" s="464"/>
      <c r="V41" s="500"/>
      <c r="W41" s="463"/>
      <c r="X41" s="464"/>
      <c r="Y41" s="500"/>
      <c r="Z41" s="463"/>
      <c r="AA41" s="464"/>
      <c r="AB41" s="500"/>
      <c r="AC41" s="453"/>
      <c r="AD41" s="463" t="s">
        <v>181</v>
      </c>
      <c r="AE41" s="464"/>
      <c r="AF41" s="464"/>
      <c r="AG41" s="465"/>
    </row>
    <row r="42" ht="12.75" customHeight="1"/>
    <row r="43" ht="20.1" customHeight="1">
      <c r="B43" s="167" t="s">
        <v>104</v>
      </c>
    </row>
    <row r="44" ht="14.1" customHeight="1">
      <c r="B44" s="167"/>
      <c r="AW44" s="236"/>
    </row>
    <row r="45" ht="24" customHeight="1">
      <c r="B45" s="816" t="s">
        <v>126</v>
      </c>
      <c r="C45" s="816"/>
      <c r="D45" s="816"/>
      <c r="E45" s="816"/>
      <c r="F45" s="816"/>
      <c r="G45" s="816"/>
      <c r="H45" s="816"/>
      <c r="I45" s="816"/>
      <c r="J45" s="816"/>
      <c r="K45" s="816"/>
      <c r="L45" s="816"/>
      <c r="M45" s="816"/>
      <c r="N45" s="816"/>
      <c r="O45" s="816"/>
      <c r="P45" s="816"/>
      <c r="Q45" s="816"/>
      <c r="R45" s="816"/>
      <c r="S45" s="816"/>
      <c r="T45" s="816"/>
      <c r="U45" s="816"/>
      <c r="V45" s="816"/>
      <c r="W45" s="816"/>
      <c r="X45" s="816"/>
      <c r="Y45" s="816"/>
      <c r="Z45" s="816"/>
      <c r="AA45" s="816"/>
      <c r="AB45" s="816"/>
      <c r="AC45" s="816"/>
      <c r="AD45" s="816"/>
      <c r="AE45" s="816"/>
      <c r="AF45" s="816"/>
      <c r="AG45" s="816"/>
      <c r="AW45" s="236"/>
    </row>
    <row r="46" ht="14.1" customHeight="1">
      <c r="A46"/>
      <c r="AW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sheetData>
  <mergeCells count="24">
    <mergeCell ref="D6:O6"/>
    <mergeCell ref="D7:F7"/>
    <mergeCell ref="G7:I7"/>
    <mergeCell ref="J7:L7"/>
    <mergeCell ref="M7:O7"/>
    <mergeCell ref="B45:AG45"/>
    <mergeCell ref="AD38:AG38"/>
    <mergeCell ref="AD33:AG33"/>
    <mergeCell ref="AD28:AG28"/>
    <mergeCell ref="B28:O28"/>
    <mergeCell ref="B8:C8"/>
    <mergeCell ref="Q7:S7"/>
    <mergeCell ref="Q38:AB38"/>
    <mergeCell ref="Z7:AB7"/>
    <mergeCell ref="T7:V7"/>
    <mergeCell ref="W7:Y7"/>
    <mergeCell ref="B38:O38"/>
    <mergeCell ref="B33:O33"/>
    <mergeCell ref="U3:AG3"/>
    <mergeCell ref="Q6:AB6"/>
    <mergeCell ref="Q28:AB28"/>
    <mergeCell ref="Q33:AB33"/>
    <mergeCell ref="AD6:AG6"/>
    <mergeCell ref="AD7:AG7"/>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6" max="16383" man="1"/>
  </rowBreaks>
  <colBreaks count="1" manualBreakCount="1">
    <brk id="35" max="1048575" man="1"/>
  </colBreaks>
</worksheet>
</file>

<file path=xl/worksheets/sheet2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5">
    <pageSetUpPr fitToPage="1"/>
  </sheetPr>
  <dimension ref="A1:BW153"/>
  <sheetViews>
    <sheetView showGridLines="0" zoomScale="85" workbookViewId="0"/>
  </sheetViews>
  <sheetFormatPr defaultRowHeight="12.75"/>
  <cols>
    <col min="1" max="1" width="1" customWidth="1"/>
    <col min="2" max="2" width="1.28515625" style="33"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133</v>
      </c>
      <c r="D1" s="65"/>
      <c r="E1" s="65"/>
      <c r="AS1" s="236"/>
    </row>
    <row r="2" ht="15" customHeight="1">
      <c r="B2" s="199"/>
      <c r="C2" s="4" t="s">
        <v>170</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199"/>
    </row>
    <row r="3" ht="15" customHeight="1">
      <c r="B3" s="199"/>
      <c r="C3" s="4" t="s">
        <v>171</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199"/>
    </row>
    <row r="4" ht="15" customHeight="1">
      <c r="B4" s="199"/>
      <c r="C4" s="4" t="s">
        <v>200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199"/>
    </row>
    <row r="5" ht="12.75" customHeight="1">
      <c r="C5" s="67"/>
      <c r="D5" s="67"/>
      <c r="E5" s="67"/>
    </row>
    <row r="6" ht="18" customHeight="1">
      <c r="B6" s="68"/>
      <c r="C6" s="68" t="s">
        <v>7</v>
      </c>
      <c r="D6" s="69"/>
      <c r="E6" s="69"/>
      <c r="F6" s="69"/>
      <c r="H6" s="987" t="s">
        <v>202</v>
      </c>
      <c r="I6" s="987"/>
      <c r="J6" s="987"/>
      <c r="K6" s="987"/>
      <c r="L6" s="987"/>
      <c r="M6" s="987"/>
      <c r="N6" s="987"/>
      <c r="O6" s="987"/>
      <c r="P6" s="987"/>
      <c r="Q6" s="987"/>
      <c r="R6" s="987"/>
      <c r="S6" s="987"/>
      <c r="T6" s="987"/>
      <c r="U6" s="987"/>
      <c r="Z6" s="987" t="s">
        <v>203</v>
      </c>
      <c r="AA6" s="987"/>
      <c r="AB6" s="987"/>
      <c r="AC6" s="987"/>
      <c r="AD6" s="987"/>
      <c r="AE6" s="987"/>
      <c r="AF6" s="987"/>
      <c r="AG6" s="987"/>
      <c r="AH6" s="987"/>
      <c r="AI6" s="987"/>
      <c r="AJ6" s="987"/>
      <c r="AK6" s="987"/>
      <c r="AL6" s="987"/>
      <c r="AM6" s="987"/>
    </row>
    <row r="7" ht="15" customHeight="1">
      <c r="D7" s="174" t="s">
        <v>205</v>
      </c>
      <c r="E7" s="71"/>
      <c r="F7" s="71"/>
      <c r="H7" s="909" t="s">
        <v>0</v>
      </c>
      <c r="I7" s="909"/>
      <c r="J7" s="909" t="s">
        <v>1</v>
      </c>
      <c r="K7" s="909"/>
      <c r="L7" s="909" t="s">
        <v>2</v>
      </c>
      <c r="M7" s="909"/>
      <c r="N7" s="909" t="s">
        <v>3</v>
      </c>
      <c r="O7" s="909"/>
      <c r="P7" s="909" t="s">
        <v>4</v>
      </c>
      <c r="Q7" s="909"/>
      <c r="R7" s="909" t="s">
        <v>5</v>
      </c>
      <c r="S7" s="909"/>
      <c r="T7" s="909" t="s">
        <v>6</v>
      </c>
      <c r="U7" s="909"/>
      <c r="Z7" s="909" t="s">
        <v>0</v>
      </c>
      <c r="AA7" s="909"/>
      <c r="AB7" s="909" t="s">
        <v>1</v>
      </c>
      <c r="AC7" s="909"/>
      <c r="AD7" s="909" t="s">
        <v>2</v>
      </c>
      <c r="AE7" s="909"/>
      <c r="AF7" s="909" t="s">
        <v>3</v>
      </c>
      <c r="AG7" s="909"/>
      <c r="AH7" s="909" t="s">
        <v>4</v>
      </c>
      <c r="AI7" s="909"/>
      <c r="AJ7" s="909" t="s">
        <v>5</v>
      </c>
      <c r="AK7" s="909"/>
      <c r="AL7" s="909" t="s">
        <v>6</v>
      </c>
      <c r="AM7" s="909"/>
    </row>
    <row r="8" ht="15" customHeight="1">
      <c r="D8" s="175" t="s">
        <v>207</v>
      </c>
      <c r="E8" s="71"/>
      <c r="F8" s="71"/>
      <c r="G8" s="71"/>
      <c r="H8" s="910">
        <v>1</v>
      </c>
      <c r="I8" s="910"/>
      <c r="J8" s="906">
        <v>2</v>
      </c>
      <c r="K8" s="906"/>
      <c r="L8" s="906">
        <v>3</v>
      </c>
      <c r="M8" s="906"/>
      <c r="N8" s="906">
        <v>4</v>
      </c>
      <c r="O8" s="906"/>
      <c r="P8" s="906">
        <v>5</v>
      </c>
      <c r="Q8" s="906"/>
      <c r="R8" s="906">
        <v>6</v>
      </c>
      <c r="S8" s="906"/>
      <c r="T8" s="906">
        <v>7</v>
      </c>
      <c r="U8" s="907"/>
      <c r="Z8" s="910"/>
      <c r="AA8" s="910"/>
      <c r="AB8" s="906"/>
      <c r="AC8" s="906"/>
      <c r="AD8" s="906"/>
      <c r="AE8" s="906"/>
      <c r="AF8" s="906"/>
      <c r="AG8" s="906"/>
      <c r="AH8" s="906"/>
      <c r="AI8" s="906"/>
      <c r="AJ8" s="906"/>
      <c r="AK8" s="906"/>
      <c r="AL8" s="906">
        <v>1</v>
      </c>
      <c r="AM8" s="907"/>
    </row>
    <row r="9" ht="15" customHeight="1">
      <c r="D9" s="175"/>
      <c r="H9" s="905">
        <v>8</v>
      </c>
      <c r="I9" s="905"/>
      <c r="J9" s="898">
        <v>9</v>
      </c>
      <c r="K9" s="898"/>
      <c r="L9" s="898">
        <v>10</v>
      </c>
      <c r="M9" s="898"/>
      <c r="N9" s="898">
        <v>11</v>
      </c>
      <c r="O9" s="898"/>
      <c r="P9" s="898">
        <v>12</v>
      </c>
      <c r="Q9" s="898"/>
      <c r="R9" s="898">
        <v>13</v>
      </c>
      <c r="S9" s="898"/>
      <c r="T9" s="898">
        <v>14</v>
      </c>
      <c r="U9" s="902"/>
      <c r="Z9" s="905">
        <v>2</v>
      </c>
      <c r="AA9" s="905"/>
      <c r="AB9" s="898">
        <v>3</v>
      </c>
      <c r="AC9" s="898"/>
      <c r="AD9" s="898">
        <v>4</v>
      </c>
      <c r="AE9" s="898"/>
      <c r="AF9" s="898">
        <v>5</v>
      </c>
      <c r="AG9" s="898"/>
      <c r="AH9" s="898">
        <v>6</v>
      </c>
      <c r="AI9" s="898"/>
      <c r="AJ9" s="898">
        <v>7</v>
      </c>
      <c r="AK9" s="898"/>
      <c r="AL9" s="898">
        <v>8</v>
      </c>
      <c r="AM9" s="902"/>
    </row>
    <row r="10" ht="15" customHeight="1">
      <c r="H10" s="899">
        <v>15</v>
      </c>
      <c r="I10" s="899"/>
      <c r="J10" s="900">
        <v>16</v>
      </c>
      <c r="K10" s="900"/>
      <c r="L10" s="900">
        <v>17</v>
      </c>
      <c r="M10" s="900"/>
      <c r="N10" s="900">
        <v>18</v>
      </c>
      <c r="O10" s="900"/>
      <c r="P10" s="900">
        <v>19</v>
      </c>
      <c r="Q10" s="900"/>
      <c r="R10" s="900">
        <v>20</v>
      </c>
      <c r="S10" s="900"/>
      <c r="T10" s="900">
        <v>21</v>
      </c>
      <c r="U10" s="903"/>
      <c r="Z10" s="899">
        <v>9</v>
      </c>
      <c r="AA10" s="899"/>
      <c r="AB10" s="900">
        <v>10</v>
      </c>
      <c r="AC10" s="900"/>
      <c r="AD10" s="900">
        <v>11</v>
      </c>
      <c r="AE10" s="900"/>
      <c r="AF10" s="900">
        <v>12</v>
      </c>
      <c r="AG10" s="900"/>
      <c r="AH10" s="900">
        <v>13</v>
      </c>
      <c r="AI10" s="900"/>
      <c r="AJ10" s="900">
        <v>14</v>
      </c>
      <c r="AK10" s="900"/>
      <c r="AL10" s="900">
        <v>15</v>
      </c>
      <c r="AM10" s="903"/>
    </row>
    <row r="11" ht="15" customHeight="1">
      <c r="H11" s="905">
        <v>22</v>
      </c>
      <c r="I11" s="905"/>
      <c r="J11" s="898">
        <v>23</v>
      </c>
      <c r="K11" s="898"/>
      <c r="L11" s="898">
        <v>24</v>
      </c>
      <c r="M11" s="898"/>
      <c r="N11" s="898">
        <v>25</v>
      </c>
      <c r="O11" s="898"/>
      <c r="P11" s="898">
        <v>26</v>
      </c>
      <c r="Q11" s="898"/>
      <c r="R11" s="898">
        <v>27</v>
      </c>
      <c r="S11" s="898"/>
      <c r="T11" s="898">
        <v>28</v>
      </c>
      <c r="U11" s="902"/>
      <c r="Z11" s="905">
        <v>16</v>
      </c>
      <c r="AA11" s="905"/>
      <c r="AB11" s="898">
        <v>17</v>
      </c>
      <c r="AC11" s="898"/>
      <c r="AD11" s="898">
        <v>18</v>
      </c>
      <c r="AE11" s="898"/>
      <c r="AF11" s="898">
        <v>19</v>
      </c>
      <c r="AG11" s="898"/>
      <c r="AH11" s="898">
        <v>20</v>
      </c>
      <c r="AI11" s="898"/>
      <c r="AJ11" s="898">
        <v>21</v>
      </c>
      <c r="AK11" s="898"/>
      <c r="AL11" s="898">
        <v>22</v>
      </c>
      <c r="AM11" s="902"/>
      <c r="AN11" t="s">
        <v>27</v>
      </c>
    </row>
    <row r="12" ht="15" customHeight="1">
      <c r="A12" s="68"/>
      <c r="H12" s="899">
        <v>29</v>
      </c>
      <c r="I12" s="899"/>
      <c r="J12" s="900">
        <v>30</v>
      </c>
      <c r="K12" s="900"/>
      <c r="L12" s="900"/>
      <c r="M12" s="900"/>
      <c r="N12" s="900"/>
      <c r="O12" s="900"/>
      <c r="P12" s="900"/>
      <c r="Q12" s="900"/>
      <c r="R12" s="900"/>
      <c r="S12" s="900"/>
      <c r="T12" s="900"/>
      <c r="U12" s="903"/>
      <c r="Z12" s="899">
        <v>23</v>
      </c>
      <c r="AA12" s="899"/>
      <c r="AB12" s="900">
        <v>24</v>
      </c>
      <c r="AC12" s="900"/>
      <c r="AD12" s="900">
        <v>25</v>
      </c>
      <c r="AE12" s="900"/>
      <c r="AF12" s="900">
        <v>26</v>
      </c>
      <c r="AG12" s="900"/>
      <c r="AH12" s="900">
        <v>27</v>
      </c>
      <c r="AI12" s="900"/>
      <c r="AJ12" s="900">
        <v>28</v>
      </c>
      <c r="AK12" s="900"/>
      <c r="AL12" s="900">
        <v>29</v>
      </c>
      <c r="AM12" s="903"/>
    </row>
    <row r="13" ht="15" customHeight="1">
      <c r="C13" s="72"/>
      <c r="D13" s="73"/>
      <c r="E13" s="73"/>
      <c r="F13" s="73"/>
      <c r="G13" s="73"/>
      <c r="H13" s="904" t="s">
        <v>27</v>
      </c>
      <c r="I13" s="904"/>
      <c r="J13" s="901" t="s">
        <v>27</v>
      </c>
      <c r="K13" s="901"/>
      <c r="L13" s="901" t="s">
        <v>27</v>
      </c>
      <c r="M13" s="901"/>
      <c r="N13" s="901" t="s">
        <v>27</v>
      </c>
      <c r="O13" s="901"/>
      <c r="P13" s="901" t="s">
        <v>27</v>
      </c>
      <c r="Q13" s="901"/>
      <c r="R13" s="901" t="s">
        <v>27</v>
      </c>
      <c r="S13" s="901"/>
      <c r="T13" s="901" t="s">
        <v>27</v>
      </c>
      <c r="U13" s="911"/>
      <c r="Z13" s="904" t="n">
        <v>30</v>
      </c>
      <c r="AA13" s="904"/>
      <c r="AB13" s="901" t="s">
        <v>27</v>
      </c>
      <c r="AC13" s="901"/>
      <c r="AD13" s="901" t="s">
        <v>27</v>
      </c>
      <c r="AE13" s="901"/>
      <c r="AF13" s="901" t="s">
        <v>27</v>
      </c>
      <c r="AG13" s="901"/>
      <c r="AH13" s="901" t="s">
        <v>27</v>
      </c>
      <c r="AI13" s="901"/>
      <c r="AJ13" s="901" t="s">
        <v>27</v>
      </c>
      <c r="AK13" s="901"/>
      <c r="AL13" s="901" t="s">
        <v>27</v>
      </c>
      <c r="AM13" s="911"/>
    </row>
    <row r="14" ht="15" customHeight="1">
      <c r="A14" s="68"/>
      <c r="C14" s="68" t="s">
        <v>8</v>
      </c>
      <c r="F14" s="64"/>
    </row>
    <row r="15" ht="15" customHeight="1">
      <c r="D15" s="70" t="s">
        <v>209</v>
      </c>
      <c r="F15" s="64"/>
      <c r="P15" s="234"/>
      <c r="Q15" s="234"/>
      <c r="R15" s="234"/>
      <c r="S15" s="234"/>
      <c r="T15" s="234"/>
      <c r="U15" s="234"/>
      <c r="V15" s="234"/>
      <c r="W15" s="47"/>
      <c r="X15" s="234"/>
      <c r="Y15" s="234"/>
      <c r="Z15" s="234"/>
      <c r="AA15" s="234"/>
      <c r="AB15" s="234"/>
      <c r="AC15" s="234"/>
      <c r="AD15" s="234"/>
      <c r="AE15" s="47"/>
      <c r="AF15" s="234"/>
      <c r="AG15" s="234"/>
      <c r="AH15" s="234"/>
      <c r="AI15" s="234"/>
      <c r="AJ15" s="234"/>
      <c r="AK15" s="234"/>
      <c r="AL15" s="234"/>
      <c r="AM15" s="47"/>
      <c r="AN15" s="47"/>
    </row>
    <row r="16" ht="15" customHeight="1">
      <c r="C16" s="70"/>
      <c r="D16" s="73" t="s">
        <v>211</v>
      </c>
      <c r="F16" s="64"/>
      <c r="P16" s="21"/>
      <c r="Q16" s="21"/>
      <c r="R16" s="21"/>
      <c r="S16" s="21"/>
      <c r="T16" s="21"/>
      <c r="U16" s="21"/>
      <c r="V16" s="21"/>
      <c r="W16" s="47"/>
      <c r="X16" s="21"/>
      <c r="Y16" s="21"/>
      <c r="Z16" s="21"/>
      <c r="AA16" s="21"/>
      <c r="AB16" s="21"/>
      <c r="AC16" s="21"/>
      <c r="AD16" s="21"/>
      <c r="AE16" s="47"/>
      <c r="AF16" s="21"/>
      <c r="AG16" s="21"/>
      <c r="AH16" s="21"/>
      <c r="AI16" s="21"/>
      <c r="AJ16" s="21"/>
      <c r="AK16" s="21"/>
      <c r="AL16" s="21"/>
      <c r="AM16" s="47"/>
      <c r="AN16" s="47"/>
    </row>
    <row r="17" ht="15" customHeight="1">
      <c r="C17" s="70"/>
      <c r="D17" s="73"/>
      <c r="F17" s="64"/>
      <c r="P17" s="21"/>
      <c r="Q17" s="21"/>
      <c r="R17" s="21"/>
      <c r="S17" s="21"/>
      <c r="T17" s="21"/>
      <c r="U17" s="21"/>
      <c r="V17" s="21"/>
      <c r="W17" s="47"/>
      <c r="X17" s="21"/>
      <c r="Y17" s="21"/>
      <c r="Z17" s="21"/>
      <c r="AA17" s="21"/>
      <c r="AB17" s="21"/>
      <c r="AC17" s="21"/>
      <c r="AD17" s="21"/>
      <c r="AE17" s="47"/>
      <c r="AF17" s="21"/>
      <c r="AG17" s="21"/>
      <c r="AH17" s="21"/>
      <c r="AI17" s="21"/>
      <c r="AJ17" s="21"/>
      <c r="AK17" s="21"/>
      <c r="AL17" s="21"/>
      <c r="AM17" s="47"/>
      <c r="AN17" s="47"/>
    </row>
    <row r="18" ht="15" customHeight="1">
      <c r="C18" s="70"/>
      <c r="D18" s="71"/>
      <c r="F18" s="64"/>
      <c r="P18" s="21"/>
      <c r="Q18" s="21"/>
      <c r="R18" s="21"/>
      <c r="S18" s="21"/>
      <c r="T18" s="21"/>
      <c r="U18" s="21"/>
      <c r="V18" s="21"/>
      <c r="W18" s="47"/>
      <c r="X18" s="21"/>
      <c r="Y18" s="21"/>
      <c r="Z18" s="21"/>
      <c r="AA18" s="21"/>
      <c r="AB18" s="21"/>
      <c r="AC18" s="21"/>
      <c r="AD18" s="21"/>
      <c r="AE18" s="47"/>
      <c r="AF18" s="21"/>
      <c r="AG18" s="21"/>
      <c r="AH18" s="21"/>
      <c r="AI18" s="21"/>
      <c r="AJ18" s="21"/>
      <c r="AK18" s="21"/>
      <c r="AL18" s="21"/>
      <c r="AM18" s="47"/>
      <c r="AN18" s="47"/>
    </row>
    <row r="19" ht="15" customHeight="1">
      <c r="C19" s="74"/>
      <c r="D19" s="71"/>
      <c r="F19" s="64"/>
      <c r="P19" s="21"/>
      <c r="Q19" s="21"/>
      <c r="R19" s="21"/>
      <c r="S19" s="21"/>
      <c r="T19" s="21"/>
      <c r="U19" s="21"/>
      <c r="V19" s="21"/>
      <c r="W19" s="47"/>
      <c r="X19" s="21"/>
      <c r="Y19" s="21"/>
      <c r="Z19" s="21"/>
      <c r="AA19" s="21"/>
      <c r="AB19" s="21"/>
      <c r="AC19" s="21"/>
      <c r="AD19" s="21"/>
      <c r="AE19" s="47"/>
      <c r="AF19" s="21"/>
      <c r="AG19" s="21"/>
      <c r="AH19" s="21"/>
      <c r="AI19" s="21"/>
      <c r="AJ19" s="21"/>
      <c r="AK19" s="21"/>
      <c r="AL19" s="21"/>
      <c r="AM19" s="47"/>
      <c r="AN19" s="47"/>
    </row>
    <row r="20" ht="15" customHeight="1">
      <c r="C20" s="74"/>
      <c r="D20" s="71"/>
      <c r="F20" s="64"/>
      <c r="P20" s="21"/>
      <c r="Q20" s="21"/>
      <c r="R20" s="21"/>
      <c r="S20" s="21"/>
      <c r="T20" s="21"/>
      <c r="U20" s="21"/>
      <c r="V20" s="21"/>
      <c r="W20" s="47"/>
      <c r="X20" s="21"/>
      <c r="Y20" s="21"/>
      <c r="Z20" s="21"/>
      <c r="AA20" s="21"/>
      <c r="AB20" s="21"/>
      <c r="AC20" s="21"/>
      <c r="AD20" s="21"/>
      <c r="AE20" s="47"/>
      <c r="AF20" s="21"/>
      <c r="AG20" s="21"/>
      <c r="AH20" s="21"/>
      <c r="AI20" s="21"/>
      <c r="AJ20" s="21"/>
      <c r="AK20" s="21"/>
      <c r="AL20" s="21"/>
      <c r="AM20" s="47"/>
      <c r="AN20" s="47"/>
    </row>
    <row r="21" ht="30" customHeight="1">
      <c r="R21" s="993">
        <v>2023</v>
      </c>
      <c r="S21" s="993"/>
      <c r="T21" s="993"/>
      <c r="U21" s="993"/>
      <c r="V21" s="993"/>
      <c r="W21" s="993"/>
      <c r="X21" s="995">
        <v>2024</v>
      </c>
      <c r="Y21" s="995"/>
      <c r="Z21" s="995"/>
      <c r="AA21" s="995"/>
      <c r="AB21" s="995"/>
      <c r="AC21" s="995"/>
      <c r="AD21" s="995"/>
      <c r="AE21" s="995"/>
      <c r="AF21" s="995"/>
      <c r="AG21" s="995"/>
      <c r="AH21" s="995"/>
      <c r="AI21" s="995"/>
      <c r="AJ21" s="995">
        <v>2025</v>
      </c>
      <c r="AK21" s="995"/>
      <c r="AL21" s="995"/>
      <c r="AM21" s="995"/>
      <c r="AN21" s="995"/>
      <c r="AO21" s="995"/>
    </row>
    <row r="22" s="5" customFormat="1" ht="30" customHeight="1">
      <c r="B22" s="76"/>
      <c r="C22" s="77" t="s">
        <v>71</v>
      </c>
      <c r="D22" s="77" t="s">
        <v>21</v>
      </c>
      <c r="E22" s="177" t="s">
        <v>201</v>
      </c>
      <c r="F22" s="158" t="s">
        <v>60</v>
      </c>
      <c r="G22" s="158" t="s">
        <v>61</v>
      </c>
      <c r="H22" s="914" t="s">
        <v>34</v>
      </c>
      <c r="I22" s="914"/>
      <c r="J22" s="914"/>
      <c r="K22" s="914"/>
      <c r="L22" s="914" t="s">
        <v>62</v>
      </c>
      <c r="M22" s="914"/>
      <c r="N22" s="914"/>
      <c r="O22" s="914"/>
      <c r="R22" s="617" t="s">
        <v>190</v>
      </c>
      <c r="S22" s="618" t="s">
        <v>191</v>
      </c>
      <c r="T22" s="618" t="s">
        <v>192</v>
      </c>
      <c r="U22" s="618" t="s">
        <v>193</v>
      </c>
      <c r="V22" s="618" t="s">
        <v>194</v>
      </c>
      <c r="W22" s="1015" t="s">
        <v>196</v>
      </c>
      <c r="X22" s="618" t="s">
        <v>180</v>
      </c>
      <c r="Y22" s="618" t="s">
        <v>183</v>
      </c>
      <c r="Z22" s="618" t="s">
        <v>186</v>
      </c>
      <c r="AA22" s="618" t="s">
        <v>187</v>
      </c>
      <c r="AB22" s="618" t="s">
        <v>188</v>
      </c>
      <c r="AC22" s="618" t="s">
        <v>189</v>
      </c>
      <c r="AD22" s="618" t="s">
        <v>190</v>
      </c>
      <c r="AE22" s="618" t="s">
        <v>191</v>
      </c>
      <c r="AF22" s="618" t="s">
        <v>192</v>
      </c>
      <c r="AG22" s="618" t="s">
        <v>193</v>
      </c>
      <c r="AH22" s="618" t="s">
        <v>194</v>
      </c>
      <c r="AI22" s="1015" t="s">
        <v>196</v>
      </c>
      <c r="AJ22" s="618" t="s">
        <v>180</v>
      </c>
      <c r="AK22" s="618" t="s">
        <v>183</v>
      </c>
      <c r="AL22" s="618" t="s">
        <v>186</v>
      </c>
      <c r="AM22" s="618" t="s">
        <v>187</v>
      </c>
      <c r="AN22" s="618" t="s">
        <v>188</v>
      </c>
      <c r="AO22" s="1015" t="s">
        <v>189</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33"/>
      <c r="C23" s="1016">
        <v>60180</v>
      </c>
      <c r="D23" s="1016" t="s">
        <v>175</v>
      </c>
      <c r="E23" s="1016" t="s">
        <v>212</v>
      </c>
      <c r="F23" s="1017" t="s">
        <v>213</v>
      </c>
      <c r="G23" s="1016" t="s">
        <v>214</v>
      </c>
      <c r="H23" s="1018" t="s">
        <v>215</v>
      </c>
      <c r="I23" s="1018"/>
      <c r="J23" s="1018"/>
      <c r="K23" s="1018"/>
      <c r="L23" s="1018" t="s">
        <v>216</v>
      </c>
      <c r="M23" s="1018"/>
      <c r="N23" s="1018"/>
      <c r="O23" s="1018"/>
      <c r="P23" s="80"/>
      <c r="Q23" s="90"/>
      <c r="R23" s="1019" t="s">
        <v>217</v>
      </c>
      <c r="S23" s="1020" t="s">
        <v>217</v>
      </c>
      <c r="T23" s="1020" t="s">
        <v>217</v>
      </c>
      <c r="U23" s="1020" t="s">
        <v>217</v>
      </c>
      <c r="V23" s="1020" t="s">
        <v>217</v>
      </c>
      <c r="W23" s="1020" t="s">
        <v>217</v>
      </c>
      <c r="X23" s="1020" t="s">
        <v>217</v>
      </c>
      <c r="Y23" s="1020" t="s">
        <v>217</v>
      </c>
      <c r="Z23" s="1020" t="s">
        <v>217</v>
      </c>
      <c r="AA23" s="1020" t="s">
        <v>217</v>
      </c>
      <c r="AB23" s="1020" t="s">
        <v>217</v>
      </c>
      <c r="AC23" s="1020" t="s">
        <v>217</v>
      </c>
      <c r="AD23" s="1020" t="s">
        <v>217</v>
      </c>
      <c r="AE23" s="1020" t="s">
        <v>217</v>
      </c>
      <c r="AF23" s="1020" t="s">
        <v>217</v>
      </c>
      <c r="AG23" s="1020" t="s">
        <v>217</v>
      </c>
      <c r="AH23" s="1020" t="s">
        <v>217</v>
      </c>
      <c r="AI23" s="1020" t="s">
        <v>217</v>
      </c>
      <c r="AJ23" s="1020" t="s">
        <v>217</v>
      </c>
      <c r="AK23" s="1020" t="s">
        <v>217</v>
      </c>
      <c r="AL23" s="1020" t="s">
        <v>217</v>
      </c>
      <c r="AM23" s="1020" t="s">
        <v>217</v>
      </c>
      <c r="AN23" s="1020" t="s">
        <v>217</v>
      </c>
      <c r="AO23" s="1021" t="s">
        <v>217</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33"/>
      <c r="C24" s="1022">
        <v>7790</v>
      </c>
      <c r="D24" s="1022" t="s">
        <v>218</v>
      </c>
      <c r="E24" s="1022" t="s">
        <v>212</v>
      </c>
      <c r="F24" s="1023" t="s">
        <v>219</v>
      </c>
      <c r="G24" s="1022" t="s">
        <v>220</v>
      </c>
      <c r="H24" s="1024" t="s">
        <v>221</v>
      </c>
      <c r="I24" s="1024"/>
      <c r="J24" s="1024"/>
      <c r="K24" s="1024"/>
      <c r="L24" s="1024" t="s">
        <v>222</v>
      </c>
      <c r="M24" s="1024"/>
      <c r="N24" s="1024"/>
      <c r="O24" s="1024"/>
      <c r="P24" s="80"/>
      <c r="Q24" s="90"/>
      <c r="R24" s="1025" t="s">
        <v>217</v>
      </c>
      <c r="S24" s="1026" t="s">
        <v>217</v>
      </c>
      <c r="T24" s="1026" t="s">
        <v>217</v>
      </c>
      <c r="U24" s="1026" t="s">
        <v>217</v>
      </c>
      <c r="V24" s="1026" t="s">
        <v>217</v>
      </c>
      <c r="W24" s="1026" t="s">
        <v>217</v>
      </c>
      <c r="X24" s="1026" t="s">
        <v>217</v>
      </c>
      <c r="Y24" s="1026" t="s">
        <v>217</v>
      </c>
      <c r="Z24" s="1026" t="s">
        <v>217</v>
      </c>
      <c r="AA24" s="1026" t="s">
        <v>217</v>
      </c>
      <c r="AB24" s="1026" t="s">
        <v>217</v>
      </c>
      <c r="AC24" s="1026" t="s">
        <v>217</v>
      </c>
      <c r="AD24" s="1026" t="s">
        <v>217</v>
      </c>
      <c r="AE24" s="1026" t="s">
        <v>217</v>
      </c>
      <c r="AF24" s="1026" t="s">
        <v>217</v>
      </c>
      <c r="AG24" s="1026" t="s">
        <v>217</v>
      </c>
      <c r="AH24" s="1026" t="s">
        <v>217</v>
      </c>
      <c r="AI24" s="1026" t="s">
        <v>217</v>
      </c>
      <c r="AJ24" s="1026" t="s">
        <v>217</v>
      </c>
      <c r="AK24" s="1026" t="s">
        <v>217</v>
      </c>
      <c r="AL24" s="1026" t="s">
        <v>217</v>
      </c>
      <c r="AM24" s="1026" t="s">
        <v>217</v>
      </c>
      <c r="AN24" s="1026" t="s">
        <v>217</v>
      </c>
      <c r="AO24" s="1027" t="s">
        <v>217</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33"/>
      <c r="C25" s="1016">
        <v>27821</v>
      </c>
      <c r="D25" s="1016" t="s">
        <v>223</v>
      </c>
      <c r="E25" s="1016" t="s">
        <v>212</v>
      </c>
      <c r="F25" s="1017" t="s">
        <v>224</v>
      </c>
      <c r="G25" s="1016" t="s">
        <v>225</v>
      </c>
      <c r="H25" s="1018" t="s">
        <v>226</v>
      </c>
      <c r="I25" s="1018"/>
      <c r="J25" s="1018"/>
      <c r="K25" s="1018"/>
      <c r="L25" s="1018" t="s">
        <v>227</v>
      </c>
      <c r="M25" s="1018"/>
      <c r="N25" s="1018"/>
      <c r="O25" s="1018"/>
      <c r="P25" s="80"/>
      <c r="Q25" s="90"/>
      <c r="R25" s="1019" t="s">
        <v>217</v>
      </c>
      <c r="S25" s="1020" t="s">
        <v>217</v>
      </c>
      <c r="T25" s="1020" t="s">
        <v>217</v>
      </c>
      <c r="U25" s="1020" t="s">
        <v>217</v>
      </c>
      <c r="V25" s="1020" t="s">
        <v>217</v>
      </c>
      <c r="W25" s="1020" t="s">
        <v>217</v>
      </c>
      <c r="X25" s="1020" t="s">
        <v>217</v>
      </c>
      <c r="Y25" s="1020" t="s">
        <v>217</v>
      </c>
      <c r="Z25" s="1020" t="s">
        <v>217</v>
      </c>
      <c r="AA25" s="1020" t="s">
        <v>217</v>
      </c>
      <c r="AB25" s="1020" t="s">
        <v>217</v>
      </c>
      <c r="AC25" s="1020" t="s">
        <v>217</v>
      </c>
      <c r="AD25" s="1020" t="s">
        <v>217</v>
      </c>
      <c r="AE25" s="1020" t="s">
        <v>217</v>
      </c>
      <c r="AF25" s="1020" t="s">
        <v>217</v>
      </c>
      <c r="AG25" s="1020" t="s">
        <v>217</v>
      </c>
      <c r="AH25" s="1020" t="s">
        <v>217</v>
      </c>
      <c r="AI25" s="1020" t="s">
        <v>217</v>
      </c>
      <c r="AJ25" s="1020" t="s">
        <v>217</v>
      </c>
      <c r="AK25" s="1020" t="s">
        <v>217</v>
      </c>
      <c r="AL25" s="1020" t="s">
        <v>217</v>
      </c>
      <c r="AM25" s="1020" t="s">
        <v>217</v>
      </c>
      <c r="AN25" s="1020" t="s">
        <v>217</v>
      </c>
      <c r="AO25" s="1021" t="s">
        <v>217</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33"/>
      <c r="C26" s="1022">
        <v>31502</v>
      </c>
      <c r="D26" s="1022" t="s">
        <v>228</v>
      </c>
      <c r="E26" s="1022" t="s">
        <v>212</v>
      </c>
      <c r="F26" s="1023" t="s">
        <v>219</v>
      </c>
      <c r="G26" s="1022" t="s">
        <v>229</v>
      </c>
      <c r="H26" s="1024" t="s">
        <v>230</v>
      </c>
      <c r="I26" s="1024"/>
      <c r="J26" s="1024"/>
      <c r="K26" s="1024"/>
      <c r="L26" s="1024" t="s">
        <v>231</v>
      </c>
      <c r="M26" s="1024"/>
      <c r="N26" s="1024"/>
      <c r="O26" s="1024"/>
      <c r="P26" s="80"/>
      <c r="Q26" s="90"/>
      <c r="R26" s="1025" t="s">
        <v>217</v>
      </c>
      <c r="S26" s="1026" t="s">
        <v>217</v>
      </c>
      <c r="T26" s="1026" t="s">
        <v>217</v>
      </c>
      <c r="U26" s="1026" t="s">
        <v>217</v>
      </c>
      <c r="V26" s="1026" t="s">
        <v>217</v>
      </c>
      <c r="W26" s="1026" t="s">
        <v>217</v>
      </c>
      <c r="X26" s="1026" t="s">
        <v>217</v>
      </c>
      <c r="Y26" s="1026" t="s">
        <v>217</v>
      </c>
      <c r="Z26" s="1026" t="s">
        <v>217</v>
      </c>
      <c r="AA26" s="1026" t="s">
        <v>217</v>
      </c>
      <c r="AB26" s="1026" t="s">
        <v>217</v>
      </c>
      <c r="AC26" s="1026" t="s">
        <v>217</v>
      </c>
      <c r="AD26" s="1026" t="s">
        <v>217</v>
      </c>
      <c r="AE26" s="1026" t="s">
        <v>217</v>
      </c>
      <c r="AF26" s="1026" t="s">
        <v>217</v>
      </c>
      <c r="AG26" s="1026" t="s">
        <v>217</v>
      </c>
      <c r="AH26" s="1026" t="s">
        <v>217</v>
      </c>
      <c r="AI26" s="1026" t="s">
        <v>217</v>
      </c>
      <c r="AJ26" s="1026" t="s">
        <v>217</v>
      </c>
      <c r="AK26" s="1026" t="s">
        <v>217</v>
      </c>
      <c r="AL26" s="1026" t="s">
        <v>217</v>
      </c>
      <c r="AM26" s="1026" t="s">
        <v>217</v>
      </c>
      <c r="AN26" s="1026" t="s">
        <v>217</v>
      </c>
      <c r="AO26" s="1027" t="s">
        <v>217</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33"/>
      <c r="C27" s="1016">
        <v>33288</v>
      </c>
      <c r="D27" s="1016" t="s">
        <v>232</v>
      </c>
      <c r="E27" s="1016" t="s">
        <v>212</v>
      </c>
      <c r="F27" s="1017" t="s">
        <v>224</v>
      </c>
      <c r="G27" s="1016" t="s">
        <v>233</v>
      </c>
      <c r="H27" s="1018" t="s">
        <v>234</v>
      </c>
      <c r="I27" s="1018"/>
      <c r="J27" s="1018"/>
      <c r="K27" s="1018"/>
      <c r="L27" s="1018" t="s">
        <v>235</v>
      </c>
      <c r="M27" s="1018"/>
      <c r="N27" s="1018"/>
      <c r="O27" s="1018"/>
      <c r="P27" s="80"/>
      <c r="Q27" s="90"/>
      <c r="R27" s="1019" t="s">
        <v>217</v>
      </c>
      <c r="S27" s="1020" t="s">
        <v>217</v>
      </c>
      <c r="T27" s="1020" t="s">
        <v>217</v>
      </c>
      <c r="U27" s="1020" t="s">
        <v>217</v>
      </c>
      <c r="V27" s="1020" t="s">
        <v>217</v>
      </c>
      <c r="W27" s="1020" t="s">
        <v>217</v>
      </c>
      <c r="X27" s="1020" t="s">
        <v>217</v>
      </c>
      <c r="Y27" s="1020" t="s">
        <v>217</v>
      </c>
      <c r="Z27" s="1020" t="s">
        <v>217</v>
      </c>
      <c r="AA27" s="1020" t="s">
        <v>217</v>
      </c>
      <c r="AB27" s="1020" t="s">
        <v>217</v>
      </c>
      <c r="AC27" s="1020" t="s">
        <v>217</v>
      </c>
      <c r="AD27" s="1020" t="s">
        <v>217</v>
      </c>
      <c r="AE27" s="1020" t="s">
        <v>217</v>
      </c>
      <c r="AF27" s="1020" t="s">
        <v>217</v>
      </c>
      <c r="AG27" s="1020" t="s">
        <v>217</v>
      </c>
      <c r="AH27" s="1020" t="s">
        <v>217</v>
      </c>
      <c r="AI27" s="1020" t="s">
        <v>217</v>
      </c>
      <c r="AJ27" s="1020" t="s">
        <v>217</v>
      </c>
      <c r="AK27" s="1020" t="s">
        <v>217</v>
      </c>
      <c r="AL27" s="1020" t="s">
        <v>217</v>
      </c>
      <c r="AM27" s="1020" t="s">
        <v>217</v>
      </c>
      <c r="AN27" s="1020" t="s">
        <v>217</v>
      </c>
      <c r="AO27" s="1021" t="s">
        <v>217</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33"/>
      <c r="C28" s="1022">
        <v>57305</v>
      </c>
      <c r="D28" s="1022" t="s">
        <v>236</v>
      </c>
      <c r="E28" s="1022" t="s">
        <v>237</v>
      </c>
      <c r="F28" s="1023" t="s">
        <v>238</v>
      </c>
      <c r="G28" s="1022" t="s">
        <v>239</v>
      </c>
      <c r="H28" s="1024" t="s">
        <v>240</v>
      </c>
      <c r="I28" s="1024"/>
      <c r="J28" s="1024"/>
      <c r="K28" s="1024"/>
      <c r="L28" s="1024" t="s">
        <v>241</v>
      </c>
      <c r="M28" s="1024"/>
      <c r="N28" s="1024"/>
      <c r="O28" s="1024"/>
      <c r="P28" s="80"/>
      <c r="Q28" s="90"/>
      <c r="R28" s="1025" t="s">
        <v>217</v>
      </c>
      <c r="S28" s="1026" t="s">
        <v>217</v>
      </c>
      <c r="T28" s="1026" t="s">
        <v>217</v>
      </c>
      <c r="U28" s="1026" t="s">
        <v>217</v>
      </c>
      <c r="V28" s="1026" t="s">
        <v>217</v>
      </c>
      <c r="W28" s="1026" t="s">
        <v>217</v>
      </c>
      <c r="X28" s="1026" t="s">
        <v>217</v>
      </c>
      <c r="Y28" s="1026" t="s">
        <v>217</v>
      </c>
      <c r="Z28" s="1026" t="s">
        <v>217</v>
      </c>
      <c r="AA28" s="1026" t="s">
        <v>217</v>
      </c>
      <c r="AB28" s="1026" t="s">
        <v>217</v>
      </c>
      <c r="AC28" s="1026" t="s">
        <v>217</v>
      </c>
      <c r="AD28" s="1026" t="s">
        <v>217</v>
      </c>
      <c r="AE28" s="1026" t="s">
        <v>217</v>
      </c>
      <c r="AF28" s="1026" t="s">
        <v>217</v>
      </c>
      <c r="AG28" s="1026" t="s">
        <v>217</v>
      </c>
      <c r="AH28" s="1026" t="s">
        <v>217</v>
      </c>
      <c r="AI28" s="1026" t="s">
        <v>217</v>
      </c>
      <c r="AJ28" s="1026" t="s">
        <v>217</v>
      </c>
      <c r="AK28" s="1026" t="s">
        <v>217</v>
      </c>
      <c r="AL28" s="1026" t="s">
        <v>217</v>
      </c>
      <c r="AM28" s="1026" t="s">
        <v>217</v>
      </c>
      <c r="AN28" s="1026" t="s">
        <v>217</v>
      </c>
      <c r="AO28" s="1027" t="s">
        <v>217</v>
      </c>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33"/>
      <c r="C29" s="1016">
        <v>58062</v>
      </c>
      <c r="D29" s="1016" t="s">
        <v>242</v>
      </c>
      <c r="E29" s="1016" t="s">
        <v>237</v>
      </c>
      <c r="F29" s="1016" t="s">
        <v>243</v>
      </c>
      <c r="G29" s="1016" t="s">
        <v>244</v>
      </c>
      <c r="H29" s="1018" t="s">
        <v>245</v>
      </c>
      <c r="I29" s="1018"/>
      <c r="J29" s="1018"/>
      <c r="K29" s="1018"/>
      <c r="L29" s="1018" t="s">
        <v>246</v>
      </c>
      <c r="M29" s="1018"/>
      <c r="N29" s="1018"/>
      <c r="O29" s="1018"/>
      <c r="P29" s="80"/>
      <c r="Q29" s="90"/>
      <c r="R29" s="1019" t="s">
        <v>217</v>
      </c>
      <c r="S29" s="1020" t="s">
        <v>217</v>
      </c>
      <c r="T29" s="1020" t="s">
        <v>217</v>
      </c>
      <c r="U29" s="1020" t="s">
        <v>217</v>
      </c>
      <c r="V29" s="1020" t="s">
        <v>217</v>
      </c>
      <c r="W29" s="1020" t="s">
        <v>217</v>
      </c>
      <c r="X29" s="1020" t="s">
        <v>217</v>
      </c>
      <c r="Y29" s="1020" t="s">
        <v>217</v>
      </c>
      <c r="Z29" s="1020" t="s">
        <v>217</v>
      </c>
      <c r="AA29" s="1020" t="s">
        <v>217</v>
      </c>
      <c r="AB29" s="1020" t="s">
        <v>217</v>
      </c>
      <c r="AC29" s="1020" t="s">
        <v>217</v>
      </c>
      <c r="AD29" s="1020" t="s">
        <v>217</v>
      </c>
      <c r="AE29" s="1020" t="s">
        <v>217</v>
      </c>
      <c r="AF29" s="1020" t="s">
        <v>217</v>
      </c>
      <c r="AG29" s="1020" t="s">
        <v>217</v>
      </c>
      <c r="AH29" s="1020" t="s">
        <v>217</v>
      </c>
      <c r="AI29" s="1020" t="s">
        <v>217</v>
      </c>
      <c r="AJ29" s="1020" t="s">
        <v>217</v>
      </c>
      <c r="AK29" s="1020" t="s">
        <v>217</v>
      </c>
      <c r="AL29" s="1020" t="s">
        <v>217</v>
      </c>
      <c r="AM29" s="1020" t="s">
        <v>217</v>
      </c>
      <c r="AN29" s="1020" t="s">
        <v>217</v>
      </c>
      <c r="AO29" s="1021" t="s">
        <v>217</v>
      </c>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33"/>
      <c r="C30" s="1022">
        <v>66136</v>
      </c>
      <c r="D30" s="1022" t="s">
        <v>247</v>
      </c>
      <c r="E30" s="1022" t="s">
        <v>212</v>
      </c>
      <c r="F30" s="1022" t="s">
        <v>248</v>
      </c>
      <c r="G30" s="1022" t="s">
        <v>249</v>
      </c>
      <c r="H30" s="1024" t="s">
        <v>250</v>
      </c>
      <c r="I30" s="1024"/>
      <c r="J30" s="1024"/>
      <c r="K30" s="1024"/>
      <c r="L30" s="1024" t="s">
        <v>251</v>
      </c>
      <c r="M30" s="1024"/>
      <c r="N30" s="1024"/>
      <c r="O30" s="1024"/>
      <c r="P30" s="80"/>
      <c r="Q30" s="90"/>
      <c r="R30" s="1025" t="s">
        <v>217</v>
      </c>
      <c r="S30" s="1026" t="s">
        <v>217</v>
      </c>
      <c r="T30" s="1026" t="s">
        <v>217</v>
      </c>
      <c r="U30" s="1026" t="s">
        <v>217</v>
      </c>
      <c r="V30" s="1026" t="s">
        <v>217</v>
      </c>
      <c r="W30" s="1026" t="s">
        <v>217</v>
      </c>
      <c r="X30" s="1026" t="s">
        <v>217</v>
      </c>
      <c r="Y30" s="1026" t="s">
        <v>217</v>
      </c>
      <c r="Z30" s="1026" t="s">
        <v>217</v>
      </c>
      <c r="AA30" s="1026" t="s">
        <v>217</v>
      </c>
      <c r="AB30" s="1026" t="s">
        <v>217</v>
      </c>
      <c r="AC30" s="1026" t="s">
        <v>217</v>
      </c>
      <c r="AD30" s="1026" t="s">
        <v>217</v>
      </c>
      <c r="AE30" s="1026" t="s">
        <v>217</v>
      </c>
      <c r="AF30" s="1026" t="s">
        <v>217</v>
      </c>
      <c r="AG30" s="1026" t="s">
        <v>217</v>
      </c>
      <c r="AH30" s="1026" t="s">
        <v>217</v>
      </c>
      <c r="AI30" s="1026" t="s">
        <v>217</v>
      </c>
      <c r="AJ30" s="1026" t="s">
        <v>217</v>
      </c>
      <c r="AK30" s="1026" t="s">
        <v>217</v>
      </c>
      <c r="AL30" s="1026" t="s">
        <v>217</v>
      </c>
      <c r="AM30" s="1026" t="s">
        <v>217</v>
      </c>
      <c r="AN30" s="1026" t="s">
        <v>217</v>
      </c>
      <c r="AO30" s="1027" t="s">
        <v>217</v>
      </c>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33"/>
      <c r="C31" s="181"/>
      <c r="D31" s="183"/>
      <c r="E31" s="183"/>
      <c r="F31" s="201"/>
      <c r="G31" s="181"/>
      <c r="H31" s="1018">
        <v>1272</v>
      </c>
      <c r="I31" s="1018"/>
      <c r="J31" s="1018"/>
      <c r="K31" s="1018"/>
      <c r="L31" s="895"/>
      <c r="M31" s="895"/>
      <c r="N31" s="895"/>
      <c r="O31" s="895"/>
      <c r="P31" s="80"/>
      <c r="Q31" s="90"/>
      <c r="R31" s="182"/>
      <c r="S31" s="182"/>
      <c r="T31" s="182"/>
      <c r="U31" s="182"/>
      <c r="V31" s="182"/>
      <c r="W31" s="182"/>
      <c r="X31" s="182"/>
      <c r="Y31" s="182"/>
      <c r="Z31" s="182"/>
      <c r="AA31" s="182"/>
      <c r="AB31" s="182"/>
      <c r="AC31" s="182"/>
      <c r="AD31" s="182"/>
      <c r="AE31" s="182"/>
      <c r="AF31" s="182"/>
      <c r="AG31" s="182"/>
      <c r="AH31" s="182"/>
      <c r="AI31" s="182"/>
      <c r="AJ31" s="182"/>
      <c r="AK31" s="182"/>
      <c r="AL31" s="182"/>
      <c r="AM31" s="182"/>
      <c r="AN31" s="182"/>
      <c r="AO31" s="182"/>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33"/>
      <c r="C32" s="181"/>
      <c r="D32" s="183"/>
      <c r="E32" s="183"/>
      <c r="F32" s="201"/>
      <c r="G32" s="181"/>
      <c r="H32" s="181"/>
      <c r="I32" s="181"/>
      <c r="J32" s="181"/>
      <c r="K32" s="181"/>
      <c r="L32" s="895"/>
      <c r="M32" s="895"/>
      <c r="N32" s="895"/>
      <c r="O32" s="895"/>
      <c r="P32" s="80"/>
      <c r="Q32" s="90"/>
      <c r="R32" s="182"/>
      <c r="S32" s="182"/>
      <c r="T32" s="182"/>
      <c r="U32" s="182"/>
      <c r="V32" s="182"/>
      <c r="W32" s="182"/>
      <c r="X32" s="1028" t="s">
        <v>252</v>
      </c>
      <c r="Y32" s="182"/>
      <c r="Z32" s="182"/>
      <c r="AA32" s="182"/>
      <c r="AB32" s="182"/>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33"/>
      <c r="C33" s="181"/>
      <c r="D33" s="183"/>
      <c r="E33" s="183"/>
      <c r="F33" s="201"/>
      <c r="G33" s="181"/>
      <c r="H33" s="181"/>
      <c r="I33" s="181"/>
      <c r="J33" s="181"/>
      <c r="K33" s="181"/>
      <c r="L33" s="895"/>
      <c r="M33" s="895"/>
      <c r="N33" s="895"/>
      <c r="O33" s="895"/>
      <c r="P33" s="80"/>
      <c r="Q33" s="90"/>
      <c r="R33" s="182"/>
      <c r="S33" s="182"/>
      <c r="T33" s="182"/>
      <c r="U33" s="182"/>
      <c r="V33" s="182"/>
      <c r="W33" s="182"/>
      <c r="X33" s="182"/>
      <c r="Y33" s="182"/>
      <c r="Z33" s="182"/>
      <c r="AA33" s="1029" t="s">
        <v>253</v>
      </c>
      <c r="AB33" s="1028" t="s">
        <v>254</v>
      </c>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33"/>
      <c r="C34" s="181"/>
      <c r="D34" s="183"/>
      <c r="E34" s="183"/>
      <c r="F34" s="201"/>
      <c r="G34" s="181"/>
      <c r="H34" s="181"/>
      <c r="I34" s="181"/>
      <c r="J34" s="181"/>
      <c r="K34" s="181"/>
      <c r="L34" s="895"/>
      <c r="M34" s="895"/>
      <c r="N34" s="895"/>
      <c r="O34" s="895"/>
      <c r="P34" s="80"/>
      <c r="Q34" s="90"/>
      <c r="R34" s="182"/>
      <c r="S34" s="182"/>
      <c r="T34" s="182"/>
      <c r="U34" s="182"/>
      <c r="V34" s="182"/>
      <c r="W34" s="182"/>
      <c r="X34" s="182"/>
      <c r="Y34" s="182"/>
      <c r="Z34" s="182"/>
      <c r="AA34" s="1029" t="s">
        <v>217</v>
      </c>
      <c r="AB34" s="1028" t="s">
        <v>255</v>
      </c>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33"/>
      <c r="C35" s="181"/>
      <c r="D35" s="183"/>
      <c r="E35" s="183"/>
      <c r="F35" s="201"/>
      <c r="G35" s="181"/>
      <c r="H35" s="181"/>
      <c r="I35" s="181"/>
      <c r="J35" s="181"/>
      <c r="K35" s="181"/>
      <c r="L35" s="895"/>
      <c r="M35" s="895"/>
      <c r="N35" s="895"/>
      <c r="O35" s="895"/>
      <c r="P35" s="80"/>
      <c r="Q35" s="90"/>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33"/>
      <c r="C36" s="181"/>
      <c r="D36" s="183"/>
      <c r="E36" s="183"/>
      <c r="F36" s="201"/>
      <c r="G36" s="181"/>
      <c r="H36" s="181"/>
      <c r="I36" s="181"/>
      <c r="J36" s="181"/>
      <c r="K36" s="181"/>
      <c r="L36" s="895"/>
      <c r="M36" s="895"/>
      <c r="N36" s="895"/>
      <c r="O36" s="895"/>
      <c r="P36" s="80"/>
      <c r="Q36" s="90"/>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33"/>
      <c r="C37" s="181"/>
      <c r="D37" s="183"/>
      <c r="E37" s="183"/>
      <c r="F37" s="201"/>
      <c r="G37" s="181"/>
      <c r="H37" s="181"/>
      <c r="I37" s="181"/>
      <c r="J37" s="181"/>
      <c r="K37" s="181"/>
      <c r="L37" s="895"/>
      <c r="M37" s="895"/>
      <c r="N37" s="895"/>
      <c r="O37" s="895"/>
      <c r="P37" s="80"/>
      <c r="Q37" s="90"/>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33"/>
      <c r="C38" s="181"/>
      <c r="D38" s="183"/>
      <c r="E38" s="183"/>
      <c r="F38" s="201"/>
      <c r="G38" s="181"/>
      <c r="H38" s="181"/>
      <c r="I38" s="181"/>
      <c r="J38" s="181"/>
      <c r="K38" s="181"/>
      <c r="L38" s="895"/>
      <c r="M38" s="895"/>
      <c r="N38" s="895"/>
      <c r="O38" s="895"/>
      <c r="P38" s="80"/>
      <c r="Q38" s="90"/>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3"/>
      <c r="E39" s="183"/>
      <c r="F39" s="201"/>
      <c r="G39" s="181"/>
      <c r="H39" s="181"/>
      <c r="I39" s="181"/>
      <c r="J39" s="181"/>
      <c r="K39" s="181"/>
      <c r="L39" s="895"/>
      <c r="M39" s="895"/>
      <c r="N39" s="895"/>
      <c r="O39" s="895"/>
      <c r="P39" s="80"/>
      <c r="Q39" s="90"/>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86"/>
      <c r="AQ39" s="79"/>
      <c r="AR39" s="79"/>
    </row>
    <row r="40" ht="18" customHeight="1">
      <c r="C40" s="181"/>
      <c r="D40" s="183"/>
      <c r="E40" s="183"/>
      <c r="F40" s="201"/>
      <c r="G40" s="181"/>
      <c r="H40" s="181"/>
      <c r="I40" s="181"/>
      <c r="J40" s="181"/>
      <c r="K40" s="181"/>
      <c r="L40" s="895"/>
      <c r="M40" s="895"/>
      <c r="N40" s="895"/>
      <c r="O40" s="895"/>
      <c r="P40" s="80"/>
      <c r="Q40" s="90"/>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86"/>
      <c r="AQ40" s="79"/>
      <c r="AR40" s="79"/>
    </row>
    <row r="41" ht="18" customHeight="1">
      <c r="C41" s="181"/>
      <c r="D41" s="183"/>
      <c r="E41" s="183"/>
      <c r="F41" s="201"/>
      <c r="G41" s="181"/>
      <c r="H41" s="181"/>
      <c r="I41" s="181"/>
      <c r="J41" s="181"/>
      <c r="K41" s="181"/>
      <c r="L41" s="895"/>
      <c r="M41" s="895"/>
      <c r="N41" s="895"/>
      <c r="O41" s="895"/>
      <c r="P41" s="80"/>
      <c r="Q41" s="90"/>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86"/>
      <c r="AQ41" s="79"/>
      <c r="AR41" s="79"/>
    </row>
    <row r="42" ht="18" customHeight="1">
      <c r="C42" s="181"/>
      <c r="D42" s="183"/>
      <c r="E42" s="183"/>
      <c r="F42" s="201"/>
      <c r="G42" s="181"/>
      <c r="H42" s="181"/>
      <c r="I42" s="181"/>
      <c r="J42" s="181"/>
      <c r="K42" s="181"/>
      <c r="L42" s="895"/>
      <c r="M42" s="895"/>
      <c r="N42" s="895"/>
      <c r="O42" s="895"/>
      <c r="P42" s="80"/>
      <c r="Q42" s="90"/>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86"/>
      <c r="AQ42" s="79"/>
      <c r="AR42" s="79"/>
    </row>
    <row r="43" ht="18" customHeight="1">
      <c r="C43" s="181"/>
      <c r="D43" s="183"/>
      <c r="E43" s="183"/>
      <c r="F43" s="201"/>
      <c r="G43" s="181"/>
      <c r="H43" s="181"/>
      <c r="I43" s="181"/>
      <c r="J43" s="181"/>
      <c r="K43" s="181"/>
      <c r="L43" s="895"/>
      <c r="M43" s="895"/>
      <c r="N43" s="895"/>
      <c r="O43" s="895"/>
      <c r="P43" s="80"/>
      <c r="Q43" s="90"/>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86"/>
      <c r="AQ43" s="79"/>
      <c r="AR43" s="79"/>
    </row>
    <row r="44" ht="18" customHeight="1">
      <c r="C44" s="181"/>
      <c r="D44" s="183"/>
      <c r="E44" s="183"/>
      <c r="F44" s="201"/>
      <c r="G44" s="181"/>
      <c r="H44" s="181"/>
      <c r="I44" s="181"/>
      <c r="J44" s="181"/>
      <c r="K44" s="181"/>
      <c r="L44" s="895"/>
      <c r="M44" s="895"/>
      <c r="N44" s="895"/>
      <c r="O44" s="895"/>
      <c r="P44" s="80"/>
      <c r="Q44" s="90"/>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86"/>
      <c r="AQ44" s="79"/>
      <c r="AR44" s="79"/>
    </row>
    <row r="45" ht="18" customHeight="1">
      <c r="C45" s="181"/>
      <c r="D45" s="183"/>
      <c r="E45" s="183"/>
      <c r="F45" s="201"/>
      <c r="G45" s="181"/>
      <c r="H45" s="181"/>
      <c r="I45" s="181"/>
      <c r="J45" s="181"/>
      <c r="K45" s="181"/>
      <c r="L45" s="895"/>
      <c r="M45" s="895"/>
      <c r="N45" s="895"/>
      <c r="O45" s="895"/>
      <c r="P45" s="80"/>
      <c r="Q45" s="90"/>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86"/>
      <c r="AQ45" s="79"/>
      <c r="AR45" s="79"/>
    </row>
    <row r="46" ht="18" customHeight="1">
      <c r="C46" s="181"/>
      <c r="D46" s="183"/>
      <c r="E46" s="183"/>
      <c r="F46" s="201"/>
      <c r="G46" s="181"/>
      <c r="H46" s="181"/>
      <c r="I46" s="181"/>
      <c r="J46" s="181"/>
      <c r="K46" s="181"/>
      <c r="L46" s="895"/>
      <c r="M46" s="895"/>
      <c r="N46" s="895"/>
      <c r="O46" s="895"/>
      <c r="P46" s="80"/>
      <c r="Q46" s="90"/>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86"/>
      <c r="AQ46" s="79"/>
      <c r="AR46" s="79"/>
    </row>
    <row r="47" ht="0" hidden="1" customHeight="1">
      <c r="C47" s="181"/>
      <c r="D47" s="183"/>
      <c r="E47" s="183"/>
      <c r="F47" s="201"/>
      <c r="G47" s="181"/>
      <c r="H47" s="181"/>
      <c r="I47" s="181"/>
      <c r="J47" s="181"/>
      <c r="K47" s="181"/>
      <c r="L47" s="895"/>
      <c r="M47" s="895"/>
      <c r="N47" s="895"/>
      <c r="O47" s="895"/>
      <c r="P47" s="80"/>
      <c r="Q47" s="90"/>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86"/>
      <c r="AQ47" s="79"/>
      <c r="AR47" s="79"/>
    </row>
    <row r="48" ht="0" hidden="1" customHeight="1">
      <c r="C48" s="181"/>
      <c r="D48" s="183"/>
      <c r="E48" s="183"/>
      <c r="F48" s="201"/>
      <c r="G48" s="181"/>
      <c r="H48" s="181"/>
      <c r="I48" s="181"/>
      <c r="J48" s="181"/>
      <c r="K48" s="181"/>
      <c r="L48" s="895"/>
      <c r="M48" s="895"/>
      <c r="N48" s="895"/>
      <c r="O48" s="895"/>
      <c r="P48" s="80"/>
      <c r="Q48" s="90"/>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86"/>
      <c r="AQ48" s="79"/>
      <c r="AR48" s="79"/>
    </row>
    <row r="49" ht="0" hidden="1" customHeight="1">
      <c r="C49" s="181"/>
      <c r="D49" s="183"/>
      <c r="E49" s="183"/>
      <c r="F49" s="201"/>
      <c r="G49" s="181"/>
      <c r="H49" s="181"/>
      <c r="I49" s="181"/>
      <c r="J49" s="181"/>
      <c r="K49" s="181"/>
      <c r="L49" s="895"/>
      <c r="M49" s="895"/>
      <c r="N49" s="895"/>
      <c r="O49" s="895"/>
      <c r="P49" s="80"/>
      <c r="Q49" s="90"/>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86"/>
      <c r="AQ49" s="79"/>
      <c r="AR49" s="79"/>
    </row>
    <row r="50" ht="0" hidden="1" customHeight="1">
      <c r="C50" s="181"/>
      <c r="D50" s="183"/>
      <c r="E50" s="183"/>
      <c r="F50" s="201"/>
      <c r="G50" s="181"/>
      <c r="H50" s="181"/>
      <c r="I50" s="181"/>
      <c r="J50" s="181"/>
      <c r="K50" s="181"/>
      <c r="L50" s="895"/>
      <c r="M50" s="895"/>
      <c r="N50" s="895"/>
      <c r="O50" s="895"/>
      <c r="P50" s="80"/>
      <c r="Q50" s="90"/>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86"/>
      <c r="AQ50" s="79"/>
      <c r="AR50" s="79"/>
    </row>
    <row r="51" ht="0" hidden="1" customHeight="1">
      <c r="C51" s="181"/>
      <c r="D51" s="183"/>
      <c r="E51" s="183"/>
      <c r="F51" s="201"/>
      <c r="G51" s="181"/>
      <c r="H51" s="181"/>
      <c r="I51" s="181"/>
      <c r="J51" s="181"/>
      <c r="K51" s="181"/>
      <c r="L51" s="895"/>
      <c r="M51" s="895"/>
      <c r="N51" s="895"/>
      <c r="O51" s="895"/>
      <c r="P51" s="80"/>
      <c r="Q51" s="90"/>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86"/>
      <c r="AQ51" s="79"/>
      <c r="AR51" s="79"/>
    </row>
    <row r="52" s="0" customFormat="1" ht="0" hidden="1" customHeight="1">
      <c r="B52" s="33"/>
      <c r="C52" s="181"/>
      <c r="D52" s="183"/>
      <c r="E52" s="183"/>
      <c r="F52" s="201"/>
      <c r="G52" s="181"/>
      <c r="H52" s="181"/>
      <c r="I52" s="181"/>
      <c r="J52" s="181"/>
      <c r="K52" s="181"/>
      <c r="L52" s="895"/>
      <c r="M52" s="895"/>
      <c r="N52" s="895"/>
      <c r="O52" s="895"/>
      <c r="P52" s="80"/>
      <c r="Q52" s="90"/>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33"/>
      <c r="C53" s="181"/>
      <c r="D53" s="183"/>
      <c r="E53" s="183"/>
      <c r="F53" s="201"/>
      <c r="G53" s="181"/>
      <c r="H53" s="181"/>
      <c r="I53" s="181"/>
      <c r="J53" s="181"/>
      <c r="K53" s="181"/>
      <c r="L53" s="895"/>
      <c r="M53" s="895"/>
      <c r="N53" s="895"/>
      <c r="O53" s="895"/>
      <c r="P53" s="80"/>
      <c r="Q53" s="90"/>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33"/>
      <c r="C54" s="181"/>
      <c r="D54" s="183"/>
      <c r="E54" s="183"/>
      <c r="F54" s="201"/>
      <c r="G54" s="181"/>
      <c r="H54" s="181"/>
      <c r="I54" s="181"/>
      <c r="J54" s="181"/>
      <c r="K54" s="181"/>
      <c r="L54" s="895"/>
      <c r="M54" s="895"/>
      <c r="N54" s="895"/>
      <c r="O54" s="895"/>
      <c r="P54" s="80"/>
      <c r="Q54" s="90"/>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33"/>
      <c r="C55" s="181"/>
      <c r="D55" s="183"/>
      <c r="E55" s="183"/>
      <c r="F55" s="201"/>
      <c r="G55" s="181"/>
      <c r="H55" s="181"/>
      <c r="I55" s="181"/>
      <c r="J55" s="181"/>
      <c r="K55" s="181"/>
      <c r="L55" s="895"/>
      <c r="M55" s="895"/>
      <c r="N55" s="895"/>
      <c r="O55" s="895"/>
      <c r="P55" s="80"/>
      <c r="Q55" s="90"/>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33"/>
      <c r="C56" s="181"/>
      <c r="D56" s="183"/>
      <c r="E56" s="183"/>
      <c r="F56" s="201"/>
      <c r="G56" s="181"/>
      <c r="H56" s="181"/>
      <c r="I56" s="181"/>
      <c r="J56" s="181"/>
      <c r="K56" s="181"/>
      <c r="L56" s="895"/>
      <c r="M56" s="895"/>
      <c r="N56" s="895"/>
      <c r="O56" s="895"/>
      <c r="P56" s="80"/>
      <c r="Q56" s="90"/>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33"/>
      <c r="C57" s="181"/>
      <c r="D57" s="183"/>
      <c r="E57" s="183"/>
      <c r="F57" s="201"/>
      <c r="G57" s="181"/>
      <c r="H57" s="181"/>
      <c r="I57" s="181"/>
      <c r="J57" s="181"/>
      <c r="K57" s="181"/>
      <c r="L57" s="895"/>
      <c r="M57" s="895"/>
      <c r="N57" s="895"/>
      <c r="O57" s="895"/>
      <c r="P57" s="80"/>
      <c r="Q57" s="90"/>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33"/>
      <c r="C58" s="181"/>
      <c r="D58" s="183"/>
      <c r="E58" s="183"/>
      <c r="F58" s="201"/>
      <c r="G58" s="181"/>
      <c r="H58" s="181"/>
      <c r="I58" s="181"/>
      <c r="J58" s="181"/>
      <c r="K58" s="181"/>
      <c r="L58" s="895"/>
      <c r="M58" s="895"/>
      <c r="N58" s="895"/>
      <c r="O58" s="895"/>
      <c r="P58" s="80"/>
      <c r="Q58" s="90"/>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3"/>
      <c r="E59" s="183"/>
      <c r="F59" s="201"/>
      <c r="G59" s="181"/>
      <c r="H59" s="181"/>
      <c r="I59" s="181"/>
      <c r="J59" s="181"/>
      <c r="K59" s="181"/>
      <c r="L59" s="895"/>
      <c r="M59" s="895"/>
      <c r="N59" s="895"/>
      <c r="O59" s="895"/>
      <c r="P59" s="80"/>
      <c r="Q59" s="90"/>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86"/>
      <c r="AQ59" s="79"/>
      <c r="AR59" s="79"/>
    </row>
    <row r="60" ht="0" hidden="1" customHeight="1">
      <c r="C60" s="181"/>
      <c r="D60" s="183"/>
      <c r="E60" s="183"/>
      <c r="F60" s="201"/>
      <c r="G60" s="181"/>
      <c r="H60" s="181"/>
      <c r="I60" s="181"/>
      <c r="J60" s="181"/>
      <c r="K60" s="181"/>
      <c r="L60" s="895"/>
      <c r="M60" s="895"/>
      <c r="N60" s="895"/>
      <c r="O60" s="895"/>
      <c r="P60" s="80"/>
      <c r="Q60" s="90"/>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86"/>
      <c r="AQ60" s="79"/>
      <c r="AR60" s="79"/>
    </row>
    <row r="61" ht="0" hidden="1" customHeight="1">
      <c r="C61" s="181"/>
      <c r="D61" s="183"/>
      <c r="E61" s="183"/>
      <c r="F61" s="201"/>
      <c r="G61" s="181"/>
      <c r="H61" s="181"/>
      <c r="I61" s="181"/>
      <c r="J61" s="181"/>
      <c r="K61" s="181"/>
      <c r="L61" s="895"/>
      <c r="M61" s="895"/>
      <c r="N61" s="895"/>
      <c r="O61" s="895"/>
      <c r="P61" s="80"/>
      <c r="Q61" s="90"/>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86"/>
      <c r="AQ61" s="79"/>
      <c r="AR61" s="79"/>
    </row>
    <row r="62" ht="0" hidden="1" customHeight="1">
      <c r="C62" s="181"/>
      <c r="D62" s="183"/>
      <c r="E62" s="183"/>
      <c r="F62" s="201"/>
      <c r="G62" s="181"/>
      <c r="H62" s="181"/>
      <c r="I62" s="181"/>
      <c r="J62" s="181"/>
      <c r="K62" s="181"/>
      <c r="L62" s="895"/>
      <c r="M62" s="895"/>
      <c r="N62" s="895"/>
      <c r="O62" s="895"/>
      <c r="P62" s="80"/>
      <c r="Q62" s="90"/>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86"/>
      <c r="AQ62" s="79"/>
      <c r="AR62" s="79"/>
    </row>
    <row r="63" ht="0" hidden="1" customHeight="1">
      <c r="C63" s="181"/>
      <c r="D63" s="183"/>
      <c r="E63" s="183"/>
      <c r="F63" s="201"/>
      <c r="G63" s="181"/>
      <c r="H63" s="181"/>
      <c r="I63" s="181"/>
      <c r="J63" s="181"/>
      <c r="K63" s="181"/>
      <c r="L63" s="895"/>
      <c r="M63" s="895"/>
      <c r="N63" s="895"/>
      <c r="O63" s="895"/>
      <c r="P63" s="80"/>
      <c r="Q63" s="90"/>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86"/>
      <c r="AQ63" s="79"/>
      <c r="AR63" s="79"/>
    </row>
    <row r="64" ht="0" hidden="1" customHeight="1">
      <c r="C64" s="181"/>
      <c r="D64" s="183"/>
      <c r="E64" s="183"/>
      <c r="F64" s="201"/>
      <c r="G64" s="181"/>
      <c r="H64" s="181"/>
      <c r="I64" s="181"/>
      <c r="J64" s="181"/>
      <c r="K64" s="181"/>
      <c r="L64" s="895"/>
      <c r="M64" s="895"/>
      <c r="N64" s="895"/>
      <c r="O64" s="895"/>
      <c r="P64" s="80"/>
      <c r="Q64" s="90"/>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86"/>
      <c r="AQ64" s="79"/>
      <c r="AR64" s="79"/>
    </row>
    <row r="65" ht="0" hidden="1" customHeight="1">
      <c r="C65" s="181"/>
      <c r="D65" s="183"/>
      <c r="E65" s="183"/>
      <c r="F65" s="201"/>
      <c r="G65" s="181"/>
      <c r="H65" s="181"/>
      <c r="I65" s="181"/>
      <c r="J65" s="181"/>
      <c r="K65" s="181"/>
      <c r="L65" s="895"/>
      <c r="M65" s="895"/>
      <c r="N65" s="895"/>
      <c r="O65" s="895"/>
      <c r="P65" s="80"/>
      <c r="Q65" s="90"/>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86"/>
      <c r="AQ65" s="79"/>
      <c r="AR65" s="79"/>
    </row>
    <row r="66" ht="0" hidden="1" customHeight="1">
      <c r="C66" s="181"/>
      <c r="D66" s="183"/>
      <c r="E66" s="183"/>
      <c r="F66" s="201"/>
      <c r="G66" s="181"/>
      <c r="H66" s="181"/>
      <c r="I66" s="181"/>
      <c r="J66" s="181"/>
      <c r="K66" s="181"/>
      <c r="L66" s="895"/>
      <c r="M66" s="895"/>
      <c r="N66" s="895"/>
      <c r="O66" s="895"/>
      <c r="P66" s="80"/>
      <c r="Q66" s="90"/>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86"/>
      <c r="AQ66" s="79"/>
      <c r="AR66" s="79"/>
    </row>
    <row r="67" ht="0" hidden="1" customHeight="1">
      <c r="C67" s="181"/>
      <c r="D67" s="183"/>
      <c r="E67" s="183"/>
      <c r="F67" s="201"/>
      <c r="G67" s="181"/>
      <c r="H67" s="181"/>
      <c r="I67" s="181"/>
      <c r="J67" s="181"/>
      <c r="K67" s="181"/>
      <c r="L67" s="895"/>
      <c r="M67" s="895"/>
      <c r="N67" s="895"/>
      <c r="O67" s="895"/>
      <c r="P67" s="80"/>
      <c r="Q67" s="90"/>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86"/>
      <c r="AQ67" s="79"/>
      <c r="AR67" s="79"/>
    </row>
    <row r="68" ht="0" hidden="1" customHeight="1">
      <c r="C68" s="181"/>
      <c r="D68" s="183"/>
      <c r="E68" s="183"/>
      <c r="F68" s="201"/>
      <c r="G68" s="181"/>
      <c r="H68" s="181"/>
      <c r="I68" s="181"/>
      <c r="J68" s="181"/>
      <c r="K68" s="181"/>
      <c r="L68" s="895"/>
      <c r="M68" s="895"/>
      <c r="N68" s="895"/>
      <c r="O68" s="895"/>
      <c r="P68" s="80"/>
      <c r="Q68" s="90"/>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86"/>
      <c r="AQ68" s="79"/>
      <c r="AR68" s="79"/>
    </row>
    <row r="69" ht="0" hidden="1" customHeight="1">
      <c r="C69" s="181"/>
      <c r="D69" s="183"/>
      <c r="E69" s="183"/>
      <c r="F69" s="201"/>
      <c r="G69" s="181"/>
      <c r="H69" s="181"/>
      <c r="I69" s="181"/>
      <c r="J69" s="181"/>
      <c r="K69" s="181"/>
      <c r="L69" s="895"/>
      <c r="M69" s="895"/>
      <c r="N69" s="895"/>
      <c r="O69" s="895"/>
      <c r="P69" s="80"/>
      <c r="Q69" s="90"/>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86"/>
      <c r="AQ69" s="79"/>
      <c r="AR69" s="79"/>
    </row>
    <row r="70" ht="0" hidden="1" customHeight="1">
      <c r="C70" s="181"/>
      <c r="D70" s="183"/>
      <c r="E70" s="183"/>
      <c r="F70" s="201"/>
      <c r="G70" s="181"/>
      <c r="H70" s="181"/>
      <c r="I70" s="181"/>
      <c r="J70" s="181"/>
      <c r="K70" s="181"/>
      <c r="L70" s="895"/>
      <c r="M70" s="895"/>
      <c r="N70" s="895"/>
      <c r="O70" s="895"/>
      <c r="P70" s="80"/>
      <c r="Q70" s="90"/>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86"/>
      <c r="AQ70" s="79"/>
      <c r="AR70" s="79"/>
    </row>
    <row r="71" ht="0" hidden="1" customHeight="1">
      <c r="C71" s="181"/>
      <c r="D71" s="183"/>
      <c r="E71" s="183"/>
      <c r="F71" s="201"/>
      <c r="G71" s="181"/>
      <c r="H71" s="181"/>
      <c r="I71" s="181"/>
      <c r="J71" s="181"/>
      <c r="K71" s="181"/>
      <c r="L71" s="895"/>
      <c r="M71" s="895"/>
      <c r="N71" s="895"/>
      <c r="O71" s="895"/>
      <c r="P71" s="80"/>
      <c r="Q71" s="90"/>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86"/>
      <c r="AQ71" s="79"/>
      <c r="AR71" s="79"/>
    </row>
    <row r="72" ht="0" hidden="1" customHeight="1">
      <c r="C72" s="181"/>
      <c r="D72" s="183"/>
      <c r="E72" s="183"/>
      <c r="F72" s="201"/>
      <c r="G72" s="181"/>
      <c r="H72" s="181"/>
      <c r="I72" s="181"/>
      <c r="J72" s="181"/>
      <c r="K72" s="181"/>
      <c r="L72" s="895"/>
      <c r="M72" s="895"/>
      <c r="N72" s="895"/>
      <c r="O72" s="895"/>
      <c r="P72" s="80"/>
      <c r="Q72" s="90"/>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86"/>
      <c r="AQ72" s="79"/>
      <c r="AR72" s="79"/>
    </row>
    <row r="73" ht="0" hidden="1" customHeight="1">
      <c r="C73" s="181"/>
      <c r="D73" s="183"/>
      <c r="E73" s="183"/>
      <c r="F73" s="201"/>
      <c r="G73" s="181"/>
      <c r="H73" s="181"/>
      <c r="I73" s="181"/>
      <c r="J73" s="181"/>
      <c r="K73" s="181"/>
      <c r="L73" s="895"/>
      <c r="M73" s="895"/>
      <c r="N73" s="895"/>
      <c r="O73" s="895"/>
      <c r="P73" s="80"/>
      <c r="Q73" s="90"/>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86"/>
      <c r="AQ73" s="79"/>
      <c r="AR73" s="79"/>
    </row>
    <row r="74" ht="0" hidden="1" customHeight="1">
      <c r="C74" s="181"/>
      <c r="D74" s="183"/>
      <c r="E74" s="183"/>
      <c r="F74" s="201"/>
      <c r="G74" s="181"/>
      <c r="H74" s="181"/>
      <c r="I74" s="181"/>
      <c r="J74" s="181"/>
      <c r="K74" s="181"/>
      <c r="L74" s="895"/>
      <c r="M74" s="895"/>
      <c r="N74" s="895"/>
      <c r="O74" s="895"/>
      <c r="P74" s="80"/>
      <c r="Q74" s="90"/>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86"/>
      <c r="AQ74" s="79"/>
      <c r="AR74" s="79"/>
    </row>
    <row r="75" ht="0" hidden="1" customHeight="1">
      <c r="C75" s="181"/>
      <c r="D75" s="183"/>
      <c r="E75" s="183"/>
      <c r="F75" s="201"/>
      <c r="G75" s="181"/>
      <c r="H75" s="181"/>
      <c r="I75" s="181"/>
      <c r="J75" s="181"/>
      <c r="K75" s="181"/>
      <c r="L75" s="895"/>
      <c r="M75" s="895"/>
      <c r="N75" s="895"/>
      <c r="O75" s="895"/>
      <c r="P75" s="80"/>
      <c r="Q75" s="90"/>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86"/>
      <c r="AQ75" s="79"/>
      <c r="AR75" s="79"/>
    </row>
    <row r="76" ht="0" hidden="1" customHeight="1">
      <c r="C76" s="181"/>
      <c r="D76" s="183"/>
      <c r="E76" s="183"/>
      <c r="F76" s="201"/>
      <c r="G76" s="181"/>
      <c r="H76" s="181"/>
      <c r="I76" s="181"/>
      <c r="J76" s="181"/>
      <c r="K76" s="181"/>
      <c r="L76" s="895"/>
      <c r="M76" s="895"/>
      <c r="N76" s="895"/>
      <c r="O76" s="895"/>
      <c r="P76" s="80"/>
      <c r="Q76" s="90"/>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86"/>
      <c r="AQ76" s="79"/>
      <c r="AR76" s="79"/>
    </row>
    <row r="77" ht="0" hidden="1" customHeight="1">
      <c r="C77" s="181"/>
      <c r="D77" s="183"/>
      <c r="E77" s="183"/>
      <c r="F77" s="201"/>
      <c r="G77" s="181"/>
      <c r="H77" s="181"/>
      <c r="I77" s="181"/>
      <c r="J77" s="181"/>
      <c r="K77" s="181"/>
      <c r="L77" s="895"/>
      <c r="M77" s="895"/>
      <c r="N77" s="895"/>
      <c r="O77" s="895"/>
      <c r="P77" s="80"/>
      <c r="Q77" s="90"/>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86"/>
      <c r="AQ77" s="79"/>
      <c r="AR77" s="79"/>
    </row>
    <row r="78" ht="0" hidden="1" customHeight="1">
      <c r="C78" s="181"/>
      <c r="D78" s="183"/>
      <c r="E78" s="183"/>
      <c r="F78" s="201"/>
      <c r="G78" s="181"/>
      <c r="H78" s="181"/>
      <c r="I78" s="181"/>
      <c r="J78" s="181"/>
      <c r="K78" s="181"/>
      <c r="L78" s="895"/>
      <c r="M78" s="895"/>
      <c r="N78" s="895"/>
      <c r="O78" s="895"/>
      <c r="P78" s="80"/>
      <c r="Q78" s="90"/>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86"/>
      <c r="AQ78" s="79"/>
      <c r="AR78" s="79"/>
    </row>
    <row r="79" ht="0" hidden="1" customHeight="1">
      <c r="C79" s="181"/>
      <c r="D79" s="183"/>
      <c r="E79" s="183"/>
      <c r="F79" s="201"/>
      <c r="G79" s="181"/>
      <c r="H79" s="181"/>
      <c r="I79" s="181"/>
      <c r="J79" s="181"/>
      <c r="K79" s="181"/>
      <c r="L79" s="895"/>
      <c r="M79" s="895"/>
      <c r="N79" s="895"/>
      <c r="O79" s="895"/>
      <c r="P79" s="80"/>
      <c r="Q79" s="90"/>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86"/>
      <c r="AQ79" s="79"/>
      <c r="AR79" s="79"/>
    </row>
    <row r="80" ht="0" hidden="1" customHeight="1">
      <c r="C80" s="181"/>
      <c r="D80" s="183"/>
      <c r="E80" s="183"/>
      <c r="F80" s="201"/>
      <c r="G80" s="181"/>
      <c r="H80" s="181"/>
      <c r="I80" s="181"/>
      <c r="J80" s="181"/>
      <c r="K80" s="181"/>
      <c r="L80" s="895"/>
      <c r="M80" s="895"/>
      <c r="N80" s="895"/>
      <c r="O80" s="895"/>
      <c r="P80" s="80"/>
      <c r="Q80" s="90"/>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86"/>
      <c r="AQ80" s="79"/>
      <c r="AR80" s="79"/>
    </row>
    <row r="81" ht="0" hidden="1" customHeight="1">
      <c r="C81" s="181"/>
      <c r="D81" s="183"/>
      <c r="E81" s="183"/>
      <c r="F81" s="201"/>
      <c r="G81" s="181"/>
      <c r="H81" s="181"/>
      <c r="I81" s="181"/>
      <c r="J81" s="181"/>
      <c r="K81" s="181"/>
      <c r="L81" s="895"/>
      <c r="M81" s="895"/>
      <c r="N81" s="895"/>
      <c r="O81" s="895"/>
      <c r="P81" s="80"/>
      <c r="Q81" s="90"/>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86"/>
      <c r="AQ81" s="79"/>
      <c r="AR81" s="79"/>
    </row>
    <row r="82" ht="0" hidden="1" customHeight="1">
      <c r="C82" s="181"/>
      <c r="D82" s="183"/>
      <c r="E82" s="183"/>
      <c r="F82" s="201"/>
      <c r="G82" s="181"/>
      <c r="H82" s="181"/>
      <c r="I82" s="181"/>
      <c r="J82" s="181"/>
      <c r="K82" s="181"/>
      <c r="L82" s="895"/>
      <c r="M82" s="895"/>
      <c r="N82" s="895"/>
      <c r="O82" s="895"/>
      <c r="P82" s="80"/>
      <c r="Q82" s="90"/>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86"/>
      <c r="AQ82" s="79"/>
      <c r="AR82" s="79"/>
    </row>
    <row r="83" ht="0" hidden="1" customHeight="1">
      <c r="C83" s="181"/>
      <c r="D83" s="183"/>
      <c r="E83" s="183"/>
      <c r="F83" s="201"/>
      <c r="G83" s="181"/>
      <c r="H83" s="181"/>
      <c r="I83" s="181"/>
      <c r="J83" s="181"/>
      <c r="K83" s="181"/>
      <c r="L83" s="895"/>
      <c r="M83" s="895"/>
      <c r="N83" s="895"/>
      <c r="O83" s="895"/>
      <c r="P83" s="80"/>
      <c r="Q83" s="90"/>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86"/>
      <c r="AQ83" s="79"/>
      <c r="AR83" s="79"/>
    </row>
    <row r="84" ht="0" hidden="1" customHeight="1">
      <c r="C84" s="181"/>
      <c r="D84" s="183"/>
      <c r="E84" s="183"/>
      <c r="F84" s="201"/>
      <c r="G84" s="181"/>
      <c r="H84" s="181"/>
      <c r="I84" s="181"/>
      <c r="J84" s="181"/>
      <c r="K84" s="181"/>
      <c r="L84" s="895"/>
      <c r="M84" s="895"/>
      <c r="N84" s="895"/>
      <c r="O84" s="895"/>
      <c r="P84" s="80"/>
      <c r="Q84" s="90"/>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86"/>
      <c r="AQ84" s="79"/>
      <c r="AR84" s="79"/>
    </row>
    <row r="85" ht="0" hidden="1" customHeight="1">
      <c r="C85" s="181"/>
      <c r="D85" s="183"/>
      <c r="E85" s="183"/>
      <c r="F85" s="201"/>
      <c r="G85" s="181"/>
      <c r="H85" s="181"/>
      <c r="I85" s="181"/>
      <c r="J85" s="181"/>
      <c r="K85" s="181"/>
      <c r="L85" s="895"/>
      <c r="M85" s="895"/>
      <c r="N85" s="895"/>
      <c r="O85" s="895"/>
      <c r="P85" s="80"/>
      <c r="Q85" s="90"/>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86"/>
      <c r="AQ85" s="79"/>
      <c r="AR85" s="79"/>
    </row>
    <row r="86" ht="0" hidden="1" customHeight="1">
      <c r="C86" s="181"/>
      <c r="D86" s="183"/>
      <c r="E86" s="183"/>
      <c r="F86" s="201"/>
      <c r="G86" s="181"/>
      <c r="H86" s="181"/>
      <c r="I86" s="181"/>
      <c r="J86" s="181"/>
      <c r="K86" s="181"/>
      <c r="L86" s="895"/>
      <c r="M86" s="895"/>
      <c r="N86" s="895"/>
      <c r="O86" s="895"/>
      <c r="P86" s="80"/>
      <c r="Q86" s="90"/>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86"/>
      <c r="AQ86" s="79"/>
      <c r="AR86" s="79"/>
    </row>
    <row r="87" ht="0" hidden="1" customHeight="1">
      <c r="C87" s="181"/>
      <c r="D87" s="183"/>
      <c r="E87" s="183"/>
      <c r="F87" s="201"/>
      <c r="G87" s="181"/>
      <c r="H87" s="181"/>
      <c r="I87" s="181"/>
      <c r="J87" s="181"/>
      <c r="K87" s="181"/>
      <c r="L87" s="895"/>
      <c r="M87" s="895"/>
      <c r="N87" s="895"/>
      <c r="O87" s="895"/>
      <c r="P87" s="80"/>
      <c r="Q87" s="90"/>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86"/>
      <c r="AQ87" s="79"/>
      <c r="AR87" s="79"/>
    </row>
    <row r="88" ht="0" hidden="1" customHeight="1">
      <c r="C88" s="181"/>
      <c r="D88" s="183"/>
      <c r="E88" s="183"/>
      <c r="F88" s="201"/>
      <c r="G88" s="181"/>
      <c r="H88" s="181"/>
      <c r="I88" s="181"/>
      <c r="J88" s="181"/>
      <c r="K88" s="181"/>
      <c r="L88" s="895"/>
      <c r="M88" s="895"/>
      <c r="N88" s="895"/>
      <c r="O88" s="895"/>
      <c r="P88" s="80"/>
      <c r="Q88" s="90"/>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86"/>
      <c r="AQ88" s="79"/>
      <c r="AR88" s="79"/>
    </row>
    <row r="89" ht="0" hidden="1" customHeight="1">
      <c r="C89" s="181"/>
      <c r="D89" s="183"/>
      <c r="E89" s="183"/>
      <c r="F89" s="201"/>
      <c r="G89" s="181"/>
      <c r="H89" s="181"/>
      <c r="I89" s="181"/>
      <c r="J89" s="181"/>
      <c r="K89" s="181"/>
      <c r="L89" s="895"/>
      <c r="M89" s="895"/>
      <c r="N89" s="895"/>
      <c r="O89" s="895"/>
      <c r="P89" s="80"/>
      <c r="Q89" s="90"/>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86"/>
      <c r="AQ89" s="79"/>
      <c r="AR89" s="79"/>
    </row>
    <row r="90" ht="0" hidden="1" customHeight="1">
      <c r="C90" s="181"/>
      <c r="D90" s="183"/>
      <c r="E90" s="183"/>
      <c r="F90" s="201"/>
      <c r="G90" s="181"/>
      <c r="H90" s="181"/>
      <c r="I90" s="181"/>
      <c r="J90" s="181"/>
      <c r="K90" s="181"/>
      <c r="L90" s="895"/>
      <c r="M90" s="895"/>
      <c r="N90" s="895"/>
      <c r="O90" s="895"/>
      <c r="P90" s="80"/>
      <c r="Q90" s="90"/>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86"/>
      <c r="AQ90" s="79"/>
      <c r="AR90" s="79"/>
    </row>
    <row r="91" ht="0" hidden="1" customHeight="1">
      <c r="C91" s="181"/>
      <c r="D91" s="183"/>
      <c r="E91" s="183"/>
      <c r="F91" s="201"/>
      <c r="G91" s="181"/>
      <c r="H91" s="181"/>
      <c r="I91" s="181"/>
      <c r="J91" s="181"/>
      <c r="K91" s="181"/>
      <c r="L91" s="895"/>
      <c r="M91" s="895"/>
      <c r="N91" s="895"/>
      <c r="O91" s="895"/>
      <c r="P91" s="80"/>
      <c r="Q91" s="90"/>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86"/>
      <c r="AQ91" s="79"/>
      <c r="AR91" s="79"/>
    </row>
    <row r="92" ht="0" hidden="1" customHeight="1">
      <c r="C92" s="181"/>
      <c r="D92" s="183"/>
      <c r="E92" s="183"/>
      <c r="F92" s="201"/>
      <c r="G92" s="181"/>
      <c r="H92" s="181"/>
      <c r="I92" s="181"/>
      <c r="J92" s="181"/>
      <c r="K92" s="181"/>
      <c r="L92" s="895"/>
      <c r="M92" s="895"/>
      <c r="N92" s="895"/>
      <c r="O92" s="895"/>
      <c r="P92" s="80"/>
      <c r="Q92" s="90"/>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86"/>
      <c r="AQ92" s="79"/>
      <c r="AR92" s="79"/>
    </row>
    <row r="93" ht="0" hidden="1" customHeight="1">
      <c r="C93" s="181"/>
      <c r="D93" s="183"/>
      <c r="E93" s="183"/>
      <c r="F93" s="201"/>
      <c r="G93" s="181"/>
      <c r="H93" s="181"/>
      <c r="I93" s="181"/>
      <c r="J93" s="181"/>
      <c r="K93" s="181"/>
      <c r="L93" s="895"/>
      <c r="M93" s="895"/>
      <c r="N93" s="895"/>
      <c r="O93" s="895"/>
      <c r="P93" s="80"/>
      <c r="Q93" s="90"/>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86"/>
      <c r="AQ93" s="79"/>
      <c r="AR93" s="79"/>
    </row>
    <row r="94" ht="0" hidden="1" customHeight="1">
      <c r="C94" s="181"/>
      <c r="D94" s="183"/>
      <c r="E94" s="183"/>
      <c r="F94" s="201"/>
      <c r="G94" s="181"/>
      <c r="H94" s="181"/>
      <c r="I94" s="181"/>
      <c r="J94" s="181"/>
      <c r="K94" s="181"/>
      <c r="L94" s="895"/>
      <c r="M94" s="895"/>
      <c r="N94" s="895"/>
      <c r="O94" s="895"/>
      <c r="P94" s="80"/>
      <c r="Q94" s="90"/>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86"/>
      <c r="AQ94" s="79"/>
      <c r="AR94" s="79"/>
    </row>
    <row r="95" ht="0" hidden="1" customHeight="1">
      <c r="C95" s="181"/>
      <c r="D95" s="183"/>
      <c r="E95" s="183"/>
      <c r="F95" s="201"/>
      <c r="G95" s="181"/>
      <c r="H95" s="181"/>
      <c r="I95" s="181"/>
      <c r="J95" s="181"/>
      <c r="K95" s="181"/>
      <c r="L95" s="895"/>
      <c r="M95" s="895"/>
      <c r="N95" s="895"/>
      <c r="O95" s="895"/>
      <c r="P95" s="80"/>
      <c r="Q95" s="90"/>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86"/>
      <c r="AQ95" s="79"/>
      <c r="AR95" s="79"/>
    </row>
    <row r="96" ht="0" hidden="1" customHeight="1">
      <c r="C96" s="181"/>
      <c r="D96" s="183"/>
      <c r="E96" s="183"/>
      <c r="F96" s="201"/>
      <c r="G96" s="181"/>
      <c r="H96" s="181"/>
      <c r="I96" s="181"/>
      <c r="J96" s="181"/>
      <c r="K96" s="181"/>
      <c r="L96" s="895"/>
      <c r="M96" s="895"/>
      <c r="N96" s="895"/>
      <c r="O96" s="895"/>
      <c r="P96" s="80"/>
      <c r="Q96" s="90"/>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86"/>
      <c r="AQ96" s="79"/>
      <c r="AR96" s="79"/>
    </row>
    <row r="97" ht="0" hidden="1" customHeight="1">
      <c r="C97" s="181"/>
      <c r="D97" s="183"/>
      <c r="E97" s="183"/>
      <c r="F97" s="201"/>
      <c r="G97" s="181"/>
      <c r="H97" s="181"/>
      <c r="I97" s="181"/>
      <c r="J97" s="181"/>
      <c r="K97" s="181"/>
      <c r="L97" s="895"/>
      <c r="M97" s="895"/>
      <c r="N97" s="895"/>
      <c r="O97" s="895"/>
      <c r="P97" s="80"/>
      <c r="Q97" s="90"/>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86"/>
      <c r="AQ97" s="79"/>
      <c r="AR97" s="79"/>
    </row>
    <row r="98" ht="0" hidden="1" customHeight="1">
      <c r="C98" s="181"/>
      <c r="D98" s="183"/>
      <c r="E98" s="183"/>
      <c r="F98" s="201"/>
      <c r="G98" s="181"/>
      <c r="H98" s="181"/>
      <c r="I98" s="181"/>
      <c r="J98" s="181"/>
      <c r="K98" s="181"/>
      <c r="L98" s="895"/>
      <c r="M98" s="895"/>
      <c r="N98" s="895"/>
      <c r="O98" s="895"/>
      <c r="P98" s="80"/>
      <c r="Q98" s="90"/>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86"/>
      <c r="AQ98" s="79"/>
      <c r="AR98" s="79"/>
    </row>
    <row r="99" ht="0" hidden="1" customHeight="1">
      <c r="C99" s="181"/>
      <c r="D99" s="183"/>
      <c r="E99" s="183"/>
      <c r="F99" s="201"/>
      <c r="G99" s="181"/>
      <c r="H99" s="181"/>
      <c r="I99" s="181"/>
      <c r="J99" s="181"/>
      <c r="K99" s="181"/>
      <c r="L99" s="895"/>
      <c r="M99" s="895"/>
      <c r="N99" s="895"/>
      <c r="O99" s="895"/>
      <c r="P99" s="80"/>
      <c r="Q99" s="90"/>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86"/>
      <c r="AQ99" s="79"/>
      <c r="AR99" s="79"/>
    </row>
    <row r="100" ht="0" hidden="1" customHeight="1">
      <c r="C100" s="181"/>
      <c r="D100" s="183"/>
      <c r="E100" s="183"/>
      <c r="F100" s="201"/>
      <c r="G100" s="181"/>
      <c r="H100" s="181"/>
      <c r="I100" s="181"/>
      <c r="J100" s="181"/>
      <c r="K100" s="181"/>
      <c r="L100" s="895"/>
      <c r="M100" s="895"/>
      <c r="N100" s="895"/>
      <c r="O100" s="895"/>
      <c r="P100" s="80"/>
      <c r="Q100" s="90"/>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86"/>
      <c r="AQ100" s="48"/>
      <c r="AR100" s="48"/>
    </row>
    <row r="101" ht="0" hidden="1" customHeight="1">
      <c r="C101" s="181"/>
      <c r="D101" s="183"/>
      <c r="E101" s="183"/>
      <c r="F101" s="201"/>
      <c r="G101" s="181"/>
      <c r="H101" s="181"/>
      <c r="I101" s="181"/>
      <c r="J101" s="181"/>
      <c r="K101" s="181"/>
      <c r="L101" s="895"/>
      <c r="M101" s="895"/>
      <c r="N101" s="895"/>
      <c r="O101" s="895"/>
      <c r="P101" s="80"/>
      <c r="Q101" s="54"/>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c r="AQ101" s="79"/>
      <c r="AR101" s="79"/>
    </row>
    <row r="102" ht="18" customHeight="1">
      <c r="C102" s="181"/>
      <c r="D102" s="183"/>
      <c r="E102" s="183"/>
      <c r="F102" s="201"/>
      <c r="G102" s="181"/>
      <c r="H102" s="181"/>
      <c r="I102" s="181"/>
      <c r="J102" s="181"/>
      <c r="K102" s="181"/>
      <c r="L102" s="895"/>
      <c r="M102" s="895"/>
      <c r="N102" s="895"/>
      <c r="O102" s="895"/>
      <c r="P102" s="80"/>
      <c r="Q102" s="54"/>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c r="AQ102" s="79"/>
      <c r="AR102" s="79"/>
    </row>
    <row r="103" ht="18" customHeight="1">
      <c r="C103" s="181"/>
      <c r="D103" s="183"/>
      <c r="E103" s="183"/>
      <c r="F103" s="201"/>
      <c r="G103" s="181"/>
      <c r="H103" s="181"/>
      <c r="I103" s="181"/>
      <c r="J103" s="181"/>
      <c r="K103" s="181"/>
      <c r="L103" s="895"/>
      <c r="M103" s="895"/>
      <c r="N103" s="895"/>
      <c r="O103" s="895"/>
      <c r="P103" s="80"/>
      <c r="Q103" s="54"/>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ht="9" customHeight="1">
      <c r="E104" s="81"/>
      <c r="F104" s="202"/>
      <c r="R104" s="47"/>
      <c r="S104" s="47"/>
      <c r="T104" s="47"/>
      <c r="U104" s="47"/>
      <c r="V104" s="47"/>
      <c r="W104" s="47"/>
      <c r="X104" s="47"/>
      <c r="Y104" s="47"/>
      <c r="Z104" s="87"/>
      <c r="AA104" s="47"/>
      <c r="AB104" s="47"/>
      <c r="AC104" s="88"/>
      <c r="AD104" s="88"/>
      <c r="AE104" s="88"/>
      <c r="AF104" s="83"/>
      <c r="AG104" s="47"/>
      <c r="AH104" s="47"/>
      <c r="AI104" s="47"/>
      <c r="AJ104" s="88"/>
      <c r="AK104" s="47"/>
      <c r="AL104" s="47"/>
      <c r="AM104" s="47"/>
      <c r="AN104" s="47"/>
      <c r="AO104" s="47"/>
      <c r="AP104" s="47"/>
    </row>
    <row r="105" ht="39.95" customHeight="1">
      <c r="B105" s="34"/>
      <c r="C105" s="988" t="s">
        <v>126</v>
      </c>
      <c r="D105" s="988"/>
      <c r="E105" s="988"/>
      <c r="F105" s="988"/>
      <c r="G105" s="988"/>
      <c r="H105" s="988"/>
      <c r="I105" s="988"/>
      <c r="J105" s="988"/>
      <c r="K105" s="988"/>
      <c r="L105" s="988"/>
      <c r="M105" s="988"/>
      <c r="N105" s="988"/>
      <c r="O105" s="988"/>
      <c r="P105" s="988"/>
      <c r="Q105" s="988"/>
      <c r="R105" s="988"/>
      <c r="S105" s="988"/>
      <c r="T105" s="988"/>
      <c r="U105" s="988"/>
      <c r="V105" s="988"/>
      <c r="W105" s="988"/>
      <c r="X105" s="988"/>
      <c r="Y105" s="988"/>
      <c r="Z105" s="988"/>
      <c r="AA105" s="988"/>
      <c r="AB105" s="988"/>
      <c r="AC105" s="988"/>
      <c r="AD105" s="988"/>
      <c r="AE105" s="988"/>
      <c r="AF105" s="988"/>
      <c r="AG105" s="988"/>
      <c r="AH105" s="988"/>
      <c r="AI105" s="988"/>
      <c r="AJ105" s="988"/>
      <c r="AK105" s="988"/>
      <c r="AL105" s="988"/>
      <c r="AM105" s="988"/>
      <c r="AN105" s="988"/>
      <c r="AO105" s="988"/>
      <c r="AP105" s="233"/>
    </row>
    <row r="106" s="84" customFormat="1" ht="12" customHeight="1">
      <c r="B106" s="85"/>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s="236"/>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4">
    <mergeCell ref="C2:AP2"/>
    <mergeCell ref="H55:K55"/>
    <mergeCell ref="L55:O55"/>
    <mergeCell ref="H52:K52"/>
    <mergeCell ref="C4:AP4"/>
    <mergeCell ref="C3:AP3"/>
    <mergeCell ref="L25:O25"/>
    <mergeCell ref="H25:K25"/>
    <mergeCell ref="L28:O28"/>
    <mergeCell ref="H53:K53"/>
    <mergeCell ref="H54:K54"/>
    <mergeCell ref="H24:K24"/>
    <mergeCell ref="L52:O52"/>
    <mergeCell ref="L53:O53"/>
    <mergeCell ref="L54:O54"/>
    <mergeCell ref="X15:AD15"/>
    <mergeCell ref="P15:V15"/>
    <mergeCell ref="H22:K22"/>
    <mergeCell ref="L24:O24"/>
    <mergeCell ref="L22:O22"/>
    <mergeCell ref="N12:O12"/>
    <mergeCell ref="AF15:AL15"/>
    <mergeCell ref="R12:S12"/>
    <mergeCell ref="H77:K77"/>
    <mergeCell ref="L77:O77"/>
    <mergeCell ref="L61:O61"/>
    <mergeCell ref="H62:K62"/>
    <mergeCell ref="L62:O62"/>
    <mergeCell ref="H61:K61"/>
    <mergeCell ref="H71:K71"/>
    <mergeCell ref="L71:O71"/>
    <mergeCell ref="H73:K73"/>
    <mergeCell ref="H76:K76"/>
    <mergeCell ref="H65:K65"/>
    <mergeCell ref="H74:K74"/>
    <mergeCell ref="L74:O74"/>
    <mergeCell ref="H75:K75"/>
    <mergeCell ref="L76:O76"/>
    <mergeCell ref="L73:O73"/>
    <mergeCell ref="H70:K70"/>
    <mergeCell ref="L66:O66"/>
    <mergeCell ref="H66:K66"/>
    <mergeCell ref="L63:O63"/>
    <mergeCell ref="L75:O75"/>
    <mergeCell ref="L64:O64"/>
    <mergeCell ref="L70:O70"/>
    <mergeCell ref="H64:K64"/>
    <mergeCell ref="AL13:AM13"/>
    <mergeCell ref="AJ12:AK12"/>
    <mergeCell ref="AH13:AI13"/>
    <mergeCell ref="AJ13:AK13"/>
    <mergeCell ref="Z13:AA13"/>
    <mergeCell ref="AF13:AG13"/>
    <mergeCell ref="H56:K56"/>
    <mergeCell ref="H57:K57"/>
    <mergeCell ref="H58:K58"/>
    <mergeCell ref="H29:K29"/>
    <mergeCell ref="L29:O29"/>
    <mergeCell ref="H27:K27"/>
    <mergeCell ref="L27:O27"/>
    <mergeCell ref="H28:K28"/>
    <mergeCell ref="L31:O31"/>
    <mergeCell ref="H37:K37"/>
    <mergeCell ref="L37:O37"/>
    <mergeCell ref="H34:K34"/>
    <mergeCell ref="L34:O34"/>
    <mergeCell ref="H35:K35"/>
    <mergeCell ref="L35:O35"/>
    <mergeCell ref="H36:K36"/>
    <mergeCell ref="L36:O36"/>
    <mergeCell ref="H38:K38"/>
    <mergeCell ref="AB9:AC9"/>
    <mergeCell ref="Z9:AA9"/>
    <mergeCell ref="AF9:AG9"/>
    <mergeCell ref="AD11:AE11"/>
    <mergeCell ref="J12:K12"/>
    <mergeCell ref="AF10:AG10"/>
    <mergeCell ref="R13:S13"/>
    <mergeCell ref="AB12:AC12"/>
    <mergeCell ref="T13:U13"/>
    <mergeCell ref="T12:U12"/>
    <mergeCell ref="AD13:AE13"/>
    <mergeCell ref="AB13:AC13"/>
    <mergeCell ref="J13:K13"/>
    <mergeCell ref="L12:M12"/>
    <mergeCell ref="P12:Q12"/>
    <mergeCell ref="J11:K11"/>
    <mergeCell ref="R11:S11"/>
    <mergeCell ref="R10:S10"/>
    <mergeCell ref="L10:M10"/>
    <mergeCell ref="J10:K10"/>
    <mergeCell ref="P13:Q13"/>
    <mergeCell ref="T7:U7"/>
    <mergeCell ref="J7:K7"/>
    <mergeCell ref="H7:I7"/>
    <mergeCell ref="R9:S9"/>
    <mergeCell ref="T9:U9"/>
    <mergeCell ref="L9:M9"/>
    <mergeCell ref="L7:M7"/>
    <mergeCell ref="J9:K9"/>
    <mergeCell ref="N9:O9"/>
    <mergeCell ref="L8:M8"/>
    <mergeCell ref="J8:K8"/>
    <mergeCell ref="R7:S7"/>
    <mergeCell ref="H8:I8"/>
    <mergeCell ref="H6:U6"/>
    <mergeCell ref="T8:U8"/>
    <mergeCell ref="R8:S8"/>
    <mergeCell ref="P8:Q8"/>
    <mergeCell ref="N8:O8"/>
    <mergeCell ref="AH12:AI12"/>
    <mergeCell ref="AF12:AG12"/>
    <mergeCell ref="H11:I11"/>
    <mergeCell ref="H9:I9"/>
    <mergeCell ref="P7:Q7"/>
    <mergeCell ref="N7:O7"/>
    <mergeCell ref="P9:Q9"/>
    <mergeCell ref="P11:Q11"/>
    <mergeCell ref="AD9:AE9"/>
    <mergeCell ref="Z8:AA8"/>
    <mergeCell ref="AB8:AC8"/>
    <mergeCell ref="Z6:AM6"/>
    <mergeCell ref="Z7:AA7"/>
    <mergeCell ref="AB7:AC7"/>
    <mergeCell ref="AD7:AE7"/>
    <mergeCell ref="AF7:AG7"/>
    <mergeCell ref="AH7:AI7"/>
    <mergeCell ref="AJ7:AK7"/>
    <mergeCell ref="AL7:AM7"/>
    <mergeCell ref="AJ8:AK8"/>
    <mergeCell ref="AL8:AM8"/>
    <mergeCell ref="AD8:AE8"/>
    <mergeCell ref="AH8:AI8"/>
    <mergeCell ref="AH9:AI9"/>
    <mergeCell ref="AJ9:AK9"/>
    <mergeCell ref="AL9:AM9"/>
    <mergeCell ref="AH10:AI10"/>
    <mergeCell ref="AL12:AM12"/>
    <mergeCell ref="AL11:AM11"/>
    <mergeCell ref="AF8:AG8"/>
    <mergeCell ref="AL10:AM10"/>
    <mergeCell ref="AD10:AE10"/>
    <mergeCell ref="AD12:AE12"/>
    <mergeCell ref="AJ10:AK10"/>
    <mergeCell ref="AH11:AI11"/>
    <mergeCell ref="AJ11:AK11"/>
    <mergeCell ref="H26:K26"/>
    <mergeCell ref="L26:O26"/>
    <mergeCell ref="AF11:AG11"/>
    <mergeCell ref="Z10:AA10"/>
    <mergeCell ref="L11:M11"/>
    <mergeCell ref="N13:O13"/>
    <mergeCell ref="H10:I10"/>
    <mergeCell ref="L13:M13"/>
    <mergeCell ref="H23:K23"/>
    <mergeCell ref="L23:O23"/>
    <mergeCell ref="T11:U11"/>
    <mergeCell ref="T10:U10"/>
    <mergeCell ref="N11:O11"/>
    <mergeCell ref="N10:O10"/>
    <mergeCell ref="P10:Q10"/>
    <mergeCell ref="Z12:AA12"/>
    <mergeCell ref="H12:I12"/>
    <mergeCell ref="H13:I13"/>
    <mergeCell ref="AB10:AC10"/>
    <mergeCell ref="AB11:AC11"/>
    <mergeCell ref="Z11:AA11"/>
    <mergeCell ref="L30:O30"/>
    <mergeCell ref="H33:K33"/>
    <mergeCell ref="L33:O33"/>
    <mergeCell ref="H32:K32"/>
    <mergeCell ref="L32:O32"/>
    <mergeCell ref="H44:K44"/>
    <mergeCell ref="L44:O44"/>
    <mergeCell ref="H40:K40"/>
    <mergeCell ref="L40:O40"/>
    <mergeCell ref="H41:K41"/>
    <mergeCell ref="L41:O41"/>
    <mergeCell ref="H42:K42"/>
    <mergeCell ref="L42:O42"/>
    <mergeCell ref="H43:K43"/>
    <mergeCell ref="L43:O43"/>
    <mergeCell ref="L38:O38"/>
    <mergeCell ref="H39:K39"/>
    <mergeCell ref="L39:O39"/>
    <mergeCell ref="H30:K30"/>
    <mergeCell ref="H48:K48"/>
    <mergeCell ref="L48:O48"/>
    <mergeCell ref="H45:K45"/>
    <mergeCell ref="L45:O45"/>
    <mergeCell ref="H46:K46"/>
    <mergeCell ref="L46:O46"/>
    <mergeCell ref="H47:K47"/>
    <mergeCell ref="L47:O47"/>
    <mergeCell ref="H49:K49"/>
    <mergeCell ref="L49:O49"/>
    <mergeCell ref="H50:K50"/>
    <mergeCell ref="L50:O50"/>
    <mergeCell ref="H68:K68"/>
    <mergeCell ref="L68:O68"/>
    <mergeCell ref="H72:K72"/>
    <mergeCell ref="L72:O72"/>
    <mergeCell ref="H51:K51"/>
    <mergeCell ref="L51:O51"/>
    <mergeCell ref="H69:K69"/>
    <mergeCell ref="L69:O69"/>
    <mergeCell ref="H67:K67"/>
    <mergeCell ref="L67:O67"/>
    <mergeCell ref="L56:O56"/>
    <mergeCell ref="L57:O57"/>
    <mergeCell ref="L58:O58"/>
    <mergeCell ref="H59:K59"/>
    <mergeCell ref="H63:K63"/>
    <mergeCell ref="L65:O65"/>
    <mergeCell ref="L59:O59"/>
    <mergeCell ref="L60:O60"/>
    <mergeCell ref="H60:K60"/>
    <mergeCell ref="H81:K81"/>
    <mergeCell ref="L81:O81"/>
    <mergeCell ref="H82:K82"/>
    <mergeCell ref="L82:O82"/>
    <mergeCell ref="L78:O78"/>
    <mergeCell ref="H79:K79"/>
    <mergeCell ref="L79:O79"/>
    <mergeCell ref="H80:K80"/>
    <mergeCell ref="L80:O80"/>
    <mergeCell ref="H78:K78"/>
    <mergeCell ref="H85:K85"/>
    <mergeCell ref="L85:O85"/>
    <mergeCell ref="H86:K86"/>
    <mergeCell ref="L86:O86"/>
    <mergeCell ref="H83:K83"/>
    <mergeCell ref="L83:O83"/>
    <mergeCell ref="H84:K84"/>
    <mergeCell ref="L84:O84"/>
    <mergeCell ref="H89:K89"/>
    <mergeCell ref="L89:O89"/>
    <mergeCell ref="H90:K90"/>
    <mergeCell ref="L90:O90"/>
    <mergeCell ref="H87:K87"/>
    <mergeCell ref="L87:O87"/>
    <mergeCell ref="H88:K88"/>
    <mergeCell ref="L88:O88"/>
    <mergeCell ref="H93:K93"/>
    <mergeCell ref="L93:O93"/>
    <mergeCell ref="H94:K94"/>
    <mergeCell ref="L94:O94"/>
    <mergeCell ref="H91:K91"/>
    <mergeCell ref="L91:O91"/>
    <mergeCell ref="H92:K92"/>
    <mergeCell ref="L92:O92"/>
    <mergeCell ref="H95:K95"/>
    <mergeCell ref="L95:O95"/>
    <mergeCell ref="H101:K101"/>
    <mergeCell ref="L101:O101"/>
    <mergeCell ref="L102:O102"/>
    <mergeCell ref="H102:K102"/>
    <mergeCell ref="H99:K99"/>
    <mergeCell ref="C105:AO105"/>
    <mergeCell ref="H98:K98"/>
    <mergeCell ref="L98:O98"/>
    <mergeCell ref="H96:K96"/>
    <mergeCell ref="L96:O96"/>
    <mergeCell ref="H97:K97"/>
    <mergeCell ref="L97:O97"/>
    <mergeCell ref="H103:K103"/>
    <mergeCell ref="H100:K100"/>
    <mergeCell ref="L100:O100"/>
    <mergeCell ref="L103:O103"/>
    <mergeCell ref="L99:O99"/>
    <mergeCell ref="R21:W21"/>
    <mergeCell ref="X21:AI21"/>
    <mergeCell ref="AJ21:AO21"/>
    <mergeCell ref="H31:K31"/>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M43"/>
  <sheetViews>
    <sheetView showGridLines="0" zoomScaleNormal="100" workbookViewId="0"/>
  </sheetViews>
  <sheetFormatPr defaultColWidth="8.85546875" defaultRowHeight="15"/>
  <cols>
    <col min="1" max="1" width="4.28515625" style="640" customWidth="1"/>
    <col min="2" max="2" width="3.42578125" style="640" customWidth="1"/>
    <col min="3" max="3" width="6.85546875" style="640" customWidth="1"/>
    <col min="4" max="4" width="8.85546875" style="640" customWidth="1"/>
    <col min="5" max="5" width="39" style="640" customWidth="1"/>
    <col min="6" max="6" width="30" style="640" customWidth="1"/>
    <col min="7" max="9" width="8.85546875" style="640" customWidth="1"/>
    <col min="10" max="10" width="12" style="640" customWidth="1"/>
    <col min="11" max="11" width="8.85546875" style="640" customWidth="1"/>
    <col min="12" max="12" width="18.28515625" style="640" customWidth="1"/>
    <col min="13" max="16384" width="8.85546875" style="640" customWidth="1"/>
  </cols>
  <sheetData>
    <row r="1">
      <c r="M1" s="640"/>
    </row>
    <row r="2" ht="84" customHeight="1">
      <c r="B2" s="641"/>
      <c r="C2" s="642"/>
      <c r="K2" s="643"/>
      <c r="M2" s="643"/>
    </row>
    <row r="3" ht="15" customHeight="1">
      <c r="B3" s="641"/>
    </row>
    <row r="4">
      <c r="A4" s="644" t="s">
        <v>114</v>
      </c>
      <c r="B4" s="645"/>
      <c r="C4" s="645"/>
      <c r="D4" s="645"/>
      <c r="E4" s="645"/>
      <c r="F4" s="645"/>
      <c r="G4" s="645"/>
      <c r="H4" s="645"/>
      <c r="I4" s="645"/>
      <c r="J4" s="645"/>
      <c r="K4" s="645"/>
    </row>
    <row r="5">
      <c r="A5" s="691" t="s">
        <v>121</v>
      </c>
      <c r="B5" s="691"/>
      <c r="C5" s="691"/>
      <c r="D5" s="691"/>
      <c r="E5" s="691"/>
      <c r="F5" s="691"/>
      <c r="G5" s="645"/>
      <c r="H5" s="645"/>
      <c r="I5" s="645"/>
      <c r="J5" s="645"/>
      <c r="K5" s="645"/>
    </row>
    <row r="6">
      <c r="A6" s="645"/>
      <c r="B6" s="645"/>
      <c r="C6" s="645"/>
      <c r="D6" s="645"/>
      <c r="E6" s="645"/>
      <c r="F6" s="645"/>
      <c r="G6" s="645"/>
      <c r="H6" s="645"/>
      <c r="I6" s="645"/>
      <c r="J6" s="645"/>
      <c r="K6" s="645"/>
    </row>
    <row r="7">
      <c r="A7" s="645"/>
      <c r="B7" s="645"/>
      <c r="C7" s="645"/>
      <c r="D7" s="645"/>
      <c r="E7" s="645"/>
      <c r="F7" s="645"/>
      <c r="G7" s="645"/>
      <c r="H7" s="645"/>
      <c r="I7" s="645"/>
      <c r="J7" s="645"/>
      <c r="K7" s="645"/>
    </row>
    <row r="8">
      <c r="A8" s="644" t="s">
        <v>115</v>
      </c>
      <c r="B8" s="645"/>
      <c r="C8" s="645"/>
      <c r="D8" s="645"/>
      <c r="E8" s="645"/>
      <c r="F8" s="645"/>
      <c r="G8" s="645"/>
      <c r="H8" s="645"/>
      <c r="I8" s="645"/>
      <c r="J8" s="645"/>
      <c r="K8" s="645"/>
    </row>
    <row r="9">
      <c r="A9" s="691" t="s">
        <v>122</v>
      </c>
      <c r="B9" s="691"/>
      <c r="C9" s="691"/>
      <c r="D9" s="691"/>
      <c r="E9" s="691"/>
      <c r="F9" s="691"/>
      <c r="G9" s="645"/>
      <c r="H9" s="645"/>
      <c r="I9" s="645"/>
      <c r="J9" s="645"/>
      <c r="K9" s="645"/>
    </row>
    <row r="10">
      <c r="A10" s="690"/>
      <c r="B10" s="690"/>
      <c r="C10" s="690"/>
      <c r="D10" s="690"/>
      <c r="E10" s="690"/>
      <c r="F10" s="690"/>
      <c r="G10" s="645"/>
      <c r="H10" s="645"/>
      <c r="I10" s="645"/>
      <c r="J10" s="645"/>
      <c r="K10" s="645"/>
    </row>
    <row r="11">
      <c r="A11" s="645"/>
      <c r="B11" s="645"/>
      <c r="C11" s="645"/>
      <c r="D11" s="645"/>
      <c r="E11" s="645"/>
      <c r="F11" s="645"/>
      <c r="G11" s="645"/>
      <c r="H11" s="645"/>
      <c r="I11" s="645"/>
      <c r="J11" s="645"/>
      <c r="K11" s="645"/>
    </row>
    <row r="12">
      <c r="A12" s="690" t="s">
        <v>123</v>
      </c>
      <c r="B12" s="690"/>
      <c r="C12" s="690"/>
      <c r="D12" s="690"/>
      <c r="E12" s="690"/>
      <c r="F12" s="645"/>
      <c r="G12" s="645"/>
      <c r="H12" s="645"/>
      <c r="I12" s="645"/>
      <c r="J12" s="645"/>
      <c r="K12" s="645"/>
    </row>
    <row r="13">
      <c r="A13" s="645"/>
      <c r="B13" s="645"/>
      <c r="C13" s="645"/>
      <c r="D13" s="645"/>
      <c r="E13" s="645"/>
      <c r="F13" s="645"/>
      <c r="G13" s="645"/>
      <c r="H13" s="645"/>
      <c r="I13" s="645"/>
      <c r="J13" s="645"/>
      <c r="K13" s="645"/>
    </row>
    <row r="14" ht="16.5" customHeight="1">
      <c r="A14" s="990" t="s">
        <v>116</v>
      </c>
      <c r="B14" s="990"/>
      <c r="C14" s="990"/>
      <c r="D14" s="990"/>
      <c r="E14" s="990"/>
      <c r="F14" s="990"/>
      <c r="G14" s="990"/>
      <c r="H14" s="990"/>
      <c r="I14" s="990"/>
      <c r="J14" s="646"/>
      <c r="K14" s="645"/>
    </row>
    <row r="15" ht="15" customHeight="1">
      <c r="A15" s="990" t="s">
        <v>117</v>
      </c>
      <c r="B15" s="990"/>
      <c r="C15" s="990"/>
      <c r="D15" s="990"/>
      <c r="E15" s="990"/>
      <c r="F15" s="990"/>
      <c r="G15" s="990"/>
      <c r="H15" s="990"/>
      <c r="I15" s="990"/>
      <c r="J15" s="646"/>
      <c r="K15" s="646"/>
      <c r="L15" s="646"/>
    </row>
    <row r="16">
      <c r="C16" s="647"/>
      <c r="D16" s="647"/>
      <c r="E16" s="647"/>
      <c r="F16" s="647"/>
      <c r="G16" s="647"/>
      <c r="H16" s="647"/>
      <c r="I16" s="647"/>
      <c r="J16" s="647"/>
      <c r="K16" s="647"/>
      <c r="L16" s="647"/>
    </row>
    <row r="43">
      <c r="A43" s="640"/>
    </row>
  </sheetData>
  <mergeCells count="2">
    <mergeCell ref="A15:I15"/>
    <mergeCell ref="A14:I14"/>
  </mergeCells>
  <hyperlinks>
    <hyperlink ref="A5:F5" r:id="rId83" display="For all STR definitions, please click here or visit www.str.com/data-insights/resources/glossary"/>
    <hyperlink ref="A14:I14" r:id="rId84" display="For the latest in industry news, visit HotelNewsNow.com."/>
    <hyperlink ref="A15:I15" r:id="rId85" display="To learn more about the Hotel Data Conference, visit HotelDataConference.com."/>
    <hyperlink ref="A9:F9" r:id="rId86" display="For all STR FAQs, please click here or visit www.str.com/data-insights/resources/FAQ"/>
    <hyperlink ref="A12:E12" r:id="rId87" display="For additional support, please contact your regional office."/>
  </hyperlinks>
  <printOptions horizontalCentered="1" verticalCentered="1"/>
  <pageMargins left="0.25" right="0.25" top="0.25" bottom="0.25" header="0" footer="0"/>
  <pageSetup scale="93" fitToWidth="1" fitToHeight="1" orientation="landscape" r:id="rId6"/>
  <headerFooter>
    <oddHeader/>
    <oddFooter/>
  </headerFooter>
  <rowBreaks count="1" manualBreakCount="1">
    <brk id="43" max="16383" man="1"/>
  </rowBreaks>
  <colBreaks count="1" manualBreakCount="1">
    <brk id="13" max="1048575" man="1"/>
  </colBreaks>
  <drawing r:id="rId7"/>
</worksheet>
</file>

<file path=xl/worksheets/sheet2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pageSetUpPr fitToPage="1"/>
  </sheetPr>
  <dimension ref="A1:AV94"/>
  <sheetViews>
    <sheetView showGridLines="0" zoomScale="70" zoomScaleNormal="75" workbookViewId="0"/>
  </sheetViews>
  <sheetFormatPr defaultRowHeight="12.75"/>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236" customWidth="1"/>
    <col min="38" max="48" width="9.140625" style="236" customWidth="1"/>
  </cols>
  <sheetData>
    <row r="1" ht="39.95" customHeight="1">
      <c r="A1" s="7"/>
      <c r="B1" s="656" t="s">
        <v>131</v>
      </c>
      <c r="AA1" s="998"/>
      <c r="AB1" s="998"/>
      <c r="AC1" s="998"/>
      <c r="AD1" s="998"/>
      <c r="AE1" s="998"/>
      <c r="AF1" s="998"/>
      <c r="AH1" s="236"/>
    </row>
    <row r="2" ht="20.1" customHeight="1">
      <c r="A2" s="6"/>
      <c r="B2" s="999" t="s">
        <v>170</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c r="AC2" s="999"/>
      <c r="AD2" s="999"/>
      <c r="AE2" s="999"/>
      <c r="AF2" s="26"/>
    </row>
    <row r="3" ht="20.1" customHeight="1">
      <c r="A3" s="6"/>
      <c r="B3" s="999" t="s">
        <v>171</v>
      </c>
      <c r="C3" s="999"/>
      <c r="D3" s="999"/>
      <c r="E3" s="999"/>
      <c r="F3" s="999"/>
      <c r="G3" s="999"/>
      <c r="H3" s="999"/>
      <c r="I3" s="999"/>
      <c r="J3" s="999"/>
      <c r="K3" s="999"/>
      <c r="L3" s="999"/>
      <c r="M3" s="999"/>
      <c r="N3" s="999"/>
      <c r="O3" s="999"/>
      <c r="P3" s="999"/>
      <c r="Q3" s="999"/>
      <c r="R3" s="999"/>
      <c r="S3" s="999"/>
      <c r="T3" s="999"/>
      <c r="U3" s="1000"/>
      <c r="V3" s="1000"/>
      <c r="W3" s="1000"/>
      <c r="X3" s="1000"/>
      <c r="Y3" s="1000"/>
      <c r="Z3" s="1000"/>
      <c r="AA3" s="1000"/>
      <c r="AB3" s="1000"/>
      <c r="AC3" s="1000"/>
      <c r="AD3" s="1000"/>
      <c r="AE3" s="1000"/>
      <c r="AF3" s="1000"/>
    </row>
    <row r="4" ht="20.1" customHeight="1">
      <c r="A4" s="6"/>
      <c r="B4" s="999" t="s">
        <v>172</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c r="AC4" s="999"/>
      <c r="AD4" s="999"/>
      <c r="AE4" s="999"/>
      <c r="AF4" s="26"/>
    </row>
    <row r="5" ht="20.1"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row>
    <row r="6" ht="24.95" customHeight="1">
      <c r="A6" s="6"/>
      <c r="B6" s="4"/>
      <c r="C6" s="4"/>
      <c r="D6" s="4"/>
      <c r="E6" s="4"/>
      <c r="F6" s="4"/>
      <c r="G6" s="4"/>
      <c r="H6" s="4"/>
      <c r="I6" s="4"/>
      <c r="J6" s="4"/>
      <c r="K6" s="4"/>
      <c r="L6" s="4"/>
      <c r="M6" s="4"/>
      <c r="N6" s="4"/>
      <c r="O6" s="4"/>
      <c r="P6" s="4"/>
      <c r="Q6" s="4"/>
      <c r="R6" s="4"/>
      <c r="S6" s="4"/>
      <c r="T6" s="4"/>
      <c r="U6" s="4"/>
      <c r="V6" s="4"/>
      <c r="W6" s="4"/>
      <c r="X6" s="4"/>
      <c r="Y6" s="24"/>
      <c r="Z6" s="24"/>
      <c r="AA6" s="24"/>
      <c r="AB6" s="24"/>
      <c r="AC6" s="24"/>
      <c r="AD6" s="24"/>
      <c r="AE6" s="24"/>
      <c r="AF6" s="24"/>
      <c r="AG6" s="24"/>
    </row>
    <row r="7" ht="24.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row>
    <row r="8" ht="24.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row>
    <row r="9" ht="24.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row>
    <row r="10" ht="24.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row>
    <row r="11" ht="24.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row>
    <row r="12" ht="24.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row>
    <row r="13" ht="24.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ht="24.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ht="24.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row>
    <row r="16" ht="24.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ht="20.2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ht="28.5" customHeight="1">
      <c r="A18" s="8"/>
      <c r="B18" s="25"/>
      <c r="X18" s="1001"/>
      <c r="Y18" s="1001"/>
      <c r="Z18" s="1001"/>
      <c r="AA18" s="1001"/>
      <c r="AB18" s="1001"/>
      <c r="AC18" s="1001"/>
      <c r="AD18" s="1001"/>
      <c r="AE18" s="1001"/>
      <c r="AF18" s="1001"/>
      <c r="AG18" s="1001"/>
    </row>
    <row r="19" s="117" customFormat="1" ht="15.95" customHeight="1">
      <c r="B19" s="964" t="s">
        <v>22</v>
      </c>
      <c r="C19" s="1002">
        <v>2024</v>
      </c>
      <c r="D19" s="1002"/>
      <c r="E19" s="1002"/>
      <c r="F19" s="1002"/>
      <c r="G19" s="1002"/>
      <c r="H19" s="1002"/>
      <c r="I19" s="1002"/>
      <c r="J19" s="1002"/>
      <c r="K19" s="1002"/>
      <c r="L19" s="1002"/>
      <c r="M19" s="1002"/>
      <c r="N19" s="1002"/>
      <c r="O19" s="1002">
        <v>2025</v>
      </c>
      <c r="P19" s="1002"/>
      <c r="Q19" s="1002"/>
      <c r="R19" s="1002"/>
      <c r="S19" s="1002"/>
      <c r="T19" s="1002"/>
      <c r="U19" s="119"/>
      <c r="V19" s="1003" t="s">
        <v>58</v>
      </c>
      <c r="W19" s="1003"/>
      <c r="X19" s="1003"/>
      <c r="Y19" s="119"/>
      <c r="Z19" s="1003" t="s">
        <v>44</v>
      </c>
      <c r="AA19" s="1003"/>
      <c r="AB19" s="1003"/>
      <c r="AC19" s="119"/>
      <c r="AD19" s="1004" t="s">
        <v>45</v>
      </c>
      <c r="AE19" s="1004"/>
      <c r="AF19" s="1004"/>
      <c r="AG19" s="119"/>
      <c r="AH19" s="236"/>
      <c r="AI19" s="236"/>
      <c r="AJ19" s="236"/>
      <c r="AK19" s="236"/>
      <c r="AL19" s="236"/>
      <c r="AM19" s="236"/>
      <c r="AN19" s="236"/>
      <c r="AO19" s="236"/>
      <c r="AP19" s="236"/>
      <c r="AQ19" s="236"/>
      <c r="AR19" s="236"/>
      <c r="AS19" s="236"/>
      <c r="AT19" s="236"/>
      <c r="AU19" s="236"/>
      <c r="AV19" s="236"/>
    </row>
    <row r="20" s="118" customFormat="1" ht="15.95" customHeight="1">
      <c r="B20" s="964"/>
      <c r="C20" s="269" t="s">
        <v>180</v>
      </c>
      <c r="D20" s="269" t="s">
        <v>183</v>
      </c>
      <c r="E20" s="269" t="s">
        <v>186</v>
      </c>
      <c r="F20" s="269" t="s">
        <v>187</v>
      </c>
      <c r="G20" s="269" t="s">
        <v>188</v>
      </c>
      <c r="H20" s="269" t="s">
        <v>189</v>
      </c>
      <c r="I20" s="269" t="s">
        <v>190</v>
      </c>
      <c r="J20" s="269" t="s">
        <v>191</v>
      </c>
      <c r="K20" s="269" t="s">
        <v>192</v>
      </c>
      <c r="L20" s="269" t="s">
        <v>193</v>
      </c>
      <c r="M20" s="269" t="s">
        <v>194</v>
      </c>
      <c r="N20" s="1005" t="s">
        <v>196</v>
      </c>
      <c r="O20" s="269" t="s">
        <v>180</v>
      </c>
      <c r="P20" s="269" t="s">
        <v>183</v>
      </c>
      <c r="Q20" s="269" t="s">
        <v>186</v>
      </c>
      <c r="R20" s="269" t="s">
        <v>187</v>
      </c>
      <c r="S20" s="269" t="s">
        <v>188</v>
      </c>
      <c r="T20" s="1005" t="s">
        <v>189</v>
      </c>
      <c r="U20" s="144"/>
      <c r="V20" s="268">
        <v>2023</v>
      </c>
      <c r="W20" s="269">
        <v>2024</v>
      </c>
      <c r="X20" s="270">
        <v>2025</v>
      </c>
      <c r="Y20" s="144"/>
      <c r="Z20" s="268">
        <v>2023</v>
      </c>
      <c r="AA20" s="269">
        <v>2024</v>
      </c>
      <c r="AB20" s="270">
        <v>2025</v>
      </c>
      <c r="AC20" s="144"/>
      <c r="AD20" s="268">
        <v>2023</v>
      </c>
      <c r="AE20" s="269">
        <v>2024</v>
      </c>
      <c r="AF20" s="270">
        <v>2025</v>
      </c>
      <c r="AG20" s="144"/>
      <c r="AH20" s="236"/>
      <c r="AI20" s="236"/>
      <c r="AJ20" s="236"/>
      <c r="AK20" s="236"/>
      <c r="AL20" s="236"/>
      <c r="AM20" s="236"/>
      <c r="AN20" s="236"/>
      <c r="AO20" s="236"/>
      <c r="AP20" s="236"/>
      <c r="AQ20" s="236"/>
      <c r="AR20" s="236"/>
      <c r="AS20" s="236"/>
      <c r="AT20" s="236"/>
      <c r="AU20" s="236"/>
      <c r="AV20" s="236"/>
    </row>
    <row r="21" ht="21.95" customHeight="1">
      <c r="B21" s="263" t="s">
        <v>19</v>
      </c>
      <c r="C21" s="573">
        <v>37.790496011099549080818591740</v>
      </c>
      <c r="D21" s="574">
        <v>43.900630329996292176492398960</v>
      </c>
      <c r="E21" s="574">
        <v>45.005202913631633714880332990</v>
      </c>
      <c r="F21" s="574">
        <v>40.412186379928315412186379930</v>
      </c>
      <c r="G21" s="574">
        <v>37.911897329171002428026361430</v>
      </c>
      <c r="H21" s="574">
        <v>35.017921146953405017921146950</v>
      </c>
      <c r="I21" s="574">
        <v>36.368366285119667013527575440</v>
      </c>
      <c r="J21" s="574">
        <v>34.356573014221297259798820670</v>
      </c>
      <c r="K21" s="574">
        <v>52.634408602150537634408602150</v>
      </c>
      <c r="L21" s="574">
        <v>42.195629552549427679500520290</v>
      </c>
      <c r="M21" s="574">
        <v>33.100358422939068100358422940</v>
      </c>
      <c r="N21" s="1006">
        <v>24.557752341311134235171696150</v>
      </c>
      <c r="O21" s="574">
        <v>26.517516475893166840097121050</v>
      </c>
      <c r="P21" s="574">
        <v>42.108294930875576036866359450</v>
      </c>
      <c r="Q21" s="574">
        <v>45.334720776968435657301422130</v>
      </c>
      <c r="R21" s="574">
        <v>34.175627240143369175627240140</v>
      </c>
      <c r="S21" s="574">
        <v>39.472771418661116892126257370</v>
      </c>
      <c r="T21" s="1006">
        <v>40.860215053763440860215053760</v>
      </c>
      <c r="U21" s="113"/>
      <c r="V21" s="573">
        <v>47.795995960316045862294302860</v>
      </c>
      <c r="W21" s="574">
        <v>39.988774666194021032730710150</v>
      </c>
      <c r="X21" s="575">
        <v>38.017584506623893542446385080</v>
      </c>
      <c r="Y21" s="113"/>
      <c r="Z21" s="573">
        <v>51.547914451140257591870495100</v>
      </c>
      <c r="AA21" s="574">
        <v>37.782110362755524045846626490</v>
      </c>
      <c r="AB21" s="575">
        <v>38.183859151601087084958052700</v>
      </c>
      <c r="AC21" s="113"/>
      <c r="AD21" s="573">
        <v>43.138901163647076152599793780</v>
      </c>
      <c r="AE21" s="574">
        <v>43.329514072507197837710793820</v>
      </c>
      <c r="AF21" s="575">
        <v>37.575489762851671822065105320</v>
      </c>
      <c r="AG21" s="113"/>
    </row>
    <row r="22" ht="21.95" customHeight="1">
      <c r="B22" s="38" t="s">
        <v>35</v>
      </c>
      <c r="C22" s="271">
        <v>47.347472227172815303273332150</v>
      </c>
      <c r="D22" s="92">
        <v>61.834000127008296961325966850</v>
      </c>
      <c r="E22" s="92">
        <v>58.801164379492663221053882260</v>
      </c>
      <c r="F22" s="92">
        <v>56.255371393492940454266421120</v>
      </c>
      <c r="G22" s="92">
        <v>53.359472464801283193726608450</v>
      </c>
      <c r="H22" s="92">
        <v>56.488643339472068753836709640</v>
      </c>
      <c r="I22" s="92">
        <v>54.826828254024832174894552370</v>
      </c>
      <c r="J22" s="92">
        <v>46.266262698271252896096952410</v>
      </c>
      <c r="K22" s="92">
        <v>47.391037446286065070595457340</v>
      </c>
      <c r="L22" s="92">
        <v>53.478286698746509831877858970</v>
      </c>
      <c r="M22" s="92">
        <v>50.122774708410067526089625540</v>
      </c>
      <c r="N22" s="1007">
        <v>42.060238816610229905542684010</v>
      </c>
      <c r="O22" s="92">
        <v>42.802827778767896393987999760</v>
      </c>
      <c r="P22" s="92">
        <v>59.359379110760326229939489610</v>
      </c>
      <c r="Q22" s="92">
        <v>54.574348006891225568823145010</v>
      </c>
      <c r="R22" s="92">
        <v>51.829343155310006138735420500</v>
      </c>
      <c r="S22" s="92">
        <v>54.803065407235786847264302260</v>
      </c>
      <c r="T22" s="1007">
        <v>59.800491098833640270104358500</v>
      </c>
      <c r="U22" s="113"/>
      <c r="V22" s="271">
        <v>55.380889879226315843024734690</v>
      </c>
      <c r="W22" s="92">
        <v>55.571402357793658587955190630</v>
      </c>
      <c r="X22" s="272">
        <v>53.748868064670390606717336670</v>
      </c>
      <c r="Y22" s="113"/>
      <c r="Z22" s="271">
        <v>57.617428611903750025296986620</v>
      </c>
      <c r="AA22" s="92">
        <v>55.345759213162528079655151480</v>
      </c>
      <c r="AB22" s="272">
        <v>55.470220387347459170663590550</v>
      </c>
      <c r="AC22" s="113"/>
      <c r="AD22" s="271">
        <v>52.525038472211710688967935620</v>
      </c>
      <c r="AE22" s="92">
        <v>52.805187506904988253992280330</v>
      </c>
      <c r="AF22" s="272">
        <v>51.368601629708115744594969600</v>
      </c>
      <c r="AG22" s="113"/>
    </row>
    <row r="23" ht="21.95" customHeight="1">
      <c r="B23" s="40" t="s">
        <v>97</v>
      </c>
      <c r="C23" s="576">
        <v>79.81523454886743728533547520</v>
      </c>
      <c r="D23" s="113">
        <v>70.997558365671625727090976300</v>
      </c>
      <c r="E23" s="113">
        <v>76.537945104573324505998837860</v>
      </c>
      <c r="F23" s="113">
        <v>71.837027076489485539434544540</v>
      </c>
      <c r="G23" s="113">
        <v>71.049985275211626660853616970</v>
      </c>
      <c r="H23" s="113">
        <v>61.991081882589535787803705870</v>
      </c>
      <c r="I23" s="113">
        <v>66.333157403586155318740564260</v>
      </c>
      <c r="J23" s="113">
        <v>74.258371025684098679609689650</v>
      </c>
      <c r="K23" s="113">
        <v>111.06405649336530345288551681</v>
      </c>
      <c r="L23" s="113">
        <v>78.902358615716756575720362640</v>
      </c>
      <c r="M23" s="113">
        <v>66.038559548044791499387324330</v>
      </c>
      <c r="N23" s="1008">
        <v>58.387096774207749316566433200</v>
      </c>
      <c r="O23" s="113">
        <v>61.952721004632183888278390880</v>
      </c>
      <c r="P23" s="113">
        <v>70.937896523945081514978802480</v>
      </c>
      <c r="Q23" s="113">
        <v>83.06965164519533919815761010</v>
      </c>
      <c r="R23" s="113">
        <v>65.938762020850759688861983730</v>
      </c>
      <c r="S23" s="113">
        <v>72.026575749675497966122204390</v>
      </c>
      <c r="T23" s="1008">
        <v>68.327557688875520877589515330</v>
      </c>
      <c r="U23" s="113"/>
      <c r="V23" s="576">
        <v>86.30413137920216986106673990</v>
      </c>
      <c r="W23" s="113">
        <v>71.959268561775278080439225160</v>
      </c>
      <c r="X23" s="577">
        <v>70.731879340901407651754031970</v>
      </c>
      <c r="Y23" s="113"/>
      <c r="Z23" s="576">
        <v>89.46583645437766560411818325</v>
      </c>
      <c r="AA23" s="113">
        <v>68.265592341435377503642874700</v>
      </c>
      <c r="AB23" s="577">
        <v>68.836681889843988586294204180</v>
      </c>
      <c r="AC23" s="113"/>
      <c r="AD23" s="576">
        <v>82.13016576176191138702279132</v>
      </c>
      <c r="AE23" s="113">
        <v>82.05541182264597473865275370</v>
      </c>
      <c r="AF23" s="577">
        <v>73.148749568309239705441506760</v>
      </c>
      <c r="AG23" s="113"/>
    </row>
    <row r="24" ht="21.95" customHeight="1">
      <c r="A24" s="23"/>
      <c r="B24" s="39" t="s">
        <v>23</v>
      </c>
      <c r="C24" s="273" t="s">
        <v>181</v>
      </c>
      <c r="D24" s="274" t="s">
        <v>184</v>
      </c>
      <c r="E24" s="274" t="s">
        <v>181</v>
      </c>
      <c r="F24" s="274" t="s">
        <v>184</v>
      </c>
      <c r="G24" s="274" t="s">
        <v>184</v>
      </c>
      <c r="H24" s="274" t="s">
        <v>184</v>
      </c>
      <c r="I24" s="274" t="s">
        <v>184</v>
      </c>
      <c r="J24" s="274" t="s">
        <v>181</v>
      </c>
      <c r="K24" s="274" t="s">
        <v>185</v>
      </c>
      <c r="L24" s="274" t="s">
        <v>181</v>
      </c>
      <c r="M24" s="274" t="s">
        <v>184</v>
      </c>
      <c r="N24" s="1009" t="s">
        <v>184</v>
      </c>
      <c r="O24" s="274" t="s">
        <v>184</v>
      </c>
      <c r="P24" s="274" t="s">
        <v>184</v>
      </c>
      <c r="Q24" s="274" t="s">
        <v>181</v>
      </c>
      <c r="R24" s="274" t="s">
        <v>197</v>
      </c>
      <c r="S24" s="274" t="s">
        <v>181</v>
      </c>
      <c r="T24" s="1009" t="s">
        <v>184</v>
      </c>
      <c r="U24" s="113"/>
      <c r="V24" s="273" t="s">
        <v>184</v>
      </c>
      <c r="W24" s="274" t="s">
        <v>184</v>
      </c>
      <c r="X24" s="275" t="s">
        <v>197</v>
      </c>
      <c r="Y24" s="113"/>
      <c r="Z24" s="273" t="s">
        <v>182</v>
      </c>
      <c r="AA24" s="274" t="s">
        <v>184</v>
      </c>
      <c r="AB24" s="275" t="s">
        <v>184</v>
      </c>
      <c r="AC24" s="113"/>
      <c r="AD24" s="273" t="s">
        <v>184</v>
      </c>
      <c r="AE24" s="274" t="s">
        <v>181</v>
      </c>
      <c r="AF24" s="275" t="s">
        <v>181</v>
      </c>
      <c r="AG24" s="113"/>
    </row>
    <row r="25" ht="21.95" customHeight="1">
      <c r="B25" s="25" t="s">
        <v>68</v>
      </c>
      <c r="F25" s="4"/>
      <c r="G25" s="4"/>
      <c r="H25" s="4"/>
      <c r="I25" s="4"/>
      <c r="J25" s="4"/>
      <c r="K25" s="4"/>
      <c r="L25" s="4"/>
      <c r="M25" s="4"/>
      <c r="N25" s="4"/>
      <c r="O25" s="4"/>
      <c r="P25" s="4"/>
      <c r="Q25" s="4"/>
      <c r="R25" s="98"/>
      <c r="S25" s="98"/>
      <c r="T25" s="98"/>
      <c r="U25" s="9"/>
      <c r="V25" s="98"/>
      <c r="W25" s="98"/>
      <c r="X25" s="98"/>
      <c r="Y25" s="9"/>
      <c r="Z25" s="98"/>
      <c r="AA25" s="98"/>
      <c r="AB25" s="98"/>
      <c r="AC25" s="9"/>
      <c r="AD25" s="98"/>
      <c r="AE25" s="98"/>
      <c r="AF25" s="98"/>
      <c r="AG25" s="9"/>
    </row>
    <row r="26" ht="21.95" customHeight="1">
      <c r="B26" s="37" t="s">
        <v>19</v>
      </c>
      <c r="C26" s="573">
        <v>26.538908246130084538277012420</v>
      </c>
      <c r="D26" s="574">
        <v>-18.606449712097646576320543470</v>
      </c>
      <c r="E26" s="574">
        <v>-8.465608465536594160297807560</v>
      </c>
      <c r="F26" s="574">
        <v>-14.421252371876236187074431320</v>
      </c>
      <c r="G26" s="574">
        <v>-17.540550735565634712764347920</v>
      </c>
      <c r="H26" s="574">
        <v>-43.181157313209442921668627760</v>
      </c>
      <c r="I26" s="574">
        <v>-26.933797909413724653692529460</v>
      </c>
      <c r="J26" s="574">
        <v>-11.798753339274918148738154180</v>
      </c>
      <c r="K26" s="574">
        <v>-2.7161311692078531890496472500</v>
      </c>
      <c r="L26" s="574">
        <v>-12.261089073143329402880157780</v>
      </c>
      <c r="M26" s="574">
        <v>-28.659714175410186693234149260</v>
      </c>
      <c r="N26" s="1006">
        <v>-42.509135200957195185456072440</v>
      </c>
      <c r="O26" s="574">
        <v>-29.830197338229382475846354320</v>
      </c>
      <c r="P26" s="574">
        <v>-4.0827099420930432074131919400</v>
      </c>
      <c r="Q26" s="574">
        <v>0.7321772640399751411674793500</v>
      </c>
      <c r="R26" s="574">
        <v>-15.432372505483983657897412290</v>
      </c>
      <c r="S26" s="574">
        <v>4.1171088745772718179147789600</v>
      </c>
      <c r="T26" s="1006">
        <v>16.683725690735221245242624570</v>
      </c>
      <c r="U26" s="113"/>
      <c r="V26" s="573">
        <v>-0.8991808831349436936523776800</v>
      </c>
      <c r="W26" s="574">
        <v>-16.334467223134679429745030490</v>
      </c>
      <c r="X26" s="575">
        <v>-4.9293587413725625159941223500</v>
      </c>
      <c r="Y26" s="113"/>
      <c r="Z26" s="573">
        <v>4.5035333573757159752027682400</v>
      </c>
      <c r="AA26" s="574">
        <v>-26.704871060114678165203853460</v>
      </c>
      <c r="AB26" s="575">
        <v>1.0633307270116020713505952600</v>
      </c>
      <c r="AC26" s="113"/>
      <c r="AD26" s="573">
        <v>-11.133025852586953511161030570</v>
      </c>
      <c r="AE26" s="574">
        <v>0.441858516943482876374750100</v>
      </c>
      <c r="AF26" s="575">
        <v>-13.279688066707958758945749030</v>
      </c>
      <c r="AG26" s="113"/>
    </row>
    <row r="27" ht="21.95" customHeight="1">
      <c r="B27" s="38" t="s">
        <v>35</v>
      </c>
      <c r="C27" s="271">
        <v>8.731241473460828176270163990</v>
      </c>
      <c r="D27" s="92">
        <v>7.7320962505314599428002285800</v>
      </c>
      <c r="E27" s="92">
        <v>-0.0504897506163608266467553300</v>
      </c>
      <c r="F27" s="92">
        <v>8.591065292154896937757107050</v>
      </c>
      <c r="G27" s="92">
        <v>2.7747582813967157987278383300</v>
      </c>
      <c r="H27" s="92">
        <v>-18.508678710563207501534937420</v>
      </c>
      <c r="I27" s="92">
        <v>-4.2336826813198934597660118700</v>
      </c>
      <c r="J27" s="92">
        <v>-1.592115238762486284035535300</v>
      </c>
      <c r="K27" s="92">
        <v>6.9993069993839676234687183500</v>
      </c>
      <c r="L27" s="92">
        <v>-5.067229106281079380759458700</v>
      </c>
      <c r="M27" s="92">
        <v>-2.0219595608760346062652893800</v>
      </c>
      <c r="N27" s="1007">
        <v>-5.068382944542676640028862100</v>
      </c>
      <c r="O27" s="92">
        <v>-9.598494353878754992451273630</v>
      </c>
      <c r="P27" s="92">
        <v>-4.0020393491559397687881535800</v>
      </c>
      <c r="Q27" s="92">
        <v>-7.1883208729151972543667356800</v>
      </c>
      <c r="R27" s="92">
        <v>-7.8677433435296761343468944700</v>
      </c>
      <c r="S27" s="92">
        <v>2.7054108216457564427452099100</v>
      </c>
      <c r="T27" s="1007">
        <v>5.8628559008387659210662012100</v>
      </c>
      <c r="U27" s="113"/>
      <c r="V27" s="271">
        <v>0.6509116461190057351359177600</v>
      </c>
      <c r="W27" s="92">
        <v>0.344004003924847406201681300</v>
      </c>
      <c r="X27" s="272">
        <v>-3.2796262390412729014700562900</v>
      </c>
      <c r="Y27" s="113"/>
      <c r="Z27" s="271">
        <v>-3.252060147890660463716681600</v>
      </c>
      <c r="AA27" s="92">
        <v>-3.9426775082918110247948882100</v>
      </c>
      <c r="AB27" s="272">
        <v>0.2248793329729499829702600800</v>
      </c>
      <c r="AC27" s="113"/>
      <c r="AD27" s="271">
        <v>-6.6600914551672784675743343200</v>
      </c>
      <c r="AE27" s="92">
        <v>0.5333628358087983549924028600</v>
      </c>
      <c r="AF27" s="272">
        <v>-2.7205392974017316838129036400</v>
      </c>
      <c r="AG27" s="113"/>
    </row>
    <row r="28" ht="21.95" customHeight="1">
      <c r="B28" s="40" t="s">
        <v>97</v>
      </c>
      <c r="C28" s="576">
        <v>16.377691021725503050164680410</v>
      </c>
      <c r="D28" s="113">
        <v>-24.448188496548465655703156380</v>
      </c>
      <c r="E28" s="113">
        <v>-8.419369633751301579133307590</v>
      </c>
      <c r="F28" s="113">
        <v>-21.191722912167390769796361560</v>
      </c>
      <c r="G28" s="113">
        <v>-19.766827338401489633228532930</v>
      </c>
      <c r="H28" s="113">
        <v>-30.276203910121404853833962820</v>
      </c>
      <c r="I28" s="113">
        <v>-23.703652665828147315927950420</v>
      </c>
      <c r="J28" s="113">
        <v>-10.371768609077633807288820380</v>
      </c>
      <c r="K28" s="113">
        <v>-9.079907563043327646216170500</v>
      </c>
      <c r="L28" s="113">
        <v>-7.5778468268500321611341715100</v>
      </c>
      <c r="M28" s="113">
        <v>-27.187474351456374885190644550</v>
      </c>
      <c r="N28" s="1008">
        <v>-39.439707673510397874302623940</v>
      </c>
      <c r="O28" s="113">
        <v>-22.379829671895632157999416760</v>
      </c>
      <c r="P28" s="113">
        <v>-0.0840336528864942318372247600</v>
      </c>
      <c r="Q28" s="113">
        <v>8.533945524234851327414076260</v>
      </c>
      <c r="R28" s="113">
        <v>-8.210619642385974971810491850</v>
      </c>
      <c r="S28" s="113">
        <v>1.3745118604780019673286953900</v>
      </c>
      <c r="T28" s="1008">
        <v>10.221592548224389000348385620</v>
      </c>
      <c r="U28" s="113"/>
      <c r="V28" s="576">
        <v>-1.5400680469159526892431787700</v>
      </c>
      <c r="W28" s="113">
        <v>-16.621293312595636561357788310</v>
      </c>
      <c r="X28" s="577">
        <v>-1.7056721745920568166254732200</v>
      </c>
      <c r="Y28" s="113"/>
      <c r="Z28" s="576">
        <v>8.016288013041122179006890390</v>
      </c>
      <c r="AA28" s="113">
        <v>-23.696468901590399051913349370</v>
      </c>
      <c r="AB28" s="577">
        <v>0.8365701209885328369222273400</v>
      </c>
      <c r="AC28" s="113"/>
      <c r="AD28" s="576">
        <v>-4.7920921148906287953625873400</v>
      </c>
      <c r="AE28" s="113">
        <v>-0.0910188582485419324432793500</v>
      </c>
      <c r="AF28" s="577">
        <v>-10.854448300797699462131287680</v>
      </c>
      <c r="AG28" s="113"/>
    </row>
    <row r="29" ht="21.95" customHeight="1">
      <c r="A29" s="23"/>
      <c r="B29" s="39" t="s">
        <v>23</v>
      </c>
      <c r="C29" s="273" t="s">
        <v>198</v>
      </c>
      <c r="D29" s="274" t="s">
        <v>197</v>
      </c>
      <c r="E29" s="274" t="s">
        <v>182</v>
      </c>
      <c r="F29" s="274" t="s">
        <v>181</v>
      </c>
      <c r="G29" s="274" t="s">
        <v>184</v>
      </c>
      <c r="H29" s="274" t="s">
        <v>184</v>
      </c>
      <c r="I29" s="274" t="s">
        <v>181</v>
      </c>
      <c r="J29" s="274" t="s">
        <v>182</v>
      </c>
      <c r="K29" s="274" t="s">
        <v>185</v>
      </c>
      <c r="L29" s="274" t="s">
        <v>184</v>
      </c>
      <c r="M29" s="274" t="s">
        <v>184</v>
      </c>
      <c r="N29" s="1009" t="s">
        <v>184</v>
      </c>
      <c r="O29" s="274" t="s">
        <v>181</v>
      </c>
      <c r="P29" s="274" t="s">
        <v>182</v>
      </c>
      <c r="Q29" s="274" t="s">
        <v>182</v>
      </c>
      <c r="R29" s="274" t="s">
        <v>185</v>
      </c>
      <c r="S29" s="274" t="s">
        <v>195</v>
      </c>
      <c r="T29" s="1009" t="s">
        <v>198</v>
      </c>
      <c r="U29" s="113"/>
      <c r="V29" s="273" t="s">
        <v>182</v>
      </c>
      <c r="W29" s="274" t="s">
        <v>184</v>
      </c>
      <c r="X29" s="275" t="s">
        <v>182</v>
      </c>
      <c r="Y29" s="113"/>
      <c r="Z29" s="273" t="s">
        <v>195</v>
      </c>
      <c r="AA29" s="274" t="s">
        <v>184</v>
      </c>
      <c r="AB29" s="275" t="s">
        <v>185</v>
      </c>
      <c r="AC29" s="113"/>
      <c r="AD29" s="273" t="s">
        <v>181</v>
      </c>
      <c r="AE29" s="274" t="s">
        <v>185</v>
      </c>
      <c r="AF29" s="275" t="s">
        <v>197</v>
      </c>
      <c r="AG29" s="113"/>
    </row>
    <row r="30" ht="21.95" customHeight="1">
      <c r="A30" s="8"/>
      <c r="B30" s="25"/>
      <c r="F30" s="4"/>
      <c r="G30" s="4"/>
      <c r="H30" s="4"/>
      <c r="I30" s="4"/>
      <c r="J30" s="4"/>
      <c r="K30" s="4"/>
      <c r="L30" s="4"/>
      <c r="M30" s="4"/>
      <c r="N30" s="4"/>
      <c r="O30" s="4"/>
      <c r="P30" s="4"/>
      <c r="Q30" s="4"/>
      <c r="U30" s="9"/>
      <c r="X30" s="102"/>
      <c r="Y30" s="116"/>
      <c r="Z30" s="4"/>
      <c r="AA30" s="4"/>
      <c r="AB30" s="102"/>
      <c r="AC30" s="116"/>
      <c r="AF30" s="102"/>
      <c r="AG30" s="116"/>
    </row>
    <row r="31" s="117" customFormat="1" ht="15.95" customHeight="1">
      <c r="B31" s="964" t="s">
        <v>9</v>
      </c>
      <c r="C31" s="1002">
        <v>2024</v>
      </c>
      <c r="D31" s="1002"/>
      <c r="E31" s="1002"/>
      <c r="F31" s="1002"/>
      <c r="G31" s="1002"/>
      <c r="H31" s="1002"/>
      <c r="I31" s="1002"/>
      <c r="J31" s="1002"/>
      <c r="K31" s="1002"/>
      <c r="L31" s="1002"/>
      <c r="M31" s="1002"/>
      <c r="N31" s="1002"/>
      <c r="O31" s="1002">
        <v>2025</v>
      </c>
      <c r="P31" s="1002"/>
      <c r="Q31" s="1002"/>
      <c r="R31" s="1002"/>
      <c r="S31" s="1002"/>
      <c r="T31" s="1002"/>
      <c r="U31" s="119"/>
      <c r="V31" s="1003" t="s">
        <v>58</v>
      </c>
      <c r="W31" s="1003"/>
      <c r="X31" s="1003"/>
      <c r="Y31" s="119"/>
      <c r="Z31" s="1003" t="s">
        <v>44</v>
      </c>
      <c r="AA31" s="1003"/>
      <c r="AB31" s="1003"/>
      <c r="AC31" s="119"/>
      <c r="AD31" s="1004" t="s">
        <v>45</v>
      </c>
      <c r="AE31" s="1004"/>
      <c r="AF31" s="1004"/>
      <c r="AG31" s="119"/>
      <c r="AH31" s="236"/>
      <c r="AI31" s="236"/>
      <c r="AJ31" s="236"/>
      <c r="AK31" s="236"/>
      <c r="AL31" s="236"/>
      <c r="AM31" s="236"/>
      <c r="AN31" s="236"/>
      <c r="AO31" s="236"/>
      <c r="AP31" s="236"/>
      <c r="AQ31" s="236"/>
      <c r="AR31" s="236"/>
      <c r="AS31" s="236"/>
      <c r="AT31" s="236"/>
      <c r="AU31" s="236"/>
      <c r="AV31" s="236"/>
    </row>
    <row r="32" s="118" customFormat="1" ht="15.95" customHeight="1">
      <c r="B32" s="964"/>
      <c r="C32" s="269" t="s">
        <v>180</v>
      </c>
      <c r="D32" s="269" t="s">
        <v>183</v>
      </c>
      <c r="E32" s="269" t="s">
        <v>186</v>
      </c>
      <c r="F32" s="269" t="s">
        <v>187</v>
      </c>
      <c r="G32" s="269" t="s">
        <v>188</v>
      </c>
      <c r="H32" s="269" t="s">
        <v>189</v>
      </c>
      <c r="I32" s="269" t="s">
        <v>190</v>
      </c>
      <c r="J32" s="269" t="s">
        <v>191</v>
      </c>
      <c r="K32" s="269" t="s">
        <v>192</v>
      </c>
      <c r="L32" s="269" t="s">
        <v>193</v>
      </c>
      <c r="M32" s="269" t="s">
        <v>194</v>
      </c>
      <c r="N32" s="1005" t="s">
        <v>196</v>
      </c>
      <c r="O32" s="269" t="s">
        <v>180</v>
      </c>
      <c r="P32" s="269" t="s">
        <v>183</v>
      </c>
      <c r="Q32" s="269" t="s">
        <v>186</v>
      </c>
      <c r="R32" s="269" t="s">
        <v>187</v>
      </c>
      <c r="S32" s="269" t="s">
        <v>188</v>
      </c>
      <c r="T32" s="1005" t="s">
        <v>189</v>
      </c>
      <c r="U32" s="144"/>
      <c r="V32" s="268">
        <v>2023</v>
      </c>
      <c r="W32" s="269">
        <v>2024</v>
      </c>
      <c r="X32" s="270">
        <v>2025</v>
      </c>
      <c r="Y32" s="144"/>
      <c r="Z32" s="268">
        <v>2023</v>
      </c>
      <c r="AA32" s="269">
        <v>2024</v>
      </c>
      <c r="AB32" s="270">
        <v>2025</v>
      </c>
      <c r="AC32" s="144"/>
      <c r="AD32" s="268">
        <v>2023</v>
      </c>
      <c r="AE32" s="269">
        <v>2024</v>
      </c>
      <c r="AF32" s="270">
        <v>2025</v>
      </c>
      <c r="AG32" s="144"/>
      <c r="AH32" s="236"/>
      <c r="AI32" s="236"/>
      <c r="AJ32" s="236"/>
      <c r="AK32" s="236"/>
      <c r="AL32" s="236"/>
      <c r="AM32" s="236"/>
      <c r="AN32" s="236"/>
      <c r="AO32" s="236"/>
      <c r="AP32" s="236"/>
      <c r="AQ32" s="236"/>
      <c r="AR32" s="236"/>
      <c r="AS32" s="236"/>
      <c r="AT32" s="236"/>
      <c r="AU32" s="236"/>
      <c r="AV32" s="236"/>
    </row>
    <row r="33" ht="21.95" customHeight="1">
      <c r="B33" s="263" t="s">
        <v>19</v>
      </c>
      <c r="C33" s="578">
        <v>110.24415328132170720513997246</v>
      </c>
      <c r="D33" s="579">
        <v>117.62047297297297297297297297</v>
      </c>
      <c r="E33" s="579">
        <v>114.08175337186897880539499037</v>
      </c>
      <c r="F33" s="579">
        <v>117.82745454545454545454545455</v>
      </c>
      <c r="G33" s="579">
        <v>117.52575480329368709972552608</v>
      </c>
      <c r="H33" s="579">
        <v>109.39709314227226202661207779</v>
      </c>
      <c r="I33" s="579">
        <v>109.38009060562708631378159275</v>
      </c>
      <c r="J33" s="579">
        <v>106.55835941443715295305401312</v>
      </c>
      <c r="K33" s="579">
        <v>113.41747701736465781409601634</v>
      </c>
      <c r="L33" s="579">
        <v>115.5049691738594327990135635</v>
      </c>
      <c r="M33" s="579">
        <v>119.96041147807255008121277748</v>
      </c>
      <c r="N33" s="1010">
        <v>112.97590395480225988700564972</v>
      </c>
      <c r="O33" s="579">
        <v>109.71301504251144538914323087</v>
      </c>
      <c r="P33" s="579">
        <v>117.42785225718194254445964432</v>
      </c>
      <c r="Q33" s="579">
        <v>114.9407459831675592960979342</v>
      </c>
      <c r="R33" s="579">
        <v>110.37336654431043523859465128</v>
      </c>
      <c r="S33" s="579">
        <v>109.63275043936731107205623902</v>
      </c>
      <c r="T33" s="1010">
        <v>103.99178947368421052631578947</v>
      </c>
      <c r="U33" s="113"/>
      <c r="V33" s="578">
        <v>108.84779939096389285936237648</v>
      </c>
      <c r="W33" s="579">
        <v>114.58695205732437024451503287</v>
      </c>
      <c r="X33" s="580">
        <v>111.16751464958199859364012814</v>
      </c>
      <c r="Y33" s="113"/>
      <c r="Z33" s="578">
        <v>109.85559656160458452722063037</v>
      </c>
      <c r="AA33" s="579">
        <v>115.14841751368256450351837373</v>
      </c>
      <c r="AB33" s="580">
        <v>107.86127649698282531332198669</v>
      </c>
      <c r="AC33" s="113"/>
      <c r="AD33" s="578">
        <v>111.21860108580598900536074026</v>
      </c>
      <c r="AE33" s="579">
        <v>112.15498999898294741838153033</v>
      </c>
      <c r="AF33" s="580">
        <v>112.07238965111720893767150137</v>
      </c>
      <c r="AG33" s="113"/>
    </row>
    <row r="34" ht="21.95" customHeight="1">
      <c r="B34" s="38" t="s">
        <v>35</v>
      </c>
      <c r="C34" s="276">
        <v>136.03291907151819322459222081</v>
      </c>
      <c r="D34" s="94">
        <v>142.37903615076512272773955017</v>
      </c>
      <c r="E34" s="94">
        <v>139.9661972115578904829258436</v>
      </c>
      <c r="F34" s="94">
        <v>141.94785792230467044958533391</v>
      </c>
      <c r="G34" s="94">
        <v>141.20826207971498552660877309</v>
      </c>
      <c r="H34" s="94">
        <v>138.55117039773962182134318626</v>
      </c>
      <c r="I34" s="94">
        <v>137.82991548380106187019178675</v>
      </c>
      <c r="J34" s="94">
        <v>134.57845210580380071905495636</v>
      </c>
      <c r="K34" s="94">
        <v>143.80249740932642487046632123</v>
      </c>
      <c r="L34" s="94">
        <v>148.3283264830037769384581204</v>
      </c>
      <c r="M34" s="94">
        <v>141.43044335578689528475199019</v>
      </c>
      <c r="N34" s="1011">
        <v>130.7352521186440677966101695</v>
      </c>
      <c r="O34" s="94">
        <v>134.77290423317140874392782791</v>
      </c>
      <c r="P34" s="94">
        <v>140.8465501385041551246537396</v>
      </c>
      <c r="Q34" s="94">
        <v>133.82462907527349915637076145</v>
      </c>
      <c r="R34" s="94">
        <v>138.94153855264716333056970272</v>
      </c>
      <c r="S34" s="94">
        <v>136.04742655826558265582655827</v>
      </c>
      <c r="T34" s="1011">
        <v>136.99934096391726120207360263</v>
      </c>
      <c r="U34" s="113"/>
      <c r="V34" s="276">
        <v>135.04855952599669300018372221</v>
      </c>
      <c r="W34" s="94">
        <v>140.10590663236315409979504942</v>
      </c>
      <c r="X34" s="277">
        <v>136.94504306591451179343505092</v>
      </c>
      <c r="Y34" s="113"/>
      <c r="Z34" s="276">
        <v>137.14902179448903250733215082</v>
      </c>
      <c r="AA34" s="94">
        <v>140.5620392716103554190434401</v>
      </c>
      <c r="AB34" s="277">
        <v>137.27722140133895182327295282</v>
      </c>
      <c r="AC34" s="113"/>
      <c r="AD34" s="276">
        <v>134.87620103360165991047242128</v>
      </c>
      <c r="AE34" s="94">
        <v>138.02704873379768425541735096</v>
      </c>
      <c r="AF34" s="277">
        <v>138.29859689617915725370788724</v>
      </c>
      <c r="AG34" s="113"/>
    </row>
    <row r="35" ht="21.95" customHeight="1">
      <c r="B35" s="40" t="s">
        <v>98</v>
      </c>
      <c r="C35" s="576">
        <v>81.04226097168178138586256373</v>
      </c>
      <c r="D35" s="113">
        <v>82.61080855217749449876125813</v>
      </c>
      <c r="E35" s="113">
        <v>81.50664635076204515807663390</v>
      </c>
      <c r="F35" s="113">
        <v>83.00756085375477820729983627</v>
      </c>
      <c r="G35" s="113">
        <v>83.22866741108989725621499255</v>
      </c>
      <c r="H35" s="113">
        <v>78.957898968487020231542756610</v>
      </c>
      <c r="I35" s="113">
        <v>79.35874459596777663142975123</v>
      </c>
      <c r="J35" s="113">
        <v>79.179361738137237775706333400</v>
      </c>
      <c r="K35" s="113">
        <v>78.870311059027350998986525740</v>
      </c>
      <c r="L35" s="113">
        <v>77.871147010545910656388595010</v>
      </c>
      <c r="M35" s="113">
        <v>84.81937030790834086949363559</v>
      </c>
      <c r="N35" s="1008">
        <v>86.41579231614831032723580452</v>
      </c>
      <c r="O35" s="113">
        <v>81.40584019223406068392901985</v>
      </c>
      <c r="P35" s="113">
        <v>83.37289918830846560931199199</v>
      </c>
      <c r="Q35" s="113">
        <v>85.88908243376716570121876327</v>
      </c>
      <c r="R35" s="113">
        <v>79.43871047787891993669721700</v>
      </c>
      <c r="S35" s="113">
        <v>80.58421479393931339611897716</v>
      </c>
      <c r="T35" s="1008">
        <v>75.906780822461444105212426380</v>
      </c>
      <c r="U35" s="113"/>
      <c r="V35" s="576">
        <v>80.59900807013654281971580404</v>
      </c>
      <c r="W35" s="113">
        <v>81.78595379134838075136380974</v>
      </c>
      <c r="X35" s="577">
        <v>81.17673495935630927175970899</v>
      </c>
      <c r="Y35" s="113"/>
      <c r="Z35" s="576">
        <v>80.09943864288651722091931743</v>
      </c>
      <c r="AA35" s="113">
        <v>81.91999640186484081669693627</v>
      </c>
      <c r="AB35" s="577">
        <v>78.571867492622043292550136160</v>
      </c>
      <c r="AC35" s="113"/>
      <c r="AD35" s="576">
        <v>82.45976698149995142551261255</v>
      </c>
      <c r="AE35" s="113">
        <v>81.25580531341063530430230491</v>
      </c>
      <c r="AF35" s="577">
        <v>81.03653411265851912193371291</v>
      </c>
      <c r="AG35" s="113"/>
    </row>
    <row r="36" ht="21.95" customHeight="1">
      <c r="A36" s="23"/>
      <c r="B36" s="39" t="s">
        <v>23</v>
      </c>
      <c r="C36" s="273" t="s">
        <v>182</v>
      </c>
      <c r="D36" s="274" t="s">
        <v>185</v>
      </c>
      <c r="E36" s="274" t="s">
        <v>182</v>
      </c>
      <c r="F36" s="274" t="s">
        <v>182</v>
      </c>
      <c r="G36" s="274" t="s">
        <v>185</v>
      </c>
      <c r="H36" s="274" t="s">
        <v>181</v>
      </c>
      <c r="I36" s="274" t="s">
        <v>182</v>
      </c>
      <c r="J36" s="274" t="s">
        <v>182</v>
      </c>
      <c r="K36" s="274" t="s">
        <v>182</v>
      </c>
      <c r="L36" s="274" t="s">
        <v>182</v>
      </c>
      <c r="M36" s="274" t="s">
        <v>195</v>
      </c>
      <c r="N36" s="1009" t="s">
        <v>195</v>
      </c>
      <c r="O36" s="274" t="s">
        <v>185</v>
      </c>
      <c r="P36" s="274" t="s">
        <v>195</v>
      </c>
      <c r="Q36" s="274" t="s">
        <v>195</v>
      </c>
      <c r="R36" s="274" t="s">
        <v>182</v>
      </c>
      <c r="S36" s="274" t="s">
        <v>182</v>
      </c>
      <c r="T36" s="1009" t="s">
        <v>184</v>
      </c>
      <c r="U36" s="113"/>
      <c r="V36" s="273" t="s">
        <v>182</v>
      </c>
      <c r="W36" s="274" t="s">
        <v>182</v>
      </c>
      <c r="X36" s="275" t="s">
        <v>182</v>
      </c>
      <c r="Y36" s="113"/>
      <c r="Z36" s="273" t="s">
        <v>182</v>
      </c>
      <c r="AA36" s="274" t="s">
        <v>182</v>
      </c>
      <c r="AB36" s="275" t="s">
        <v>181</v>
      </c>
      <c r="AC36" s="113"/>
      <c r="AD36" s="273" t="s">
        <v>182</v>
      </c>
      <c r="AE36" s="274" t="s">
        <v>182</v>
      </c>
      <c r="AF36" s="275" t="s">
        <v>182</v>
      </c>
      <c r="AG36" s="113"/>
    </row>
    <row r="37" ht="21.95" customHeight="1">
      <c r="B37" s="25" t="s">
        <v>68</v>
      </c>
      <c r="F37" s="4"/>
      <c r="G37" s="4"/>
      <c r="H37" s="4"/>
      <c r="I37" s="4"/>
      <c r="J37" s="4"/>
      <c r="K37" s="4"/>
      <c r="L37" s="4"/>
      <c r="M37" s="4"/>
      <c r="N37" s="4"/>
      <c r="O37" s="4"/>
      <c r="P37" s="4"/>
      <c r="Q37" s="4"/>
      <c r="S37" s="98"/>
      <c r="T37" s="98"/>
      <c r="U37" s="9"/>
      <c r="V37" s="98"/>
      <c r="W37" s="98"/>
      <c r="X37" s="98"/>
      <c r="Y37" s="9"/>
      <c r="Z37" s="98"/>
      <c r="AA37" s="98"/>
      <c r="AB37" s="98"/>
      <c r="AC37" s="9"/>
      <c r="AD37" s="98"/>
      <c r="AE37" s="98"/>
      <c r="AF37" s="98"/>
      <c r="AG37" s="9"/>
    </row>
    <row r="38" ht="21.95" customHeight="1">
      <c r="B38" s="37" t="s">
        <v>19</v>
      </c>
      <c r="C38" s="573">
        <v>9.272447093668969263018191940</v>
      </c>
      <c r="D38" s="574">
        <v>7.3052871538292183944411291200</v>
      </c>
      <c r="E38" s="574">
        <v>3.878622823206542039004647600</v>
      </c>
      <c r="F38" s="574">
        <v>5.476468327719782638637544500</v>
      </c>
      <c r="G38" s="574">
        <v>10.226214005229359300678140410</v>
      </c>
      <c r="H38" s="574">
        <v>-1.3795264710813315756653270900</v>
      </c>
      <c r="I38" s="574">
        <v>0.7102988985575264292281716200</v>
      </c>
      <c r="J38" s="574">
        <v>2.4680984472401921575587216500</v>
      </c>
      <c r="K38" s="574">
        <v>3.0511771464398959703073851300</v>
      </c>
      <c r="L38" s="574">
        <v>-3.9553383285127001908727005800</v>
      </c>
      <c r="M38" s="574">
        <v>8.674807644302534639762149560</v>
      </c>
      <c r="N38" s="1006">
        <v>6.9165239108966313909585985800</v>
      </c>
      <c r="O38" s="574">
        <v>-0.4817835894056870062383912400</v>
      </c>
      <c r="P38" s="574">
        <v>-0.1637646159289581345597669700</v>
      </c>
      <c r="Q38" s="574">
        <v>0.7529623150753060801343672300</v>
      </c>
      <c r="R38" s="574">
        <v>-6.3262743220096551817564348800</v>
      </c>
      <c r="S38" s="574">
        <v>-6.7159784484201088825050433900</v>
      </c>
      <c r="T38" s="1006">
        <v>-4.9409938722821046016522355700</v>
      </c>
      <c r="U38" s="113"/>
      <c r="V38" s="573">
        <v>-7.3253975759693579575550186700</v>
      </c>
      <c r="W38" s="574">
        <v>5.2726400519208915207411286500</v>
      </c>
      <c r="X38" s="575">
        <v>-2.9841420391460347229841613800</v>
      </c>
      <c r="Y38" s="113"/>
      <c r="Z38" s="573">
        <v>-8.929558673969736655363250160</v>
      </c>
      <c r="AA38" s="574">
        <v>4.8179802556665273453117091600</v>
      </c>
      <c r="AB38" s="575">
        <v>-6.3284769118517615318111705500</v>
      </c>
      <c r="AC38" s="113"/>
      <c r="AD38" s="573">
        <v>-8.457586311126949215084316030</v>
      </c>
      <c r="AE38" s="574">
        <v>0.8419355252100021809763174900</v>
      </c>
      <c r="AF38" s="575">
        <v>-0.0736483930706315842560415200</v>
      </c>
      <c r="AG38" s="113"/>
    </row>
    <row r="39" ht="21.95" customHeight="1">
      <c r="B39" s="38" t="s">
        <v>35</v>
      </c>
      <c r="C39" s="271">
        <v>5.2141467127183510212748757500</v>
      </c>
      <c r="D39" s="92">
        <v>5.145103624665942812599963100</v>
      </c>
      <c r="E39" s="92">
        <v>5.2765893633239340814064061500</v>
      </c>
      <c r="F39" s="92">
        <v>3.1749469759971631078091178900</v>
      </c>
      <c r="G39" s="92">
        <v>3.6189903803210685505260510300</v>
      </c>
      <c r="H39" s="92">
        <v>0.7626931534247070126745672500</v>
      </c>
      <c r="I39" s="92">
        <v>4.3376094386158889208936714200</v>
      </c>
      <c r="J39" s="92">
        <v>2.6157705886378468229330834700</v>
      </c>
      <c r="K39" s="92">
        <v>5.4704977749635496837495312600</v>
      </c>
      <c r="L39" s="92">
        <v>1.0205278258138634103270525100</v>
      </c>
      <c r="M39" s="92">
        <v>2.1412662890634182816844979400</v>
      </c>
      <c r="N39" s="1007">
        <v>2.3708200831142928700288273100</v>
      </c>
      <c r="O39" s="92">
        <v>-0.9262572963433338434696739800</v>
      </c>
      <c r="P39" s="92">
        <v>-1.076342454427574895274243500</v>
      </c>
      <c r="Q39" s="92">
        <v>-4.3878938334244499706619180400</v>
      </c>
      <c r="R39" s="92">
        <v>-2.1179040062009587226377464700</v>
      </c>
      <c r="S39" s="92">
        <v>-3.6547688112764723367150381600</v>
      </c>
      <c r="T39" s="1007">
        <v>-1.1200406530874745558608498700</v>
      </c>
      <c r="U39" s="113"/>
      <c r="V39" s="271">
        <v>2.1421191289519123556342631700</v>
      </c>
      <c r="W39" s="92">
        <v>3.7448360235115997173461398500</v>
      </c>
      <c r="X39" s="272">
        <v>-2.2560530404893914882574880900</v>
      </c>
      <c r="Y39" s="113"/>
      <c r="Z39" s="271">
        <v>1.7070047914846892247476089200</v>
      </c>
      <c r="AA39" s="92">
        <v>2.4885467154292350106955323700</v>
      </c>
      <c r="AB39" s="272">
        <v>-2.3369167716142636668942366900</v>
      </c>
      <c r="AC39" s="113"/>
      <c r="AD39" s="271">
        <v>3.1118044940753544585612167200</v>
      </c>
      <c r="AE39" s="92">
        <v>2.3361035349837244212289309300</v>
      </c>
      <c r="AF39" s="272">
        <v>0.1967354695113905344359052700</v>
      </c>
      <c r="AG39" s="113"/>
    </row>
    <row r="40" ht="21.95" customHeight="1">
      <c r="B40" s="40" t="s">
        <v>98</v>
      </c>
      <c r="C40" s="576">
        <v>3.8571812895207600439488205500</v>
      </c>
      <c r="D40" s="113">
        <v>2.054478482309720806973291500</v>
      </c>
      <c r="E40" s="113">
        <v>-1.3278987746390660175753642100</v>
      </c>
      <c r="F40" s="113">
        <v>2.2306978769506045231117723300</v>
      </c>
      <c r="G40" s="113">
        <v>6.3764601456560894551221139900</v>
      </c>
      <c r="H40" s="113">
        <v>-2.1260047320128311287665574500</v>
      </c>
      <c r="I40" s="113">
        <v>-3.4765129847447528523961180300</v>
      </c>
      <c r="J40" s="113">
        <v>-0.1439078422814350011782826400</v>
      </c>
      <c r="K40" s="113">
        <v>-2.2938363613728854746239995600</v>
      </c>
      <c r="L40" s="113">
        <v>-4.92559904546174707908315400</v>
      </c>
      <c r="M40" s="113">
        <v>6.3965736794458451187201443600</v>
      </c>
      <c r="N40" s="1008">
        <v>4.4404292397046989199451268400</v>
      </c>
      <c r="O40" s="113">
        <v>0.4486291672699293745844650900</v>
      </c>
      <c r="P40" s="113">
        <v>0.9225071748655224261994594600</v>
      </c>
      <c r="Q40" s="113">
        <v>5.3767837092761839925027829300</v>
      </c>
      <c r="R40" s="113">
        <v>-4.2994280752410541363878938100</v>
      </c>
      <c r="S40" s="113">
        <v>-3.1773338435165219853690567400</v>
      </c>
      <c r="T40" s="1008">
        <v>-3.8642342132935802559476049400</v>
      </c>
      <c r="U40" s="113"/>
      <c r="V40" s="576">
        <v>-9.268964444476530643359915210</v>
      </c>
      <c r="W40" s="113">
        <v>1.4726554949858058419016271800</v>
      </c>
      <c r="X40" s="577">
        <v>-0.7448942070154062619131934100</v>
      </c>
      <c r="Y40" s="113"/>
      <c r="Z40" s="576">
        <v>-10.458044150758407485074649320</v>
      </c>
      <c r="AA40" s="113">
        <v>2.2728720572952663667199123100</v>
      </c>
      <c r="AB40" s="577">
        <v>-4.0870716019712890844467973500</v>
      </c>
      <c r="AC40" s="113"/>
      <c r="AD40" s="576">
        <v>-11.220238906669614151473024720</v>
      </c>
      <c r="AE40" s="113">
        <v>-1.4600595080016121130659917200</v>
      </c>
      <c r="AF40" s="577">
        <v>-0.2698529660690232315167738300</v>
      </c>
      <c r="AG40" s="113"/>
    </row>
    <row r="41" ht="21.95" customHeight="1">
      <c r="A41" s="23"/>
      <c r="B41" s="39" t="s">
        <v>23</v>
      </c>
      <c r="C41" s="273" t="s">
        <v>195</v>
      </c>
      <c r="D41" s="274" t="s">
        <v>195</v>
      </c>
      <c r="E41" s="274" t="s">
        <v>182</v>
      </c>
      <c r="F41" s="274" t="s">
        <v>181</v>
      </c>
      <c r="G41" s="274" t="s">
        <v>198</v>
      </c>
      <c r="H41" s="274" t="s">
        <v>181</v>
      </c>
      <c r="I41" s="274" t="s">
        <v>195</v>
      </c>
      <c r="J41" s="274" t="s">
        <v>185</v>
      </c>
      <c r="K41" s="274" t="s">
        <v>181</v>
      </c>
      <c r="L41" s="274" t="s">
        <v>184</v>
      </c>
      <c r="M41" s="274" t="s">
        <v>198</v>
      </c>
      <c r="N41" s="1009" t="s">
        <v>198</v>
      </c>
      <c r="O41" s="274" t="s">
        <v>195</v>
      </c>
      <c r="P41" s="274" t="s">
        <v>182</v>
      </c>
      <c r="Q41" s="274" t="s">
        <v>198</v>
      </c>
      <c r="R41" s="274" t="s">
        <v>181</v>
      </c>
      <c r="S41" s="274" t="s">
        <v>184</v>
      </c>
      <c r="T41" s="1009" t="s">
        <v>184</v>
      </c>
      <c r="U41" s="113"/>
      <c r="V41" s="273" t="s">
        <v>197</v>
      </c>
      <c r="W41" s="274" t="s">
        <v>182</v>
      </c>
      <c r="X41" s="275" t="s">
        <v>182</v>
      </c>
      <c r="Y41" s="113"/>
      <c r="Z41" s="273" t="s">
        <v>197</v>
      </c>
      <c r="AA41" s="274" t="s">
        <v>185</v>
      </c>
      <c r="AB41" s="275" t="s">
        <v>184</v>
      </c>
      <c r="AC41" s="113"/>
      <c r="AD41" s="273" t="s">
        <v>197</v>
      </c>
      <c r="AE41" s="274" t="s">
        <v>181</v>
      </c>
      <c r="AF41" s="275" t="s">
        <v>185</v>
      </c>
      <c r="AG41" s="113"/>
    </row>
    <row r="42" ht="21.95" customHeight="1">
      <c r="A42" s="8"/>
      <c r="B42" s="25"/>
      <c r="F42" s="4"/>
      <c r="G42" s="4"/>
      <c r="H42" s="4"/>
      <c r="I42" s="4"/>
      <c r="J42" s="4"/>
      <c r="K42" s="4"/>
      <c r="L42" s="4"/>
      <c r="M42" s="4"/>
      <c r="N42" s="4"/>
      <c r="O42" s="4"/>
      <c r="P42" s="4"/>
      <c r="Q42" s="4"/>
      <c r="U42" s="9"/>
      <c r="X42" s="102"/>
      <c r="Y42" s="116"/>
      <c r="Z42" s="4"/>
      <c r="AA42" s="4"/>
      <c r="AB42" s="102"/>
      <c r="AC42" s="116"/>
      <c r="AF42" s="102"/>
      <c r="AG42" s="116"/>
    </row>
    <row r="43" s="117" customFormat="1" ht="15.95" customHeight="1">
      <c r="B43" s="964" t="s">
        <v>10</v>
      </c>
      <c r="C43" s="1002">
        <v>2024</v>
      </c>
      <c r="D43" s="1002"/>
      <c r="E43" s="1002"/>
      <c r="F43" s="1002"/>
      <c r="G43" s="1002"/>
      <c r="H43" s="1002"/>
      <c r="I43" s="1002"/>
      <c r="J43" s="1002"/>
      <c r="K43" s="1002"/>
      <c r="L43" s="1002"/>
      <c r="M43" s="1002"/>
      <c r="N43" s="1002"/>
      <c r="O43" s="1002">
        <v>2025</v>
      </c>
      <c r="P43" s="1002"/>
      <c r="Q43" s="1002"/>
      <c r="R43" s="1002"/>
      <c r="S43" s="1002"/>
      <c r="T43" s="1002"/>
      <c r="U43" s="119"/>
      <c r="V43" s="1003" t="s">
        <v>58</v>
      </c>
      <c r="W43" s="1003"/>
      <c r="X43" s="1003"/>
      <c r="Y43" s="119"/>
      <c r="Z43" s="1003" t="s">
        <v>44</v>
      </c>
      <c r="AA43" s="1003"/>
      <c r="AB43" s="1003"/>
      <c r="AC43" s="119"/>
      <c r="AD43" s="1004" t="s">
        <v>45</v>
      </c>
      <c r="AE43" s="1004"/>
      <c r="AF43" s="1004"/>
      <c r="AG43" s="119"/>
      <c r="AH43" s="236"/>
      <c r="AI43" s="236"/>
      <c r="AJ43" s="236"/>
      <c r="AK43" s="236"/>
      <c r="AL43" s="236"/>
      <c r="AM43" s="236"/>
      <c r="AN43" s="236"/>
      <c r="AO43" s="236"/>
      <c r="AP43" s="236"/>
      <c r="AQ43" s="236"/>
      <c r="AR43" s="236"/>
      <c r="AS43" s="236"/>
      <c r="AT43" s="236"/>
      <c r="AU43" s="236"/>
      <c r="AV43" s="236"/>
    </row>
    <row r="44" s="118" customFormat="1" ht="15.95" customHeight="1">
      <c r="B44" s="964"/>
      <c r="C44" s="269" t="s">
        <v>180</v>
      </c>
      <c r="D44" s="269" t="s">
        <v>183</v>
      </c>
      <c r="E44" s="269" t="s">
        <v>186</v>
      </c>
      <c r="F44" s="269" t="s">
        <v>187</v>
      </c>
      <c r="G44" s="269" t="s">
        <v>188</v>
      </c>
      <c r="H44" s="269" t="s">
        <v>189</v>
      </c>
      <c r="I44" s="269" t="s">
        <v>190</v>
      </c>
      <c r="J44" s="269" t="s">
        <v>191</v>
      </c>
      <c r="K44" s="269" t="s">
        <v>192</v>
      </c>
      <c r="L44" s="269" t="s">
        <v>193</v>
      </c>
      <c r="M44" s="269" t="s">
        <v>194</v>
      </c>
      <c r="N44" s="1005" t="s">
        <v>196</v>
      </c>
      <c r="O44" s="269" t="s">
        <v>180</v>
      </c>
      <c r="P44" s="269" t="s">
        <v>183</v>
      </c>
      <c r="Q44" s="269" t="s">
        <v>186</v>
      </c>
      <c r="R44" s="269" t="s">
        <v>187</v>
      </c>
      <c r="S44" s="269" t="s">
        <v>188</v>
      </c>
      <c r="T44" s="1005" t="s">
        <v>189</v>
      </c>
      <c r="U44" s="144"/>
      <c r="V44" s="268">
        <v>2023</v>
      </c>
      <c r="W44" s="269">
        <v>2024</v>
      </c>
      <c r="X44" s="270">
        <v>2025</v>
      </c>
      <c r="Y44" s="144"/>
      <c r="Z44" s="268">
        <v>2023</v>
      </c>
      <c r="AA44" s="269">
        <v>2024</v>
      </c>
      <c r="AB44" s="270">
        <v>2025</v>
      </c>
      <c r="AC44" s="144"/>
      <c r="AD44" s="268">
        <v>2023</v>
      </c>
      <c r="AE44" s="269">
        <v>2024</v>
      </c>
      <c r="AF44" s="270">
        <v>2025</v>
      </c>
      <c r="AG44" s="144"/>
      <c r="AH44" s="236"/>
      <c r="AI44" s="236"/>
      <c r="AJ44" s="236"/>
      <c r="AK44" s="236"/>
      <c r="AL44" s="236"/>
      <c r="AM44" s="236"/>
      <c r="AN44" s="236"/>
      <c r="AO44" s="236"/>
      <c r="AP44" s="236"/>
      <c r="AQ44" s="236"/>
      <c r="AR44" s="236"/>
      <c r="AS44" s="236"/>
      <c r="AT44" s="236"/>
      <c r="AU44" s="236"/>
      <c r="AV44" s="236"/>
    </row>
    <row r="45" ht="21.95" customHeight="1">
      <c r="B45" s="263" t="s">
        <v>19</v>
      </c>
      <c r="C45" s="578">
        <v>41.66181234824835241068331599</v>
      </c>
      <c r="D45" s="579">
        <v>51.636129032258064516129032258</v>
      </c>
      <c r="E45" s="579">
        <v>51.342724592438432188692334374</v>
      </c>
      <c r="F45" s="579">
        <v>47.616650537634408602150537634</v>
      </c>
      <c r="G45" s="579">
        <v>44.556243496357960457856399584</v>
      </c>
      <c r="H45" s="579">
        <v>38.30858781362007168458781362</v>
      </c>
      <c r="I45" s="579">
        <v>39.779751994450225459590704128</v>
      </c>
      <c r="J45" s="579">
        <v>36.609800554977454040929587236</v>
      </c>
      <c r="K45" s="579">
        <v>59.69661827956989247311827957</v>
      </c>
      <c r="L45" s="579">
        <v>48.73804890738813735691987513</v>
      </c>
      <c r="M45" s="579">
        <v>39.707326164874551971326164875</v>
      </c>
      <c r="N45" s="1010">
        <v>27.744342698577870274020117933</v>
      </c>
      <c r="O45" s="579">
        <v>29.093166840097121054457162678</v>
      </c>
      <c r="P45" s="579">
        <v>49.446866359447004608294930876</v>
      </c>
      <c r="Q45" s="579">
        <v>52.10806625043357613596947624</v>
      </c>
      <c r="R45" s="579">
        <v>37.720790322580645161290322581</v>
      </c>
      <c r="S45" s="579">
        <v>43.275084980922650017343045439</v>
      </c>
      <c r="T45" s="1010">
        <v>42.491268817204301075268817204</v>
      </c>
      <c r="U45" s="113"/>
      <c r="V45" s="578">
        <v>52.024889799798015802293114715</v>
      </c>
      <c r="W45" s="579">
        <v>45.821918055063216353538934184</v>
      </c>
      <c r="X45" s="580">
        <v>42.26320382581833303629774847</v>
      </c>
      <c r="Y45" s="113"/>
      <c r="Z45" s="578">
        <v>56.628268935365709559257946355</v>
      </c>
      <c r="AA45" s="579">
        <v>43.505502185986056953798889283</v>
      </c>
      <c r="AB45" s="580">
        <v>41.185597896726928984993501123</v>
      </c>
      <c r="AC45" s="113"/>
      <c r="AD45" s="578">
        <v>47.97848239799675946383856238</v>
      </c>
      <c r="AE45" s="579">
        <v>48.596212174628356542687584464</v>
      </c>
      <c r="AF45" s="580">
        <v>42.111749300338783325968478421</v>
      </c>
      <c r="AG45" s="113"/>
    </row>
    <row r="46" ht="21.95" customHeight="1">
      <c r="B46" s="38" t="s">
        <v>35</v>
      </c>
      <c r="C46" s="276">
        <v>64.408148577199548505911008139</v>
      </c>
      <c r="D46" s="94">
        <v>88.03865339429729503250789266</v>
      </c>
      <c r="E46" s="94">
        <v>82.30175369809303154517911246</v>
      </c>
      <c r="F46" s="94">
        <v>79.8532946593001841620626151</v>
      </c>
      <c r="G46" s="94">
        <v>75.347983722449949503950573279</v>
      </c>
      <c r="H46" s="94">
        <v>78.265676488643339472068753837</v>
      </c>
      <c r="I46" s="94">
        <v>75.56777104497118754826828254</v>
      </c>
      <c r="J46" s="94">
        <v>62.264420186538347294005821897</v>
      </c>
      <c r="K46" s="94">
        <v>68.149495395948434622467771639</v>
      </c>
      <c r="L46" s="94">
        <v>79.32344769203350561397255391</v>
      </c>
      <c r="M46" s="94">
        <v>70.888862492326580724370779619</v>
      </c>
      <c r="N46" s="1011">
        <v>54.987559258599180181785777936</v>
      </c>
      <c r="O46" s="94">
        <v>57.686614091368145903879284738</v>
      </c>
      <c r="P46" s="94">
        <v>83.60563766114180478821362799</v>
      </c>
      <c r="Q46" s="94">
        <v>73.03391879047109843759282362</v>
      </c>
      <c r="R46" s="94">
        <v>72.012486801718845917740945365</v>
      </c>
      <c r="S46" s="94">
        <v>74.558160161587358165508227886</v>
      </c>
      <c r="T46" s="1011">
        <v>81.92627869858809085328422345</v>
      </c>
      <c r="U46" s="113"/>
      <c r="V46" s="276">
        <v>74.791094034573629213597468535</v>
      </c>
      <c r="W46" s="94">
        <v>77.858817101705239702433279407</v>
      </c>
      <c r="X46" s="277">
        <v>73.606410518604438203962028021</v>
      </c>
      <c r="Y46" s="113"/>
      <c r="Z46" s="276">
        <v>79.021739724364033756298949668</v>
      </c>
      <c r="AA46" s="94">
        <v>77.79512780037641916094954769</v>
      </c>
      <c r="AB46" s="277">
        <v>76.147977252949628640236375043</v>
      </c>
      <c r="AC46" s="113"/>
      <c r="AD46" s="276">
        <v>70.84377648275688084966825601</v>
      </c>
      <c r="AE46" s="94">
        <v>72.885441894128994544132041676</v>
      </c>
      <c r="AF46" s="277">
        <v>71.042055299074144150962435985</v>
      </c>
      <c r="AG46" s="113"/>
    </row>
    <row r="47" ht="21.95" customHeight="1">
      <c r="B47" s="40" t="s">
        <v>99</v>
      </c>
      <c r="C47" s="576">
        <v>64.684070678281102657453823160</v>
      </c>
      <c r="D47" s="113">
        <v>58.651657018190158921905853820</v>
      </c>
      <c r="E47" s="113">
        <v>62.383512240546241144388534400</v>
      </c>
      <c r="F47" s="113">
        <v>59.630163966050965379056902640</v>
      </c>
      <c r="G47" s="113">
        <v>59.133955940365733140665946390</v>
      </c>
      <c r="H47" s="113">
        <v>48.946855802364416087373060720</v>
      </c>
      <c r="I47" s="113">
        <v>52.641160966308908363529334970</v>
      </c>
      <c r="J47" s="113">
        <v>58.797304215345588506742798970</v>
      </c>
      <c r="K47" s="113">
        <v>87.59656683116299598191296719</v>
      </c>
      <c r="L47" s="113">
        <v>61.442171672403885050387422750</v>
      </c>
      <c r="M47" s="113">
        <v>56.013490369079614910939352740</v>
      </c>
      <c r="N47" s="1008">
        <v>50.455672287797866673395767060</v>
      </c>
      <c r="O47" s="113">
        <v>50.433133055792176398952993580</v>
      </c>
      <c r="P47" s="113">
        <v>59.142980955282665345784316280</v>
      </c>
      <c r="Q47" s="113">
        <v>71.347761578982413149618373610</v>
      </c>
      <c r="R47" s="113">
        <v>52.380902254427033372447100400</v>
      </c>
      <c r="S47" s="113">
        <v>58.042050510804848713919992010</v>
      </c>
      <c r="T47" s="1008">
        <v>51.865249456192393329901740930</v>
      </c>
      <c r="U47" s="113"/>
      <c r="V47" s="576">
        <v>69.560273815128524610508632480</v>
      </c>
      <c r="W47" s="113">
        <v>58.852574134551965333225632540</v>
      </c>
      <c r="X47" s="577">
        <v>57.417830224364244218329324790</v>
      </c>
      <c r="Y47" s="113"/>
      <c r="Z47" s="576">
        <v>71.661632777087886818123926940</v>
      </c>
      <c r="AA47" s="113">
        <v>55.923170789832373372152953500</v>
      </c>
      <c r="AB47" s="577">
        <v>54.086266480779602398500864520</v>
      </c>
      <c r="AC47" s="113"/>
      <c r="AD47" s="576">
        <v>67.724343308611373241684424570</v>
      </c>
      <c r="AE47" s="113">
        <v>66.674785679747890638490743670</v>
      </c>
      <c r="AF47" s="577">
        <v>59.277211396884062599101683060</v>
      </c>
      <c r="AG47" s="113"/>
    </row>
    <row r="48" ht="21.95" customHeight="1">
      <c r="A48" s="23"/>
      <c r="B48" s="39" t="s">
        <v>23</v>
      </c>
      <c r="C48" s="273" t="s">
        <v>181</v>
      </c>
      <c r="D48" s="274" t="s">
        <v>184</v>
      </c>
      <c r="E48" s="274" t="s">
        <v>182</v>
      </c>
      <c r="F48" s="274" t="s">
        <v>181</v>
      </c>
      <c r="G48" s="274" t="s">
        <v>184</v>
      </c>
      <c r="H48" s="274" t="s">
        <v>184</v>
      </c>
      <c r="I48" s="274" t="s">
        <v>184</v>
      </c>
      <c r="J48" s="274" t="s">
        <v>181</v>
      </c>
      <c r="K48" s="274" t="s">
        <v>185</v>
      </c>
      <c r="L48" s="274" t="s">
        <v>181</v>
      </c>
      <c r="M48" s="274" t="s">
        <v>184</v>
      </c>
      <c r="N48" s="1009" t="s">
        <v>184</v>
      </c>
      <c r="O48" s="274" t="s">
        <v>184</v>
      </c>
      <c r="P48" s="274" t="s">
        <v>184</v>
      </c>
      <c r="Q48" s="274" t="s">
        <v>185</v>
      </c>
      <c r="R48" s="274" t="s">
        <v>181</v>
      </c>
      <c r="S48" s="274" t="s">
        <v>182</v>
      </c>
      <c r="T48" s="1009" t="s">
        <v>181</v>
      </c>
      <c r="U48" s="113"/>
      <c r="V48" s="273" t="s">
        <v>181</v>
      </c>
      <c r="W48" s="274" t="s">
        <v>184</v>
      </c>
      <c r="X48" s="275" t="s">
        <v>184</v>
      </c>
      <c r="Y48" s="113"/>
      <c r="Z48" s="273" t="s">
        <v>185</v>
      </c>
      <c r="AA48" s="274" t="s">
        <v>184</v>
      </c>
      <c r="AB48" s="275" t="s">
        <v>181</v>
      </c>
      <c r="AC48" s="113"/>
      <c r="AD48" s="273" t="s">
        <v>181</v>
      </c>
      <c r="AE48" s="274" t="s">
        <v>182</v>
      </c>
      <c r="AF48" s="275" t="s">
        <v>181</v>
      </c>
      <c r="AG48" s="113"/>
    </row>
    <row r="49" ht="21.95" customHeight="1">
      <c r="B49" s="25" t="s">
        <v>68</v>
      </c>
      <c r="F49" s="4"/>
      <c r="G49" s="4"/>
      <c r="H49" s="4"/>
      <c r="I49" s="4"/>
      <c r="J49" s="4"/>
      <c r="K49" s="4"/>
      <c r="L49" s="4"/>
      <c r="M49" s="4"/>
      <c r="N49" s="4"/>
      <c r="O49" s="4"/>
      <c r="P49" s="4"/>
      <c r="Q49" s="4"/>
      <c r="S49" s="98"/>
      <c r="T49" s="98"/>
      <c r="U49" s="9"/>
      <c r="V49" s="98"/>
      <c r="W49" s="98"/>
      <c r="X49" s="98"/>
      <c r="Y49" s="9"/>
      <c r="Z49" s="98"/>
      <c r="AA49" s="98"/>
      <c r="AB49" s="98"/>
      <c r="AC49" s="9"/>
      <c r="AD49" s="98"/>
      <c r="AE49" s="98"/>
      <c r="AF49" s="98"/>
      <c r="AG49" s="9"/>
    </row>
    <row r="50" ht="21.95" customHeight="1">
      <c r="B50" s="37" t="s">
        <v>19</v>
      </c>
      <c r="C50" s="573">
        <v>38.272161566184566472604468240</v>
      </c>
      <c r="D50" s="574">
        <v>-12.660417138870887119715226190</v>
      </c>
      <c r="E50" s="574">
        <v>-4.9153346644153312349941984500</v>
      </c>
      <c r="F50" s="574">
        <v>-9.734559362771999342678643710</v>
      </c>
      <c r="G50" s="574">
        <v>-9.108070986195240707175412560</v>
      </c>
      <c r="H50" s="574">
        <v>-43.964988288624132992069287490</v>
      </c>
      <c r="I50" s="574">
        <v>-26.414809480785131019138690630</v>
      </c>
      <c r="J50" s="574">
        <v>-9.621859739982332590239049250</v>
      </c>
      <c r="K50" s="574">
        <v>0.252172003579827430114328600</v>
      </c>
      <c r="L50" s="574">
        <v>-15.731459846152867457443652470</v>
      </c>
      <c r="M50" s="574">
        <v>-22.471081607120345418385740430</v>
      </c>
      <c r="N50" s="1006">
        <v>-38.532765790520028260549492340</v>
      </c>
      <c r="O50" s="574">
        <v>-30.168263932104018744927954770</v>
      </c>
      <c r="P50" s="574">
        <v>-4.2397885238135176603058353200</v>
      </c>
      <c r="Q50" s="574">
        <v>1.4906525980252823073191516900</v>
      </c>
      <c r="R50" s="574">
        <v>-20.782352608370028584775291310</v>
      </c>
      <c r="S50" s="574">
        <v>-2.8753737185695724921816157400</v>
      </c>
      <c r="T50" s="1006">
        <v>10.918389954639361677116857900</v>
      </c>
      <c r="U50" s="113"/>
      <c r="V50" s="573">
        <v>-8.158709884464353151364628490</v>
      </c>
      <c r="W50" s="574">
        <v>-11.923084832292388279360950410</v>
      </c>
      <c r="X50" s="575">
        <v>-7.7664017141368452084717401400</v>
      </c>
      <c r="Y50" s="113"/>
      <c r="Z50" s="573">
        <v>-4.8281709702362444775195597600</v>
      </c>
      <c r="AA50" s="574">
        <v>-23.173526219535407278687935560</v>
      </c>
      <c r="AB50" s="575">
        <v>-5.3324388243002800009248900900</v>
      </c>
      <c r="AC50" s="113"/>
      <c r="AD50" s="573">
        <v>-18.649026893225435154460984110</v>
      </c>
      <c r="AE50" s="574">
        <v>1.2875142058559710233867336400</v>
      </c>
      <c r="AF50" s="575">
        <v>-13.343556182863321895855095760</v>
      </c>
      <c r="AG50" s="113"/>
    </row>
    <row r="51" ht="21.95" customHeight="1">
      <c r="B51" s="38" t="s">
        <v>35</v>
      </c>
      <c r="C51" s="271">
        <v>14.400647926413381910564419920</v>
      </c>
      <c r="D51" s="92">
        <v>13.275024239765803880900337970</v>
      </c>
      <c r="E51" s="92">
        <v>5.2234354758919183618295285500</v>
      </c>
      <c r="F51" s="92">
        <v>12.038774035848980612499971150</v>
      </c>
      <c r="G51" s="92">
        <v>6.4941668968608354570424656200</v>
      </c>
      <c r="H51" s="92">
        <v>-17.887149982492582030921235500</v>
      </c>
      <c r="I51" s="92">
        <v>-0.0797138622203536817149202200</v>
      </c>
      <c r="J51" s="92">
        <v>0.9820092676423936832988026100</v>
      </c>
      <c r="K51" s="92">
        <v>12.852701707967331593098589860</v>
      </c>
      <c r="L51" s="92">
        <v>-4.0984137634965002733049435300</v>
      </c>
      <c r="M51" s="92">
        <v>0.0760111897531788916549899400</v>
      </c>
      <c r="N51" s="1007">
        <v>-2.8177251022093367469024587900</v>
      </c>
      <c r="O51" s="92">
        <v>-10.435844895891366659130995200</v>
      </c>
      <c r="P51" s="92">
        <v>-5.0353061550180499042280908600</v>
      </c>
      <c r="Q51" s="92">
        <v>-11.260798817999982350253584020</v>
      </c>
      <c r="R51" s="92">
        <v>-9.819016098251852887226654110</v>
      </c>
      <c r="S51" s="92">
        <v>-1.0482345005044074011217168900</v>
      </c>
      <c r="T51" s="1007">
        <v>4.6771488783097477288291690600</v>
      </c>
      <c r="U51" s="113"/>
      <c r="V51" s="271">
        <v>2.806974077970680975252279600</v>
      </c>
      <c r="W51" s="92">
        <v>4.1017224132141237932168669400</v>
      </c>
      <c r="X51" s="272">
        <v>-5.4616891720060733880760034500</v>
      </c>
      <c r="Y51" s="113"/>
      <c r="Z51" s="271">
        <v>-1.6005681788799029643206758300</v>
      </c>
      <c r="AA51" s="92">
        <v>-1.5522461645384817754183950900</v>
      </c>
      <c r="AB51" s="272">
        <v>-2.1172926814600620645008885900</v>
      </c>
      <c r="AC51" s="113"/>
      <c r="AD51" s="271">
        <v>-3.7555359863621025940722030200</v>
      </c>
      <c r="AE51" s="92">
        <v>2.8819262787673182048390946600</v>
      </c>
      <c r="AF51" s="272">
        <v>-2.5291560936191237643591652800</v>
      </c>
      <c r="AG51" s="113"/>
    </row>
    <row r="52" ht="21.95" customHeight="1">
      <c r="B52" s="40" t="s">
        <v>99</v>
      </c>
      <c r="C52" s="576">
        <v>20.866589545209164179443565930</v>
      </c>
      <c r="D52" s="113">
        <v>-22.895992786337831024130529250</v>
      </c>
      <c r="E52" s="113">
        <v>-9.635467702218302858821044240</v>
      </c>
      <c r="F52" s="113">
        <v>-19.433748348271491561875817460</v>
      </c>
      <c r="G52" s="113">
        <v>-14.650791059982615973678345320</v>
      </c>
      <c r="H52" s="113">
        <v>-31.758535114234425591908138920</v>
      </c>
      <c r="I52" s="113">
        <v>-26.356105087846420123958799780</v>
      </c>
      <c r="J52" s="113">
        <v>-10.500750662853061395878491570</v>
      </c>
      <c r="K52" s="113">
        <v>-11.165465703082909000227387840</v>
      </c>
      <c r="L52" s="113">
        <v>-12.130191521391486674899406320</v>
      </c>
      <c r="M52" s="113">
        <v>-22.529967500512545796758679720</v>
      </c>
      <c r="N52" s="1008">
        <v>-36.750570745406131262948507990</v>
      </c>
      <c r="O52" s="113">
        <v>-22.031602948094423873022413850</v>
      </c>
      <c r="P52" s="113">
        <v>0.8376983056594705485546514700</v>
      </c>
      <c r="Q52" s="113">
        <v>14.369581026351274967083541740</v>
      </c>
      <c r="R52" s="113">
        <v>-12.157038031614674949192281960</v>
      </c>
      <c r="S52" s="113">
        <v>-1.8464948137338590962278728800</v>
      </c>
      <c r="T52" s="1008">
        <v>5.9623720583279966279302234800</v>
      </c>
      <c r="U52" s="113"/>
      <c r="V52" s="576">
        <v>-10.666284131842414486668353610</v>
      </c>
      <c r="W52" s="113">
        <v>-15.393412206815708973740691920</v>
      </c>
      <c r="X52" s="577">
        <v>-2.4378609284861439907935469400</v>
      </c>
      <c r="Y52" s="113"/>
      <c r="Z52" s="576">
        <v>-3.2801030775183539887220591500</v>
      </c>
      <c r="AA52" s="113">
        <v>-21.962187264447828087173586050</v>
      </c>
      <c r="AB52" s="577">
        <v>-3.2846927008570770400353574700</v>
      </c>
      <c r="AC52" s="113"/>
      <c r="AD52" s="576">
        <v>-15.474646837662043616213416220</v>
      </c>
      <c r="AE52" s="113">
        <v>-1.5497494365793738305077521200</v>
      </c>
      <c r="AF52" s="577">
        <v>-11.095010216235647345761402800</v>
      </c>
      <c r="AG52" s="113"/>
    </row>
    <row r="53" ht="21.95" customHeight="1">
      <c r="A53" s="23"/>
      <c r="B53" s="39" t="s">
        <v>23</v>
      </c>
      <c r="C53" s="273" t="s">
        <v>199</v>
      </c>
      <c r="D53" s="274" t="s">
        <v>197</v>
      </c>
      <c r="E53" s="274" t="s">
        <v>182</v>
      </c>
      <c r="F53" s="274" t="s">
        <v>181</v>
      </c>
      <c r="G53" s="274" t="s">
        <v>181</v>
      </c>
      <c r="H53" s="274" t="s">
        <v>184</v>
      </c>
      <c r="I53" s="274" t="s">
        <v>181</v>
      </c>
      <c r="J53" s="274" t="s">
        <v>181</v>
      </c>
      <c r="K53" s="274" t="s">
        <v>182</v>
      </c>
      <c r="L53" s="274" t="s">
        <v>184</v>
      </c>
      <c r="M53" s="274" t="s">
        <v>184</v>
      </c>
      <c r="N53" s="1009" t="s">
        <v>197</v>
      </c>
      <c r="O53" s="274" t="s">
        <v>181</v>
      </c>
      <c r="P53" s="274" t="s">
        <v>185</v>
      </c>
      <c r="Q53" s="274" t="s">
        <v>182</v>
      </c>
      <c r="R53" s="274" t="s">
        <v>182</v>
      </c>
      <c r="S53" s="274" t="s">
        <v>182</v>
      </c>
      <c r="T53" s="1009" t="s">
        <v>182</v>
      </c>
      <c r="U53" s="113"/>
      <c r="V53" s="273" t="s">
        <v>184</v>
      </c>
      <c r="W53" s="274" t="s">
        <v>184</v>
      </c>
      <c r="X53" s="275" t="s">
        <v>182</v>
      </c>
      <c r="Y53" s="113"/>
      <c r="Z53" s="273" t="s">
        <v>182</v>
      </c>
      <c r="AA53" s="274" t="s">
        <v>184</v>
      </c>
      <c r="AB53" s="275" t="s">
        <v>185</v>
      </c>
      <c r="AC53" s="113"/>
      <c r="AD53" s="273" t="s">
        <v>184</v>
      </c>
      <c r="AE53" s="274" t="s">
        <v>182</v>
      </c>
      <c r="AF53" s="275" t="s">
        <v>197</v>
      </c>
      <c r="AG53" s="113"/>
    </row>
    <row r="54" ht="10" customHeight="1">
      <c r="A54" s="23"/>
      <c r="B54" s="146"/>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row>
    <row r="55" ht="10" customHeight="1">
      <c r="B55" s="1012" t="s">
        <v>100</v>
      </c>
      <c r="C55" s="1012"/>
      <c r="D55" s="1012"/>
      <c r="E55" s="1012"/>
      <c r="F55" s="1012"/>
      <c r="G55" s="1012"/>
      <c r="H55" s="1012"/>
      <c r="I55" s="1012"/>
      <c r="J55" s="1012"/>
      <c r="K55" s="1012"/>
      <c r="L55" s="1012"/>
      <c r="M55" s="1012"/>
      <c r="N55" s="1012"/>
      <c r="O55" s="1012"/>
      <c r="P55" s="1012"/>
      <c r="Q55" s="1012"/>
      <c r="R55" s="1012"/>
      <c r="S55" s="1012"/>
      <c r="T55" s="1012"/>
      <c r="AD55" s="232"/>
      <c r="AE55" s="233"/>
      <c r="AF55" s="5"/>
    </row>
    <row r="56" ht="10" customHeight="1">
      <c r="B56" s="146"/>
      <c r="C56" s="93"/>
      <c r="D56" s="93"/>
      <c r="E56" s="93"/>
      <c r="F56" s="4"/>
      <c r="G56" s="4"/>
      <c r="H56" s="4"/>
      <c r="I56" s="4"/>
      <c r="J56" s="4"/>
      <c r="K56" s="4"/>
      <c r="L56" s="4"/>
      <c r="M56" s="4"/>
      <c r="N56" s="4"/>
      <c r="O56" s="4"/>
      <c r="P56" s="4"/>
      <c r="Q56" s="4"/>
      <c r="R56" s="4"/>
      <c r="S56" s="4"/>
      <c r="T56" s="4"/>
      <c r="AD56" s="145"/>
    </row>
    <row r="57" ht="24.95" customHeight="1">
      <c r="B57" s="1013" t="s">
        <v>126</v>
      </c>
      <c r="C57" s="1013"/>
      <c r="D57" s="1013"/>
      <c r="E57" s="1013"/>
      <c r="F57" s="1013"/>
      <c r="G57" s="1013"/>
      <c r="H57" s="1013"/>
      <c r="I57" s="1013"/>
      <c r="J57" s="1013"/>
      <c r="K57" s="1013"/>
      <c r="L57" s="1013"/>
      <c r="M57" s="1013"/>
      <c r="N57" s="1013"/>
      <c r="O57" s="1013"/>
      <c r="P57" s="1013"/>
      <c r="Q57" s="1013"/>
      <c r="R57" s="1013"/>
      <c r="S57" s="1013"/>
      <c r="T57" s="1013"/>
      <c r="U57" s="1013"/>
      <c r="V57" s="1013"/>
      <c r="W57" s="1013"/>
      <c r="X57" s="1013"/>
      <c r="Y57" s="1013"/>
      <c r="Z57" s="1013"/>
      <c r="AA57" s="1013"/>
      <c r="AB57" s="1013"/>
      <c r="AC57" s="1013"/>
      <c r="AD57" s="1013"/>
      <c r="AE57" s="1013"/>
      <c r="AF57" s="1013"/>
    </row>
    <row r="58">
      <c r="A58"/>
    </row>
    <row r="59" s="281" customFormat="1">
      <c r="A59" s="1014"/>
      <c r="B59" s="1014" t="s">
        <v>109</v>
      </c>
      <c r="C59" s="1014"/>
      <c r="D59" s="1014"/>
      <c r="E59" s="1014"/>
      <c r="F59" s="1014"/>
      <c r="G59" s="1014"/>
      <c r="H59" s="1014"/>
      <c r="I59" s="1014"/>
      <c r="J59" s="1014"/>
      <c r="K59" s="1014"/>
      <c r="L59" s="1014"/>
      <c r="M59" s="1014"/>
      <c r="N59" s="1014"/>
      <c r="O59" s="1014"/>
      <c r="P59" s="1014"/>
      <c r="Q59" s="1014"/>
      <c r="R59" s="1014"/>
      <c r="S59" s="1014"/>
      <c r="T59" s="1014"/>
      <c r="U59" s="1014"/>
      <c r="V59" s="1014"/>
      <c r="W59" s="1014"/>
      <c r="X59" s="1014"/>
      <c r="Y59" s="1014"/>
      <c r="Z59" s="1014"/>
      <c r="AA59" s="1014"/>
      <c r="AB59" s="1014"/>
      <c r="AC59" s="1014"/>
      <c r="AD59" s="1014"/>
      <c r="AE59" s="1014"/>
      <c r="AF59" s="1014"/>
      <c r="AG59" s="1014"/>
    </row>
    <row r="60" s="281" customFormat="1">
      <c r="A60" s="1014"/>
      <c r="B60" s="1014" t="s">
        <v>110</v>
      </c>
      <c r="C60" s="1014">
        <v>100</v>
      </c>
      <c r="D60" s="1014">
        <v>100</v>
      </c>
      <c r="E60" s="1014">
        <v>100</v>
      </c>
      <c r="F60" s="1014">
        <v>100</v>
      </c>
      <c r="G60" s="1014">
        <v>100</v>
      </c>
      <c r="H60" s="1014">
        <v>100</v>
      </c>
      <c r="I60" s="1014">
        <v>100</v>
      </c>
      <c r="J60" s="1014">
        <v>100</v>
      </c>
      <c r="K60" s="1014">
        <v>100</v>
      </c>
      <c r="L60" s="1014">
        <v>100</v>
      </c>
      <c r="M60" s="1014">
        <v>100</v>
      </c>
      <c r="N60" s="1014">
        <v>100</v>
      </c>
      <c r="O60" s="1014">
        <v>100</v>
      </c>
      <c r="P60" s="1014">
        <v>100</v>
      </c>
      <c r="Q60" s="1014">
        <v>100</v>
      </c>
      <c r="R60" s="1014">
        <v>100</v>
      </c>
      <c r="S60" s="1014">
        <v>100</v>
      </c>
      <c r="T60" s="1014">
        <v>100</v>
      </c>
      <c r="U60" s="1014"/>
      <c r="V60" s="1014"/>
      <c r="W60" s="1014"/>
      <c r="X60" s="1014"/>
      <c r="Y60" s="1014"/>
      <c r="Z60" s="1014"/>
      <c r="AA60" s="1014"/>
      <c r="AB60" s="1014"/>
      <c r="AC60" s="1014"/>
      <c r="AD60" s="1014"/>
      <c r="AE60" s="1014"/>
      <c r="AF60" s="1014"/>
      <c r="AG60" s="1014"/>
    </row>
    <row r="61" s="281" customFormat="1">
      <c r="A61" s="1014"/>
      <c r="B61" s="1014" t="s">
        <v>111</v>
      </c>
      <c r="C61" s="1014"/>
      <c r="D61" s="1014"/>
      <c r="E61" s="1014"/>
      <c r="F61" s="1014"/>
      <c r="G61" s="1014"/>
      <c r="H61" s="1014"/>
      <c r="I61" s="1014"/>
      <c r="J61" s="1014"/>
      <c r="K61" s="1014"/>
      <c r="L61" s="1014"/>
      <c r="M61" s="1014"/>
      <c r="N61" s="1014"/>
      <c r="O61" s="1014"/>
      <c r="P61" s="1014"/>
      <c r="Q61" s="1014"/>
      <c r="R61" s="1014"/>
      <c r="S61" s="1014"/>
      <c r="T61" s="1014"/>
      <c r="U61" s="1014"/>
      <c r="V61" s="1014"/>
      <c r="W61" s="1014"/>
      <c r="X61" s="1014"/>
      <c r="Y61" s="1014"/>
      <c r="Z61" s="1014"/>
      <c r="AA61" s="1014"/>
      <c r="AB61" s="1014"/>
      <c r="AC61" s="1014"/>
      <c r="AD61" s="1014"/>
      <c r="AE61" s="1014"/>
      <c r="AF61" s="1014"/>
      <c r="AG61" s="1014"/>
    </row>
    <row r="62" s="281" customFormat="1">
      <c r="A62" s="1014"/>
      <c r="B62" s="1014"/>
      <c r="C62" s="1014"/>
      <c r="D62" s="1014"/>
      <c r="E62" s="1014"/>
      <c r="F62" s="1014"/>
      <c r="G62" s="1014"/>
      <c r="H62" s="1014"/>
      <c r="I62" s="1014"/>
      <c r="J62" s="1014"/>
      <c r="K62" s="1014"/>
      <c r="L62" s="1014"/>
      <c r="M62" s="1014"/>
      <c r="N62" s="1014"/>
      <c r="O62" s="1014"/>
      <c r="P62" s="1014"/>
      <c r="Q62" s="1014"/>
      <c r="R62" s="1014"/>
      <c r="S62" s="1014"/>
      <c r="T62" s="1014"/>
      <c r="U62" s="1014"/>
      <c r="V62" s="1014"/>
      <c r="W62" s="1014"/>
      <c r="X62" s="1014"/>
      <c r="Y62" s="1014"/>
      <c r="Z62" s="1014"/>
      <c r="AA62" s="1014"/>
      <c r="AB62" s="1014"/>
      <c r="AC62" s="1014"/>
      <c r="AD62" s="1014"/>
      <c r="AE62" s="1014"/>
      <c r="AF62" s="1014"/>
      <c r="AG62" s="1014"/>
    </row>
    <row r="63" s="281" customFormat="1">
      <c r="A63" s="1014"/>
      <c r="B63" s="1014"/>
      <c r="C63" s="1014"/>
      <c r="D63" s="1014"/>
      <c r="E63" s="1014"/>
      <c r="F63" s="1014"/>
      <c r="G63" s="1014"/>
      <c r="H63" s="1014"/>
      <c r="I63" s="1014"/>
      <c r="J63" s="1014"/>
      <c r="K63" s="1014"/>
      <c r="L63" s="1014"/>
      <c r="M63" s="1014"/>
      <c r="N63" s="1014"/>
      <c r="O63" s="1014"/>
      <c r="P63" s="1014"/>
      <c r="Q63" s="1014"/>
      <c r="R63" s="1014"/>
      <c r="S63" s="1014"/>
      <c r="T63" s="1014"/>
      <c r="U63" s="1014"/>
      <c r="V63" s="1014"/>
      <c r="W63" s="1014"/>
      <c r="X63" s="1014"/>
      <c r="Y63" s="1014"/>
      <c r="Z63" s="1014"/>
      <c r="AA63" s="1014"/>
      <c r="AB63" s="1014"/>
      <c r="AC63" s="1014"/>
      <c r="AD63" s="1014"/>
      <c r="AE63" s="1014"/>
      <c r="AF63" s="1014"/>
      <c r="AG63" s="1014"/>
    </row>
    <row r="64" s="281" customFormat="1">
      <c r="A64" s="1014"/>
      <c r="B64" s="1014"/>
      <c r="C64" s="1014"/>
      <c r="D64" s="1014"/>
      <c r="E64" s="1014"/>
      <c r="F64" s="1014"/>
      <c r="G64" s="1014"/>
      <c r="H64" s="1014"/>
      <c r="I64" s="1014"/>
      <c r="J64" s="1014"/>
      <c r="K64" s="1014"/>
      <c r="L64" s="1014"/>
      <c r="M64" s="1014"/>
      <c r="N64" s="1014"/>
      <c r="O64" s="1014"/>
      <c r="P64" s="1014"/>
      <c r="Q64" s="1014"/>
      <c r="R64" s="1014"/>
      <c r="S64" s="1014"/>
      <c r="T64" s="1014"/>
      <c r="U64" s="1014"/>
      <c r="V64" s="1014"/>
      <c r="W64" s="1014"/>
      <c r="X64" s="1014"/>
      <c r="Y64" s="1014"/>
      <c r="Z64" s="1014"/>
      <c r="AA64" s="1014"/>
      <c r="AB64" s="1014"/>
      <c r="AC64" s="1014"/>
      <c r="AD64" s="1014"/>
      <c r="AE64" s="1014"/>
      <c r="AF64" s="1014"/>
      <c r="AG64" s="1014"/>
    </row>
    <row r="65" s="281" customFormat="1">
      <c r="A65" s="1014"/>
      <c r="B65" s="1014"/>
      <c r="C65" s="1014"/>
      <c r="D65" s="1014"/>
      <c r="E65" s="1014"/>
      <c r="F65" s="1014"/>
      <c r="G65" s="1014"/>
      <c r="H65" s="1014"/>
      <c r="I65" s="1014"/>
      <c r="J65" s="1014"/>
      <c r="K65" s="1014"/>
      <c r="L65" s="1014"/>
      <c r="M65" s="1014"/>
      <c r="N65" s="1014"/>
      <c r="O65" s="1014"/>
      <c r="P65" s="1014"/>
      <c r="Q65" s="1014"/>
      <c r="R65" s="1014"/>
      <c r="S65" s="1014"/>
      <c r="T65" s="1014"/>
      <c r="U65" s="1014"/>
      <c r="V65" s="1014"/>
      <c r="W65" s="1014"/>
      <c r="X65" s="1014"/>
      <c r="Y65" s="1014"/>
      <c r="Z65" s="1014"/>
      <c r="AA65" s="1014"/>
      <c r="AB65" s="1014"/>
      <c r="AC65" s="1014"/>
      <c r="AD65" s="1014"/>
      <c r="AE65" s="1014"/>
      <c r="AF65" s="1014"/>
      <c r="AG65" s="1014"/>
    </row>
    <row r="66" s="281" customFormat="1" ht="10.5" customHeight="1">
      <c r="A66" s="1014"/>
      <c r="B66" s="1014"/>
      <c r="C66" s="1014"/>
      <c r="D66" s="1014"/>
      <c r="E66" s="1014"/>
      <c r="F66" s="1014"/>
      <c r="G66" s="1014"/>
      <c r="H66" s="1014"/>
      <c r="I66" s="1014"/>
      <c r="J66" s="1014"/>
      <c r="K66" s="1014"/>
      <c r="L66" s="1014"/>
      <c r="M66" s="1014"/>
      <c r="N66" s="1014"/>
      <c r="O66" s="1014"/>
      <c r="P66" s="1014"/>
      <c r="Q66" s="1014"/>
      <c r="R66" s="1014"/>
      <c r="S66" s="1014"/>
      <c r="T66" s="1014"/>
      <c r="U66" s="1014"/>
      <c r="V66" s="1014"/>
      <c r="W66" s="1014"/>
      <c r="X66" s="1014"/>
      <c r="Y66" s="1014"/>
      <c r="Z66" s="1014"/>
      <c r="AA66" s="1014"/>
      <c r="AB66" s="1014"/>
      <c r="AC66" s="1014"/>
      <c r="AD66" s="1014"/>
      <c r="AE66" s="1014"/>
      <c r="AF66" s="1014"/>
      <c r="AG66" s="1014"/>
    </row>
    <row r="67" s="281" customFormat="1">
      <c r="A67" s="1014"/>
      <c r="B67" s="1014" t="s">
        <v>37</v>
      </c>
      <c r="C67" s="1014"/>
      <c r="D67" s="1014"/>
      <c r="E67" s="1014"/>
      <c r="F67" s="1014"/>
      <c r="G67" s="1014"/>
      <c r="H67" s="1014"/>
      <c r="I67" s="1014"/>
      <c r="J67" s="1014"/>
      <c r="K67" s="1014"/>
      <c r="L67" s="1014"/>
      <c r="M67" s="1014"/>
      <c r="N67" s="1014"/>
      <c r="O67" s="1014"/>
      <c r="P67" s="1014"/>
      <c r="Q67" s="1014"/>
      <c r="R67" s="1014"/>
      <c r="S67" s="1014"/>
      <c r="T67" s="1014"/>
      <c r="U67" s="1014"/>
      <c r="V67" s="1014"/>
      <c r="W67" s="1014"/>
      <c r="X67" s="1014"/>
      <c r="Y67" s="1014"/>
      <c r="Z67" s="1014"/>
      <c r="AA67" s="1014"/>
      <c r="AB67" s="1014"/>
      <c r="AC67" s="1014"/>
      <c r="AD67" s="1014"/>
      <c r="AE67" s="1014"/>
      <c r="AF67" s="1014"/>
      <c r="AG67" s="1014"/>
    </row>
    <row r="68" s="281" customFormat="1">
      <c r="A68" s="1014"/>
      <c r="B68" s="1014" t="s">
        <v>44</v>
      </c>
      <c r="C68" s="1014"/>
      <c r="D68" s="1014"/>
      <c r="E68" s="1014"/>
      <c r="F68" s="1014"/>
      <c r="G68" s="1014"/>
      <c r="H68" s="1014"/>
      <c r="I68" s="1014"/>
      <c r="J68" s="1014"/>
      <c r="K68" s="1014"/>
      <c r="L68" s="1014"/>
      <c r="M68" s="1014"/>
      <c r="N68" s="1014"/>
      <c r="O68" s="1014"/>
      <c r="P68" s="1014"/>
      <c r="Q68" s="1014"/>
      <c r="R68" s="1014"/>
      <c r="S68" s="1014"/>
      <c r="T68" s="1014"/>
      <c r="U68" s="1014"/>
      <c r="V68" s="1014"/>
      <c r="W68" s="1014"/>
      <c r="X68" s="1014"/>
      <c r="Y68" s="1014"/>
      <c r="Z68" s="1014"/>
      <c r="AA68" s="1014"/>
      <c r="AB68" s="1014"/>
      <c r="AC68" s="1014"/>
      <c r="AD68" s="1014"/>
      <c r="AE68" s="1014"/>
      <c r="AF68" s="1014"/>
      <c r="AG68" s="1014"/>
    </row>
    <row r="69" s="281" customFormat="1">
      <c r="A69" s="1014"/>
      <c r="B69" s="1014" t="s">
        <v>45</v>
      </c>
      <c r="C69" s="1014"/>
      <c r="D69" s="1014"/>
      <c r="E69" s="1014"/>
      <c r="F69" s="1014"/>
      <c r="G69" s="1014"/>
      <c r="H69" s="1014"/>
      <c r="I69" s="1014"/>
      <c r="J69" s="1014"/>
      <c r="K69" s="1014"/>
      <c r="L69" s="1014"/>
      <c r="M69" s="1014"/>
      <c r="N69" s="1014"/>
      <c r="O69" s="1014"/>
      <c r="P69" s="1014"/>
      <c r="Q69" s="1014"/>
      <c r="R69" s="1014"/>
      <c r="S69" s="1014"/>
      <c r="T69" s="1014"/>
      <c r="U69" s="1014"/>
      <c r="V69" s="1014"/>
      <c r="W69" s="1014"/>
      <c r="X69" s="1014"/>
      <c r="Y69" s="1014"/>
      <c r="Z69" s="1014"/>
      <c r="AA69" s="1014"/>
      <c r="AB69" s="1014"/>
      <c r="AC69" s="1014"/>
      <c r="AD69" s="1014"/>
      <c r="AE69" s="1014"/>
      <c r="AF69" s="1014"/>
      <c r="AG69" s="1014"/>
    </row>
    <row r="70" s="281" customFormat="1">
      <c r="A70" s="1014"/>
      <c r="B70" s="1014"/>
      <c r="C70" s="1014"/>
      <c r="D70" s="1014"/>
      <c r="E70" s="1014"/>
      <c r="F70" s="1014"/>
      <c r="G70" s="1014"/>
      <c r="H70" s="1014"/>
      <c r="I70" s="1014"/>
      <c r="J70" s="1014"/>
      <c r="K70" s="1014"/>
      <c r="L70" s="1014"/>
      <c r="M70" s="1014"/>
      <c r="N70" s="1014"/>
      <c r="O70" s="1014"/>
      <c r="P70" s="1014"/>
      <c r="Q70" s="1014"/>
      <c r="R70" s="1014"/>
      <c r="S70" s="1014"/>
      <c r="T70" s="1014"/>
      <c r="U70" s="1014"/>
      <c r="V70" s="1014"/>
      <c r="W70" s="1014"/>
      <c r="X70" s="1014"/>
      <c r="Y70" s="1014"/>
      <c r="Z70" s="1014"/>
      <c r="AA70" s="1014"/>
      <c r="AB70" s="1014"/>
      <c r="AC70" s="1014"/>
      <c r="AD70" s="1014"/>
      <c r="AE70" s="1014"/>
      <c r="AF70" s="1014"/>
      <c r="AG70" s="1014"/>
    </row>
    <row r="71" s="281" customFormat="1">
      <c r="A71" s="1014"/>
      <c r="B71" s="1014"/>
      <c r="C71" s="1014"/>
      <c r="D71" s="1014"/>
      <c r="E71" s="1014"/>
      <c r="F71" s="1014"/>
      <c r="G71" s="1014"/>
      <c r="H71" s="1014"/>
      <c r="I71" s="1014"/>
      <c r="J71" s="1014"/>
      <c r="K71" s="1014"/>
      <c r="L71" s="1014"/>
      <c r="M71" s="1014"/>
      <c r="N71" s="1014"/>
      <c r="O71" s="1014"/>
      <c r="P71" s="1014"/>
      <c r="Q71" s="1014"/>
      <c r="R71" s="1014"/>
      <c r="S71" s="1014"/>
      <c r="T71" s="1014"/>
      <c r="U71" s="1014"/>
      <c r="V71" s="1014"/>
      <c r="W71" s="1014"/>
      <c r="X71" s="1014"/>
      <c r="Y71" s="1014"/>
      <c r="Z71" s="1014"/>
      <c r="AA71" s="1014"/>
      <c r="AB71" s="1014"/>
      <c r="AC71" s="1014"/>
      <c r="AD71" s="1014"/>
      <c r="AE71" s="1014"/>
      <c r="AF71" s="1014"/>
      <c r="AG71" s="1014"/>
    </row>
    <row r="72" s="281" customFormat="1">
      <c r="A72" s="1014"/>
      <c r="B72" s="1014"/>
      <c r="C72" s="1014"/>
      <c r="D72" s="1014"/>
      <c r="E72" s="1014"/>
      <c r="F72" s="1014"/>
      <c r="G72" s="1014"/>
      <c r="H72" s="1014"/>
      <c r="I72" s="1014"/>
      <c r="J72" s="1014"/>
      <c r="K72" s="1014"/>
      <c r="L72" s="1014"/>
      <c r="M72" s="1014"/>
      <c r="N72" s="1014"/>
      <c r="O72" s="1014"/>
      <c r="P72" s="1014"/>
      <c r="Q72" s="1014"/>
      <c r="R72" s="1014"/>
      <c r="S72" s="1014"/>
      <c r="T72" s="1014"/>
      <c r="U72" s="1014"/>
      <c r="V72" s="1014"/>
      <c r="W72" s="1014"/>
      <c r="X72" s="1014"/>
      <c r="Y72" s="1014"/>
      <c r="Z72" s="1014"/>
      <c r="AA72" s="1014"/>
      <c r="AB72" s="1014"/>
      <c r="AC72" s="1014"/>
      <c r="AD72" s="1014"/>
      <c r="AE72" s="1014"/>
      <c r="AF72" s="1014"/>
      <c r="AG72" s="1014"/>
    </row>
    <row r="73" s="281" customFormat="1">
      <c r="A73" s="1014"/>
      <c r="B73" s="1014"/>
      <c r="C73" s="1014"/>
      <c r="D73" s="1014"/>
      <c r="E73" s="1014"/>
      <c r="F73" s="1014"/>
      <c r="G73" s="1014"/>
      <c r="H73" s="1014"/>
      <c r="I73" s="1014"/>
      <c r="J73" s="1014"/>
      <c r="K73" s="1014"/>
      <c r="L73" s="1014"/>
      <c r="M73" s="1014"/>
      <c r="N73" s="1014"/>
      <c r="O73" s="1014"/>
      <c r="P73" s="1014"/>
      <c r="Q73" s="1014"/>
      <c r="R73" s="1014"/>
      <c r="S73" s="1014"/>
      <c r="T73" s="1014"/>
      <c r="U73" s="1014"/>
      <c r="V73" s="1014"/>
      <c r="W73" s="1014"/>
      <c r="X73" s="1014"/>
      <c r="Y73" s="1014"/>
      <c r="Z73" s="1014"/>
      <c r="AA73" s="1014"/>
      <c r="AB73" s="1014"/>
      <c r="AC73" s="1014"/>
      <c r="AD73" s="1014"/>
      <c r="AE73" s="1014"/>
      <c r="AF73" s="1014"/>
      <c r="AG73" s="1014"/>
    </row>
    <row r="74" s="281" customFormat="1"/>
    <row r="75" s="281" customFormat="1"/>
    <row r="76" s="281" customFormat="1"/>
    <row r="77" s="281" customFormat="1"/>
    <row r="78" s="281" customFormat="1"/>
    <row r="79" s="281" customFormat="1"/>
    <row r="80" s="281" customFormat="1"/>
    <row r="81" s="281" customFormat="1"/>
    <row r="82" s="281" customFormat="1"/>
    <row r="83" s="281" customFormat="1"/>
    <row r="84" s="281" customFormat="1"/>
    <row r="85" s="281" customFormat="1"/>
    <row r="86" s="281" customFormat="1"/>
    <row r="87" s="281" customFormat="1"/>
    <row r="88" s="281" customFormat="1"/>
    <row r="89" s="281" customFormat="1"/>
    <row r="90" s="281" customFormat="1"/>
    <row r="91" s="281" customFormat="1"/>
    <row r="92" s="281" customFormat="1"/>
    <row r="93" s="281" customFormat="1"/>
    <row r="94" s="281" customFormat="1"/>
  </sheetData>
  <mergeCells count="25">
    <mergeCell ref="Z19:AB19"/>
    <mergeCell ref="X18:AG18"/>
    <mergeCell ref="V19:X19"/>
    <mergeCell ref="AD19:AF19"/>
    <mergeCell ref="B2:AE2"/>
    <mergeCell ref="B57:AF57"/>
    <mergeCell ref="AA1:AF1"/>
    <mergeCell ref="AD43:AF43"/>
    <mergeCell ref="AD31:AF31"/>
    <mergeCell ref="B43:B44"/>
    <mergeCell ref="Z31:AB31"/>
    <mergeCell ref="Z43:AB43"/>
    <mergeCell ref="V31:X31"/>
    <mergeCell ref="B31:B32"/>
    <mergeCell ref="V43:X43"/>
    <mergeCell ref="B3:T3"/>
    <mergeCell ref="U3:AF3"/>
    <mergeCell ref="B4:AE4"/>
    <mergeCell ref="B19:B20"/>
    <mergeCell ref="C19:N19"/>
    <mergeCell ref="C31:N31"/>
    <mergeCell ref="C43:N43"/>
    <mergeCell ref="O19:T19"/>
    <mergeCell ref="O31:T31"/>
    <mergeCell ref="O43:T43"/>
  </mergeCells>
  <phoneticPr fontId="0" type="noConversion"/>
  <printOptions horizontalCentered="1" verticalCentered="1"/>
  <pageMargins left="0.25" right="0.25" top="0.25" bottom="0.25" header="0" footer="0"/>
  <pageSetup scale="45" fitToWidth="1" fitToHeight="1" orientation="landscape" r:id="rId1"/>
  <headerFooter alignWithMargins="0">
    <oddHeader/>
    <oddFooter/>
  </headerFooter>
  <rowBreaks count="1" manualBreakCount="1">
    <brk id="58" max="16383" man="1"/>
  </rowBreaks>
  <colBreaks count="1" manualBreakCount="1">
    <brk id="34" max="1048575" man="1"/>
  </colBreaks>
  <drawing r:id="rId31"/>
</worksheet>
</file>

<file path=xl/worksheets/sheet3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pageSetUpPr fitToPage="1"/>
  </sheetPr>
  <dimension ref="A1:AO79"/>
  <sheetViews>
    <sheetView showGridLines="0" workbookViewId="0"/>
  </sheetViews>
  <sheetFormatPr defaultRowHeight="12.75"/>
  <cols>
    <col min="1" max="1" width="2.7109375" customWidth="1"/>
    <col min="2" max="2" width="19.5703125" customWidth="1"/>
    <col min="3" max="3" width="4.42578125" customWidth="1"/>
    <col min="4" max="4" width="12.28515625" customWidth="1"/>
    <col min="5" max="5" width="9.42578125" customWidth="1"/>
    <col min="6" max="6" width="7.7109375" customWidth="1"/>
    <col min="7" max="7" width="2.7109375" customWidth="1"/>
    <col min="8" max="8" width="12.28515625" customWidth="1"/>
    <col min="9" max="9" width="9.42578125" customWidth="1"/>
    <col min="10" max="10" width="7.7109375" customWidth="1"/>
    <col min="11" max="11" width="2.7109375" customWidth="1"/>
    <col min="12" max="12" width="12.28515625" customWidth="1"/>
    <col min="13" max="13" width="8.7109375" customWidth="1"/>
    <col min="14" max="14" width="7.7109375" customWidth="1"/>
    <col min="15" max="15" width="2.7109375" customWidth="1"/>
    <col min="16" max="16" width="12.28515625" customWidth="1"/>
    <col min="17" max="17" width="9.42578125" customWidth="1"/>
    <col min="18" max="18" width="7.7109375" customWidth="1"/>
    <col min="19" max="20" width="2.7109375" customWidth="1"/>
    <col min="21" max="41" width="9.140625" style="236" customWidth="1"/>
  </cols>
  <sheetData>
    <row r="1" ht="26.25" customHeight="1">
      <c r="B1" s="20" t="s">
        <v>139</v>
      </c>
      <c r="C1" s="12"/>
      <c r="D1" s="12"/>
      <c r="E1" s="12"/>
      <c r="F1" s="12"/>
      <c r="G1" s="12"/>
      <c r="H1" s="2"/>
      <c r="I1" s="2"/>
      <c r="J1" s="2"/>
      <c r="K1" s="2"/>
      <c r="L1" s="2"/>
      <c r="M1" s="2"/>
      <c r="N1" s="2"/>
      <c r="O1" s="2"/>
      <c r="P1" s="131"/>
      <c r="Q1" s="2"/>
      <c r="R1" s="2"/>
      <c r="S1" s="222"/>
      <c r="T1" s="2"/>
      <c r="U1" s="236"/>
    </row>
    <row r="2" ht="14.25" customHeight="1">
      <c r="B2" s="999" t="s">
        <v>170</v>
      </c>
      <c r="C2" s="999"/>
      <c r="D2" s="999"/>
      <c r="E2" s="999"/>
      <c r="F2" s="999"/>
      <c r="G2" s="999"/>
      <c r="H2" s="999"/>
      <c r="I2" s="999"/>
      <c r="J2" s="999"/>
      <c r="K2" s="999"/>
      <c r="L2" s="999"/>
      <c r="M2" s="999"/>
      <c r="N2" s="999"/>
      <c r="O2" s="999"/>
      <c r="P2" s="999"/>
      <c r="Q2" s="999"/>
      <c r="R2" s="999"/>
      <c r="S2" s="999"/>
      <c r="T2" s="2"/>
    </row>
    <row r="3" ht="14.25" customHeight="1">
      <c r="B3" s="1030" t="s">
        <v>171</v>
      </c>
      <c r="C3" s="1030"/>
      <c r="D3" s="1030"/>
      <c r="E3" s="1030"/>
      <c r="F3" s="1030"/>
      <c r="G3" s="1030"/>
      <c r="H3" s="1030"/>
      <c r="I3" s="1030"/>
      <c r="J3" s="1030"/>
      <c r="K3" s="1030"/>
      <c r="L3" s="1030"/>
      <c r="M3" s="1030"/>
      <c r="N3" s="1030"/>
      <c r="O3" s="1030"/>
      <c r="P3" s="1030"/>
      <c r="Q3" s="1030"/>
      <c r="R3" s="1030"/>
      <c r="S3" s="1030"/>
      <c r="T3" s="2"/>
    </row>
    <row r="4" ht="14.25" customHeight="1">
      <c r="B4" s="1030" t="s">
        <v>172</v>
      </c>
      <c r="C4" s="1030"/>
      <c r="D4" s="1030"/>
      <c r="E4" s="1030"/>
      <c r="F4" s="1030"/>
      <c r="G4" s="1030"/>
      <c r="H4" s="1030"/>
      <c r="I4" s="1030"/>
      <c r="J4" s="1030"/>
      <c r="K4" s="1030"/>
      <c r="L4" s="1030"/>
      <c r="M4" s="1030"/>
      <c r="N4" s="1030"/>
      <c r="O4" s="1030"/>
      <c r="P4" s="1030"/>
      <c r="Q4" s="1030"/>
      <c r="R4" s="1030"/>
      <c r="S4" s="1030"/>
      <c r="T4" s="2"/>
    </row>
    <row r="5" ht="15" customHeight="1">
      <c r="A5" s="14"/>
      <c r="B5" s="13"/>
      <c r="C5" s="2"/>
      <c r="D5" s="2"/>
      <c r="E5" s="2"/>
      <c r="F5" s="2"/>
      <c r="G5" s="2"/>
      <c r="H5" s="2"/>
      <c r="I5" s="2"/>
      <c r="J5" s="2"/>
      <c r="K5" s="2"/>
      <c r="L5" s="2"/>
      <c r="M5" s="2"/>
      <c r="N5" s="2"/>
      <c r="O5" s="2"/>
      <c r="P5" s="2"/>
      <c r="Q5" s="2"/>
      <c r="R5" s="2"/>
      <c r="S5" s="2"/>
      <c r="T5" s="2"/>
    </row>
    <row r="6" s="0" customFormat="1" ht="18" customHeight="1">
      <c r="A6" s="14"/>
      <c r="B6" s="1031" t="s">
        <v>173</v>
      </c>
      <c r="C6" s="1031"/>
      <c r="D6" s="1031"/>
      <c r="E6" s="1031"/>
      <c r="F6" s="1031"/>
      <c r="G6" s="1031"/>
      <c r="H6" s="1031"/>
      <c r="I6" s="1031"/>
      <c r="J6" s="1031"/>
      <c r="K6" s="1031"/>
      <c r="L6" s="1031"/>
      <c r="M6" s="1031"/>
      <c r="N6" s="1031"/>
      <c r="O6" s="1031"/>
      <c r="P6" s="1031"/>
      <c r="Q6" s="1031"/>
      <c r="R6" s="1031"/>
      <c r="S6" s="1031"/>
      <c r="T6" s="2"/>
      <c r="U6" s="236"/>
      <c r="V6" s="236"/>
      <c r="W6" s="236"/>
      <c r="X6" s="236"/>
      <c r="Y6" s="236"/>
      <c r="Z6" s="236"/>
      <c r="AA6" s="236"/>
      <c r="AB6" s="236"/>
      <c r="AC6" s="236"/>
      <c r="AD6" s="236"/>
      <c r="AE6" s="236"/>
      <c r="AF6" s="236"/>
      <c r="AG6" s="236"/>
      <c r="AH6" s="236"/>
      <c r="AI6" s="236"/>
      <c r="AJ6" s="236"/>
      <c r="AK6" s="236"/>
      <c r="AL6" s="236"/>
      <c r="AM6" s="236"/>
      <c r="AN6" s="236"/>
      <c r="AO6" s="236"/>
    </row>
    <row r="7" ht="15" customHeight="1">
      <c r="A7" s="14"/>
      <c r="B7" s="13"/>
      <c r="C7" s="2"/>
      <c r="D7" s="2"/>
      <c r="E7" s="2"/>
      <c r="F7" s="2"/>
      <c r="G7" s="2"/>
      <c r="H7" s="2"/>
      <c r="I7" s="2"/>
      <c r="J7" s="2"/>
      <c r="K7" s="2"/>
      <c r="L7" s="2"/>
      <c r="M7" s="2"/>
      <c r="N7" s="2"/>
      <c r="O7" s="2"/>
      <c r="P7" s="2"/>
      <c r="Q7" s="2"/>
      <c r="R7" s="2"/>
      <c r="S7" s="2"/>
      <c r="T7" s="2"/>
    </row>
    <row r="8" ht="15" customHeight="1">
      <c r="A8" s="2"/>
      <c r="B8" s="2"/>
      <c r="C8" s="15"/>
      <c r="D8" s="1032" t="s">
        <v>11</v>
      </c>
      <c r="E8" s="1032"/>
      <c r="F8" s="1032"/>
      <c r="G8" s="2"/>
      <c r="H8" s="1032" t="s">
        <v>13</v>
      </c>
      <c r="I8" s="1032"/>
      <c r="J8" s="1032"/>
      <c r="K8" s="2"/>
      <c r="L8" s="1032" t="s">
        <v>14</v>
      </c>
      <c r="M8" s="1032"/>
      <c r="N8" s="1032"/>
      <c r="O8" s="2"/>
      <c r="P8" s="1032" t="s">
        <v>12</v>
      </c>
      <c r="Q8" s="1032"/>
      <c r="R8" s="1032"/>
      <c r="S8" s="3"/>
      <c r="T8" s="2"/>
    </row>
    <row r="9" ht="15" customHeight="1">
      <c r="A9" s="2"/>
      <c r="B9" s="2"/>
      <c r="C9" s="2"/>
      <c r="D9" s="3"/>
      <c r="E9" s="3"/>
      <c r="F9" s="171" t="s">
        <v>24</v>
      </c>
      <c r="G9" s="50"/>
      <c r="H9" s="2"/>
      <c r="I9" s="2"/>
      <c r="J9" s="171" t="s">
        <v>24</v>
      </c>
      <c r="K9" s="2"/>
      <c r="L9" s="2"/>
      <c r="M9" s="2"/>
      <c r="N9" s="171" t="s">
        <v>24</v>
      </c>
      <c r="O9" s="2"/>
      <c r="P9" s="2"/>
      <c r="Q9" s="2"/>
      <c r="R9" s="171" t="s">
        <v>24</v>
      </c>
      <c r="S9" s="2"/>
      <c r="T9" s="2"/>
    </row>
    <row r="10" ht="15" customHeight="1">
      <c r="A10" s="2"/>
      <c r="B10" s="173" t="s">
        <v>22</v>
      </c>
      <c r="C10" s="45"/>
      <c r="D10" s="18" t="s">
        <v>19</v>
      </c>
      <c r="E10" s="113">
        <v>34.820788530465949820788530470</v>
      </c>
      <c r="F10" s="113">
        <v>14.563679245188449793075905770</v>
      </c>
      <c r="G10" s="659"/>
      <c r="H10" s="18" t="s">
        <v>19</v>
      </c>
      <c r="I10" s="667">
        <v>4.6057347670250896057347670300</v>
      </c>
      <c r="J10" s="113">
        <v>37.433155079670050616262268400</v>
      </c>
      <c r="K10" s="9"/>
      <c r="L10" s="18" t="s">
        <v>19</v>
      </c>
      <c r="M10" s="667">
        <v>1.4336917562724014336917562700</v>
      </c>
      <c r="N10" s="113">
        <v>12.676056337298155127955532890</v>
      </c>
      <c r="O10" s="9"/>
      <c r="P10" s="18" t="s">
        <v>19</v>
      </c>
      <c r="Q10" s="667">
        <v>40.860215053763440860215053760</v>
      </c>
      <c r="R10" s="113">
        <v>16.683725690735221245242624570</v>
      </c>
      <c r="S10" s="674"/>
      <c r="T10" s="9"/>
    </row>
    <row r="11" ht="15" customHeight="1">
      <c r="A11" s="2"/>
      <c r="B11" s="44"/>
      <c r="C11" s="45"/>
      <c r="D11" s="133" t="s">
        <v>16</v>
      </c>
      <c r="E11" s="92">
        <v>44.267214155940818371272535290</v>
      </c>
      <c r="F11" s="92">
        <v>4.5039222511017576043180921500</v>
      </c>
      <c r="G11" s="661"/>
      <c r="H11" s="133" t="s">
        <v>16</v>
      </c>
      <c r="I11" s="668">
        <v>10.553027840970642400606651500</v>
      </c>
      <c r="J11" s="92">
        <v>8.225845829835134947404765510</v>
      </c>
      <c r="K11" s="120"/>
      <c r="L11" s="133" t="s">
        <v>16</v>
      </c>
      <c r="M11" s="668">
        <v>4.9802491019221794982251717100</v>
      </c>
      <c r="N11" s="92">
        <v>13.747648409086638006591177920</v>
      </c>
      <c r="O11" s="120"/>
      <c r="P11" s="133" t="s">
        <v>16</v>
      </c>
      <c r="Q11" s="668">
        <v>59.800491098833640270104358500</v>
      </c>
      <c r="R11" s="92">
        <v>5.8628559008387659210662012100</v>
      </c>
      <c r="S11" s="674"/>
      <c r="T11" s="9"/>
    </row>
    <row r="12" ht="15" customHeight="1">
      <c r="A12" s="2"/>
      <c r="B12" s="44"/>
      <c r="C12" s="45"/>
      <c r="D12" s="19" t="s">
        <v>97</v>
      </c>
      <c r="E12" s="113">
        <v>78.660447002231296833611301370</v>
      </c>
      <c r="F12" s="113">
        <v>9.626200412053850951797857870</v>
      </c>
      <c r="G12" s="113"/>
      <c r="H12" s="19" t="s">
        <v>97</v>
      </c>
      <c r="I12" s="667">
        <v>43.643728003172332441255491900</v>
      </c>
      <c r="J12" s="113">
        <v>26.987369815573268412930828700</v>
      </c>
      <c r="K12" s="9"/>
      <c r="L12" s="19" t="s">
        <v>97</v>
      </c>
      <c r="M12" s="667">
        <v>28.787551123204619671551539380</v>
      </c>
      <c r="N12" s="113">
        <v>-0.9420784390444551766151634800</v>
      </c>
      <c r="O12" s="9"/>
      <c r="P12" s="19" t="s">
        <v>97</v>
      </c>
      <c r="Q12" s="667">
        <v>68.327557688875520877589515330</v>
      </c>
      <c r="R12" s="113">
        <v>10.221592548224389000348385620</v>
      </c>
      <c r="S12" s="667"/>
      <c r="T12" s="9"/>
    </row>
    <row r="13" ht="15" customHeight="1">
      <c r="A13" s="2"/>
      <c r="B13" s="17"/>
      <c r="C13" s="2"/>
      <c r="D13" s="2"/>
      <c r="E13" s="662"/>
      <c r="F13" s="659"/>
      <c r="G13" s="662"/>
      <c r="H13" s="2"/>
      <c r="I13" s="9"/>
      <c r="J13" s="659"/>
      <c r="K13" s="9"/>
      <c r="L13" s="2"/>
      <c r="M13" s="9"/>
      <c r="N13" s="659"/>
      <c r="O13" s="9"/>
      <c r="P13" s="2"/>
      <c r="Q13" s="674"/>
      <c r="R13" s="659"/>
      <c r="S13" s="674"/>
      <c r="T13" s="9"/>
    </row>
    <row r="14" ht="15" customHeight="1">
      <c r="A14" s="2"/>
      <c r="B14" s="173" t="s">
        <v>9</v>
      </c>
      <c r="C14" s="45"/>
      <c r="D14" s="18" t="s">
        <v>19</v>
      </c>
      <c r="E14" s="663">
        <v>102.80391147709727225939269171</v>
      </c>
      <c r="F14" s="113">
        <v>-6.9016964533499602535054825900</v>
      </c>
      <c r="G14" s="664"/>
      <c r="H14" s="53" t="s">
        <v>19</v>
      </c>
      <c r="I14" s="670">
        <v>115.27237354085603112840466926</v>
      </c>
      <c r="J14" s="113">
        <v>9.221391630189952813413422600</v>
      </c>
      <c r="K14" s="671"/>
      <c r="L14" s="53" t="s">
        <v>19</v>
      </c>
      <c r="M14" s="670">
        <v>96.6</v>
      </c>
      <c r="N14" s="113">
        <v>1.6842105263157894736842105300</v>
      </c>
      <c r="O14" s="671"/>
      <c r="P14" s="53" t="s">
        <v>19</v>
      </c>
      <c r="Q14" s="670">
        <v>103.99178947368421052631578947</v>
      </c>
      <c r="R14" s="113">
        <v>-4.9409938722821046016522355700</v>
      </c>
      <c r="S14" s="675"/>
      <c r="T14" s="9"/>
    </row>
    <row r="15" ht="15" customHeight="1">
      <c r="A15" s="2"/>
      <c r="B15" s="44"/>
      <c r="C15" s="45"/>
      <c r="D15" s="133" t="s">
        <v>16</v>
      </c>
      <c r="E15" s="665">
        <v>136.88927545318230107479440339</v>
      </c>
      <c r="F15" s="92">
        <v>-2.2814061602626568540732157500</v>
      </c>
      <c r="G15" s="666"/>
      <c r="H15" s="143" t="s">
        <v>16</v>
      </c>
      <c r="I15" s="672">
        <v>144.06853678655387256098285731</v>
      </c>
      <c r="J15" s="92">
        <v>2.4617986782272603556675849800</v>
      </c>
      <c r="K15" s="673"/>
      <c r="L15" s="143" t="s">
        <v>16</v>
      </c>
      <c r="M15" s="672">
        <v>122.99820861739319868583341077</v>
      </c>
      <c r="N15" s="92">
        <v>3.2459925422626222524176363900</v>
      </c>
      <c r="O15" s="673"/>
      <c r="P15" s="143" t="s">
        <v>16</v>
      </c>
      <c r="Q15" s="672">
        <v>136.99934096391726120207360263</v>
      </c>
      <c r="R15" s="92">
        <v>-1.1200406530874745558608498700</v>
      </c>
      <c r="S15" s="675"/>
      <c r="T15" s="9"/>
    </row>
    <row r="16" ht="15" customHeight="1">
      <c r="A16" s="2"/>
      <c r="B16" s="44"/>
      <c r="C16" s="45"/>
      <c r="D16" s="19" t="s">
        <v>98</v>
      </c>
      <c r="E16" s="113">
        <v>75.100047930521843320645607760</v>
      </c>
      <c r="F16" s="113">
        <v>-4.7281587992594821348696110800</v>
      </c>
      <c r="G16" s="113"/>
      <c r="H16" s="19" t="s">
        <v>98</v>
      </c>
      <c r="I16" s="667">
        <v>80.01217761488201838168377908</v>
      </c>
      <c r="J16" s="113">
        <v>6.5971835739642033636440953500</v>
      </c>
      <c r="K16" s="9"/>
      <c r="L16" s="19" t="s">
        <v>98</v>
      </c>
      <c r="M16" s="667">
        <v>78.537729196109962791666923900</v>
      </c>
      <c r="N16" s="113">
        <v>-1.5126805190842799848748657700</v>
      </c>
      <c r="O16" s="9"/>
      <c r="P16" s="19" t="s">
        <v>98</v>
      </c>
      <c r="Q16" s="667">
        <v>75.906780822461444105212426380</v>
      </c>
      <c r="R16" s="113">
        <v>-3.8642342132935802559476049400</v>
      </c>
      <c r="S16" s="667"/>
      <c r="T16" s="9"/>
    </row>
    <row r="17" ht="15" customHeight="1">
      <c r="A17" s="2"/>
      <c r="B17" s="17"/>
      <c r="C17" s="2"/>
      <c r="D17" s="2"/>
      <c r="E17" s="662"/>
      <c r="F17" s="113"/>
      <c r="G17" s="662"/>
      <c r="H17" s="2"/>
      <c r="I17" s="9"/>
      <c r="J17" s="113"/>
      <c r="K17" s="9"/>
      <c r="L17" s="2"/>
      <c r="M17" s="9"/>
      <c r="N17" s="113"/>
      <c r="O17" s="9"/>
      <c r="P17" s="2"/>
      <c r="Q17" s="675"/>
      <c r="R17" s="113"/>
      <c r="S17" s="675"/>
      <c r="T17" s="9"/>
    </row>
    <row r="18" ht="15" customHeight="1">
      <c r="A18" s="2"/>
      <c r="B18" s="173" t="s">
        <v>10</v>
      </c>
      <c r="C18" s="45"/>
      <c r="D18" s="18" t="s">
        <v>19</v>
      </c>
      <c r="E18" s="663">
        <v>35.797132616487455197132616487</v>
      </c>
      <c r="F18" s="113">
        <v>6.65684185797726222257937100</v>
      </c>
      <c r="G18" s="664"/>
      <c r="H18" s="53" t="s">
        <v>19</v>
      </c>
      <c r="I18" s="670">
        <v>5.3091397849462365591397849462</v>
      </c>
      <c r="J18" s="113">
        <v>50.106404540946202787215585280</v>
      </c>
      <c r="K18" s="671"/>
      <c r="L18" s="53" t="s">
        <v>19</v>
      </c>
      <c r="M18" s="670">
        <v>1.3849462365591397849462365591</v>
      </c>
      <c r="N18" s="113">
        <v>14.573758340190207610616398560</v>
      </c>
      <c r="O18" s="671"/>
      <c r="P18" s="53" t="s">
        <v>19</v>
      </c>
      <c r="Q18" s="670">
        <v>42.491268817204301075268817204</v>
      </c>
      <c r="R18" s="113">
        <v>10.918389954639361677116857900</v>
      </c>
      <c r="S18" s="675"/>
      <c r="T18" s="9"/>
    </row>
    <row r="19" ht="15" customHeight="1">
      <c r="A19" s="2"/>
      <c r="B19" s="44"/>
      <c r="C19" s="45"/>
      <c r="D19" s="133" t="s">
        <v>16</v>
      </c>
      <c r="E19" s="665">
        <v>60.597068721375935431101509451</v>
      </c>
      <c r="F19" s="92">
        <v>2.1197633312798396598617405700</v>
      </c>
      <c r="G19" s="666"/>
      <c r="H19" s="143" t="s">
        <v>16</v>
      </c>
      <c r="I19" s="672">
        <v>15.203592797164061851942525234</v>
      </c>
      <c r="J19" s="92">
        <v>10.890148271497424245926294880</v>
      </c>
      <c r="K19" s="673"/>
      <c r="L19" s="143" t="s">
        <v>16</v>
      </c>
      <c r="M19" s="672">
        <v>6.125617180048093570240188764</v>
      </c>
      <c r="N19" s="92">
        <v>17.439888595127315183968572660</v>
      </c>
      <c r="O19" s="673"/>
      <c r="P19" s="143" t="s">
        <v>16</v>
      </c>
      <c r="Q19" s="672">
        <v>81.92627869858809085328422345</v>
      </c>
      <c r="R19" s="92">
        <v>4.6771488783097477288291690600</v>
      </c>
      <c r="S19" s="675"/>
      <c r="T19" s="9"/>
    </row>
    <row r="20" ht="15" customHeight="1">
      <c r="A20" s="2"/>
      <c r="B20" s="44"/>
      <c r="C20" s="45"/>
      <c r="D20" s="19" t="s">
        <v>99</v>
      </c>
      <c r="E20" s="113">
        <v>59.074033400968142951319745760</v>
      </c>
      <c r="F20" s="113">
        <v>4.4428995707732398122590380400</v>
      </c>
      <c r="G20" s="113"/>
      <c r="H20" s="19" t="s">
        <v>99</v>
      </c>
      <c r="I20" s="667">
        <v>34.920297167680029419327948390</v>
      </c>
      <c r="J20" s="113">
        <v>35.364959718655099135669859310</v>
      </c>
      <c r="K20" s="9"/>
      <c r="L20" s="19" t="s">
        <v>99</v>
      </c>
      <c r="M20" s="667">
        <v>22.609088943412225850950688350</v>
      </c>
      <c r="N20" s="113">
        <v>-2.440508322118511750901046400</v>
      </c>
      <c r="O20" s="9"/>
      <c r="P20" s="19" t="s">
        <v>99</v>
      </c>
      <c r="Q20" s="667">
        <v>51.865249456192393329901740930</v>
      </c>
      <c r="R20" s="113">
        <v>5.9623720583279966279302234800</v>
      </c>
      <c r="S20" s="667"/>
      <c r="T20" s="9"/>
    </row>
    <row r="21" ht="15" customHeight="1">
      <c r="A21" s="2"/>
      <c r="B21" s="17"/>
      <c r="C21" s="2"/>
      <c r="D21" s="2"/>
      <c r="E21" s="9"/>
      <c r="F21" s="9"/>
      <c r="G21" s="9"/>
      <c r="H21" s="2"/>
      <c r="I21" s="9"/>
      <c r="J21" s="9"/>
      <c r="K21" s="9"/>
      <c r="L21" s="2"/>
      <c r="M21" s="9"/>
      <c r="N21" s="9"/>
      <c r="O21" s="9"/>
      <c r="P21" s="2"/>
      <c r="Q21" s="9"/>
      <c r="R21" s="9"/>
      <c r="S21" s="9"/>
      <c r="T21" s="9"/>
    </row>
    <row r="22" ht="15" customHeight="1">
      <c r="A22" s="2"/>
      <c r="E22" s="4"/>
      <c r="F22" s="4"/>
      <c r="G22" s="4"/>
      <c r="I22" s="4"/>
      <c r="J22" s="4"/>
      <c r="K22" s="4"/>
      <c r="M22" s="4"/>
      <c r="N22" s="4"/>
      <c r="O22" s="4"/>
      <c r="Q22" s="4"/>
      <c r="R22" s="4"/>
      <c r="S22" s="4"/>
      <c r="T22" s="9"/>
    </row>
    <row r="23" s="0" customFormat="1" ht="18" customHeight="1">
      <c r="A23" s="2"/>
      <c r="B23" s="1033" t="s">
        <v>58</v>
      </c>
      <c r="C23" s="1033"/>
      <c r="D23" s="1033"/>
      <c r="E23" s="1033"/>
      <c r="F23" s="1033"/>
      <c r="G23" s="1033"/>
      <c r="H23" s="1033"/>
      <c r="I23" s="1033"/>
      <c r="J23" s="1033"/>
      <c r="K23" s="1033"/>
      <c r="L23" s="1033"/>
      <c r="M23" s="1033"/>
      <c r="N23" s="1033"/>
      <c r="O23" s="1033"/>
      <c r="P23" s="1033"/>
      <c r="Q23" s="1033"/>
      <c r="R23" s="1033"/>
      <c r="S23" s="1033"/>
      <c r="T23" s="2"/>
      <c r="U23" s="236"/>
      <c r="V23" s="236"/>
      <c r="W23" s="236"/>
      <c r="X23" s="236"/>
      <c r="Y23" s="236"/>
      <c r="Z23" s="236"/>
      <c r="AA23" s="236"/>
      <c r="AB23" s="236"/>
      <c r="AC23" s="236"/>
      <c r="AD23" s="236"/>
      <c r="AE23" s="236"/>
      <c r="AF23" s="236"/>
      <c r="AG23" s="236"/>
      <c r="AH23" s="236"/>
      <c r="AI23" s="236"/>
      <c r="AJ23" s="236"/>
      <c r="AK23" s="236"/>
      <c r="AL23" s="236"/>
      <c r="AM23" s="236"/>
      <c r="AN23" s="236"/>
      <c r="AO23" s="236"/>
    </row>
    <row r="24" ht="15" customHeight="1">
      <c r="A24" s="2"/>
      <c r="B24" s="17"/>
      <c r="C24" s="2"/>
      <c r="D24" s="2"/>
      <c r="E24" s="2"/>
      <c r="F24" s="2"/>
      <c r="G24" s="2"/>
      <c r="H24" s="2"/>
      <c r="I24" s="2"/>
      <c r="J24" s="2"/>
      <c r="K24" s="2"/>
      <c r="L24" s="2"/>
      <c r="M24" s="2"/>
      <c r="N24" s="2"/>
      <c r="O24" s="2"/>
      <c r="P24" s="2"/>
      <c r="Q24" s="2"/>
      <c r="R24" s="2"/>
      <c r="S24" s="2"/>
      <c r="T24" s="2"/>
    </row>
    <row r="25" ht="15" customHeight="1">
      <c r="A25" s="2"/>
      <c r="B25" s="2"/>
      <c r="C25" s="15"/>
      <c r="D25" s="1032" t="s">
        <v>11</v>
      </c>
      <c r="E25" s="1032"/>
      <c r="F25" s="1032"/>
      <c r="G25" s="2"/>
      <c r="H25" s="1032" t="s">
        <v>13</v>
      </c>
      <c r="I25" s="1032"/>
      <c r="J25" s="1032"/>
      <c r="K25" s="2"/>
      <c r="L25" s="1032" t="s">
        <v>14</v>
      </c>
      <c r="M25" s="1032"/>
      <c r="N25" s="1032"/>
      <c r="O25" s="2"/>
      <c r="P25" s="1032" t="s">
        <v>12</v>
      </c>
      <c r="Q25" s="1032"/>
      <c r="R25" s="1032"/>
      <c r="S25" s="3"/>
      <c r="T25" s="2"/>
    </row>
    <row r="26" ht="15" customHeight="1">
      <c r="A26" s="2"/>
      <c r="B26" s="17"/>
      <c r="C26" s="2"/>
      <c r="D26" s="2"/>
      <c r="E26" s="2"/>
      <c r="F26" s="171" t="s">
        <v>24</v>
      </c>
      <c r="G26" s="2"/>
      <c r="H26" s="2"/>
      <c r="I26" s="2"/>
      <c r="J26" s="171" t="s">
        <v>24</v>
      </c>
      <c r="K26" s="2"/>
      <c r="L26" s="2"/>
      <c r="M26" s="2"/>
      <c r="N26" s="171" t="s">
        <v>24</v>
      </c>
      <c r="O26" s="2"/>
      <c r="P26" s="2"/>
      <c r="Q26" s="2"/>
      <c r="R26" s="171" t="s">
        <v>24</v>
      </c>
      <c r="S26" s="2"/>
      <c r="T26" s="2"/>
    </row>
    <row r="27" ht="15" customHeight="1">
      <c r="A27" s="2"/>
      <c r="B27" s="173" t="s">
        <v>22</v>
      </c>
      <c r="C27" s="45"/>
      <c r="D27" s="18" t="s">
        <v>19</v>
      </c>
      <c r="E27" s="667">
        <v>32.409552664409196221707360540</v>
      </c>
      <c r="F27" s="113">
        <v>-0.3154482287339127904220621900</v>
      </c>
      <c r="G27" s="9"/>
      <c r="H27" s="18" t="s">
        <v>19</v>
      </c>
      <c r="I27" s="667">
        <v>4.2594902869363749777223311400</v>
      </c>
      <c r="J27" s="113">
        <v>-31.304304338585962440696314690</v>
      </c>
      <c r="K27" s="9"/>
      <c r="L27" s="18" t="s">
        <v>19</v>
      </c>
      <c r="M27" s="667">
        <v>1.348541555278322343016693400</v>
      </c>
      <c r="N27" s="113">
        <v>5.6732146533578240457015960800</v>
      </c>
      <c r="O27" s="9"/>
      <c r="P27" s="18" t="s">
        <v>19</v>
      </c>
      <c r="Q27" s="667">
        <v>38.017584506623893542446385080</v>
      </c>
      <c r="R27" s="113">
        <v>-4.9293587413725625159941223500</v>
      </c>
      <c r="S27" s="674"/>
      <c r="T27" s="9"/>
    </row>
    <row r="28" ht="15" customHeight="1">
      <c r="A28" s="2"/>
      <c r="B28" s="44"/>
      <c r="C28" s="45"/>
      <c r="D28" s="133" t="s">
        <v>16</v>
      </c>
      <c r="E28" s="668">
        <v>39.830683045684469377561927340</v>
      </c>
      <c r="F28" s="92">
        <v>7.21767213074737324211025100</v>
      </c>
      <c r="G28" s="120"/>
      <c r="H28" s="133" t="s">
        <v>16</v>
      </c>
      <c r="I28" s="668">
        <v>10.444964055887982478062309910</v>
      </c>
      <c r="J28" s="92">
        <v>-21.558159877014356684526000070</v>
      </c>
      <c r="K28" s="120"/>
      <c r="L28" s="133" t="s">
        <v>16</v>
      </c>
      <c r="M28" s="668">
        <v>3.4732209630979387510930994200</v>
      </c>
      <c r="N28" s="92">
        <v>-31.984135430867454575055806300</v>
      </c>
      <c r="O28" s="120"/>
      <c r="P28" s="133" t="s">
        <v>16</v>
      </c>
      <c r="Q28" s="668">
        <v>53.748868064670390606717336670</v>
      </c>
      <c r="R28" s="92">
        <v>-3.2796262390412729014700562900</v>
      </c>
      <c r="S28" s="674"/>
      <c r="T28" s="9"/>
    </row>
    <row r="29" ht="15" customHeight="1">
      <c r="A29" s="2"/>
      <c r="B29" s="44"/>
      <c r="C29" s="45"/>
      <c r="D29" s="19" t="s">
        <v>97</v>
      </c>
      <c r="E29" s="667">
        <v>81.36830751113125448820543007</v>
      </c>
      <c r="F29" s="113">
        <v>-7.0260062634635855371505898800</v>
      </c>
      <c r="G29" s="676"/>
      <c r="H29" s="19" t="s">
        <v>97</v>
      </c>
      <c r="I29" s="667">
        <v>40.780324988579887006850136610</v>
      </c>
      <c r="J29" s="113">
        <v>-12.424675971824859315769334750</v>
      </c>
      <c r="K29" s="676"/>
      <c r="L29" s="19" t="s">
        <v>97</v>
      </c>
      <c r="M29" s="667">
        <v>38.826828745001315779277475360</v>
      </c>
      <c r="N29" s="113">
        <v>55.365539084581304521958160150</v>
      </c>
      <c r="O29" s="676"/>
      <c r="P29" s="19" t="s">
        <v>97</v>
      </c>
      <c r="Q29" s="667">
        <v>70.731879340901407651754031970</v>
      </c>
      <c r="R29" s="113">
        <v>-1.7056721745920568166254732200</v>
      </c>
      <c r="S29" s="667"/>
      <c r="T29" s="9"/>
    </row>
    <row r="30" ht="15" customHeight="1">
      <c r="A30" s="2"/>
      <c r="B30" s="17"/>
      <c r="C30" s="2"/>
      <c r="D30" s="2"/>
      <c r="E30" s="9"/>
      <c r="F30" s="659"/>
      <c r="G30" s="9"/>
      <c r="H30" s="2"/>
      <c r="I30" s="9"/>
      <c r="J30" s="659"/>
      <c r="K30" s="9"/>
      <c r="L30" s="2"/>
      <c r="M30" s="9"/>
      <c r="N30" s="659"/>
      <c r="O30" s="9"/>
      <c r="P30" s="2"/>
      <c r="Q30" s="674"/>
      <c r="R30" s="659"/>
      <c r="S30" s="674"/>
      <c r="T30" s="9"/>
    </row>
    <row r="31" ht="15" customHeight="1">
      <c r="A31" s="2"/>
      <c r="B31" s="173" t="s">
        <v>9</v>
      </c>
      <c r="C31" s="45"/>
      <c r="D31" s="18" t="s">
        <v>19</v>
      </c>
      <c r="E31" s="670">
        <v>110.23966639171478324626523692</v>
      </c>
      <c r="F31" s="113">
        <v>-4.9954217694820799235315111800</v>
      </c>
      <c r="G31" s="671"/>
      <c r="H31" s="53" t="s">
        <v>19</v>
      </c>
      <c r="I31" s="670">
        <v>122.88912133891213389121338912</v>
      </c>
      <c r="J31" s="113">
        <v>10.792710880427228060078378740</v>
      </c>
      <c r="K31" s="671"/>
      <c r="L31" s="53" t="s">
        <v>19</v>
      </c>
      <c r="M31" s="670">
        <v>96.44052863436123348017621145</v>
      </c>
      <c r="N31" s="113">
        <v>0.9946387328173856294315407900</v>
      </c>
      <c r="O31" s="671"/>
      <c r="P31" s="53" t="s">
        <v>19</v>
      </c>
      <c r="Q31" s="670">
        <v>111.16751464958199859364012814</v>
      </c>
      <c r="R31" s="113">
        <v>-2.9841420391460347229841613800</v>
      </c>
      <c r="S31" s="675"/>
      <c r="T31" s="9"/>
    </row>
    <row r="32" ht="15" customHeight="1">
      <c r="A32" s="2"/>
      <c r="B32" s="44"/>
      <c r="C32" s="45"/>
      <c r="D32" s="133" t="s">
        <v>16</v>
      </c>
      <c r="E32" s="672">
        <v>135.82529810847340863037027188</v>
      </c>
      <c r="F32" s="92">
        <v>-5.1440655464384377766888727600</v>
      </c>
      <c r="G32" s="673"/>
      <c r="H32" s="143" t="s">
        <v>16</v>
      </c>
      <c r="I32" s="672">
        <v>141.93071902369041510736762892</v>
      </c>
      <c r="J32" s="92">
        <v>2.7399304809630503579434261400</v>
      </c>
      <c r="K32" s="673"/>
      <c r="L32" s="143" t="s">
        <v>16</v>
      </c>
      <c r="M32" s="672">
        <v>134.79286220530872678564126413</v>
      </c>
      <c r="N32" s="92">
        <v>9.790687749917604639475347380</v>
      </c>
      <c r="O32" s="673"/>
      <c r="P32" s="143" t="s">
        <v>16</v>
      </c>
      <c r="Q32" s="672">
        <v>136.94504306591451179343505092</v>
      </c>
      <c r="R32" s="92">
        <v>-2.2560530404893914882574880900</v>
      </c>
      <c r="S32" s="675"/>
      <c r="T32" s="9"/>
    </row>
    <row r="33" ht="15" customHeight="1">
      <c r="A33" s="2"/>
      <c r="B33" s="44"/>
      <c r="C33" s="45"/>
      <c r="D33" s="19" t="s">
        <v>98</v>
      </c>
      <c r="E33" s="667">
        <v>81.16283779745736632657636021</v>
      </c>
      <c r="F33" s="113">
        <v>0.156704773233134921489461200</v>
      </c>
      <c r="G33" s="676"/>
      <c r="H33" s="19" t="s">
        <v>98</v>
      </c>
      <c r="I33" s="667">
        <v>86.58387851779413213745234378</v>
      </c>
      <c r="J33" s="113">
        <v>7.8380239909499609535757542700</v>
      </c>
      <c r="K33" s="676"/>
      <c r="L33" s="19" t="s">
        <v>98</v>
      </c>
      <c r="M33" s="667">
        <v>71.547207364344572460503735120</v>
      </c>
      <c r="N33" s="113">
        <v>-8.011653080386469408252562970</v>
      </c>
      <c r="O33" s="676"/>
      <c r="P33" s="19" t="s">
        <v>98</v>
      </c>
      <c r="Q33" s="667">
        <v>81.17673495935630927175970899</v>
      </c>
      <c r="R33" s="113">
        <v>-0.7448942070154062619131934100</v>
      </c>
      <c r="S33" s="667"/>
      <c r="T33" s="9"/>
    </row>
    <row r="34" ht="15" customHeight="1">
      <c r="A34" s="2"/>
      <c r="B34" s="17"/>
      <c r="C34" s="2"/>
      <c r="D34" s="2"/>
      <c r="E34" s="9"/>
      <c r="F34" s="113"/>
      <c r="G34" s="9"/>
      <c r="H34" s="2"/>
      <c r="I34" s="9"/>
      <c r="J34" s="113"/>
      <c r="K34" s="9"/>
      <c r="L34" s="2"/>
      <c r="M34" s="9"/>
      <c r="N34" s="113"/>
      <c r="O34" s="9"/>
      <c r="P34" s="2"/>
      <c r="Q34" s="675"/>
      <c r="R34" s="113"/>
      <c r="S34" s="675"/>
      <c r="T34" s="9"/>
    </row>
    <row r="35" ht="15" customHeight="1">
      <c r="A35" s="2"/>
      <c r="B35" s="173" t="s">
        <v>10</v>
      </c>
      <c r="C35" s="45"/>
      <c r="D35" s="18" t="s">
        <v>19</v>
      </c>
      <c r="E35" s="670">
        <v>35.728182736291807758569476623</v>
      </c>
      <c r="F35" s="113">
        <v>-5.2951120286083916145755158800</v>
      </c>
      <c r="G35" s="671"/>
      <c r="H35" s="53" t="s">
        <v>19</v>
      </c>
      <c r="I35" s="670">
        <v>5.2344501871324184637319550882</v>
      </c>
      <c r="J35" s="113">
        <v>-23.890176519056927969352130730</v>
      </c>
      <c r="K35" s="671"/>
      <c r="L35" s="53" t="s">
        <v>19</v>
      </c>
      <c r="M35" s="670">
        <v>1.3005406047644507812035881899</v>
      </c>
      <c r="N35" s="113">
        <v>6.7242813737982911597867906500</v>
      </c>
      <c r="O35" s="671"/>
      <c r="P35" s="53" t="s">
        <v>19</v>
      </c>
      <c r="Q35" s="670">
        <v>42.26320382581833303629774847</v>
      </c>
      <c r="R35" s="113">
        <v>-7.7664017141368452084717401400</v>
      </c>
      <c r="S35" s="675"/>
      <c r="T35" s="9"/>
    </row>
    <row r="36" ht="15" customHeight="1">
      <c r="A36" s="2"/>
      <c r="B36" s="44"/>
      <c r="C36" s="45"/>
      <c r="D36" s="133" t="s">
        <v>16</v>
      </c>
      <c r="E36" s="672">
        <v>54.100143985442106252205158812</v>
      </c>
      <c r="F36" s="92">
        <v>1.7023247989577311109878836200</v>
      </c>
      <c r="G36" s="673"/>
      <c r="H36" s="143" t="s">
        <v>16</v>
      </c>
      <c r="I36" s="672">
        <v>14.824612586287830708363058957</v>
      </c>
      <c r="J36" s="92">
        <v>-19.408907990104312985492017300</v>
      </c>
      <c r="K36" s="673"/>
      <c r="L36" s="143" t="s">
        <v>16</v>
      </c>
      <c r="M36" s="672">
        <v>4.6816539468745012433938102505</v>
      </c>
      <c r="N36" s="92">
        <v>-25.324914510252024249079084550</v>
      </c>
      <c r="O36" s="673"/>
      <c r="P36" s="143" t="s">
        <v>16</v>
      </c>
      <c r="Q36" s="672">
        <v>73.606410518604438203962028021</v>
      </c>
      <c r="R36" s="92">
        <v>-5.4616891720060733880760034500</v>
      </c>
      <c r="S36" s="675"/>
      <c r="T36" s="9"/>
    </row>
    <row r="37" ht="15" customHeight="1">
      <c r="A37" s="2"/>
      <c r="B37" s="44"/>
      <c r="C37" s="45"/>
      <c r="D37" s="19" t="s">
        <v>99</v>
      </c>
      <c r="E37" s="667">
        <v>66.040827443885858354419189610</v>
      </c>
      <c r="F37" s="113">
        <v>-6.8803115773299138162158934400</v>
      </c>
      <c r="G37" s="676"/>
      <c r="H37" s="19" t="s">
        <v>99</v>
      </c>
      <c r="I37" s="667">
        <v>35.309187047287678122599756780</v>
      </c>
      <c r="J37" s="113">
        <v>-5.5605010637376926567484836300</v>
      </c>
      <c r="K37" s="676"/>
      <c r="L37" s="19" t="s">
        <v>99</v>
      </c>
      <c r="M37" s="667">
        <v>27.779511675048422644097590590</v>
      </c>
      <c r="N37" s="113">
        <v>42.918191086002207870025994870</v>
      </c>
      <c r="O37" s="676"/>
      <c r="P37" s="19" t="s">
        <v>99</v>
      </c>
      <c r="Q37" s="667">
        <v>57.417830224364244218329324790</v>
      </c>
      <c r="R37" s="113">
        <v>-2.4378609284861439907935469400</v>
      </c>
      <c r="S37" s="667"/>
      <c r="T37" s="9"/>
    </row>
    <row r="38" ht="9.95" customHeight="1">
      <c r="A38" s="2"/>
      <c r="B38" s="44"/>
      <c r="C38" s="45"/>
      <c r="D38" s="19"/>
      <c r="E38" s="172"/>
      <c r="F38" s="113"/>
      <c r="G38" s="51"/>
      <c r="H38" s="52"/>
      <c r="I38" s="172"/>
      <c r="J38" s="113"/>
      <c r="K38" s="51"/>
      <c r="L38" s="52"/>
      <c r="M38" s="172"/>
      <c r="N38" s="113"/>
      <c r="O38" s="51"/>
      <c r="P38" s="52"/>
      <c r="Q38" s="172"/>
      <c r="R38" s="113"/>
      <c r="S38" s="172"/>
      <c r="T38" s="2"/>
    </row>
    <row r="39" s="680" customFormat="1" ht="9.75" customHeight="1">
      <c r="A39" s="678"/>
      <c r="B39" s="678"/>
      <c r="C39" s="678"/>
      <c r="D39" s="678"/>
      <c r="E39" s="678"/>
      <c r="F39" s="678"/>
      <c r="G39" s="678"/>
      <c r="H39" s="678"/>
      <c r="I39" s="678"/>
      <c r="J39" s="678"/>
      <c r="K39" s="678"/>
      <c r="L39" s="678"/>
      <c r="M39" s="678"/>
      <c r="N39" s="678"/>
      <c r="O39" s="678"/>
      <c r="P39" s="678"/>
      <c r="Q39" s="678"/>
      <c r="R39" s="678"/>
      <c r="S39" s="678"/>
      <c r="T39" s="678"/>
      <c r="U39" s="679"/>
      <c r="V39" s="679"/>
      <c r="W39" s="679"/>
      <c r="X39" s="679"/>
      <c r="Y39" s="679"/>
      <c r="Z39" s="679"/>
      <c r="AA39" s="679"/>
      <c r="AB39" s="679"/>
      <c r="AC39" s="679"/>
      <c r="AD39" s="679"/>
      <c r="AE39" s="679"/>
      <c r="AF39" s="679"/>
      <c r="AG39" s="679"/>
      <c r="AH39" s="679"/>
      <c r="AI39" s="679"/>
      <c r="AJ39" s="679"/>
      <c r="AK39" s="679"/>
      <c r="AL39" s="679"/>
      <c r="AM39" s="679"/>
      <c r="AN39" s="679"/>
      <c r="AO39" s="679"/>
    </row>
    <row r="40" ht="35.1" customHeight="1">
      <c r="A40" s="2"/>
      <c r="B40" s="1034" t="s">
        <v>126</v>
      </c>
      <c r="C40" s="1034"/>
      <c r="D40" s="1034"/>
      <c r="E40" s="1034"/>
      <c r="F40" s="1034"/>
      <c r="G40" s="1034"/>
      <c r="H40" s="1034"/>
      <c r="I40" s="1034"/>
      <c r="J40" s="1034"/>
      <c r="K40" s="1034"/>
      <c r="L40" s="1034"/>
      <c r="M40" s="1034"/>
      <c r="N40" s="1034"/>
      <c r="O40" s="1034"/>
      <c r="P40" s="1034"/>
      <c r="Q40" s="1034"/>
      <c r="R40" s="1034"/>
      <c r="S40" s="1034"/>
      <c r="T40" s="2"/>
    </row>
    <row r="41" s="683" customFormat="1" ht="15" customHeight="1">
      <c r="A41" s="681"/>
      <c r="B41" s="681"/>
      <c r="C41" s="681"/>
      <c r="D41" s="681"/>
      <c r="E41" s="681"/>
      <c r="F41" s="681"/>
      <c r="G41" s="681"/>
      <c r="H41" s="681"/>
      <c r="I41" s="681"/>
      <c r="J41" s="681"/>
      <c r="K41" s="681"/>
      <c r="L41" s="681"/>
      <c r="M41" s="681"/>
      <c r="N41" s="681"/>
      <c r="O41" s="681"/>
      <c r="P41" s="681"/>
      <c r="Q41" s="681"/>
      <c r="R41" s="681"/>
      <c r="S41" s="681"/>
      <c r="T41" s="681"/>
      <c r="U41" s="682"/>
      <c r="V41" s="682"/>
      <c r="W41" s="682"/>
      <c r="X41" s="682"/>
      <c r="Y41" s="682"/>
      <c r="Z41" s="682"/>
      <c r="AA41" s="682"/>
      <c r="AB41" s="682"/>
      <c r="AC41" s="682"/>
      <c r="AD41" s="682"/>
      <c r="AE41" s="682"/>
      <c r="AF41" s="682"/>
      <c r="AG41" s="682"/>
      <c r="AH41" s="682"/>
      <c r="AI41" s="682"/>
      <c r="AJ41" s="682"/>
      <c r="AK41" s="682"/>
      <c r="AL41" s="682"/>
      <c r="AM41" s="682"/>
      <c r="AN41" s="682"/>
      <c r="AO41" s="682"/>
    </row>
    <row r="42" ht="18" customHeight="1">
      <c r="A42" s="236"/>
      <c r="B42" s="236"/>
      <c r="C42" s="236"/>
      <c r="D42" s="236"/>
      <c r="E42" s="236"/>
      <c r="F42" s="236"/>
      <c r="G42" s="236"/>
      <c r="H42" s="236"/>
      <c r="I42" s="236"/>
      <c r="J42" s="236"/>
      <c r="K42" s="236"/>
      <c r="L42" s="236"/>
      <c r="M42" s="236"/>
      <c r="N42" s="236"/>
      <c r="O42" s="236"/>
      <c r="P42" s="236"/>
      <c r="Q42" s="236"/>
      <c r="R42" s="236"/>
      <c r="S42" s="236"/>
      <c r="T42" s="236"/>
    </row>
    <row r="43">
      <c r="A43" s="236"/>
      <c r="B43" s="236"/>
      <c r="C43" s="236"/>
      <c r="D43" s="236"/>
      <c r="E43" s="236"/>
      <c r="F43" s="236"/>
      <c r="G43" s="236"/>
      <c r="H43" s="236"/>
      <c r="I43" s="236"/>
      <c r="J43" s="236"/>
      <c r="K43" s="236"/>
      <c r="L43" s="236"/>
      <c r="M43" s="236"/>
      <c r="N43" s="236"/>
      <c r="O43" s="236"/>
      <c r="P43" s="236"/>
      <c r="Q43" s="236"/>
      <c r="R43" s="236"/>
      <c r="S43" s="236"/>
      <c r="T43" s="236"/>
    </row>
    <row r="44">
      <c r="A44" s="236"/>
      <c r="B44" s="236"/>
      <c r="C44" s="236"/>
      <c r="D44" s="236"/>
      <c r="E44" s="236"/>
      <c r="F44" s="236"/>
      <c r="G44" s="236"/>
      <c r="H44" s="236"/>
      <c r="I44" s="236"/>
      <c r="J44" s="236"/>
      <c r="K44" s="236"/>
      <c r="L44" s="236"/>
      <c r="M44" s="236"/>
      <c r="N44" s="236"/>
      <c r="O44" s="236"/>
      <c r="P44" s="236"/>
      <c r="Q44" s="236"/>
      <c r="R44" s="236"/>
      <c r="S44" s="236"/>
      <c r="T44" s="236"/>
    </row>
    <row r="45">
      <c r="A45" s="236"/>
      <c r="B45" s="236"/>
      <c r="C45" s="236"/>
      <c r="D45" s="236"/>
      <c r="E45" s="236"/>
      <c r="F45" s="236"/>
      <c r="G45" s="236"/>
      <c r="H45" s="236"/>
      <c r="I45" s="236"/>
      <c r="J45" s="236"/>
      <c r="K45" s="236"/>
      <c r="L45" s="236"/>
      <c r="M45" s="236"/>
      <c r="N45" s="236"/>
      <c r="O45" s="236"/>
      <c r="P45" s="236"/>
      <c r="Q45" s="236"/>
      <c r="R45" s="236"/>
      <c r="S45" s="236"/>
      <c r="T45" s="236"/>
    </row>
    <row r="46">
      <c r="A46" s="236"/>
      <c r="B46" s="236"/>
      <c r="C46" s="236"/>
      <c r="D46" s="236"/>
      <c r="E46" s="236"/>
      <c r="F46" s="236"/>
      <c r="G46" s="236"/>
      <c r="H46" s="236"/>
      <c r="I46" s="236"/>
      <c r="J46" s="236"/>
      <c r="K46" s="236"/>
      <c r="L46" s="236"/>
      <c r="M46" s="236"/>
      <c r="N46" s="236"/>
      <c r="O46" s="236"/>
      <c r="P46" s="236"/>
      <c r="Q46" s="236"/>
      <c r="R46" s="236"/>
      <c r="S46" s="236"/>
      <c r="T46" s="236"/>
    </row>
    <row r="47">
      <c r="A47" s="236"/>
      <c r="B47" s="236"/>
      <c r="C47" s="236"/>
      <c r="D47" s="236"/>
      <c r="E47" s="236"/>
      <c r="F47" s="236"/>
      <c r="G47" s="236"/>
      <c r="H47" s="236"/>
      <c r="I47" s="236"/>
      <c r="J47" s="236"/>
      <c r="K47" s="236"/>
      <c r="L47" s="236"/>
      <c r="M47" s="236"/>
      <c r="N47" s="236"/>
      <c r="O47" s="236"/>
      <c r="P47" s="236"/>
      <c r="Q47" s="236"/>
      <c r="R47" s="236"/>
      <c r="S47" s="236"/>
      <c r="T47" s="236"/>
    </row>
    <row r="48">
      <c r="A48" s="236"/>
      <c r="B48" s="236"/>
      <c r="C48" s="236"/>
      <c r="D48" s="236"/>
      <c r="E48" s="236"/>
      <c r="F48" s="236"/>
      <c r="G48" s="236"/>
      <c r="H48" s="236"/>
      <c r="I48" s="236"/>
      <c r="J48" s="236"/>
      <c r="K48" s="236"/>
      <c r="L48" s="236"/>
      <c r="M48" s="236"/>
      <c r="N48" s="236"/>
      <c r="O48" s="236"/>
      <c r="P48" s="236"/>
      <c r="Q48" s="236"/>
      <c r="R48" s="236"/>
      <c r="S48" s="236"/>
      <c r="T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sheetData>
  <mergeCells count="14">
    <mergeCell ref="B40:S40"/>
    <mergeCell ref="D25:F25"/>
    <mergeCell ref="H25:J25"/>
    <mergeCell ref="L25:N25"/>
    <mergeCell ref="P25:R25"/>
    <mergeCell ref="B2:S2"/>
    <mergeCell ref="B6:S6"/>
    <mergeCell ref="B23:S23"/>
    <mergeCell ref="D8:F8"/>
    <mergeCell ref="H8:J8"/>
    <mergeCell ref="L8:N8"/>
    <mergeCell ref="P8:R8"/>
    <mergeCell ref="B4:S4"/>
    <mergeCell ref="B3:S3"/>
  </mergeCells>
  <phoneticPr fontId="0" type="noConversion"/>
  <printOptions horizontalCentered="1" verticalCentered="1"/>
  <pageMargins left="0.25" right="0.25" top="0.25" bottom="0.25" header="0" footer="0"/>
  <pageSetup scale="88" fitToWidth="1" fitToHeight="1" orientation="landscape" r:id="rId1"/>
  <headerFooter alignWithMargins="0">
    <oddHeader/>
    <oddFooter/>
  </headerFooter>
  <rowBreaks count="1" manualBreakCount="1">
    <brk id="42" max="16383" man="1"/>
  </rowBreaks>
  <colBreaks count="1" manualBreakCount="1">
    <brk id="21" max="1048575" man="1"/>
  </colBreaks>
  <drawing r:id="rId35"/>
</worksheet>
</file>

<file path=xl/worksheets/sheet3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pageSetUpPr fitToPage="1"/>
  </sheetPr>
  <dimension ref="A1:AD86"/>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141</v>
      </c>
      <c r="Z1" s="5"/>
      <c r="AB1" s="685"/>
      <c r="AD1" s="236"/>
    </row>
    <row r="2" ht="15" customHeight="1">
      <c r="A2" s="11"/>
      <c r="B2" s="999" t="s">
        <v>170</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171</v>
      </c>
      <c r="C3" s="999"/>
      <c r="D3" s="999"/>
      <c r="E3" s="999"/>
      <c r="F3" s="999"/>
      <c r="G3" s="999"/>
      <c r="H3" s="999"/>
      <c r="I3" s="999"/>
      <c r="J3" s="999"/>
      <c r="K3" s="999"/>
      <c r="L3" s="999"/>
      <c r="M3" s="999"/>
      <c r="N3" s="999"/>
      <c r="O3" s="999"/>
      <c r="P3" s="999"/>
      <c r="Q3" s="999"/>
      <c r="R3" s="1035" t="s">
        <v>265</v>
      </c>
      <c r="S3" s="1035"/>
      <c r="T3" s="1035"/>
      <c r="U3" s="1035"/>
      <c r="V3" s="1035"/>
      <c r="W3" s="1035"/>
      <c r="X3" s="1035"/>
      <c r="Y3" s="1035"/>
      <c r="Z3" s="1035"/>
      <c r="AA3" s="1035"/>
      <c r="AB3" s="1035"/>
    </row>
    <row r="4" ht="19.5" customHeight="1">
      <c r="A4" s="4"/>
      <c r="B4" s="999" t="s">
        <v>172</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 r="D6" s="960" t="s">
        <v>22</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2024</v>
      </c>
      <c r="C9" s="285" t="s">
        <v>180</v>
      </c>
      <c r="D9" s="415">
        <v>31.859174471037114117238987170</v>
      </c>
      <c r="E9" s="416">
        <v>30.652759083616948215214043990</v>
      </c>
      <c r="F9" s="417">
        <v>47.39211733228624748494474900</v>
      </c>
      <c r="G9" s="415">
        <v>5.0294831772459243843218869200</v>
      </c>
      <c r="H9" s="416">
        <v>11.044034356161931654171276650</v>
      </c>
      <c r="I9" s="417">
        <v>4.9122887347375713182898919500</v>
      </c>
      <c r="J9" s="415">
        <v>0.9018383628165105792577176600</v>
      </c>
      <c r="K9" s="416">
        <v>5.6506787873939354338880115100</v>
      </c>
      <c r="L9" s="417">
        <v>1.1766852942518742696934550200</v>
      </c>
      <c r="M9" s="415">
        <v>37.790496011099549080818591740</v>
      </c>
      <c r="N9" s="416">
        <v>47.347472227172815303273332150</v>
      </c>
      <c r="O9" s="417">
        <v>53.481091361275693072928095970</v>
      </c>
      <c r="P9" s="5"/>
      <c r="Q9" s="415">
        <v>17.680973734933607171276668480</v>
      </c>
      <c r="R9" s="416">
        <v>-1.8120163991966595111678532900</v>
      </c>
      <c r="S9" s="417">
        <v>-0.6840275066120289736566201200</v>
      </c>
      <c r="T9" s="415">
        <v>215.21739129796124763718043712</v>
      </c>
      <c r="U9" s="416">
        <v>18.404524714206703915991472370</v>
      </c>
      <c r="V9" s="417">
        <v>34.076799422445163635969259190</v>
      </c>
      <c r="W9" s="415">
        <v>-24.637681160947195967202837570</v>
      </c>
      <c r="X9" s="416">
        <v>88.38113406219126938252312626</v>
      </c>
      <c r="Y9" s="417">
        <v>-26.787879368091494754468796700</v>
      </c>
      <c r="Z9" s="415">
        <v>26.538908246130084538277012420</v>
      </c>
      <c r="AA9" s="416">
        <v>8.731241473460828176270163990</v>
      </c>
      <c r="AB9" s="417">
        <v>0.92763866262054541763568900</v>
      </c>
    </row>
    <row r="10" ht="18" customHeight="1">
      <c r="A10" s="58"/>
      <c r="B10" s="286"/>
      <c r="C10" s="287" t="s">
        <v>183</v>
      </c>
      <c r="D10" s="271">
        <v>33.129403040415276232851316280</v>
      </c>
      <c r="E10" s="92">
        <v>40.343827638527589017228446340</v>
      </c>
      <c r="F10" s="272">
        <v>57.689209342509747676050288590</v>
      </c>
      <c r="G10" s="271">
        <v>9.640341119762699295513533560</v>
      </c>
      <c r="H10" s="92">
        <v>16.385115370571442063749460420</v>
      </c>
      <c r="I10" s="272">
        <v>8.017854066762192565465018190</v>
      </c>
      <c r="J10" s="271">
        <v>1.1308861698183166481275491300</v>
      </c>
      <c r="K10" s="92">
        <v>5.105057117909265880348060100</v>
      </c>
      <c r="L10" s="272">
        <v>0.6275656804591903059417712800</v>
      </c>
      <c r="M10" s="271">
        <v>43.900630329996292176492398960</v>
      </c>
      <c r="N10" s="92">
        <v>61.834000127008296961325966850</v>
      </c>
      <c r="O10" s="272">
        <v>66.334629089731130547457078070</v>
      </c>
      <c r="P10" s="5"/>
      <c r="Q10" s="271">
        <v>-16.080772843148776561393030530</v>
      </c>
      <c r="R10" s="92">
        <v>4.6250393643588674352124400</v>
      </c>
      <c r="S10" s="272">
        <v>3.3979235288185330733331757900</v>
      </c>
      <c r="T10" s="271">
        <v>-27.863654379495264258476562580</v>
      </c>
      <c r="U10" s="92">
        <v>10.190027772843253335905787200</v>
      </c>
      <c r="V10" s="272">
        <v>2.8486412733296576508612863800</v>
      </c>
      <c r="W10" s="271">
        <v>3.3272837249480434298337194100</v>
      </c>
      <c r="X10" s="92">
        <v>28.726576691972301909153122700</v>
      </c>
      <c r="Y10" s="272">
        <v>-61.563307459876733355253453200</v>
      </c>
      <c r="Z10" s="271">
        <v>-18.606449712097646576320543470</v>
      </c>
      <c r="AA10" s="92">
        <v>7.7320962505314599428002285800</v>
      </c>
      <c r="AB10" s="272">
        <v>1.7060693354879802159247283500</v>
      </c>
    </row>
    <row r="11" ht="18" customHeight="1">
      <c r="A11" s="58"/>
      <c r="B11" s="288"/>
      <c r="C11" s="289" t="s">
        <v>186</v>
      </c>
      <c r="D11" s="420">
        <v>33.714880332986472424557752340</v>
      </c>
      <c r="E11" s="91">
        <v>36.020910819112973869621108870</v>
      </c>
      <c r="F11" s="421">
        <v>57.116637940895538899753256020</v>
      </c>
      <c r="G11" s="420">
        <v>9.573361082206035379812695110</v>
      </c>
      <c r="H11" s="91">
        <v>18.316299815481029452879270200</v>
      </c>
      <c r="I11" s="421">
        <v>7.3227225587505588297296473700</v>
      </c>
      <c r="J11" s="420">
        <v>1.7169614984391259105098855400</v>
      </c>
      <c r="K11" s="91">
        <v>4.4639537448986598985535031900</v>
      </c>
      <c r="L11" s="421">
        <v>0.3049888529981857903766533400</v>
      </c>
      <c r="M11" s="420">
        <v>45.005202913631633714880332990</v>
      </c>
      <c r="N11" s="91">
        <v>58.801164379492663221053882260</v>
      </c>
      <c r="O11" s="421">
        <v>64.744349352644283519859556730</v>
      </c>
      <c r="P11" s="5"/>
      <c r="Q11" s="420">
        <v>-23.884103367195386603169435280</v>
      </c>
      <c r="R11" s="91">
        <v>-14.919058836045345145866221290</v>
      </c>
      <c r="S11" s="421">
        <v>-9.196691972716524961420813320</v>
      </c>
      <c r="T11" s="420">
        <v>150.90909091115520661158723149</v>
      </c>
      <c r="U11" s="91">
        <v>47.076511306575390454944349510</v>
      </c>
      <c r="V11" s="421">
        <v>18.625510388753189883673587200</v>
      </c>
      <c r="W11" s="420">
        <v>62.295081961923891427208120120</v>
      </c>
      <c r="X11" s="91">
        <v>10.492389876457104212671638370</v>
      </c>
      <c r="Y11" s="421">
        <v>-81.48774469421022259902932574</v>
      </c>
      <c r="Z11" s="420">
        <v>-8.465608465536594160297807560</v>
      </c>
      <c r="AA11" s="91">
        <v>-0.0504897506163608266467553300</v>
      </c>
      <c r="AB11" s="421">
        <v>-8.452277522602990616272585780</v>
      </c>
    </row>
    <row r="12" ht="18" customHeight="1">
      <c r="A12" s="58"/>
      <c r="B12" s="286"/>
      <c r="C12" s="287" t="s">
        <v>187</v>
      </c>
      <c r="D12" s="271">
        <v>33.154121863799283154121863800</v>
      </c>
      <c r="E12" s="92">
        <v>35.817595300858219285258609280</v>
      </c>
      <c r="F12" s="272">
        <v>58.835811897170079486569790520</v>
      </c>
      <c r="G12" s="271">
        <v>5.9318996415770609318996415800</v>
      </c>
      <c r="H12" s="92">
        <v>15.428688356865152445262942500</v>
      </c>
      <c r="I12" s="272">
        <v>7.328845721059468661359073600</v>
      </c>
      <c r="J12" s="271">
        <v>1.3261648745519713261648745500</v>
      </c>
      <c r="K12" s="92">
        <v>5.0090877357695687237448693400</v>
      </c>
      <c r="L12" s="272">
        <v>0.2299002048997035527514079900</v>
      </c>
      <c r="M12" s="271">
        <v>40.412186379928315412186379930</v>
      </c>
      <c r="N12" s="92">
        <v>56.255371393492940454266421120</v>
      </c>
      <c r="O12" s="272">
        <v>66.394557823129251700680272110</v>
      </c>
      <c r="P12" s="5"/>
      <c r="Q12" s="271">
        <v>-16.289592760127966257857094640</v>
      </c>
      <c r="R12" s="92">
        <v>-7.2463982328772273154950480900</v>
      </c>
      <c r="S12" s="272">
        <v>-2.2089006058155564335506898500</v>
      </c>
      <c r="T12" s="271">
        <v>-7.0224719099347620249965045600</v>
      </c>
      <c r="U12" s="92">
        <v>53.061445027981584804090231180</v>
      </c>
      <c r="V12" s="272">
        <v>-20.835722579699934191633527580</v>
      </c>
      <c r="W12" s="271">
        <v>7.2463768102885948330341676700</v>
      </c>
      <c r="X12" s="92">
        <v>61.122328052243634429125967410</v>
      </c>
      <c r="Y12" s="272">
        <v>-86.60068519472996578286307549</v>
      </c>
      <c r="Z12" s="271">
        <v>-14.421252371876236187074431320</v>
      </c>
      <c r="AA12" s="92">
        <v>8.591065292154896937757107050</v>
      </c>
      <c r="AB12" s="272">
        <v>-6.6683666964632997678249655400</v>
      </c>
    </row>
    <row r="13" ht="18" customHeight="1">
      <c r="A13" s="58"/>
      <c r="B13" s="288"/>
      <c r="C13" s="289" t="s">
        <v>188</v>
      </c>
      <c r="D13" s="420">
        <v>32.813041970169961845300034690</v>
      </c>
      <c r="E13" s="91">
        <v>38.135955640374720040763537890</v>
      </c>
      <c r="F13" s="421">
        <v>60.507627173593299601421392860</v>
      </c>
      <c r="G13" s="420">
        <v>3.7981269510926118626430801200</v>
      </c>
      <c r="H13" s="91">
        <v>9.218475608033025851580250880</v>
      </c>
      <c r="I13" s="421">
        <v>6.4847636172592750272425205300</v>
      </c>
      <c r="J13" s="420">
        <v>1.3007284079084287200832466200</v>
      </c>
      <c r="K13" s="91">
        <v>6.0050412163935373013828196800</v>
      </c>
      <c r="L13" s="421">
        <v>0.2287342182908676945019120800</v>
      </c>
      <c r="M13" s="420">
        <v>37.911897329171002428026361430</v>
      </c>
      <c r="N13" s="91">
        <v>53.359472464801283193726608450</v>
      </c>
      <c r="O13" s="421">
        <v>67.221125009143442323165825470</v>
      </c>
      <c r="P13" s="5"/>
      <c r="Q13" s="420">
        <v>-21.232306411234504274470035490</v>
      </c>
      <c r="R13" s="91">
        <v>-3.1695220210184901375119237100</v>
      </c>
      <c r="S13" s="421">
        <v>-2.8534043243345338612476460500</v>
      </c>
      <c r="T13" s="420">
        <v>19.021739131753077741035395350</v>
      </c>
      <c r="U13" s="91">
        <v>0.721112652165672805366702900</v>
      </c>
      <c r="V13" s="421">
        <v>-15.968041595973853396598749160</v>
      </c>
      <c r="W13" s="420">
        <v>15.384615386727810650926247780</v>
      </c>
      <c r="X13" s="91">
        <v>77.552268453640691322987691720</v>
      </c>
      <c r="Y13" s="421">
        <v>-86.17840640223471413638099668</v>
      </c>
      <c r="Z13" s="420">
        <v>-17.540550735565634712764347920</v>
      </c>
      <c r="AA13" s="91">
        <v>2.7747582813967157987278383300</v>
      </c>
      <c r="AB13" s="421">
        <v>-6.1901553664219961822368282200</v>
      </c>
    </row>
    <row r="14" ht="18" customHeight="1">
      <c r="A14" s="58"/>
      <c r="B14" s="286"/>
      <c r="C14" s="287" t="s">
        <v>189</v>
      </c>
      <c r="D14" s="271">
        <v>30.394265232974910394265232970</v>
      </c>
      <c r="E14" s="92">
        <v>42.359380588167105114691860020</v>
      </c>
      <c r="F14" s="272">
        <v>62.194267515923566878980891720</v>
      </c>
      <c r="G14" s="271">
        <v>3.3512544802867383512544802900</v>
      </c>
      <c r="H14" s="92">
        <v>9.750931267927476791427935920</v>
      </c>
      <c r="I14" s="272">
        <v>7.5796178343949044585987261100</v>
      </c>
      <c r="J14" s="271">
        <v>1.2724014336917562724014336900</v>
      </c>
      <c r="K14" s="92">
        <v>4.3783314833774868477169136900</v>
      </c>
      <c r="L14" s="272">
        <v>0.2261146496815286624203821700</v>
      </c>
      <c r="M14" s="271">
        <v>35.017921146953405017921146950</v>
      </c>
      <c r="N14" s="92">
        <v>56.488643339472068753836709640</v>
      </c>
      <c r="O14" s="272">
        <v>70.0</v>
      </c>
      <c r="P14" s="5"/>
      <c r="Q14" s="271">
        <v>-40.761439049949262691189662620</v>
      </c>
      <c r="R14" s="92">
        <v>-13.579443229298879768223944700</v>
      </c>
      <c r="S14" s="272">
        <v>-6.8502671551906231941611108800</v>
      </c>
      <c r="T14" s="271">
        <v>-63.261296660185725699684529270</v>
      </c>
      <c r="U14" s="92">
        <v>-41.867043165447011075381876670</v>
      </c>
      <c r="V14" s="272">
        <v>-37.994925074968172495108365410</v>
      </c>
      <c r="W14" s="271">
        <v>5.9701492518017375807880876200</v>
      </c>
      <c r="X14" s="92">
        <v>24.042526889498726101175230330</v>
      </c>
      <c r="Y14" s="272">
        <v>-90.10505223272115841387125523</v>
      </c>
      <c r="Z14" s="271">
        <v>-43.181157313209442921668627760</v>
      </c>
      <c r="AA14" s="92">
        <v>-18.508678710563207501534937420</v>
      </c>
      <c r="AB14" s="272">
        <v>-13.875197619238925950250938190</v>
      </c>
    </row>
    <row r="15" ht="18" customHeight="1">
      <c r="A15" s="58"/>
      <c r="B15" s="288"/>
      <c r="C15" s="289" t="s">
        <v>190</v>
      </c>
      <c r="D15" s="420">
        <v>30.072840790842872008324661810</v>
      </c>
      <c r="E15" s="91">
        <v>38.964830713825182413055227970</v>
      </c>
      <c r="F15" s="421">
        <v>57.704849763188743314029463260</v>
      </c>
      <c r="G15" s="420">
        <v>5.0294831772459243843218869200</v>
      </c>
      <c r="H15" s="91">
        <v>11.005667147837021441784345980</v>
      </c>
      <c r="I15" s="421">
        <v>8.029085756272645575300236870</v>
      </c>
      <c r="J15" s="420">
        <v>1.2660423170308706208810267100</v>
      </c>
      <c r="K15" s="91">
        <v>4.8563303923626283200549784200</v>
      </c>
      <c r="L15" s="421">
        <v>0.2232000229276097208670667500</v>
      </c>
      <c r="M15" s="420">
        <v>36.368366285119667013527575440</v>
      </c>
      <c r="N15" s="91">
        <v>54.826828254024832174894552370</v>
      </c>
      <c r="O15" s="421">
        <v>65.957135542388998610196766880</v>
      </c>
      <c r="P15" s="5"/>
      <c r="Q15" s="420">
        <v>-33.867276887902876906723066160</v>
      </c>
      <c r="R15" s="91">
        <v>-5.6826667104832591361454977500</v>
      </c>
      <c r="S15" s="421">
        <v>-2.8348044294463290792384604700</v>
      </c>
      <c r="T15" s="420">
        <v>67.630057803958501787565335160</v>
      </c>
      <c r="U15" s="91">
        <v>-8.199815498618002557792859550</v>
      </c>
      <c r="V15" s="421">
        <v>-7.8125488317144616865248198800</v>
      </c>
      <c r="W15" s="420">
        <v>-2.6666666660359466666625794700</v>
      </c>
      <c r="X15" s="91">
        <v>22.962592629496439066925024880</v>
      </c>
      <c r="Y15" s="421">
        <v>-91.19968527634788054967661637</v>
      </c>
      <c r="Z15" s="420">
        <v>-26.933797909413724653692529460</v>
      </c>
      <c r="AA15" s="91">
        <v>-4.2336826813198934597660118700</v>
      </c>
      <c r="AB15" s="421">
        <v>-6.6215152644418194466967421400</v>
      </c>
    </row>
    <row r="16" ht="18" customHeight="1">
      <c r="A16" s="58"/>
      <c r="B16" s="286"/>
      <c r="C16" s="287" t="s">
        <v>191</v>
      </c>
      <c r="D16" s="271">
        <v>24.887270204647936177592785290</v>
      </c>
      <c r="E16" s="92">
        <v>33.484044261251688037362112920</v>
      </c>
      <c r="F16" s="272">
        <v>54.797569213034002517845239970</v>
      </c>
      <c r="G16" s="271">
        <v>8.46340617412417620534165800</v>
      </c>
      <c r="H16" s="92">
        <v>8.508697901490253018863306020</v>
      </c>
      <c r="I16" s="272">
        <v>6.0032627922695978942418817700</v>
      </c>
      <c r="J16" s="271">
        <v>1.0058966354491848768643773800</v>
      </c>
      <c r="K16" s="92">
        <v>4.2735205355293118398715334600</v>
      </c>
      <c r="L16" s="272">
        <v>0.1720302578812434179179985900</v>
      </c>
      <c r="M16" s="271">
        <v>34.356573014221297259798820670</v>
      </c>
      <c r="N16" s="92">
        <v>46.266262698271252896096952410</v>
      </c>
      <c r="O16" s="272">
        <v>60.972862263184843830005120330</v>
      </c>
      <c r="P16" s="5"/>
      <c r="Q16" s="271">
        <v>-32.022738038913640422222654850</v>
      </c>
      <c r="R16" s="92">
        <v>-1.8363159167376966242882252500</v>
      </c>
      <c r="S16" s="272">
        <v>-7.1822377698680900637793802400</v>
      </c>
      <c r="T16" s="271">
        <v>577.77777777348518518521237199</v>
      </c>
      <c r="U16" s="92">
        <v>-10.563241432031458040969068850</v>
      </c>
      <c r="V16" s="272">
        <v>9.573389869376282612625026650</v>
      </c>
      <c r="W16" s="271">
        <v>-7.936507932878004535004269690</v>
      </c>
      <c r="X16" s="92">
        <v>26.035575815069083789052190540</v>
      </c>
      <c r="Y16" s="272">
        <v>-89.51671243194295437620871860</v>
      </c>
      <c r="Z16" s="271">
        <v>-11.798753339274918148738154180</v>
      </c>
      <c r="AA16" s="92">
        <v>-1.592115238762486284035535300</v>
      </c>
      <c r="AB16" s="272">
        <v>-7.8368935473706168155780760700</v>
      </c>
    </row>
    <row r="17" ht="18" customHeight="1">
      <c r="A17" s="58"/>
      <c r="B17" s="288"/>
      <c r="C17" s="289" t="s">
        <v>192</v>
      </c>
      <c r="D17" s="420">
        <v>45.143369175627240143369175630</v>
      </c>
      <c r="E17" s="91">
        <v>31.578794975888482250022262250</v>
      </c>
      <c r="F17" s="421">
        <v>57.605676742872985273000746990</v>
      </c>
      <c r="G17" s="420">
        <v>6.7204301075268817204301075300</v>
      </c>
      <c r="H17" s="91">
        <v>11.545502670650379987904633440</v>
      </c>
      <c r="I17" s="421">
        <v>7.923743807121520710905555420</v>
      </c>
      <c r="J17" s="420">
        <v>0.77060931899641577060931900</v>
      </c>
      <c r="K17" s="91">
        <v>4.2667397997472028326685616400</v>
      </c>
      <c r="L17" s="421">
        <v>0.1274199639888651423219666700</v>
      </c>
      <c r="M17" s="420">
        <v>52.634408602150537634408602150</v>
      </c>
      <c r="N17" s="91">
        <v>47.391037446286065070595457340</v>
      </c>
      <c r="O17" s="421">
        <v>65.656840513983371126228269090</v>
      </c>
      <c r="P17" s="5"/>
      <c r="Q17" s="420">
        <v>1.8600889607088352018214466300</v>
      </c>
      <c r="R17" s="91">
        <v>-0.3387849297737119709849680500</v>
      </c>
      <c r="S17" s="421">
        <v>2.2294466764503621239710919300</v>
      </c>
      <c r="T17" s="420">
        <v>-22.680412371121266872143690070</v>
      </c>
      <c r="U17" s="91">
        <v>28.278458796318834662379479340</v>
      </c>
      <c r="V17" s="421">
        <v>0.4968206743955740215216102100</v>
      </c>
      <c r="W17" s="420">
        <v>-29.508196724038699274283092620</v>
      </c>
      <c r="X17" s="91">
        <v>18.372941322336552782150074410</v>
      </c>
      <c r="Y17" s="421">
        <v>-90.77030672437303295202411779</v>
      </c>
      <c r="Z17" s="420">
        <v>-2.7161311692078531890496472500</v>
      </c>
      <c r="AA17" s="91">
        <v>6.9993069993839676234687183500</v>
      </c>
      <c r="AB17" s="421">
        <v>0.0645101833251104442927551200</v>
      </c>
    </row>
    <row r="18" ht="18" customHeight="1">
      <c r="A18" s="58"/>
      <c r="B18" s="286"/>
      <c r="C18" s="287" t="s">
        <v>193</v>
      </c>
      <c r="D18" s="271">
        <v>38.154699965313909122441900800</v>
      </c>
      <c r="E18" s="92">
        <v>36.179879905386043017018328030</v>
      </c>
      <c r="F18" s="272">
        <v>59.729296302380194630632847260</v>
      </c>
      <c r="G18" s="271">
        <v>2.9483177245924384321886923300</v>
      </c>
      <c r="H18" s="92">
        <v>12.835767303436968608278597400</v>
      </c>
      <c r="I18" s="272">
        <v>8.076712671729564869738028120</v>
      </c>
      <c r="J18" s="271">
        <v>1.0926118626430801248699271600</v>
      </c>
      <c r="K18" s="92">
        <v>4.4626394899234982065809335400</v>
      </c>
      <c r="L18" s="272">
        <v>0.1831651901796121622726766600</v>
      </c>
      <c r="M18" s="271">
        <v>42.195629552549427679500520290</v>
      </c>
      <c r="N18" s="92">
        <v>53.478286698746509831877858970</v>
      </c>
      <c r="O18" s="272">
        <v>67.989174164289371662643552040</v>
      </c>
      <c r="P18" s="5"/>
      <c r="Q18" s="271">
        <v>-5.9427105600586738503443925600</v>
      </c>
      <c r="R18" s="92">
        <v>-4.7875135155883604396904778500</v>
      </c>
      <c r="S18" s="272">
        <v>1.94824836576959637578117100</v>
      </c>
      <c r="T18" s="271">
        <v>-54.301075268634408602149806520</v>
      </c>
      <c r="U18" s="92">
        <v>3.8878989427432540264067811200</v>
      </c>
      <c r="V18" s="272">
        <v>-1.0355878316704524904435063100</v>
      </c>
      <c r="W18" s="271">
        <v>1.6129032262129032258080774900</v>
      </c>
      <c r="X18" s="92">
        <v>-25.352767589835642630256947660</v>
      </c>
      <c r="Y18" s="272">
        <v>-87.86397537334876582236996111</v>
      </c>
      <c r="Z18" s="271">
        <v>-12.261089073143329402880157780</v>
      </c>
      <c r="AA18" s="92">
        <v>-5.067229106281079380759458700</v>
      </c>
      <c r="AB18" s="272">
        <v>-0.3943589524011320268872639500</v>
      </c>
    </row>
    <row r="19" ht="18" customHeight="1">
      <c r="A19" s="58"/>
      <c r="B19" s="288"/>
      <c r="C19" s="289" t="s">
        <v>194</v>
      </c>
      <c r="D19" s="420">
        <v>31.164874551971326164874551970</v>
      </c>
      <c r="E19" s="91">
        <v>38.152519553001046714094346520</v>
      </c>
      <c r="F19" s="421">
        <v>57.776641825176894724098038690</v>
      </c>
      <c r="G19" s="420">
        <v>0.6810035842293906810035842300</v>
      </c>
      <c r="H19" s="91">
        <v>7.995589576160543925253683700</v>
      </c>
      <c r="I19" s="421">
        <v>3.9928190403048483707097067700</v>
      </c>
      <c r="J19" s="420">
        <v>1.2544802867383512544802867400</v>
      </c>
      <c r="K19" s="91">
        <v>3.9746655792484768867415953200</v>
      </c>
      <c r="L19" s="421">
        <v>0.2140102088984221944484528900</v>
      </c>
      <c r="M19" s="420">
        <v>33.100358422939068100358422940</v>
      </c>
      <c r="N19" s="91">
        <v>50.122774708410067526089625540</v>
      </c>
      <c r="O19" s="421">
        <v>61.983471074380165289256198350</v>
      </c>
      <c r="P19" s="5"/>
      <c r="Q19" s="420">
        <v>-19.453450671604240980108257690</v>
      </c>
      <c r="R19" s="91">
        <v>14.054559581934005109715981520</v>
      </c>
      <c r="S19" s="421">
        <v>5.4223438517849673788738097700</v>
      </c>
      <c r="T19" s="420">
        <v>-89.75741239890140292500050414</v>
      </c>
      <c r="U19" s="91">
        <v>-33.581751460516904874201970480</v>
      </c>
      <c r="V19" s="421">
        <v>-33.830848022981391930566554610</v>
      </c>
      <c r="W19" s="420">
        <v>18.644067791100258546650598320</v>
      </c>
      <c r="X19" s="91">
        <v>-29.872825418148192917356835020</v>
      </c>
      <c r="Y19" s="421">
        <v>-84.23302906930443192515957748</v>
      </c>
      <c r="Z19" s="420">
        <v>-28.659714175410186693234149260</v>
      </c>
      <c r="AA19" s="91">
        <v>-2.0219595608760346062652893800</v>
      </c>
      <c r="AB19" s="421">
        <v>-0.342546446102601698790629400</v>
      </c>
    </row>
    <row r="20" ht="18" customHeight="1">
      <c r="A20" s="58"/>
      <c r="B20" s="286"/>
      <c r="C20" s="287" t="s">
        <v>196</v>
      </c>
      <c r="D20" s="271">
        <v>20.482136663198057578910856750</v>
      </c>
      <c r="E20" s="92">
        <v>34.762958358508910343068855740</v>
      </c>
      <c r="F20" s="272">
        <v>51.805831753000776726445492040</v>
      </c>
      <c r="G20" s="271">
        <v>2.8616024973985431841831425600</v>
      </c>
      <c r="H20" s="92">
        <v>4.8112809768268775184632972700</v>
      </c>
      <c r="I20" s="272">
        <v>3.9537953446264211196248549400</v>
      </c>
      <c r="J20" s="271">
        <v>1.2140131807145334720776968400</v>
      </c>
      <c r="K20" s="92">
        <v>2.48599948127444204401053100</v>
      </c>
      <c r="L20" s="272">
        <v>0.2047083388490010934717010700</v>
      </c>
      <c r="M20" s="271">
        <v>24.557752341311134235171696150</v>
      </c>
      <c r="N20" s="92">
        <v>42.060238816610229905542684010</v>
      </c>
      <c r="O20" s="272">
        <v>55.964335436476198939542048050</v>
      </c>
      <c r="P20" s="5"/>
      <c r="Q20" s="271">
        <v>-31.575898030052853905036245340</v>
      </c>
      <c r="R20" s="92">
        <v>11.979105133391232248128403980</v>
      </c>
      <c r="S20" s="272">
        <v>12.939293502012871890398767130</v>
      </c>
      <c r="T20" s="271">
        <v>-75.627769571736283324860142310</v>
      </c>
      <c r="U20" s="92">
        <v>-39.923976751994428264193901190</v>
      </c>
      <c r="V20" s="272">
        <v>-43.660723537052608313612944170</v>
      </c>
      <c r="W20" s="271">
        <v>16.666666669665000000077056820</v>
      </c>
      <c r="X20" s="92">
        <v>-52.674908864819561910240680560</v>
      </c>
      <c r="Y20" s="272">
        <v>-82.51273863347675286250328412</v>
      </c>
      <c r="Z20" s="271">
        <v>-42.509135200957195185456072440</v>
      </c>
      <c r="AA20" s="92">
        <v>-5.068382944542676640028862100</v>
      </c>
      <c r="AB20" s="272">
        <v>3.5246305683133397974306832100</v>
      </c>
    </row>
    <row r="21" ht="18" customHeight="1">
      <c r="A21" s="58"/>
      <c r="B21" s="288">
        <v>2025</v>
      </c>
      <c r="C21" s="289" t="s">
        <v>180</v>
      </c>
      <c r="D21" s="420">
        <v>22.459243843218869233437391610</v>
      </c>
      <c r="E21" s="91">
        <v>32.233630169101244098771363980</v>
      </c>
      <c r="F21" s="421">
        <v>50.520048294750932393096879660</v>
      </c>
      <c r="G21" s="420">
        <v>2.9483177245924384321886923300</v>
      </c>
      <c r="H21" s="91">
        <v>7.499492868417693360751293300</v>
      </c>
      <c r="I21" s="421">
        <v>4.7362545276328999118528324700</v>
      </c>
      <c r="J21" s="420">
        <v>1.1099549080818591744710371100</v>
      </c>
      <c r="K21" s="91">
        <v>3.0697047412489589344653424800</v>
      </c>
      <c r="L21" s="421">
        <v>0.1924573268371464091165595400</v>
      </c>
      <c r="M21" s="420">
        <v>26.517516475893166840097121050</v>
      </c>
      <c r="N21" s="91">
        <v>42.802827778767896393987999760</v>
      </c>
      <c r="O21" s="421">
        <v>55.448760149220978714066271670</v>
      </c>
      <c r="P21" s="5"/>
      <c r="Q21" s="420">
        <v>-29.504627109335405499191060290</v>
      </c>
      <c r="R21" s="91">
        <v>5.1573533109685060675996340400</v>
      </c>
      <c r="S21" s="421">
        <v>6.6001080739203384045063763300</v>
      </c>
      <c r="T21" s="420">
        <v>-41.379310344292318668247193400</v>
      </c>
      <c r="U21" s="91">
        <v>-32.094625690768879638816372950</v>
      </c>
      <c r="V21" s="421">
        <v>-3.5835476409114361855584581900</v>
      </c>
      <c r="W21" s="420">
        <v>23.076923079176331360987996990</v>
      </c>
      <c r="X21" s="91">
        <v>-45.675469147284573635516387840</v>
      </c>
      <c r="Y21" s="421">
        <v>-83.64411217090652739735191063</v>
      </c>
      <c r="Z21" s="420">
        <v>-29.830197338229382475846354320</v>
      </c>
      <c r="AA21" s="91">
        <v>-9.598494353878754992451273630</v>
      </c>
      <c r="AB21" s="421">
        <v>3.6791859287763593928876379600</v>
      </c>
    </row>
    <row r="22" ht="18" customHeight="1">
      <c r="A22" s="58"/>
      <c r="B22" s="286"/>
      <c r="C22" s="287" t="s">
        <v>183</v>
      </c>
      <c r="D22" s="271">
        <v>30.721966205837173579109062980</v>
      </c>
      <c r="E22" s="92">
        <v>43.878700853433530126397540530</v>
      </c>
      <c r="F22" s="272">
        <v>59.213211706540002417263383660</v>
      </c>
      <c r="G22" s="271">
        <v>9.927035330261136712749615980</v>
      </c>
      <c r="H22" s="92">
        <v>12.243597961397531085392607060</v>
      </c>
      <c r="I22" s="272">
        <v>8.147400164023769062579951980</v>
      </c>
      <c r="J22" s="271">
        <v>1.4592933947772657450076804900</v>
      </c>
      <c r="K22" s="92">
        <v>3.2370802959292650181493420300</v>
      </c>
      <c r="L22" s="272">
        <v>0.2325206205279032853008172600</v>
      </c>
      <c r="M22" s="271">
        <v>42.108294930875576036866359450</v>
      </c>
      <c r="N22" s="92">
        <v>59.359379110760326229939489610</v>
      </c>
      <c r="O22" s="272">
        <v>67.593132491091674765144152900</v>
      </c>
      <c r="P22" s="5"/>
      <c r="Q22" s="271">
        <v>-7.2667679270497333693663140800</v>
      </c>
      <c r="R22" s="92">
        <v>8.761868721549391780072510260</v>
      </c>
      <c r="S22" s="272">
        <v>2.6417459719234882617742884300</v>
      </c>
      <c r="T22" s="271">
        <v>2.9739010985026691145408485100</v>
      </c>
      <c r="U22" s="92">
        <v>-25.2760955021021151442449700</v>
      </c>
      <c r="V22" s="272">
        <v>1.6157203179861829632365687900</v>
      </c>
      <c r="W22" s="271">
        <v>29.039812648460045302755853900</v>
      </c>
      <c r="X22" s="92">
        <v>-36.590713459816096328160104760</v>
      </c>
      <c r="Y22" s="272">
        <v>-62.948799185027568552513084720</v>
      </c>
      <c r="Z22" s="271">
        <v>-4.0827099420930432074131919400</v>
      </c>
      <c r="AA22" s="92">
        <v>-4.0020393491559397687881535800</v>
      </c>
      <c r="AB22" s="272">
        <v>1.8972042486133186244819520900</v>
      </c>
    </row>
    <row r="23" ht="18" customHeight="1">
      <c r="A23" s="58"/>
      <c r="B23" s="288"/>
      <c r="C23" s="289" t="s">
        <v>186</v>
      </c>
      <c r="D23" s="420">
        <v>39.281997918834547346514047870</v>
      </c>
      <c r="E23" s="91">
        <v>39.821321956870433077882730350</v>
      </c>
      <c r="F23" s="421">
        <v>58.884429278276394039541574450</v>
      </c>
      <c r="G23" s="420">
        <v>4.6826222684703433922996878300</v>
      </c>
      <c r="H23" s="91">
        <v>12.117659508109071466761718050</v>
      </c>
      <c r="I23" s="421">
        <v>9.665744419559578302602177740</v>
      </c>
      <c r="J23" s="420">
        <v>1.3701005896635449184876864400</v>
      </c>
      <c r="K23" s="91">
        <v>2.6353665419117210241786966100</v>
      </c>
      <c r="L23" s="421">
        <v>0.227530932403220109030265800</v>
      </c>
      <c r="M23" s="420">
        <v>45.334720776968435657301422130</v>
      </c>
      <c r="N23" s="91">
        <v>54.574348006891225568823145010</v>
      </c>
      <c r="O23" s="421">
        <v>68.777704630239192451174017990</v>
      </c>
      <c r="P23" s="5"/>
      <c r="Q23" s="420">
        <v>16.512345678965596898338686650</v>
      </c>
      <c r="R23" s="91">
        <v>10.550569242561391181017845430</v>
      </c>
      <c r="S23" s="421">
        <v>3.0950549631537688243580650300</v>
      </c>
      <c r="T23" s="420">
        <v>-51.086956521708293950850642130</v>
      </c>
      <c r="U23" s="91">
        <v>-33.842208141544976629498118240</v>
      </c>
      <c r="V23" s="421">
        <v>31.996594735709028957539613350</v>
      </c>
      <c r="W23" s="420">
        <v>-20.202020200201775329006618100</v>
      </c>
      <c r="X23" s="91">
        <v>-40.963399432115808701181315640</v>
      </c>
      <c r="Y23" s="421">
        <v>-25.396967736647047546270223850</v>
      </c>
      <c r="Z23" s="420">
        <v>0.7321772640399751411674793500</v>
      </c>
      <c r="AA23" s="91">
        <v>-7.1883208729151972543667356800</v>
      </c>
      <c r="AB23" s="421">
        <v>6.2296637744761291558761160600</v>
      </c>
    </row>
    <row r="24" ht="18" customHeight="1">
      <c r="A24" s="59"/>
      <c r="B24" s="286"/>
      <c r="C24" s="287" t="s">
        <v>187</v>
      </c>
      <c r="D24" s="271">
        <v>31.021505376344086021505376340</v>
      </c>
      <c r="E24" s="92">
        <v>38.211596459250123403963749300</v>
      </c>
      <c r="F24" s="272">
        <v>62.101699686525522091732781340</v>
      </c>
      <c r="G24" s="271">
        <v>1.8996415770609318996415770600</v>
      </c>
      <c r="H24" s="92">
        <v>10.721531264901116019302757120</v>
      </c>
      <c r="I24" s="272">
        <v>5.4918214655910326478652525800</v>
      </c>
      <c r="J24" s="271">
        <v>1.2544802867383512544802867400</v>
      </c>
      <c r="K24" s="92">
        <v>2.8962154311587667154689140900</v>
      </c>
      <c r="L24" s="272">
        <v>0.2129792258123946179227521800</v>
      </c>
      <c r="M24" s="271">
        <v>34.175627240143369175627240140</v>
      </c>
      <c r="N24" s="92">
        <v>51.829343155310006138735420500</v>
      </c>
      <c r="O24" s="272">
        <v>67.806500377928949357520786090</v>
      </c>
      <c r="P24" s="93"/>
      <c r="Q24" s="271">
        <v>-6.4324324324344555149744338600</v>
      </c>
      <c r="R24" s="92">
        <v>6.6838690264892478215178953400</v>
      </c>
      <c r="S24" s="272">
        <v>5.5508502118264231816675605200</v>
      </c>
      <c r="T24" s="271">
        <v>-67.975830815833809475999192530</v>
      </c>
      <c r="U24" s="92">
        <v>-30.509120303112186978502952120</v>
      </c>
      <c r="V24" s="272">
        <v>-25.065669621344478053768583920</v>
      </c>
      <c r="W24" s="271">
        <v>-5.4054054088312636960044892400</v>
      </c>
      <c r="X24" s="92">
        <v>-42.180780534956771729442102420</v>
      </c>
      <c r="Y24" s="272">
        <v>-7.3601409337436315078498740400</v>
      </c>
      <c r="Z24" s="271">
        <v>-15.432372505483983657897412290</v>
      </c>
      <c r="AA24" s="92">
        <v>-7.8677433435296761343468944700</v>
      </c>
      <c r="AB24" s="272">
        <v>2.1265938069666700726358106800</v>
      </c>
    </row>
    <row r="25" ht="18" customHeight="1">
      <c r="A25" s="60"/>
      <c r="B25" s="288"/>
      <c r="C25" s="289" t="s">
        <v>188</v>
      </c>
      <c r="D25" s="420">
        <v>36.021505376344086021505376340</v>
      </c>
      <c r="E25" s="91">
        <v>41.054263645545157034393943610</v>
      </c>
      <c r="F25" s="421">
        <v>62.829425800466583155924491710</v>
      </c>
      <c r="G25" s="420">
        <v>1.9771071800208116545265348600</v>
      </c>
      <c r="H25" s="91">
        <v>9.720943688648757931874176970</v>
      </c>
      <c r="I25" s="421">
        <v>7.2625986719488495051557573500</v>
      </c>
      <c r="J25" s="420">
        <v>1.4741588622962192160943461700</v>
      </c>
      <c r="K25" s="91">
        <v>4.0278580730418718809961816700</v>
      </c>
      <c r="L25" s="421">
        <v>0.259815188179988303004309500</v>
      </c>
      <c r="M25" s="420">
        <v>39.472771418661116892126257370</v>
      </c>
      <c r="N25" s="91">
        <v>54.803065407235786847264302260</v>
      </c>
      <c r="O25" s="421">
        <v>70.351839660595420964084558550</v>
      </c>
      <c r="P25" s="93"/>
      <c r="Q25" s="420">
        <v>9.778012684888934715660556210</v>
      </c>
      <c r="R25" s="91">
        <v>7.6523793783040689442146816300</v>
      </c>
      <c r="S25" s="421">
        <v>3.8371999288704613707712761100</v>
      </c>
      <c r="T25" s="420">
        <v>-47.945205479553312066053471630</v>
      </c>
      <c r="U25" s="91">
        <v>5.4506634503941720672628694100</v>
      </c>
      <c r="V25" s="421">
        <v>11.994809688571337111393174450</v>
      </c>
      <c r="W25" s="420">
        <v>13.333333334067733333338092460</v>
      </c>
      <c r="X25" s="91">
        <v>-32.925388387982490834112675750</v>
      </c>
      <c r="Y25" s="421">
        <v>13.588246704401508868736453500</v>
      </c>
      <c r="Z25" s="420">
        <v>4.1171088745772718179147789600</v>
      </c>
      <c r="AA25" s="91">
        <v>2.7054108216457564427452099100</v>
      </c>
      <c r="AB25" s="421">
        <v>4.6573374829290691774914705100</v>
      </c>
    </row>
    <row r="26" ht="18" customHeight="1">
      <c r="A26" s="60"/>
      <c r="B26" s="290"/>
      <c r="C26" s="291" t="s">
        <v>189</v>
      </c>
      <c r="D26" s="273">
        <v>34.820788530465949820788530470</v>
      </c>
      <c r="E26" s="274">
        <v>44.267214155940818371272535290</v>
      </c>
      <c r="F26" s="275">
        <v>64.948172000057103087116697110</v>
      </c>
      <c r="G26" s="273">
        <v>4.6057347670250896057347670300</v>
      </c>
      <c r="H26" s="274">
        <v>10.553027840970642400606651500</v>
      </c>
      <c r="I26" s="275">
        <v>10.180043254325148262733325170</v>
      </c>
      <c r="J26" s="273">
        <v>1.4336917562724014336917562700</v>
      </c>
      <c r="K26" s="274">
        <v>4.9802491019221794982251717100</v>
      </c>
      <c r="L26" s="275">
        <v>0.2519812686714145609587456700</v>
      </c>
      <c r="M26" s="273">
        <v>40.860215053763440860215053760</v>
      </c>
      <c r="N26" s="274">
        <v>59.800491098833640270104358500</v>
      </c>
      <c r="O26" s="275">
        <v>75.380196523053665910808767950</v>
      </c>
      <c r="P26" s="184"/>
      <c r="Q26" s="273">
        <v>14.563679245188449793075905770</v>
      </c>
      <c r="R26" s="274">
        <v>4.5039222511017576043180921500</v>
      </c>
      <c r="S26" s="275">
        <v>4.4279072560072611730840669300</v>
      </c>
      <c r="T26" s="273">
        <v>37.433155079670050616262268400</v>
      </c>
      <c r="U26" s="274">
        <v>8.225845829835134947404765510</v>
      </c>
      <c r="V26" s="275">
        <v>34.308133691426370771395011830</v>
      </c>
      <c r="W26" s="273">
        <v>12.676056337298155127955532890</v>
      </c>
      <c r="X26" s="274">
        <v>13.747648409086638006591177920</v>
      </c>
      <c r="Y26" s="275">
        <v>11.439603318817852321908035130</v>
      </c>
      <c r="Z26" s="273">
        <v>16.683725690735221245242624570</v>
      </c>
      <c r="AA26" s="274">
        <v>5.8628559008387659210662012100</v>
      </c>
      <c r="AB26" s="275">
        <v>7.6859950329338084440125256400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 customHeight="1">
      <c r="A29" s="58"/>
      <c r="B29" s="284">
        <v>2023</v>
      </c>
      <c r="C29" s="285"/>
      <c r="D29" s="427">
        <v>40.533475910414067605299114830</v>
      </c>
      <c r="E29" s="428">
        <v>39.832961580936381238986245110</v>
      </c>
      <c r="F29" s="429">
        <v>59.283160028292650146948890730</v>
      </c>
      <c r="G29" s="427">
        <v>6.1100219806332798669280579800</v>
      </c>
      <c r="H29" s="428">
        <v>12.049170136524641484080924560</v>
      </c>
      <c r="I29" s="429">
        <v>7.7729715529816300491850024300</v>
      </c>
      <c r="J29" s="427">
        <v>1.1524980692686983900671300400</v>
      </c>
      <c r="K29" s="428">
        <v>3.4987581617652931199575650300</v>
      </c>
      <c r="L29" s="429">
        <v>1.7565868762744851663646974400</v>
      </c>
      <c r="M29" s="427">
        <v>47.795995960316045862294302860</v>
      </c>
      <c r="N29" s="428">
        <v>55.380889879226315843024734690</v>
      </c>
      <c r="O29" s="429">
        <v>68.812718457548765362498590600</v>
      </c>
      <c r="P29" s="5"/>
      <c r="Q29" s="427">
        <v>6.3683841296581613944520849400</v>
      </c>
      <c r="R29" s="428">
        <v>1.9986839823606720963613135400</v>
      </c>
      <c r="S29" s="429">
        <v>12.310685561832196044866860670</v>
      </c>
      <c r="T29" s="427">
        <v>-32.623648870191147120383312280</v>
      </c>
      <c r="U29" s="428">
        <v>13.298023946539785084346275360</v>
      </c>
      <c r="V29" s="429">
        <v>13.741229145717489301745039640</v>
      </c>
      <c r="W29" s="427">
        <v>9.295774644144174568666183250</v>
      </c>
      <c r="X29" s="428">
        <v>-34.423442298892408965844166070</v>
      </c>
      <c r="Y29" s="429">
        <v>52.269832911045577210989364390</v>
      </c>
      <c r="Z29" s="427">
        <v>-0.8991808831349436936523776800</v>
      </c>
      <c r="AA29" s="428">
        <v>0.6509116461190057351359177600</v>
      </c>
      <c r="AB29" s="429">
        <v>13.230067698434693893147985140</v>
      </c>
    </row>
    <row r="30" ht="18" customHeight="1">
      <c r="A30" s="58"/>
      <c r="B30" s="286">
        <v>2024</v>
      </c>
      <c r="C30" s="287"/>
      <c r="D30" s="271">
        <v>32.51211154436960888573791800</v>
      </c>
      <c r="E30" s="92">
        <v>37.149363770087160941295414310</v>
      </c>
      <c r="F30" s="272">
        <v>57.247006076426022052296297690</v>
      </c>
      <c r="G30" s="271">
        <v>6.2005199101973295521682618500</v>
      </c>
      <c r="H30" s="92">
        <v>13.315552056849363815487657320</v>
      </c>
      <c r="I30" s="272">
        <v>6.9174963688737135130656262800</v>
      </c>
      <c r="J30" s="271">
        <v>1.2761432116270825948245303100</v>
      </c>
      <c r="K30" s="92">
        <v>5.10648653085713383117211900</v>
      </c>
      <c r="L30" s="272">
        <v>0.4656074255362599746588725700</v>
      </c>
      <c r="M30" s="271">
        <v>39.988774666194021032730710150</v>
      </c>
      <c r="N30" s="92">
        <v>55.571402357793658587955190630</v>
      </c>
      <c r="O30" s="272">
        <v>64.630109870835995540020796530</v>
      </c>
      <c r="P30" s="5"/>
      <c r="Q30" s="271">
        <v>-19.789480635121857704311533760</v>
      </c>
      <c r="R30" s="92">
        <v>-6.7371285094192710089717919800</v>
      </c>
      <c r="S30" s="272">
        <v>-3.4346245222116688920054194400</v>
      </c>
      <c r="T30" s="271">
        <v>1.4811391822266851661129660800</v>
      </c>
      <c r="U30" s="92">
        <v>10.510117344207556542436886850</v>
      </c>
      <c r="V30" s="272">
        <v>-11.005767592139372479372995330</v>
      </c>
      <c r="W30" s="271">
        <v>10.728446807913675940466090460</v>
      </c>
      <c r="X30" s="92">
        <v>45.951400317134483666733292990</v>
      </c>
      <c r="Y30" s="272">
        <v>-73.493629502857514052869132780</v>
      </c>
      <c r="Z30" s="271">
        <v>-16.334467223134679429745030490</v>
      </c>
      <c r="AA30" s="92">
        <v>0.344004003924847406201681300</v>
      </c>
      <c r="AB30" s="272">
        <v>-6.0782493126576018325139766800</v>
      </c>
    </row>
    <row r="31" ht="18" customHeight="1">
      <c r="A31" s="58"/>
      <c r="B31" s="425">
        <v>2025</v>
      </c>
      <c r="C31" s="426"/>
      <c r="D31" s="430">
        <v>32.409552664409196221707360540</v>
      </c>
      <c r="E31" s="431">
        <v>39.830683045684469377561927340</v>
      </c>
      <c r="F31" s="432">
        <v>59.716668966623812266819394570</v>
      </c>
      <c r="G31" s="430">
        <v>4.2594902869363749777223311400</v>
      </c>
      <c r="H31" s="431">
        <v>10.444964055887982478062309910</v>
      </c>
      <c r="I31" s="432">
        <v>7.5684291291907851954592805600</v>
      </c>
      <c r="J31" s="430">
        <v>1.348541555278322343016693400</v>
      </c>
      <c r="K31" s="431">
        <v>3.4732209630979387510930994200</v>
      </c>
      <c r="L31" s="432">
        <v>0.2294657407697600376273646300</v>
      </c>
      <c r="M31" s="430">
        <v>38.017584506623893542446385080</v>
      </c>
      <c r="N31" s="431">
        <v>53.748868064670390606717336670</v>
      </c>
      <c r="O31" s="432">
        <v>67.514563836584357499906039760</v>
      </c>
      <c r="P31" s="184"/>
      <c r="Q31" s="430">
        <v>-0.3154482287339127904220621900</v>
      </c>
      <c r="R31" s="431">
        <v>7.21767213074737324211025100</v>
      </c>
      <c r="S31" s="432">
        <v>4.3140472480392776686301925200</v>
      </c>
      <c r="T31" s="430">
        <v>-31.304304338585962440696314690</v>
      </c>
      <c r="U31" s="431">
        <v>-21.558159877014356684526000070</v>
      </c>
      <c r="V31" s="432">
        <v>9.409947263829133246966937340</v>
      </c>
      <c r="W31" s="430">
        <v>5.6732146533578240457015960800</v>
      </c>
      <c r="X31" s="431">
        <v>-31.984135430867454575055806300</v>
      </c>
      <c r="Y31" s="432">
        <v>-50.716906947232516241868949750</v>
      </c>
      <c r="Z31" s="430">
        <v>-4.9293587413725625159941223500</v>
      </c>
      <c r="AA31" s="431">
        <v>-3.2796262390412729014700562900</v>
      </c>
      <c r="AB31" s="432">
        <v>4.4630188182421131777044012200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 customHeight="1">
      <c r="A34" s="58"/>
      <c r="B34" s="284">
        <v>2023</v>
      </c>
      <c r="C34" s="285"/>
      <c r="D34" s="427">
        <v>44.162826420890937019969278030</v>
      </c>
      <c r="E34" s="428">
        <v>42.306035942018651667254246440</v>
      </c>
      <c r="F34" s="429">
        <v>63.063916042269236322811071460</v>
      </c>
      <c r="G34" s="427">
        <v>6.1975658749852298239395013600</v>
      </c>
      <c r="H34" s="428">
        <v>11.970698875552692185619911880</v>
      </c>
      <c r="I34" s="429">
        <v>9.710839419681546102356337730</v>
      </c>
      <c r="J34" s="427">
        <v>1.187522155264090747961715700</v>
      </c>
      <c r="K34" s="428">
        <v>3.340693794332406172422828300</v>
      </c>
      <c r="L34" s="429">
        <v>1.8827412363622424184696793400</v>
      </c>
      <c r="M34" s="427">
        <v>51.547914451140257591870495100</v>
      </c>
      <c r="N34" s="428">
        <v>57.617428611903750025296986620</v>
      </c>
      <c r="O34" s="429">
        <v>74.657496698313024843637088540</v>
      </c>
      <c r="P34" s="5"/>
      <c r="Q34" s="427">
        <v>13.965543528048099810878495690</v>
      </c>
      <c r="R34" s="428">
        <v>1.5194430489433213051323588200</v>
      </c>
      <c r="S34" s="429">
        <v>13.515586170917682340141106580</v>
      </c>
      <c r="T34" s="427">
        <v>-35.166872682630952464623186870</v>
      </c>
      <c r="U34" s="428">
        <v>-4.1545699570785475168024238800</v>
      </c>
      <c r="V34" s="429">
        <v>5.7692656642777387218249046300</v>
      </c>
      <c r="W34" s="427">
        <v>16.860465111944361817359272730</v>
      </c>
      <c r="X34" s="428">
        <v>-38.040496589352886805129394900</v>
      </c>
      <c r="Y34" s="429">
        <v>-0.0335575403188945149349320700</v>
      </c>
      <c r="Z34" s="427">
        <v>4.5035333573757159752027682400</v>
      </c>
      <c r="AA34" s="428">
        <v>-3.252060147890660463716681600</v>
      </c>
      <c r="AB34" s="429">
        <v>12.064992968085250179458673680</v>
      </c>
    </row>
    <row r="35" ht="18" customHeight="1">
      <c r="A35" s="58"/>
      <c r="B35" s="286">
        <v>2024</v>
      </c>
      <c r="C35" s="287"/>
      <c r="D35" s="271">
        <v>32.128086966796644215999054710</v>
      </c>
      <c r="E35" s="92">
        <v>38.763998917828308277606414870</v>
      </c>
      <c r="F35" s="272">
        <v>60.512514557958260204511908200</v>
      </c>
      <c r="G35" s="271">
        <v>4.3542479026349994091929575800</v>
      </c>
      <c r="H35" s="92">
        <v>11.441333325195633829667188240</v>
      </c>
      <c r="I35" s="272">
        <v>7.1239733933919639499258475600</v>
      </c>
      <c r="J35" s="271">
        <v>1.299775493323880420654614200</v>
      </c>
      <c r="K35" s="92">
        <v>5.1404269701385859723815483600</v>
      </c>
      <c r="L35" s="272">
        <v>0.2282550154335589558759668100</v>
      </c>
      <c r="M35" s="271">
        <v>37.782110362755524045846626490</v>
      </c>
      <c r="N35" s="92">
        <v>55.345759213162528079655151480</v>
      </c>
      <c r="O35" s="272">
        <v>67.864742966783783110313722560</v>
      </c>
      <c r="P35" s="5"/>
      <c r="Q35" s="271">
        <v>-27.250836120416267186273081130</v>
      </c>
      <c r="R35" s="92">
        <v>-8.372415295603900573062074320</v>
      </c>
      <c r="S35" s="272">
        <v>-4.0457390604008672295873998100</v>
      </c>
      <c r="T35" s="271">
        <v>-29.742612011606905119133443980</v>
      </c>
      <c r="U35" s="92">
        <v>-4.4221774844188711198058478700</v>
      </c>
      <c r="V35" s="272">
        <v>-26.638953796930903337550454010</v>
      </c>
      <c r="W35" s="271">
        <v>9.452736315098240142670810180</v>
      </c>
      <c r="X35" s="92">
        <v>53.873036161211453548080378160</v>
      </c>
      <c r="Y35" s="272">
        <v>-87.87645317260875203105171601</v>
      </c>
      <c r="Z35" s="271">
        <v>-26.704871060114678165203853460</v>
      </c>
      <c r="AA35" s="92">
        <v>-3.9426775082918110247948882100</v>
      </c>
      <c r="AB35" s="272">
        <v>-9.098555445766630335281935800</v>
      </c>
    </row>
    <row r="36" ht="18" customHeight="1">
      <c r="A36" s="58"/>
      <c r="B36" s="425">
        <v>2025</v>
      </c>
      <c r="C36" s="426"/>
      <c r="D36" s="430">
        <v>33.977313009571074087203119460</v>
      </c>
      <c r="E36" s="431">
        <v>41.176335071072836498058250430</v>
      </c>
      <c r="F36" s="432">
        <v>63.288003850680690474715863700</v>
      </c>
      <c r="G36" s="430">
        <v>2.8181495923431407302375044300</v>
      </c>
      <c r="H36" s="431">
        <v>10.325121181585321411927271920</v>
      </c>
      <c r="I36" s="432">
        <v>7.6406208838230743074481957200</v>
      </c>
      <c r="J36" s="430">
        <v>1.3883965496868722675174288100</v>
      </c>
      <c r="K36" s="431">
        <v>3.968764134689301260678068200</v>
      </c>
      <c r="L36" s="432">
        <v>0.2417921501988342061492146200</v>
      </c>
      <c r="M36" s="430">
        <v>38.183859151601087084958052700</v>
      </c>
      <c r="N36" s="431">
        <v>55.470220387347459170663590550</v>
      </c>
      <c r="O36" s="432">
        <v>71.170416884702598988313274030</v>
      </c>
      <c r="P36" s="184"/>
      <c r="Q36" s="430">
        <v>5.7557925707870413221441325700</v>
      </c>
      <c r="R36" s="431">
        <v>6.2231354365380461053373887700</v>
      </c>
      <c r="S36" s="432">
        <v>4.5866368518208594697544178400</v>
      </c>
      <c r="T36" s="430">
        <v>-35.278154680619522100852089640</v>
      </c>
      <c r="U36" s="431">
        <v>-9.75596210588652405912625600</v>
      </c>
      <c r="V36" s="432">
        <v>7.2522377877172028946308405800</v>
      </c>
      <c r="W36" s="430">
        <v>6.8181818201443595041682888100</v>
      </c>
      <c r="X36" s="431">
        <v>-22.793103417786823181035192820</v>
      </c>
      <c r="Y36" s="432">
        <v>5.9307063965763821499865365100</v>
      </c>
      <c r="Z36" s="430">
        <v>1.0633307270116020713505952600</v>
      </c>
      <c r="AA36" s="431">
        <v>0.2248793329729499829702600800</v>
      </c>
      <c r="AB36" s="432">
        <v>4.870973901013317509284158700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7.2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 customHeight="1">
      <c r="A39" s="58"/>
      <c r="B39" s="284">
        <v>2023</v>
      </c>
      <c r="C39" s="285"/>
      <c r="D39" s="427">
        <v>36.252761820592134334953601410</v>
      </c>
      <c r="E39" s="428">
        <v>38.232480844041153931076261820</v>
      </c>
      <c r="F39" s="429">
        <v>55.273837189355143578299362650</v>
      </c>
      <c r="G39" s="427">
        <v>5.7828840771836794815142141700</v>
      </c>
      <c r="H39" s="428">
        <v>10.669527565623002030437258560</v>
      </c>
      <c r="I39" s="429">
        <v>6.5728447920067413359281886200</v>
      </c>
      <c r="J39" s="427">
        <v>1.103255265871262336131978200</v>
      </c>
      <c r="K39" s="428">
        <v>3.6230300625475547274544152400</v>
      </c>
      <c r="L39" s="429">
        <v>1.7815601830838020363517672200</v>
      </c>
      <c r="M39" s="427">
        <v>43.138901163647076152599793780</v>
      </c>
      <c r="N39" s="428">
        <v>52.525038472211710688967935620</v>
      </c>
      <c r="O39" s="429">
        <v>63.628242164445686950579318490</v>
      </c>
      <c r="P39" s="5"/>
      <c r="Q39" s="427">
        <v>-3.2471106218688273684994731900</v>
      </c>
      <c r="R39" s="428">
        <v>-5.8303589626482066835136995600</v>
      </c>
      <c r="S39" s="429">
        <v>0.7161042268781657461138230200</v>
      </c>
      <c r="T39" s="427">
        <v>-40.900195694963033053051591970</v>
      </c>
      <c r="U39" s="428">
        <v>2.0258950632726354526457480100</v>
      </c>
      <c r="V39" s="429">
        <v>-0.3307454844479092440682546400</v>
      </c>
      <c r="W39" s="427">
        <v>-14.400000002477997714213979790</v>
      </c>
      <c r="X39" s="428">
        <v>-30.534929026099574749595555860</v>
      </c>
      <c r="Y39" s="429">
        <v>137.76867594820488731348727760</v>
      </c>
      <c r="Z39" s="427">
        <v>-11.133025852586953511161030570</v>
      </c>
      <c r="AA39" s="428">
        <v>-6.6600914551672784675743343200</v>
      </c>
      <c r="AB39" s="429">
        <v>2.2554837902987963278747266600</v>
      </c>
    </row>
    <row r="40" ht="18" customHeight="1">
      <c r="A40" s="58"/>
      <c r="B40" s="286">
        <v>2024</v>
      </c>
      <c r="C40" s="287"/>
      <c r="D40" s="271">
        <v>35.895175979787296550913684710</v>
      </c>
      <c r="E40" s="92">
        <v>36.04548723756309353780128500</v>
      </c>
      <c r="F40" s="272">
        <v>56.454135860006495435438950850</v>
      </c>
      <c r="G40" s="271">
        <v>6.2415535577883541923732299200</v>
      </c>
      <c r="H40" s="92">
        <v>11.888031884149592642520876450</v>
      </c>
      <c r="I40" s="272">
        <v>7.0685463073131930493385364800</v>
      </c>
      <c r="J40" s="271">
        <v>1.1927845349315470944238791900</v>
      </c>
      <c r="K40" s="92">
        <v>4.8716683851923020736701188800</v>
      </c>
      <c r="L40" s="272">
        <v>1.0383093525759409998930932400</v>
      </c>
      <c r="M40" s="271">
        <v>43.329514072507197837710793820</v>
      </c>
      <c r="N40" s="92">
        <v>52.805187506904988253992280330</v>
      </c>
      <c r="O40" s="272">
        <v>64.560991519895629484670580560</v>
      </c>
      <c r="P40" s="5"/>
      <c r="Q40" s="271">
        <v>-0.9863685491942617402249816200</v>
      </c>
      <c r="R40" s="92">
        <v>-5.720250316374961268518395600</v>
      </c>
      <c r="S40" s="272">
        <v>2.1353658993532734520743528800</v>
      </c>
      <c r="T40" s="271">
        <v>7.931500518862833697012118970</v>
      </c>
      <c r="U40" s="92">
        <v>11.4204149251951452544909900</v>
      </c>
      <c r="V40" s="272">
        <v>7.5416586120598152310445805500</v>
      </c>
      <c r="W40" s="271">
        <v>8.115009445118035255224172690</v>
      </c>
      <c r="X40" s="92">
        <v>34.463923874556646013756858800</v>
      </c>
      <c r="Y40" s="272">
        <v>-41.719097540155336002294985280</v>
      </c>
      <c r="Z40" s="271">
        <v>0.441858516943482876374750100</v>
      </c>
      <c r="AA40" s="92">
        <v>0.5333628358087983549924028600</v>
      </c>
      <c r="AB40" s="272">
        <v>1.4659360745588893970947152500</v>
      </c>
    </row>
    <row r="41" ht="18" customHeight="1">
      <c r="A41" s="58"/>
      <c r="B41" s="425">
        <v>2025</v>
      </c>
      <c r="C41" s="426"/>
      <c r="D41" s="430">
        <v>31.991456768301664457210192960</v>
      </c>
      <c r="E41" s="431">
        <v>37.661468979571784559966705140</v>
      </c>
      <c r="F41" s="432">
        <v>58.131183258867291322921407300</v>
      </c>
      <c r="G41" s="430">
        <v>4.3599941081160701134187656500</v>
      </c>
      <c r="H41" s="431">
        <v>9.941849519828430915433160420</v>
      </c>
      <c r="I41" s="432">
        <v>6.9522093363245281533964778500</v>
      </c>
      <c r="J41" s="430">
        <v>1.2240388864339372514361467100</v>
      </c>
      <c r="K41" s="431">
        <v>3.7652831303079002691951040300</v>
      </c>
      <c r="L41" s="432">
        <v>0.2083609139929440505715465800</v>
      </c>
      <c r="M41" s="430">
        <v>37.575489762851671822065105320</v>
      </c>
      <c r="N41" s="431">
        <v>51.368601629708115744594969600</v>
      </c>
      <c r="O41" s="432">
        <v>65.291753509184763526889431730</v>
      </c>
      <c r="P41" s="184"/>
      <c r="Q41" s="430">
        <v>-10.875331029704806046333852390</v>
      </c>
      <c r="R41" s="431">
        <v>4.4831735282693344018316817300</v>
      </c>
      <c r="S41" s="432">
        <v>2.9706369131682096797246190300</v>
      </c>
      <c r="T41" s="430">
        <v>-30.145691008812477270083841910</v>
      </c>
      <c r="U41" s="431">
        <v>-16.370938295299731434262864640</v>
      </c>
      <c r="V41" s="432">
        <v>-1.6458401192806152786470003700</v>
      </c>
      <c r="W41" s="430">
        <v>2.6202847722667309908082804700</v>
      </c>
      <c r="X41" s="431">
        <v>-22.710602762972720797763219030</v>
      </c>
      <c r="Y41" s="432">
        <v>-79.93267483614651102666504287</v>
      </c>
      <c r="Z41" s="430">
        <v>-13.279688066707958758945749030</v>
      </c>
      <c r="AA41" s="431">
        <v>-2.7205392974017316838129036400</v>
      </c>
      <c r="AB41" s="432">
        <v>1.1318939998923601117725276400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sheetData>
  <mergeCells count="22">
    <mergeCell ref="B43:AB43"/>
    <mergeCell ref="Q38:AB38"/>
    <mergeCell ref="Q7:S7"/>
    <mergeCell ref="T7:V7"/>
    <mergeCell ref="Q33:AB33"/>
    <mergeCell ref="B33:O33"/>
    <mergeCell ref="B38:O38"/>
    <mergeCell ref="J7:L7"/>
    <mergeCell ref="G7:I7"/>
    <mergeCell ref="D7:F7"/>
    <mergeCell ref="B8:C8"/>
    <mergeCell ref="M7:O7"/>
    <mergeCell ref="Q28:AB28"/>
    <mergeCell ref="W7:Y7"/>
    <mergeCell ref="Z7:AB7"/>
    <mergeCell ref="B28:O28"/>
    <mergeCell ref="B2:AB2"/>
    <mergeCell ref="Q6:AB6"/>
    <mergeCell ref="D6:O6"/>
    <mergeCell ref="B3:Q3"/>
    <mergeCell ref="R3:AB3"/>
    <mergeCell ref="B4:AB4"/>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39"/>
</worksheet>
</file>

<file path=xl/worksheets/sheet4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pageSetUpPr fitToPage="1"/>
  </sheetPr>
  <dimension ref="A1:AD82"/>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143</v>
      </c>
      <c r="Z1" s="5"/>
      <c r="AB1" s="685"/>
      <c r="AD1" s="236"/>
    </row>
    <row r="2" ht="15" customHeight="1">
      <c r="A2" s="11"/>
      <c r="B2" s="999" t="s">
        <v>170</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171</v>
      </c>
      <c r="C3" s="999"/>
      <c r="D3" s="999"/>
      <c r="E3" s="999"/>
      <c r="F3" s="999"/>
      <c r="G3" s="999"/>
      <c r="H3" s="999"/>
      <c r="I3" s="999"/>
      <c r="J3" s="999"/>
      <c r="K3" s="999"/>
      <c r="L3" s="999"/>
      <c r="M3" s="999"/>
      <c r="N3" s="999"/>
      <c r="O3" s="999"/>
      <c r="P3" s="999"/>
      <c r="Q3" s="999"/>
      <c r="R3" s="1035" t="s">
        <v>265</v>
      </c>
      <c r="S3" s="1035"/>
      <c r="T3" s="1035"/>
      <c r="U3" s="1035"/>
      <c r="V3" s="1035"/>
      <c r="W3" s="1035"/>
      <c r="X3" s="1035"/>
      <c r="Y3" s="1035"/>
      <c r="Z3" s="1035"/>
      <c r="AA3" s="1035"/>
      <c r="AB3" s="1035"/>
    </row>
    <row r="4" ht="19.5" customHeight="1">
      <c r="A4" s="4"/>
      <c r="B4" s="999" t="s">
        <v>172</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ustomHeight="1">
      <c r="D6" s="960" t="s">
        <v>90</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2024</v>
      </c>
      <c r="C9" s="285" t="s">
        <v>180</v>
      </c>
      <c r="D9" s="434">
        <v>111.58138268916712030484485574</v>
      </c>
      <c r="E9" s="435">
        <v>140.3771944482863770954527302</v>
      </c>
      <c r="F9" s="436">
        <v>121.95300419220878768047296613</v>
      </c>
      <c r="G9" s="434">
        <v>104.72068965517241379310344828</v>
      </c>
      <c r="H9" s="435">
        <v>133.91144120737898676148652206</v>
      </c>
      <c r="I9" s="436">
        <v>124.00095147831070542171010685</v>
      </c>
      <c r="J9" s="434">
        <v>93.80769230769230769230769231</v>
      </c>
      <c r="K9" s="435">
        <v>116.61324291785331870470810324</v>
      </c>
      <c r="L9" s="436">
        <v>90.19890298585806899039124571</v>
      </c>
      <c r="M9" s="434">
        <v>110.24415328132170720513997246</v>
      </c>
      <c r="N9" s="435">
        <v>136.03291907151819322459222081</v>
      </c>
      <c r="O9" s="436">
        <v>121.44245972043657849385890527</v>
      </c>
      <c r="P9" s="5"/>
      <c r="Q9" s="415">
        <v>10.986280085458186398494658890</v>
      </c>
      <c r="R9" s="416">
        <v>6.1915610454096144998184479200</v>
      </c>
      <c r="S9" s="417">
        <v>5.3283518625815853803466620200</v>
      </c>
      <c r="T9" s="415">
        <v>-5.1928414851553171678416365600</v>
      </c>
      <c r="U9" s="416">
        <v>1.924282402628041438797752900</v>
      </c>
      <c r="V9" s="417">
        <v>1.8054413804848609467074204700</v>
      </c>
      <c r="W9" s="415">
        <v>-2.4015263988270017184375898800</v>
      </c>
      <c r="X9" s="416">
        <v>25.938679613112350998929946350</v>
      </c>
      <c r="Y9" s="417">
        <v>-3.8552782380974282464468840800</v>
      </c>
      <c r="Z9" s="415">
        <v>9.272447093668969263018191940</v>
      </c>
      <c r="AA9" s="416">
        <v>5.2141467127183510212748757500</v>
      </c>
      <c r="AB9" s="417">
        <v>5.1145468289748741655456436800</v>
      </c>
    </row>
    <row r="10" ht="18" customHeight="1">
      <c r="A10" s="58"/>
      <c r="B10" s="286"/>
      <c r="C10" s="287" t="s">
        <v>183</v>
      </c>
      <c r="D10" s="276">
        <v>118.14941242305540011191941802</v>
      </c>
      <c r="E10" s="94">
        <v>144.62856111563642984310319399</v>
      </c>
      <c r="F10" s="277">
        <v>129.56717787026775298158095241</v>
      </c>
      <c r="G10" s="276">
        <v>118.65</v>
      </c>
      <c r="H10" s="94">
        <v>143.22028301846951121678668325</v>
      </c>
      <c r="I10" s="277">
        <v>124.14281114225132381594380911</v>
      </c>
      <c r="J10" s="276">
        <v>93.3442622950819672131147541</v>
      </c>
      <c r="K10" s="94">
        <v>121.90162090950060759119303853</v>
      </c>
      <c r="L10" s="277">
        <v>91.28456671491950731173668124</v>
      </c>
      <c r="M10" s="276">
        <v>117.62047297297297297297297297</v>
      </c>
      <c r="N10" s="94">
        <v>142.37903615076512272773955017</v>
      </c>
      <c r="O10" s="277">
        <v>128.54935905261872787205469418</v>
      </c>
      <c r="P10" s="5"/>
      <c r="Q10" s="271">
        <v>9.698964017825814319576991020</v>
      </c>
      <c r="R10" s="92">
        <v>3.859445811818923939008730800</v>
      </c>
      <c r="S10" s="272">
        <v>7.8108927685948000021937399400</v>
      </c>
      <c r="T10" s="271">
        <v>1.7275616546044144530656804900</v>
      </c>
      <c r="U10" s="92">
        <v>6.8307019798486402153552474300</v>
      </c>
      <c r="V10" s="272">
        <v>0.7486095066382412164543858800</v>
      </c>
      <c r="W10" s="271">
        <v>0.6359551885828746516712892700</v>
      </c>
      <c r="X10" s="92">
        <v>18.222280091280334054544057230</v>
      </c>
      <c r="Y10" s="272">
        <v>1.1492463610983021987188878600</v>
      </c>
      <c r="Z10" s="271">
        <v>7.3052871538292183944411291200</v>
      </c>
      <c r="AA10" s="92">
        <v>5.145103624665942812599963100</v>
      </c>
      <c r="AB10" s="272">
        <v>7.3085632558375789967439624900</v>
      </c>
    </row>
    <row r="11" ht="18" customHeight="1">
      <c r="A11" s="58"/>
      <c r="B11" s="288"/>
      <c r="C11" s="289" t="s">
        <v>186</v>
      </c>
      <c r="D11" s="439">
        <v>120.34773662551440329218106996</v>
      </c>
      <c r="E11" s="95">
        <v>145.00890114072649670452961856</v>
      </c>
      <c r="F11" s="440">
        <v>128.76923015518635579422256978</v>
      </c>
      <c r="G11" s="439">
        <v>94.95289855072463768115942029</v>
      </c>
      <c r="H11" s="95">
        <v>132.01950478893802256613101314</v>
      </c>
      <c r="I11" s="440">
        <v>119.0468391168717564660214847</v>
      </c>
      <c r="J11" s="439">
        <v>97.6969696969696969696969697</v>
      </c>
      <c r="K11" s="95">
        <v>131.88170762496710186219118409</v>
      </c>
      <c r="L11" s="440">
        <v>93.32549820079131715859486256</v>
      </c>
      <c r="M11" s="439">
        <v>114.08175337186897880539499037</v>
      </c>
      <c r="N11" s="95">
        <v>139.9661972115578904829258436</v>
      </c>
      <c r="O11" s="440">
        <v>127.50264370932754880694143167</v>
      </c>
      <c r="P11" s="5"/>
      <c r="Q11" s="420">
        <v>9.743365029722032930219314260</v>
      </c>
      <c r="R11" s="91">
        <v>7.446486558522781045834165300</v>
      </c>
      <c r="S11" s="421">
        <v>8.086120884740476448544893940</v>
      </c>
      <c r="T11" s="420">
        <v>-18.438084955660792545473610430</v>
      </c>
      <c r="U11" s="91">
        <v>-0.8369981112530028963677795800</v>
      </c>
      <c r="V11" s="421">
        <v>-7.0795356217522301299699337900</v>
      </c>
      <c r="W11" s="420">
        <v>5.3662509108165437174147816600</v>
      </c>
      <c r="X11" s="91">
        <v>18.447619773746003882541425280</v>
      </c>
      <c r="Y11" s="421">
        <v>1.8277549183800275964113442400</v>
      </c>
      <c r="Z11" s="420">
        <v>3.878622823206542039004647600</v>
      </c>
      <c r="AA11" s="91">
        <v>5.2765893633239340814064061500</v>
      </c>
      <c r="AB11" s="421">
        <v>6.8940976291338897261490894300</v>
      </c>
    </row>
    <row r="12" ht="18" customHeight="1">
      <c r="A12" s="58"/>
      <c r="B12" s="286"/>
      <c r="C12" s="287" t="s">
        <v>187</v>
      </c>
      <c r="D12" s="276">
        <v>117.30756756756756756756756757</v>
      </c>
      <c r="E12" s="94">
        <v>143.89840510721321798308329761</v>
      </c>
      <c r="F12" s="277">
        <v>129.92593706903818624881873457</v>
      </c>
      <c r="G12" s="276">
        <v>125.98791540785498489425981873</v>
      </c>
      <c r="H12" s="94">
        <v>140.85718080987800786679398688</v>
      </c>
      <c r="I12" s="277">
        <v>130.12843251440014207701992076</v>
      </c>
      <c r="J12" s="276">
        <v>94.32432432432432432432432432</v>
      </c>
      <c r="K12" s="94">
        <v>131.35986361748184283614641294</v>
      </c>
      <c r="L12" s="277">
        <v>90.9865639691726140756969821</v>
      </c>
      <c r="M12" s="276">
        <v>117.82745454545454545454545455</v>
      </c>
      <c r="N12" s="94">
        <v>141.94785792230467044958533391</v>
      </c>
      <c r="O12" s="277">
        <v>129.81345628415300546448087432</v>
      </c>
      <c r="P12" s="5"/>
      <c r="Q12" s="271">
        <v>5.433640514372532254725774800</v>
      </c>
      <c r="R12" s="92">
        <v>4.450610956222960274871159100</v>
      </c>
      <c r="S12" s="272">
        <v>6.3507093432827457310073391900</v>
      </c>
      <c r="T12" s="271">
        <v>6.8711825324316362542434859200</v>
      </c>
      <c r="U12" s="92">
        <v>-2.960398397173770715938089800</v>
      </c>
      <c r="V12" s="272">
        <v>10.307280506030369823102026070</v>
      </c>
      <c r="W12" s="271">
        <v>0.1751328055298283709620894800</v>
      </c>
      <c r="X12" s="92">
        <v>18.667618541500930308189566480</v>
      </c>
      <c r="Y12" s="272">
        <v>1.0991017474879938266272598100</v>
      </c>
      <c r="Z12" s="271">
        <v>5.476468327719782638637544500</v>
      </c>
      <c r="AA12" s="92">
        <v>3.1749469759971631078091178900</v>
      </c>
      <c r="AB12" s="272">
        <v>7.4213032338823601633928926300</v>
      </c>
    </row>
    <row r="13" ht="18" customHeight="1">
      <c r="A13" s="58"/>
      <c r="B13" s="288"/>
      <c r="C13" s="289" t="s">
        <v>188</v>
      </c>
      <c r="D13" s="439">
        <v>117.7219873150105708245243129</v>
      </c>
      <c r="E13" s="95">
        <v>145.05831512432188627357686407</v>
      </c>
      <c r="F13" s="440">
        <v>132.95955997884306030214994335</v>
      </c>
      <c r="G13" s="439">
        <v>122.82191780821917808219178082</v>
      </c>
      <c r="H13" s="95">
        <v>140.33196699021595540128767116</v>
      </c>
      <c r="I13" s="440">
        <v>125.57223762114158079567135117</v>
      </c>
      <c r="J13" s="439">
        <v>97.10666666666666666666666667</v>
      </c>
      <c r="K13" s="95">
        <v>118.10311721651947248867499252</v>
      </c>
      <c r="L13" s="440">
        <v>93.41826497430761908767196558</v>
      </c>
      <c r="M13" s="439">
        <v>117.52575480329368709972552608</v>
      </c>
      <c r="N13" s="95">
        <v>141.20826207971498552660877309</v>
      </c>
      <c r="O13" s="440">
        <v>132.11236370758884850595225141</v>
      </c>
      <c r="P13" s="5"/>
      <c r="Q13" s="420">
        <v>11.198671416106790332251048320</v>
      </c>
      <c r="R13" s="91">
        <v>6.0518286693754465121533083400</v>
      </c>
      <c r="S13" s="421">
        <v>7.940266433852219977356771370</v>
      </c>
      <c r="T13" s="420">
        <v>1.2283667490167863635441550300</v>
      </c>
      <c r="U13" s="91">
        <v>-2.733380005821236349133507500</v>
      </c>
      <c r="V13" s="421">
        <v>4.4738534562063591251529134800</v>
      </c>
      <c r="W13" s="420">
        <v>4.5022075054928112619329626100</v>
      </c>
      <c r="X13" s="91">
        <v>8.591677193452035587631204120</v>
      </c>
      <c r="Y13" s="421">
        <v>1.9632719488100915529826838800</v>
      </c>
      <c r="Z13" s="420">
        <v>10.226214005229359300678140410</v>
      </c>
      <c r="AA13" s="91">
        <v>3.6189903803210685505260510300</v>
      </c>
      <c r="AB13" s="421">
        <v>8.174776967958106466911479970</v>
      </c>
    </row>
    <row r="14" ht="18" customHeight="1">
      <c r="A14" s="58"/>
      <c r="B14" s="286"/>
      <c r="C14" s="287" t="s">
        <v>189</v>
      </c>
      <c r="D14" s="276">
        <v>110.42511792452830188679245283</v>
      </c>
      <c r="E14" s="94">
        <v>140.0851875515677929549671116</v>
      </c>
      <c r="F14" s="277">
        <v>128.63066526594138771356119598</v>
      </c>
      <c r="G14" s="276">
        <v>105.54010695187165775401069519</v>
      </c>
      <c r="H14" s="94">
        <v>140.60707370458836751135783945</v>
      </c>
      <c r="I14" s="277">
        <v>118.83999071357564767446956605</v>
      </c>
      <c r="J14" s="276">
        <v>95</v>
      </c>
      <c r="K14" s="94">
        <v>119.1312181604136614662904344</v>
      </c>
      <c r="L14" s="277">
        <v>92.15846446816934400877201565</v>
      </c>
      <c r="M14" s="276">
        <v>109.39709314227226202661207779</v>
      </c>
      <c r="N14" s="94">
        <v>138.55117039773962182134318626</v>
      </c>
      <c r="O14" s="277">
        <v>127.45271568945038332793434834</v>
      </c>
      <c r="P14" s="5"/>
      <c r="Q14" s="271">
        <v>-0.5016310083238092794903051400</v>
      </c>
      <c r="R14" s="92">
        <v>-0.243898221893614351956625600</v>
      </c>
      <c r="S14" s="272">
        <v>1.6774251262870498028179979800</v>
      </c>
      <c r="T14" s="271">
        <v>-6.4862402282088546363710218200</v>
      </c>
      <c r="U14" s="92">
        <v>4.4114192326099246789701685100</v>
      </c>
      <c r="V14" s="272">
        <v>3.8256991527914535718046419700</v>
      </c>
      <c r="W14" s="271">
        <v>1.1602034329242746215236538900</v>
      </c>
      <c r="X14" s="92">
        <v>7.949529328592034035524846350</v>
      </c>
      <c r="Y14" s="272">
        <v>-0.6856619238249656577096836900</v>
      </c>
      <c r="Z14" s="271">
        <v>-1.3795264710813315756653270900</v>
      </c>
      <c r="AA14" s="92">
        <v>0.7626931534247070126745672500</v>
      </c>
      <c r="AB14" s="272">
        <v>2.9931422383351941752657794600</v>
      </c>
    </row>
    <row r="15" ht="18" customHeight="1">
      <c r="A15" s="58"/>
      <c r="B15" s="288"/>
      <c r="C15" s="289" t="s">
        <v>190</v>
      </c>
      <c r="D15" s="439">
        <v>109.86735870818915801614763552</v>
      </c>
      <c r="E15" s="95">
        <v>140.92258113821429124943517961</v>
      </c>
      <c r="F15" s="440">
        <v>125.91295617381523447740467271</v>
      </c>
      <c r="G15" s="439">
        <v>109.47586206896551724137931034</v>
      </c>
      <c r="H15" s="95">
        <v>134.17229760537150957395452608</v>
      </c>
      <c r="I15" s="440">
        <v>120.23082301235627084109896332</v>
      </c>
      <c r="J15" s="439">
        <v>97.42465753424657534246575342</v>
      </c>
      <c r="K15" s="95">
        <v>121.30495480960421236589556217</v>
      </c>
      <c r="L15" s="440">
        <v>94.17320424822663739434078787</v>
      </c>
      <c r="M15" s="439">
        <v>109.38009060562708631378159275</v>
      </c>
      <c r="N15" s="95">
        <v>137.82991548380106187019178675</v>
      </c>
      <c r="O15" s="440">
        <v>125.11385161361872019518686925</v>
      </c>
      <c r="P15" s="5"/>
      <c r="Q15" s="420">
        <v>0.866327681826929395457441500</v>
      </c>
      <c r="R15" s="91">
        <v>4.9370690491651770996200913700</v>
      </c>
      <c r="S15" s="421">
        <v>3.0000860492230348669406512500</v>
      </c>
      <c r="T15" s="420">
        <v>-0.2983568228588210075946628100</v>
      </c>
      <c r="U15" s="91">
        <v>1.4918483801382760961804075100</v>
      </c>
      <c r="V15" s="421">
        <v>5.7118119558266368989896061300</v>
      </c>
      <c r="W15" s="420">
        <v>2.7252820900955033134392170200</v>
      </c>
      <c r="X15" s="91">
        <v>11.430731230646605636930583410</v>
      </c>
      <c r="Y15" s="421">
        <v>0.3783521707847660732708977100</v>
      </c>
      <c r="Z15" s="420">
        <v>0.7102988985575264292281716200</v>
      </c>
      <c r="AA15" s="91">
        <v>4.3376094386158889208936714200</v>
      </c>
      <c r="AB15" s="421">
        <v>4.1094534793265940288027053900</v>
      </c>
    </row>
    <row r="16" ht="18" customHeight="1">
      <c r="A16" s="58"/>
      <c r="B16" s="286"/>
      <c r="C16" s="287" t="s">
        <v>191</v>
      </c>
      <c r="D16" s="276">
        <v>106.50871080139372822299651568</v>
      </c>
      <c r="E16" s="94">
        <v>135.52933859657684793654457654</v>
      </c>
      <c r="F16" s="277">
        <v>123.56957858536924407130671954</v>
      </c>
      <c r="G16" s="276">
        <v>107.67827868852459016393442623</v>
      </c>
      <c r="H16" s="94">
        <v>138.79383790697685015122482841</v>
      </c>
      <c r="I16" s="277">
        <v>121.25866294846445355380398999</v>
      </c>
      <c r="J16" s="276">
        <v>98.37931034482758620689655172</v>
      </c>
      <c r="K16" s="94">
        <v>118.73508149321872303950197988</v>
      </c>
      <c r="L16" s="277">
        <v>94.91963186200029498383132368</v>
      </c>
      <c r="M16" s="276">
        <v>106.55835941443715295305401312</v>
      </c>
      <c r="N16" s="94">
        <v>134.57845210580380071905495636</v>
      </c>
      <c r="O16" s="277">
        <v>123.2612169489898747540668938</v>
      </c>
      <c r="P16" s="5"/>
      <c r="Q16" s="271">
        <v>2.0265042617744654262535580400</v>
      </c>
      <c r="R16" s="92">
        <v>2.3905206348491866890389010300</v>
      </c>
      <c r="S16" s="272">
        <v>2.6890553792342396369654286900</v>
      </c>
      <c r="T16" s="271">
        <v>5.4951158739576314534119653400</v>
      </c>
      <c r="U16" s="92">
        <v>3.3469572529900996542974763400</v>
      </c>
      <c r="V16" s="272">
        <v>5.9599145796745753672301486600</v>
      </c>
      <c r="W16" s="271">
        <v>6.0920327237483659394670541100</v>
      </c>
      <c r="X16" s="92">
        <v>7.8801770357130431128231683900</v>
      </c>
      <c r="Y16" s="272">
        <v>3.5725590330711060748135337100</v>
      </c>
      <c r="Z16" s="271">
        <v>2.4680984472401921575587216500</v>
      </c>
      <c r="AA16" s="92">
        <v>2.6157705886378468229330834700</v>
      </c>
      <c r="AB16" s="272">
        <v>3.4644204847495866121546140900</v>
      </c>
    </row>
    <row r="17" ht="18" customHeight="1">
      <c r="A17" s="58"/>
      <c r="B17" s="288"/>
      <c r="C17" s="289" t="s">
        <v>192</v>
      </c>
      <c r="D17" s="439">
        <v>111.02461294164350932909884875</v>
      </c>
      <c r="E17" s="95">
        <v>141.76586926043836517695252346</v>
      </c>
      <c r="F17" s="440">
        <v>126.44804513391316363459223338</v>
      </c>
      <c r="G17" s="439">
        <v>131.87733333333333333333333333</v>
      </c>
      <c r="H17" s="95">
        <v>156.59083299772979734489815855</v>
      </c>
      <c r="I17" s="440">
        <v>125.0878781574714226311272843</v>
      </c>
      <c r="J17" s="439">
        <v>92.60465116279069767441860465</v>
      </c>
      <c r="K17" s="95">
        <v>124.271543134082716277149095</v>
      </c>
      <c r="L17" s="440">
        <v>89.3123580744803574285771963</v>
      </c>
      <c r="M17" s="439">
        <v>113.41747701736465781409601634</v>
      </c>
      <c r="N17" s="95">
        <v>143.80249740932642487046632123</v>
      </c>
      <c r="O17" s="440">
        <v>126.21182538220666789463989685</v>
      </c>
      <c r="P17" s="5"/>
      <c r="Q17" s="420">
        <v>2.5747436432663093534109712400</v>
      </c>
      <c r="R17" s="91">
        <v>5.3482215150712531406170483400</v>
      </c>
      <c r="S17" s="421">
        <v>5.1904861556802097849459375700</v>
      </c>
      <c r="T17" s="420">
        <v>8.562201552487286646445943460</v>
      </c>
      <c r="U17" s="91">
        <v>2.7250705069508010369702376400</v>
      </c>
      <c r="V17" s="421">
        <v>2.4321187471524192195733385900</v>
      </c>
      <c r="W17" s="420">
        <v>-0.5828278611293518685658154500</v>
      </c>
      <c r="X17" s="91">
        <v>11.191755004542377459800770260</v>
      </c>
      <c r="Y17" s="421">
        <v>-3.5638833155475192902511321400</v>
      </c>
      <c r="Z17" s="420">
        <v>3.0511771464398959703073851300</v>
      </c>
      <c r="AA17" s="91">
        <v>5.4704977749635496837495312600</v>
      </c>
      <c r="AB17" s="421">
        <v>5.3016260696120401847664599200</v>
      </c>
    </row>
    <row r="18" ht="18" customHeight="1">
      <c r="A18" s="58"/>
      <c r="B18" s="286"/>
      <c r="C18" s="287" t="s">
        <v>193</v>
      </c>
      <c r="D18" s="276">
        <v>114.73136363636363636363636364</v>
      </c>
      <c r="E18" s="94">
        <v>146.57119152200161151777501636</v>
      </c>
      <c r="F18" s="277">
        <v>132.95191922091151379398980794</v>
      </c>
      <c r="G18" s="276">
        <v>133.23529411764705882352941176</v>
      </c>
      <c r="H18" s="94">
        <v>159.10274514302494849987732205</v>
      </c>
      <c r="I18" s="277">
        <v>131.16200417493305851951162959</v>
      </c>
      <c r="J18" s="276">
        <v>94.68253968253968253968253968</v>
      </c>
      <c r="K18" s="94">
        <v>131.58375210007320172721258283</v>
      </c>
      <c r="L18" s="277">
        <v>90.44748072575430223708727944</v>
      </c>
      <c r="M18" s="276">
        <v>115.5049691738594327990135635</v>
      </c>
      <c r="N18" s="94">
        <v>148.3283264830037769384581204</v>
      </c>
      <c r="O18" s="277">
        <v>132.62477944657227697207040496</v>
      </c>
      <c r="P18" s="5"/>
      <c r="Q18" s="271">
        <v>-6.4467160263749704797187343500</v>
      </c>
      <c r="R18" s="92">
        <v>-2.6189696483851672248505433100</v>
      </c>
      <c r="S18" s="272">
        <v>0.1465296506659290790294574300</v>
      </c>
      <c r="T18" s="271">
        <v>21.238544584953621291304217800</v>
      </c>
      <c r="U18" s="92">
        <v>6.995162997285926827537361700</v>
      </c>
      <c r="V18" s="272">
        <v>-0.3390117084002604480875497100</v>
      </c>
      <c r="W18" s="271">
        <v>1.9860573370167503500410295500</v>
      </c>
      <c r="X18" s="92">
        <v>10.063944708750941702695166570</v>
      </c>
      <c r="Y18" s="272">
        <v>-0.732119582006254911566673700</v>
      </c>
      <c r="Z18" s="271">
        <v>-3.9553383285127001908727005800</v>
      </c>
      <c r="AA18" s="92">
        <v>1.0205278258138634103270525100</v>
      </c>
      <c r="AB18" s="272">
        <v>0.7027861737643878804031561400</v>
      </c>
    </row>
    <row r="19" ht="18" customHeight="1">
      <c r="A19" s="58"/>
      <c r="B19" s="288"/>
      <c r="C19" s="289" t="s">
        <v>194</v>
      </c>
      <c r="D19" s="439">
        <v>120.77573317998849913743530765</v>
      </c>
      <c r="E19" s="95">
        <v>138.03221724417133271302517538</v>
      </c>
      <c r="F19" s="440">
        <v>128.69588378364195038375423708</v>
      </c>
      <c r="G19" s="439">
        <v>133.13157894736842105263157895</v>
      </c>
      <c r="H19" s="95">
        <v>163.89479516642320846101230741</v>
      </c>
      <c r="I19" s="440">
        <v>140.7385933989046456148626465</v>
      </c>
      <c r="J19" s="439">
        <v>92.55714285714285714285714286</v>
      </c>
      <c r="K19" s="95">
        <v>128.85961242493843170999637312</v>
      </c>
      <c r="L19" s="440">
        <v>90.01713783050464064531688079</v>
      </c>
      <c r="M19" s="439">
        <v>119.96041147807255008121277748</v>
      </c>
      <c r="N19" s="95">
        <v>141.43044335578689528475199019</v>
      </c>
      <c r="O19" s="440">
        <v>129.33809876543209876543209877</v>
      </c>
      <c r="P19" s="5"/>
      <c r="Q19" s="420">
        <v>8.381399033895798763138512240</v>
      </c>
      <c r="R19" s="91">
        <v>-1.3839157587143271154749010200</v>
      </c>
      <c r="S19" s="421">
        <v>5.1444717776725158058448297200</v>
      </c>
      <c r="T19" s="420">
        <v>24.196775854199051670101290260</v>
      </c>
      <c r="U19" s="91">
        <v>14.482406358870853679754946980</v>
      </c>
      <c r="V19" s="421">
        <v>16.057126196740596559977358940</v>
      </c>
      <c r="W19" s="420">
        <v>0.6241280370170069693688226200</v>
      </c>
      <c r="X19" s="91">
        <v>7.7275226444896334445227825900</v>
      </c>
      <c r="Y19" s="421">
        <v>-2.3726217602266616898858956200</v>
      </c>
      <c r="Z19" s="420">
        <v>8.674807644302534639762149560</v>
      </c>
      <c r="AA19" s="91">
        <v>2.1412662890634182816844979400</v>
      </c>
      <c r="AB19" s="421">
        <v>6.3370804429546164173161859900</v>
      </c>
    </row>
    <row r="20" ht="18" customHeight="1">
      <c r="A20" s="58"/>
      <c r="B20" s="286"/>
      <c r="C20" s="287" t="s">
        <v>196</v>
      </c>
      <c r="D20" s="276">
        <v>111.44877222692633361558001693</v>
      </c>
      <c r="E20" s="94">
        <v>128.27841161819148437620819888</v>
      </c>
      <c r="F20" s="277">
        <v>120.37556178420626340779623011</v>
      </c>
      <c r="G20" s="276">
        <v>132.53939393939393939393939394</v>
      </c>
      <c r="H20" s="94">
        <v>144.91619485240237345910759644</v>
      </c>
      <c r="I20" s="277">
        <v>144.1016165147413282620160378</v>
      </c>
      <c r="J20" s="276">
        <v>92.62857142857142857142857143</v>
      </c>
      <c r="K20" s="94">
        <v>137.64536780117918056782413596</v>
      </c>
      <c r="L20" s="277">
        <v>90.55072424671270789992437733</v>
      </c>
      <c r="M20" s="276">
        <v>112.97590395480225988700564972</v>
      </c>
      <c r="N20" s="94">
        <v>130.7352521186440677966101695</v>
      </c>
      <c r="O20" s="277">
        <v>121.94267718202508865717461494</v>
      </c>
      <c r="P20" s="5"/>
      <c r="Q20" s="271">
        <v>2.7309280595371712229300438300</v>
      </c>
      <c r="R20" s="92">
        <v>-0.9511294942019233838749650800</v>
      </c>
      <c r="S20" s="272">
        <v>3.6230914353210075014820255100</v>
      </c>
      <c r="T20" s="271">
        <v>33.247950247949456456631983810</v>
      </c>
      <c r="U20" s="92">
        <v>14.486205488103955138451162270</v>
      </c>
      <c r="V20" s="272">
        <v>22.055839095918365184438387240</v>
      </c>
      <c r="W20" s="271">
        <v>-2.0149103364554757390870032400</v>
      </c>
      <c r="X20" s="92">
        <v>15.888759458169118357616015810</v>
      </c>
      <c r="Y20" s="272">
        <v>-0.9801355121825552933844583400</v>
      </c>
      <c r="Z20" s="271">
        <v>6.9165239108966313909585985800</v>
      </c>
      <c r="AA20" s="92">
        <v>2.3708200831142928700288273100</v>
      </c>
      <c r="AB20" s="272">
        <v>5.2341377781561400717476950700</v>
      </c>
    </row>
    <row r="21" ht="18" customHeight="1">
      <c r="A21" s="58"/>
      <c r="B21" s="288">
        <v>2025</v>
      </c>
      <c r="C21" s="289" t="s">
        <v>180</v>
      </c>
      <c r="D21" s="441">
        <v>107.83243243243243243243243243</v>
      </c>
      <c r="E21" s="154">
        <v>130.19042131521356011275170936</v>
      </c>
      <c r="F21" s="442">
        <v>121.47106276149193922884702977</v>
      </c>
      <c r="G21" s="441">
        <v>130.56470588235294117647058824</v>
      </c>
      <c r="H21" s="154">
        <v>151.49710134653648687395646475</v>
      </c>
      <c r="I21" s="442">
        <v>147.51541213958226836242899888</v>
      </c>
      <c r="J21" s="441">
        <v>92.390625</v>
      </c>
      <c r="K21" s="154">
        <v>142.03323202708040292995072767</v>
      </c>
      <c r="L21" s="442">
        <v>89.56074304448482545478935578</v>
      </c>
      <c r="M21" s="441">
        <v>109.71301504251144538914323087</v>
      </c>
      <c r="N21" s="154">
        <v>134.77290423317140874392782791</v>
      </c>
      <c r="O21" s="442">
        <v>123.58492955516859268640177299</v>
      </c>
      <c r="P21" s="5"/>
      <c r="Q21" s="420">
        <v>-3.3598349172728343853306934200</v>
      </c>
      <c r="R21" s="91">
        <v>-7.2567151474438119066959565100</v>
      </c>
      <c r="S21" s="421">
        <v>-0.3951861898773013530759742700</v>
      </c>
      <c r="T21" s="420">
        <v>24.678997352143233630966772470</v>
      </c>
      <c r="U21" s="91">
        <v>13.132305933366876671989186150</v>
      </c>
      <c r="V21" s="421">
        <v>18.963129218728025165914134410</v>
      </c>
      <c r="W21" s="420">
        <v>-1.5106088560966370964447645200</v>
      </c>
      <c r="X21" s="91">
        <v>21.798544035926526443867448130</v>
      </c>
      <c r="Y21" s="421">
        <v>-0.7075029964776095644023377600</v>
      </c>
      <c r="Z21" s="420">
        <v>-0.4817835894056870062383912400</v>
      </c>
      <c r="AA21" s="91">
        <v>-0.9262572963433338434696739800</v>
      </c>
      <c r="AB21" s="421">
        <v>1.7641851455423863723925596400</v>
      </c>
    </row>
    <row r="22" ht="18" customHeight="1">
      <c r="A22" s="58"/>
      <c r="B22" s="286"/>
      <c r="C22" s="287" t="s">
        <v>183</v>
      </c>
      <c r="D22" s="276">
        <v>117.3875</v>
      </c>
      <c r="E22" s="94">
        <v>139.24182669347771596031942681</v>
      </c>
      <c r="F22" s="277">
        <v>132.07942047134394245575697216</v>
      </c>
      <c r="G22" s="276">
        <v>120.98452611218568665377176015</v>
      </c>
      <c r="H22" s="94">
        <v>146.39832862979669968292912065</v>
      </c>
      <c r="I22" s="277">
        <v>131.6194433042050700445946524</v>
      </c>
      <c r="J22" s="276">
        <v>94.06578947368421052631578947</v>
      </c>
      <c r="K22" s="94">
        <v>141.60014163320820143681842581</v>
      </c>
      <c r="L22" s="277">
        <v>91.3600853099069842809921299</v>
      </c>
      <c r="M22" s="276">
        <v>117.42785225718194254445964432</v>
      </c>
      <c r="N22" s="94">
        <v>140.8465501385041551246537396</v>
      </c>
      <c r="O22" s="277">
        <v>131.88390204159877312374197259</v>
      </c>
      <c r="P22" s="5"/>
      <c r="Q22" s="271">
        <v>-0.6448719527876675067628595400</v>
      </c>
      <c r="R22" s="92">
        <v>-3.7245301900063343228819449500</v>
      </c>
      <c r="S22" s="272">
        <v>1.938949850060607487557983300</v>
      </c>
      <c r="T22" s="271">
        <v>1.9675736301607135725004299600</v>
      </c>
      <c r="U22" s="92">
        <v>2.2189912939120405826564336200</v>
      </c>
      <c r="V22" s="272">
        <v>6.0226058143108278503781780600</v>
      </c>
      <c r="W22" s="271">
        <v>0.7729743219815303721061004700</v>
      </c>
      <c r="X22" s="92">
        <v>16.159359142838979525208858610</v>
      </c>
      <c r="Y22" s="272">
        <v>0.0827287653594763625619180600</v>
      </c>
      <c r="Z22" s="271">
        <v>-0.1637646159289581345597669700</v>
      </c>
      <c r="AA22" s="92">
        <v>-1.076342454427574895274243500</v>
      </c>
      <c r="AB22" s="272">
        <v>2.5939786970344522131003786100</v>
      </c>
    </row>
    <row r="23" ht="18" customHeight="1">
      <c r="A23" s="58"/>
      <c r="B23" s="288"/>
      <c r="C23" s="289" t="s">
        <v>186</v>
      </c>
      <c r="D23" s="439">
        <v>113.94481236203090507726269316</v>
      </c>
      <c r="E23" s="95">
        <v>135.23423893814296805660699836</v>
      </c>
      <c r="F23" s="440">
        <v>128.36635248616698071481925352</v>
      </c>
      <c r="G23" s="439">
        <v>128.72222222222222222222222222</v>
      </c>
      <c r="H23" s="95">
        <v>128.13876628301586083681589806</v>
      </c>
      <c r="I23" s="440">
        <v>123.3329704903459724029205145</v>
      </c>
      <c r="J23" s="439">
        <v>96.39240506329113924050632911</v>
      </c>
      <c r="K23" s="95">
        <v>138.66904860495231353781157961</v>
      </c>
      <c r="L23" s="440">
        <v>92.65157133739633618945569191</v>
      </c>
      <c r="M23" s="439">
        <v>114.9407459831675592960979342</v>
      </c>
      <c r="N23" s="95">
        <v>133.82462907527349915637076145</v>
      </c>
      <c r="O23" s="440">
        <v>127.54082913236764299236381426</v>
      </c>
      <c r="P23" s="5"/>
      <c r="Q23" s="420">
        <v>-5.3203528732690806085784676800</v>
      </c>
      <c r="R23" s="91">
        <v>-6.740732552047147259369040700</v>
      </c>
      <c r="S23" s="421">
        <v>-0.3128679643012917018958191800</v>
      </c>
      <c r="T23" s="420">
        <v>35.564289439243529228889998450</v>
      </c>
      <c r="U23" s="91">
        <v>-2.93951905977034522160895900</v>
      </c>
      <c r="V23" s="421">
        <v>3.6003739412494062657135806600</v>
      </c>
      <c r="W23" s="420">
        <v>-1.3353173980266455300654737300</v>
      </c>
      <c r="X23" s="91">
        <v>5.1465370764320307213731981800</v>
      </c>
      <c r="Y23" s="421">
        <v>-0.7221251173539267638278481500</v>
      </c>
      <c r="Z23" s="420">
        <v>0.7529623150753060801343672300</v>
      </c>
      <c r="AA23" s="91">
        <v>-4.3878938334244499706619180400</v>
      </c>
      <c r="AB23" s="421">
        <v>0.0299487304394283398164138800</v>
      </c>
    </row>
    <row r="24" ht="18" customHeight="1">
      <c r="A24" s="59"/>
      <c r="B24" s="286"/>
      <c r="C24" s="287" t="s">
        <v>187</v>
      </c>
      <c r="D24" s="276">
        <v>109.56152512998266897746967071</v>
      </c>
      <c r="E24" s="94">
        <v>135.70607905430494768833894349</v>
      </c>
      <c r="F24" s="277">
        <v>130.32025360972796170124441562</v>
      </c>
      <c r="G24" s="276">
        <v>131.10377358490566037735849057</v>
      </c>
      <c r="H24" s="94">
        <v>150.66871455568694320950117245</v>
      </c>
      <c r="I24" s="277">
        <v>138.04729034162210616615372515</v>
      </c>
      <c r="J24" s="276">
        <v>99.05714285714285714285714286</v>
      </c>
      <c r="K24" s="94">
        <v>138.21603608066847171070871205</v>
      </c>
      <c r="L24" s="277">
        <v>94.56970769827787352780106021</v>
      </c>
      <c r="M24" s="276">
        <v>110.37336654431043523859465128</v>
      </c>
      <c r="N24" s="94">
        <v>138.94153855264716333056970272</v>
      </c>
      <c r="O24" s="277">
        <v>130.83379408748383644713960851</v>
      </c>
      <c r="P24" s="93"/>
      <c r="Q24" s="271">
        <v>-6.603190738869914835676962500</v>
      </c>
      <c r="R24" s="92">
        <v>-5.6931319334582025971683725900</v>
      </c>
      <c r="S24" s="272">
        <v>0.3034933205973733404995401500</v>
      </c>
      <c r="T24" s="271">
        <v>4.0605943518015168489454749200</v>
      </c>
      <c r="U24" s="92">
        <v>6.9655900319547995641395424600</v>
      </c>
      <c r="V24" s="272">
        <v>6.0854170562192902078169176100</v>
      </c>
      <c r="W24" s="271">
        <v>5.0176013098920020830230175900</v>
      </c>
      <c r="X24" s="92">
        <v>5.219381532804118976314155700</v>
      </c>
      <c r="Y24" s="272">
        <v>3.938102037011540467887780300</v>
      </c>
      <c r="Z24" s="271">
        <v>-6.3262743220096551817564348800</v>
      </c>
      <c r="AA24" s="92">
        <v>-2.1179040062009587226377464700</v>
      </c>
      <c r="AB24" s="272">
        <v>0.786003109762377491278663500</v>
      </c>
    </row>
    <row r="25" ht="18" customHeight="1">
      <c r="A25" s="60"/>
      <c r="B25" s="288"/>
      <c r="C25" s="289" t="s">
        <v>188</v>
      </c>
      <c r="D25" s="439">
        <v>109.71497351949927780452575831</v>
      </c>
      <c r="E25" s="95">
        <v>136.52176089879955852129412328</v>
      </c>
      <c r="F25" s="440">
        <v>129.82885552894528975604043194</v>
      </c>
      <c r="G25" s="439">
        <v>115.79824561403508771929824561</v>
      </c>
      <c r="H25" s="95">
        <v>135.08794378762719377766714606</v>
      </c>
      <c r="I25" s="440">
        <v>132.55773810175055864747261995</v>
      </c>
      <c r="J25" s="439">
        <v>99.35294117647058823529411765</v>
      </c>
      <c r="K25" s="95">
        <v>133.52837824404567530544382792</v>
      </c>
      <c r="L25" s="440">
        <v>93.6065557863050872551825178</v>
      </c>
      <c r="M25" s="439">
        <v>109.63275043936731107205623902</v>
      </c>
      <c r="N25" s="95">
        <v>136.04742655826558265582655827</v>
      </c>
      <c r="O25" s="440">
        <v>129.97679302959096674915261286</v>
      </c>
      <c r="P25" s="93"/>
      <c r="Q25" s="420">
        <v>-6.8016298213481465091373119500</v>
      </c>
      <c r="R25" s="91">
        <v>-5.8849120218896075247372717400</v>
      </c>
      <c r="S25" s="421">
        <v>-2.3546290694357679934259340800</v>
      </c>
      <c r="T25" s="420">
        <v>-5.7185820898295634244979442800</v>
      </c>
      <c r="U25" s="91">
        <v>-3.7368700197432702445250371400</v>
      </c>
      <c r="V25" s="421">
        <v>5.5629338243764636161338787300</v>
      </c>
      <c r="W25" s="420">
        <v>2.3132031886960907259006099300</v>
      </c>
      <c r="X25" s="91">
        <v>13.060841568871508538455434610</v>
      </c>
      <c r="Y25" s="421">
        <v>0.2015567427385718821328257100</v>
      </c>
      <c r="Z25" s="420">
        <v>-6.7159784484201088825050433900</v>
      </c>
      <c r="AA25" s="91">
        <v>-3.6547688112764723367150381600</v>
      </c>
      <c r="AB25" s="421">
        <v>-1.6164805609985318340129726400</v>
      </c>
    </row>
    <row r="26" ht="18" customHeight="1">
      <c r="A26" s="60"/>
      <c r="B26" s="290"/>
      <c r="C26" s="291" t="s">
        <v>189</v>
      </c>
      <c r="D26" s="443">
        <v>102.80391147709727225939269171</v>
      </c>
      <c r="E26" s="444">
        <v>136.88927545318230107479440339</v>
      </c>
      <c r="F26" s="445">
        <v>130.22691624279149224737609192</v>
      </c>
      <c r="G26" s="443">
        <v>115.27237354085603112840466926</v>
      </c>
      <c r="H26" s="444">
        <v>144.06853678655387256098285731</v>
      </c>
      <c r="I26" s="445">
        <v>125.16691776387953703894118186</v>
      </c>
      <c r="J26" s="443">
        <v>96.6</v>
      </c>
      <c r="K26" s="444">
        <v>122.99820861739319868583341077</v>
      </c>
      <c r="L26" s="445">
        <v>90.86885273794022823731966944</v>
      </c>
      <c r="M26" s="443">
        <v>103.99178947368421052631578947</v>
      </c>
      <c r="N26" s="444">
        <v>136.99934096391726120207360263</v>
      </c>
      <c r="O26" s="445">
        <v>129.41200064174554789026151131</v>
      </c>
      <c r="P26" s="184"/>
      <c r="Q26" s="273">
        <v>-6.9016964533499602535054825900</v>
      </c>
      <c r="R26" s="274">
        <v>-2.2814061602626568540732157500</v>
      </c>
      <c r="S26" s="275">
        <v>1.2409567917508536071943437300</v>
      </c>
      <c r="T26" s="273">
        <v>9.221391630189952813413422600</v>
      </c>
      <c r="U26" s="274">
        <v>2.4617986782272603556675849800</v>
      </c>
      <c r="V26" s="275">
        <v>5.3239040261515992287809598100</v>
      </c>
      <c r="W26" s="273">
        <v>1.6842105263157894736842105300</v>
      </c>
      <c r="X26" s="274">
        <v>3.2459925422626222524176363900</v>
      </c>
      <c r="Y26" s="275">
        <v>-1.3993415989529235170225305100</v>
      </c>
      <c r="Z26" s="273">
        <v>-4.9409938722821046016522355700</v>
      </c>
      <c r="AA26" s="274">
        <v>-1.1200406530874745558608498700</v>
      </c>
      <c r="AB26" s="275">
        <v>1.537264185895225008360108200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1037" t="s">
        <v>59</v>
      </c>
      <c r="C28" s="1037"/>
      <c r="D28" s="1037"/>
      <c r="E28" s="1037"/>
      <c r="F28" s="1037"/>
      <c r="G28" s="1037"/>
      <c r="H28" s="1037"/>
      <c r="I28" s="1037"/>
      <c r="J28" s="1037"/>
      <c r="K28" s="1037"/>
      <c r="L28" s="1037"/>
      <c r="M28" s="1037"/>
      <c r="N28" s="1037"/>
      <c r="O28" s="1037"/>
      <c r="P28" s="411"/>
      <c r="Q28" s="1038"/>
      <c r="R28" s="1038"/>
      <c r="S28" s="1038"/>
      <c r="T28" s="1038"/>
      <c r="U28" s="1038"/>
      <c r="V28" s="1038"/>
      <c r="W28" s="1038"/>
      <c r="X28" s="1038"/>
      <c r="Y28" s="1038"/>
      <c r="Z28" s="1038"/>
      <c r="AA28" s="1038"/>
      <c r="AB28" s="1038"/>
      <c r="AC28" s="9"/>
    </row>
    <row r="29" ht="18" customHeight="1">
      <c r="A29" s="58"/>
      <c r="B29" s="284">
        <v>2023</v>
      </c>
      <c r="C29" s="285"/>
      <c r="D29" s="454">
        <v>108.19104499487029166055987102</v>
      </c>
      <c r="E29" s="455">
        <v>137.1059004803967086231952392</v>
      </c>
      <c r="F29" s="456">
        <v>121.43945923888992926115274262</v>
      </c>
      <c r="G29" s="454">
        <v>116.03840544482255712202236266</v>
      </c>
      <c r="H29" s="455">
        <v>136.54895340612733316415648972</v>
      </c>
      <c r="I29" s="456">
        <v>119.93756447874338272702588348</v>
      </c>
      <c r="J29" s="454">
        <v>93.82474226804123711340206186</v>
      </c>
      <c r="K29" s="455">
        <v>106.45884863311004892638823757</v>
      </c>
      <c r="L29" s="456">
        <v>91.76213377807890217891392249</v>
      </c>
      <c r="M29" s="454">
        <v>108.84779939096389285936237648</v>
      </c>
      <c r="N29" s="455">
        <v>135.04855952599669300018372221</v>
      </c>
      <c r="O29" s="456">
        <v>120.51223259963223915378593406</v>
      </c>
      <c r="P29" s="5"/>
      <c r="Q29" s="427">
        <v>-6.327625440909633943271353900</v>
      </c>
      <c r="R29" s="428">
        <v>-0.0440819923291650958454140600</v>
      </c>
      <c r="S29" s="429">
        <v>0.6319056362237779196774914100</v>
      </c>
      <c r="T29" s="427">
        <v>-9.688645904718176286651000330</v>
      </c>
      <c r="U29" s="428">
        <v>2.6638964162222437354019294400</v>
      </c>
      <c r="V29" s="429">
        <v>2.1610926638881033669102443100</v>
      </c>
      <c r="W29" s="427">
        <v>0.7860793547176235152085697700</v>
      </c>
      <c r="X29" s="428">
        <v>12.761372352776860097885602430</v>
      </c>
      <c r="Y29" s="429">
        <v>-0.2159866397272450327695974900</v>
      </c>
      <c r="Z29" s="427">
        <v>-7.3253975759693579575550186700</v>
      </c>
      <c r="AA29" s="428">
        <v>2.1421191289519123556342631700</v>
      </c>
      <c r="AB29" s="429">
        <v>0.6252967467765630360485848600</v>
      </c>
    </row>
    <row r="30" ht="18" customHeight="1">
      <c r="A30" s="58"/>
      <c r="B30" s="286">
        <v>2024</v>
      </c>
      <c r="C30" s="287"/>
      <c r="D30" s="276">
        <v>116.03616209340359803743412684</v>
      </c>
      <c r="E30" s="94">
        <v>143.19114443490811517631685397</v>
      </c>
      <c r="F30" s="277">
        <v>128.85781750435688583533266153</v>
      </c>
      <c r="G30" s="276">
        <v>110.91805621724630776560266794</v>
      </c>
      <c r="H30" s="94">
        <v>138.14562493786003044122785471</v>
      </c>
      <c r="I30" s="277">
        <v>123.51918148427287351091908761</v>
      </c>
      <c r="J30" s="276">
        <v>95.49074074074074074074074074</v>
      </c>
      <c r="K30" s="94">
        <v>122.77258205393429458597188849</v>
      </c>
      <c r="L30" s="277">
        <v>91.26909984885915275421146658</v>
      </c>
      <c r="M30" s="276">
        <v>114.58695205732437024451503287</v>
      </c>
      <c r="N30" s="94">
        <v>140.10590663236315409979504942</v>
      </c>
      <c r="O30" s="277">
        <v>128.01561591365500771491265478</v>
      </c>
      <c r="P30" s="5"/>
      <c r="Q30" s="271">
        <v>7.2511704632055339987312342500</v>
      </c>
      <c r="R30" s="92">
        <v>4.4383530783039001152721493500</v>
      </c>
      <c r="S30" s="272">
        <v>6.108688487210099510891047200</v>
      </c>
      <c r="T30" s="271">
        <v>-4.4126332208084897997703169300</v>
      </c>
      <c r="U30" s="92">
        <v>1.1693033830962361186863438100</v>
      </c>
      <c r="V30" s="272">
        <v>2.9862345639084087563171909100</v>
      </c>
      <c r="W30" s="271">
        <v>1.7756493995816160622770587500</v>
      </c>
      <c r="X30" s="92">
        <v>15.323980702682573417747781920</v>
      </c>
      <c r="Y30" s="272">
        <v>-0.5372956239586867447446888100</v>
      </c>
      <c r="Z30" s="271">
        <v>5.2726400519208915207411286500</v>
      </c>
      <c r="AA30" s="92">
        <v>3.7448360235115997173461398500</v>
      </c>
      <c r="AB30" s="272">
        <v>6.2262420604096522921394233500</v>
      </c>
    </row>
    <row r="31" ht="18" customHeight="1">
      <c r="A31" s="58"/>
      <c r="B31" s="425">
        <v>2025</v>
      </c>
      <c r="C31" s="426"/>
      <c r="D31" s="457">
        <v>110.23966639171478324626523692</v>
      </c>
      <c r="E31" s="458">
        <v>135.82529810847340863037027188</v>
      </c>
      <c r="F31" s="459">
        <v>128.8725413742073096282850978</v>
      </c>
      <c r="G31" s="457">
        <v>122.88912133891213389121338912</v>
      </c>
      <c r="H31" s="458">
        <v>141.93071902369041510736762892</v>
      </c>
      <c r="I31" s="459">
        <v>130.99940718101284900035062636</v>
      </c>
      <c r="J31" s="457">
        <v>96.44052863436123348017621145</v>
      </c>
      <c r="K31" s="458">
        <v>134.79286220530872678564126413</v>
      </c>
      <c r="L31" s="459">
        <v>92.16093609373208419146480925</v>
      </c>
      <c r="M31" s="457">
        <v>111.16751464958199859364012814</v>
      </c>
      <c r="N31" s="458">
        <v>136.94504306591451179343505092</v>
      </c>
      <c r="O31" s="459">
        <v>128.98619059282846051645178769</v>
      </c>
      <c r="P31" s="93"/>
      <c r="Q31" s="430">
        <v>-4.9954217694820799235315111800</v>
      </c>
      <c r="R31" s="431">
        <v>-5.1440655464384377766888727600</v>
      </c>
      <c r="S31" s="432">
        <v>0.0114264466777942010629466500</v>
      </c>
      <c r="T31" s="430">
        <v>10.792710880427228060078378740</v>
      </c>
      <c r="U31" s="431">
        <v>2.7399304809630503579434261400</v>
      </c>
      <c r="V31" s="432">
        <v>6.0559223327298592944361554600</v>
      </c>
      <c r="W31" s="430">
        <v>0.9946387328173856294315407900</v>
      </c>
      <c r="X31" s="431">
        <v>9.790687749917604639475347380</v>
      </c>
      <c r="Y31" s="432">
        <v>0.9771502582019086762199838300</v>
      </c>
      <c r="Z31" s="430">
        <v>-2.9841420391460347229841613800</v>
      </c>
      <c r="AA31" s="431">
        <v>-2.2560530404893914882574880900</v>
      </c>
      <c r="AB31" s="432">
        <v>0.7581689719657016994381281200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1039" t="s">
        <v>44</v>
      </c>
      <c r="C33" s="1039"/>
      <c r="D33" s="1039"/>
      <c r="E33" s="1039"/>
      <c r="F33" s="1039"/>
      <c r="G33" s="1039"/>
      <c r="H33" s="1039"/>
      <c r="I33" s="1039"/>
      <c r="J33" s="1039"/>
      <c r="K33" s="1039"/>
      <c r="L33" s="1039"/>
      <c r="M33" s="1039"/>
      <c r="N33" s="1039"/>
      <c r="O33" s="1039"/>
      <c r="P33" s="411"/>
      <c r="Q33" s="1038"/>
      <c r="R33" s="1038"/>
      <c r="S33" s="1038"/>
      <c r="T33" s="1038"/>
      <c r="U33" s="1038"/>
      <c r="V33" s="1038"/>
      <c r="W33" s="1038"/>
      <c r="X33" s="1038"/>
      <c r="Y33" s="1038"/>
      <c r="Z33" s="1038"/>
      <c r="AA33" s="1038"/>
      <c r="AB33" s="1038"/>
      <c r="AC33" s="9"/>
    </row>
    <row r="34" ht="18" customHeight="1">
      <c r="A34" s="58"/>
      <c r="B34" s="284">
        <v>2023</v>
      </c>
      <c r="C34" s="285"/>
      <c r="D34" s="454">
        <v>109.42086956521739130434782609</v>
      </c>
      <c r="E34" s="455">
        <v>138.47041549967445176656925807</v>
      </c>
      <c r="F34" s="456">
        <v>124.02292823880618862000303548</v>
      </c>
      <c r="G34" s="454">
        <v>116.05243088655862726406101049</v>
      </c>
      <c r="H34" s="455">
        <v>140.08065864314372413609367426</v>
      </c>
      <c r="I34" s="456">
        <v>117.11581404295858192698360249</v>
      </c>
      <c r="J34" s="454">
        <v>93.67661691542288557213930348</v>
      </c>
      <c r="K34" s="455">
        <v>109.91016749804622091132997597</v>
      </c>
      <c r="L34" s="456">
        <v>91.602422490181007129666111</v>
      </c>
      <c r="M34" s="454">
        <v>109.85559656160458452722063037</v>
      </c>
      <c r="N34" s="455">
        <v>137.14902179448903250733215082</v>
      </c>
      <c r="O34" s="456">
        <v>122.3069143681076606766174468</v>
      </c>
      <c r="P34" s="5"/>
      <c r="Q34" s="427">
        <v>-7.1797834628353589584973768900</v>
      </c>
      <c r="R34" s="428">
        <v>-0.9789382820752914483837817100</v>
      </c>
      <c r="S34" s="429">
        <v>-0.2834822066364170509153806900</v>
      </c>
      <c r="T34" s="427">
        <v>-13.811508528534165228834392730</v>
      </c>
      <c r="U34" s="428">
        <v>3.0438428206371969469325656500</v>
      </c>
      <c r="V34" s="429">
        <v>-0.7103598387690853914754993100</v>
      </c>
      <c r="W34" s="427">
        <v>0.4136738717184940544176442100</v>
      </c>
      <c r="X34" s="428">
        <v>17.269259208447339456919852070</v>
      </c>
      <c r="Y34" s="429">
        <v>-0.273308848285290213920475200</v>
      </c>
      <c r="Z34" s="427">
        <v>-8.929558673969736655363250160</v>
      </c>
      <c r="AA34" s="428">
        <v>1.7070047914846892247476089200</v>
      </c>
      <c r="AB34" s="429">
        <v>-0.2155222465981955598743091300</v>
      </c>
    </row>
    <row r="35" ht="18" customHeight="1">
      <c r="A35" s="58"/>
      <c r="B35" s="286">
        <v>2024</v>
      </c>
      <c r="C35" s="287"/>
      <c r="D35" s="276">
        <v>115.3052592865023905847738139</v>
      </c>
      <c r="E35" s="94">
        <v>142.91343561518094715217497325</v>
      </c>
      <c r="F35" s="277">
        <v>130.52040544034439095573066724</v>
      </c>
      <c r="G35" s="276">
        <v>119.85888738127544097693351425</v>
      </c>
      <c r="H35" s="94">
        <v>140.64275188021802259853569017</v>
      </c>
      <c r="I35" s="277">
        <v>124.75610109088350871384485119</v>
      </c>
      <c r="J35" s="276">
        <v>95.49090909090909090909090909</v>
      </c>
      <c r="K35" s="94">
        <v>122.65049501448030137575038658</v>
      </c>
      <c r="L35" s="277">
        <v>92.19940282492114957496098467</v>
      </c>
      <c r="M35" s="276">
        <v>115.14841751368256450351837373</v>
      </c>
      <c r="N35" s="94">
        <v>140.5620392716103554190434401</v>
      </c>
      <c r="O35" s="277">
        <v>129.78642031518498391763479078</v>
      </c>
      <c r="P35" s="5"/>
      <c r="Q35" s="271">
        <v>5.3777581412804367055947852500</v>
      </c>
      <c r="R35" s="92">
        <v>3.2086421489004437042522448300</v>
      </c>
      <c r="S35" s="272">
        <v>5.2389322634229541094826053700</v>
      </c>
      <c r="T35" s="271">
        <v>3.2799455087631031045535557700</v>
      </c>
      <c r="U35" s="92">
        <v>0.4012639878786790767986719700</v>
      </c>
      <c r="V35" s="272">
        <v>6.523702294447030635190417600</v>
      </c>
      <c r="W35" s="271">
        <v>1.9367609924978297505599215400</v>
      </c>
      <c r="X35" s="92">
        <v>11.591582295343270240814847260</v>
      </c>
      <c r="Y35" s="272">
        <v>0.6517080209150767393849897300</v>
      </c>
      <c r="Z35" s="271">
        <v>4.8179802556665273453117091600</v>
      </c>
      <c r="AA35" s="92">
        <v>2.4885467154292350106955323700</v>
      </c>
      <c r="AB35" s="272">
        <v>6.1153582246170893436321064500</v>
      </c>
    </row>
    <row r="36" ht="18" customHeight="1">
      <c r="A36" s="58"/>
      <c r="B36" s="425">
        <v>2025</v>
      </c>
      <c r="C36" s="426"/>
      <c r="D36" s="457">
        <v>107.3338549817423056859676578</v>
      </c>
      <c r="E36" s="458">
        <v>136.40246966477878965288128541</v>
      </c>
      <c r="F36" s="459">
        <v>130.12248948860894991583552617</v>
      </c>
      <c r="G36" s="457">
        <v>118.9161425576519916142557652</v>
      </c>
      <c r="H36" s="458">
        <v>143.44765203776976582683876431</v>
      </c>
      <c r="I36" s="459">
        <v>130.61218408834851914788028744</v>
      </c>
      <c r="J36" s="457">
        <v>98.32765957446808510638297872</v>
      </c>
      <c r="K36" s="458">
        <v>130.29989230962698791667370428</v>
      </c>
      <c r="L36" s="459">
        <v>92.94566865510999046466270662</v>
      </c>
      <c r="M36" s="457">
        <v>107.86127649698282531332198669</v>
      </c>
      <c r="N36" s="458">
        <v>137.27722140133895182327295282</v>
      </c>
      <c r="O36" s="459">
        <v>130.04875811409804841499366278</v>
      </c>
      <c r="P36" s="93"/>
      <c r="Q36" s="430">
        <v>-6.9133050427050125846232921100</v>
      </c>
      <c r="R36" s="431">
        <v>-4.5558809235768707856429351900</v>
      </c>
      <c r="S36" s="432">
        <v>-0.3048687677215780167755117100</v>
      </c>
      <c r="T36" s="430">
        <v>-0.7865456156362522816711996100</v>
      </c>
      <c r="U36" s="431">
        <v>1.9943439104199197065781449700</v>
      </c>
      <c r="V36" s="432">
        <v>4.6940253392350327736802568500</v>
      </c>
      <c r="W36" s="430">
        <v>2.9707021438739439139715003700</v>
      </c>
      <c r="X36" s="431">
        <v>6.2367439236365577226136783300</v>
      </c>
      <c r="Y36" s="432">
        <v>0.8094041906402118487401893100</v>
      </c>
      <c r="Z36" s="430">
        <v>-6.3284769118517615318111705500</v>
      </c>
      <c r="AA36" s="431">
        <v>-2.3369167716142636668942366900</v>
      </c>
      <c r="AB36" s="432">
        <v>0.2021303910385488885818382900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9" t="s">
        <v>45</v>
      </c>
      <c r="C38" s="1039"/>
      <c r="D38" s="1039"/>
      <c r="E38" s="1039"/>
      <c r="F38" s="1039"/>
      <c r="G38" s="1039"/>
      <c r="H38" s="1039"/>
      <c r="I38" s="1039"/>
      <c r="J38" s="1039"/>
      <c r="K38" s="1039"/>
      <c r="L38" s="1039"/>
      <c r="M38" s="1039"/>
      <c r="N38" s="1039"/>
      <c r="O38" s="1039"/>
      <c r="P38" s="411"/>
      <c r="Q38" s="1038"/>
      <c r="R38" s="1038"/>
      <c r="S38" s="1038"/>
      <c r="T38" s="1038"/>
      <c r="U38" s="1038"/>
      <c r="V38" s="1038"/>
      <c r="W38" s="1038"/>
      <c r="X38" s="1038"/>
      <c r="Y38" s="1038"/>
      <c r="Z38" s="1038"/>
      <c r="AA38" s="1038"/>
      <c r="AB38" s="1038"/>
      <c r="AC38" s="9"/>
    </row>
    <row r="39" ht="18" customHeight="1">
      <c r="A39" s="58"/>
      <c r="B39" s="284">
        <v>2023</v>
      </c>
      <c r="C39" s="285"/>
      <c r="D39" s="454">
        <v>110.60775231594344222330570453</v>
      </c>
      <c r="E39" s="455">
        <v>136.92318869667589101645846459</v>
      </c>
      <c r="F39" s="456">
        <v>122.09864025617388059086288125</v>
      </c>
      <c r="G39" s="454">
        <v>118.41085073866530820173204279</v>
      </c>
      <c r="H39" s="455">
        <v>138.74403343057946993226651081</v>
      </c>
      <c r="I39" s="456">
        <v>119.27729846406990336319847817</v>
      </c>
      <c r="J39" s="454">
        <v>93.58878504672897196261682243</v>
      </c>
      <c r="K39" s="455">
        <v>101.88465557808568357734010171</v>
      </c>
      <c r="L39" s="456">
        <v>90.58304076430624560247730338</v>
      </c>
      <c r="M39" s="454">
        <v>111.21860108580598900536074026</v>
      </c>
      <c r="N39" s="455">
        <v>134.87620103360165991047242128</v>
      </c>
      <c r="O39" s="456">
        <v>120.92477191776541898394051115</v>
      </c>
      <c r="P39" s="5"/>
      <c r="Q39" s="427">
        <v>-10.684361401532559741713831450</v>
      </c>
      <c r="R39" s="428">
        <v>0.2801669506316080484090964100</v>
      </c>
      <c r="S39" s="429">
        <v>1.9279477740760478652910802300</v>
      </c>
      <c r="T39" s="427">
        <v>1.796676863185937157463882800</v>
      </c>
      <c r="U39" s="428">
        <v>7.4530480009624165428561738900</v>
      </c>
      <c r="V39" s="429">
        <v>7.6061795826504391958926441600</v>
      </c>
      <c r="W39" s="427">
        <v>1.0765347402896275732426369800</v>
      </c>
      <c r="X39" s="428">
        <v>13.782813532266286916097018930</v>
      </c>
      <c r="Y39" s="429">
        <v>-1.6592514057656099237855963900</v>
      </c>
      <c r="Z39" s="427">
        <v>-8.457586311126949215084316030</v>
      </c>
      <c r="AA39" s="428">
        <v>3.1118044940753544585612167200</v>
      </c>
      <c r="AB39" s="429">
        <v>2.0392533487918613062203654100</v>
      </c>
    </row>
    <row r="40" ht="18" customHeight="1">
      <c r="A40" s="58"/>
      <c r="B40" s="286">
        <v>2024</v>
      </c>
      <c r="C40" s="287"/>
      <c r="D40" s="276">
        <v>113.17007693566868554591586184</v>
      </c>
      <c r="E40" s="94">
        <v>140.24094181915387504106995128</v>
      </c>
      <c r="F40" s="277">
        <v>125.75293192596198103751453361</v>
      </c>
      <c r="G40" s="276">
        <v>109.6888679689338667921863968</v>
      </c>
      <c r="H40" s="94">
        <v>138.95165745618675260213700081</v>
      </c>
      <c r="I40" s="277">
        <v>121.94396428386987677145981476</v>
      </c>
      <c r="J40" s="276">
        <v>94.51231527093596059113300493</v>
      </c>
      <c r="K40" s="94">
        <v>119.39018231620060242632517936</v>
      </c>
      <c r="L40" s="277">
        <v>92.09383632768701666141018139</v>
      </c>
      <c r="M40" s="276">
        <v>112.15498999898294741838153033</v>
      </c>
      <c r="N40" s="94">
        <v>138.02704873379768425541735096</v>
      </c>
      <c r="O40" s="277">
        <v>124.7945758588768733051964673</v>
      </c>
      <c r="P40" s="5"/>
      <c r="Q40" s="271">
        <v>2.3165868269798917525115091300</v>
      </c>
      <c r="R40" s="92">
        <v>2.4230761451247421568842471500</v>
      </c>
      <c r="S40" s="272">
        <v>2.9929012002870532893561329500</v>
      </c>
      <c r="T40" s="271">
        <v>-7.3658644586661547076528192900</v>
      </c>
      <c r="U40" s="92">
        <v>0.1496453724553182249966746600</v>
      </c>
      <c r="V40" s="272">
        <v>2.2356859638068412762269852900</v>
      </c>
      <c r="W40" s="271">
        <v>0.9867958257766963643082744700</v>
      </c>
      <c r="X40" s="92">
        <v>17.181710669553852879645473460</v>
      </c>
      <c r="Y40" s="272">
        <v>1.6678569748151373622458315900</v>
      </c>
      <c r="Z40" s="271">
        <v>0.8419355252100021809763174900</v>
      </c>
      <c r="AA40" s="92">
        <v>2.3361035349837244212289309300</v>
      </c>
      <c r="AB40" s="272">
        <v>3.2001746868767442437759163800</v>
      </c>
    </row>
    <row r="41" ht="18" customHeight="1">
      <c r="A41" s="58"/>
      <c r="B41" s="425">
        <v>2025</v>
      </c>
      <c r="C41" s="426"/>
      <c r="D41" s="457">
        <v>111.41880381233021778166582255</v>
      </c>
      <c r="E41" s="458">
        <v>137.12913731506570153821558418</v>
      </c>
      <c r="F41" s="459">
        <v>127.70507815712366062993020805</v>
      </c>
      <c r="G41" s="457">
        <v>121.46959459459459459459459459</v>
      </c>
      <c r="H41" s="458">
        <v>145.83010866157575110763643808</v>
      </c>
      <c r="I41" s="459">
        <v>129.76773076549677527748777599</v>
      </c>
      <c r="J41" s="457">
        <v>95.68231046931407942238267148</v>
      </c>
      <c r="K41" s="458">
        <v>130.10967993446809749074540787</v>
      </c>
      <c r="L41" s="459">
        <v>91.95445042763881765263418835</v>
      </c>
      <c r="M41" s="457">
        <v>112.07238965111720893767150137</v>
      </c>
      <c r="N41" s="458">
        <v>138.29859689617915725370788724</v>
      </c>
      <c r="O41" s="459">
        <v>127.8106191922716810733606784</v>
      </c>
      <c r="P41" s="93"/>
      <c r="Q41" s="430">
        <v>-1.5474701182405358833173207300</v>
      </c>
      <c r="R41" s="431">
        <v>-2.2188987493723961157147019100</v>
      </c>
      <c r="S41" s="432">
        <v>1.5523663752606672802055238300</v>
      </c>
      <c r="T41" s="430">
        <v>10.740129644728191482571469460</v>
      </c>
      <c r="U41" s="431">
        <v>4.9502476841947420406364962500</v>
      </c>
      <c r="V41" s="432">
        <v>6.4158702134548617277107898100</v>
      </c>
      <c r="W41" s="430">
        <v>1.2379288297620582276047896400</v>
      </c>
      <c r="X41" s="431">
        <v>8.978541962418608094238242370</v>
      </c>
      <c r="Y41" s="432">
        <v>-0.1513520400705229740399866300</v>
      </c>
      <c r="Z41" s="430">
        <v>-0.0736483930706315842560415200</v>
      </c>
      <c r="AA41" s="431">
        <v>0.1967354695113905344359052700</v>
      </c>
      <c r="AB41" s="432">
        <v>2.4168064297776811596178559200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22">
    <mergeCell ref="B43:AB43"/>
    <mergeCell ref="Q38:AB38"/>
    <mergeCell ref="B28:O28"/>
    <mergeCell ref="B33:O33"/>
    <mergeCell ref="B38:O38"/>
    <mergeCell ref="Q33:AB33"/>
    <mergeCell ref="Q28:AB28"/>
    <mergeCell ref="D7:F7"/>
    <mergeCell ref="Z7:AB7"/>
    <mergeCell ref="T7:V7"/>
    <mergeCell ref="B8:C8"/>
    <mergeCell ref="Q7:S7"/>
    <mergeCell ref="J7:L7"/>
    <mergeCell ref="M7:O7"/>
    <mergeCell ref="W7:Y7"/>
    <mergeCell ref="G7:I7"/>
    <mergeCell ref="B2:AB2"/>
    <mergeCell ref="Q6:AB6"/>
    <mergeCell ref="D6:O6"/>
    <mergeCell ref="B3:Q3"/>
    <mergeCell ref="R3:AB3"/>
    <mergeCell ref="B4:AB4"/>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3"/>
</worksheet>
</file>

<file path=xl/worksheets/sheet4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pageSetUpPr fitToPage="1"/>
  </sheetPr>
  <dimension ref="A1:AD8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145</v>
      </c>
      <c r="Z1" s="5"/>
      <c r="AB1" s="685"/>
      <c r="AD1" s="236"/>
    </row>
    <row r="2" ht="15" customHeight="1">
      <c r="A2" s="11"/>
      <c r="B2" s="999" t="s">
        <v>170</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171</v>
      </c>
      <c r="C3" s="999"/>
      <c r="D3" s="999"/>
      <c r="E3" s="999"/>
      <c r="F3" s="999"/>
      <c r="G3" s="999"/>
      <c r="H3" s="999"/>
      <c r="I3" s="999"/>
      <c r="J3" s="999"/>
      <c r="K3" s="999"/>
      <c r="L3" s="999"/>
      <c r="M3" s="999"/>
      <c r="N3" s="999"/>
      <c r="O3" s="999"/>
      <c r="P3" s="999"/>
      <c r="Q3" s="999"/>
      <c r="R3" s="1035" t="s">
        <v>265</v>
      </c>
      <c r="S3" s="1035"/>
      <c r="T3" s="1035"/>
      <c r="U3" s="1035"/>
      <c r="V3" s="1035"/>
      <c r="W3" s="1035"/>
      <c r="X3" s="1035"/>
      <c r="Y3" s="1035"/>
      <c r="Z3" s="1035"/>
      <c r="AA3" s="1035"/>
      <c r="AB3" s="1035"/>
    </row>
    <row r="4" ht="19.5" customHeight="1">
      <c r="A4" s="4"/>
      <c r="B4" s="999" t="s">
        <v>172</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ustomHeight="1">
      <c r="D6" s="960" t="s">
        <v>10</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2024</v>
      </c>
      <c r="C9" s="285" t="s">
        <v>180</v>
      </c>
      <c r="D9" s="434">
        <v>35.548907388137356919875130073</v>
      </c>
      <c r="E9" s="435">
        <v>43.02948322257372878869426918</v>
      </c>
      <c r="F9" s="436">
        <v>57.796110837019554867259271323</v>
      </c>
      <c r="G9" s="434">
        <v>5.266909469302809573361082206</v>
      </c>
      <c r="H9" s="435">
        <v>14.78922557377452151693496867</v>
      </c>
      <c r="I9" s="436">
        <v>6.0912847704364586884571783047</v>
      </c>
      <c r="J9" s="434">
        <v>0.8459937565036420395421436004</v>
      </c>
      <c r="K9" s="435">
        <v>6.5894397808512982002817702863</v>
      </c>
      <c r="L9" s="436">
        <v>1.0613572270111066256894460634</v>
      </c>
      <c r="M9" s="434">
        <v>41.66181234824835241068331599</v>
      </c>
      <c r="N9" s="435">
        <v>64.408148577199548505911008139</v>
      </c>
      <c r="O9" s="436">
        <v>64.948752834467120181405895692</v>
      </c>
      <c r="P9" s="5"/>
      <c r="Q9" s="415">
        <v>30.609735116431266611238366160</v>
      </c>
      <c r="R9" s="416">
        <v>4.2673525447337438287073601200</v>
      </c>
      <c r="S9" s="417">
        <v>4.6078769635877580077467624900</v>
      </c>
      <c r="T9" s="415">
        <v>198.84865183827739004433300233</v>
      </c>
      <c r="U9" s="416">
        <v>20.682962148239379087495291630</v>
      </c>
      <c r="V9" s="417">
        <v>36.497477441766883822427767530</v>
      </c>
      <c r="W9" s="415">
        <v>-26.447527141144986802300792370</v>
      </c>
      <c r="X9" s="416">
        <v>137.24471287945099495066504706</v>
      </c>
      <c r="Y9" s="417">
        <v>-29.610410324618269834117277150</v>
      </c>
      <c r="Z9" s="415">
        <v>38.272161566184566472604468240</v>
      </c>
      <c r="AA9" s="416">
        <v>14.400647926413381910564419920</v>
      </c>
      <c r="AB9" s="417">
        <v>6.0896300054026404177337443600</v>
      </c>
    </row>
    <row r="10" ht="18" customHeight="1">
      <c r="A10" s="58"/>
      <c r="B10" s="286"/>
      <c r="C10" s="287" t="s">
        <v>183</v>
      </c>
      <c r="D10" s="276">
        <v>39.14219503151649981460882462</v>
      </c>
      <c r="E10" s="94">
        <v>58.348697412574895526859975536</v>
      </c>
      <c r="F10" s="277">
        <v>74.746280480760726871581316016</v>
      </c>
      <c r="G10" s="276">
        <v>11.438264738598442714126807564</v>
      </c>
      <c r="H10" s="94">
        <v>23.466808606635168762134149036</v>
      </c>
      <c r="I10" s="277">
        <v>9.953589431761906087600994874</v>
      </c>
      <c r="J10" s="276">
        <v>1.0556173526140155728587319244</v>
      </c>
      <c r="K10" s="94">
        <v>6.2231473750872307435137680847</v>
      </c>
      <c r="L10" s="277">
        <v>0.5728706122587081486894092253</v>
      </c>
      <c r="M10" s="276">
        <v>51.636129032258064516129032258</v>
      </c>
      <c r="N10" s="94">
        <v>88.03865339429729503250789266</v>
      </c>
      <c r="O10" s="277">
        <v>85.27274052478134110787172012</v>
      </c>
      <c r="P10" s="5"/>
      <c r="Q10" s="271">
        <v>-7.941477197164404342633280010</v>
      </c>
      <c r="R10" s="92">
        <v>8.662986064026119867836604430</v>
      </c>
      <c r="S10" s="272">
        <v>11.474224460596997661971027090</v>
      </c>
      <c r="T10" s="271">
        <v>-26.617454533672514453876025070</v>
      </c>
      <c r="U10" s="92">
        <v>17.716780181528548344085328620</v>
      </c>
      <c r="V10" s="272">
        <v>3.6185759795518684304411519100</v>
      </c>
      <c r="W10" s="271">
        <v>3.9843989500723590141011749300</v>
      </c>
      <c r="X10" s="92">
        <v>52.183494049774618461525710210</v>
      </c>
      <c r="Y10" s="272">
        <v>-61.121575169358053756716110900</v>
      </c>
      <c r="Z10" s="271">
        <v>-12.660417138870887119715226190</v>
      </c>
      <c r="AA10" s="92">
        <v>13.275024239765803880900337970</v>
      </c>
      <c r="AB10" s="272">
        <v>9.139321747926963232500404160</v>
      </c>
    </row>
    <row r="11" ht="18" customHeight="1">
      <c r="A11" s="58"/>
      <c r="B11" s="288"/>
      <c r="C11" s="289" t="s">
        <v>186</v>
      </c>
      <c r="D11" s="439">
        <v>40.575095386749913284772806105</v>
      </c>
      <c r="E11" s="95">
        <v>52.233526959676787233555314834</v>
      </c>
      <c r="F11" s="440">
        <v>73.548654967016269518218810478</v>
      </c>
      <c r="G11" s="439">
        <v>9.090183836281651057925771766</v>
      </c>
      <c r="H11" s="95">
        <v>24.181088312055223869325063506</v>
      </c>
      <c r="I11" s="440">
        <v>8.717469743490652657173907588</v>
      </c>
      <c r="J11" s="439">
        <v>1.6774193548387096774193548387</v>
      </c>
      <c r="K11" s="95">
        <v>5.8871384263610204422987341193</v>
      </c>
      <c r="L11" s="440">
        <v>0.2846323665174359549561956928</v>
      </c>
      <c r="M11" s="439">
        <v>51.342724592438432188692334374</v>
      </c>
      <c r="N11" s="95">
        <v>82.30175369809303154517911246</v>
      </c>
      <c r="O11" s="440">
        <v>82.55075707702435813034891376</v>
      </c>
      <c r="P11" s="5"/>
      <c r="Q11" s="420">
        <v>-16.467853712740364620619475130</v>
      </c>
      <c r="R11" s="91">
        <v>-8.583517988489229611299891610</v>
      </c>
      <c r="S11" s="421">
        <v>-1.8542267182291283199232560500</v>
      </c>
      <c r="T11" s="420">
        <v>104.64625956491123728728518625</v>
      </c>
      <c r="U11" s="91">
        <v>45.845483684669917496015562020</v>
      </c>
      <c r="V11" s="421">
        <v>10.227375124192320534936713270</v>
      </c>
      <c r="W11" s="420">
        <v>71.004243284494417314082291680</v>
      </c>
      <c r="X11" s="91">
        <v>30.875605838382376805089399840</v>
      </c>
      <c r="Y11" s="421">
        <v>-81.14938603768489611636960023</v>
      </c>
      <c r="Z11" s="420">
        <v>-4.9153346644153312349941984500</v>
      </c>
      <c r="AA11" s="91">
        <v>5.2234354758919183618295285500</v>
      </c>
      <c r="AB11" s="421">
        <v>-2.1408881578316269599369272900</v>
      </c>
    </row>
    <row r="12" ht="18" customHeight="1">
      <c r="A12" s="58"/>
      <c r="B12" s="286"/>
      <c r="C12" s="287" t="s">
        <v>187</v>
      </c>
      <c r="D12" s="276">
        <v>38.89229390681003584229390681</v>
      </c>
      <c r="E12" s="94">
        <v>51.540948385691125389097261387</v>
      </c>
      <c r="F12" s="277">
        <v>76.442979939574879655143520342</v>
      </c>
      <c r="G12" s="276">
        <v>7.473476702508960573476702509</v>
      </c>
      <c r="H12" s="94">
        <v>21.732415455422144041653911625</v>
      </c>
      <c r="I12" s="277">
        <v>9.536912058213373158293454231</v>
      </c>
      <c r="J12" s="276">
        <v>1.2508960573476702508960573477</v>
      </c>
      <c r="K12" s="94">
        <v>6.5799308181869147313114420909</v>
      </c>
      <c r="L12" s="277">
        <v>0.2091782969963276854292385808</v>
      </c>
      <c r="M12" s="276">
        <v>47.616650537634408602150537634</v>
      </c>
      <c r="N12" s="94">
        <v>79.8532946593001841620626151</v>
      </c>
      <c r="O12" s="277">
        <v>86.18907029478458049886621315</v>
      </c>
      <c r="P12" s="5"/>
      <c r="Q12" s="271">
        <v>-11.74107015775676256190022700</v>
      </c>
      <c r="R12" s="92">
        <v>-3.118296270271788406920123400</v>
      </c>
      <c r="S12" s="272">
        <v>4.0015278803898942011180674700</v>
      </c>
      <c r="T12" s="271">
        <v>-0.6338162408791876395049708600</v>
      </c>
      <c r="U12" s="92">
        <v>48.530216463132814404929151600</v>
      </c>
      <c r="V12" s="272">
        <v>-12.676038445334703767341815550</v>
      </c>
      <c r="W12" s="271">
        <v>7.4342003967452187651957818200</v>
      </c>
      <c r="X12" s="92">
        <v>91.20002963437844358412279677</v>
      </c>
      <c r="Y12" s="272">
        <v>-86.45341309172330281229090689</v>
      </c>
      <c r="Z12" s="271">
        <v>-9.734559362771999342678643710</v>
      </c>
      <c r="AA12" s="92">
        <v>12.038774035848980612499971150</v>
      </c>
      <c r="AB12" s="272">
        <v>0.2580568242142763179342311300</v>
      </c>
    </row>
    <row r="13" ht="18" customHeight="1">
      <c r="A13" s="58"/>
      <c r="B13" s="288"/>
      <c r="C13" s="289" t="s">
        <v>188</v>
      </c>
      <c r="D13" s="439">
        <v>38.628165105792577176552202567</v>
      </c>
      <c r="E13" s="95">
        <v>55.319374708486367977667282139</v>
      </c>
      <c r="F13" s="440">
        <v>80.45067484364852514581456868</v>
      </c>
      <c r="G13" s="439">
        <v>4.6649323621227887617065556712</v>
      </c>
      <c r="H13" s="95">
        <v>12.93646814726601542232969787</v>
      </c>
      <c r="I13" s="440">
        <v>8.143062778634152984797612335</v>
      </c>
      <c r="J13" s="439">
        <v>1.263093999306278182448838016</v>
      </c>
      <c r="K13" s="95">
        <v>7.0921408666975661039535932665</v>
      </c>
      <c r="L13" s="440">
        <v>0.2136795381298739870090610301</v>
      </c>
      <c r="M13" s="439">
        <v>44.556243496357960457856399584</v>
      </c>
      <c r="N13" s="95">
        <v>75.347983722449949503950573279</v>
      </c>
      <c r="O13" s="440">
        <v>88.80741716041255211762124205</v>
      </c>
      <c r="P13" s="5"/>
      <c r="Q13" s="420">
        <v>-12.411371224255103014526447670</v>
      </c>
      <c r="R13" s="91">
        <v>2.6904926061586923648475846300</v>
      </c>
      <c r="S13" s="421">
        <v>4.8602942037292798825875442600</v>
      </c>
      <c r="T13" s="420">
        <v>20.483762598215305936806432930</v>
      </c>
      <c r="U13" s="91">
        <v>-2.031978103320795812759863100</v>
      </c>
      <c r="V13" s="421">
        <v>-12.208574920148099842948303260</v>
      </c>
      <c r="W13" s="420">
        <v>20.579470198935022038507641610</v>
      </c>
      <c r="X13" s="91">
        <v>92.80698620604523994993975725</v>
      </c>
      <c r="Y13" s="421">
        <v>-85.90705093277468104202015717</v>
      </c>
      <c r="Z13" s="420">
        <v>-9.108070986195240707175412560</v>
      </c>
      <c r="AA13" s="91">
        <v>6.4941668968608354570424656200</v>
      </c>
      <c r="AB13" s="421">
        <v>1.4785902064429453586473327700</v>
      </c>
    </row>
    <row r="14" ht="18" customHeight="1">
      <c r="A14" s="58"/>
      <c r="B14" s="286"/>
      <c r="C14" s="287" t="s">
        <v>189</v>
      </c>
      <c r="D14" s="276">
        <v>33.562903225806451612903225806</v>
      </c>
      <c r="E14" s="94">
        <v>59.339217742616289691950724834</v>
      </c>
      <c r="F14" s="277">
        <v>80.00090006301176307828460498</v>
      </c>
      <c r="G14" s="276">
        <v>3.536917562724014336917562724</v>
      </c>
      <c r="H14" s="94">
        <v>13.710499114778540317025890534</v>
      </c>
      <c r="I14" s="277">
        <v>9.007617130519428072141323796</v>
      </c>
      <c r="J14" s="276">
        <v>1.2087813620071684587813620072</v>
      </c>
      <c r="K14" s="94">
        <v>5.2159596312485094630921384669</v>
      </c>
      <c r="L14" s="277">
        <v>0.2083837890840771791281150672</v>
      </c>
      <c r="M14" s="276">
        <v>38.30858781362007168458781362</v>
      </c>
      <c r="N14" s="94">
        <v>78.265676488643339472068753837</v>
      </c>
      <c r="O14" s="277">
        <v>89.21690098261526832955404384</v>
      </c>
      <c r="P14" s="5"/>
      <c r="Q14" s="271">
        <v>-41.058598040523162242821085130</v>
      </c>
      <c r="R14" s="92">
        <v>-13.790221430607667613751093590</v>
      </c>
      <c r="S14" s="272">
        <v>-5.2877501313556458180225263400</v>
      </c>
      <c r="T14" s="271">
        <v>-65.644257215628611297731875220</v>
      </c>
      <c r="U14" s="92">
        <v>-39.302554727440233865240633510</v>
      </c>
      <c r="V14" s="272">
        <v>-35.622797449255693507351800610</v>
      </c>
      <c r="W14" s="271">
        <v>7.1996185640386494682049869500</v>
      </c>
      <c r="X14" s="92">
        <v>33.903323942846701864321621530</v>
      </c>
      <c r="Y14" s="272">
        <v>-90.17289812196660406453739934</v>
      </c>
      <c r="Z14" s="271">
        <v>-43.964988288624132992069287490</v>
      </c>
      <c r="AA14" s="92">
        <v>-17.887149982492582030921235500</v>
      </c>
      <c r="AB14" s="272">
        <v>-11.297359781584029208499387620</v>
      </c>
    </row>
    <row r="15" ht="18" customHeight="1">
      <c r="A15" s="58"/>
      <c r="B15" s="288"/>
      <c r="C15" s="289" t="s">
        <v>190</v>
      </c>
      <c r="D15" s="439">
        <v>33.040235865417967395074575095</v>
      </c>
      <c r="E15" s="95">
        <v>54.910245178058135492091218535</v>
      </c>
      <c r="F15" s="440">
        <v>72.6578821924897664866674691</v>
      </c>
      <c r="G15" s="439">
        <v>5.5060700659035726673603884842</v>
      </c>
      <c r="H15" s="95">
        <v>14.766556479052490836370337071</v>
      </c>
      <c r="I15" s="440">
        <v>9.653435885134471481165706597</v>
      </c>
      <c r="J15" s="439">
        <v>1.2334373916059660076309399931</v>
      </c>
      <c r="K15" s="95">
        <v>5.8909693878605612198067269316</v>
      </c>
      <c r="L15" s="440">
        <v>0.2101946134737065863325766251</v>
      </c>
      <c r="M15" s="439">
        <v>39.779751994450225459590704128</v>
      </c>
      <c r="N15" s="95">
        <v>75.56777104497118754826828254</v>
      </c>
      <c r="O15" s="440">
        <v>82.52151269109794455416575232</v>
      </c>
      <c r="P15" s="5"/>
      <c r="Q15" s="420">
        <v>-33.294350800716403478259730600</v>
      </c>
      <c r="R15" s="91">
        <v>-1.0261548406869160630943079100</v>
      </c>
      <c r="S15" s="421">
        <v>0.0802350476315015016963611500</v>
      </c>
      <c r="T15" s="420">
        <v>67.129922086348057183203779470</v>
      </c>
      <c r="U15" s="91">
        <v>-6.8302959331728499698843974200</v>
      </c>
      <c r="V15" s="421">
        <v>-2.5469749747429296246363361600</v>
      </c>
      <c r="W15" s="420">
        <v>-0.0140587688537587748404373300</v>
      </c>
      <c r="X15" s="91">
        <v>37.018116109185919984817111160</v>
      </c>
      <c r="Y15" s="421">
        <v>-91.16638909442063326545492932</v>
      </c>
      <c r="Z15" s="420">
        <v>-26.414809480785131019138690630</v>
      </c>
      <c r="AA15" s="91">
        <v>-0.0797138622203536817149202200</v>
      </c>
      <c r="AB15" s="421">
        <v>-2.7841698746347301326630807800</v>
      </c>
    </row>
    <row r="16" ht="18" customHeight="1">
      <c r="A16" s="58"/>
      <c r="B16" s="286"/>
      <c r="C16" s="287" t="s">
        <v>191</v>
      </c>
      <c r="D16" s="276">
        <v>26.507110648629899410336455082</v>
      </c>
      <c r="E16" s="94">
        <v>45.380703722659459126314828073</v>
      </c>
      <c r="F16" s="277">
        <v>67.713125351572154579598976716</v>
      </c>
      <c r="G16" s="276">
        <v>9.113250086715227193895248006</v>
      </c>
      <c r="H16" s="94">
        <v>11.809548373388722561708379902</v>
      </c>
      <c r="I16" s="277">
        <v>7.279476195188767477436557704</v>
      </c>
      <c r="J16" s="276">
        <v>0.9895941727367325702393340271</v>
      </c>
      <c r="K16" s="94">
        <v>5.0741680904901656059826139227</v>
      </c>
      <c r="L16" s="277">
        <v>0.1632904874721260008973161391</v>
      </c>
      <c r="M16" s="276">
        <v>36.609800554977454040929587236</v>
      </c>
      <c r="N16" s="94">
        <v>62.264420186538347294005821897</v>
      </c>
      <c r="O16" s="277">
        <v>75.15589203423304805793285056</v>
      </c>
      <c r="P16" s="5"/>
      <c r="Q16" s="271">
        <v>-30.645175928276558864901638800</v>
      </c>
      <c r="R16" s="92">
        <v>0.5103072071227463930110548600</v>
      </c>
      <c r="S16" s="272">
        <v>-4.686316741830550088811979900</v>
      </c>
      <c r="T16" s="271">
        <v>615.02245203197475379529718344</v>
      </c>
      <c r="U16" s="92">
        <v>-7.5698313535978923370983675700</v>
      </c>
      <c r="V16" s="272">
        <v>16.103870306814426917575670280</v>
      </c>
      <c r="W16" s="271">
        <v>-2.327969870104296163117105300</v>
      </c>
      <c r="X16" s="92">
        <v>35.967402316965463257051046060</v>
      </c>
      <c r="Y16" s="272">
        <v>-89.14219079526510082087807109</v>
      </c>
      <c r="Z16" s="271">
        <v>-9.621859739982332590239049250</v>
      </c>
      <c r="AA16" s="92">
        <v>0.9820092676423936832988026100</v>
      </c>
      <c r="AB16" s="272">
        <v>-4.6439760080648529808986196900</v>
      </c>
    </row>
    <row r="17" ht="18" customHeight="1">
      <c r="A17" s="58"/>
      <c r="B17" s="288"/>
      <c r="C17" s="289" t="s">
        <v>192</v>
      </c>
      <c r="D17" s="439">
        <v>50.120250896057347670250896057</v>
      </c>
      <c r="E17" s="95">
        <v>44.767953199539944710440394754</v>
      </c>
      <c r="F17" s="440">
        <v>72.841252127524150870345099651</v>
      </c>
      <c r="G17" s="439">
        <v>8.862724014336917562724014337</v>
      </c>
      <c r="H17" s="95">
        <v>18.079198805746570232551205816</v>
      </c>
      <c r="I17" s="440">
        <v>9.9116429989623552373223789</v>
      </c>
      <c r="J17" s="439">
        <v>0.7136200716845878136200716846</v>
      </c>
      <c r="K17" s="95">
        <v>5.3023433906619196794761710641</v>
      </c>
      <c r="L17" s="440">
        <v>0.1138017744961091606620754949</v>
      </c>
      <c r="M17" s="439">
        <v>59.69661827956989247311827957</v>
      </c>
      <c r="N17" s="95">
        <v>68.149495395948434622467771639</v>
      </c>
      <c r="O17" s="440">
        <v>82.86669690098261526832955404</v>
      </c>
      <c r="P17" s="5"/>
      <c r="Q17" s="420">
        <v>4.4827251263137617605236408900</v>
      </c>
      <c r="R17" s="91">
        <v>4.9913176166866066715364018700</v>
      </c>
      <c r="S17" s="421">
        <v>7.5356519531761274268740211400</v>
      </c>
      <c r="T17" s="420">
        <v>-16.060153439047818804532715870</v>
      </c>
      <c r="U17" s="91">
        <v>31.774137244452342242760110390</v>
      </c>
      <c r="V17" s="421">
        <v>2.9410226906106345052106661700</v>
      </c>
      <c r="W17" s="420">
        <v>-29.919042591155121473279036410</v>
      </c>
      <c r="X17" s="91">
        <v>31.620950905972985546435509080</v>
      </c>
      <c r="Y17" s="421">
        <v>-91.09924222324512784990598072</v>
      </c>
      <c r="Z17" s="420">
        <v>0.252172003579827430114328600</v>
      </c>
      <c r="AA17" s="91">
        <v>12.852701707967331593098589860</v>
      </c>
      <c r="AB17" s="421">
        <v>5.3695563417602688554153482900</v>
      </c>
    </row>
    <row r="18" ht="18" customHeight="1">
      <c r="A18" s="58"/>
      <c r="B18" s="286"/>
      <c r="C18" s="287" t="s">
        <v>193</v>
      </c>
      <c r="D18" s="276">
        <v>43.775407561567811307665626084</v>
      </c>
      <c r="E18" s="94">
        <v>53.029281068553552549126895506</v>
      </c>
      <c r="F18" s="277">
        <v>79.41124577115940407744700025</v>
      </c>
      <c r="G18" s="276">
        <v>3.9281997918834547346514047867</v>
      </c>
      <c r="H18" s="94">
        <v>20.422058139939045975864362134</v>
      </c>
      <c r="I18" s="277">
        <v>10.593578211691279248117878167</v>
      </c>
      <c r="J18" s="276">
        <v>1.0345126604231703087062088103</v>
      </c>
      <c r="K18" s="94">
        <v>5.8721084835409070889812962672</v>
      </c>
      <c r="L18" s="277">
        <v>0.1656683000839959224784249317</v>
      </c>
      <c r="M18" s="276">
        <v>48.73804890738813735691987513</v>
      </c>
      <c r="N18" s="94">
        <v>79.32344769203350561397255391</v>
      </c>
      <c r="O18" s="277">
        <v>90.17049228293467924804330334</v>
      </c>
      <c r="P18" s="5"/>
      <c r="Q18" s="271">
        <v>-12.006316912411983281493140880</v>
      </c>
      <c r="R18" s="92">
        <v>-7.2810996381424555189322321300</v>
      </c>
      <c r="S18" s="272">
        <v>2.0976327779937808906983418200</v>
      </c>
      <c r="T18" s="271">
        <v>-44.595288764738885531024606850</v>
      </c>
      <c r="U18" s="92">
        <v>11.155026808115584199333828640</v>
      </c>
      <c r="V18" s="272">
        <v>-1.3710887759328064492829918100</v>
      </c>
      <c r="W18" s="271">
        <v>3.6309937411016953758688796200</v>
      </c>
      <c r="X18" s="92">
        <v>-17.840311393116914542892248160</v>
      </c>
      <c r="Y18" s="272">
        <v>-87.95282558611133536991342355</v>
      </c>
      <c r="Z18" s="271">
        <v>-15.731459846152867457443652470</v>
      </c>
      <c r="AA18" s="92">
        <v>-4.0984137634965002733049435300</v>
      </c>
      <c r="AB18" s="272">
        <v>0.3056557211828672499248984700</v>
      </c>
    </row>
    <row r="19" ht="18" customHeight="1">
      <c r="A19" s="58"/>
      <c r="B19" s="288"/>
      <c r="C19" s="289" t="s">
        <v>194</v>
      </c>
      <c r="D19" s="439">
        <v>37.639605734767025089605734767</v>
      </c>
      <c r="E19" s="95">
        <v>52.662768673523350268830249159</v>
      </c>
      <c r="F19" s="440">
        <v>74.356159817420723842210504487</v>
      </c>
      <c r="G19" s="439">
        <v>0.9066308243727598566308243728</v>
      </c>
      <c r="H19" s="95">
        <v>13.104355158196209045200110556</v>
      </c>
      <c r="I19" s="440">
        <v>5.6194373542886871504910805537</v>
      </c>
      <c r="J19" s="439">
        <v>1.1611111111111111111111111111</v>
      </c>
      <c r="K19" s="95">
        <v>5.1217386606070214103404199067</v>
      </c>
      <c r="L19" s="440">
        <v>0.1926458647154436139712034484</v>
      </c>
      <c r="M19" s="439">
        <v>39.707326164874551971326164875</v>
      </c>
      <c r="N19" s="95">
        <v>70.888862492326580724370779619</v>
      </c>
      <c r="O19" s="440">
        <v>80.16824303642485460667278849</v>
      </c>
      <c r="P19" s="5"/>
      <c r="Q19" s="420">
        <v>-12.702522964385039941945092640</v>
      </c>
      <c r="R19" s="91">
        <v>12.476140558319602454556691800</v>
      </c>
      <c r="S19" s="421">
        <v>10.845766578623511581576712890</v>
      </c>
      <c r="T19" s="420">
        <v>-87.27903643541515858902987678</v>
      </c>
      <c r="U19" s="91">
        <v>-23.962790810744209697096597080</v>
      </c>
      <c r="V19" s="421">
        <v>-23.205983786822497371205739890</v>
      </c>
      <c r="W19" s="420">
        <v>19.384558683289650879751139750</v>
      </c>
      <c r="X19" s="91">
        <v>-24.453732122838682973794979930</v>
      </c>
      <c r="Y19" s="421">
        <v>-84.60711965205192342331030221</v>
      </c>
      <c r="Z19" s="420">
        <v>-22.471081607120345418385740430</v>
      </c>
      <c r="AA19" s="91">
        <v>0.0760111897531788916549899400</v>
      </c>
      <c r="AB19" s="421">
        <v>5.9728265531350781303469955200</v>
      </c>
    </row>
    <row r="20" ht="18" customHeight="1">
      <c r="A20" s="58"/>
      <c r="B20" s="286"/>
      <c r="C20" s="287" t="s">
        <v>196</v>
      </c>
      <c r="D20" s="276">
        <v>22.82708983697537287547693375</v>
      </c>
      <c r="E20" s="94">
        <v>44.593370813788561771052749421</v>
      </c>
      <c r="F20" s="277">
        <v>62.361561009655396736353206797</v>
      </c>
      <c r="G20" s="276">
        <v>3.7927506070065903572667360388</v>
      </c>
      <c r="H20" s="94">
        <v>6.9723253152750061090574982083</v>
      </c>
      <c r="I20" s="277">
        <v>5.6974830052912606700365037192</v>
      </c>
      <c r="J20" s="276">
        <v>1.1245230662504335761359694762</v>
      </c>
      <c r="K20" s="94">
        <v>3.4218631295356123016755303033</v>
      </c>
      <c r="L20" s="277">
        <v>0.1853648834211852429778655373</v>
      </c>
      <c r="M20" s="276">
        <v>27.744342698577870274020117933</v>
      </c>
      <c r="N20" s="94">
        <v>54.987559258599180181785777936</v>
      </c>
      <c r="O20" s="277">
        <v>68.244408898367842649367576054</v>
      </c>
      <c r="P20" s="5"/>
      <c r="Q20" s="271">
        <v>-29.707285030040638115555626660</v>
      </c>
      <c r="R20" s="92">
        <v>10.914038837274123407540160640</v>
      </c>
      <c r="S20" s="272">
        <v>17.031187372043984534098297260</v>
      </c>
      <c r="T20" s="271">
        <v>-67.524502524575346007110025580</v>
      </c>
      <c r="U20" s="92">
        <v>-31.221240575310622728858907170</v>
      </c>
      <c r="V20" s="272">
        <v>-31.234623371896961582498279060</v>
      </c>
      <c r="W20" s="271">
        <v>14.315937939314547894209664220</v>
      </c>
      <c r="X20" s="92">
        <v>-45.155538970480452690627386830</v>
      </c>
      <c r="Y20" s="272">
        <v>-82.68413749154258978560293623</v>
      </c>
      <c r="Z20" s="271">
        <v>-38.532765790520028260549492340</v>
      </c>
      <c r="AA20" s="92">
        <v>-2.8177251022093367469024587900</v>
      </c>
      <c r="AB20" s="272">
        <v>8.943252366667545639573321190</v>
      </c>
    </row>
    <row r="21" ht="18" customHeight="1">
      <c r="A21" s="58"/>
      <c r="B21" s="288">
        <v>2025</v>
      </c>
      <c r="C21" s="289" t="s">
        <v>180</v>
      </c>
      <c r="D21" s="439">
        <v>24.218348942074228234477974332</v>
      </c>
      <c r="E21" s="95">
        <v>41.965098922340694818030115131</v>
      </c>
      <c r="F21" s="440">
        <v>61.367239571252943291845734676</v>
      </c>
      <c r="G21" s="439">
        <v>3.8494623655913978494623655914</v>
      </c>
      <c r="H21" s="95">
        <v>11.361514311343029132185262285</v>
      </c>
      <c r="I21" s="440">
        <v>6.986705386417297657605590929</v>
      </c>
      <c r="J21" s="439">
        <v>1.0254942767950052029136316337</v>
      </c>
      <c r="K21" s="95">
        <v>4.3600008576844219536639073225</v>
      </c>
      <c r="L21" s="440">
        <v>0.1723662119589010299210685134</v>
      </c>
      <c r="M21" s="439">
        <v>29.093166840097121054457162678</v>
      </c>
      <c r="N21" s="95">
        <v>57.686614091368145903879284738</v>
      </c>
      <c r="O21" s="440">
        <v>68.526311169629141979372394119</v>
      </c>
      <c r="P21" s="5"/>
      <c r="Q21" s="420">
        <v>-31.873155262765339566501278960</v>
      </c>
      <c r="R21" s="91">
        <v>-2.4736162755035549757801447300</v>
      </c>
      <c r="S21" s="421">
        <v>6.1788391684770124696854862800</v>
      </c>
      <c r="T21" s="420">
        <v>-26.912311896961242696589639830</v>
      </c>
      <c r="U21" s="91">
        <v>-23.177084191138222449544295250</v>
      </c>
      <c r="V21" s="421">
        <v>14.700028807855219390344970710</v>
      </c>
      <c r="W21" s="420">
        <v>21.217712177643618687111626890</v>
      </c>
      <c r="X21" s="91">
        <v>-33.833512367436438352717819850</v>
      </c>
      <c r="Y21" s="421">
        <v>-83.75983056655617139156970065</v>
      </c>
      <c r="Z21" s="420">
        <v>-30.168263932104018744927954770</v>
      </c>
      <c r="AA21" s="91">
        <v>-10.435844895891366659130995200</v>
      </c>
      <c r="AB21" s="421">
        <v>5.5082787259138651526686600800</v>
      </c>
    </row>
    <row r="22" ht="18" customHeight="1">
      <c r="A22" s="58"/>
      <c r="B22" s="286"/>
      <c r="C22" s="287" t="s">
        <v>183</v>
      </c>
      <c r="D22" s="276">
        <v>36.063748079877112135176651306</v>
      </c>
      <c r="E22" s="94">
        <v>61.097504597687443515708075737</v>
      </c>
      <c r="F22" s="277">
        <v>78.208466864468023772986917004</v>
      </c>
      <c r="G22" s="276">
        <v>12.010176651305683563748079877</v>
      </c>
      <c r="H22" s="94">
        <v>17.924422779637846825623069901</v>
      </c>
      <c r="I22" s="277">
        <v>10.723562739653975603555980506</v>
      </c>
      <c r="J22" s="276">
        <v>1.3726958525345622119815668203</v>
      </c>
      <c r="K22" s="94">
        <v>4.5837102838165144468824823494</v>
      </c>
      <c r="L22" s="277">
        <v>0.2124310372774175330780937441</v>
      </c>
      <c r="M22" s="276">
        <v>49.446866359447004608294930876</v>
      </c>
      <c r="N22" s="94">
        <v>83.60563766114180478821362799</v>
      </c>
      <c r="O22" s="277">
        <v>89.14446064139941690962099125</v>
      </c>
      <c r="P22" s="5"/>
      <c r="Q22" s="271">
        <v>-7.8647785315705535353309244200</v>
      </c>
      <c r="R22" s="92">
        <v>4.7110000856571949880671529200</v>
      </c>
      <c r="S22" s="272">
        <v>4.6319179514990742846056925400</v>
      </c>
      <c r="T22" s="271">
        <v>4.9999884228565547405582399800</v>
      </c>
      <c r="U22" s="92">
        <v>-23.617978566558754772406727190</v>
      </c>
      <c r="V22" s="272">
        <v>7.7356345982489874588638596500</v>
      </c>
      <c r="W22" s="271">
        <v>30.037257265011182611888301420</v>
      </c>
      <c r="X22" s="92">
        <v>-26.344179118161111747724864680</v>
      </c>
      <c r="Y22" s="272">
        <v>-62.918147184311843416567286860</v>
      </c>
      <c r="Z22" s="271">
        <v>-4.2397885238135176603058353200</v>
      </c>
      <c r="AA22" s="92">
        <v>-5.0353061550180499042280908600</v>
      </c>
      <c r="AB22" s="272">
        <v>4.5403960196088674982340835100</v>
      </c>
    </row>
    <row r="23" ht="18" customHeight="1">
      <c r="A23" s="58"/>
      <c r="B23" s="288"/>
      <c r="C23" s="289" t="s">
        <v>186</v>
      </c>
      <c r="D23" s="439">
        <v>44.759798820672910163024627125</v>
      </c>
      <c r="E23" s="95">
        <v>53.852061683481350545736272777</v>
      </c>
      <c r="F23" s="440">
        <v>75.587794046819987439054335411</v>
      </c>
      <c r="G23" s="439">
        <v>6.0275754422476586888657648283</v>
      </c>
      <c r="H23" s="95">
        <v>15.527419396067532481715725259</v>
      </c>
      <c r="I23" s="440">
        <v>11.921049712647677304145292581</v>
      </c>
      <c r="J23" s="439">
        <v>1.3206729101630246271245230663</v>
      </c>
      <c r="K23" s="95">
        <v>3.6544377109222154101408255861</v>
      </c>
      <c r="L23" s="440">
        <v>0.2108109841502125152306258299</v>
      </c>
      <c r="M23" s="439">
        <v>52.10806625043357613596947624</v>
      </c>
      <c r="N23" s="95">
        <v>73.03391879047109843759282362</v>
      </c>
      <c r="O23" s="440">
        <v>87.71965474361787725843025382</v>
      </c>
      <c r="P23" s="5"/>
      <c r="Q23" s="420">
        <v>10.313477748088308138692317420</v>
      </c>
      <c r="R23" s="91">
        <v>3.0986510350528443404990994500</v>
      </c>
      <c r="S23" s="421">
        <v>2.7725035634369025714861995200</v>
      </c>
      <c r="T23" s="420">
        <v>-33.691380165738456366208739480</v>
      </c>
      <c r="U23" s="91">
        <v>-35.786929042818346203645659940</v>
      </c>
      <c r="V23" s="421">
        <v>36.748965736719190531542021880</v>
      </c>
      <c r="W23" s="420">
        <v>-21.267576507695091302369473150</v>
      </c>
      <c r="X23" s="91">
        <v>-37.925058895601452845416218900</v>
      </c>
      <c r="Y23" s="421">
        <v>-25.935694965943897588812750180</v>
      </c>
      <c r="Z23" s="420">
        <v>1.4906525980252823073191516900</v>
      </c>
      <c r="AA23" s="91">
        <v>-11.260798817999982350253584020</v>
      </c>
      <c r="AB23" s="421">
        <v>6.2614782100623729430878830800</v>
      </c>
    </row>
    <row r="24" ht="18" customHeight="1">
      <c r="A24" s="59"/>
      <c r="B24" s="286"/>
      <c r="C24" s="287" t="s">
        <v>187</v>
      </c>
      <c r="D24" s="276">
        <v>33.987634408602150537634408602</v>
      </c>
      <c r="E24" s="94">
        <v>51.855459298901962742255490224</v>
      </c>
      <c r="F24" s="277">
        <v>80.93109252743169497999721137</v>
      </c>
      <c r="G24" s="276">
        <v>2.4905017921146953405017921147</v>
      </c>
      <c r="H24" s="94">
        <v>16.153993337512594229111433199</v>
      </c>
      <c r="I24" s="277">
        <v>7.5813107236479792110302410541</v>
      </c>
      <c r="J24" s="276">
        <v>1.2426523297491039426523297491</v>
      </c>
      <c r="K24" s="94">
        <v>4.0030341653042889463740219438</v>
      </c>
      <c r="L24" s="277">
        <v>0.2014138313088367689120789408</v>
      </c>
      <c r="M24" s="276">
        <v>37.720790322580645161290322581</v>
      </c>
      <c r="N24" s="94">
        <v>72.012486801718845917740945365</v>
      </c>
      <c r="O24" s="277">
        <v>88.71381708238851095993953137</v>
      </c>
      <c r="P24" s="93"/>
      <c r="Q24" s="271">
        <v>-12.610877388593193264800599110</v>
      </c>
      <c r="R24" s="92">
        <v>0.6102156111842590282153971100</v>
      </c>
      <c r="S24" s="272">
        <v>5.8711899920409875899526259600</v>
      </c>
      <c r="T24" s="271">
        <v>-66.675459210549464605067562060</v>
      </c>
      <c r="U24" s="92">
        <v>-25.668670513572836944618752010</v>
      </c>
      <c r="V24" s="272">
        <v>-20.505603098967042847526956410</v>
      </c>
      <c r="W24" s="271">
        <v>-0.659025784179842529884217500</v>
      </c>
      <c r="X24" s="92">
        <v>-39.162974871529798261822978030</v>
      </c>
      <c r="Y24" s="272">
        <v>-3.7118887583080529085295398500</v>
      </c>
      <c r="Z24" s="271">
        <v>-20.782352608370028584775291310</v>
      </c>
      <c r="AA24" s="92">
        <v>-9.819016098251852887226654110</v>
      </c>
      <c r="AB24" s="272">
        <v>2.9293120101573194304054489600</v>
      </c>
    </row>
    <row r="25" ht="18" customHeight="1">
      <c r="A25" s="60"/>
      <c r="B25" s="288"/>
      <c r="C25" s="289" t="s">
        <v>188</v>
      </c>
      <c r="D25" s="439">
        <v>39.520985084980922650017343045</v>
      </c>
      <c r="E25" s="95">
        <v>56.048003652933950378446439004</v>
      </c>
      <c r="F25" s="440">
        <v>81.57072445215363792129402608</v>
      </c>
      <c r="G25" s="439">
        <v>2.2894554283732223378425251474</v>
      </c>
      <c r="H25" s="95">
        <v>13.131822945748727568829624105</v>
      </c>
      <c r="I25" s="440">
        <v>9.627136526943170142090547061</v>
      </c>
      <c r="J25" s="439">
        <v>1.464620187304890738813735692</v>
      </c>
      <c r="K25" s="95">
        <v>5.3783335629046802182321647787</v>
      </c>
      <c r="L25" s="440">
        <v>0.2432040490649942919661693069</v>
      </c>
      <c r="M25" s="439">
        <v>43.275084980922650017343045439</v>
      </c>
      <c r="N25" s="95">
        <v>74.558160161587358165508227886</v>
      </c>
      <c r="O25" s="440">
        <v>91.44106502816180235535074245</v>
      </c>
      <c r="P25" s="93"/>
      <c r="Q25" s="420">
        <v>2.3113186368949897883641220100</v>
      </c>
      <c r="R25" s="91">
        <v>1.3171315624469525965889994700</v>
      </c>
      <c r="S25" s="421">
        <v>1.3922190344966881772550030100</v>
      </c>
      <c r="T25" s="420">
        <v>-50.922001635569601866864222090</v>
      </c>
      <c r="U25" s="91">
        <v>1.5101092216541384041848071300</v>
      </c>
      <c r="V25" s="421">
        <v>18.225006839482087817617148350</v>
      </c>
      <c r="W25" s="420">
        <v>15.954963614471724520505818540</v>
      </c>
      <c r="X25" s="91">
        <v>-24.164879632357906190823394140</v>
      </c>
      <c r="Y25" s="421">
        <v>13.817191495040157036996752520</v>
      </c>
      <c r="Z25" s="420">
        <v>-2.8753737185695724921816157400</v>
      </c>
      <c r="AA25" s="91">
        <v>-1.0482345005044074011217168900</v>
      </c>
      <c r="AB25" s="421">
        <v>2.9655719668155925766634243600</v>
      </c>
    </row>
    <row r="26" ht="18" customHeight="1">
      <c r="A26" s="60"/>
      <c r="B26" s="290"/>
      <c r="C26" s="291" t="s">
        <v>189</v>
      </c>
      <c r="D26" s="443">
        <v>35.797132616487455197132616487</v>
      </c>
      <c r="E26" s="444">
        <v>60.597068721375935431101509451</v>
      </c>
      <c r="F26" s="445">
        <v>84.58000155173851957562399907</v>
      </c>
      <c r="G26" s="443">
        <v>5.3091397849462365591397849462</v>
      </c>
      <c r="H26" s="444">
        <v>15.203592797164061851942525234</v>
      </c>
      <c r="I26" s="445">
        <v>12.742046368468524517645267231</v>
      </c>
      <c r="J26" s="443">
        <v>1.3849462365591397849462365591</v>
      </c>
      <c r="K26" s="444">
        <v>6.125617180048093570240188764</v>
      </c>
      <c r="L26" s="445">
        <v>0.2289724879562212128531826821</v>
      </c>
      <c r="M26" s="443">
        <v>42.491268817204301075268817204</v>
      </c>
      <c r="N26" s="444">
        <v>81.92627869858809085328422345</v>
      </c>
      <c r="O26" s="445">
        <v>97.55102040816326530612244898</v>
      </c>
      <c r="P26" s="184"/>
      <c r="Q26" s="273">
        <v>6.65684185797726222257937100</v>
      </c>
      <c r="R26" s="274">
        <v>2.1197633312798396598617405700</v>
      </c>
      <c r="S26" s="275">
        <v>5.7238124635254324933881701300</v>
      </c>
      <c r="T26" s="273">
        <v>50.106404540946202787215585280</v>
      </c>
      <c r="U26" s="274">
        <v>10.890148271497424245926294880</v>
      </c>
      <c r="V26" s="275">
        <v>41.458569828902482098512049220</v>
      </c>
      <c r="W26" s="273">
        <v>14.573758340190207610616398560</v>
      </c>
      <c r="X26" s="274">
        <v>17.439888595127315183968572660</v>
      </c>
      <c r="Y26" s="275">
        <v>9.880182592486131567891085100</v>
      </c>
      <c r="Z26" s="273">
        <v>10.918389954639361677116857900</v>
      </c>
      <c r="AA26" s="274">
        <v>4.6771488783097477288291690600</v>
      </c>
      <c r="AB26" s="275">
        <v>9.341413267861289213273966220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 customHeight="1">
      <c r="A29" s="58"/>
      <c r="B29" s="284">
        <v>2023</v>
      </c>
      <c r="C29" s="285"/>
      <c r="D29" s="454">
        <v>43.853591160220994475138121547</v>
      </c>
      <c r="E29" s="455">
        <v>54.613340663553290307103493483</v>
      </c>
      <c r="F29" s="456">
        <v>71.993148958084340330581728084</v>
      </c>
      <c r="G29" s="454">
        <v>7.0899720786550228717400344561</v>
      </c>
      <c r="H29" s="455">
        <v>16.453015715548041877395644242</v>
      </c>
      <c r="I29" s="456">
        <v>9.322712768271723399638186405</v>
      </c>
      <c r="J29" s="454">
        <v>1.0813283431355076338145309808</v>
      </c>
      <c r="K29" s="455">
        <v>3.7247376554722970290983308063</v>
      </c>
      <c r="L29" s="456">
        <v>1.611881599335170406160236098</v>
      </c>
      <c r="M29" s="454">
        <v>52.024889799798015802293114715</v>
      </c>
      <c r="N29" s="455">
        <v>74.791094034573629213597468535</v>
      </c>
      <c r="O29" s="456">
        <v>82.92774332569123413638015059</v>
      </c>
      <c r="P29" s="5"/>
      <c r="Q29" s="427">
        <v>-0.3622088055430482015899480800</v>
      </c>
      <c r="R29" s="428">
        <v>1.9537209302428753260969870500</v>
      </c>
      <c r="S29" s="429">
        <v>13.020383113882533309732146260</v>
      </c>
      <c r="T29" s="427">
        <v>-39.151504954576999543676505120</v>
      </c>
      <c r="U29" s="428">
        <v>16.316165946367345901533484840</v>
      </c>
      <c r="V29" s="429">
        <v>16.199282504555226837906856200</v>
      </c>
      <c r="W29" s="427">
        <v>10.154926163000293624763899770</v>
      </c>
      <c r="X29" s="428">
        <v>-26.054973593415329440420372260</v>
      </c>
      <c r="Y29" s="429">
        <v>51.940950426895355350723825580</v>
      </c>
      <c r="Z29" s="427">
        <v>-8.158709884464353151364628490</v>
      </c>
      <c r="AA29" s="428">
        <v>2.806974077970680975252279600</v>
      </c>
      <c r="AB29" s="429">
        <v>13.938091628153903973706313160</v>
      </c>
    </row>
    <row r="30" ht="18" customHeight="1">
      <c r="A30" s="58"/>
      <c r="B30" s="286">
        <v>2024</v>
      </c>
      <c r="C30" s="287"/>
      <c r="D30" s="276">
        <v>37.725806451612903225806451613</v>
      </c>
      <c r="E30" s="94">
        <v>53.19459913267493332144166714</v>
      </c>
      <c r="F30" s="277">
        <v>73.767242616669140717553551231</v>
      </c>
      <c r="G30" s="276">
        <v>6.8774961597542242703533026114</v>
      </c>
      <c r="H30" s="94">
        <v>18.394852602860628956720618062</v>
      </c>
      <c r="I30" s="277">
        <v>8.544434894037108296183209074</v>
      </c>
      <c r="J30" s="276">
        <v>1.2185986056953798889282760251</v>
      </c>
      <c r="K30" s="94">
        <v>6.2693653661696774242709942045</v>
      </c>
      <c r="L30" s="277">
        <v>0.4249557061163916447365737797</v>
      </c>
      <c r="M30" s="276">
        <v>45.821918055063216353538934184</v>
      </c>
      <c r="N30" s="94">
        <v>77.858817101705239702433279407</v>
      </c>
      <c r="O30" s="277">
        <v>82.73663321682264065847333409</v>
      </c>
      <c r="P30" s="5"/>
      <c r="Q30" s="271">
        <v>-13.973279146517108670697321680</v>
      </c>
      <c r="R30" s="92">
        <v>-2.5977929818724004993158871900</v>
      </c>
      <c r="S30" s="272">
        <v>2.4642534522301044423518201600</v>
      </c>
      <c r="T30" s="271">
        <v>-2.9968512793457262285607171200</v>
      </c>
      <c r="U30" s="92">
        <v>11.802315885052428379664718020</v>
      </c>
      <c r="V30" s="272">
        <v>-8.348191064185397528963478770</v>
      </c>
      <c r="W30" s="271">
        <v>12.694595815536233762878422150</v>
      </c>
      <c r="X30" s="92">
        <v>68.316964737429074064112814250</v>
      </c>
      <c r="Y30" s="272">
        <v>-73.636047070644685363859170420</v>
      </c>
      <c r="Z30" s="271">
        <v>-11.923084832292388279360950410</v>
      </c>
      <c r="AA30" s="92">
        <v>4.1017224132141237932168669400</v>
      </c>
      <c r="AB30" s="272">
        <v>-0.2304537675971374506873884600</v>
      </c>
    </row>
    <row r="31" ht="18" customHeight="1">
      <c r="A31" s="58"/>
      <c r="B31" s="425">
        <v>2025</v>
      </c>
      <c r="C31" s="426"/>
      <c r="D31" s="457">
        <v>35.728182736291807758569476623</v>
      </c>
      <c r="E31" s="458">
        <v>54.100143985442106252205158812</v>
      </c>
      <c r="F31" s="459">
        <v>76.958388921310689118951861716</v>
      </c>
      <c r="G31" s="457">
        <v>5.2344501871324184637319550882</v>
      </c>
      <c r="H31" s="458">
        <v>14.824612586287830708363058957</v>
      </c>
      <c r="I31" s="459">
        <v>9.914597292155021696016116301</v>
      </c>
      <c r="J31" s="457">
        <v>1.3005406047644507812035881899</v>
      </c>
      <c r="K31" s="458">
        <v>4.6816539468745012433938102505</v>
      </c>
      <c r="L31" s="459">
        <v>0.2114777747078274769602113076</v>
      </c>
      <c r="M31" s="457">
        <v>42.26320382581833303629774847</v>
      </c>
      <c r="N31" s="458">
        <v>73.606410518604438203962028021</v>
      </c>
      <c r="O31" s="459">
        <v>87.08446398817353829192818932</v>
      </c>
      <c r="P31" s="93"/>
      <c r="Q31" s="430">
        <v>-5.2951120286083916145755158800</v>
      </c>
      <c r="R31" s="431">
        <v>1.7023247989577311109878836200</v>
      </c>
      <c r="S31" s="432">
        <v>4.3259666369693648960900400800</v>
      </c>
      <c r="T31" s="430">
        <v>-23.890176519056927969352130730</v>
      </c>
      <c r="U31" s="431">
        <v>-19.408907990104312985492017300</v>
      </c>
      <c r="V31" s="432">
        <v>16.035728695377682820648294370</v>
      </c>
      <c r="W31" s="430">
        <v>6.7242813737982911597867906500</v>
      </c>
      <c r="X31" s="431">
        <v>-25.324914510252024249079084550</v>
      </c>
      <c r="Y31" s="432">
        <v>-50.235337078151195824074308720</v>
      </c>
      <c r="Z31" s="430">
        <v>-7.7664017141368452084717401400</v>
      </c>
      <c r="AA31" s="431">
        <v>-5.4616891720060733880760034500</v>
      </c>
      <c r="AB31" s="432">
        <v>5.2550250141078910732834408100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 customHeight="1">
      <c r="A34" s="58"/>
      <c r="B34" s="284">
        <v>2023</v>
      </c>
      <c r="C34" s="285"/>
      <c r="D34" s="454">
        <v>48.323348694316436251920122888</v>
      </c>
      <c r="E34" s="455">
        <v>58.581343750354839498500816031</v>
      </c>
      <c r="F34" s="456">
        <v>78.213715337684558825851648446</v>
      </c>
      <c r="G34" s="454">
        <v>7.1924258537161762968214581118</v>
      </c>
      <c r="H34" s="455">
        <v>16.768633829061610903678027976</v>
      </c>
      <c r="I34" s="456">
        <v>11.372928636764557833461614122</v>
      </c>
      <c r="J34" s="454">
        <v>1.1124305801725156563866241286</v>
      </c>
      <c r="K34" s="455">
        <v>3.6717621449475833541201056608</v>
      </c>
      <c r="L34" s="456">
        <v>1.7246365817293987028755690113</v>
      </c>
      <c r="M34" s="454">
        <v>56.628268935365709559257946355</v>
      </c>
      <c r="N34" s="455">
        <v>79.021739724364033756298949668</v>
      </c>
      <c r="O34" s="456">
        <v>91.31128055617851536218883158</v>
      </c>
      <c r="P34" s="5"/>
      <c r="Q34" s="427">
        <v>5.7830642804942402166910890800</v>
      </c>
      <c r="R34" s="428">
        <v>0.5256303572429315559022321200</v>
      </c>
      <c r="S34" s="429">
        <v>13.193789682253598564766617060</v>
      </c>
      <c r="T34" s="427">
        <v>-44.121305591242710886967608080</v>
      </c>
      <c r="U34" s="428">
        <v>-1.2371857159477034929789365500</v>
      </c>
      <c r="V34" s="429">
        <v>5.0179232793122349416876782200</v>
      </c>
      <c r="W34" s="427">
        <v>17.343886322731246429588714370</v>
      </c>
      <c r="X34" s="428">
        <v>-27.340549340575531086088968180</v>
      </c>
      <c r="Y34" s="429">
        <v>-0.3067746739305941354266121900</v>
      </c>
      <c r="Z34" s="427">
        <v>-4.8281709702362444775195597600</v>
      </c>
      <c r="AA34" s="428">
        <v>-1.6005681788799029643206758300</v>
      </c>
      <c r="AB34" s="429">
        <v>11.823467977594858964087673080</v>
      </c>
    </row>
    <row r="35" ht="18" customHeight="1">
      <c r="A35" s="58"/>
      <c r="B35" s="286">
        <v>2024</v>
      </c>
      <c r="C35" s="287"/>
      <c r="D35" s="276">
        <v>37.045373980857851825593761078</v>
      </c>
      <c r="E35" s="94">
        <v>55.398962635299998458671706956</v>
      </c>
      <c r="F35" s="277">
        <v>78.981179343194544632121927348</v>
      </c>
      <c r="G35" s="276">
        <v>5.2189530899208318563157272835</v>
      </c>
      <c r="H35" s="94">
        <v>16.091406040343593503874886799</v>
      </c>
      <c r="I35" s="277">
        <v>8.887591448347722851008454101</v>
      </c>
      <c r="J35" s="276">
        <v>1.2411674347158218125960061444</v>
      </c>
      <c r="K35" s="94">
        <v>6.304759124732827198402953934</v>
      </c>
      <c r="L35" s="277">
        <v>0.2104497611476729619121044107</v>
      </c>
      <c r="M35" s="276">
        <v>43.505502185986056953798889283</v>
      </c>
      <c r="N35" s="94">
        <v>77.79512780037641916094954769</v>
      </c>
      <c r="O35" s="277">
        <v>88.07922055268994044504248586</v>
      </c>
      <c r="P35" s="5"/>
      <c r="Q35" s="271">
        <v>-23.338562037138883569389625690</v>
      </c>
      <c r="R35" s="92">
        <v>-5.4324139928563381330030820500</v>
      </c>
      <c r="S35" s="272">
        <v>0.9812396741171267118923969300</v>
      </c>
      <c r="T35" s="271">
        <v>-27.438207969345341931032838730</v>
      </c>
      <c r="U35" s="92">
        <v>-4.038658102135649169007670100</v>
      </c>
      <c r="V35" s="272">
        <v>-21.853097542618330104595929850</v>
      </c>
      <c r="W35" s="271">
        <v>11.572574217860557569379747660</v>
      </c>
      <c r="X35" s="92">
        <v>71.709355778668951721588787330</v>
      </c>
      <c r="Y35" s="272">
        <v>-87.79744304505999207797597126</v>
      </c>
      <c r="Z35" s="271">
        <v>-23.173526219535407278687935560</v>
      </c>
      <c r="AA35" s="92">
        <v>-1.5522461645384817754183950900</v>
      </c>
      <c r="AB35" s="272">
        <v>-3.539606479969143257403838100</v>
      </c>
    </row>
    <row r="36" ht="18" customHeight="1">
      <c r="A36" s="58"/>
      <c r="B36" s="425">
        <v>2025</v>
      </c>
      <c r="C36" s="426"/>
      <c r="D36" s="457">
        <v>36.469159872385678837291740518</v>
      </c>
      <c r="E36" s="458">
        <v>56.165537954387795680577468125</v>
      </c>
      <c r="F36" s="459">
        <v>82.35192615815240892559067167</v>
      </c>
      <c r="G36" s="457">
        <v>3.3512347867186576863996218835</v>
      </c>
      <c r="H36" s="458">
        <v>14.811143905038574033685023079</v>
      </c>
      <c r="I36" s="459">
        <v>9.97958181427179545346233195</v>
      </c>
      <c r="J36" s="457">
        <v>1.3651778329197684036393713813</v>
      </c>
      <c r="K36" s="458">
        <v>5.1712953935232589259738838393</v>
      </c>
      <c r="L36" s="459">
        <v>0.2247353307578743132297702989</v>
      </c>
      <c r="M36" s="457">
        <v>41.185597896726928984993501123</v>
      </c>
      <c r="N36" s="458">
        <v>76.147977252949628640236375043</v>
      </c>
      <c r="O36" s="459">
        <v>92.55624330318207869228277392</v>
      </c>
      <c r="P36" s="93"/>
      <c r="Q36" s="430">
        <v>-1.5554279700655955180552050200</v>
      </c>
      <c r="R36" s="431">
        <v>1.3837358726990619089944822700</v>
      </c>
      <c r="S36" s="432">
        <v>4.2677848608785281402998087600</v>
      </c>
      <c r="T36" s="430">
        <v>-35.787221517584660549573224410</v>
      </c>
      <c r="U36" s="431">
        <v>-7.956185631355539453039060240</v>
      </c>
      <c r="V36" s="432">
        <v>12.286685007113700063061121590</v>
      </c>
      <c r="W36" s="430">
        <v>9.991431836893359931736483330</v>
      </c>
      <c r="X36" s="431">
        <v>-17.977906986742729762675022890</v>
      </c>
      <c r="Y36" s="432">
        <v>6.7881139817907416145649874500</v>
      </c>
      <c r="Z36" s="430">
        <v>-5.3324388243002800009248900900</v>
      </c>
      <c r="AA36" s="431">
        <v>-2.1172926814600620645008885900</v>
      </c>
      <c r="AB36" s="432">
        <v>5.0829500106706371642552719200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972" t="s">
        <v>45</v>
      </c>
      <c r="C38" s="972"/>
      <c r="D38" s="972"/>
      <c r="E38" s="972"/>
      <c r="F38" s="972"/>
      <c r="G38" s="972"/>
      <c r="H38" s="972"/>
      <c r="I38" s="972"/>
      <c r="J38" s="972"/>
      <c r="K38" s="972"/>
      <c r="L38" s="972"/>
      <c r="M38" s="972"/>
      <c r="N38" s="972"/>
      <c r="O38" s="972"/>
      <c r="P38" s="467"/>
      <c r="Q38" s="971"/>
      <c r="R38" s="971"/>
      <c r="S38" s="971"/>
      <c r="T38" s="971"/>
      <c r="U38" s="971"/>
      <c r="V38" s="971"/>
      <c r="W38" s="971"/>
      <c r="X38" s="971"/>
      <c r="Y38" s="971"/>
      <c r="Z38" s="971"/>
      <c r="AA38" s="971"/>
      <c r="AB38" s="971"/>
      <c r="AC38" s="9"/>
    </row>
    <row r="39" ht="18" customHeight="1">
      <c r="A39" s="58"/>
      <c r="B39" s="284">
        <v>2023</v>
      </c>
      <c r="C39" s="285"/>
      <c r="D39" s="454">
        <v>40.098365002209456473707467963</v>
      </c>
      <c r="E39" s="455">
        <v>52.349131889506932572337449265</v>
      </c>
      <c r="F39" s="456">
        <v>67.488603625613988758597462196</v>
      </c>
      <c r="G39" s="454">
        <v>6.8475622330240094270142878185</v>
      </c>
      <c r="H39" s="455">
        <v>14.803332892532869829037121103</v>
      </c>
      <c r="I39" s="456">
        <v>7.8399117001419555178229551304</v>
      </c>
      <c r="J39" s="454">
        <v>1.0325231992929739284136102519</v>
      </c>
      <c r="K39" s="455">
        <v>3.6913117007170784482936856462</v>
      </c>
      <c r="L39" s="456">
        <v>1.6137913868834493805857641416</v>
      </c>
      <c r="M39" s="454">
        <v>47.97848239799675946383856238</v>
      </c>
      <c r="N39" s="455">
        <v>70.84377648275688084966825601</v>
      </c>
      <c r="O39" s="456">
        <v>76.942306712639393657006181468</v>
      </c>
      <c r="P39" s="5"/>
      <c r="Q39" s="427">
        <v>-13.584538989434457365325433200</v>
      </c>
      <c r="R39" s="428">
        <v>-5.5665267510223396826809132500</v>
      </c>
      <c r="S39" s="429">
        <v>2.6578581164707119799897722600</v>
      </c>
      <c r="T39" s="427">
        <v>-39.838363184833076576157005280</v>
      </c>
      <c r="U39" s="428">
        <v>9.629933995773153188508737030</v>
      </c>
      <c r="V39" s="429">
        <v>7.2502770036353428971840599200</v>
      </c>
      <c r="W39" s="427">
        <v>-13.478486263843489726945227430</v>
      </c>
      <c r="X39" s="428">
        <v>-20.960687823627954119534966670</v>
      </c>
      <c r="Y39" s="429">
        <v>133.82349585649693167960877567</v>
      </c>
      <c r="Z39" s="427">
        <v>-18.649026893225435154460984110</v>
      </c>
      <c r="AA39" s="428">
        <v>-3.7555359863621025940722030200</v>
      </c>
      <c r="AB39" s="429">
        <v>4.3407321676971013266389543500</v>
      </c>
    </row>
    <row r="40" ht="18" customHeight="1">
      <c r="A40" s="58"/>
      <c r="B40" s="286">
        <v>2024</v>
      </c>
      <c r="C40" s="287"/>
      <c r="D40" s="276">
        <v>40.622598272518949409483518421</v>
      </c>
      <c r="E40" s="94">
        <v>50.550530785261393330055113128</v>
      </c>
      <c r="F40" s="277">
        <v>70.992731037424059587371731038</v>
      </c>
      <c r="G40" s="276">
        <v>6.8462894412127622069451789177</v>
      </c>
      <c r="H40" s="94">
        <v>16.518617341945805936141512543</v>
      </c>
      <c r="I40" s="277">
        <v>8.61966558437880319143942145</v>
      </c>
      <c r="J40" s="276">
        <v>1.1273282801574710617545096657</v>
      </c>
      <c r="K40" s="94">
        <v>5.8162937669217952779354160034</v>
      </c>
      <c r="L40" s="277">
        <v>0.9562189157363538210708094287</v>
      </c>
      <c r="M40" s="276">
        <v>48.596212174628356542687584464</v>
      </c>
      <c r="N40" s="94">
        <v>72.885441894128994544132041676</v>
      </c>
      <c r="O40" s="277">
        <v>80.56861553753921659988196192</v>
      </c>
      <c r="P40" s="5"/>
      <c r="Q40" s="271">
        <v>1.3073681939156055595218785100</v>
      </c>
      <c r="R40" s="92">
        <v>-3.4357801921818756847885453100</v>
      </c>
      <c r="S40" s="272">
        <v>5.1921764914022645529633558900</v>
      </c>
      <c r="T40" s="271">
        <v>-0.0185875168991369290242576500</v>
      </c>
      <c r="U40" s="92">
        <v>11.587150420124931579772028310</v>
      </c>
      <c r="V40" s="272">
        <v>9.945952379398064382026437690</v>
      </c>
      <c r="W40" s="271">
        <v>9.181883847427762270765828950</v>
      </c>
      <c r="X40" s="92">
        <v>57.567126228295090721743990580</v>
      </c>
      <c r="Y40" s="272">
        <v>-40.747055443566649446540714540</v>
      </c>
      <c r="Z40" s="271">
        <v>1.2875142058559710233867336400</v>
      </c>
      <c r="AA40" s="92">
        <v>2.8819262787673182048390946600</v>
      </c>
      <c r="AB40" s="272">
        <v>4.7130232766278316777145116800</v>
      </c>
    </row>
    <row r="41" ht="18" customHeight="1">
      <c r="A41" s="58"/>
      <c r="B41" s="425">
        <v>2025</v>
      </c>
      <c r="C41" s="426"/>
      <c r="D41" s="457">
        <v>35.644498453380468404772425983</v>
      </c>
      <c r="E41" s="458">
        <v>51.644847511867865912666875345</v>
      </c>
      <c r="F41" s="459">
        <v>74.236473014397259404249461387</v>
      </c>
      <c r="G41" s="457">
        <v>5.2960671674768007070260715864</v>
      </c>
      <c r="H41" s="458">
        <v>14.498209957736147853477454957</v>
      </c>
      <c r="I41" s="459">
        <v>9.021724293815343897978224827</v>
      </c>
      <c r="J41" s="457">
        <v>1.1711886875828546177640300486</v>
      </c>
      <c r="K41" s="458">
        <v>4.8989978294701303848181056838</v>
      </c>
      <c r="L41" s="459">
        <v>0.1915971333682168895604354734</v>
      </c>
      <c r="M41" s="457">
        <v>42.111749300338783325968478421</v>
      </c>
      <c r="N41" s="458">
        <v>71.042055299074144150962435985</v>
      </c>
      <c r="O41" s="459">
        <v>83.44979444158082019178812169</v>
      </c>
      <c r="P41" s="93"/>
      <c r="Q41" s="430">
        <v>-12.254508649904655345375468600</v>
      </c>
      <c r="R41" s="431">
        <v>2.1647976976061568362700167700</v>
      </c>
      <c r="S41" s="432">
        <v>4.5691184570550034218445408300</v>
      </c>
      <c r="T41" s="430">
        <v>-22.643247660465262494779146580</v>
      </c>
      <c r="U41" s="431">
        <v>-12.231092605063405306937997890</v>
      </c>
      <c r="V41" s="432">
        <v>4.6644351277733532715105321200</v>
      </c>
      <c r="W41" s="430">
        <v>3.8906508559399677307971120100</v>
      </c>
      <c r="X41" s="431">
        <v>-15.771141799097520670004215710</v>
      </c>
      <c r="Y41" s="432">
        <v>-79.96304714094071026120410458</v>
      </c>
      <c r="Z41" s="430">
        <v>-13.343556182863321895855095760</v>
      </c>
      <c r="AA41" s="431">
        <v>-2.5291560936191237643591652800</v>
      </c>
      <c r="AB41" s="432">
        <v>3.5760561167143292266456387500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sheetData>
  <mergeCells count="22">
    <mergeCell ref="B43:AB43"/>
    <mergeCell ref="B33:O33"/>
    <mergeCell ref="B38:O38"/>
    <mergeCell ref="B8:C8"/>
    <mergeCell ref="Q28:AB28"/>
    <mergeCell ref="Q33:AB33"/>
    <mergeCell ref="Q38:AB38"/>
    <mergeCell ref="B28:O28"/>
    <mergeCell ref="Q7:S7"/>
    <mergeCell ref="T7:V7"/>
    <mergeCell ref="W7:Y7"/>
    <mergeCell ref="Z7:AB7"/>
    <mergeCell ref="D7:F7"/>
    <mergeCell ref="M7:O7"/>
    <mergeCell ref="J7:L7"/>
    <mergeCell ref="G7:I7"/>
    <mergeCell ref="B4:AB4"/>
    <mergeCell ref="B2:AB2"/>
    <mergeCell ref="Q6:AB6"/>
    <mergeCell ref="D6:O6"/>
    <mergeCell ref="B3:Q3"/>
    <mergeCell ref="R3:AB3"/>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7"/>
</worksheet>
</file>

<file path=xl/worksheets/sheet4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pageSetUpPr fitToPage="1"/>
  </sheetPr>
  <dimension ref="A1:AP81"/>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6" customWidth="1"/>
  </cols>
  <sheetData>
    <row r="1" ht="30">
      <c r="A1" s="89"/>
      <c r="B1" s="656" t="s">
        <v>147</v>
      </c>
      <c r="Y1" s="21"/>
      <c r="Z1" s="5"/>
      <c r="AB1" s="685"/>
      <c r="AD1" s="236"/>
    </row>
    <row r="2" ht="15" customHeight="1">
      <c r="A2" s="11"/>
      <c r="B2" s="999" t="s">
        <v>170</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171</v>
      </c>
      <c r="C3" s="999"/>
      <c r="D3" s="999"/>
      <c r="E3" s="999"/>
      <c r="F3" s="999"/>
      <c r="G3" s="999"/>
      <c r="H3" s="999"/>
      <c r="I3" s="999"/>
      <c r="J3" s="999"/>
      <c r="K3" s="999"/>
      <c r="L3" s="999"/>
      <c r="M3" s="999"/>
      <c r="N3" s="999"/>
      <c r="O3" s="999"/>
      <c r="P3" s="999"/>
      <c r="Q3" s="999"/>
      <c r="R3" s="999"/>
      <c r="S3" s="999"/>
      <c r="T3" s="999"/>
      <c r="U3" s="999"/>
      <c r="V3" s="999"/>
      <c r="W3" s="999"/>
      <c r="X3" s="999"/>
      <c r="Y3" s="999"/>
      <c r="Z3" s="999"/>
      <c r="AA3" s="999"/>
      <c r="AB3" s="999"/>
    </row>
    <row r="4" ht="19.5" customHeight="1">
      <c r="A4" s="4"/>
      <c r="B4" s="999" t="s">
        <v>172</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5" customHeight="1"/>
    <row r="6" ht="15.75" customHeight="1">
      <c r="D6" s="960" t="s">
        <v>54</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53</v>
      </c>
      <c r="E8" s="413" t="s">
        <v>9</v>
      </c>
      <c r="F8" s="414" t="s">
        <v>10</v>
      </c>
      <c r="G8" s="412" t="s">
        <v>53</v>
      </c>
      <c r="H8" s="413" t="s">
        <v>9</v>
      </c>
      <c r="I8" s="414" t="s">
        <v>10</v>
      </c>
      <c r="J8" s="412" t="s">
        <v>53</v>
      </c>
      <c r="K8" s="413" t="s">
        <v>9</v>
      </c>
      <c r="L8" s="414" t="s">
        <v>10</v>
      </c>
      <c r="M8" s="412" t="s">
        <v>53</v>
      </c>
      <c r="N8" s="413" t="s">
        <v>9</v>
      </c>
      <c r="O8" s="414" t="s">
        <v>10</v>
      </c>
      <c r="P8" s="63"/>
      <c r="Q8" s="412" t="s">
        <v>53</v>
      </c>
      <c r="R8" s="413" t="s">
        <v>9</v>
      </c>
      <c r="S8" s="414" t="s">
        <v>10</v>
      </c>
      <c r="T8" s="412" t="s">
        <v>53</v>
      </c>
      <c r="U8" s="413" t="s">
        <v>9</v>
      </c>
      <c r="V8" s="414" t="s">
        <v>10</v>
      </c>
      <c r="W8" s="412" t="s">
        <v>53</v>
      </c>
      <c r="X8" s="413" t="s">
        <v>9</v>
      </c>
      <c r="Y8" s="414" t="s">
        <v>10</v>
      </c>
      <c r="Z8" s="412" t="s">
        <v>53</v>
      </c>
      <c r="AA8" s="413" t="s">
        <v>9</v>
      </c>
      <c r="AB8" s="414" t="s">
        <v>10</v>
      </c>
    </row>
    <row r="9" ht="18.95" customHeight="1">
      <c r="A9" s="57"/>
      <c r="B9" s="284">
        <v>2024</v>
      </c>
      <c r="C9" s="285" t="s">
        <v>180</v>
      </c>
      <c r="D9" s="415">
        <v>103.93574811372388597765642725</v>
      </c>
      <c r="E9" s="416">
        <v>79.48683055513109837926532547</v>
      </c>
      <c r="F9" s="417">
        <v>82.61523198927547075512836669</v>
      </c>
      <c r="G9" s="415">
        <v>45.540271019008806153734399950</v>
      </c>
      <c r="H9" s="416">
        <v>78.201450683353190916546802240</v>
      </c>
      <c r="I9" s="417">
        <v>35.613152582062549305228463920</v>
      </c>
      <c r="J9" s="415">
        <v>15.959823531775480571669163220</v>
      </c>
      <c r="K9" s="416">
        <v>80.44342988877889591921833943</v>
      </c>
      <c r="L9" s="417">
        <v>12.838629453080674097372470920</v>
      </c>
      <c r="M9" s="415">
        <v>79.81523454886743728533547520</v>
      </c>
      <c r="N9" s="416">
        <v>81.04226097168178138586256373</v>
      </c>
      <c r="O9" s="417">
        <v>64.684070678281102657453823160</v>
      </c>
      <c r="P9" s="5"/>
      <c r="Q9" s="415">
        <v>19.852724762408234471572686120</v>
      </c>
      <c r="R9" s="416">
        <v>4.515160143549717816715871500</v>
      </c>
      <c r="S9" s="417">
        <v>25.264267221562403053342249150</v>
      </c>
      <c r="T9" s="415">
        <v>166.22073106115373297110427721</v>
      </c>
      <c r="U9" s="416">
        <v>-6.9827559439235515326032454400</v>
      </c>
      <c r="V9" s="417">
        <v>147.63118713616731541794660609</v>
      </c>
      <c r="W9" s="415">
        <v>-59.994763161606046659421118260</v>
      </c>
      <c r="X9" s="416">
        <v>-22.503178609670254571515241820</v>
      </c>
      <c r="Y9" s="417">
        <v>-68.997213060875563599632558670</v>
      </c>
      <c r="Z9" s="415">
        <v>16.377691021725503050164680410</v>
      </c>
      <c r="AA9" s="416">
        <v>3.8571812895207600439488205500</v>
      </c>
      <c r="AB9" s="417">
        <v>20.866589545209164179443565930</v>
      </c>
    </row>
    <row r="10" ht="18.95" customHeight="1">
      <c r="A10" s="58"/>
      <c r="B10" s="286"/>
      <c r="C10" s="287" t="s">
        <v>183</v>
      </c>
      <c r="D10" s="271">
        <v>82.11764966197699375700825591</v>
      </c>
      <c r="E10" s="92">
        <v>81.69161852382662446484262547</v>
      </c>
      <c r="F10" s="272">
        <v>67.083237102503014813992136790</v>
      </c>
      <c r="G10" s="271">
        <v>58.835967289314750133356217310</v>
      </c>
      <c r="H10" s="92">
        <v>82.84441107037456695430542133</v>
      </c>
      <c r="I10" s="272">
        <v>48.742310598559406218627814410</v>
      </c>
      <c r="J10" s="271">
        <v>22.152272613230121370422231020</v>
      </c>
      <c r="K10" s="92">
        <v>76.573438153362151551624979010</v>
      </c>
      <c r="L10" s="272">
        <v>16.962756768990270234275813760</v>
      </c>
      <c r="M10" s="271">
        <v>70.997558365671625727090976300</v>
      </c>
      <c r="N10" s="92">
        <v>82.61080855217749449876125813</v>
      </c>
      <c r="O10" s="272">
        <v>58.651657018190158921905853820</v>
      </c>
      <c r="P10" s="5"/>
      <c r="Q10" s="271">
        <v>-19.790494066451662270697375070</v>
      </c>
      <c r="R10" s="92">
        <v>5.6225200898970519682134966800</v>
      </c>
      <c r="S10" s="272">
        <v>-15.280698481358698803553033900</v>
      </c>
      <c r="T10" s="271">
        <v>-34.534597115392152908593781430</v>
      </c>
      <c r="U10" s="92">
        <v>-4.7768480696223077498404589500</v>
      </c>
      <c r="V10" s="272">
        <v>-37.661779949130540985781157400</v>
      </c>
      <c r="W10" s="271">
        <v>-19.731195855411406653481739610</v>
      </c>
      <c r="X10" s="92">
        <v>-14.875643482022929028679786560</v>
      </c>
      <c r="Y10" s="272">
        <v>-31.671696988082349923308628860</v>
      </c>
      <c r="Z10" s="271">
        <v>-24.448188496548465655703156380</v>
      </c>
      <c r="AA10" s="92">
        <v>2.054478482309720806973291500</v>
      </c>
      <c r="AB10" s="272">
        <v>-22.895992786337831024130529250</v>
      </c>
    </row>
    <row r="11" ht="18.95" customHeight="1">
      <c r="A11" s="58"/>
      <c r="B11" s="288"/>
      <c r="C11" s="289" t="s">
        <v>186</v>
      </c>
      <c r="D11" s="420">
        <v>93.59807835594551223444399830</v>
      </c>
      <c r="E11" s="91">
        <v>82.99334432494096884920817846</v>
      </c>
      <c r="F11" s="421">
        <v>77.680175451401212082974015090</v>
      </c>
      <c r="G11" s="420">
        <v>52.266894398095988514600623050</v>
      </c>
      <c r="H11" s="91">
        <v>71.923386398513542652975034890</v>
      </c>
      <c r="I11" s="421">
        <v>37.592120416404105714054544740</v>
      </c>
      <c r="J11" s="420">
        <v>38.462797702613486829767744980</v>
      </c>
      <c r="K11" s="91">
        <v>74.079242266688611183121211650</v>
      </c>
      <c r="L11" s="421">
        <v>28.492949092492391838475606300</v>
      </c>
      <c r="M11" s="420">
        <v>76.537945104573324505998837860</v>
      </c>
      <c r="N11" s="91">
        <v>81.50664635076204515807663390</v>
      </c>
      <c r="O11" s="421">
        <v>62.383512240546241144388534400</v>
      </c>
      <c r="P11" s="5"/>
      <c r="Q11" s="420">
        <v>-10.537077291985738551073548020</v>
      </c>
      <c r="R11" s="91">
        <v>2.1376952795872283739749481700</v>
      </c>
      <c r="S11" s="421">
        <v>-8.624632616295774627922474350</v>
      </c>
      <c r="T11" s="420">
        <v>70.597662862512563881324203520</v>
      </c>
      <c r="U11" s="91">
        <v>-17.749651088768368792277112510</v>
      </c>
      <c r="V11" s="421">
        <v>40.317172939185620193429843520</v>
      </c>
      <c r="W11" s="420">
        <v>46.883493196775776136820073500</v>
      </c>
      <c r="X11" s="91">
        <v>-11.044011596006159291137865940</v>
      </c>
      <c r="Y11" s="421">
        <v>30.661663176070639925875790730</v>
      </c>
      <c r="Z11" s="420">
        <v>-8.419369633751301579133307590</v>
      </c>
      <c r="AA11" s="91">
        <v>-1.3278987746390660175753642100</v>
      </c>
      <c r="AB11" s="421">
        <v>-9.635467702218302858821044240</v>
      </c>
    </row>
    <row r="12" ht="18.95" customHeight="1">
      <c r="A12" s="58"/>
      <c r="B12" s="286"/>
      <c r="C12" s="287" t="s">
        <v>187</v>
      </c>
      <c r="D12" s="271">
        <v>92.56378488079630820496399161</v>
      </c>
      <c r="E12" s="92">
        <v>81.52110336468075845637746611</v>
      </c>
      <c r="F12" s="272">
        <v>75.459018751002795912244615630</v>
      </c>
      <c r="G12" s="271">
        <v>38.447206297508781408314178970</v>
      </c>
      <c r="H12" s="92">
        <v>89.44372923229772301410589083</v>
      </c>
      <c r="I12" s="272">
        <v>34.388615098244752900540955990</v>
      </c>
      <c r="J12" s="271">
        <v>26.475177607169020873768392540</v>
      </c>
      <c r="K12" s="92">
        <v>71.806046174790840939740384410</v>
      </c>
      <c r="L12" s="272">
        <v>19.010778257541988253484603300</v>
      </c>
      <c r="M12" s="271">
        <v>71.837027076489485539434544540</v>
      </c>
      <c r="N12" s="92">
        <v>83.00756085375477820729983627</v>
      </c>
      <c r="O12" s="272">
        <v>59.630163966050965379056902640</v>
      </c>
      <c r="P12" s="5"/>
      <c r="Q12" s="271">
        <v>-9.749696351533140913591813270</v>
      </c>
      <c r="R12" s="92">
        <v>0.9411429470759997969517616700</v>
      </c>
      <c r="S12" s="272">
        <v>-8.900311984006476162314015450</v>
      </c>
      <c r="T12" s="271">
        <v>-39.254769172838236510775008320</v>
      </c>
      <c r="U12" s="92">
        <v>10.131514110935576186999365640</v>
      </c>
      <c r="V12" s="272">
        <v>-33.100357539805918047415998940</v>
      </c>
      <c r="W12" s="271">
        <v>-33.437917570156768897967083430</v>
      </c>
      <c r="X12" s="92">
        <v>-15.583430394285087436971904500</v>
      </c>
      <c r="Y12" s="272">
        <v>-43.810573353255512940741824320</v>
      </c>
      <c r="Z12" s="271">
        <v>-21.191722912167390769796361560</v>
      </c>
      <c r="AA12" s="92">
        <v>2.2306978769506045231117723300</v>
      </c>
      <c r="AB12" s="272">
        <v>-19.433748348271491561875817460</v>
      </c>
    </row>
    <row r="13" ht="18.95" customHeight="1">
      <c r="A13" s="58"/>
      <c r="B13" s="288"/>
      <c r="C13" s="289" t="s">
        <v>188</v>
      </c>
      <c r="D13" s="420">
        <v>86.04227013367113504636264085</v>
      </c>
      <c r="E13" s="91">
        <v>81.15493911130498207508629904</v>
      </c>
      <c r="F13" s="421">
        <v>69.827551936983906764782304190</v>
      </c>
      <c r="G13" s="420">
        <v>41.201247501230160684535166150</v>
      </c>
      <c r="H13" s="91">
        <v>87.52240878715565509270816037</v>
      </c>
      <c r="I13" s="421">
        <v>36.060324263206395455108265760</v>
      </c>
      <c r="J13" s="420">
        <v>21.660607496849298729207080680</v>
      </c>
      <c r="K13" s="91">
        <v>82.22193364181588901852206572</v>
      </c>
      <c r="L13" s="421">
        <v>17.809770322483746760247327960</v>
      </c>
      <c r="M13" s="420">
        <v>71.049985275211626660853616970</v>
      </c>
      <c r="N13" s="91">
        <v>83.22866741108989725621499255</v>
      </c>
      <c r="O13" s="421">
        <v>59.133955940365733140665946390</v>
      </c>
      <c r="P13" s="5"/>
      <c r="Q13" s="420">
        <v>-18.654027912889743411925217150</v>
      </c>
      <c r="R13" s="91">
        <v>4.8531390842337796116866671700</v>
      </c>
      <c r="S13" s="421">
        <v>-14.706194748100485763363032570</v>
      </c>
      <c r="T13" s="420">
        <v>18.169603171444699460757455130</v>
      </c>
      <c r="U13" s="91">
        <v>4.0730794953408987939600235200</v>
      </c>
      <c r="V13" s="421">
        <v>22.982745047719684278660470080</v>
      </c>
      <c r="W13" s="420">
        <v>-35.013719402513268580463196480</v>
      </c>
      <c r="X13" s="91">
        <v>-3.7659144730356784595975048700</v>
      </c>
      <c r="Y13" s="421">
        <v>-37.461047148027482891087800630</v>
      </c>
      <c r="Z13" s="420">
        <v>-19.766827338401489633228532930</v>
      </c>
      <c r="AA13" s="91">
        <v>6.3764601456560894551221139900</v>
      </c>
      <c r="AB13" s="421">
        <v>-14.650791059982615973678345320</v>
      </c>
    </row>
    <row r="14" ht="18.95" customHeight="1">
      <c r="A14" s="58"/>
      <c r="B14" s="286"/>
      <c r="C14" s="287" t="s">
        <v>189</v>
      </c>
      <c r="D14" s="271">
        <v>71.753327860138264348845431800</v>
      </c>
      <c r="E14" s="92">
        <v>78.827119308280547737225743580</v>
      </c>
      <c r="F14" s="272">
        <v>56.561081360045349828607374410</v>
      </c>
      <c r="G14" s="271">
        <v>34.368558122433346531275269330</v>
      </c>
      <c r="H14" s="92">
        <v>75.060311100421460121313447140</v>
      </c>
      <c r="I14" s="272">
        <v>25.797146647316702227964048330</v>
      </c>
      <c r="J14" s="271">
        <v>29.061331662893440764860880380</v>
      </c>
      <c r="K14" s="92">
        <v>79.74400116692387223662408029</v>
      </c>
      <c r="L14" s="272">
        <v>23.174668660713396565394837010</v>
      </c>
      <c r="M14" s="271">
        <v>61.991081882589535787803705870</v>
      </c>
      <c r="N14" s="92">
        <v>78.957898968487020231542756610</v>
      </c>
      <c r="O14" s="272">
        <v>48.946855802364416087373060720</v>
      </c>
      <c r="P14" s="5"/>
      <c r="Q14" s="271">
        <v>-31.453159799514201682731855270</v>
      </c>
      <c r="R14" s="92">
        <v>-0.2583629289569760109503215700</v>
      </c>
      <c r="S14" s="272">
        <v>-31.630259423533371508060586300</v>
      </c>
      <c r="T14" s="271">
        <v>-36.802279910647802187880574650</v>
      </c>
      <c r="U14" s="92">
        <v>-10.437229510850224243506398910</v>
      </c>
      <c r="V14" s="272">
        <v>-43.398371001976812632999374590</v>
      </c>
      <c r="W14" s="271">
        <v>-14.569501355259218804441823370</v>
      </c>
      <c r="X14" s="92">
        <v>-6.2893520127854509769608907500</v>
      </c>
      <c r="Y14" s="272">
        <v>-19.942526139250630583299834460</v>
      </c>
      <c r="Z14" s="271">
        <v>-30.276203910121404853833962820</v>
      </c>
      <c r="AA14" s="92">
        <v>-2.1260047320128311287665574500</v>
      </c>
      <c r="AB14" s="272">
        <v>-31.758535114234425591908138920</v>
      </c>
    </row>
    <row r="15" ht="18.95" customHeight="1">
      <c r="A15" s="58"/>
      <c r="B15" s="288"/>
      <c r="C15" s="289" t="s">
        <v>190</v>
      </c>
      <c r="D15" s="420">
        <v>77.179446798397377228039191130</v>
      </c>
      <c r="E15" s="91">
        <v>77.962919654760228279716931980</v>
      </c>
      <c r="F15" s="421">
        <v>60.171350097332096900543988680</v>
      </c>
      <c r="G15" s="420">
        <v>45.699030414992180219185666400</v>
      </c>
      <c r="H15" s="91">
        <v>81.59349137102312594469878225</v>
      </c>
      <c r="I15" s="421">
        <v>37.287434438060399964710879460</v>
      </c>
      <c r="J15" s="420">
        <v>26.069937889979353557152074750</v>
      </c>
      <c r="K15" s="91">
        <v>80.31383193470053333446730918</v>
      </c>
      <c r="L15" s="421">
        <v>20.937766102459057180444459820</v>
      </c>
      <c r="M15" s="420">
        <v>66.333157403586155318740564260</v>
      </c>
      <c r="N15" s="91">
        <v>79.35874459596777663142975123</v>
      </c>
      <c r="O15" s="421">
        <v>52.641160966308908363529334970</v>
      </c>
      <c r="P15" s="5"/>
      <c r="Q15" s="420">
        <v>-29.882747098922839765706442320</v>
      </c>
      <c r="R15" s="91">
        <v>-3.8792215221480441896715376800</v>
      </c>
      <c r="S15" s="421">
        <v>-32.602750664315849822995429110</v>
      </c>
      <c r="T15" s="420">
        <v>82.60318180652954003153194304</v>
      </c>
      <c r="U15" s="91">
        <v>-1.7638906292049513633497176900</v>
      </c>
      <c r="V15" s="421">
        <v>79.38226139329762329102263865</v>
      </c>
      <c r="W15" s="420">
        <v>-20.843135094064488401958062270</v>
      </c>
      <c r="X15" s="91">
        <v>-7.8124311349201310368405254300</v>
      </c>
      <c r="Y15" s="421">
        <v>-27.027210654361359783902213410</v>
      </c>
      <c r="Z15" s="420">
        <v>-23.703652665828147315927950420</v>
      </c>
      <c r="AA15" s="91">
        <v>-3.4765129847447528523961180300</v>
      </c>
      <c r="AB15" s="421">
        <v>-26.356105087846420123958799780</v>
      </c>
    </row>
    <row r="16" ht="18.95" customHeight="1">
      <c r="A16" s="58"/>
      <c r="B16" s="286"/>
      <c r="C16" s="287" t="s">
        <v>191</v>
      </c>
      <c r="D16" s="271">
        <v>74.325759488414023808972838160</v>
      </c>
      <c r="E16" s="92">
        <v>78.587198834057980847664586060</v>
      </c>
      <c r="F16" s="272">
        <v>58.410532394125718585694643960</v>
      </c>
      <c r="G16" s="271">
        <v>99.46770084094959691455744417</v>
      </c>
      <c r="H16" s="92">
        <v>77.581454848647778709871010580</v>
      </c>
      <c r="I16" s="272">
        <v>77.168489416936937053414110760</v>
      </c>
      <c r="J16" s="271">
        <v>23.537891700606872557390039950</v>
      </c>
      <c r="K16" s="92">
        <v>82.85614420575590712243538015</v>
      </c>
      <c r="L16" s="272">
        <v>19.502589490274840753018093720</v>
      </c>
      <c r="M16" s="271">
        <v>74.258371025684098679609689650</v>
      </c>
      <c r="N16" s="92">
        <v>79.179361738137237775706333400</v>
      </c>
      <c r="O16" s="272">
        <v>58.797304215345588506742798970</v>
      </c>
      <c r="P16" s="5"/>
      <c r="Q16" s="271">
        <v>-30.751109643158515294765382740</v>
      </c>
      <c r="R16" s="92">
        <v>-0.3555176502972228759924458200</v>
      </c>
      <c r="S16" s="272">
        <v>-30.997301670920272422918502320</v>
      </c>
      <c r="T16" s="271">
        <v>657.82909469302707265887365800</v>
      </c>
      <c r="U16" s="92">
        <v>2.0785891312612064374865359800</v>
      </c>
      <c r="V16" s="272">
        <v>673.58124788308735506374525173</v>
      </c>
      <c r="W16" s="271">
        <v>-26.954360728221373425785061780</v>
      </c>
      <c r="X16" s="92">
        <v>-1.6575281585720636889791771100</v>
      </c>
      <c r="Y16" s="272">
        <v>-28.165112768199280173374563440</v>
      </c>
      <c r="Z16" s="271">
        <v>-10.371768609077633807288820380</v>
      </c>
      <c r="AA16" s="92">
        <v>-0.1439078422814350011782826400</v>
      </c>
      <c r="AB16" s="272">
        <v>-10.500750662853061395878491570</v>
      </c>
    </row>
    <row r="17" ht="18.95" customHeight="1">
      <c r="A17" s="58"/>
      <c r="B17" s="288"/>
      <c r="C17" s="289" t="s">
        <v>192</v>
      </c>
      <c r="D17" s="420">
        <v>142.95469225497464667926076812</v>
      </c>
      <c r="E17" s="91">
        <v>78.315474324578093044312022990</v>
      </c>
      <c r="F17" s="421">
        <v>111.95564530883472666066642888</v>
      </c>
      <c r="G17" s="420">
        <v>58.208207119313101943918357050</v>
      </c>
      <c r="H17" s="91">
        <v>84.21778644939601440249662741</v>
      </c>
      <c r="I17" s="421">
        <v>49.021663568092866700169926420</v>
      </c>
      <c r="J17" s="420">
        <v>18.060846341054083251865540280</v>
      </c>
      <c r="K17" s="91">
        <v>74.517986038736220082560118790</v>
      </c>
      <c r="L17" s="421">
        <v>13.458578954660606410431811730</v>
      </c>
      <c r="M17" s="420">
        <v>111.06405649336530345288551681</v>
      </c>
      <c r="N17" s="91">
        <v>78.870311059027350998986525740</v>
      </c>
      <c r="O17" s="421">
        <v>87.59656683116299598191296719</v>
      </c>
      <c r="P17" s="5"/>
      <c r="Q17" s="420">
        <v>2.2063486672610914072380776800</v>
      </c>
      <c r="R17" s="91">
        <v>-2.6326765007554857249997591400</v>
      </c>
      <c r="S17" s="421">
        <v>-0.4844138561693720670365134200</v>
      </c>
      <c r="T17" s="420">
        <v>-39.725197547573919563001093030</v>
      </c>
      <c r="U17" s="91">
        <v>5.6822847789498984904492634300</v>
      </c>
      <c r="V17" s="421">
        <v>-36.300211622173817056344691510</v>
      </c>
      <c r="W17" s="420">
        <v>-40.449394522030967813518378600</v>
      </c>
      <c r="X17" s="91">
        <v>-10.589438816949280999406926610</v>
      </c>
      <c r="Y17" s="421">
        <v>-46.755469455021379432818625750</v>
      </c>
      <c r="Z17" s="420">
        <v>-9.079907563043327646216170500</v>
      </c>
      <c r="AA17" s="91">
        <v>-2.2938363613728854746239995600</v>
      </c>
      <c r="AB17" s="421">
        <v>-11.165465703082909000227387840</v>
      </c>
    </row>
    <row r="18" ht="18.95" customHeight="1">
      <c r="A18" s="58"/>
      <c r="B18" s="286"/>
      <c r="C18" s="287" t="s">
        <v>193</v>
      </c>
      <c r="D18" s="271">
        <v>105.45833779735448729719182535</v>
      </c>
      <c r="E18" s="92">
        <v>78.276885413149364739075279600</v>
      </c>
      <c r="F18" s="272">
        <v>82.54950223620579123753997965</v>
      </c>
      <c r="G18" s="271">
        <v>22.969547942891375119665698330</v>
      </c>
      <c r="H18" s="92">
        <v>83.74166894348458427561790731</v>
      </c>
      <c r="I18" s="272">
        <v>19.235082796129429770821004120</v>
      </c>
      <c r="J18" s="271">
        <v>24.483534130774333711655061200</v>
      </c>
      <c r="K18" s="92">
        <v>71.956102612510717755304098040</v>
      </c>
      <c r="L18" s="272">
        <v>17.617396942342615164429272930</v>
      </c>
      <c r="M18" s="271">
        <v>78.902358615716756575720362640</v>
      </c>
      <c r="N18" s="92">
        <v>77.871147010545910656388595010</v>
      </c>
      <c r="O18" s="272">
        <v>61.442171672403885050387422750</v>
      </c>
      <c r="P18" s="5"/>
      <c r="Q18" s="271">
        <v>-1.21328313879732831563482500</v>
      </c>
      <c r="R18" s="92">
        <v>-3.9306899549186268352419823500</v>
      </c>
      <c r="S18" s="272">
        <v>-5.0962826951738696259115185900</v>
      </c>
      <c r="T18" s="271">
        <v>-56.011311041613135076966902930</v>
      </c>
      <c r="U18" s="92">
        <v>13.312173362506825421194029990</v>
      </c>
      <c r="V18" s="272">
        <v>-50.155460507602368099619284640</v>
      </c>
      <c r="W18" s="271">
        <v>36.124140099170449573444499200</v>
      </c>
      <c r="X18" s="92">
        <v>-7.3392675440806444462144905900</v>
      </c>
      <c r="Y18" s="272">
        <v>26.133625264901272712344684140</v>
      </c>
      <c r="Z18" s="271">
        <v>-7.5778468268500321611341715100</v>
      </c>
      <c r="AA18" s="92">
        <v>-4.92559904546174707908315400</v>
      </c>
      <c r="AB18" s="272">
        <v>-12.130191521391486674899406320</v>
      </c>
    </row>
    <row r="19" ht="18.95" customHeight="1">
      <c r="A19" s="58"/>
      <c r="B19" s="288"/>
      <c r="C19" s="289" t="s">
        <v>194</v>
      </c>
      <c r="D19" s="420">
        <v>81.68497105067541216515617933</v>
      </c>
      <c r="E19" s="91">
        <v>87.49822004693139557617106132</v>
      </c>
      <c r="F19" s="421">
        <v>71.472895715236754071654942430</v>
      </c>
      <c r="G19" s="420">
        <v>8.517240382829227404529871720</v>
      </c>
      <c r="H19" s="91">
        <v>81.22990044449054450630925338</v>
      </c>
      <c r="I19" s="421">
        <v>6.918545883621286730571239600</v>
      </c>
      <c r="J19" s="420">
        <v>31.561907832025619552538347050</v>
      </c>
      <c r="K19" s="91">
        <v>71.827891699647633046616926060</v>
      </c>
      <c r="L19" s="421">
        <v>22.670252975677786598682963480</v>
      </c>
      <c r="M19" s="420">
        <v>66.038559548044791499387324330</v>
      </c>
      <c r="N19" s="91">
        <v>84.81937030790834086949363559</v>
      </c>
      <c r="O19" s="421">
        <v>56.013490369079614910939352740</v>
      </c>
      <c r="P19" s="5"/>
      <c r="Q19" s="420">
        <v>-29.378930904973833793801222220</v>
      </c>
      <c r="R19" s="91">
        <v>9.902355044573283436749488990</v>
      </c>
      <c r="S19" s="421">
        <v>-22.385781906920570526048044850</v>
      </c>
      <c r="T19" s="420">
        <v>-84.57865447183689987357788203</v>
      </c>
      <c r="U19" s="91">
        <v>8.485469343599775824537862540</v>
      </c>
      <c r="V19" s="421">
        <v>-83.27008092454519621460244700</v>
      </c>
      <c r="W19" s="420">
        <v>69.184155080004490547063382880</v>
      </c>
      <c r="X19" s="91">
        <v>-6.5938531148477206231105330300</v>
      </c>
      <c r="Y19" s="421">
        <v>58.028400400182418646360300660</v>
      </c>
      <c r="Z19" s="420">
        <v>-27.187474351456374885190644550</v>
      </c>
      <c r="AA19" s="91">
        <v>6.3965736794458451187201443600</v>
      </c>
      <c r="AB19" s="421">
        <v>-22.529967500512545796758679720</v>
      </c>
    </row>
    <row r="20" ht="18.95" customHeight="1">
      <c r="A20" s="58"/>
      <c r="B20" s="286"/>
      <c r="C20" s="287" t="s">
        <v>196</v>
      </c>
      <c r="D20" s="271">
        <v>58.919429272882657556432710390</v>
      </c>
      <c r="E20" s="92">
        <v>86.88038058861815868357034758</v>
      </c>
      <c r="F20" s="272">
        <v>51.189424392899296837315628060</v>
      </c>
      <c r="G20" s="271">
        <v>59.476935793132687286191058270</v>
      </c>
      <c r="H20" s="92">
        <v>91.45933901617270849666616742</v>
      </c>
      <c r="I20" s="272">
        <v>54.397212342972822406778613880</v>
      </c>
      <c r="J20" s="271">
        <v>48.834007804365726199626654770</v>
      </c>
      <c r="K20" s="92">
        <v>67.295088028210338012617121560</v>
      </c>
      <c r="L20" s="272">
        <v>32.862888540335861383142135880</v>
      </c>
      <c r="M20" s="271">
        <v>58.387096774207749316566433200</v>
      </c>
      <c r="N20" s="92">
        <v>86.41579231614831032723580452</v>
      </c>
      <c r="O20" s="272">
        <v>50.455672287797866673395767060</v>
      </c>
      <c r="P20" s="5"/>
      <c r="Q20" s="271">
        <v>-38.895652105476614563889409270</v>
      </c>
      <c r="R20" s="92">
        <v>3.717414984042461427789471700</v>
      </c>
      <c r="S20" s="272">
        <v>-36.624149921044924209135388140</v>
      </c>
      <c r="T20" s="271">
        <v>-59.431019047513051573832647040</v>
      </c>
      <c r="U20" s="92">
        <v>16.387777618998619068258114800</v>
      </c>
      <c r="V20" s="272">
        <v>-52.782664667090245329082832380</v>
      </c>
      <c r="W20" s="271">
        <v>146.52180031157832457021315568</v>
      </c>
      <c r="X20" s="92">
        <v>-15.449013241992882819220618910</v>
      </c>
      <c r="Y20" s="272">
        <v>108.43661473899533479140458267</v>
      </c>
      <c r="Z20" s="271">
        <v>-39.439707673510397874302623940</v>
      </c>
      <c r="AA20" s="92">
        <v>4.4404292397046989199451268400</v>
      </c>
      <c r="AB20" s="272">
        <v>-36.750570745406131262948507990</v>
      </c>
    </row>
    <row r="21" ht="18.95" customHeight="1">
      <c r="A21" s="58"/>
      <c r="B21" s="288">
        <v>2025</v>
      </c>
      <c r="C21" s="289" t="s">
        <v>180</v>
      </c>
      <c r="D21" s="420">
        <v>69.676433356702364664648979850</v>
      </c>
      <c r="E21" s="91">
        <v>82.82670210534357777089412384</v>
      </c>
      <c r="F21" s="421">
        <v>57.710691894031837828240825370</v>
      </c>
      <c r="G21" s="420">
        <v>39.313561281130405457493005350</v>
      </c>
      <c r="H21" s="91">
        <v>86.18297295585143895555159980</v>
      </c>
      <c r="I21" s="421">
        <v>33.881595886938922518790187560</v>
      </c>
      <c r="J21" s="420">
        <v>36.158360547990646419471253540</v>
      </c>
      <c r="K21" s="91">
        <v>65.048597206019947611393222540</v>
      </c>
      <c r="L21" s="421">
        <v>23.520506308706940209500125160</v>
      </c>
      <c r="M21" s="420">
        <v>61.952721004632183888278390880</v>
      </c>
      <c r="N21" s="91">
        <v>81.40584019223406068392901985</v>
      </c>
      <c r="O21" s="421">
        <v>50.433133055792176398952993580</v>
      </c>
      <c r="P21" s="5"/>
      <c r="Q21" s="420">
        <v>-32.962012953925945293372228730</v>
      </c>
      <c r="R21" s="91">
        <v>4.2017923307791096244991608200</v>
      </c>
      <c r="S21" s="421">
        <v>-30.145215955447175018514772620</v>
      </c>
      <c r="T21" s="420">
        <v>-13.672974706873679667389321230</v>
      </c>
      <c r="U21" s="91">
        <v>10.206360882951874525930771480</v>
      </c>
      <c r="V21" s="421">
        <v>-4.8621269660675820318583916200</v>
      </c>
      <c r="W21" s="420">
        <v>126.55864882180555501843167028</v>
      </c>
      <c r="X21" s="91">
        <v>-19.137464307602140657926144960</v>
      </c>
      <c r="Y21" s="421">
        <v>83.20106826533347056974829640</v>
      </c>
      <c r="Z21" s="420">
        <v>-22.379829671895632157999416760</v>
      </c>
      <c r="AA21" s="91">
        <v>0.4486291672699293745844650900</v>
      </c>
      <c r="AB21" s="421">
        <v>-22.031602948094423873022413850</v>
      </c>
    </row>
    <row r="22" ht="18.95" customHeight="1">
      <c r="A22" s="58"/>
      <c r="B22" s="286"/>
      <c r="C22" s="287" t="s">
        <v>183</v>
      </c>
      <c r="D22" s="271">
        <v>70.015669580738375059169415290</v>
      </c>
      <c r="E22" s="92">
        <v>84.30476875198866517662487922</v>
      </c>
      <c r="F22" s="272">
        <v>59.026548330150169090162980560</v>
      </c>
      <c r="G22" s="271">
        <v>81.07939644504649483376996685</v>
      </c>
      <c r="H22" s="92">
        <v>82.64064709244144596075956106</v>
      </c>
      <c r="I22" s="272">
        <v>67.004537880988889033959928910</v>
      </c>
      <c r="J22" s="271">
        <v>45.080543619062154046324671210</v>
      </c>
      <c r="K22" s="92">
        <v>66.430575837523921902813865120</v>
      </c>
      <c r="L22" s="272">
        <v>29.947264716664556572897396790</v>
      </c>
      <c r="M22" s="271">
        <v>70.937896523945081514978802480</v>
      </c>
      <c r="N22" s="92">
        <v>83.37289918830846560931199199</v>
      </c>
      <c r="O22" s="272">
        <v>59.142980955282665345784316280</v>
      </c>
      <c r="P22" s="5"/>
      <c r="Q22" s="271">
        <v>-14.737367826616967478728306020</v>
      </c>
      <c r="R22" s="92">
        <v>3.1987984513091158124297777900</v>
      </c>
      <c r="S22" s="272">
        <v>-12.009988069060521243257812930</v>
      </c>
      <c r="T22" s="271">
        <v>37.805835750730861629087500430</v>
      </c>
      <c r="U22" s="92">
        <v>-0.2459598364280703430857603900</v>
      </c>
      <c r="V22" s="272">
        <v>37.466888742269484197065745360</v>
      </c>
      <c r="W22" s="271">
        <v>103.50301933445760997982783352</v>
      </c>
      <c r="X22" s="92">
        <v>-13.245927779234393111408391830</v>
      </c>
      <c r="Y22" s="272">
        <v>76.547156364313229119894578790</v>
      </c>
      <c r="Z22" s="271">
        <v>-0.0840336528864942318372247600</v>
      </c>
      <c r="AA22" s="92">
        <v>0.9225071748655224261994594600</v>
      </c>
      <c r="AB22" s="272">
        <v>0.8376983056594705485546514700</v>
      </c>
    </row>
    <row r="23" ht="18.95" customHeight="1">
      <c r="A23" s="58"/>
      <c r="B23" s="288"/>
      <c r="C23" s="289" t="s">
        <v>186</v>
      </c>
      <c r="D23" s="420">
        <v>98.64564004517684823719631774</v>
      </c>
      <c r="E23" s="91">
        <v>84.25736947740447356957882707</v>
      </c>
      <c r="F23" s="421">
        <v>83.11622140622164275476791667</v>
      </c>
      <c r="G23" s="420">
        <v>38.642959602390739436984823150</v>
      </c>
      <c r="H23" s="91">
        <v>100.45533132255513884017829491</v>
      </c>
      <c r="I23" s="421">
        <v>38.818913101307718266544444860</v>
      </c>
      <c r="J23" s="420">
        <v>51.988995378068130374926592290</v>
      </c>
      <c r="K23" s="91">
        <v>69.512559603596725953398149160</v>
      </c>
      <c r="L23" s="421">
        <v>36.138881399562142065583703370</v>
      </c>
      <c r="M23" s="420">
        <v>83.06965164519533919815761010</v>
      </c>
      <c r="N23" s="91">
        <v>85.88908243376716570121876327</v>
      </c>
      <c r="O23" s="421">
        <v>71.347761578982413149618373610</v>
      </c>
      <c r="P23" s="5"/>
      <c r="Q23" s="420">
        <v>5.3928048288383185083787106900</v>
      </c>
      <c r="R23" s="91">
        <v>1.5230440016444012766086004700</v>
      </c>
      <c r="S23" s="421">
        <v>6.9979836209595880670407039300</v>
      </c>
      <c r="T23" s="420">
        <v>-26.066088204782483190556743760</v>
      </c>
      <c r="U23" s="91">
        <v>39.669913157273400488185850930</v>
      </c>
      <c r="V23" s="421">
        <v>3.2634303979631744350299650900</v>
      </c>
      <c r="W23" s="420">
        <v>35.166962580451575803688485510</v>
      </c>
      <c r="X23" s="91">
        <v>-6.1645914879397774457066723100</v>
      </c>
      <c r="Y23" s="421">
        <v>26.834471511672083915522488560</v>
      </c>
      <c r="Z23" s="420">
        <v>8.533945524234851327414076260</v>
      </c>
      <c r="AA23" s="91">
        <v>5.3767837092761839925027829300</v>
      </c>
      <c r="AB23" s="421">
        <v>14.369581026351274967083541740</v>
      </c>
    </row>
    <row r="24" ht="18.95" customHeight="1">
      <c r="A24" s="59"/>
      <c r="B24" s="286"/>
      <c r="C24" s="287" t="s">
        <v>187</v>
      </c>
      <c r="D24" s="271">
        <v>81.18348420586343230461934059</v>
      </c>
      <c r="E24" s="92">
        <v>80.73442685360018042814778602</v>
      </c>
      <c r="F24" s="272">
        <v>65.543020673472510858741166760</v>
      </c>
      <c r="G24" s="271">
        <v>17.71800622621837689401911600</v>
      </c>
      <c r="H24" s="92">
        <v>87.01459620964545382683674041</v>
      </c>
      <c r="I24" s="272">
        <v>15.417251574155512372247145700</v>
      </c>
      <c r="J24" s="271">
        <v>43.314467329475475052164232110</v>
      </c>
      <c r="K24" s="92">
        <v>71.668343027365149091508793920</v>
      </c>
      <c r="L24" s="272">
        <v>31.042761026646787551771729290</v>
      </c>
      <c r="M24" s="271">
        <v>65.938762020850759688861983730</v>
      </c>
      <c r="N24" s="92">
        <v>79.43871047787891993669721700</v>
      </c>
      <c r="O24" s="272">
        <v>52.380902254427033372447100400</v>
      </c>
      <c r="P24" s="93"/>
      <c r="Q24" s="271">
        <v>-12.294549849697342342061629700</v>
      </c>
      <c r="R24" s="92">
        <v>-0.9649973793662656027893088300</v>
      </c>
      <c r="S24" s="272">
        <v>-13.140905145146855079940149220</v>
      </c>
      <c r="T24" s="271">
        <v>-53.916011246386771636878472730</v>
      </c>
      <c r="U24" s="92">
        <v>-2.7158226110470978325387700700</v>
      </c>
      <c r="V24" s="272">
        <v>-55.167570633100324819851963580</v>
      </c>
      <c r="W24" s="271">
        <v>63.604067070341323123360867820</v>
      </c>
      <c r="X24" s="92">
        <v>-0.1917709646617156196882462700</v>
      </c>
      <c r="Y24" s="272">
        <v>63.29032197511437178348104400</v>
      </c>
      <c r="Z24" s="271">
        <v>-8.210619642385974971810491850</v>
      </c>
      <c r="AA24" s="92">
        <v>-4.2994280752410541363878938100</v>
      </c>
      <c r="AB24" s="272">
        <v>-12.157038031614674949192281960</v>
      </c>
    </row>
    <row r="25" ht="18.95" customHeight="1">
      <c r="A25" s="60"/>
      <c r="B25" s="288"/>
      <c r="C25" s="289" t="s">
        <v>188</v>
      </c>
      <c r="D25" s="420">
        <v>87.74120439081956404567557436</v>
      </c>
      <c r="E25" s="91">
        <v>80.36445823521724828803344661</v>
      </c>
      <c r="F25" s="421">
        <v>70.512743557702171764763614490</v>
      </c>
      <c r="G25" s="420">
        <v>20.338634224776098190456653440</v>
      </c>
      <c r="H25" s="91">
        <v>85.72063676985543596582622621</v>
      </c>
      <c r="I25" s="421">
        <v>17.434406767743558626454815010</v>
      </c>
      <c r="J25" s="420">
        <v>36.599076620349905166441205190</v>
      </c>
      <c r="K25" s="91">
        <v>74.405862246690575656785940320</v>
      </c>
      <c r="L25" s="421">
        <v>27.231858533429578535554383030</v>
      </c>
      <c r="M25" s="420">
        <v>72.026575749675497966122204390</v>
      </c>
      <c r="N25" s="91">
        <v>80.58421479393931339611897716</v>
      </c>
      <c r="O25" s="421">
        <v>58.042050510804848713919992010</v>
      </c>
      <c r="P25" s="93"/>
      <c r="Q25" s="420">
        <v>1.9745344404321405035197264200</v>
      </c>
      <c r="R25" s="91">
        <v>-0.9740391462787571587704559500</v>
      </c>
      <c r="S25" s="421">
        <v>0.9812625556748247093622214600</v>
      </c>
      <c r="T25" s="420">
        <v>-50.635877653501320021199189950</v>
      </c>
      <c r="U25" s="91">
        <v>-2.0586408010379966332766624700</v>
      </c>
      <c r="V25" s="421">
        <v>-51.652107616970091909545524560</v>
      </c>
      <c r="W25" s="420">
        <v>68.966067206364453614908389370</v>
      </c>
      <c r="X25" s="91">
        <v>-9.506066141864472883078378510</v>
      </c>
      <c r="Y25" s="421">
        <v>52.904041098307535658869151760</v>
      </c>
      <c r="Z25" s="420">
        <v>1.3745118604780019673286953900</v>
      </c>
      <c r="AA25" s="91">
        <v>-3.1773338435165219853690567400</v>
      </c>
      <c r="AB25" s="421">
        <v>-1.8464948137338590962278728800</v>
      </c>
    </row>
    <row r="26" ht="18.95" customHeight="1">
      <c r="A26" s="60"/>
      <c r="B26" s="290"/>
      <c r="C26" s="291" t="s">
        <v>189</v>
      </c>
      <c r="D26" s="273">
        <v>78.660447002231296833611301370</v>
      </c>
      <c r="E26" s="274">
        <v>75.100047930521843320645607760</v>
      </c>
      <c r="F26" s="275">
        <v>59.074033400968142951319745760</v>
      </c>
      <c r="G26" s="273">
        <v>43.643728003172332441255491900</v>
      </c>
      <c r="H26" s="274">
        <v>80.01217761488201838168377908</v>
      </c>
      <c r="I26" s="275">
        <v>34.920297167680029419327948390</v>
      </c>
      <c r="J26" s="273">
        <v>28.787551123204619671551539380</v>
      </c>
      <c r="K26" s="274">
        <v>78.537729196109962791666923900</v>
      </c>
      <c r="L26" s="275">
        <v>22.609088943412225850950688350</v>
      </c>
      <c r="M26" s="273">
        <v>68.327557688875520877589515330</v>
      </c>
      <c r="N26" s="274">
        <v>75.906780822461444105212426380</v>
      </c>
      <c r="O26" s="275">
        <v>51.865249456192393329901740930</v>
      </c>
      <c r="P26" s="184"/>
      <c r="Q26" s="273">
        <v>9.626200412053850951797857870</v>
      </c>
      <c r="R26" s="274">
        <v>-4.7281587992594821348696110800</v>
      </c>
      <c r="S26" s="275">
        <v>4.4428995707732398122590380400</v>
      </c>
      <c r="T26" s="273">
        <v>26.987369815573268412930828700</v>
      </c>
      <c r="U26" s="274">
        <v>6.5971835739642033636440953500</v>
      </c>
      <c r="V26" s="275">
        <v>35.364959718655099135669859310</v>
      </c>
      <c r="W26" s="273">
        <v>-0.9420784390444551766151634800</v>
      </c>
      <c r="X26" s="274">
        <v>-1.5126805190842799848748657700</v>
      </c>
      <c r="Y26" s="275">
        <v>-2.440508322118511750901046400</v>
      </c>
      <c r="Z26" s="273">
        <v>10.221592548224389000348385620</v>
      </c>
      <c r="AA26" s="274">
        <v>-3.8642342132935802559476049400</v>
      </c>
      <c r="AB26" s="275">
        <v>5.9623720583279966279302234800</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95" customHeight="1">
      <c r="A29" s="58"/>
      <c r="B29" s="284">
        <v>2023</v>
      </c>
      <c r="C29" s="285"/>
      <c r="D29" s="427">
        <v>101.75862979229233584184950731</v>
      </c>
      <c r="E29" s="428">
        <v>78.910568119813897442031238410</v>
      </c>
      <c r="F29" s="429">
        <v>80.29831287989599281814354003</v>
      </c>
      <c r="G29" s="427">
        <v>50.709068852173227564318557670</v>
      </c>
      <c r="H29" s="428">
        <v>84.97934444046703115276596017</v>
      </c>
      <c r="I29" s="429">
        <v>43.092234282470942746119414030</v>
      </c>
      <c r="J29" s="427">
        <v>32.940203808650058897223950450</v>
      </c>
      <c r="K29" s="428">
        <v>88.13240371535392642187557175</v>
      </c>
      <c r="L29" s="429">
        <v>29.030993405369180739997246250</v>
      </c>
      <c r="M29" s="427">
        <v>86.30413137920216986106673990</v>
      </c>
      <c r="N29" s="428">
        <v>80.59900807013654281971580404</v>
      </c>
      <c r="O29" s="429">
        <v>69.560273815128524610508632480</v>
      </c>
      <c r="P29" s="5"/>
      <c r="Q29" s="427">
        <v>4.284075026063267206161669900</v>
      </c>
      <c r="R29" s="428">
        <v>-6.2863145812920066102896082300</v>
      </c>
      <c r="S29" s="429">
        <v>-2.2715499883600600050389042200</v>
      </c>
      <c r="T29" s="427">
        <v>-40.531750878587216948378770750</v>
      </c>
      <c r="U29" s="428">
        <v>-12.032021725376516149201771430</v>
      </c>
      <c r="V29" s="429">
        <v>-47.686983532672760087554013880</v>
      </c>
      <c r="W29" s="427">
        <v>66.668972081225936996509985010</v>
      </c>
      <c r="X29" s="428">
        <v>-10.620031264417874203400020810</v>
      </c>
      <c r="Y29" s="429">
        <v>48.968675136365793609109096910</v>
      </c>
      <c r="Z29" s="427">
        <v>-1.5400680469159526892431787700</v>
      </c>
      <c r="AA29" s="428">
        <v>-9.268964444476530643359915210</v>
      </c>
      <c r="AB29" s="429">
        <v>-10.666284131842414486668353610</v>
      </c>
    </row>
    <row r="30" ht="18.95" customHeight="1">
      <c r="A30" s="58"/>
      <c r="B30" s="286">
        <v>2024</v>
      </c>
      <c r="C30" s="287"/>
      <c r="D30" s="271">
        <v>87.51727686528315370089212929</v>
      </c>
      <c r="E30" s="92">
        <v>81.03585075134163542952722995</v>
      </c>
      <c r="F30" s="272">
        <v>70.920369862176369481981449490</v>
      </c>
      <c r="G30" s="271">
        <v>46.565999545102161822132750750</v>
      </c>
      <c r="H30" s="92">
        <v>80.29067606528025596332978833</v>
      </c>
      <c r="I30" s="272">
        <v>37.388155851110042331467833470</v>
      </c>
      <c r="J30" s="271">
        <v>24.990631110157200685558559650</v>
      </c>
      <c r="K30" s="92">
        <v>77.778555393433119606200258350</v>
      </c>
      <c r="L30" s="272">
        <v>19.437351861245873753496348350</v>
      </c>
      <c r="M30" s="271">
        <v>71.959268561775278080439225160</v>
      </c>
      <c r="N30" s="92">
        <v>81.78595379134838075136380974</v>
      </c>
      <c r="O30" s="272">
        <v>58.852574134551965333225632540</v>
      </c>
      <c r="P30" s="5"/>
      <c r="Q30" s="271">
        <v>-13.995228666192672050311654710</v>
      </c>
      <c r="R30" s="92">
        <v>2.6932801045293272560160711300</v>
      </c>
      <c r="S30" s="272">
        <v>-11.678879270788621078796119200</v>
      </c>
      <c r="T30" s="271">
        <v>-8.170272893737215950091401650</v>
      </c>
      <c r="U30" s="92">
        <v>-5.5174212111069056990417483900</v>
      </c>
      <c r="V30" s="272">
        <v>-13.236905735719570642646142380</v>
      </c>
      <c r="W30" s="271">
        <v>-24.133343997231730505207984770</v>
      </c>
      <c r="X30" s="92">
        <v>-11.748060742110088436762774950</v>
      </c>
      <c r="Y30" s="272">
        <v>-33.046204827319588677349201080</v>
      </c>
      <c r="Z30" s="271">
        <v>-16.621293312595636561357788310</v>
      </c>
      <c r="AA30" s="92">
        <v>1.4726554949858058419016271800</v>
      </c>
      <c r="AB30" s="272">
        <v>-15.393412206815708973740691920</v>
      </c>
    </row>
    <row r="31" ht="18.95" customHeight="1">
      <c r="A31" s="58"/>
      <c r="B31" s="425">
        <v>2025</v>
      </c>
      <c r="C31" s="426"/>
      <c r="D31" s="430">
        <v>81.36830751113125448820543007</v>
      </c>
      <c r="E31" s="431">
        <v>81.16283779745736632657636021</v>
      </c>
      <c r="F31" s="432">
        <v>66.040827443885858354419189610</v>
      </c>
      <c r="G31" s="430">
        <v>40.780324988579887006850136610</v>
      </c>
      <c r="H31" s="431">
        <v>86.58387851779413213745234378</v>
      </c>
      <c r="I31" s="432">
        <v>35.309187047287678122599756780</v>
      </c>
      <c r="J31" s="430">
        <v>38.826828745001315779277475360</v>
      </c>
      <c r="K31" s="431">
        <v>71.547207364344572460503735120</v>
      </c>
      <c r="L31" s="432">
        <v>27.779511675048422644097590590</v>
      </c>
      <c r="M31" s="430">
        <v>70.731879340901407651754031970</v>
      </c>
      <c r="N31" s="431">
        <v>81.17673495935630927175970899</v>
      </c>
      <c r="O31" s="432">
        <v>57.417830224364244218329324790</v>
      </c>
      <c r="P31" s="184"/>
      <c r="Q31" s="430">
        <v>-7.0260062634635855371505898800</v>
      </c>
      <c r="R31" s="431">
        <v>0.156704773233134921489461200</v>
      </c>
      <c r="S31" s="432">
        <v>-6.8803115773299138162158934400</v>
      </c>
      <c r="T31" s="430">
        <v>-12.424675971824859315769334750</v>
      </c>
      <c r="U31" s="431">
        <v>7.8380239909499609535757542700</v>
      </c>
      <c r="V31" s="432">
        <v>-5.5605010637376926567484836300</v>
      </c>
      <c r="W31" s="430">
        <v>55.365539084581304521958160150</v>
      </c>
      <c r="X31" s="431">
        <v>-8.011653080386469408252562970</v>
      </c>
      <c r="Y31" s="432">
        <v>42.918191086002207870025994870</v>
      </c>
      <c r="Z31" s="430">
        <v>-1.7056721745920568166254732200</v>
      </c>
      <c r="AA31" s="431">
        <v>-0.7448942070154062619131934100</v>
      </c>
      <c r="AB31" s="432">
        <v>-2.4378609284861439907935469400</v>
      </c>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95" customHeight="1">
      <c r="A34" s="58"/>
      <c r="B34" s="284">
        <v>2023</v>
      </c>
      <c r="C34" s="285"/>
      <c r="D34" s="427">
        <v>104.38894932495336511424097922</v>
      </c>
      <c r="E34" s="428">
        <v>79.021117377563191219340650900</v>
      </c>
      <c r="F34" s="429">
        <v>82.48931417519161805710432584</v>
      </c>
      <c r="G34" s="427">
        <v>51.772799060360567541027030930</v>
      </c>
      <c r="H34" s="428">
        <v>82.84686266520139665831012057</v>
      </c>
      <c r="I34" s="429">
        <v>42.892139735525524051837369200</v>
      </c>
      <c r="J34" s="427">
        <v>35.547171587239738297307606670</v>
      </c>
      <c r="K34" s="428">
        <v>85.23016482267437984624378912</v>
      </c>
      <c r="L34" s="429">
        <v>30.296912933689297276643539930</v>
      </c>
      <c r="M34" s="427">
        <v>89.46583645437766560411818325</v>
      </c>
      <c r="N34" s="428">
        <v>80.09943864288651722091931743</v>
      </c>
      <c r="O34" s="429">
        <v>71.661632777087886818123926940</v>
      </c>
      <c r="P34" s="5"/>
      <c r="Q34" s="427">
        <v>12.259819503768370531875739260</v>
      </c>
      <c r="R34" s="428">
        <v>-6.2621477423049855987575561700</v>
      </c>
      <c r="S34" s="429">
        <v>5.229943751119519939950745300</v>
      </c>
      <c r="T34" s="427">
        <v>-32.356579454643523981056644730</v>
      </c>
      <c r="U34" s="428">
        <v>-16.357456096150060617385314720</v>
      </c>
      <c r="V34" s="429">
        <v>-43.421322272113953788904409780</v>
      </c>
      <c r="W34" s="427">
        <v>88.60781427292555183770484787</v>
      </c>
      <c r="X34" s="428">
        <v>-14.373404804048287051588566540</v>
      </c>
      <c r="Y34" s="429">
        <v>61.498449635181931657209011730</v>
      </c>
      <c r="Z34" s="427">
        <v>8.016288013041122179006890390</v>
      </c>
      <c r="AA34" s="428">
        <v>-10.458044150758407485074649320</v>
      </c>
      <c r="AB34" s="429">
        <v>-3.2801030775183539887220591500</v>
      </c>
    </row>
    <row r="35" ht="18.95" customHeight="1">
      <c r="A35" s="58"/>
      <c r="B35" s="286">
        <v>2024</v>
      </c>
      <c r="C35" s="287"/>
      <c r="D35" s="271">
        <v>82.88125029341021280384990629</v>
      </c>
      <c r="E35" s="92">
        <v>80.68188885820805463746488339</v>
      </c>
      <c r="F35" s="272">
        <v>66.870158245982544743106656630</v>
      </c>
      <c r="G35" s="271">
        <v>38.057171999740555283520476140</v>
      </c>
      <c r="H35" s="92">
        <v>85.22222850372813433315057656</v>
      </c>
      <c r="I35" s="272">
        <v>32.433170083771823994470602590</v>
      </c>
      <c r="J35" s="271">
        <v>25.285360552424987765212608640</v>
      </c>
      <c r="K35" s="92">
        <v>77.856113894705402040455381610</v>
      </c>
      <c r="L35" s="272">
        <v>19.686199110340800052801835540</v>
      </c>
      <c r="M35" s="271">
        <v>68.265592341435377503642874700</v>
      </c>
      <c r="N35" s="92">
        <v>81.91999640186484081669693627</v>
      </c>
      <c r="O35" s="272">
        <v>55.923170789832373372152953500</v>
      </c>
      <c r="P35" s="5"/>
      <c r="Q35" s="271">
        <v>-20.603425142855548322332052280</v>
      </c>
      <c r="R35" s="92">
        <v>2.101680583270050150059475900</v>
      </c>
      <c r="S35" s="272">
        <v>-18.934762745200852230752519360</v>
      </c>
      <c r="T35" s="271">
        <v>-26.491955833136051603594676600</v>
      </c>
      <c r="U35" s="92">
        <v>2.8671765738763596908776483200</v>
      </c>
      <c r="V35" s="272">
        <v>-24.384350410645826581950932550</v>
      </c>
      <c r="W35" s="271">
        <v>-28.868150619528152597341935620</v>
      </c>
      <c r="X35" s="92">
        <v>-8.651926161746211619232054270</v>
      </c>
      <c r="Y35" s="272">
        <v>-35.022425705810582715640305670</v>
      </c>
      <c r="Z35" s="271">
        <v>-23.696468901590399051913349370</v>
      </c>
      <c r="AA35" s="92">
        <v>2.2728720572952663667199123100</v>
      </c>
      <c r="AB35" s="272">
        <v>-21.962187264447828087173586050</v>
      </c>
    </row>
    <row r="36" ht="18.95" customHeight="1">
      <c r="A36" s="58"/>
      <c r="B36" s="425">
        <v>2025</v>
      </c>
      <c r="C36" s="426"/>
      <c r="D36" s="430">
        <v>82.51660316757615566090686018</v>
      </c>
      <c r="E36" s="431">
        <v>78.689084769145395851074415800</v>
      </c>
      <c r="F36" s="432">
        <v>64.931559815192138127510423750</v>
      </c>
      <c r="G36" s="430">
        <v>27.294106701287500269482594350</v>
      </c>
      <c r="H36" s="431">
        <v>82.89863296355405549198695300</v>
      </c>
      <c r="I36" s="432">
        <v>22.626441335076999823394949880</v>
      </c>
      <c r="J36" s="430">
        <v>34.983095557323200669101954880</v>
      </c>
      <c r="K36" s="431">
        <v>75.462579309609818835330254610</v>
      </c>
      <c r="L36" s="432">
        <v>26.399146230086042050410891530</v>
      </c>
      <c r="M36" s="430">
        <v>68.836681889843988586294204180</v>
      </c>
      <c r="N36" s="431">
        <v>78.571867492622043292550136160</v>
      </c>
      <c r="O36" s="432">
        <v>54.086266480779602398500864520</v>
      </c>
      <c r="P36" s="184"/>
      <c r="Q36" s="430">
        <v>-0.439963350616685762321132700</v>
      </c>
      <c r="R36" s="431">
        <v>-2.4699522002478107185578907300</v>
      </c>
      <c r="S36" s="432">
        <v>-2.8990486663366372684530647700</v>
      </c>
      <c r="T36" s="430">
        <v>-28.281306079435812121709182930</v>
      </c>
      <c r="U36" s="431">
        <v>-2.7265134706552099955926454400</v>
      </c>
      <c r="V36" s="432">
        <v>-30.236725930227060281417985370</v>
      </c>
      <c r="W36" s="430">
        <v>38.353160853000867368015181670</v>
      </c>
      <c r="X36" s="431">
        <v>-3.0743052348174281815972696300</v>
      </c>
      <c r="Y36" s="432">
        <v>34.099762387721490251897218870</v>
      </c>
      <c r="Z36" s="430">
        <v>0.8365701209885328369222273400</v>
      </c>
      <c r="AA36" s="431">
        <v>-4.0870716019712890844467973500</v>
      </c>
      <c r="AB36" s="432">
        <v>-3.2846927008570770400353574700</v>
      </c>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95" customHeight="1">
      <c r="A39" s="58"/>
      <c r="B39" s="284">
        <v>2023</v>
      </c>
      <c r="C39" s="285"/>
      <c r="D39" s="427">
        <v>94.82189232897097723830249442</v>
      </c>
      <c r="E39" s="428">
        <v>80.78087675926963798233659058</v>
      </c>
      <c r="F39" s="429">
        <v>76.597955983014575742991448570</v>
      </c>
      <c r="G39" s="427">
        <v>54.200001280548540143641523350</v>
      </c>
      <c r="H39" s="428">
        <v>85.34482370940629735696707502</v>
      </c>
      <c r="I39" s="429">
        <v>46.256895543389938847950472240</v>
      </c>
      <c r="J39" s="427">
        <v>30.451176138184813533602253960</v>
      </c>
      <c r="K39" s="428">
        <v>91.85758592959878767181007866</v>
      </c>
      <c r="L39" s="429">
        <v>27.971715287472795142206513900</v>
      </c>
      <c r="M39" s="427">
        <v>82.13016576176191138702279132</v>
      </c>
      <c r="N39" s="428">
        <v>82.45976698149995142551261255</v>
      </c>
      <c r="O39" s="429">
        <v>67.724343308611373241684424570</v>
      </c>
      <c r="P39" s="5"/>
      <c r="Q39" s="427">
        <v>2.7431859274128960572264834500</v>
      </c>
      <c r="R39" s="428">
        <v>-10.933895191394031875527147500</v>
      </c>
      <c r="S39" s="429">
        <v>-8.490646338153697987175400060</v>
      </c>
      <c r="T39" s="427">
        <v>-42.073721314821635973660458900</v>
      </c>
      <c r="U39" s="428">
        <v>-5.2640397299190239913894153700</v>
      </c>
      <c r="V39" s="429">
        <v>-45.122983638855080496497186830</v>
      </c>
      <c r="W39" s="427">
        <v>23.227398749969940630726592070</v>
      </c>
      <c r="X39" s="428">
        <v>-11.167133592106362643179533880</v>
      </c>
      <c r="Y39" s="429">
        <v>9.466430508857257865678147240</v>
      </c>
      <c r="Z39" s="427">
        <v>-4.7920921148906287953625873400</v>
      </c>
      <c r="AA39" s="428">
        <v>-11.220238906669614151473024720</v>
      </c>
      <c r="AB39" s="429">
        <v>-15.474646837662043616213416220</v>
      </c>
    </row>
    <row r="40" ht="18.95" customHeight="1">
      <c r="A40" s="58"/>
      <c r="B40" s="286">
        <v>2024</v>
      </c>
      <c r="C40" s="287"/>
      <c r="D40" s="271">
        <v>99.58299562765818350463080358</v>
      </c>
      <c r="E40" s="92">
        <v>80.69688884546187701627883781</v>
      </c>
      <c r="F40" s="272">
        <v>80.36037929067982242673790543</v>
      </c>
      <c r="G40" s="271">
        <v>52.502833258180478809313474760</v>
      </c>
      <c r="H40" s="92">
        <v>78.940309152850315730227856470</v>
      </c>
      <c r="I40" s="272">
        <v>41.445898887959166975133493500</v>
      </c>
      <c r="J40" s="271">
        <v>24.484107714621853905079285940</v>
      </c>
      <c r="K40" s="92">
        <v>79.162552093792746601693211400</v>
      </c>
      <c r="L40" s="272">
        <v>19.382244524391013386014563030</v>
      </c>
      <c r="M40" s="271">
        <v>82.05541182264597473865275370</v>
      </c>
      <c r="N40" s="92">
        <v>81.25580531341063530430230491</v>
      </c>
      <c r="O40" s="272">
        <v>66.674785679747890638490743670</v>
      </c>
      <c r="P40" s="5"/>
      <c r="Q40" s="271">
        <v>5.0211013318936518612185980800</v>
      </c>
      <c r="R40" s="92">
        <v>-0.103970044901070932663976800</v>
      </c>
      <c r="S40" s="272">
        <v>4.9119108459171511972771455300</v>
      </c>
      <c r="T40" s="271">
        <v>-3.1313062402641047677207817100</v>
      </c>
      <c r="U40" s="92">
        <v>-7.5042800233053641513134197300</v>
      </c>
      <c r="V40" s="272">
        <v>-10.400604275154978287397704680</v>
      </c>
      <c r="W40" s="271">
        <v>-19.595526939574116495301478880</v>
      </c>
      <c r="X40" s="92">
        <v>-13.820343423282182887211346220</v>
      </c>
      <c r="Y40" s="272">
        <v>-30.707701243289321157206980850</v>
      </c>
      <c r="Z40" s="271">
        <v>-0.0910188582485419324432793500</v>
      </c>
      <c r="AA40" s="92">
        <v>-1.4600595080016121130659917200</v>
      </c>
      <c r="AB40" s="272">
        <v>-1.5497494365793738305077521200</v>
      </c>
    </row>
    <row r="41" ht="18.95" customHeight="1">
      <c r="A41" s="58"/>
      <c r="B41" s="425">
        <v>2025</v>
      </c>
      <c r="C41" s="426"/>
      <c r="D41" s="430">
        <v>84.94479274196766508648825312</v>
      </c>
      <c r="E41" s="431">
        <v>81.25100616385290702979142390</v>
      </c>
      <c r="F41" s="432">
        <v>69.018498786674250609720921650</v>
      </c>
      <c r="G41" s="430">
        <v>43.854959778186021397104567050</v>
      </c>
      <c r="H41" s="431">
        <v>83.29527812152003243570117907</v>
      </c>
      <c r="I41" s="432">
        <v>36.529110717313478977402542750</v>
      </c>
      <c r="J41" s="430">
        <v>32.508548336879293494869503470</v>
      </c>
      <c r="K41" s="431">
        <v>73.539732414592522365700056770</v>
      </c>
      <c r="L41" s="432">
        <v>23.906699458619440030597589560</v>
      </c>
      <c r="M41" s="430">
        <v>73.148749568309239705441506760</v>
      </c>
      <c r="N41" s="431">
        <v>81.03653411265851912193371291</v>
      </c>
      <c r="O41" s="432">
        <v>59.277211396884062599101683060</v>
      </c>
      <c r="P41" s="184"/>
      <c r="Q41" s="430">
        <v>-14.699500445295475013974072800</v>
      </c>
      <c r="R41" s="431">
        <v>0.6866650329157106733646161900</v>
      </c>
      <c r="S41" s="432">
        <v>-14.113771741914028225943282690</v>
      </c>
      <c r="T41" s="430">
        <v>-16.471251060843151766302620450</v>
      </c>
      <c r="U41" s="431">
        <v>5.5167873236787869905555015800</v>
      </c>
      <c r="V41" s="432">
        <v>-11.863147627641630757137355610</v>
      </c>
      <c r="W41" s="430">
        <v>32.774078254419204624411530400</v>
      </c>
      <c r="X41" s="431">
        <v>-7.1028782302836546430361102700</v>
      </c>
      <c r="Y41" s="432">
        <v>23.343297152833231080674279890</v>
      </c>
      <c r="Z41" s="430">
        <v>-10.854448300797699462131287680</v>
      </c>
      <c r="AA41" s="431">
        <v>-0.2698529660690232315167738300</v>
      </c>
      <c r="AB41" s="432">
        <v>-11.095010216235647345761402800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6"/>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c r="AP43" s="236"/>
    </row>
    <row r="44" ht="12" customHeight="1">
      <c r="Z44" s="55"/>
      <c r="AA44" s="233"/>
      <c r="AB44" s="233"/>
      <c r="AP44" s="236"/>
    </row>
    <row r="45" ht="12" customHeight="1">
      <c r="AP45" s="236"/>
    </row>
    <row r="46" s="466" customFormat="1">
      <c r="A46"/>
    </row>
    <row r="47" s="466" customFormat="1"/>
    <row r="48" s="466" customFormat="1"/>
    <row r="49" s="466" customFormat="1"/>
    <row r="50" s="466" customFormat="1"/>
    <row r="51" s="466" customFormat="1"/>
    <row r="52" s="466" customFormat="1"/>
    <row r="53" s="466" customFormat="1"/>
    <row r="54" s="466" customFormat="1"/>
    <row r="55" s="466" customFormat="1"/>
    <row r="56" s="466" customFormat="1"/>
    <row r="57" s="466" customFormat="1"/>
    <row r="58" s="466" customFormat="1"/>
    <row r="59" s="466" customFormat="1"/>
    <row r="60" s="466" customFormat="1"/>
    <row r="61" s="466" customFormat="1"/>
    <row r="62" s="466" customFormat="1"/>
    <row r="63" s="466" customFormat="1"/>
    <row r="64" s="466" customFormat="1"/>
    <row r="65" s="466" customFormat="1"/>
    <row r="66" s="466" customFormat="1"/>
    <row r="67" s="466" customFormat="1"/>
    <row r="68" s="466" customFormat="1"/>
    <row r="69" s="466" customFormat="1"/>
    <row r="70" s="466" customFormat="1"/>
    <row r="71" s="466" customFormat="1"/>
    <row r="72" s="466" customFormat="1"/>
    <row r="73" s="466" customFormat="1"/>
    <row r="74" s="466" customFormat="1"/>
    <row r="75" s="466" customFormat="1"/>
    <row r="76" s="466" customFormat="1"/>
    <row r="77" s="466" customFormat="1"/>
    <row r="78" s="466" customFormat="1"/>
    <row r="79" s="466" customFormat="1"/>
    <row r="80" s="466" customFormat="1"/>
    <row r="81" s="466" customFormat="1"/>
  </sheetData>
  <mergeCells count="21">
    <mergeCell ref="B3:AB3"/>
    <mergeCell ref="Q33:AB33"/>
    <mergeCell ref="B8:C8"/>
    <mergeCell ref="B2:AB2"/>
    <mergeCell ref="Q6:AB6"/>
    <mergeCell ref="D6:O6"/>
    <mergeCell ref="B4:AB4"/>
    <mergeCell ref="T7:V7"/>
    <mergeCell ref="M7:O7"/>
    <mergeCell ref="G7:I7"/>
    <mergeCell ref="D7:F7"/>
    <mergeCell ref="Q7:S7"/>
    <mergeCell ref="J7:L7"/>
    <mergeCell ref="B43:AB43"/>
    <mergeCell ref="B33:O33"/>
    <mergeCell ref="W7:Y7"/>
    <mergeCell ref="Q38:AB38"/>
    <mergeCell ref="B28:O28"/>
    <mergeCell ref="Z7:AB7"/>
    <mergeCell ref="B38:O38"/>
    <mergeCell ref="Q28:AB28"/>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1"/>
</worksheet>
</file>

<file path=xl/worksheets/sheet5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4">
    <pageSetUpPr fitToPage="1"/>
  </sheetPr>
  <dimension ref="A1:AP78"/>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6" customWidth="1"/>
  </cols>
  <sheetData>
    <row r="1" ht="30">
      <c r="A1" s="89"/>
      <c r="B1" s="656" t="s">
        <v>149</v>
      </c>
      <c r="Z1" s="5"/>
      <c r="AB1" s="685"/>
      <c r="AD1" s="236"/>
    </row>
    <row r="2" ht="15" customHeight="1">
      <c r="A2" s="11"/>
      <c r="B2" s="999" t="s">
        <v>170</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171</v>
      </c>
      <c r="C3" s="999"/>
      <c r="D3" s="999"/>
      <c r="E3" s="999"/>
      <c r="F3" s="999"/>
      <c r="G3" s="999"/>
      <c r="H3" s="999"/>
      <c r="I3" s="999"/>
      <c r="J3" s="999"/>
      <c r="K3" s="999"/>
      <c r="L3" s="999"/>
      <c r="M3" s="999"/>
      <c r="N3" s="999"/>
      <c r="O3" s="999"/>
      <c r="P3" s="999"/>
      <c r="Q3" s="999"/>
      <c r="R3" s="999"/>
      <c r="S3" s="999"/>
      <c r="T3" s="999"/>
      <c r="U3" s="999"/>
      <c r="V3" s="999"/>
      <c r="W3" s="999"/>
      <c r="X3" s="999"/>
      <c r="Y3" s="999"/>
      <c r="Z3" s="999"/>
      <c r="AA3" s="999"/>
      <c r="AB3" s="999"/>
    </row>
    <row r="4" ht="19.5" customHeight="1">
      <c r="A4" s="4"/>
      <c r="B4" s="999" t="s">
        <v>172</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5" customHeight="1"/>
    <row r="6" ht="15.75" customHeight="1">
      <c r="D6" s="960" t="s">
        <v>77</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53</v>
      </c>
      <c r="E8" s="413" t="s">
        <v>9</v>
      </c>
      <c r="F8" s="414" t="s">
        <v>10</v>
      </c>
      <c r="G8" s="412" t="s">
        <v>53</v>
      </c>
      <c r="H8" s="413" t="s">
        <v>9</v>
      </c>
      <c r="I8" s="414" t="s">
        <v>10</v>
      </c>
      <c r="J8" s="412" t="s">
        <v>53</v>
      </c>
      <c r="K8" s="413" t="s">
        <v>9</v>
      </c>
      <c r="L8" s="414" t="s">
        <v>10</v>
      </c>
      <c r="M8" s="412" t="s">
        <v>53</v>
      </c>
      <c r="N8" s="413" t="s">
        <v>9</v>
      </c>
      <c r="O8" s="414" t="s">
        <v>10</v>
      </c>
      <c r="P8" s="63"/>
      <c r="Q8" s="412" t="s">
        <v>53</v>
      </c>
      <c r="R8" s="413" t="s">
        <v>9</v>
      </c>
      <c r="S8" s="414" t="s">
        <v>10</v>
      </c>
      <c r="T8" s="412" t="s">
        <v>53</v>
      </c>
      <c r="U8" s="413" t="s">
        <v>9</v>
      </c>
      <c r="V8" s="414" t="s">
        <v>10</v>
      </c>
      <c r="W8" s="412" t="s">
        <v>53</v>
      </c>
      <c r="X8" s="413" t="s">
        <v>9</v>
      </c>
      <c r="Y8" s="414" t="s">
        <v>10</v>
      </c>
      <c r="Z8" s="412" t="s">
        <v>53</v>
      </c>
      <c r="AA8" s="413" t="s">
        <v>9</v>
      </c>
      <c r="AB8" s="414" t="s">
        <v>10</v>
      </c>
    </row>
    <row r="9" ht="18.95" customHeight="1">
      <c r="A9" s="57"/>
      <c r="B9" s="284">
        <v>2024</v>
      </c>
      <c r="C9" s="285" t="s">
        <v>180</v>
      </c>
      <c r="D9" s="415" t="s">
        <v>266</v>
      </c>
      <c r="E9" s="416" t="s">
        <v>267</v>
      </c>
      <c r="F9" s="417" t="s">
        <v>267</v>
      </c>
      <c r="G9" s="415" t="s">
        <v>267</v>
      </c>
      <c r="H9" s="416" t="s">
        <v>268</v>
      </c>
      <c r="I9" s="417" t="s">
        <v>267</v>
      </c>
      <c r="J9" s="415" t="s">
        <v>269</v>
      </c>
      <c r="K9" s="416" t="s">
        <v>269</v>
      </c>
      <c r="L9" s="417" t="s">
        <v>269</v>
      </c>
      <c r="M9" s="415" t="s">
        <v>181</v>
      </c>
      <c r="N9" s="416" t="s">
        <v>182</v>
      </c>
      <c r="O9" s="417" t="s">
        <v>181</v>
      </c>
      <c r="P9" s="5"/>
      <c r="Q9" s="415" t="s">
        <v>270</v>
      </c>
      <c r="R9" s="416" t="s">
        <v>269</v>
      </c>
      <c r="S9" s="417" t="s">
        <v>271</v>
      </c>
      <c r="T9" s="415" t="s">
        <v>271</v>
      </c>
      <c r="U9" s="416" t="s">
        <v>268</v>
      </c>
      <c r="V9" s="417" t="s">
        <v>271</v>
      </c>
      <c r="W9" s="415" t="s">
        <v>268</v>
      </c>
      <c r="X9" s="416" t="s">
        <v>267</v>
      </c>
      <c r="Y9" s="417" t="s">
        <v>268</v>
      </c>
      <c r="Z9" s="415" t="s">
        <v>198</v>
      </c>
      <c r="AA9" s="416" t="s">
        <v>195</v>
      </c>
      <c r="AB9" s="417" t="s">
        <v>199</v>
      </c>
    </row>
    <row r="10" ht="18.95" customHeight="1">
      <c r="A10" s="58"/>
      <c r="B10" s="286"/>
      <c r="C10" s="287" t="s">
        <v>183</v>
      </c>
      <c r="D10" s="271" t="s">
        <v>268</v>
      </c>
      <c r="E10" s="92" t="s">
        <v>266</v>
      </c>
      <c r="F10" s="272" t="s">
        <v>267</v>
      </c>
      <c r="G10" s="271" t="s">
        <v>267</v>
      </c>
      <c r="H10" s="92" t="s">
        <v>267</v>
      </c>
      <c r="I10" s="272" t="s">
        <v>267</v>
      </c>
      <c r="J10" s="271" t="s">
        <v>269</v>
      </c>
      <c r="K10" s="92" t="s">
        <v>270</v>
      </c>
      <c r="L10" s="272" t="s">
        <v>269</v>
      </c>
      <c r="M10" s="271" t="s">
        <v>184</v>
      </c>
      <c r="N10" s="92" t="s">
        <v>185</v>
      </c>
      <c r="O10" s="272" t="s">
        <v>184</v>
      </c>
      <c r="P10" s="5"/>
      <c r="Q10" s="271" t="s">
        <v>268</v>
      </c>
      <c r="R10" s="92" t="s">
        <v>271</v>
      </c>
      <c r="S10" s="272" t="s">
        <v>268</v>
      </c>
      <c r="T10" s="271" t="s">
        <v>267</v>
      </c>
      <c r="U10" s="92" t="s">
        <v>266</v>
      </c>
      <c r="V10" s="272" t="s">
        <v>267</v>
      </c>
      <c r="W10" s="271" t="s">
        <v>270</v>
      </c>
      <c r="X10" s="92" t="s">
        <v>270</v>
      </c>
      <c r="Y10" s="272" t="s">
        <v>270</v>
      </c>
      <c r="Z10" s="271" t="s">
        <v>197</v>
      </c>
      <c r="AA10" s="92" t="s">
        <v>195</v>
      </c>
      <c r="AB10" s="272" t="s">
        <v>197</v>
      </c>
    </row>
    <row r="11" ht="18.95" customHeight="1">
      <c r="A11" s="58"/>
      <c r="B11" s="288"/>
      <c r="C11" s="289" t="s">
        <v>186</v>
      </c>
      <c r="D11" s="420" t="s">
        <v>267</v>
      </c>
      <c r="E11" s="91" t="s">
        <v>266</v>
      </c>
      <c r="F11" s="421" t="s">
        <v>267</v>
      </c>
      <c r="G11" s="420" t="s">
        <v>267</v>
      </c>
      <c r="H11" s="91" t="s">
        <v>268</v>
      </c>
      <c r="I11" s="421" t="s">
        <v>267</v>
      </c>
      <c r="J11" s="420" t="s">
        <v>270</v>
      </c>
      <c r="K11" s="91" t="s">
        <v>269</v>
      </c>
      <c r="L11" s="421" t="s">
        <v>270</v>
      </c>
      <c r="M11" s="420" t="s">
        <v>181</v>
      </c>
      <c r="N11" s="91" t="s">
        <v>182</v>
      </c>
      <c r="O11" s="421" t="s">
        <v>182</v>
      </c>
      <c r="P11" s="5"/>
      <c r="Q11" s="420" t="s">
        <v>267</v>
      </c>
      <c r="R11" s="91" t="s">
        <v>270</v>
      </c>
      <c r="S11" s="421" t="s">
        <v>267</v>
      </c>
      <c r="T11" s="420" t="s">
        <v>271</v>
      </c>
      <c r="U11" s="91" t="s">
        <v>268</v>
      </c>
      <c r="V11" s="421" t="s">
        <v>270</v>
      </c>
      <c r="W11" s="420" t="s">
        <v>270</v>
      </c>
      <c r="X11" s="91" t="s">
        <v>270</v>
      </c>
      <c r="Y11" s="421" t="s">
        <v>270</v>
      </c>
      <c r="Z11" s="420" t="s">
        <v>182</v>
      </c>
      <c r="AA11" s="91" t="s">
        <v>182</v>
      </c>
      <c r="AB11" s="421" t="s">
        <v>182</v>
      </c>
    </row>
    <row r="12" ht="18.95" customHeight="1">
      <c r="A12" s="58"/>
      <c r="B12" s="286"/>
      <c r="C12" s="287" t="s">
        <v>187</v>
      </c>
      <c r="D12" s="271" t="s">
        <v>266</v>
      </c>
      <c r="E12" s="92" t="s">
        <v>266</v>
      </c>
      <c r="F12" s="272" t="s">
        <v>267</v>
      </c>
      <c r="G12" s="271" t="s">
        <v>267</v>
      </c>
      <c r="H12" s="92" t="s">
        <v>266</v>
      </c>
      <c r="I12" s="272" t="s">
        <v>267</v>
      </c>
      <c r="J12" s="271" t="s">
        <v>269</v>
      </c>
      <c r="K12" s="92" t="s">
        <v>269</v>
      </c>
      <c r="L12" s="272" t="s">
        <v>269</v>
      </c>
      <c r="M12" s="271" t="s">
        <v>184</v>
      </c>
      <c r="N12" s="92" t="s">
        <v>182</v>
      </c>
      <c r="O12" s="272" t="s">
        <v>181</v>
      </c>
      <c r="P12" s="5"/>
      <c r="Q12" s="271" t="s">
        <v>267</v>
      </c>
      <c r="R12" s="92" t="s">
        <v>269</v>
      </c>
      <c r="S12" s="272" t="s">
        <v>266</v>
      </c>
      <c r="T12" s="271" t="s">
        <v>266</v>
      </c>
      <c r="U12" s="92" t="s">
        <v>271</v>
      </c>
      <c r="V12" s="272" t="s">
        <v>266</v>
      </c>
      <c r="W12" s="271" t="s">
        <v>270</v>
      </c>
      <c r="X12" s="92" t="s">
        <v>269</v>
      </c>
      <c r="Y12" s="272" t="s">
        <v>270</v>
      </c>
      <c r="Z12" s="271" t="s">
        <v>181</v>
      </c>
      <c r="AA12" s="92" t="s">
        <v>181</v>
      </c>
      <c r="AB12" s="272" t="s">
        <v>181</v>
      </c>
    </row>
    <row r="13" ht="18.95" customHeight="1">
      <c r="A13" s="58"/>
      <c r="B13" s="288"/>
      <c r="C13" s="289" t="s">
        <v>188</v>
      </c>
      <c r="D13" s="420" t="s">
        <v>266</v>
      </c>
      <c r="E13" s="91" t="s">
        <v>267</v>
      </c>
      <c r="F13" s="421" t="s">
        <v>267</v>
      </c>
      <c r="G13" s="420" t="s">
        <v>267</v>
      </c>
      <c r="H13" s="91" t="s">
        <v>266</v>
      </c>
      <c r="I13" s="421" t="s">
        <v>267</v>
      </c>
      <c r="J13" s="420" t="s">
        <v>269</v>
      </c>
      <c r="K13" s="91" t="s">
        <v>270</v>
      </c>
      <c r="L13" s="421" t="s">
        <v>269</v>
      </c>
      <c r="M13" s="420" t="s">
        <v>184</v>
      </c>
      <c r="N13" s="91" t="s">
        <v>185</v>
      </c>
      <c r="O13" s="421" t="s">
        <v>184</v>
      </c>
      <c r="P13" s="5"/>
      <c r="Q13" s="420" t="s">
        <v>268</v>
      </c>
      <c r="R13" s="91" t="s">
        <v>270</v>
      </c>
      <c r="S13" s="421" t="s">
        <v>268</v>
      </c>
      <c r="T13" s="420" t="s">
        <v>269</v>
      </c>
      <c r="U13" s="91" t="s">
        <v>270</v>
      </c>
      <c r="V13" s="421" t="s">
        <v>269</v>
      </c>
      <c r="W13" s="420" t="s">
        <v>269</v>
      </c>
      <c r="X13" s="91" t="s">
        <v>271</v>
      </c>
      <c r="Y13" s="421" t="s">
        <v>269</v>
      </c>
      <c r="Z13" s="420" t="s">
        <v>184</v>
      </c>
      <c r="AA13" s="91" t="s">
        <v>198</v>
      </c>
      <c r="AB13" s="421" t="s">
        <v>181</v>
      </c>
    </row>
    <row r="14" ht="18.95" customHeight="1">
      <c r="A14" s="58"/>
      <c r="B14" s="286"/>
      <c r="C14" s="287" t="s">
        <v>189</v>
      </c>
      <c r="D14" s="271" t="s">
        <v>268</v>
      </c>
      <c r="E14" s="92" t="s">
        <v>268</v>
      </c>
      <c r="F14" s="272" t="s">
        <v>268</v>
      </c>
      <c r="G14" s="271" t="s">
        <v>268</v>
      </c>
      <c r="H14" s="92" t="s">
        <v>268</v>
      </c>
      <c r="I14" s="272" t="s">
        <v>268</v>
      </c>
      <c r="J14" s="271" t="s">
        <v>269</v>
      </c>
      <c r="K14" s="92" t="s">
        <v>270</v>
      </c>
      <c r="L14" s="272" t="s">
        <v>269</v>
      </c>
      <c r="M14" s="271" t="s">
        <v>184</v>
      </c>
      <c r="N14" s="92" t="s">
        <v>181</v>
      </c>
      <c r="O14" s="272" t="s">
        <v>184</v>
      </c>
      <c r="P14" s="5"/>
      <c r="Q14" s="271" t="s">
        <v>268</v>
      </c>
      <c r="R14" s="92" t="s">
        <v>270</v>
      </c>
      <c r="S14" s="272" t="s">
        <v>268</v>
      </c>
      <c r="T14" s="271" t="s">
        <v>267</v>
      </c>
      <c r="U14" s="92" t="s">
        <v>268</v>
      </c>
      <c r="V14" s="272" t="s">
        <v>268</v>
      </c>
      <c r="W14" s="271" t="s">
        <v>270</v>
      </c>
      <c r="X14" s="92" t="s">
        <v>271</v>
      </c>
      <c r="Y14" s="272" t="s">
        <v>270</v>
      </c>
      <c r="Z14" s="271" t="s">
        <v>184</v>
      </c>
      <c r="AA14" s="92" t="s">
        <v>181</v>
      </c>
      <c r="AB14" s="272" t="s">
        <v>184</v>
      </c>
    </row>
    <row r="15" ht="18.95" customHeight="1">
      <c r="A15" s="58"/>
      <c r="B15" s="288"/>
      <c r="C15" s="289" t="s">
        <v>190</v>
      </c>
      <c r="D15" s="420" t="s">
        <v>268</v>
      </c>
      <c r="E15" s="91" t="s">
        <v>267</v>
      </c>
      <c r="F15" s="421" t="s">
        <v>268</v>
      </c>
      <c r="G15" s="420" t="s">
        <v>267</v>
      </c>
      <c r="H15" s="91" t="s">
        <v>267</v>
      </c>
      <c r="I15" s="421" t="s">
        <v>267</v>
      </c>
      <c r="J15" s="420" t="s">
        <v>269</v>
      </c>
      <c r="K15" s="91" t="s">
        <v>269</v>
      </c>
      <c r="L15" s="421" t="s">
        <v>269</v>
      </c>
      <c r="M15" s="420" t="s">
        <v>184</v>
      </c>
      <c r="N15" s="91" t="s">
        <v>182</v>
      </c>
      <c r="O15" s="421" t="s">
        <v>184</v>
      </c>
      <c r="P15" s="5"/>
      <c r="Q15" s="420" t="s">
        <v>268</v>
      </c>
      <c r="R15" s="91" t="s">
        <v>269</v>
      </c>
      <c r="S15" s="421" t="s">
        <v>268</v>
      </c>
      <c r="T15" s="420" t="s">
        <v>269</v>
      </c>
      <c r="U15" s="91" t="s">
        <v>270</v>
      </c>
      <c r="V15" s="421" t="s">
        <v>269</v>
      </c>
      <c r="W15" s="420" t="s">
        <v>267</v>
      </c>
      <c r="X15" s="91" t="s">
        <v>270</v>
      </c>
      <c r="Y15" s="421" t="s">
        <v>267</v>
      </c>
      <c r="Z15" s="420" t="s">
        <v>181</v>
      </c>
      <c r="AA15" s="91" t="s">
        <v>195</v>
      </c>
      <c r="AB15" s="421" t="s">
        <v>181</v>
      </c>
    </row>
    <row r="16" ht="18.95" customHeight="1">
      <c r="A16" s="58"/>
      <c r="B16" s="286"/>
      <c r="C16" s="287" t="s">
        <v>191</v>
      </c>
      <c r="D16" s="271" t="s">
        <v>268</v>
      </c>
      <c r="E16" s="92" t="s">
        <v>267</v>
      </c>
      <c r="F16" s="272" t="s">
        <v>268</v>
      </c>
      <c r="G16" s="271" t="s">
        <v>269</v>
      </c>
      <c r="H16" s="92" t="s">
        <v>267</v>
      </c>
      <c r="I16" s="272" t="s">
        <v>266</v>
      </c>
      <c r="J16" s="271" t="s">
        <v>269</v>
      </c>
      <c r="K16" s="92" t="s">
        <v>270</v>
      </c>
      <c r="L16" s="272" t="s">
        <v>269</v>
      </c>
      <c r="M16" s="271" t="s">
        <v>181</v>
      </c>
      <c r="N16" s="92" t="s">
        <v>182</v>
      </c>
      <c r="O16" s="272" t="s">
        <v>181</v>
      </c>
      <c r="P16" s="5"/>
      <c r="Q16" s="271" t="s">
        <v>268</v>
      </c>
      <c r="R16" s="92" t="s">
        <v>269</v>
      </c>
      <c r="S16" s="272" t="s">
        <v>268</v>
      </c>
      <c r="T16" s="271" t="s">
        <v>271</v>
      </c>
      <c r="U16" s="92" t="s">
        <v>269</v>
      </c>
      <c r="V16" s="272" t="s">
        <v>271</v>
      </c>
      <c r="W16" s="271" t="s">
        <v>267</v>
      </c>
      <c r="X16" s="92" t="s">
        <v>271</v>
      </c>
      <c r="Y16" s="272" t="s">
        <v>267</v>
      </c>
      <c r="Z16" s="271" t="s">
        <v>182</v>
      </c>
      <c r="AA16" s="92" t="s">
        <v>185</v>
      </c>
      <c r="AB16" s="272" t="s">
        <v>181</v>
      </c>
    </row>
    <row r="17" ht="18.95" customHeight="1">
      <c r="A17" s="58"/>
      <c r="B17" s="288"/>
      <c r="C17" s="289" t="s">
        <v>192</v>
      </c>
      <c r="D17" s="420" t="s">
        <v>269</v>
      </c>
      <c r="E17" s="91" t="s">
        <v>268</v>
      </c>
      <c r="F17" s="421" t="s">
        <v>266</v>
      </c>
      <c r="G17" s="420" t="s">
        <v>267</v>
      </c>
      <c r="H17" s="91" t="s">
        <v>266</v>
      </c>
      <c r="I17" s="421" t="s">
        <v>267</v>
      </c>
      <c r="J17" s="420" t="s">
        <v>269</v>
      </c>
      <c r="K17" s="91" t="s">
        <v>269</v>
      </c>
      <c r="L17" s="421" t="s">
        <v>269</v>
      </c>
      <c r="M17" s="420" t="s">
        <v>185</v>
      </c>
      <c r="N17" s="91" t="s">
        <v>182</v>
      </c>
      <c r="O17" s="421" t="s">
        <v>185</v>
      </c>
      <c r="P17" s="5"/>
      <c r="Q17" s="420" t="s">
        <v>266</v>
      </c>
      <c r="R17" s="91" t="s">
        <v>267</v>
      </c>
      <c r="S17" s="421" t="s">
        <v>266</v>
      </c>
      <c r="T17" s="420" t="s">
        <v>266</v>
      </c>
      <c r="U17" s="91" t="s">
        <v>270</v>
      </c>
      <c r="V17" s="421" t="s">
        <v>266</v>
      </c>
      <c r="W17" s="420" t="s">
        <v>268</v>
      </c>
      <c r="X17" s="91" t="s">
        <v>268</v>
      </c>
      <c r="Y17" s="421" t="s">
        <v>268</v>
      </c>
      <c r="Z17" s="420" t="s">
        <v>185</v>
      </c>
      <c r="AA17" s="91" t="s">
        <v>181</v>
      </c>
      <c r="AB17" s="421" t="s">
        <v>182</v>
      </c>
    </row>
    <row r="18" ht="18.95" customHeight="1">
      <c r="A18" s="58"/>
      <c r="B18" s="286"/>
      <c r="C18" s="287" t="s">
        <v>193</v>
      </c>
      <c r="D18" s="271" t="s">
        <v>269</v>
      </c>
      <c r="E18" s="92" t="s">
        <v>267</v>
      </c>
      <c r="F18" s="272" t="s">
        <v>266</v>
      </c>
      <c r="G18" s="271" t="s">
        <v>267</v>
      </c>
      <c r="H18" s="92" t="s">
        <v>266</v>
      </c>
      <c r="I18" s="272" t="s">
        <v>267</v>
      </c>
      <c r="J18" s="271" t="s">
        <v>269</v>
      </c>
      <c r="K18" s="92" t="s">
        <v>269</v>
      </c>
      <c r="L18" s="272" t="s">
        <v>269</v>
      </c>
      <c r="M18" s="271" t="s">
        <v>181</v>
      </c>
      <c r="N18" s="92" t="s">
        <v>182</v>
      </c>
      <c r="O18" s="272" t="s">
        <v>181</v>
      </c>
      <c r="P18" s="5"/>
      <c r="Q18" s="271" t="s">
        <v>266</v>
      </c>
      <c r="R18" s="92" t="s">
        <v>267</v>
      </c>
      <c r="S18" s="272" t="s">
        <v>267</v>
      </c>
      <c r="T18" s="271" t="s">
        <v>267</v>
      </c>
      <c r="U18" s="92" t="s">
        <v>271</v>
      </c>
      <c r="V18" s="272" t="s">
        <v>266</v>
      </c>
      <c r="W18" s="271" t="s">
        <v>271</v>
      </c>
      <c r="X18" s="92" t="s">
        <v>269</v>
      </c>
      <c r="Y18" s="272" t="s">
        <v>270</v>
      </c>
      <c r="Z18" s="271" t="s">
        <v>184</v>
      </c>
      <c r="AA18" s="92" t="s">
        <v>184</v>
      </c>
      <c r="AB18" s="272" t="s">
        <v>184</v>
      </c>
    </row>
    <row r="19" ht="18.95" customHeight="1">
      <c r="A19" s="58"/>
      <c r="B19" s="288"/>
      <c r="C19" s="289" t="s">
        <v>194</v>
      </c>
      <c r="D19" s="420" t="s">
        <v>266</v>
      </c>
      <c r="E19" s="91" t="s">
        <v>269</v>
      </c>
      <c r="F19" s="421" t="s">
        <v>267</v>
      </c>
      <c r="G19" s="420" t="s">
        <v>268</v>
      </c>
      <c r="H19" s="91" t="s">
        <v>267</v>
      </c>
      <c r="I19" s="421" t="s">
        <v>267</v>
      </c>
      <c r="J19" s="420" t="s">
        <v>269</v>
      </c>
      <c r="K19" s="91" t="s">
        <v>270</v>
      </c>
      <c r="L19" s="421" t="s">
        <v>269</v>
      </c>
      <c r="M19" s="420" t="s">
        <v>184</v>
      </c>
      <c r="N19" s="91" t="s">
        <v>195</v>
      </c>
      <c r="O19" s="421" t="s">
        <v>184</v>
      </c>
      <c r="P19" s="5"/>
      <c r="Q19" s="420" t="s">
        <v>268</v>
      </c>
      <c r="R19" s="91" t="s">
        <v>270</v>
      </c>
      <c r="S19" s="421" t="s">
        <v>268</v>
      </c>
      <c r="T19" s="420" t="s">
        <v>268</v>
      </c>
      <c r="U19" s="91" t="s">
        <v>271</v>
      </c>
      <c r="V19" s="421" t="s">
        <v>268</v>
      </c>
      <c r="W19" s="420" t="s">
        <v>271</v>
      </c>
      <c r="X19" s="91" t="s">
        <v>270</v>
      </c>
      <c r="Y19" s="421" t="s">
        <v>271</v>
      </c>
      <c r="Z19" s="420" t="s">
        <v>184</v>
      </c>
      <c r="AA19" s="91" t="s">
        <v>198</v>
      </c>
      <c r="AB19" s="421" t="s">
        <v>184</v>
      </c>
    </row>
    <row r="20" ht="18.95" customHeight="1">
      <c r="A20" s="58"/>
      <c r="B20" s="286"/>
      <c r="C20" s="287" t="s">
        <v>196</v>
      </c>
      <c r="D20" s="271" t="s">
        <v>268</v>
      </c>
      <c r="E20" s="92" t="s">
        <v>269</v>
      </c>
      <c r="F20" s="272" t="s">
        <v>268</v>
      </c>
      <c r="G20" s="271" t="s">
        <v>269</v>
      </c>
      <c r="H20" s="92" t="s">
        <v>267</v>
      </c>
      <c r="I20" s="272" t="s">
        <v>267</v>
      </c>
      <c r="J20" s="271" t="s">
        <v>270</v>
      </c>
      <c r="K20" s="92" t="s">
        <v>269</v>
      </c>
      <c r="L20" s="272" t="s">
        <v>270</v>
      </c>
      <c r="M20" s="271" t="s">
        <v>184</v>
      </c>
      <c r="N20" s="92" t="s">
        <v>195</v>
      </c>
      <c r="O20" s="272" t="s">
        <v>184</v>
      </c>
      <c r="P20" s="5"/>
      <c r="Q20" s="271" t="s">
        <v>268</v>
      </c>
      <c r="R20" s="92" t="s">
        <v>269</v>
      </c>
      <c r="S20" s="272" t="s">
        <v>268</v>
      </c>
      <c r="T20" s="271" t="s">
        <v>266</v>
      </c>
      <c r="U20" s="92" t="s">
        <v>271</v>
      </c>
      <c r="V20" s="272" t="s">
        <v>269</v>
      </c>
      <c r="W20" s="271" t="s">
        <v>271</v>
      </c>
      <c r="X20" s="92" t="s">
        <v>268</v>
      </c>
      <c r="Y20" s="272" t="s">
        <v>271</v>
      </c>
      <c r="Z20" s="271" t="s">
        <v>184</v>
      </c>
      <c r="AA20" s="92" t="s">
        <v>198</v>
      </c>
      <c r="AB20" s="272" t="s">
        <v>197</v>
      </c>
    </row>
    <row r="21" ht="18.95" customHeight="1">
      <c r="A21" s="58"/>
      <c r="B21" s="288">
        <v>2025</v>
      </c>
      <c r="C21" s="289" t="s">
        <v>180</v>
      </c>
      <c r="D21" s="420" t="s">
        <v>267</v>
      </c>
      <c r="E21" s="91" t="s">
        <v>266</v>
      </c>
      <c r="F21" s="421" t="s">
        <v>268</v>
      </c>
      <c r="G21" s="420" t="s">
        <v>266</v>
      </c>
      <c r="H21" s="91" t="s">
        <v>266</v>
      </c>
      <c r="I21" s="421" t="s">
        <v>267</v>
      </c>
      <c r="J21" s="420" t="s">
        <v>270</v>
      </c>
      <c r="K21" s="91" t="s">
        <v>269</v>
      </c>
      <c r="L21" s="421" t="s">
        <v>270</v>
      </c>
      <c r="M21" s="420" t="s">
        <v>184</v>
      </c>
      <c r="N21" s="91" t="s">
        <v>185</v>
      </c>
      <c r="O21" s="421" t="s">
        <v>184</v>
      </c>
      <c r="P21" s="5"/>
      <c r="Q21" s="420" t="s">
        <v>268</v>
      </c>
      <c r="R21" s="91" t="s">
        <v>266</v>
      </c>
      <c r="S21" s="421" t="s">
        <v>268</v>
      </c>
      <c r="T21" s="420" t="s">
        <v>266</v>
      </c>
      <c r="U21" s="91" t="s">
        <v>271</v>
      </c>
      <c r="V21" s="421" t="s">
        <v>266</v>
      </c>
      <c r="W21" s="420" t="s">
        <v>271</v>
      </c>
      <c r="X21" s="91" t="s">
        <v>267</v>
      </c>
      <c r="Y21" s="421" t="s">
        <v>271</v>
      </c>
      <c r="Z21" s="420" t="s">
        <v>181</v>
      </c>
      <c r="AA21" s="91" t="s">
        <v>195</v>
      </c>
      <c r="AB21" s="421" t="s">
        <v>181</v>
      </c>
    </row>
    <row r="22" ht="18.95" customHeight="1">
      <c r="A22" s="58"/>
      <c r="B22" s="286"/>
      <c r="C22" s="287" t="s">
        <v>183</v>
      </c>
      <c r="D22" s="271" t="s">
        <v>268</v>
      </c>
      <c r="E22" s="92" t="s">
        <v>266</v>
      </c>
      <c r="F22" s="272" t="s">
        <v>268</v>
      </c>
      <c r="G22" s="271" t="s">
        <v>267</v>
      </c>
      <c r="H22" s="92" t="s">
        <v>267</v>
      </c>
      <c r="I22" s="272" t="s">
        <v>267</v>
      </c>
      <c r="J22" s="271" t="s">
        <v>270</v>
      </c>
      <c r="K22" s="92" t="s">
        <v>269</v>
      </c>
      <c r="L22" s="272" t="s">
        <v>270</v>
      </c>
      <c r="M22" s="271" t="s">
        <v>184</v>
      </c>
      <c r="N22" s="92" t="s">
        <v>195</v>
      </c>
      <c r="O22" s="272" t="s">
        <v>184</v>
      </c>
      <c r="P22" s="5"/>
      <c r="Q22" s="271" t="s">
        <v>266</v>
      </c>
      <c r="R22" s="92" t="s">
        <v>267</v>
      </c>
      <c r="S22" s="272" t="s">
        <v>266</v>
      </c>
      <c r="T22" s="271" t="s">
        <v>269</v>
      </c>
      <c r="U22" s="92" t="s">
        <v>271</v>
      </c>
      <c r="V22" s="272" t="s">
        <v>270</v>
      </c>
      <c r="W22" s="271" t="s">
        <v>271</v>
      </c>
      <c r="X22" s="92" t="s">
        <v>269</v>
      </c>
      <c r="Y22" s="272" t="s">
        <v>271</v>
      </c>
      <c r="Z22" s="271" t="s">
        <v>182</v>
      </c>
      <c r="AA22" s="92" t="s">
        <v>182</v>
      </c>
      <c r="AB22" s="272" t="s">
        <v>185</v>
      </c>
    </row>
    <row r="23" ht="18.95" customHeight="1">
      <c r="A23" s="58"/>
      <c r="B23" s="288"/>
      <c r="C23" s="289" t="s">
        <v>186</v>
      </c>
      <c r="D23" s="420" t="s">
        <v>266</v>
      </c>
      <c r="E23" s="91" t="s">
        <v>269</v>
      </c>
      <c r="F23" s="421" t="s">
        <v>267</v>
      </c>
      <c r="G23" s="420" t="s">
        <v>267</v>
      </c>
      <c r="H23" s="91" t="s">
        <v>269</v>
      </c>
      <c r="I23" s="421" t="s">
        <v>267</v>
      </c>
      <c r="J23" s="420" t="s">
        <v>270</v>
      </c>
      <c r="K23" s="91" t="s">
        <v>269</v>
      </c>
      <c r="L23" s="421" t="s">
        <v>270</v>
      </c>
      <c r="M23" s="420" t="s">
        <v>181</v>
      </c>
      <c r="N23" s="91" t="s">
        <v>195</v>
      </c>
      <c r="O23" s="421" t="s">
        <v>185</v>
      </c>
      <c r="P23" s="5"/>
      <c r="Q23" s="420" t="s">
        <v>270</v>
      </c>
      <c r="R23" s="91" t="s">
        <v>267</v>
      </c>
      <c r="S23" s="421" t="s">
        <v>270</v>
      </c>
      <c r="T23" s="420" t="s">
        <v>267</v>
      </c>
      <c r="U23" s="91" t="s">
        <v>271</v>
      </c>
      <c r="V23" s="421" t="s">
        <v>267</v>
      </c>
      <c r="W23" s="420" t="s">
        <v>266</v>
      </c>
      <c r="X23" s="91" t="s">
        <v>268</v>
      </c>
      <c r="Y23" s="421" t="s">
        <v>266</v>
      </c>
      <c r="Z23" s="420" t="s">
        <v>182</v>
      </c>
      <c r="AA23" s="91" t="s">
        <v>198</v>
      </c>
      <c r="AB23" s="421" t="s">
        <v>182</v>
      </c>
    </row>
    <row r="24" ht="18.95" customHeight="1">
      <c r="A24" s="59"/>
      <c r="B24" s="286"/>
      <c r="C24" s="287" t="s">
        <v>187</v>
      </c>
      <c r="D24" s="271" t="s">
        <v>268</v>
      </c>
      <c r="E24" s="92" t="s">
        <v>267</v>
      </c>
      <c r="F24" s="272" t="s">
        <v>268</v>
      </c>
      <c r="G24" s="271" t="s">
        <v>267</v>
      </c>
      <c r="H24" s="92" t="s">
        <v>269</v>
      </c>
      <c r="I24" s="272" t="s">
        <v>267</v>
      </c>
      <c r="J24" s="271" t="s">
        <v>270</v>
      </c>
      <c r="K24" s="92" t="s">
        <v>269</v>
      </c>
      <c r="L24" s="272" t="s">
        <v>270</v>
      </c>
      <c r="M24" s="271" t="s">
        <v>197</v>
      </c>
      <c r="N24" s="92" t="s">
        <v>182</v>
      </c>
      <c r="O24" s="272" t="s">
        <v>181</v>
      </c>
      <c r="P24" s="93"/>
      <c r="Q24" s="271" t="s">
        <v>266</v>
      </c>
      <c r="R24" s="92" t="s">
        <v>268</v>
      </c>
      <c r="S24" s="272" t="s">
        <v>266</v>
      </c>
      <c r="T24" s="271" t="s">
        <v>266</v>
      </c>
      <c r="U24" s="92" t="s">
        <v>270</v>
      </c>
      <c r="V24" s="272" t="s">
        <v>266</v>
      </c>
      <c r="W24" s="271" t="s">
        <v>266</v>
      </c>
      <c r="X24" s="92" t="s">
        <v>270</v>
      </c>
      <c r="Y24" s="272" t="s">
        <v>266</v>
      </c>
      <c r="Z24" s="271" t="s">
        <v>185</v>
      </c>
      <c r="AA24" s="92" t="s">
        <v>181</v>
      </c>
      <c r="AB24" s="272" t="s">
        <v>182</v>
      </c>
    </row>
    <row r="25" ht="18.95" customHeight="1">
      <c r="A25" s="60"/>
      <c r="B25" s="288"/>
      <c r="C25" s="289" t="s">
        <v>188</v>
      </c>
      <c r="D25" s="420" t="s">
        <v>266</v>
      </c>
      <c r="E25" s="91" t="s">
        <v>267</v>
      </c>
      <c r="F25" s="421" t="s">
        <v>267</v>
      </c>
      <c r="G25" s="420" t="s">
        <v>267</v>
      </c>
      <c r="H25" s="91" t="s">
        <v>267</v>
      </c>
      <c r="I25" s="421" t="s">
        <v>267</v>
      </c>
      <c r="J25" s="420" t="s">
        <v>269</v>
      </c>
      <c r="K25" s="91" t="s">
        <v>269</v>
      </c>
      <c r="L25" s="421" t="s">
        <v>269</v>
      </c>
      <c r="M25" s="420" t="s">
        <v>181</v>
      </c>
      <c r="N25" s="91" t="s">
        <v>182</v>
      </c>
      <c r="O25" s="421" t="s">
        <v>182</v>
      </c>
      <c r="P25" s="93"/>
      <c r="Q25" s="420" t="s">
        <v>266</v>
      </c>
      <c r="R25" s="91" t="s">
        <v>268</v>
      </c>
      <c r="S25" s="421" t="s">
        <v>266</v>
      </c>
      <c r="T25" s="420" t="s">
        <v>268</v>
      </c>
      <c r="U25" s="91" t="s">
        <v>267</v>
      </c>
      <c r="V25" s="421" t="s">
        <v>268</v>
      </c>
      <c r="W25" s="420" t="s">
        <v>271</v>
      </c>
      <c r="X25" s="91" t="s">
        <v>269</v>
      </c>
      <c r="Y25" s="421" t="s">
        <v>271</v>
      </c>
      <c r="Z25" s="420" t="s">
        <v>195</v>
      </c>
      <c r="AA25" s="91" t="s">
        <v>184</v>
      </c>
      <c r="AB25" s="421" t="s">
        <v>182</v>
      </c>
    </row>
    <row r="26" ht="18.95" customHeight="1">
      <c r="A26" s="60"/>
      <c r="B26" s="290"/>
      <c r="C26" s="291" t="s">
        <v>189</v>
      </c>
      <c r="D26" s="273" t="s">
        <v>266</v>
      </c>
      <c r="E26" s="274" t="s">
        <v>268</v>
      </c>
      <c r="F26" s="275" t="s">
        <v>268</v>
      </c>
      <c r="G26" s="273" t="s">
        <v>267</v>
      </c>
      <c r="H26" s="274" t="s">
        <v>267</v>
      </c>
      <c r="I26" s="275" t="s">
        <v>267</v>
      </c>
      <c r="J26" s="273" t="s">
        <v>269</v>
      </c>
      <c r="K26" s="274" t="s">
        <v>269</v>
      </c>
      <c r="L26" s="275" t="s">
        <v>269</v>
      </c>
      <c r="M26" s="273" t="s">
        <v>184</v>
      </c>
      <c r="N26" s="274" t="s">
        <v>184</v>
      </c>
      <c r="O26" s="275" t="s">
        <v>181</v>
      </c>
      <c r="P26" s="184"/>
      <c r="Q26" s="273" t="s">
        <v>271</v>
      </c>
      <c r="R26" s="274" t="s">
        <v>268</v>
      </c>
      <c r="S26" s="275" t="s">
        <v>270</v>
      </c>
      <c r="T26" s="273" t="s">
        <v>270</v>
      </c>
      <c r="U26" s="274" t="s">
        <v>271</v>
      </c>
      <c r="V26" s="275" t="s">
        <v>270</v>
      </c>
      <c r="W26" s="273" t="s">
        <v>270</v>
      </c>
      <c r="X26" s="274" t="s">
        <v>269</v>
      </c>
      <c r="Y26" s="275" t="s">
        <v>270</v>
      </c>
      <c r="Z26" s="273" t="s">
        <v>198</v>
      </c>
      <c r="AA26" s="274" t="s">
        <v>184</v>
      </c>
      <c r="AB26" s="275" t="s">
        <v>182</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95" customHeight="1">
      <c r="A29" s="58"/>
      <c r="B29" s="284">
        <v>2023</v>
      </c>
      <c r="C29" s="285"/>
      <c r="D29" s="427" t="s">
        <v>266</v>
      </c>
      <c r="E29" s="428" t="s">
        <v>267</v>
      </c>
      <c r="F29" s="429" t="s">
        <v>267</v>
      </c>
      <c r="G29" s="427" t="s">
        <v>267</v>
      </c>
      <c r="H29" s="428" t="s">
        <v>267</v>
      </c>
      <c r="I29" s="429" t="s">
        <v>267</v>
      </c>
      <c r="J29" s="427" t="s">
        <v>269</v>
      </c>
      <c r="K29" s="428" t="s">
        <v>270</v>
      </c>
      <c r="L29" s="429" t="s">
        <v>269</v>
      </c>
      <c r="M29" s="427" t="s">
        <v>184</v>
      </c>
      <c r="N29" s="428" t="s">
        <v>182</v>
      </c>
      <c r="O29" s="429" t="s">
        <v>181</v>
      </c>
      <c r="P29" s="5"/>
      <c r="Q29" s="427" t="s">
        <v>269</v>
      </c>
      <c r="R29" s="428" t="s">
        <v>267</v>
      </c>
      <c r="S29" s="429" t="s">
        <v>269</v>
      </c>
      <c r="T29" s="427" t="s">
        <v>268</v>
      </c>
      <c r="U29" s="428" t="s">
        <v>268</v>
      </c>
      <c r="V29" s="429" t="s">
        <v>268</v>
      </c>
      <c r="W29" s="427" t="s">
        <v>271</v>
      </c>
      <c r="X29" s="428" t="s">
        <v>270</v>
      </c>
      <c r="Y29" s="429" t="s">
        <v>271</v>
      </c>
      <c r="Z29" s="427" t="s">
        <v>182</v>
      </c>
      <c r="AA29" s="428" t="s">
        <v>197</v>
      </c>
      <c r="AB29" s="429" t="s">
        <v>184</v>
      </c>
    </row>
    <row r="30" ht="18.95" customHeight="1">
      <c r="A30" s="58"/>
      <c r="B30" s="286">
        <v>2024</v>
      </c>
      <c r="C30" s="287"/>
      <c r="D30" s="271" t="s">
        <v>266</v>
      </c>
      <c r="E30" s="92" t="s">
        <v>267</v>
      </c>
      <c r="F30" s="272" t="s">
        <v>267</v>
      </c>
      <c r="G30" s="271" t="s">
        <v>267</v>
      </c>
      <c r="H30" s="92" t="s">
        <v>268</v>
      </c>
      <c r="I30" s="272" t="s">
        <v>267</v>
      </c>
      <c r="J30" s="271" t="s">
        <v>269</v>
      </c>
      <c r="K30" s="92" t="s">
        <v>269</v>
      </c>
      <c r="L30" s="272" t="s">
        <v>269</v>
      </c>
      <c r="M30" s="271" t="s">
        <v>184</v>
      </c>
      <c r="N30" s="92" t="s">
        <v>182</v>
      </c>
      <c r="O30" s="272" t="s">
        <v>184</v>
      </c>
      <c r="P30" s="5"/>
      <c r="Q30" s="271" t="s">
        <v>268</v>
      </c>
      <c r="R30" s="92" t="s">
        <v>270</v>
      </c>
      <c r="S30" s="272" t="s">
        <v>268</v>
      </c>
      <c r="T30" s="271" t="s">
        <v>269</v>
      </c>
      <c r="U30" s="92" t="s">
        <v>268</v>
      </c>
      <c r="V30" s="272" t="s">
        <v>269</v>
      </c>
      <c r="W30" s="271" t="s">
        <v>270</v>
      </c>
      <c r="X30" s="92" t="s">
        <v>271</v>
      </c>
      <c r="Y30" s="272" t="s">
        <v>270</v>
      </c>
      <c r="Z30" s="271" t="s">
        <v>184</v>
      </c>
      <c r="AA30" s="92" t="s">
        <v>182</v>
      </c>
      <c r="AB30" s="272" t="s">
        <v>184</v>
      </c>
    </row>
    <row r="31" ht="18.95" customHeight="1">
      <c r="A31" s="58"/>
      <c r="B31" s="425">
        <v>2025</v>
      </c>
      <c r="C31" s="426"/>
      <c r="D31" s="430" t="s">
        <v>268</v>
      </c>
      <c r="E31" s="431" t="s">
        <v>267</v>
      </c>
      <c r="F31" s="432" t="s">
        <v>268</v>
      </c>
      <c r="G31" s="430" t="s">
        <v>267</v>
      </c>
      <c r="H31" s="431" t="s">
        <v>266</v>
      </c>
      <c r="I31" s="432" t="s">
        <v>267</v>
      </c>
      <c r="J31" s="430" t="s">
        <v>269</v>
      </c>
      <c r="K31" s="431" t="s">
        <v>269</v>
      </c>
      <c r="L31" s="432" t="s">
        <v>269</v>
      </c>
      <c r="M31" s="430" t="s">
        <v>197</v>
      </c>
      <c r="N31" s="431" t="s">
        <v>182</v>
      </c>
      <c r="O31" s="432" t="s">
        <v>184</v>
      </c>
      <c r="P31" s="184"/>
      <c r="Q31" s="430" t="s">
        <v>266</v>
      </c>
      <c r="R31" s="431" t="s">
        <v>267</v>
      </c>
      <c r="S31" s="432" t="s">
        <v>266</v>
      </c>
      <c r="T31" s="430" t="s">
        <v>267</v>
      </c>
      <c r="U31" s="431" t="s">
        <v>271</v>
      </c>
      <c r="V31" s="432" t="s">
        <v>267</v>
      </c>
      <c r="W31" s="430" t="s">
        <v>271</v>
      </c>
      <c r="X31" s="431" t="s">
        <v>269</v>
      </c>
      <c r="Y31" s="432" t="s">
        <v>271</v>
      </c>
      <c r="Z31" s="430" t="s">
        <v>182</v>
      </c>
      <c r="AA31" s="431" t="s">
        <v>182</v>
      </c>
      <c r="AB31" s="432" t="s">
        <v>182</v>
      </c>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95" customHeight="1">
      <c r="A34" s="58"/>
      <c r="B34" s="284">
        <v>2023</v>
      </c>
      <c r="C34" s="285"/>
      <c r="D34" s="427" t="s">
        <v>266</v>
      </c>
      <c r="E34" s="428" t="s">
        <v>267</v>
      </c>
      <c r="F34" s="429" t="s">
        <v>266</v>
      </c>
      <c r="G34" s="427" t="s">
        <v>267</v>
      </c>
      <c r="H34" s="428" t="s">
        <v>267</v>
      </c>
      <c r="I34" s="429" t="s">
        <v>267</v>
      </c>
      <c r="J34" s="427" t="s">
        <v>269</v>
      </c>
      <c r="K34" s="428" t="s">
        <v>270</v>
      </c>
      <c r="L34" s="429" t="s">
        <v>269</v>
      </c>
      <c r="M34" s="427" t="s">
        <v>182</v>
      </c>
      <c r="N34" s="428" t="s">
        <v>182</v>
      </c>
      <c r="O34" s="429" t="s">
        <v>185</v>
      </c>
      <c r="P34" s="5"/>
      <c r="Q34" s="427" t="s">
        <v>270</v>
      </c>
      <c r="R34" s="428" t="s">
        <v>268</v>
      </c>
      <c r="S34" s="429" t="s">
        <v>269</v>
      </c>
      <c r="T34" s="427" t="s">
        <v>268</v>
      </c>
      <c r="U34" s="428" t="s">
        <v>268</v>
      </c>
      <c r="V34" s="429" t="s">
        <v>268</v>
      </c>
      <c r="W34" s="427" t="s">
        <v>271</v>
      </c>
      <c r="X34" s="428" t="s">
        <v>270</v>
      </c>
      <c r="Y34" s="429" t="s">
        <v>271</v>
      </c>
      <c r="Z34" s="427" t="s">
        <v>195</v>
      </c>
      <c r="AA34" s="428" t="s">
        <v>197</v>
      </c>
      <c r="AB34" s="429" t="s">
        <v>182</v>
      </c>
    </row>
    <row r="35" ht="18.95" customHeight="1">
      <c r="A35" s="58"/>
      <c r="B35" s="286">
        <v>2024</v>
      </c>
      <c r="C35" s="287"/>
      <c r="D35" s="271" t="s">
        <v>267</v>
      </c>
      <c r="E35" s="92" t="s">
        <v>267</v>
      </c>
      <c r="F35" s="272" t="s">
        <v>268</v>
      </c>
      <c r="G35" s="271" t="s">
        <v>267</v>
      </c>
      <c r="H35" s="92" t="s">
        <v>267</v>
      </c>
      <c r="I35" s="272" t="s">
        <v>267</v>
      </c>
      <c r="J35" s="271" t="s">
        <v>269</v>
      </c>
      <c r="K35" s="92" t="s">
        <v>270</v>
      </c>
      <c r="L35" s="272" t="s">
        <v>269</v>
      </c>
      <c r="M35" s="271" t="s">
        <v>184</v>
      </c>
      <c r="N35" s="92" t="s">
        <v>182</v>
      </c>
      <c r="O35" s="272" t="s">
        <v>184</v>
      </c>
      <c r="P35" s="5"/>
      <c r="Q35" s="271" t="s">
        <v>268</v>
      </c>
      <c r="R35" s="92" t="s">
        <v>269</v>
      </c>
      <c r="S35" s="272" t="s">
        <v>268</v>
      </c>
      <c r="T35" s="271" t="s">
        <v>266</v>
      </c>
      <c r="U35" s="92" t="s">
        <v>266</v>
      </c>
      <c r="V35" s="272" t="s">
        <v>266</v>
      </c>
      <c r="W35" s="271" t="s">
        <v>270</v>
      </c>
      <c r="X35" s="92" t="s">
        <v>270</v>
      </c>
      <c r="Y35" s="272" t="s">
        <v>270</v>
      </c>
      <c r="Z35" s="271" t="s">
        <v>184</v>
      </c>
      <c r="AA35" s="92" t="s">
        <v>185</v>
      </c>
      <c r="AB35" s="272" t="s">
        <v>184</v>
      </c>
    </row>
    <row r="36" ht="18.95" customHeight="1">
      <c r="A36" s="58"/>
      <c r="B36" s="425">
        <v>2025</v>
      </c>
      <c r="C36" s="426"/>
      <c r="D36" s="430" t="s">
        <v>267</v>
      </c>
      <c r="E36" s="431" t="s">
        <v>268</v>
      </c>
      <c r="F36" s="432" t="s">
        <v>267</v>
      </c>
      <c r="G36" s="430" t="s">
        <v>267</v>
      </c>
      <c r="H36" s="431" t="s">
        <v>267</v>
      </c>
      <c r="I36" s="432" t="s">
        <v>267</v>
      </c>
      <c r="J36" s="430" t="s">
        <v>269</v>
      </c>
      <c r="K36" s="431" t="s">
        <v>269</v>
      </c>
      <c r="L36" s="432" t="s">
        <v>269</v>
      </c>
      <c r="M36" s="430" t="s">
        <v>184</v>
      </c>
      <c r="N36" s="431" t="s">
        <v>181</v>
      </c>
      <c r="O36" s="432" t="s">
        <v>181</v>
      </c>
      <c r="P36" s="184"/>
      <c r="Q36" s="430" t="s">
        <v>266</v>
      </c>
      <c r="R36" s="431" t="s">
        <v>268</v>
      </c>
      <c r="S36" s="432" t="s">
        <v>266</v>
      </c>
      <c r="T36" s="430" t="s">
        <v>266</v>
      </c>
      <c r="U36" s="431" t="s">
        <v>266</v>
      </c>
      <c r="V36" s="432" t="s">
        <v>266</v>
      </c>
      <c r="W36" s="430" t="s">
        <v>271</v>
      </c>
      <c r="X36" s="431" t="s">
        <v>269</v>
      </c>
      <c r="Y36" s="432" t="s">
        <v>271</v>
      </c>
      <c r="Z36" s="430" t="s">
        <v>185</v>
      </c>
      <c r="AA36" s="431" t="s">
        <v>184</v>
      </c>
      <c r="AB36" s="432" t="s">
        <v>185</v>
      </c>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95" customHeight="1">
      <c r="A39" s="58"/>
      <c r="B39" s="284">
        <v>2023</v>
      </c>
      <c r="C39" s="285"/>
      <c r="D39" s="427" t="s">
        <v>266</v>
      </c>
      <c r="E39" s="428" t="s">
        <v>267</v>
      </c>
      <c r="F39" s="429" t="s">
        <v>267</v>
      </c>
      <c r="G39" s="427" t="s">
        <v>267</v>
      </c>
      <c r="H39" s="428" t="s">
        <v>267</v>
      </c>
      <c r="I39" s="429" t="s">
        <v>267</v>
      </c>
      <c r="J39" s="427" t="s">
        <v>269</v>
      </c>
      <c r="K39" s="428" t="s">
        <v>270</v>
      </c>
      <c r="L39" s="429" t="s">
        <v>269</v>
      </c>
      <c r="M39" s="427" t="s">
        <v>184</v>
      </c>
      <c r="N39" s="428" t="s">
        <v>182</v>
      </c>
      <c r="O39" s="429" t="s">
        <v>181</v>
      </c>
      <c r="P39" s="5"/>
      <c r="Q39" s="427" t="s">
        <v>269</v>
      </c>
      <c r="R39" s="428" t="s">
        <v>268</v>
      </c>
      <c r="S39" s="429" t="s">
        <v>266</v>
      </c>
      <c r="T39" s="427" t="s">
        <v>268</v>
      </c>
      <c r="U39" s="428" t="s">
        <v>268</v>
      </c>
      <c r="V39" s="429" t="s">
        <v>268</v>
      </c>
      <c r="W39" s="427" t="s">
        <v>267</v>
      </c>
      <c r="X39" s="428" t="s">
        <v>270</v>
      </c>
      <c r="Y39" s="429" t="s">
        <v>267</v>
      </c>
      <c r="Z39" s="427" t="s">
        <v>181</v>
      </c>
      <c r="AA39" s="428" t="s">
        <v>197</v>
      </c>
      <c r="AB39" s="429" t="s">
        <v>184</v>
      </c>
    </row>
    <row r="40" ht="18.95" customHeight="1">
      <c r="A40" s="58"/>
      <c r="B40" s="286">
        <v>2024</v>
      </c>
      <c r="C40" s="287"/>
      <c r="D40" s="271" t="s">
        <v>266</v>
      </c>
      <c r="E40" s="92" t="s">
        <v>267</v>
      </c>
      <c r="F40" s="272" t="s">
        <v>267</v>
      </c>
      <c r="G40" s="271" t="s">
        <v>267</v>
      </c>
      <c r="H40" s="92" t="s">
        <v>268</v>
      </c>
      <c r="I40" s="272" t="s">
        <v>267</v>
      </c>
      <c r="J40" s="271" t="s">
        <v>269</v>
      </c>
      <c r="K40" s="92" t="s">
        <v>269</v>
      </c>
      <c r="L40" s="272" t="s">
        <v>269</v>
      </c>
      <c r="M40" s="271" t="s">
        <v>181</v>
      </c>
      <c r="N40" s="92" t="s">
        <v>182</v>
      </c>
      <c r="O40" s="272" t="s">
        <v>182</v>
      </c>
      <c r="P40" s="5"/>
      <c r="Q40" s="271" t="s">
        <v>270</v>
      </c>
      <c r="R40" s="92" t="s">
        <v>266</v>
      </c>
      <c r="S40" s="272" t="s">
        <v>271</v>
      </c>
      <c r="T40" s="271" t="s">
        <v>266</v>
      </c>
      <c r="U40" s="92" t="s">
        <v>268</v>
      </c>
      <c r="V40" s="272" t="s">
        <v>266</v>
      </c>
      <c r="W40" s="271" t="s">
        <v>270</v>
      </c>
      <c r="X40" s="92" t="s">
        <v>270</v>
      </c>
      <c r="Y40" s="272" t="s">
        <v>270</v>
      </c>
      <c r="Z40" s="271" t="s">
        <v>185</v>
      </c>
      <c r="AA40" s="92" t="s">
        <v>181</v>
      </c>
      <c r="AB40" s="272" t="s">
        <v>182</v>
      </c>
    </row>
    <row r="41" ht="18.95" customHeight="1">
      <c r="A41" s="58"/>
      <c r="B41" s="425">
        <v>2025</v>
      </c>
      <c r="C41" s="426"/>
      <c r="D41" s="430" t="s">
        <v>267</v>
      </c>
      <c r="E41" s="431" t="s">
        <v>267</v>
      </c>
      <c r="F41" s="432" t="s">
        <v>268</v>
      </c>
      <c r="G41" s="430" t="s">
        <v>267</v>
      </c>
      <c r="H41" s="431" t="s">
        <v>267</v>
      </c>
      <c r="I41" s="432" t="s">
        <v>267</v>
      </c>
      <c r="J41" s="430" t="s">
        <v>269</v>
      </c>
      <c r="K41" s="431" t="s">
        <v>269</v>
      </c>
      <c r="L41" s="432" t="s">
        <v>269</v>
      </c>
      <c r="M41" s="430" t="s">
        <v>181</v>
      </c>
      <c r="N41" s="431" t="s">
        <v>182</v>
      </c>
      <c r="O41" s="432" t="s">
        <v>181</v>
      </c>
      <c r="P41" s="184"/>
      <c r="Q41" s="430" t="s">
        <v>268</v>
      </c>
      <c r="R41" s="431" t="s">
        <v>267</v>
      </c>
      <c r="S41" s="432" t="s">
        <v>268</v>
      </c>
      <c r="T41" s="430" t="s">
        <v>267</v>
      </c>
      <c r="U41" s="431" t="s">
        <v>271</v>
      </c>
      <c r="V41" s="432" t="s">
        <v>267</v>
      </c>
      <c r="W41" s="430" t="s">
        <v>271</v>
      </c>
      <c r="X41" s="431" t="s">
        <v>269</v>
      </c>
      <c r="Y41" s="432" t="s">
        <v>271</v>
      </c>
      <c r="Z41" s="430" t="s">
        <v>197</v>
      </c>
      <c r="AA41" s="431" t="s">
        <v>185</v>
      </c>
      <c r="AB41" s="432" t="s">
        <v>197</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6"/>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c r="AP43" s="236"/>
    </row>
    <row r="44" ht="12" customHeight="1">
      <c r="Z44" s="55"/>
      <c r="AA44" s="233"/>
      <c r="AB44" s="233"/>
      <c r="AP44" s="236"/>
    </row>
    <row r="45" ht="12" customHeight="1">
      <c r="AP45" s="236"/>
    </row>
    <row r="46" s="236" customFormat="1">
      <c r="A4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sheetData>
  <mergeCells count="21">
    <mergeCell ref="B43:AB43"/>
    <mergeCell ref="T7:V7"/>
    <mergeCell ref="W7:Y7"/>
    <mergeCell ref="Z7:AB7"/>
    <mergeCell ref="B38:O38"/>
    <mergeCell ref="Q28:AB28"/>
    <mergeCell ref="Q7:S7"/>
    <mergeCell ref="Q33:AB33"/>
    <mergeCell ref="G7:I7"/>
    <mergeCell ref="B33:O33"/>
    <mergeCell ref="B8:C8"/>
    <mergeCell ref="Q38:AB38"/>
    <mergeCell ref="M7:O7"/>
    <mergeCell ref="B28:O28"/>
    <mergeCell ref="J7:L7"/>
    <mergeCell ref="D7:F7"/>
    <mergeCell ref="B2:AB2"/>
    <mergeCell ref="Q6:AB6"/>
    <mergeCell ref="D6:O6"/>
    <mergeCell ref="B4:AB4"/>
    <mergeCell ref="B3:AB3"/>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5"/>
</worksheet>
</file>

<file path=xl/worksheets/sheet5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151</v>
      </c>
      <c r="Y1" s="5"/>
      <c r="AB1" s="685"/>
      <c r="AD1" s="236"/>
    </row>
    <row r="2" ht="15" customHeight="1">
      <c r="A2" s="11"/>
      <c r="B2" s="11" t="s">
        <v>170</v>
      </c>
    </row>
    <row r="3" ht="17.1" customHeight="1">
      <c r="A3" s="11"/>
      <c r="B3" s="11" t="s">
        <v>171</v>
      </c>
      <c r="R3" s="1040" t="s">
        <v>265</v>
      </c>
      <c r="S3" s="1040"/>
      <c r="T3" s="1040"/>
      <c r="U3" s="1040"/>
      <c r="V3" s="1040"/>
      <c r="W3" s="1040"/>
      <c r="X3" s="1040"/>
      <c r="Y3" s="1040"/>
      <c r="Z3" s="1040"/>
      <c r="AA3" s="1040"/>
      <c r="AB3" s="1040"/>
    </row>
    <row r="4" ht="19.5" customHeight="1">
      <c r="A4" s="4"/>
      <c r="B4" s="211" t="s">
        <v>172</v>
      </c>
      <c r="C4" s="5"/>
      <c r="D4" s="5"/>
      <c r="E4" s="5"/>
      <c r="F4" s="5"/>
      <c r="G4" s="5"/>
      <c r="H4" s="212"/>
      <c r="I4" s="212"/>
      <c r="J4" s="212"/>
      <c r="K4" s="212"/>
      <c r="L4" s="212"/>
      <c r="M4" s="212"/>
      <c r="N4" s="212"/>
      <c r="O4" s="212"/>
      <c r="P4" s="212"/>
      <c r="Q4" s="212"/>
      <c r="R4" s="212"/>
      <c r="S4" s="212"/>
      <c r="T4" s="212"/>
      <c r="U4" s="4"/>
      <c r="V4" s="4"/>
    </row>
    <row r="5" ht="12.75" customHeight="1"/>
    <row r="6" ht="15.75">
      <c r="D6" s="978" t="s">
        <v>42</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21.724014336917562724014336920</v>
      </c>
      <c r="E11" s="428">
        <v>27.790055248618784530386740360</v>
      </c>
      <c r="F11" s="429">
        <v>49.351473922902494331065759690</v>
      </c>
      <c r="G11" s="427">
        <v>1.8709677419354838709677419400</v>
      </c>
      <c r="H11" s="428">
        <v>4.9539594843462246777163904300</v>
      </c>
      <c r="I11" s="429">
        <v>5.7596371882086167800453514800</v>
      </c>
      <c r="J11" s="427">
        <v>1.3512544802867383512544802900</v>
      </c>
      <c r="K11" s="428">
        <v>5.2486187845303867403314917200</v>
      </c>
      <c r="L11" s="429">
        <v>0.2539682539682539682539682500</v>
      </c>
      <c r="M11" s="427">
        <v>25.00</v>
      </c>
      <c r="N11" s="428">
        <v>37.955801104972375690607734810</v>
      </c>
      <c r="O11" s="429">
        <v>55.383219954648526077097505670</v>
      </c>
      <c r="P11" s="5"/>
      <c r="Q11" s="427">
        <v>9.602169981728531534389435630</v>
      </c>
      <c r="R11" s="428">
        <v>15.720858895749892967368002380</v>
      </c>
      <c r="S11" s="429">
        <v>9.985850010155492060596743230</v>
      </c>
      <c r="T11" s="427">
        <v>0</v>
      </c>
      <c r="U11" s="428">
        <v>14.957264957088099934254052640</v>
      </c>
      <c r="V11" s="429">
        <v>48.711943794520482205246863960</v>
      </c>
      <c r="W11" s="427">
        <v>19.682539678778231292635224130</v>
      </c>
      <c r="X11" s="428">
        <v>9.195402297808825472331249290</v>
      </c>
      <c r="Y11" s="429">
        <v>33.333333316666666668749997920</v>
      </c>
      <c r="Z11" s="427">
        <v>18.020304568665708985029406670</v>
      </c>
      <c r="AA11" s="428">
        <v>14.563646470111603908168559060</v>
      </c>
      <c r="AB11" s="429">
        <v>13.199851687122654719143746380</v>
      </c>
    </row>
    <row r="12" ht="18" customHeight="1">
      <c r="A12" s="58"/>
      <c r="B12" s="1043" t="s">
        <v>46</v>
      </c>
      <c r="C12" s="1043"/>
      <c r="D12" s="420">
        <v>29.727598566308243727598566310</v>
      </c>
      <c r="E12" s="91">
        <v>40.202578268876611418047882180</v>
      </c>
      <c r="F12" s="421">
        <v>63.854875283446712018140589630</v>
      </c>
      <c r="G12" s="420">
        <v>3.7419354838709677419354838700</v>
      </c>
      <c r="H12" s="91">
        <v>5.0276243093922651933701657500</v>
      </c>
      <c r="I12" s="421">
        <v>10.049886621315192743764172350</v>
      </c>
      <c r="J12" s="420">
        <v>1.4551971326164874551971326200</v>
      </c>
      <c r="K12" s="91">
        <v>5.2117863720073664825046040600</v>
      </c>
      <c r="L12" s="421">
        <v>0.2539682539682539682539682500</v>
      </c>
      <c r="M12" s="420">
        <v>35.00</v>
      </c>
      <c r="N12" s="91">
        <v>50.423572744014732965009208100</v>
      </c>
      <c r="O12" s="421">
        <v>74.167800453514739229024943310</v>
      </c>
      <c r="P12" s="5"/>
      <c r="Q12" s="420">
        <v>16.162464985823570604712724450</v>
      </c>
      <c r="R12" s="91">
        <v>6.5527760828895305959340656200</v>
      </c>
      <c r="S12" s="421">
        <v>0.3384999109414548173701182600</v>
      </c>
      <c r="T12" s="420">
        <v>0</v>
      </c>
      <c r="U12" s="91">
        <v>-8.619246861490340855375117190</v>
      </c>
      <c r="V12" s="421">
        <v>33.897280967487423444477727120</v>
      </c>
      <c r="W12" s="420">
        <v>5.4545454554767414403860286200</v>
      </c>
      <c r="X12" s="91">
        <v>1.071428571876173469389737500</v>
      </c>
      <c r="Y12" s="421">
        <v>1.8181818083702479348297745200</v>
      </c>
      <c r="Z12" s="420">
        <v>21.116279069623228988642681180</v>
      </c>
      <c r="AA12" s="91">
        <v>4.1559676653364142658779904800</v>
      </c>
      <c r="AB12" s="421">
        <v>3.8678945697191812872691890900</v>
      </c>
    </row>
    <row r="13" ht="18" customHeight="1">
      <c r="A13" s="58"/>
      <c r="B13" s="1043" t="s">
        <v>47</v>
      </c>
      <c r="C13" s="1043"/>
      <c r="D13" s="420">
        <v>31.182795698924731182795698930</v>
      </c>
      <c r="E13" s="91">
        <v>53.752302025782688766114180530</v>
      </c>
      <c r="F13" s="421">
        <v>74.410430839002267573696145200</v>
      </c>
      <c r="G13" s="420">
        <v>6.5830346475507765830346475500</v>
      </c>
      <c r="H13" s="91">
        <v>4.4889502762430939226519337100</v>
      </c>
      <c r="I13" s="421">
        <v>10.680272108843537414965986410</v>
      </c>
      <c r="J13" s="420">
        <v>1.039426523297491039426523300</v>
      </c>
      <c r="K13" s="91">
        <v>4.9493554327808471454880294700</v>
      </c>
      <c r="L13" s="421">
        <v>0.1360544217687074829931972800</v>
      </c>
      <c r="M13" s="420">
        <v>38.888888888888888888888888890</v>
      </c>
      <c r="N13" s="91">
        <v>63.213627992633517495395948430</v>
      </c>
      <c r="O13" s="421">
        <v>85.22675736961451247165532880</v>
      </c>
      <c r="P13" s="184"/>
      <c r="Q13" s="420">
        <v>5.775075987667046682865377300</v>
      </c>
      <c r="R13" s="91">
        <v>8.453320947491319104743513390</v>
      </c>
      <c r="S13" s="421">
        <v>5.2944007700392482537260182800</v>
      </c>
      <c r="T13" s="420">
        <v>0</v>
      </c>
      <c r="U13" s="91">
        <v>-30.851063829975554549569428150</v>
      </c>
      <c r="V13" s="421">
        <v>20.614596671570975849278966140</v>
      </c>
      <c r="W13" s="420">
        <v>-17.142857140324081632575621720</v>
      </c>
      <c r="X13" s="91">
        <v>13.756613756137062232302325210</v>
      </c>
      <c r="Y13" s="421">
        <v>-39.999999996159999999754239520</v>
      </c>
      <c r="Z13" s="420">
        <v>18.095238095172540330417917830</v>
      </c>
      <c r="AA13" s="91">
        <v>4.6493902438213995575550895200</v>
      </c>
      <c r="AB13" s="421">
        <v>6.8666477111496385119629851100</v>
      </c>
    </row>
    <row r="14" ht="18" customHeight="1">
      <c r="A14" s="58"/>
      <c r="B14" s="1043" t="s">
        <v>48</v>
      </c>
      <c r="C14" s="1043"/>
      <c r="D14" s="420">
        <v>29.493727598566308243727598570</v>
      </c>
      <c r="E14" s="91">
        <v>52.209944751381215469613259720</v>
      </c>
      <c r="F14" s="421">
        <v>72.403628117913832199546485330</v>
      </c>
      <c r="G14" s="420">
        <v>4.6774193548387096774193548400</v>
      </c>
      <c r="H14" s="91">
        <v>10.382136279926335174953959490</v>
      </c>
      <c r="I14" s="421">
        <v>9.036281179138321995464852620</v>
      </c>
      <c r="J14" s="420">
        <v>1.4292114695340501792114695300</v>
      </c>
      <c r="K14" s="91">
        <v>4.8112338858195211786372007400</v>
      </c>
      <c r="L14" s="421">
        <v>0.2494331065759637188208616800</v>
      </c>
      <c r="M14" s="420">
        <v>35.677083333333333333333333330</v>
      </c>
      <c r="N14" s="91">
        <v>67.403314917127071823204419890</v>
      </c>
      <c r="O14" s="421">
        <v>81.70068027210884353741496599</v>
      </c>
      <c r="P14" s="5"/>
      <c r="Q14" s="420">
        <v>35.638736263932269162842935110</v>
      </c>
      <c r="R14" s="91">
        <v>8.881421027380268819967510240</v>
      </c>
      <c r="S14" s="421">
        <v>4.0912795435300034472933272700</v>
      </c>
      <c r="T14" s="420">
        <v>366.07142856710076530616263588</v>
      </c>
      <c r="U14" s="91">
        <v>-20.035460993125577184245672140</v>
      </c>
      <c r="V14" s="421">
        <v>22.615384614913017751481103940</v>
      </c>
      <c r="W14" s="420">
        <v>6.8080357106332609216810230100</v>
      </c>
      <c r="X14" s="91">
        <v>18.750000000944602272734786690</v>
      </c>
      <c r="Y14" s="421">
        <v>29.411764687307958480174623470</v>
      </c>
      <c r="Z14" s="420">
        <v>29.481707316886211778703422820</v>
      </c>
      <c r="AA14" s="91">
        <v>3.7194473963929949936814006500</v>
      </c>
      <c r="AB14" s="421">
        <v>5.9705882353411810553633427100</v>
      </c>
    </row>
    <row r="15" ht="18" customHeight="1">
      <c r="A15" s="58"/>
      <c r="B15" s="1043" t="s">
        <v>49</v>
      </c>
      <c r="C15" s="1043"/>
      <c r="D15" s="420">
        <v>29.103942652329749103942652330</v>
      </c>
      <c r="E15" s="91">
        <v>44.244935543278084714548802990</v>
      </c>
      <c r="F15" s="421">
        <v>63.287981859410430839002267640</v>
      </c>
      <c r="G15" s="420">
        <v>6.8862007168458781362007168500</v>
      </c>
      <c r="H15" s="91">
        <v>14.755985267034990791896869260</v>
      </c>
      <c r="I15" s="421">
        <v>13.197278911564625850340136070</v>
      </c>
      <c r="J15" s="420">
        <v>1.2992831541218637992831541200</v>
      </c>
      <c r="K15" s="91">
        <v>5.3406998158379373848987108700</v>
      </c>
      <c r="L15" s="421">
        <v>0.2380952380952380952380952400</v>
      </c>
      <c r="M15" s="420">
        <v>37.500</v>
      </c>
      <c r="N15" s="91">
        <v>64.387661141804788213627992630</v>
      </c>
      <c r="O15" s="421">
        <v>76.746031746031746031746031750</v>
      </c>
      <c r="P15" s="184"/>
      <c r="Q15" s="420">
        <v>14.851485148581455599591115130</v>
      </c>
      <c r="R15" s="91">
        <v>5.662451896668350237445380700</v>
      </c>
      <c r="S15" s="421">
        <v>3.5237388723570980252093650600</v>
      </c>
      <c r="T15" s="420">
        <v>52.480158728742842970534689570</v>
      </c>
      <c r="U15" s="91">
        <v>-1.5360983102664486398097153600</v>
      </c>
      <c r="V15" s="421">
        <v>53.359683793945101470107538570</v>
      </c>
      <c r="W15" s="420">
        <v>15.079365075748299319841561220</v>
      </c>
      <c r="X15" s="91">
        <v>20.207253885721367016564897950</v>
      </c>
      <c r="Y15" s="421">
        <v>-0.000000001999999999959999200</v>
      </c>
      <c r="Z15" s="420">
        <v>12.955465586985998787064233980</v>
      </c>
      <c r="AA15" s="91">
        <v>5.1108605788122778943587222900</v>
      </c>
      <c r="AB15" s="421">
        <v>9.672715489366961638474375840</v>
      </c>
    </row>
    <row r="16" ht="18" customHeight="1">
      <c r="A16" s="58"/>
      <c r="B16" s="1044" t="s">
        <v>75</v>
      </c>
      <c r="C16" s="1044"/>
      <c r="D16" s="430">
        <v>27.866530124594640723672981740</v>
      </c>
      <c r="E16" s="431">
        <v>42.763268039511133433785367530</v>
      </c>
      <c r="F16" s="432">
        <v>63.929086786229643372500515420</v>
      </c>
      <c r="G16" s="430">
        <v>4.4794333504010923365762075400</v>
      </c>
      <c r="H16" s="431">
        <v>7.6552821027959149506110832200</v>
      </c>
      <c r="I16" s="432">
        <v>9.577406720263863121005978160</v>
      </c>
      <c r="J16" s="430">
        <v>1.3364055299539170506912442400</v>
      </c>
      <c r="K16" s="431">
        <v>5.1230537418382722250125565100</v>
      </c>
      <c r="L16" s="432">
        <v>0.2288188002473716759431045100</v>
      </c>
      <c r="M16" s="430">
        <v>33.779761904761904761904761900</v>
      </c>
      <c r="N16" s="431">
        <v>55.541603884145320609409007200</v>
      </c>
      <c r="O16" s="432">
        <v>73.747680890538033395176252320</v>
      </c>
      <c r="P16" s="5"/>
      <c r="Q16" s="430">
        <v>13.578714585813210727492235670</v>
      </c>
      <c r="R16" s="431">
        <v>8.386207035846885829096942390</v>
      </c>
      <c r="S16" s="432">
        <v>4.5281201849485666507795793600</v>
      </c>
      <c r="T16" s="430">
        <v>303.83462908598123756308725194</v>
      </c>
      <c r="U16" s="431">
        <v>-11.377480388133546583615308210</v>
      </c>
      <c r="V16" s="432">
        <v>35.249105879665834902138375550</v>
      </c>
      <c r="W16" s="430">
        <v>7.6639166294822436573506392900</v>
      </c>
      <c r="X16" s="431">
        <v>12.019524099449040379019849600</v>
      </c>
      <c r="Y16" s="432">
        <v>4.9054905630976998708765865100</v>
      </c>
      <c r="Z16" s="629">
        <v>18.975428313773254516087333190</v>
      </c>
      <c r="AA16" s="214">
        <v>5.4689274089566950843514682900</v>
      </c>
      <c r="AB16" s="630">
        <v>7.7319188478043304560453685900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56.908602150537634408602150540</v>
      </c>
      <c r="E18" s="480">
        <v>50.483425414364640883977900600</v>
      </c>
      <c r="F18" s="481">
        <v>67.970521541950113378684807330</v>
      </c>
      <c r="G18" s="479">
        <v>5.4569892473118279569892473100</v>
      </c>
      <c r="H18" s="480">
        <v>17.61049723756906077348066300</v>
      </c>
      <c r="I18" s="481">
        <v>12.936507936507936507936507950</v>
      </c>
      <c r="J18" s="479">
        <v>1.8189964157706093189964157700</v>
      </c>
      <c r="K18" s="480">
        <v>5.087476979742173112338858200</v>
      </c>
      <c r="L18" s="481">
        <v>0.3287981859410430839002267600</v>
      </c>
      <c r="M18" s="479">
        <v>64.322916666666666666666666670</v>
      </c>
      <c r="N18" s="480">
        <v>73.227440147329650092081031310</v>
      </c>
      <c r="O18" s="481">
        <v>81.23582766439909297052154195</v>
      </c>
      <c r="P18" s="184"/>
      <c r="Q18" s="479">
        <v>47.766402978004218309250829380</v>
      </c>
      <c r="R18" s="480">
        <v>-3.4346103039013264136225183600</v>
      </c>
      <c r="S18" s="481">
        <v>3.1309134697434054051543007100</v>
      </c>
      <c r="T18" s="479">
        <v>-23.684210526223981005144329630</v>
      </c>
      <c r="U18" s="480">
        <v>23.586429725740438092604520220</v>
      </c>
      <c r="V18" s="481">
        <v>34.710743801296632743665992520</v>
      </c>
      <c r="W18" s="479">
        <v>61.111111106047619047778185890</v>
      </c>
      <c r="X18" s="480">
        <v>23.463687151224243937456344120</v>
      </c>
      <c r="Y18" s="481">
        <v>61.111111074055555564078334620</v>
      </c>
      <c r="Z18" s="479">
        <v>28.30093833767502749247114100</v>
      </c>
      <c r="AA18" s="480">
        <v>3.6831812255413999751822674200</v>
      </c>
      <c r="AB18" s="481">
        <v>7.2765384039051446992550442800</v>
      </c>
    </row>
    <row r="19" ht="18" customHeight="1">
      <c r="A19" s="58"/>
      <c r="B19" s="1046" t="s">
        <v>51</v>
      </c>
      <c r="C19" s="1046"/>
      <c r="D19" s="271">
        <v>48.593189964157706093189964160</v>
      </c>
      <c r="E19" s="92">
        <v>47.007366482504604051565377580</v>
      </c>
      <c r="F19" s="272">
        <v>67.154195011337868480725623650</v>
      </c>
      <c r="G19" s="271">
        <v>5.1971326164874551971326164900</v>
      </c>
      <c r="H19" s="92">
        <v>18.508287292817679558011049740</v>
      </c>
      <c r="I19" s="272">
        <v>11.156462585034013605442176880</v>
      </c>
      <c r="J19" s="271">
        <v>1.1693548387096774193548387100</v>
      </c>
      <c r="K19" s="92">
        <v>4.2357274401473296500920810400</v>
      </c>
      <c r="L19" s="272">
        <v>0.2040816326530612244897959200</v>
      </c>
      <c r="M19" s="271">
        <v>55.07812500</v>
      </c>
      <c r="N19" s="92">
        <v>69.797421731123388581952117860</v>
      </c>
      <c r="O19" s="272">
        <v>78.514739229024943310657596370</v>
      </c>
      <c r="P19" s="5"/>
      <c r="Q19" s="271">
        <v>28.094293272755777717360657410</v>
      </c>
      <c r="R19" s="92">
        <v>1.2896825396945979780801224800</v>
      </c>
      <c r="S19" s="272">
        <v>5.6621949478353439767026698400</v>
      </c>
      <c r="T19" s="271">
        <v>-36.067019400631806220429340850</v>
      </c>
      <c r="U19" s="92">
        <v>77.561837456081359487570433170</v>
      </c>
      <c r="V19" s="272">
        <v>37.737961926608535467473839520</v>
      </c>
      <c r="W19" s="271">
        <v>-10.370879120337406412265775510</v>
      </c>
      <c r="X19" s="92">
        <v>-2.9535864983816696042276031600</v>
      </c>
      <c r="Y19" s="272">
        <v>-13.461538461871301775146648150</v>
      </c>
      <c r="Z19" s="271">
        <v>8.522576800939425912543169010</v>
      </c>
      <c r="AA19" s="92">
        <v>14.053566054766354090699525530</v>
      </c>
      <c r="AB19" s="272">
        <v>9.199571086115072718160907590</v>
      </c>
    </row>
    <row r="20" ht="18" customHeight="1">
      <c r="A20" s="58"/>
      <c r="B20" s="1047" t="s">
        <v>76</v>
      </c>
      <c r="C20" s="1047"/>
      <c r="D20" s="273">
        <v>52.750896057347670250896057350</v>
      </c>
      <c r="E20" s="274">
        <v>48.745395948434622467771639090</v>
      </c>
      <c r="F20" s="275">
        <v>67.562358276643990929705215480</v>
      </c>
      <c r="G20" s="273">
        <v>5.327060931899641577060931900</v>
      </c>
      <c r="H20" s="274">
        <v>18.059392265193370165745856370</v>
      </c>
      <c r="I20" s="275">
        <v>12.046485260770975056689342420</v>
      </c>
      <c r="J20" s="273">
        <v>1.4941756272401433691756272400</v>
      </c>
      <c r="K20" s="274">
        <v>4.6616022099447513812154696200</v>
      </c>
      <c r="L20" s="275">
        <v>0.2664399092970521541950113400</v>
      </c>
      <c r="M20" s="273">
        <v>59.700520833333333333333333330</v>
      </c>
      <c r="N20" s="274">
        <v>71.512430939226519337016574590</v>
      </c>
      <c r="O20" s="275">
        <v>79.87528344671201814058956916</v>
      </c>
      <c r="P20" s="184"/>
      <c r="Q20" s="273">
        <v>38.120437956046959709399416770</v>
      </c>
      <c r="R20" s="274">
        <v>-0.5557294927595193065112143900</v>
      </c>
      <c r="S20" s="275">
        <v>4.5846333854091610831360452400</v>
      </c>
      <c r="T20" s="273">
        <v>-30.764751553137982053642064960</v>
      </c>
      <c r="U20" s="274">
        <v>48.955696202459995994231728240</v>
      </c>
      <c r="V20" s="275">
        <v>37.392241379223882468787212740</v>
      </c>
      <c r="W20" s="273">
        <v>21.814123379906029948224740410</v>
      </c>
      <c r="X20" s="274">
        <v>9.525240385876504570789299330</v>
      </c>
      <c r="Y20" s="275">
        <v>20.170454521830126554231123810</v>
      </c>
      <c r="Z20" s="273">
        <v>18.270617603528741212886457480</v>
      </c>
      <c r="AA20" s="274">
        <v>9.366687529274233263771818190</v>
      </c>
      <c r="AB20" s="275">
        <v>8.525605915395892049215914260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34.820788530465949820788530470</v>
      </c>
      <c r="E22" s="469">
        <v>44.267214155940818371272535290</v>
      </c>
      <c r="F22" s="470">
        <v>64.948172000057103087116697110</v>
      </c>
      <c r="G22" s="468">
        <v>4.6057347670250896057347670300</v>
      </c>
      <c r="H22" s="469">
        <v>10.553027840970642400606651500</v>
      </c>
      <c r="I22" s="470">
        <v>10.180043254325148262733325170</v>
      </c>
      <c r="J22" s="468">
        <v>1.4336917562724014336917562700</v>
      </c>
      <c r="K22" s="469">
        <v>4.9802491019221794982251717100</v>
      </c>
      <c r="L22" s="470">
        <v>0.2519812686714145609587456700</v>
      </c>
      <c r="M22" s="468">
        <v>40.860215053763440860215053760</v>
      </c>
      <c r="N22" s="469">
        <v>59.800491098833640270104358500</v>
      </c>
      <c r="O22" s="470">
        <v>75.380196523053665910808767950</v>
      </c>
      <c r="P22" s="184"/>
      <c r="Q22" s="468">
        <v>14.563679245188449793075905770</v>
      </c>
      <c r="R22" s="469">
        <v>4.5039222511017576043180921500</v>
      </c>
      <c r="S22" s="470">
        <v>4.4279072560072611730840669300</v>
      </c>
      <c r="T22" s="468">
        <v>37.433155079670050616262268400</v>
      </c>
      <c r="U22" s="469">
        <v>8.225845829835134947404765510</v>
      </c>
      <c r="V22" s="470">
        <v>34.308133691426370771395011830</v>
      </c>
      <c r="W22" s="468">
        <v>12.676056337298155127955532890</v>
      </c>
      <c r="X22" s="469">
        <v>13.747648409086638006591177920</v>
      </c>
      <c r="Y22" s="470">
        <v>11.439603318817852321908035130</v>
      </c>
      <c r="Z22" s="468">
        <v>16.683725690735221245242624570</v>
      </c>
      <c r="AA22" s="469">
        <v>5.8628559008387659210662012100</v>
      </c>
      <c r="AB22" s="470">
        <v>7.6859950329338084440125256400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93.12929435020611317639031432</v>
      </c>
      <c r="E25" s="455">
        <v>123.3321547110956173355197134</v>
      </c>
      <c r="F25" s="456">
        <v>114.5638555011348434436059857</v>
      </c>
      <c r="G25" s="454">
        <v>111.83692933580967542230476694</v>
      </c>
      <c r="H25" s="455">
        <v>144.26235463428117528183828442</v>
      </c>
      <c r="I25" s="456">
        <v>117.51355633870892842862446732</v>
      </c>
      <c r="J25" s="454">
        <v>98.26490743672917433391247778</v>
      </c>
      <c r="K25" s="455">
        <v>122.03233801130151430775329294</v>
      </c>
      <c r="L25" s="456">
        <v>93.16722958823178367910125235</v>
      </c>
      <c r="M25" s="454">
        <v>94.81054601631304615753301545</v>
      </c>
      <c r="N25" s="455">
        <v>126.00388703973112774760962374</v>
      </c>
      <c r="O25" s="456">
        <v>114.73497027271951239303169669</v>
      </c>
      <c r="P25" s="5"/>
      <c r="Q25" s="427">
        <v>-15.845781077551844194727308520</v>
      </c>
      <c r="R25" s="428">
        <v>-3.8311555428801057665215016100</v>
      </c>
      <c r="S25" s="429">
        <v>-1.4984002507621057774784703900</v>
      </c>
      <c r="T25" s="427">
        <v>0</v>
      </c>
      <c r="U25" s="428">
        <v>-1.92429928177706509817965900</v>
      </c>
      <c r="V25" s="429">
        <v>7.3599874881048619768300981700</v>
      </c>
      <c r="W25" s="427">
        <v>-4.5975878456495892772874282300</v>
      </c>
      <c r="X25" s="428">
        <v>4.0393933429758747293451080300</v>
      </c>
      <c r="Y25" s="429">
        <v>-6.2426897602602160673457593900</v>
      </c>
      <c r="Z25" s="427">
        <v>-11.864867972666941003974682350</v>
      </c>
      <c r="AA25" s="428">
        <v>-2.4044084242746671681074826600</v>
      </c>
      <c r="AB25" s="429">
        <v>-0.8512459315481795232345709400</v>
      </c>
    </row>
    <row r="26" ht="18" customHeight="1">
      <c r="A26" s="58"/>
      <c r="B26" s="1043" t="s">
        <v>46</v>
      </c>
      <c r="C26" s="1043"/>
      <c r="D26" s="439">
        <v>99.09507525896163251840722541</v>
      </c>
      <c r="E26" s="95">
        <v>138.69724209444071889041016583</v>
      </c>
      <c r="F26" s="440">
        <v>130.73830999978962225233358597</v>
      </c>
      <c r="G26" s="439">
        <v>102.53597503116824576268768701</v>
      </c>
      <c r="H26" s="95">
        <v>138.22793162189477712812636589</v>
      </c>
      <c r="I26" s="440">
        <v>125.24747600921624552776671389</v>
      </c>
      <c r="J26" s="439">
        <v>99.0008071179755292080799830</v>
      </c>
      <c r="K26" s="95">
        <v>121.17004637250278237381603566</v>
      </c>
      <c r="L26" s="440">
        <v>95.20146642560098666784880909</v>
      </c>
      <c r="M26" s="439">
        <v>99.459815252490301061411735</v>
      </c>
      <c r="N26" s="95">
        <v>136.88949158084720632050176332</v>
      </c>
      <c r="O26" s="440">
        <v>129.85661573641278810418169632</v>
      </c>
      <c r="P26" s="5"/>
      <c r="Q26" s="420">
        <v>0.3838928827397265171543401100</v>
      </c>
      <c r="R26" s="91">
        <v>-5.3214184392680291598396698800</v>
      </c>
      <c r="S26" s="421">
        <v>0.2818320135686118661609583100</v>
      </c>
      <c r="T26" s="420">
        <v>0</v>
      </c>
      <c r="U26" s="91">
        <v>-2.0809984058463194497513163800</v>
      </c>
      <c r="V26" s="421">
        <v>0.4699656407514050166918688800</v>
      </c>
      <c r="W26" s="420">
        <v>17.097224877708129270955635270</v>
      </c>
      <c r="X26" s="91">
        <v>5.5050277588261402351929416500</v>
      </c>
      <c r="Y26" s="421">
        <v>12.415376767568796932778493780</v>
      </c>
      <c r="Z26" s="420">
        <v>1.498805042208208477294935600</v>
      </c>
      <c r="AA26" s="91">
        <v>-3.9014562808460746347913723500</v>
      </c>
      <c r="AB26" s="421">
        <v>0.2053632666565387370809848600</v>
      </c>
    </row>
    <row r="27" ht="18" customHeight="1">
      <c r="A27" s="58"/>
      <c r="B27" s="1043" t="s">
        <v>47</v>
      </c>
      <c r="C27" s="1043"/>
      <c r="D27" s="439">
        <v>101.29021084854657548706624787</v>
      </c>
      <c r="E27" s="95">
        <v>143.68355128451393768460571571</v>
      </c>
      <c r="F27" s="440">
        <v>143.10168106027688177735150091</v>
      </c>
      <c r="G27" s="439">
        <v>102.1858912646777549493432483</v>
      </c>
      <c r="H27" s="95">
        <v>144.3575274446043073474805038</v>
      </c>
      <c r="I27" s="440">
        <v>123.11032792626736340677070722</v>
      </c>
      <c r="J27" s="439">
        <v>98.25189910903037513159133506</v>
      </c>
      <c r="K27" s="95">
        <v>125.23549020583278071153724368</v>
      </c>
      <c r="L27" s="440">
        <v>91.12871994808558280210768442</v>
      </c>
      <c r="M27" s="439">
        <v>101.36077328326035949346658956</v>
      </c>
      <c r="N27" s="95">
        <v>142.23468335589655217745577269</v>
      </c>
      <c r="O27" s="440">
        <v>140.51347696481549267361463335</v>
      </c>
      <c r="P27" s="93"/>
      <c r="Q27" s="420">
        <v>-11.961027096447600437947153200</v>
      </c>
      <c r="R27" s="91">
        <v>-2.2742848457947883601829504400</v>
      </c>
      <c r="S27" s="421">
        <v>3.6228777284496578463887654800</v>
      </c>
      <c r="T27" s="420">
        <v>0</v>
      </c>
      <c r="U27" s="91">
        <v>5.4440889786709048421815911400</v>
      </c>
      <c r="V27" s="421">
        <v>-0.8191837072003215261569914200</v>
      </c>
      <c r="W27" s="420">
        <v>-0.9561731378476079064311666300</v>
      </c>
      <c r="X27" s="91">
        <v>6.5276619604473933881012044300</v>
      </c>
      <c r="Y27" s="421">
        <v>-6.2633085248523591249216150900</v>
      </c>
      <c r="Z27" s="420">
        <v>-11.401467854278839192013951880</v>
      </c>
      <c r="AA27" s="91">
        <v>-1.1002988871734992753440177700</v>
      </c>
      <c r="AB27" s="421">
        <v>2.9923156912910704295209897900</v>
      </c>
    </row>
    <row r="28" ht="18" customHeight="1">
      <c r="A28" s="58"/>
      <c r="B28" s="1043" t="s">
        <v>48</v>
      </c>
      <c r="C28" s="1043"/>
      <c r="D28" s="439">
        <v>105.35770468335083492264930734</v>
      </c>
      <c r="E28" s="95">
        <v>140.72223521818705979346660945</v>
      </c>
      <c r="F28" s="440">
        <v>140.93802456278277697171904082</v>
      </c>
      <c r="G28" s="439">
        <v>107.72393091113708978825575836</v>
      </c>
      <c r="H28" s="95">
        <v>149.39027445474188127092647989</v>
      </c>
      <c r="I28" s="440">
        <v>119.07691175387090785305098847</v>
      </c>
      <c r="J28" s="439">
        <v>101.00692761663417697356236521</v>
      </c>
      <c r="K28" s="95">
        <v>125.75749376554326699405744278</v>
      </c>
      <c r="L28" s="440">
        <v>96.8061896108033354696088173</v>
      </c>
      <c r="M28" s="439">
        <v>105.49392948797281279754666454</v>
      </c>
      <c r="N28" s="95">
        <v>140.98919380154896955824047753</v>
      </c>
      <c r="O28" s="440">
        <v>138.36584231157418827097013968</v>
      </c>
      <c r="P28" s="5"/>
      <c r="Q28" s="420">
        <v>-3.4723905066023608646354033500</v>
      </c>
      <c r="R28" s="91">
        <v>-4.0282919696856296290667872500</v>
      </c>
      <c r="S28" s="421">
        <v>4.3716047300033521514714936700</v>
      </c>
      <c r="T28" s="420">
        <v>0.06848013890392220687992500</v>
      </c>
      <c r="U28" s="91">
        <v>13.343484713025384151180509280</v>
      </c>
      <c r="V28" s="421">
        <v>2.5314083189162706570481984600</v>
      </c>
      <c r="W28" s="420">
        <v>9.796182837854526467945330140</v>
      </c>
      <c r="X28" s="91">
        <v>3.9627179317648559993386313400</v>
      </c>
      <c r="Y28" s="421">
        <v>11.671716420473205855625517540</v>
      </c>
      <c r="Z28" s="420">
        <v>-4.4738616158042514471563229300</v>
      </c>
      <c r="AA28" s="91">
        <v>-0.7585233962018057514123464500</v>
      </c>
      <c r="AB28" s="421">
        <v>3.919394722800380997002895400</v>
      </c>
    </row>
    <row r="29" ht="18" customHeight="1">
      <c r="A29" s="58"/>
      <c r="B29" s="1043" t="s">
        <v>49</v>
      </c>
      <c r="C29" s="1043"/>
      <c r="D29" s="439">
        <v>105.2110059905388733947691145</v>
      </c>
      <c r="E29" s="95">
        <v>135.82105394968036291925570414</v>
      </c>
      <c r="F29" s="440">
        <v>129.27648435561307348704911477</v>
      </c>
      <c r="G29" s="439">
        <v>118.96287488653552776300624615</v>
      </c>
      <c r="H29" s="95">
        <v>150.31139526741082027328425137</v>
      </c>
      <c r="I29" s="440">
        <v>124.06785964908701412475338802</v>
      </c>
      <c r="J29" s="439">
        <v>100.85616631432997543628411743</v>
      </c>
      <c r="K29" s="95">
        <v>122.9205600407899127721710581</v>
      </c>
      <c r="L29" s="440">
        <v>98.30363039098794507108701166</v>
      </c>
      <c r="M29" s="439">
        <v>107.22520615975829988274463149</v>
      </c>
      <c r="N29" s="95">
        <v>137.97470146126537471903051626</v>
      </c>
      <c r="O29" s="440">
        <v>128.2465209843079047854061057</v>
      </c>
      <c r="P29" s="93"/>
      <c r="Q29" s="420">
        <v>-1.3437390125809088708806168500</v>
      </c>
      <c r="R29" s="91">
        <v>-2.3763172389101756108862969900</v>
      </c>
      <c r="S29" s="421">
        <v>3.4755523364743198287539281600</v>
      </c>
      <c r="T29" s="420">
        <v>24.822065402437900677048230560</v>
      </c>
      <c r="U29" s="91">
        <v>9.351445325229818101951370690</v>
      </c>
      <c r="V29" s="421">
        <v>8.670362439796730267706884770</v>
      </c>
      <c r="W29" s="420">
        <v>11.511251866962438594212701830</v>
      </c>
      <c r="X29" s="91">
        <v>4.0643348147165095974306979100</v>
      </c>
      <c r="Y29" s="421">
        <v>16.602423538942773089778300670</v>
      </c>
      <c r="Z29" s="420">
        <v>2.7048975666663466775926906300</v>
      </c>
      <c r="AA29" s="91">
        <v>0.4917565278049628068530478700</v>
      </c>
      <c r="AB29" s="421">
        <v>3.8666932858731672749751248900</v>
      </c>
    </row>
    <row r="30" ht="18" customHeight="1">
      <c r="A30" s="58"/>
      <c r="B30" s="1044" t="s">
        <v>75</v>
      </c>
      <c r="C30" s="1044"/>
      <c r="D30" s="457">
        <v>100.81786527619523562137801171</v>
      </c>
      <c r="E30" s="458">
        <v>137.47592134351388171997755891</v>
      </c>
      <c r="F30" s="459">
        <v>132.35417043434005510395822479</v>
      </c>
      <c r="G30" s="457">
        <v>109.2293788895674248450266537</v>
      </c>
      <c r="H30" s="458">
        <v>146.75622456347494504533337462</v>
      </c>
      <c r="I30" s="459">
        <v>122.40304087369953162423905368</v>
      </c>
      <c r="J30" s="457">
        <v>99.49267329462212272436216991</v>
      </c>
      <c r="K30" s="458">
        <v>123.20004573313322664001783087</v>
      </c>
      <c r="L30" s="459">
        <v>95.15297781452941252400103746</v>
      </c>
      <c r="M30" s="457">
        <v>101.80913233327249180156903281</v>
      </c>
      <c r="N30" s="458">
        <v>137.43824258256458729678276462</v>
      </c>
      <c r="O30" s="459">
        <v>130.924221997103412371777253</v>
      </c>
      <c r="P30" s="5"/>
      <c r="Q30" s="430">
        <v>-6.7055231169357416368063645300</v>
      </c>
      <c r="R30" s="431">
        <v>-3.5383693362565311880411755200</v>
      </c>
      <c r="S30" s="432">
        <v>2.132887244041510742268848300</v>
      </c>
      <c r="T30" s="430">
        <v>12.527063855218814917693217700</v>
      </c>
      <c r="U30" s="431">
        <v>6.8454345398812283713852361400</v>
      </c>
      <c r="V30" s="432">
        <v>3.3497022482998590805128772100</v>
      </c>
      <c r="W30" s="430">
        <v>6.3010219382800082714267774400</v>
      </c>
      <c r="X30" s="431">
        <v>4.7715052331645659012281496600</v>
      </c>
      <c r="Y30" s="432">
        <v>5.165606852436770161412121500</v>
      </c>
      <c r="Z30" s="430">
        <v>-4.8933649283704793710819745200</v>
      </c>
      <c r="AA30" s="431">
        <v>-1.490976224293698826257803200</v>
      </c>
      <c r="AB30" s="432">
        <v>2.0295927706522967508765609500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107.93276786098468012475192709</v>
      </c>
      <c r="E32" s="494">
        <v>135.51380951207649623632364362</v>
      </c>
      <c r="F32" s="495">
        <v>124.71270818606584775544237323</v>
      </c>
      <c r="G32" s="493">
        <v>126.95198667763821522412403879</v>
      </c>
      <c r="H32" s="494">
        <v>145.59200674975468883653862873</v>
      </c>
      <c r="I32" s="495">
        <v>132.8241687464748545375224691</v>
      </c>
      <c r="J32" s="493">
        <v>100.08793164708946254491834306</v>
      </c>
      <c r="K32" s="494">
        <v>120.76357131517151889970263623</v>
      </c>
      <c r="L32" s="495">
        <v>94.25393631456281439175614547</v>
      </c>
      <c r="M32" s="493">
        <v>109.32746317131851702365062854</v>
      </c>
      <c r="N32" s="494">
        <v>136.82754438358975129929081548</v>
      </c>
      <c r="O32" s="495">
        <v>125.88114811839705344571543517</v>
      </c>
      <c r="P32" s="93"/>
      <c r="Q32" s="479">
        <v>-9.493821191476704046260265660</v>
      </c>
      <c r="R32" s="480">
        <v>-2.6984292615457099040948616300</v>
      </c>
      <c r="S32" s="481">
        <v>-2.4618537072044409208320538400</v>
      </c>
      <c r="T32" s="479">
        <v>22.752028783804637323699541910</v>
      </c>
      <c r="U32" s="480">
        <v>0.5770767077537018912070910300</v>
      </c>
      <c r="V32" s="481">
        <v>11.496806664687266587734176410</v>
      </c>
      <c r="W32" s="479">
        <v>4.7427334825589446324662742400</v>
      </c>
      <c r="X32" s="480">
        <v>0.0965937817264676290295295500</v>
      </c>
      <c r="Y32" s="481">
        <v>-5.7642588782931163297677954400</v>
      </c>
      <c r="Z32" s="479">
        <v>-5.9655761300683127204001254500</v>
      </c>
      <c r="AA32" s="480">
        <v>-1.8012044470213669767885010300</v>
      </c>
      <c r="AB32" s="481">
        <v>-0.6140441985971429915661615400</v>
      </c>
    </row>
    <row r="33" ht="18" customHeight="1">
      <c r="A33" s="58"/>
      <c r="B33" s="1046" t="s">
        <v>51</v>
      </c>
      <c r="C33" s="1046"/>
      <c r="D33" s="276">
        <v>103.24932874493196845254494438</v>
      </c>
      <c r="E33" s="94">
        <v>133.87303979069248366691060833</v>
      </c>
      <c r="F33" s="277">
        <v>124.5090944629662417266775657</v>
      </c>
      <c r="G33" s="276">
        <v>123.31208989634812041131084996</v>
      </c>
      <c r="H33" s="94">
        <v>141.74673762637433773800581765</v>
      </c>
      <c r="I33" s="277">
        <v>130.12137832645794344229499483</v>
      </c>
      <c r="J33" s="276">
        <v>97.97137877700419320836928334</v>
      </c>
      <c r="K33" s="94">
        <v>123.75618446179281701940386819</v>
      </c>
      <c r="L33" s="277">
        <v>96.70716710704824259934366212</v>
      </c>
      <c r="M33" s="276">
        <v>105.03421975284046987371055969</v>
      </c>
      <c r="N33" s="94">
        <v>135.25866169035913506621320955</v>
      </c>
      <c r="O33" s="277">
        <v>125.23430061881740569835634404</v>
      </c>
      <c r="P33" s="5"/>
      <c r="Q33" s="271">
        <v>-6.8675648028530447101910841300</v>
      </c>
      <c r="R33" s="92">
        <v>0.9450338705530635647888329200</v>
      </c>
      <c r="S33" s="272">
        <v>-0.8543314488552219389282253500</v>
      </c>
      <c r="T33" s="271">
        <v>16.440152640590590322122616130</v>
      </c>
      <c r="U33" s="92">
        <v>-4.9142513093442313661346735900</v>
      </c>
      <c r="V33" s="272">
        <v>9.845293219963215611748968500</v>
      </c>
      <c r="W33" s="271">
        <v>6.4901707854028019753042265200</v>
      </c>
      <c r="X33" s="92">
        <v>3.9496480167966783814363241900</v>
      </c>
      <c r="Y33" s="272">
        <v>-0.3810338446909502146943269100</v>
      </c>
      <c r="Z33" s="271">
        <v>-4.0713267127214649569226174400</v>
      </c>
      <c r="AA33" s="92">
        <v>0.5980280752392333326475999700</v>
      </c>
      <c r="AB33" s="272">
        <v>0.4524798471084742775802142200</v>
      </c>
    </row>
    <row r="34" ht="18" customHeight="1">
      <c r="A34" s="58"/>
      <c r="B34" s="1047" t="s">
        <v>76</v>
      </c>
      <c r="C34" s="1047"/>
      <c r="D34" s="443">
        <v>105.77561733216237203927728234</v>
      </c>
      <c r="E34" s="444">
        <v>134.72267568183655440238234065</v>
      </c>
      <c r="F34" s="445">
        <v>124.61151636848580357786442768</v>
      </c>
      <c r="G34" s="443">
        <v>125.17642727213085190080053205</v>
      </c>
      <c r="H34" s="444">
        <v>143.62158203643550318757726474</v>
      </c>
      <c r="I34" s="445">
        <v>131.57261779433525899977948808</v>
      </c>
      <c r="J34" s="443">
        <v>99.25971530662131367409479795</v>
      </c>
      <c r="K34" s="444">
        <v>122.12317827561181236643109717</v>
      </c>
      <c r="L34" s="445">
        <v>95.19347151168489327976838589</v>
      </c>
      <c r="M34" s="633">
        <v>107.34704663258764031217336667</v>
      </c>
      <c r="N34" s="634">
        <v>136.06191548839013301203968057</v>
      </c>
      <c r="O34" s="635">
        <v>125.56323336079669427960743615</v>
      </c>
      <c r="P34" s="93"/>
      <c r="Q34" s="273">
        <v>-7.7193651932226173049650187100</v>
      </c>
      <c r="R34" s="274">
        <v>-0.7735778357084351478513919600</v>
      </c>
      <c r="S34" s="275">
        <v>-1.5824284099116569128378752200</v>
      </c>
      <c r="T34" s="273">
        <v>19.355162145317683940249214100</v>
      </c>
      <c r="U34" s="274">
        <v>-2.1771812285886971266738017700</v>
      </c>
      <c r="V34" s="275">
        <v>10.765676500177046432047007850</v>
      </c>
      <c r="W34" s="273">
        <v>6.2113005039139204614094871300</v>
      </c>
      <c r="X34" s="274">
        <v>1.9907644668781435645628257800</v>
      </c>
      <c r="Y34" s="275">
        <v>-3.1412447122418069670459582300</v>
      </c>
      <c r="Z34" s="273">
        <v>-4.5642488800655945706395907400</v>
      </c>
      <c r="AA34" s="274">
        <v>-0.5384667086303008093932571400</v>
      </c>
      <c r="AB34" s="275">
        <v>-0.0130169328541779901775436200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102.80391147709727225939269171</v>
      </c>
      <c r="E36" s="483">
        <v>136.88927545318230107479440339</v>
      </c>
      <c r="F36" s="484">
        <v>130.22691624279149224737609192</v>
      </c>
      <c r="G36" s="482">
        <v>115.27237354085603112840466926</v>
      </c>
      <c r="H36" s="483">
        <v>144.06853678655387256098285731</v>
      </c>
      <c r="I36" s="484">
        <v>125.16691776387953703894118186</v>
      </c>
      <c r="J36" s="482">
        <v>96.6</v>
      </c>
      <c r="K36" s="483">
        <v>122.99820861739319868583341077</v>
      </c>
      <c r="L36" s="484">
        <v>90.86885273794022823731966944</v>
      </c>
      <c r="M36" s="482">
        <v>103.99178947368421052631578947</v>
      </c>
      <c r="N36" s="483">
        <v>136.99934096391726120207360263</v>
      </c>
      <c r="O36" s="484">
        <v>129.41200064174554789026151131</v>
      </c>
      <c r="P36" s="93"/>
      <c r="Q36" s="468">
        <v>-6.9016964533499602535054825900</v>
      </c>
      <c r="R36" s="469">
        <v>-2.2814061602626568540732157500</v>
      </c>
      <c r="S36" s="470">
        <v>1.2409567917508536071943437300</v>
      </c>
      <c r="T36" s="468">
        <v>9.221391630189952813413422600</v>
      </c>
      <c r="U36" s="469">
        <v>2.4617986782272603556675849800</v>
      </c>
      <c r="V36" s="470">
        <v>5.3239040261515992287809598100</v>
      </c>
      <c r="W36" s="468">
        <v>1.6842105263157894736842105300</v>
      </c>
      <c r="X36" s="469">
        <v>3.2459925422626222524176363900</v>
      </c>
      <c r="Y36" s="470">
        <v>-1.3993415989529235170225305100</v>
      </c>
      <c r="Z36" s="468">
        <v>-4.9409938722821046016522355700</v>
      </c>
      <c r="AA36" s="469">
        <v>-1.1200406530874745558608498700</v>
      </c>
      <c r="AB36" s="470">
        <v>1.537264185895225008360108200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20.231421256508933762082498033</v>
      </c>
      <c r="E39" s="455">
        <v>34.274073933525467137992494974</v>
      </c>
      <c r="F39" s="456">
        <v>56.538951272714256977474845243</v>
      </c>
      <c r="G39" s="454">
        <v>2.0924328714441810240302182203</v>
      </c>
      <c r="H39" s="455">
        <v>7.1466985997461576704999076516</v>
      </c>
      <c r="I39" s="456">
        <v>6.7683544920707636782019534535</v>
      </c>
      <c r="J39" s="454">
        <v>1.3278089642884193090998209365</v>
      </c>
      <c r="K39" s="455">
        <v>6.405012216062786662561636929</v>
      </c>
      <c r="L39" s="456">
        <v>0.2366151862558267522008920697</v>
      </c>
      <c r="M39" s="454">
        <v>23.702636504078261539383253862</v>
      </c>
      <c r="N39" s="455">
        <v>47.825784749334411471054039506</v>
      </c>
      <c r="O39" s="456">
        <v>63.543920951040847407877690702</v>
      </c>
      <c r="P39" s="5"/>
      <c r="Q39" s="427">
        <v>-7.7651499297659999836605062400</v>
      </c>
      <c r="R39" s="428">
        <v>11.287412795841988841230939500</v>
      </c>
      <c r="S39" s="429">
        <v>8.337821757768842838575656790</v>
      </c>
      <c r="T39" s="427">
        <v>0</v>
      </c>
      <c r="U39" s="428">
        <v>12.745143134149512029121925510</v>
      </c>
      <c r="V39" s="429">
        <v>59.657124249699995501312383990</v>
      </c>
      <c r="W39" s="427">
        <v>14.180029784033695490103408470</v>
      </c>
      <c r="X39" s="428">
        <v>13.606234109485892963990196430</v>
      </c>
      <c r="Y39" s="429">
        <v>25.009747007202761623083893600</v>
      </c>
      <c r="Z39" s="427">
        <v>4.0173512506863012502591085700</v>
      </c>
      <c r="AA39" s="428">
        <v>11.809068503368366892482108810</v>
      </c>
      <c r="AB39" s="429">
        <v>12.236242555096832840537096620</v>
      </c>
    </row>
    <row r="40" ht="18" customHeight="1">
      <c r="A40" s="58"/>
      <c r="B40" s="1043" t="s">
        <v>46</v>
      </c>
      <c r="C40" s="1043"/>
      <c r="D40" s="439">
        <v>29.458586171965153408877044001</v>
      </c>
      <c r="E40" s="95">
        <v>55.759867309790808349496389007</v>
      </c>
      <c r="F40" s="440">
        <v>83.4827847980516045946873874</v>
      </c>
      <c r="G40" s="439">
        <v>3.8368300334243601640231521595</v>
      </c>
      <c r="H40" s="95">
        <v>6.9495810925924998445632592866</v>
      </c>
      <c r="I40" s="440">
        <v>12.587229334985179142382360012</v>
      </c>
      <c r="J40" s="439">
        <v>1.440656906447959313924031294</v>
      </c>
      <c r="K40" s="95">
        <v>6.3151239637971063373462132828</v>
      </c>
      <c r="L40" s="440">
        <v>0.2417815020332723470929493567</v>
      </c>
      <c r="M40" s="439">
        <v>34.810935338371605371494107251</v>
      </c>
      <c r="N40" s="95">
        <v>69.024572366180414531405861505</v>
      </c>
      <c r="O40" s="440">
        <v>96.31179563507005608416269667</v>
      </c>
      <c r="P40" s="5"/>
      <c r="Q40" s="420">
        <v>16.608404421354664460606745780</v>
      </c>
      <c r="R40" s="91">
        <v>0.8826570088387476303062074100</v>
      </c>
      <c r="S40" s="421">
        <v>0.6212859255487932869804962100</v>
      </c>
      <c r="T40" s="420">
        <v>0</v>
      </c>
      <c r="U40" s="91">
        <v>-10.520878877902808273435231830</v>
      </c>
      <c r="V40" s="421">
        <v>34.526552181685585357423537360</v>
      </c>
      <c r="W40" s="420">
        <v>23.484346229497570541330292790</v>
      </c>
      <c r="X40" s="91">
        <v>6.6354387703753104609333390400</v>
      </c>
      <c r="Y40" s="421">
        <v>14.459292688880341311906470680</v>
      </c>
      <c r="Z40" s="420">
        <v>22.931575967342898678166375100</v>
      </c>
      <c r="AA40" s="91">
        <v>0.092368122854334189599310400</v>
      </c>
      <c r="AB40" s="421">
        <v>4.0812010709327438190857647500</v>
      </c>
    </row>
    <row r="41" ht="18" customHeight="1">
      <c r="A41" s="58"/>
      <c r="B41" s="1043" t="s">
        <v>47</v>
      </c>
      <c r="C41" s="1043"/>
      <c r="D41" s="439">
        <v>31.585119511912373001343238585</v>
      </c>
      <c r="E41" s="95">
        <v>77.233216447822293852107354171</v>
      </c>
      <c r="F41" s="440">
        <v>106.48257741480693595292039699</v>
      </c>
      <c r="G41" s="439">
        <v>6.7269326268622990414681158686</v>
      </c>
      <c r="H41" s="95">
        <v>6.4801376270022651778910447213</v>
      </c>
      <c r="I41" s="440">
        <v>13.148518016614949697185715002</v>
      </c>
      <c r="J41" s="439">
        <v>1.0212562989827530031599099344</v>
      </c>
      <c r="K41" s="95">
        <v>6.1983495382721104633933028127</v>
      </c>
      <c r="L41" s="440">
        <v>0.1239846529905926296627315436</v>
      </c>
      <c r="M41" s="439">
        <v>39.418078499045695358570340385</v>
      </c>
      <c r="N41" s="95">
        <v>89.91170361309666949339170161</v>
      </c>
      <c r="O41" s="440">
        <v>119.75508008441247827976884341</v>
      </c>
      <c r="P41" s="93"/>
      <c r="Q41" s="420">
        <v>-6.8767095123233308695482114500</v>
      </c>
      <c r="R41" s="91">
        <v>5.9867835044452777491852986600</v>
      </c>
      <c r="S41" s="421">
        <v>9.109088164913480953446892140</v>
      </c>
      <c r="T41" s="420">
        <v>0</v>
      </c>
      <c r="U41" s="91">
        <v>-27.086534216638537575029726320</v>
      </c>
      <c r="V41" s="421">
        <v>19.626541546564817641737271370</v>
      </c>
      <c r="W41" s="420">
        <v>-17.935114887358777934686875590</v>
      </c>
      <c r="X41" s="91">
        <v>21.182260959102881363931529210</v>
      </c>
      <c r="Y41" s="421">
        <v>-43.757985113522977564175943660</v>
      </c>
      <c r="Z41" s="420">
        <v>4.6306474864247407269928510700</v>
      </c>
      <c r="AA41" s="91">
        <v>3.4979341676035188880659282200</v>
      </c>
      <c r="AB41" s="421">
        <v>10.064435179384089189467504780</v>
      </c>
    </row>
    <row r="42" ht="18" customHeight="1">
      <c r="A42" s="58"/>
      <c r="B42" s="1043" t="s">
        <v>48</v>
      </c>
      <c r="C42" s="1043"/>
      <c r="D42" s="439">
        <v>31.07391442340943307776883469</v>
      </c>
      <c r="E42" s="95">
        <v>73.471001260324183151837539262</v>
      </c>
      <c r="F42" s="440">
        <v>102.0442431811712940749884122</v>
      </c>
      <c r="G42" s="439">
        <v>5.0386999942306058126764790203</v>
      </c>
      <c r="H42" s="95">
        <v>15.509901882847280951470497812</v>
      </c>
      <c r="I42" s="440">
        <v>10.760124565514185210757555318</v>
      </c>
      <c r="J42" s="439">
        <v>1.4436025945208916870325445567</v>
      </c>
      <c r="K42" s="95">
        <v>6.0504871540051894110860970462</v>
      </c>
      <c r="L42" s="440">
        <v>0.2414666861040446009446024924</v>
      </c>
      <c r="M42" s="439">
        <v>37.63715713503196706579138813</v>
      </c>
      <c r="N42" s="95">
        <v>95.03139029717665351439413403</v>
      </c>
      <c r="O42" s="440">
        <v>113.0458344327895238866905699</v>
      </c>
      <c r="P42" s="5"/>
      <c r="Q42" s="420">
        <v>30.928829662222029109002505100</v>
      </c>
      <c r="R42" s="91">
        <v>4.4953594876116434922174478800</v>
      </c>
      <c r="S42" s="421">
        <v>8.641738843632920269106462130</v>
      </c>
      <c r="T42" s="420">
        <v>366.39059493264158778656689743</v>
      </c>
      <c r="U42" s="91">
        <v>-9.365404954497220117600043140</v>
      </c>
      <c r="V42" s="421">
        <v>25.719280661409947252697134060</v>
      </c>
      <c r="W42" s="420">
        <v>17.271146178025270319926109950</v>
      </c>
      <c r="X42" s="91">
        <v>23.455727543636752391850821380</v>
      </c>
      <c r="Y42" s="421">
        <v>44.516338925717560773135506010</v>
      </c>
      <c r="Z42" s="420">
        <v>23.688874913784031758513616480</v>
      </c>
      <c r="AA42" s="91">
        <v>2.9327111215015685708457028200</v>
      </c>
      <c r="AB42" s="421">
        <v>10.123993878279322222453795520</v>
      </c>
    </row>
    <row r="43" ht="18" customHeight="1">
      <c r="A43" s="58"/>
      <c r="B43" s="1043" t="s">
        <v>49</v>
      </c>
      <c r="C43" s="1043"/>
      <c r="D43" s="439">
        <v>30.620550847425650608083340854</v>
      </c>
      <c r="E43" s="95">
        <v>60.093937774237029818326303779</v>
      </c>
      <c r="F43" s="440">
        <v>81.81647796746396555608936047</v>
      </c>
      <c r="G43" s="439">
        <v>8.192022343217074649271532274</v>
      </c>
      <c r="H43" s="95">
        <v>22.179927340333871039404973579</v>
      </c>
      <c r="I43" s="440">
        <v>16.373581477498558326668134219</v>
      </c>
      <c r="J43" s="439">
        <v>1.310407178815219214897956723</v>
      </c>
      <c r="K43" s="95">
        <v>6.5648181237254281222706458351</v>
      </c>
      <c r="L43" s="440">
        <v>0.2340562628356855835025881232</v>
      </c>
      <c r="M43" s="439">
        <v>40.209452309909362456029236809</v>
      </c>
      <c r="N43" s="95">
        <v>88.83868323829632898000192311</v>
      </c>
      <c r="O43" s="440">
        <v>98.42411570779820946626008271</v>
      </c>
      <c r="P43" s="93"/>
      <c r="Q43" s="420">
        <v>13.308180936128193329179330720</v>
      </c>
      <c r="R43" s="91">
        <v>3.1515768370953093746827794200</v>
      </c>
      <c r="S43" s="421">
        <v>7.1217605976700556032270447600</v>
      </c>
      <c r="T43" s="420">
        <v>90.32888345547191948053596887</v>
      </c>
      <c r="U43" s="91">
        <v>7.6716996213691586604785290500</v>
      </c>
      <c r="V43" s="421">
        <v>66.656524215247022246473560060</v>
      </c>
      <c r="W43" s="420">
        <v>28.326440639457481573983514760</v>
      </c>
      <c r="X43" s="91">
        <v>25.092879155084496640049380950</v>
      </c>
      <c r="Y43" s="421">
        <v>16.602423548624295110425081800</v>
      </c>
      <c r="Z43" s="420">
        <v>16.010795227206572725465372280</v>
      </c>
      <c r="AA43" s="91">
        <v>5.6277500969928882271502366700</v>
      </c>
      <c r="AB43" s="421">
        <v>13.913423015579258017862088770</v>
      </c>
    </row>
    <row r="44" ht="18" customHeight="1">
      <c r="A44" s="58"/>
      <c r="B44" s="1044" t="s">
        <v>75</v>
      </c>
      <c r="C44" s="1044"/>
      <c r="D44" s="457">
        <v>28.094440798164185219154101338</v>
      </c>
      <c r="E44" s="458">
        <v>58.7891967339143365784786004</v>
      </c>
      <c r="F44" s="459">
        <v>84.61281248216354955440017462</v>
      </c>
      <c r="G44" s="457">
        <v>4.8928572264152535672601545085</v>
      </c>
      <c r="H44" s="458">
        <v>11.234602993746679829562813596</v>
      </c>
      <c r="I44" s="459">
        <v>11.723037062445022138243962975</v>
      </c>
      <c r="J44" s="457">
        <v>1.3296255878083140824914760036</v>
      </c>
      <c r="K44" s="458">
        <v>6.3116045528777444084790651739</v>
      </c>
      <c r="L44" s="459">
        <v>0.2177279022348539433140407167</v>
      </c>
      <c r="M44" s="457">
        <v>34.390882499483416129399063167</v>
      </c>
      <c r="N44" s="458">
        <v>76.335404280538760816520479093</v>
      </c>
      <c r="O44" s="459">
        <v>96.55357744684342563595817823</v>
      </c>
      <c r="P44" s="5"/>
      <c r="Q44" s="430">
        <v>5.9626676233481615090453412400</v>
      </c>
      <c r="R44" s="431">
        <v>4.5511027214436105931389571500</v>
      </c>
      <c r="S44" s="432">
        <v>6.7575871267459042044372460100</v>
      </c>
      <c r="T44" s="430">
        <v>354.42325095519522879498345064</v>
      </c>
      <c r="U44" s="431">
        <v>-5.3108838202797405898887055200</v>
      </c>
      <c r="V44" s="432">
        <v>39.779548220888432290336509640</v>
      </c>
      <c r="W44" s="430">
        <v>14.447843636594353907534681230</v>
      </c>
      <c r="X44" s="431">
        <v>17.364541553899837230581938640</v>
      </c>
      <c r="Y44" s="432">
        <v>10.324495744907903044969061900</v>
      </c>
      <c r="Z44" s="430">
        <v>13.153526431212173414272175850</v>
      </c>
      <c r="AA44" s="431">
        <v>3.8964107773795722699938045200</v>
      </c>
      <c r="AB44" s="432">
        <v>9.918438084442295603335406150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61.42302945207112038282253486</v>
      </c>
      <c r="E46" s="494">
        <v>68.412012951193314053005927892</v>
      </c>
      <c r="F46" s="495">
        <v>84.76787818315926953445317781</v>
      </c>
      <c r="G46" s="493">
        <v>6.9277562622474617447573064182</v>
      </c>
      <c r="H46" s="494">
        <v>25.639476326786909981572755776</v>
      </c>
      <c r="I46" s="495">
        <v>17.182809131488413721917589274</v>
      </c>
      <c r="J46" s="493">
        <v>1.8205958892794947039980666346</v>
      </c>
      <c r="K46" s="494">
        <v>6.1438188905738733141883707721</v>
      </c>
      <c r="L46" s="495">
        <v>0.3099052327803085733969306373</v>
      </c>
      <c r="M46" s="493">
        <v>70.322613029467900273025274087</v>
      </c>
      <c r="N46" s="494">
        <v>100.19530816855409734876705434</v>
      </c>
      <c r="O46" s="495">
        <v>102.26059254742799182976769762</v>
      </c>
      <c r="P46" s="93"/>
      <c r="Q46" s="479">
        <v>33.737724898179174808005421070</v>
      </c>
      <c r="R46" s="480">
        <v>-6.0403590358506974478235915400</v>
      </c>
      <c r="S46" s="481">
        <v>0.5919812532810648214628625900</v>
      </c>
      <c r="T46" s="479">
        <v>-6.3208201392624756464699077900</v>
      </c>
      <c r="U46" s="480">
        <v>24.299618225284310357609978670</v>
      </c>
      <c r="V46" s="481">
        <v>50.198177573083817240560596460</v>
      </c>
      <c r="W46" s="479">
        <v>68.752181728157220388759621800</v>
      </c>
      <c r="X46" s="480">
        <v>23.582945394602317355370964140</v>
      </c>
      <c r="Y46" s="481">
        <v>51.824249564479884467983940740</v>
      </c>
      <c r="Z46" s="479">
        <v>20.647048185731482007808700490</v>
      </c>
      <c r="AA46" s="480">
        <v>1.8156351545092518836482103900</v>
      </c>
      <c r="AB46" s="481">
        <v>6.6178130435178082563001313600</v>
      </c>
    </row>
    <row r="47" ht="18" customHeight="1">
      <c r="A47" s="58"/>
      <c r="B47" s="1046" t="s">
        <v>51</v>
      </c>
      <c r="C47" s="1046"/>
      <c r="D47" s="276">
        <v>50.17214245374247893531821088</v>
      </c>
      <c r="E47" s="94">
        <v>62.930190435680030305670226171</v>
      </c>
      <c r="F47" s="277">
        <v>83.61308010251123013005796172</v>
      </c>
      <c r="G47" s="276">
        <v>6.4086928440754399496917825254</v>
      </c>
      <c r="H47" s="94">
        <v>26.234893428085858089630911028</v>
      </c>
      <c r="I47" s="277">
        <v>14.516942888121838588119985832</v>
      </c>
      <c r="J47" s="276">
        <v>1.145633058279484517355931136</v>
      </c>
      <c r="K47" s="94">
        <v>5.2419746641275042199747494867</v>
      </c>
      <c r="L47" s="277">
        <v>0.1973615655245882502027421678</v>
      </c>
      <c r="M47" s="276">
        <v>57.850878848244165047629644202</v>
      </c>
      <c r="N47" s="94">
        <v>94.40705852789339261527588659</v>
      </c>
      <c r="O47" s="277">
        <v>98.32738455615765696838068963</v>
      </c>
      <c r="P47" s="5"/>
      <c r="Q47" s="271">
        <v>19.297334673498194247151787930</v>
      </c>
      <c r="R47" s="92">
        <v>2.2469043469627577795147415700</v>
      </c>
      <c r="S47" s="272">
        <v>4.7594895869366154333563796700</v>
      </c>
      <c r="T47" s="271">
        <v>-25.556339802477618756851401620</v>
      </c>
      <c r="U47" s="92">
        <v>68.836002533767971238119154450</v>
      </c>
      <c r="V47" s="272">
        <v>51.298668152346612562353705470</v>
      </c>
      <c r="W47" s="271">
        <v>-4.5537960998700438159690175100</v>
      </c>
      <c r="X47" s="92">
        <v>0.8794052476462351081763403700</v>
      </c>
      <c r="Y47" s="272">
        <v>-13.791279290392884683417970720</v>
      </c>
      <c r="Z47" s="271">
        <v>4.1042681422257222231340981400</v>
      </c>
      <c r="AA47" s="92">
        <v>14.735638400642376157856790550</v>
      </c>
      <c r="AB47" s="272">
        <v>9.693677138385253887747498740</v>
      </c>
    </row>
    <row r="48" ht="18" customHeight="1">
      <c r="A48" s="58"/>
      <c r="B48" s="1047" t="s">
        <v>76</v>
      </c>
      <c r="C48" s="1047"/>
      <c r="D48" s="443">
        <v>55.797585952906799659070372867</v>
      </c>
      <c r="E48" s="444">
        <v>65.671101693436672179338077032</v>
      </c>
      <c r="F48" s="445">
        <v>84.19047914283524983225556976</v>
      </c>
      <c r="G48" s="443">
        <v>6.6682245531614508472245444722</v>
      </c>
      <c r="H48" s="444">
        <v>25.937184877436384035601833403</v>
      </c>
      <c r="I48" s="445">
        <v>15.849876009805126155018787553</v>
      </c>
      <c r="J48" s="443">
        <v>1.4831144737794896106769988852</v>
      </c>
      <c r="K48" s="444">
        <v>5.6928967773506887670815601296</v>
      </c>
      <c r="L48" s="445">
        <v>0.2536333991524484117998364026</v>
      </c>
      <c r="M48" s="443">
        <v>64.086745938856032660327459141</v>
      </c>
      <c r="N48" s="444">
        <v>97.30118334822374498202147047</v>
      </c>
      <c r="O48" s="445">
        <v>100.29398855179282439907419361</v>
      </c>
      <c r="P48" s="93"/>
      <c r="Q48" s="273">
        <v>27.458416943884758838926768700</v>
      </c>
      <c r="R48" s="274">
        <v>-1.3250083283739761087219970700</v>
      </c>
      <c r="S48" s="275">
        <v>2.9296564342266981746267262100</v>
      </c>
      <c r="T48" s="273">
        <v>-17.364156954605308418345605740</v>
      </c>
      <c r="U48" s="274">
        <v>45.712660746159084888071112430</v>
      </c>
      <c r="V48" s="275">
        <v>52.183445623171092264913422580</v>
      </c>
      <c r="W48" s="273">
        <v>29.380364633573906183462606560</v>
      </c>
      <c r="X48" s="274">
        <v>11.705629951694052692944696890</v>
      </c>
      <c r="Y48" s="275">
        <v>16.395606488452421631481341410</v>
      </c>
      <c r="Z48" s="273">
        <v>12.872452264124801658300312020</v>
      </c>
      <c r="AA48" s="274">
        <v>8.777784326632986784081652830</v>
      </c>
      <c r="AB48" s="275">
        <v>8.511479210134338304510040540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35.797132616487455197132616487</v>
      </c>
      <c r="E50" s="483">
        <v>60.597068721375935431101509451</v>
      </c>
      <c r="F50" s="484">
        <v>84.58000155173851957562399907</v>
      </c>
      <c r="G50" s="482">
        <v>5.3091397849462365591397849462</v>
      </c>
      <c r="H50" s="483">
        <v>15.203592797164061851942525234</v>
      </c>
      <c r="I50" s="484">
        <v>12.742046368468524517645267231</v>
      </c>
      <c r="J50" s="482">
        <v>1.3849462365591397849462365591</v>
      </c>
      <c r="K50" s="483">
        <v>6.125617180048093570240188764</v>
      </c>
      <c r="L50" s="484">
        <v>0.2289724879562212128531826821</v>
      </c>
      <c r="M50" s="482">
        <v>42.491268817204301075268817204</v>
      </c>
      <c r="N50" s="483">
        <v>81.92627869858809085328422345</v>
      </c>
      <c r="O50" s="484">
        <v>97.55102040816326530612244898</v>
      </c>
      <c r="P50" s="93"/>
      <c r="Q50" s="468">
        <v>6.65684185797726222257937100</v>
      </c>
      <c r="R50" s="469">
        <v>2.1197633312798396598617405700</v>
      </c>
      <c r="S50" s="470">
        <v>5.7238124635254324933881701300</v>
      </c>
      <c r="T50" s="468">
        <v>50.106404540946202787215585280</v>
      </c>
      <c r="U50" s="469">
        <v>10.890148271497424245926294880</v>
      </c>
      <c r="V50" s="470">
        <v>41.458569828902482098512049220</v>
      </c>
      <c r="W50" s="468">
        <v>14.573758340190207610616398560</v>
      </c>
      <c r="X50" s="469">
        <v>17.439888595127315183968572660</v>
      </c>
      <c r="Y50" s="470">
        <v>9.880182592486131567891085100</v>
      </c>
      <c r="Z50" s="468">
        <v>10.918389954639361677116857900</v>
      </c>
      <c r="AA50" s="469">
        <v>4.6771488783097477288291690600</v>
      </c>
      <c r="AB50" s="470">
        <v>9.341413267861289213273966220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5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153</v>
      </c>
      <c r="Y1" s="5"/>
      <c r="AB1" s="685"/>
      <c r="AD1" s="236"/>
    </row>
    <row r="2" ht="15" customHeight="1">
      <c r="A2" s="11"/>
      <c r="B2" s="11" t="s">
        <v>170</v>
      </c>
    </row>
    <row r="3" ht="17.1" customHeight="1">
      <c r="A3" s="11"/>
      <c r="B3" s="11" t="s">
        <v>171</v>
      </c>
      <c r="R3" s="1040" t="s">
        <v>265</v>
      </c>
      <c r="S3" s="1040"/>
      <c r="T3" s="1040"/>
      <c r="U3" s="1040"/>
      <c r="V3" s="1040"/>
      <c r="W3" s="1040"/>
      <c r="X3" s="1040"/>
      <c r="Y3" s="1040"/>
      <c r="Z3" s="1040"/>
      <c r="AA3" s="1040"/>
      <c r="AB3" s="1040"/>
    </row>
    <row r="4" ht="19.5" customHeight="1">
      <c r="A4" s="4"/>
      <c r="B4" s="211" t="s">
        <v>172</v>
      </c>
      <c r="C4" s="5"/>
      <c r="D4" s="5"/>
      <c r="E4" s="5"/>
      <c r="F4" s="5"/>
      <c r="G4" s="5"/>
      <c r="H4" s="212"/>
      <c r="I4" s="212"/>
      <c r="J4" s="212"/>
      <c r="K4" s="212"/>
      <c r="L4" s="212"/>
      <c r="M4" s="212"/>
      <c r="N4" s="212"/>
      <c r="O4" s="212"/>
      <c r="P4" s="212"/>
      <c r="Q4" s="212"/>
      <c r="R4" s="212"/>
      <c r="S4" s="212"/>
      <c r="T4" s="212"/>
      <c r="U4" s="4"/>
      <c r="V4" s="4"/>
    </row>
    <row r="5" ht="12.75" customHeight="1"/>
    <row r="6" ht="15.75">
      <c r="D6" s="978" t="s">
        <v>58</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17.734358578279211415219314770</v>
      </c>
      <c r="E11" s="428">
        <v>23.951692874344808046465505050</v>
      </c>
      <c r="F11" s="429">
        <v>42.676627034936894091823669320</v>
      </c>
      <c r="G11" s="427">
        <v>2.0201007972860013002947660700</v>
      </c>
      <c r="H11" s="428">
        <v>3.6230344241393965150871228300</v>
      </c>
      <c r="I11" s="429">
        <v>3.8433737780216653456090075800</v>
      </c>
      <c r="J11" s="427">
        <v>1.1482678216152007391149196600</v>
      </c>
      <c r="K11" s="428">
        <v>3.7115738773197336733248335500</v>
      </c>
      <c r="L11" s="429">
        <v>0.2041192610206694713736967300</v>
      </c>
      <c r="M11" s="427">
        <v>20.910444586258242927036800680</v>
      </c>
      <c r="N11" s="428">
        <v>31.286301175803938234877461400</v>
      </c>
      <c r="O11" s="429">
        <v>46.728776300638542866115356430</v>
      </c>
      <c r="P11" s="5"/>
      <c r="Q11" s="427">
        <v>0.7693871044528910548635087700</v>
      </c>
      <c r="R11" s="428">
        <v>13.806834984429367686037723440</v>
      </c>
      <c r="S11" s="429">
        <v>7.904205323292146852928216500</v>
      </c>
      <c r="T11" s="427">
        <v>-11.262154273498633546621548300</v>
      </c>
      <c r="U11" s="428">
        <v>-54.854793952919264318790894350</v>
      </c>
      <c r="V11" s="429">
        <v>4.3674775939543550488001450100</v>
      </c>
      <c r="W11" s="427">
        <v>-2.8554109890883168593152860800</v>
      </c>
      <c r="X11" s="428">
        <v>-31.328042272214340936690471660</v>
      </c>
      <c r="Y11" s="429">
        <v>-57.047686995952212064617603140</v>
      </c>
      <c r="Z11" s="427">
        <v>-1.7270067843266510921965390300</v>
      </c>
      <c r="AA11" s="428">
        <v>-9.208634422249406212469484370</v>
      </c>
      <c r="AB11" s="429">
        <v>6.9195200144246317354844416100</v>
      </c>
    </row>
    <row r="12" ht="18" customHeight="1">
      <c r="A12" s="58"/>
      <c r="B12" s="1043" t="s">
        <v>46</v>
      </c>
      <c r="C12" s="1043"/>
      <c r="D12" s="420">
        <v>22.571175449498261799182630850</v>
      </c>
      <c r="E12" s="91">
        <v>37.285734523303584077064740080</v>
      </c>
      <c r="F12" s="421">
        <v>60.888601101558848037721277200</v>
      </c>
      <c r="G12" s="420">
        <v>2.0630667152935062820972359400</v>
      </c>
      <c r="H12" s="91">
        <v>6.371299050857061906785663700</v>
      </c>
      <c r="I12" s="421">
        <v>6.9226087840172347214600735800</v>
      </c>
      <c r="J12" s="420">
        <v>1.4707010247636876466435741400</v>
      </c>
      <c r="K12" s="91">
        <v>3.669074939793171837370732400</v>
      </c>
      <c r="L12" s="421">
        <v>0.2529683149401459260614190200</v>
      </c>
      <c r="M12" s="420">
        <v>26.113608500204331834899877400</v>
      </c>
      <c r="N12" s="91">
        <v>47.311942201444963875903102420</v>
      </c>
      <c r="O12" s="421">
        <v>68.072856694232178373285878780</v>
      </c>
      <c r="P12" s="5"/>
      <c r="Q12" s="420">
        <v>-17.276086037430745277107111830</v>
      </c>
      <c r="R12" s="91">
        <v>9.084880636486050689426636210</v>
      </c>
      <c r="S12" s="421">
        <v>4.9169049097984388443271964300</v>
      </c>
      <c r="T12" s="420">
        <v>-48.522805255042451195153952110</v>
      </c>
      <c r="U12" s="91">
        <v>-39.504522196509200890431038510</v>
      </c>
      <c r="V12" s="421">
        <v>28.421513882683219640773624880</v>
      </c>
      <c r="W12" s="420">
        <v>17.192412694125247321443901400</v>
      </c>
      <c r="X12" s="91">
        <v>-31.618846795718766997285380100</v>
      </c>
      <c r="Y12" s="421">
        <v>-46.964205015621910776148093060</v>
      </c>
      <c r="Z12" s="420">
        <v>-21.464296824025239223919558600</v>
      </c>
      <c r="AA12" s="91">
        <v>-5.524112572652938162680971300</v>
      </c>
      <c r="AB12" s="421">
        <v>6.5174713490012319009758350600</v>
      </c>
    </row>
    <row r="13" ht="18" customHeight="1">
      <c r="A13" s="58"/>
      <c r="B13" s="1043" t="s">
        <v>47</v>
      </c>
      <c r="C13" s="1043"/>
      <c r="D13" s="420">
        <v>30.083375944307315440688072410</v>
      </c>
      <c r="E13" s="91">
        <v>45.808471454880294659300184200</v>
      </c>
      <c r="F13" s="421">
        <v>68.885769056111925734113984880</v>
      </c>
      <c r="G13" s="420">
        <v>3.3253547469757533648512976100</v>
      </c>
      <c r="H13" s="91">
        <v>8.747697974217311233885819530</v>
      </c>
      <c r="I13" s="421">
        <v>8.282767100593977268509464810</v>
      </c>
      <c r="J13" s="420">
        <v>1.4631560886693314805345709500</v>
      </c>
      <c r="K13" s="91">
        <v>3.6095764272559852670349907900</v>
      </c>
      <c r="L13" s="421">
        <v>0.2449449197327901273272240400</v>
      </c>
      <c r="M13" s="420">
        <v>34.900221729490022172949002220</v>
      </c>
      <c r="N13" s="91">
        <v>58.154696132596685082872928180</v>
      </c>
      <c r="O13" s="421">
        <v>77.411862899860287046613321720</v>
      </c>
      <c r="P13" s="184"/>
      <c r="Q13" s="420">
        <v>-14.039611908504750395804397100</v>
      </c>
      <c r="R13" s="91">
        <v>6.9037147401532408398448192900</v>
      </c>
      <c r="S13" s="421">
        <v>3.4953726606984070157453653600</v>
      </c>
      <c r="T13" s="420">
        <v>-44.309289805457668881736512370</v>
      </c>
      <c r="U13" s="91">
        <v>-30.596142606786488465838282340</v>
      </c>
      <c r="V13" s="421">
        <v>17.203953903122962418590126730</v>
      </c>
      <c r="W13" s="420">
        <v>9.525063380376585764947282060</v>
      </c>
      <c r="X13" s="91">
        <v>-30.704504207041152125474324660</v>
      </c>
      <c r="Y13" s="421">
        <v>-50.816214058709721458270244250</v>
      </c>
      <c r="Z13" s="420">
        <v>-19.245228572302372431533561460</v>
      </c>
      <c r="AA13" s="91">
        <v>-4.1178031830439766836225860300</v>
      </c>
      <c r="AB13" s="421">
        <v>4.4330366853101723092540598900</v>
      </c>
    </row>
    <row r="14" ht="18" customHeight="1">
      <c r="A14" s="58"/>
      <c r="B14" s="1043" t="s">
        <v>48</v>
      </c>
      <c r="C14" s="1043"/>
      <c r="D14" s="420">
        <v>33.113729190241394767115644450</v>
      </c>
      <c r="E14" s="91">
        <v>44.811588043632242527270151620</v>
      </c>
      <c r="F14" s="421">
        <v>67.510006873046589634587627820</v>
      </c>
      <c r="G14" s="420">
        <v>5.1542061494384382219352331100</v>
      </c>
      <c r="H14" s="91">
        <v>12.172404023232752514520470330</v>
      </c>
      <c r="I14" s="421">
        <v>8.241476829024311797408134970</v>
      </c>
      <c r="J14" s="420">
        <v>1.5135367264223985254889176600</v>
      </c>
      <c r="K14" s="91">
        <v>3.4565802521603626576002266600</v>
      </c>
      <c r="L14" s="421">
        <v>0.2598349656209526994950935500</v>
      </c>
      <c r="M14" s="420">
        <v>39.811783960720130932896890340</v>
      </c>
      <c r="N14" s="91">
        <v>60.415781272134863295084289560</v>
      </c>
      <c r="O14" s="421">
        <v>76.01625307360968208848508100</v>
      </c>
      <c r="P14" s="5"/>
      <c r="Q14" s="420">
        <v>-1.3213474339469519054788290700</v>
      </c>
      <c r="R14" s="91">
        <v>8.181840567103742786487517220</v>
      </c>
      <c r="S14" s="421">
        <v>2.4377718113709210810921487700</v>
      </c>
      <c r="T14" s="420">
        <v>-38.754499697811201118044146730</v>
      </c>
      <c r="U14" s="91">
        <v>-20.861884762678609199213331780</v>
      </c>
      <c r="V14" s="421">
        <v>15.644025810773971966287831720</v>
      </c>
      <c r="W14" s="420">
        <v>19.598851976296278188667808980</v>
      </c>
      <c r="X14" s="91">
        <v>-32.157772105597597169828034450</v>
      </c>
      <c r="Y14" s="421">
        <v>-48.009428382120291708651480730</v>
      </c>
      <c r="Z14" s="420">
        <v>-8.796879567014524660350133910</v>
      </c>
      <c r="AA14" s="91">
        <v>-2.3838895322629160558527341100</v>
      </c>
      <c r="AB14" s="421">
        <v>3.3941431993900964928041465200</v>
      </c>
    </row>
    <row r="15" ht="18" customHeight="1">
      <c r="A15" s="58"/>
      <c r="B15" s="1043" t="s">
        <v>49</v>
      </c>
      <c r="C15" s="1043"/>
      <c r="D15" s="420">
        <v>29.329887374185398453393350310</v>
      </c>
      <c r="E15" s="91">
        <v>37.831137554894460971809038140</v>
      </c>
      <c r="F15" s="421">
        <v>59.629508821764138298894153010</v>
      </c>
      <c r="G15" s="420">
        <v>6.7495556718836691001532814500</v>
      </c>
      <c r="H15" s="91">
        <v>13.380082164612551352882844610</v>
      </c>
      <c r="I15" s="421">
        <v>7.8212068510736433371509702400</v>
      </c>
      <c r="J15" s="420">
        <v>1.1862855423310691145723949200</v>
      </c>
      <c r="K15" s="91">
        <v>3.6726165179203853237002408300</v>
      </c>
      <c r="L15" s="421">
        <v>0.2075192007308279948987659900</v>
      </c>
      <c r="M15" s="420">
        <v>37.315875613747954173486088380</v>
      </c>
      <c r="N15" s="91">
        <v>54.873211503045757189403598240</v>
      </c>
      <c r="O15" s="421">
        <v>67.666498090438240064175226270</v>
      </c>
      <c r="P15" s="184"/>
      <c r="Q15" s="420">
        <v>4.1717728191305642893426344400</v>
      </c>
      <c r="R15" s="91">
        <v>7.0537172744520966487801888300</v>
      </c>
      <c r="S15" s="421">
        <v>5.0481098292576968078643389600</v>
      </c>
      <c r="T15" s="420">
        <v>-14.716460533948390056730289980</v>
      </c>
      <c r="U15" s="91">
        <v>-7.3346432197990274890125544800</v>
      </c>
      <c r="V15" s="421">
        <v>11.021032324814849605729771960</v>
      </c>
      <c r="W15" s="420">
        <v>-15.061040492460222712908445700</v>
      </c>
      <c r="X15" s="91">
        <v>-29.636383730790686981782715800</v>
      </c>
      <c r="Y15" s="421">
        <v>-58.239637094522951272284455710</v>
      </c>
      <c r="Z15" s="420">
        <v>-2.5069829994744492558648741400</v>
      </c>
      <c r="AA15" s="91">
        <v>-0.1978567159033689750894540800</v>
      </c>
      <c r="AB15" s="421">
        <v>5.2179403755115157338496116400</v>
      </c>
    </row>
    <row r="16" ht="18" customHeight="1">
      <c r="A16" s="58"/>
      <c r="B16" s="1044" t="s">
        <v>75</v>
      </c>
      <c r="C16" s="1044"/>
      <c r="D16" s="430">
        <v>26.578667185914608307304105530</v>
      </c>
      <c r="E16" s="431">
        <v>37.876711350950076377289534180</v>
      </c>
      <c r="F16" s="432">
        <v>59.849218087191391130778502330</v>
      </c>
      <c r="G16" s="430">
        <v>3.8848642539815335500359442300</v>
      </c>
      <c r="H16" s="431">
        <v>8.859765585963710080374605630</v>
      </c>
      <c r="I16" s="432">
        <v>7.0126903427313064151274629700</v>
      </c>
      <c r="J16" s="430">
        <v>1.3563534679849319722108253600</v>
      </c>
      <c r="K16" s="431">
        <v>3.6239953174297257555641212300</v>
      </c>
      <c r="L16" s="432">
        <v>0.2337915013744582526725704600</v>
      </c>
      <c r="M16" s="430">
        <v>31.845400108873162765378334240</v>
      </c>
      <c r="N16" s="431">
        <v>50.348337544791354376347309660</v>
      </c>
      <c r="O16" s="432">
        <v>67.100743579376658990630548280</v>
      </c>
      <c r="P16" s="5"/>
      <c r="Q16" s="430">
        <v>-6.5468025433744521349675338600</v>
      </c>
      <c r="R16" s="431">
        <v>8.320038708751735614857360560</v>
      </c>
      <c r="S16" s="432">
        <v>4.3348928748962261297818101300</v>
      </c>
      <c r="T16" s="430">
        <v>-32.411259723778959836835169070</v>
      </c>
      <c r="U16" s="431">
        <v>-27.353447987299739180371346050</v>
      </c>
      <c r="V16" s="432">
        <v>15.682312198917177370823205230</v>
      </c>
      <c r="W16" s="430">
        <v>5.2416038928782060408162398600</v>
      </c>
      <c r="X16" s="431">
        <v>-31.086861843616571328783161480</v>
      </c>
      <c r="Y16" s="432">
        <v>-52.227216246858615803579600790</v>
      </c>
      <c r="Z16" s="629">
        <v>-11.379701388798240456894608190</v>
      </c>
      <c r="AA16" s="214">
        <v>-3.9373588587899547730344614400</v>
      </c>
      <c r="AB16" s="630">
        <v>4.9862250755027372030904310600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46.306042548923111644687967290</v>
      </c>
      <c r="E18" s="480">
        <v>44.308683949567927468479954700</v>
      </c>
      <c r="F18" s="481">
        <v>59.113326608181574546877054420</v>
      </c>
      <c r="G18" s="479">
        <v>5.9518809106610536610442572800</v>
      </c>
      <c r="H18" s="480">
        <v>15.310242243943901402464938390</v>
      </c>
      <c r="I18" s="481">
        <v>9.502286762876317178179629170</v>
      </c>
      <c r="J18" s="479">
        <v>1.4317239303995661727597869700</v>
      </c>
      <c r="K18" s="480">
        <v>3.3857486896160929310100580800</v>
      </c>
      <c r="L18" s="481">
        <v>0.2423963773242444646296510300</v>
      </c>
      <c r="M18" s="479">
        <v>53.702945990180032733224222590</v>
      </c>
      <c r="N18" s="480">
        <v>63.004674883127921801954951130</v>
      </c>
      <c r="O18" s="481">
        <v>68.854088554836684512494986310</v>
      </c>
      <c r="P18" s="184"/>
      <c r="Q18" s="479">
        <v>12.877377428189701378106008210</v>
      </c>
      <c r="R18" s="480">
        <v>5.0977843697503460440935583900</v>
      </c>
      <c r="S18" s="481">
        <v>4.1231941187671436114333094800</v>
      </c>
      <c r="T18" s="479">
        <v>-9.843004990450030544977693540</v>
      </c>
      <c r="U18" s="480">
        <v>-10.638688424784263917278237190</v>
      </c>
      <c r="V18" s="481">
        <v>2.6086147095232686171340738800</v>
      </c>
      <c r="W18" s="479">
        <v>22.271217898953255773893759910</v>
      </c>
      <c r="X18" s="480">
        <v>-33.917416125396895794684828830</v>
      </c>
      <c r="Y18" s="481">
        <v>-39.373410616411232928786132710</v>
      </c>
      <c r="Z18" s="479">
        <v>7.4503296684278657599615130600</v>
      </c>
      <c r="AA18" s="480">
        <v>-2.1738359249371822893477697200</v>
      </c>
      <c r="AB18" s="481">
        <v>3.6418966327243588244156265400</v>
      </c>
    </row>
    <row r="19" ht="18" customHeight="1">
      <c r="A19" s="58"/>
      <c r="B19" s="1046" t="s">
        <v>51</v>
      </c>
      <c r="C19" s="1046"/>
      <c r="D19" s="271">
        <v>46.531027737985900614693076670</v>
      </c>
      <c r="E19" s="92">
        <v>44.843462246777163904235727480</v>
      </c>
      <c r="F19" s="272">
        <v>60.140163811149726642684389210</v>
      </c>
      <c r="G19" s="271">
        <v>4.7655953683299845464718623600</v>
      </c>
      <c r="H19" s="92">
        <v>13.249043773905652358691032740</v>
      </c>
      <c r="I19" s="272">
        <v>7.9030790805438692762636424700</v>
      </c>
      <c r="J19" s="271">
        <v>1.1862855423310691145723949200</v>
      </c>
      <c r="K19" s="92">
        <v>3.2299192520186995325116872100</v>
      </c>
      <c r="L19" s="272">
        <v>0.2041192610206694713736967300</v>
      </c>
      <c r="M19" s="271">
        <v>52.516366612111292962356792140</v>
      </c>
      <c r="N19" s="92">
        <v>61.315342116447088822779430510</v>
      </c>
      <c r="O19" s="272">
        <v>68.249066610837782197564464920</v>
      </c>
      <c r="P19" s="5"/>
      <c r="Q19" s="271">
        <v>14.947042362519359167225509120</v>
      </c>
      <c r="R19" s="92">
        <v>4.2186808954649654639130369400</v>
      </c>
      <c r="S19" s="272">
        <v>4.0517198513643914876791081300</v>
      </c>
      <c r="T19" s="271">
        <v>-29.217711847838190044609397140</v>
      </c>
      <c r="U19" s="92">
        <v>-10.247133474485985352052074010</v>
      </c>
      <c r="V19" s="272">
        <v>-3.3497967906522573771266343900</v>
      </c>
      <c r="W19" s="271">
        <v>-10.223813559373472427054214390</v>
      </c>
      <c r="X19" s="92">
        <v>-31.223517535081811830798447920</v>
      </c>
      <c r="Y19" s="272">
        <v>-53.625191936063116144685793220</v>
      </c>
      <c r="Z19" s="271">
        <v>4.4710608540418121189312451500</v>
      </c>
      <c r="AA19" s="92">
        <v>-1.8619106862451536689495008300</v>
      </c>
      <c r="AB19" s="272">
        <v>2.7610305896168350311187182900</v>
      </c>
    </row>
    <row r="20" ht="18" customHeight="1">
      <c r="A20" s="58"/>
      <c r="B20" s="1047" t="s">
        <v>76</v>
      </c>
      <c r="C20" s="1047"/>
      <c r="D20" s="273">
        <v>46.418535143454506129690521970</v>
      </c>
      <c r="E20" s="274">
        <v>44.576073098172545686357841090</v>
      </c>
      <c r="F20" s="275">
        <v>59.626634792540205972399815490</v>
      </c>
      <c r="G20" s="273">
        <v>5.3587381394955191037580598200</v>
      </c>
      <c r="H20" s="274">
        <v>14.279643008924776880577985560</v>
      </c>
      <c r="I20" s="275">
        <v>8.702854886569529258425885020</v>
      </c>
      <c r="J20" s="273">
        <v>1.3090047363653176436660909500</v>
      </c>
      <c r="K20" s="274">
        <v>3.3078339708173962317608726500</v>
      </c>
      <c r="L20" s="275">
        <v>0.2232619351600159825791188100</v>
      </c>
      <c r="M20" s="273">
        <v>53.109656301145662847790507360</v>
      </c>
      <c r="N20" s="274">
        <v>62.160008499787505312367190820</v>
      </c>
      <c r="O20" s="275">
        <v>68.551643540523804955477450920</v>
      </c>
      <c r="P20" s="184"/>
      <c r="Q20" s="273">
        <v>13.890836643277118797800524020</v>
      </c>
      <c r="R20" s="274">
        <v>4.653750035148781401512686300</v>
      </c>
      <c r="S20" s="275">
        <v>4.0869442508087608279120768200</v>
      </c>
      <c r="T20" s="273">
        <v>-19.610495301349317264266521460</v>
      </c>
      <c r="U20" s="274">
        <v>-10.457466408269585453848976240</v>
      </c>
      <c r="V20" s="275">
        <v>-0.1834669413933381570175972600</v>
      </c>
      <c r="W20" s="273">
        <v>5.1641391353429181372430547100</v>
      </c>
      <c r="X20" s="274">
        <v>-32.629072310130008380360526830</v>
      </c>
      <c r="Y20" s="275">
        <v>-46.840483002257246346029955250</v>
      </c>
      <c r="Z20" s="273">
        <v>5.9563935117089043992349547500</v>
      </c>
      <c r="AA20" s="274">
        <v>-2.0202408180653053419961066700</v>
      </c>
      <c r="AB20" s="275">
        <v>3.2016268572986612743495658700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32.409552664409196221707360540</v>
      </c>
      <c r="E22" s="469">
        <v>39.830683045684469377561927340</v>
      </c>
      <c r="F22" s="470">
        <v>59.716668966623812266819394570</v>
      </c>
      <c r="G22" s="468">
        <v>4.2594902869363749777223311400</v>
      </c>
      <c r="H22" s="469">
        <v>10.444964055887982478062309910</v>
      </c>
      <c r="I22" s="470">
        <v>7.5684291291907851954592805600</v>
      </c>
      <c r="J22" s="468">
        <v>1.348541555278322343016693400</v>
      </c>
      <c r="K22" s="469">
        <v>3.4732209630979387510930994200</v>
      </c>
      <c r="L22" s="470">
        <v>0.2294657407697600376273646300</v>
      </c>
      <c r="M22" s="468">
        <v>38.017584506623893542446385080</v>
      </c>
      <c r="N22" s="469">
        <v>53.748868064670390606717336670</v>
      </c>
      <c r="O22" s="470">
        <v>67.514563836584357499906039760</v>
      </c>
      <c r="P22" s="184"/>
      <c r="Q22" s="468">
        <v>-0.3154482287339127904220621900</v>
      </c>
      <c r="R22" s="469">
        <v>7.21767213074737324211025100</v>
      </c>
      <c r="S22" s="470">
        <v>4.3140472480392776686301925200</v>
      </c>
      <c r="T22" s="468">
        <v>-31.304304338585962440696314690</v>
      </c>
      <c r="U22" s="469">
        <v>-21.558159877014356684526000070</v>
      </c>
      <c r="V22" s="470">
        <v>9.409947263829133246966937340</v>
      </c>
      <c r="W22" s="468">
        <v>5.6732146533578240457015960800</v>
      </c>
      <c r="X22" s="469">
        <v>-31.984135430867454575055806300</v>
      </c>
      <c r="Y22" s="470">
        <v>-50.716906947232516241868949750</v>
      </c>
      <c r="Z22" s="468">
        <v>-4.9293587413725625159941223500</v>
      </c>
      <c r="AA22" s="469">
        <v>-3.2796262390412729014700562900</v>
      </c>
      <c r="AB22" s="470">
        <v>4.4630188182421131777044012200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99.90684303170058739445856669</v>
      </c>
      <c r="E25" s="455">
        <v>122.61168063021684962230453284</v>
      </c>
      <c r="F25" s="456">
        <v>113.80241630599737845355668084</v>
      </c>
      <c r="G25" s="454">
        <v>127.5761150587346333645093418</v>
      </c>
      <c r="H25" s="455">
        <v>134.68862910162272900261058078</v>
      </c>
      <c r="I25" s="456">
        <v>121.1724053198367233263756756</v>
      </c>
      <c r="J25" s="454">
        <v>94.73437485298459784111499675</v>
      </c>
      <c r="K25" s="455">
        <v>131.41751870945254098152224362</v>
      </c>
      <c r="L25" s="456">
        <v>90.94643695226988999280579352</v>
      </c>
      <c r="M25" s="454">
        <v>102.29673882103687521874571915</v>
      </c>
      <c r="N25" s="455">
        <v>125.05488151240919953746337911</v>
      </c>
      <c r="O25" s="456">
        <v>114.30026320640396319997264853</v>
      </c>
      <c r="P25" s="5"/>
      <c r="Q25" s="427">
        <v>-8.098598584716922212766932320</v>
      </c>
      <c r="R25" s="428">
        <v>-4.5147308261702207877270098900</v>
      </c>
      <c r="S25" s="429">
        <v>-1.3086687614999723197947550100</v>
      </c>
      <c r="T25" s="427">
        <v>26.730223529547503461004207110</v>
      </c>
      <c r="U25" s="428">
        <v>1.3324905216112075367107911500</v>
      </c>
      <c r="V25" s="429">
        <v>4.2514942827863531061522688700</v>
      </c>
      <c r="W25" s="427">
        <v>-1.9054615390761404039173489300</v>
      </c>
      <c r="X25" s="428">
        <v>6.8130534834145897600525527400</v>
      </c>
      <c r="Y25" s="429">
        <v>0.2216896550897919375832212200</v>
      </c>
      <c r="Z25" s="427">
        <v>-4.0610020248935502360747637100</v>
      </c>
      <c r="AA25" s="428">
        <v>-2.8089804132886561935011922600</v>
      </c>
      <c r="AB25" s="429">
        <v>-0.721611617318532140825553900</v>
      </c>
    </row>
    <row r="26" ht="18" customHeight="1">
      <c r="A26" s="58"/>
      <c r="B26" s="1043" t="s">
        <v>46</v>
      </c>
      <c r="C26" s="1043"/>
      <c r="D26" s="439">
        <v>107.51018806418478551744555738</v>
      </c>
      <c r="E26" s="95">
        <v>139.69780019464825447495034928</v>
      </c>
      <c r="F26" s="440">
        <v>129.35132740792020229547017402</v>
      </c>
      <c r="G26" s="439">
        <v>124.56119422820259557286261028</v>
      </c>
      <c r="H26" s="95">
        <v>138.76434788094247750478004217</v>
      </c>
      <c r="I26" s="440">
        <v>132.88076851870795039126607266</v>
      </c>
      <c r="J26" s="439">
        <v>95.25251620715167206500694736</v>
      </c>
      <c r="K26" s="95">
        <v>132.03183815343879576266968245</v>
      </c>
      <c r="L26" s="440">
        <v>92.11287022295458002351337997</v>
      </c>
      <c r="M26" s="439">
        <v>108.16715148269762952919950294</v>
      </c>
      <c r="N26" s="95">
        <v>139.01942410465116644610392725</v>
      </c>
      <c r="O26" s="440">
        <v>129.55861226942397205315899738</v>
      </c>
      <c r="P26" s="5"/>
      <c r="Q26" s="420">
        <v>-4.0207884553800266498972893500</v>
      </c>
      <c r="R26" s="91">
        <v>-4.5544400748881823481350397700</v>
      </c>
      <c r="S26" s="421">
        <v>0.6257624830631368973253307500</v>
      </c>
      <c r="T26" s="420">
        <v>26.174037106342495739318716700</v>
      </c>
      <c r="U26" s="91">
        <v>2.0251633254628001152598574300</v>
      </c>
      <c r="V26" s="421">
        <v>7.3476415989704786148023944900</v>
      </c>
      <c r="W26" s="420">
        <v>2.9221714023910402399675067100</v>
      </c>
      <c r="X26" s="91">
        <v>9.244939332539447833824960890</v>
      </c>
      <c r="Y26" s="421">
        <v>2.3189008187774138497245709300</v>
      </c>
      <c r="Z26" s="420">
        <v>-1.3314204700810257928191056400</v>
      </c>
      <c r="AA26" s="91">
        <v>-1.713807514031324163716338800</v>
      </c>
      <c r="AB26" s="421">
        <v>1.3386252311934754912048174300</v>
      </c>
    </row>
    <row r="27" ht="18" customHeight="1">
      <c r="A27" s="58"/>
      <c r="B27" s="1043" t="s">
        <v>47</v>
      </c>
      <c r="C27" s="1043"/>
      <c r="D27" s="439">
        <v>111.61408299963471284121288553</v>
      </c>
      <c r="E27" s="95">
        <v>145.03024039406944361258708788</v>
      </c>
      <c r="F27" s="440">
        <v>140.44572265563625089995882351</v>
      </c>
      <c r="G27" s="439">
        <v>115.69645788413055539258169847</v>
      </c>
      <c r="H27" s="95">
        <v>140.64529947763087863626024006</v>
      </c>
      <c r="I27" s="440">
        <v>133.99760333306061663320928494</v>
      </c>
      <c r="J27" s="439">
        <v>95.48933034537088379254951652</v>
      </c>
      <c r="K27" s="95">
        <v>132.37830962519844643377224792</v>
      </c>
      <c r="L27" s="440">
        <v>90.24479524952016552166119057</v>
      </c>
      <c r="M27" s="439">
        <v>111.25608330109171979969593935</v>
      </c>
      <c r="N27" s="95">
        <v>143.61292225429789628703277504</v>
      </c>
      <c r="O27" s="440">
        <v>139.60351614752467745508769313</v>
      </c>
      <c r="P27" s="93"/>
      <c r="Q27" s="420">
        <v>-5.4704281715613075932424447300</v>
      </c>
      <c r="R27" s="91">
        <v>-5.1688690052166800101111841300</v>
      </c>
      <c r="S27" s="421">
        <v>2.5736432544680656739431039800</v>
      </c>
      <c r="T27" s="420">
        <v>9.272827981154670512936820640</v>
      </c>
      <c r="U27" s="91">
        <v>1.7373541577495354494043870400</v>
      </c>
      <c r="V27" s="421">
        <v>7.0145600468410962680014445600</v>
      </c>
      <c r="W27" s="420">
        <v>-0.844485298724717613531527900</v>
      </c>
      <c r="X27" s="91">
        <v>10.207715701769284375361256630</v>
      </c>
      <c r="Y27" s="421">
        <v>-2.5525865439058613358915561300</v>
      </c>
      <c r="Z27" s="420">
        <v>-3.8113349179965739716863431600</v>
      </c>
      <c r="AA27" s="91">
        <v>-2.3586137378626145256677816300</v>
      </c>
      <c r="AB27" s="421">
        <v>3.0248324749919319242409937200</v>
      </c>
    </row>
    <row r="28" ht="18" customHeight="1">
      <c r="A28" s="58"/>
      <c r="B28" s="1043" t="s">
        <v>48</v>
      </c>
      <c r="C28" s="1043"/>
      <c r="D28" s="439">
        <v>113.47431974804144188940191281</v>
      </c>
      <c r="E28" s="95">
        <v>142.96141270861839995011388776</v>
      </c>
      <c r="F28" s="440">
        <v>138.40068987487261345208545978</v>
      </c>
      <c r="G28" s="439">
        <v>127.65486759042815258920813215</v>
      </c>
      <c r="H28" s="95">
        <v>143.47826080481273117237092833</v>
      </c>
      <c r="I28" s="440">
        <v>134.02720837967418416076979019</v>
      </c>
      <c r="J28" s="439">
        <v>95.9524225676725008044876147</v>
      </c>
      <c r="K28" s="95">
        <v>133.92294145114383594362127441</v>
      </c>
      <c r="L28" s="440">
        <v>92.34614189884683313708133254</v>
      </c>
      <c r="M28" s="439">
        <v>114.58603780826040798096311903</v>
      </c>
      <c r="N28" s="95">
        <v>142.60708882376495430501226721</v>
      </c>
      <c r="O28" s="440">
        <v>137.76274533313172418104628474</v>
      </c>
      <c r="P28" s="5"/>
      <c r="Q28" s="420">
        <v>-2.9706161113522558022552408800</v>
      </c>
      <c r="R28" s="91">
        <v>-6.6647145260715785196086852600</v>
      </c>
      <c r="S28" s="421">
        <v>2.757395596532895972437893900</v>
      </c>
      <c r="T28" s="420">
        <v>9.074387308904636494497367750</v>
      </c>
      <c r="U28" s="91">
        <v>1.7936164572818838081337500800</v>
      </c>
      <c r="V28" s="421">
        <v>6.1787779776856368370045050200</v>
      </c>
      <c r="W28" s="420">
        <v>3.5838362553709603147595344400</v>
      </c>
      <c r="X28" s="91">
        <v>10.396533050504533193973921930</v>
      </c>
      <c r="Y28" s="421">
        <v>4.7708307339015754415379879800</v>
      </c>
      <c r="Z28" s="420">
        <v>-1.4249362949998419398134179800</v>
      </c>
      <c r="AA28" s="91">
        <v>-3.329940472618595532897485700</v>
      </c>
      <c r="AB28" s="421">
        <v>3.1416523956870558126572080200</v>
      </c>
    </row>
    <row r="29" ht="18" customHeight="1">
      <c r="A29" s="58"/>
      <c r="B29" s="1043" t="s">
        <v>49</v>
      </c>
      <c r="C29" s="1043"/>
      <c r="D29" s="439">
        <v>111.32712695094599389433960061</v>
      </c>
      <c r="E29" s="95">
        <v>133.32015839774860064047862483</v>
      </c>
      <c r="F29" s="440">
        <v>125.77235268373788226827019133</v>
      </c>
      <c r="G29" s="439">
        <v>122.17465057422889781403062502</v>
      </c>
      <c r="H29" s="95">
        <v>142.35640954659725306800545211</v>
      </c>
      <c r="I29" s="440">
        <v>127.44645632984502054557649528</v>
      </c>
      <c r="J29" s="439">
        <v>98.75721013533848817960025182</v>
      </c>
      <c r="K29" s="95">
        <v>133.22433424389167736800283787</v>
      </c>
      <c r="L29" s="440">
        <v>95.85597528055335564867633822</v>
      </c>
      <c r="M29" s="439">
        <v>112.76790182291761175303174788</v>
      </c>
      <c r="N29" s="95">
        <v>135.54292512473929544101821423</v>
      </c>
      <c r="O29" s="440">
        <v>125.8611423474427584338522238</v>
      </c>
      <c r="P29" s="93"/>
      <c r="Q29" s="420">
        <v>-2.9266657099982688750680143100</v>
      </c>
      <c r="R29" s="91">
        <v>-4.1363348782378291909273210700</v>
      </c>
      <c r="S29" s="421">
        <v>1.1332879944426620824488126300</v>
      </c>
      <c r="T29" s="420">
        <v>6.7273792390968321613343486100</v>
      </c>
      <c r="U29" s="91">
        <v>3.9232235756004015032826377100</v>
      </c>
      <c r="V29" s="421">
        <v>6.011989969932066246322178300</v>
      </c>
      <c r="W29" s="420">
        <v>7.8538297506951542034163411500</v>
      </c>
      <c r="X29" s="91">
        <v>9.710586918600013120429007340</v>
      </c>
      <c r="Y29" s="421">
        <v>6.3429167969730034642579779800</v>
      </c>
      <c r="Z29" s="420">
        <v>-0.8872724009208297014315840300</v>
      </c>
      <c r="AA29" s="91">
        <v>-0.9741744703484809567995719500</v>
      </c>
      <c r="AB29" s="421">
        <v>1.8010916067651263465814985300</v>
      </c>
    </row>
    <row r="30" ht="18" customHeight="1">
      <c r="A30" s="58"/>
      <c r="B30" s="1044" t="s">
        <v>75</v>
      </c>
      <c r="C30" s="1044"/>
      <c r="D30" s="457">
        <v>109.77152295630846320250533239</v>
      </c>
      <c r="E30" s="458">
        <v>138.26430890336683214156855317</v>
      </c>
      <c r="F30" s="459">
        <v>130.93031689348136342821001487</v>
      </c>
      <c r="G30" s="457">
        <v>123.42838529367593358026435501</v>
      </c>
      <c r="H30" s="458">
        <v>141.18702975518326496070346992</v>
      </c>
      <c r="I30" s="459">
        <v>130.89300150694090715705912593</v>
      </c>
      <c r="J30" s="457">
        <v>96.00163786922211227270949449</v>
      </c>
      <c r="K30" s="458">
        <v>132.57902557305404494296852708</v>
      </c>
      <c r="L30" s="459">
        <v>92.2505005499898361467813255</v>
      </c>
      <c r="M30" s="457">
        <v>110.79361886545189528094011216</v>
      </c>
      <c r="N30" s="458">
        <v>138.40272417232699064004756246</v>
      </c>
      <c r="O30" s="459">
        <v>130.78478612687645736968965439</v>
      </c>
      <c r="P30" s="5"/>
      <c r="Q30" s="430">
        <v>-4.4122775825854142628487901600</v>
      </c>
      <c r="R30" s="431">
        <v>-5.2683836754918391243657234600</v>
      </c>
      <c r="S30" s="432">
        <v>1.3005377238478323969345292500</v>
      </c>
      <c r="T30" s="430">
        <v>12.107328024736997959013602050</v>
      </c>
      <c r="U30" s="431">
        <v>2.6508049775474775404877138700</v>
      </c>
      <c r="V30" s="432">
        <v>6.462981429353828534837262400</v>
      </c>
      <c r="W30" s="430">
        <v>2.300953477366270303082013900</v>
      </c>
      <c r="X30" s="431">
        <v>9.243869885994629417035901800</v>
      </c>
      <c r="Y30" s="432">
        <v>2.127077668641147284045269300</v>
      </c>
      <c r="Z30" s="430">
        <v>-2.1389583667011107007167386300</v>
      </c>
      <c r="AA30" s="431">
        <v>-2.2212030581569505245102603500</v>
      </c>
      <c r="AB30" s="432">
        <v>1.8941241063199023936090427900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112.61639815370207943794261777</v>
      </c>
      <c r="E32" s="494">
        <v>131.27241777109092811430417767</v>
      </c>
      <c r="F32" s="495">
        <v>124.02701778658162061064376714</v>
      </c>
      <c r="G32" s="493">
        <v>119.5520675738886545530684703</v>
      </c>
      <c r="H32" s="494">
        <v>142.71630468171027392678811956</v>
      </c>
      <c r="I32" s="495">
        <v>130.40168154635109201311000985</v>
      </c>
      <c r="J32" s="493">
        <v>96.01004454197987717511384627</v>
      </c>
      <c r="K32" s="494">
        <v>135.35895656188393515953977312</v>
      </c>
      <c r="L32" s="495">
        <v>92.99019164937359609209695499</v>
      </c>
      <c r="M32" s="493">
        <v>112.94243055311302770464875456</v>
      </c>
      <c r="N32" s="494">
        <v>134.27290423531833377381026594</v>
      </c>
      <c r="O32" s="495">
        <v>124.8069358537819771976759704</v>
      </c>
      <c r="P32" s="93"/>
      <c r="Q32" s="479">
        <v>-5.6945923391812268095202622100</v>
      </c>
      <c r="R32" s="480">
        <v>-4.5191224649436905892878136800</v>
      </c>
      <c r="S32" s="481">
        <v>-2.7293796636280130773416408400</v>
      </c>
      <c r="T32" s="479">
        <v>5.0211266290556966656846163600</v>
      </c>
      <c r="U32" s="480">
        <v>1.7706633229610902583884406100</v>
      </c>
      <c r="V32" s="481">
        <v>3.4337471519846765208480185700</v>
      </c>
      <c r="W32" s="479">
        <v>2.7798442038598646446323694300</v>
      </c>
      <c r="X32" s="480">
        <v>9.871162997300708218647886840</v>
      </c>
      <c r="Y32" s="481">
        <v>-1.5713519957905864547378123900</v>
      </c>
      <c r="Z32" s="479">
        <v>-4.3166486359086104918973163600</v>
      </c>
      <c r="AA32" s="480">
        <v>-2.0585792201935044098541149600</v>
      </c>
      <c r="AB32" s="481">
        <v>-1.8080405987501409848732842700</v>
      </c>
    </row>
    <row r="33" ht="18" customHeight="1">
      <c r="A33" s="58"/>
      <c r="B33" s="1046" t="s">
        <v>51</v>
      </c>
      <c r="C33" s="1046"/>
      <c r="D33" s="276">
        <v>110.16594038721097821632600904</v>
      </c>
      <c r="E33" s="94">
        <v>130.31654604476848378218694814</v>
      </c>
      <c r="F33" s="277">
        <v>123.47762990323659744895634334</v>
      </c>
      <c r="G33" s="276">
        <v>118.41838542550103082638019012</v>
      </c>
      <c r="H33" s="94">
        <v>145.13429628651888467109377947</v>
      </c>
      <c r="I33" s="277">
        <v>132.32323326697415619683244588</v>
      </c>
      <c r="J33" s="276">
        <v>95.77017484948143170791743625</v>
      </c>
      <c r="K33" s="94">
        <v>136.56915102179469599547206266</v>
      </c>
      <c r="L33" s="277">
        <v>92.52082357243058810134666003</v>
      </c>
      <c r="M33" s="276">
        <v>110.54681274885728035206367986</v>
      </c>
      <c r="N33" s="94">
        <v>133.86279524973155732411964926</v>
      </c>
      <c r="O33" s="277">
        <v>124.40936734276794635956777031</v>
      </c>
      <c r="P33" s="5"/>
      <c r="Q33" s="271">
        <v>-6.6235619309617273493629838700</v>
      </c>
      <c r="R33" s="92">
        <v>-5.0225209354393829814614142600</v>
      </c>
      <c r="S33" s="272">
        <v>-3.4377548681128195802065654100</v>
      </c>
      <c r="T33" s="271">
        <v>4.8330930039448913436026783600</v>
      </c>
      <c r="U33" s="92">
        <v>2.3617491381237397735833653200</v>
      </c>
      <c r="V33" s="272">
        <v>5.9616111626631535827097289900</v>
      </c>
      <c r="W33" s="271">
        <v>1.9688089308938354728480452300</v>
      </c>
      <c r="X33" s="92">
        <v>11.055718255435580888995244940</v>
      </c>
      <c r="Y33" s="272">
        <v>-1.5612587808492580883080061600</v>
      </c>
      <c r="Z33" s="271">
        <v>-4.7493823159491486094311222800</v>
      </c>
      <c r="AA33" s="92">
        <v>-2.4517892047300961682473660700</v>
      </c>
      <c r="AB33" s="272">
        <v>-2.2555878080377501113293324500</v>
      </c>
    </row>
    <row r="34" ht="18" customHeight="1">
      <c r="A34" s="58"/>
      <c r="B34" s="1047" t="s">
        <v>76</v>
      </c>
      <c r="C34" s="1047"/>
      <c r="D34" s="443">
        <v>111.38820000019530365491160106</v>
      </c>
      <c r="E34" s="444">
        <v>130.79161501422067863536768379</v>
      </c>
      <c r="F34" s="445">
        <v>123.75001765326774554219724274</v>
      </c>
      <c r="G34" s="443">
        <v>119.04796845065522644559066632</v>
      </c>
      <c r="H34" s="444">
        <v>143.8380440906374828546709908</v>
      </c>
      <c r="I34" s="445">
        <v>131.2739762947650093146695484</v>
      </c>
      <c r="J34" s="443">
        <v>95.90135358756651907279047298</v>
      </c>
      <c r="K34" s="444">
        <v>135.94980096629432803018765752</v>
      </c>
      <c r="L34" s="445">
        <v>92.77567577045823697132435925</v>
      </c>
      <c r="M34" s="633">
        <v>111.75800241298889375740571012</v>
      </c>
      <c r="N34" s="634">
        <v>134.07063614235010140981021902</v>
      </c>
      <c r="O34" s="635">
        <v>124.60907215333723186860095093</v>
      </c>
      <c r="P34" s="93"/>
      <c r="Q34" s="273">
        <v>-6.1733823816375735977952880500</v>
      </c>
      <c r="R34" s="274">
        <v>-4.7716727189305561732687168100</v>
      </c>
      <c r="S34" s="275">
        <v>-3.0871266607727901846052435600</v>
      </c>
      <c r="T34" s="273">
        <v>4.9790428801817920453698628600</v>
      </c>
      <c r="U34" s="274">
        <v>2.0477170667029492278724054500</v>
      </c>
      <c r="V34" s="275">
        <v>4.5902159939108202978288677900</v>
      </c>
      <c r="W34" s="273">
        <v>2.3737657423052714031722433900</v>
      </c>
      <c r="X34" s="274">
        <v>10.446941727729958958556938800</v>
      </c>
      <c r="Y34" s="275">
        <v>-1.5327105571781901223123146300</v>
      </c>
      <c r="Z34" s="273">
        <v>-4.5174239396140649951174484300</v>
      </c>
      <c r="AA34" s="274">
        <v>-2.2525323942365479119641797200</v>
      </c>
      <c r="AB34" s="275">
        <v>-2.0312348074503300383690395800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110.23966639171478324626523692</v>
      </c>
      <c r="E36" s="483">
        <v>135.82529810847340863037027188</v>
      </c>
      <c r="F36" s="484">
        <v>128.8725413742073096282850978</v>
      </c>
      <c r="G36" s="482">
        <v>122.88912133891213389121338912</v>
      </c>
      <c r="H36" s="483">
        <v>141.93071902369041510736762892</v>
      </c>
      <c r="I36" s="484">
        <v>130.99940718101284900035062636</v>
      </c>
      <c r="J36" s="482">
        <v>96.44052863436123348017621145</v>
      </c>
      <c r="K36" s="483">
        <v>134.79286220530872678564126413</v>
      </c>
      <c r="L36" s="484">
        <v>92.16093609373208419146480925</v>
      </c>
      <c r="M36" s="482">
        <v>111.16751464958199859364012814</v>
      </c>
      <c r="N36" s="483">
        <v>136.94504306591451179343505092</v>
      </c>
      <c r="O36" s="484">
        <v>128.98619059282846051645178769</v>
      </c>
      <c r="P36" s="93"/>
      <c r="Q36" s="468">
        <v>-4.9954217694820799235315111800</v>
      </c>
      <c r="R36" s="469">
        <v>-5.1440655464384377766888727600</v>
      </c>
      <c r="S36" s="470">
        <v>0.0114264466777942010629466500</v>
      </c>
      <c r="T36" s="468">
        <v>10.792710880427228060078378740</v>
      </c>
      <c r="U36" s="469">
        <v>2.7399304809630503579434261400</v>
      </c>
      <c r="V36" s="470">
        <v>6.0559223327298592944361554600</v>
      </c>
      <c r="W36" s="468">
        <v>0.9946387328173856294315407900</v>
      </c>
      <c r="X36" s="469">
        <v>9.790687749917604639475347380</v>
      </c>
      <c r="Y36" s="470">
        <v>0.9771502582019086762199838300</v>
      </c>
      <c r="Z36" s="468">
        <v>-2.9841420391460347229841613800</v>
      </c>
      <c r="AA36" s="469">
        <v>-2.2560530404893914882574880900</v>
      </c>
      <c r="AB36" s="470">
        <v>0.7581689719657016994381281200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17.71783778748033969019530009</v>
      </c>
      <c r="E39" s="455">
        <v>29.367573172622062402452385476</v>
      </c>
      <c r="F39" s="456">
        <v>48.567032763656709491165327099</v>
      </c>
      <c r="G39" s="454">
        <v>2.5771661174480046946450090455</v>
      </c>
      <c r="H39" s="455">
        <v>4.8798153977532246695590956317</v>
      </c>
      <c r="I39" s="456">
        <v>4.6571084522607340771356221911</v>
      </c>
      <c r="J39" s="454">
        <v>1.0878043424451447693872440475</v>
      </c>
      <c r="K39" s="455">
        <v>4.8776582946418141007449819885</v>
      </c>
      <c r="L39" s="456">
        <v>0.1856391950316023699300747049</v>
      </c>
      <c r="M39" s="454">
        <v>21.390702884722239595836426701</v>
      </c>
      <c r="N39" s="455">
        <v>39.125046865017101172756463065</v>
      </c>
      <c r="O39" s="456">
        <v>53.411114304761571414705108659</v>
      </c>
      <c r="P39" s="5"/>
      <c r="Q39" s="427">
        <v>-7.3915210534513286489630224700</v>
      </c>
      <c r="R39" s="428">
        <v>8.668762722918232001396071120</v>
      </c>
      <c r="S39" s="429">
        <v>6.4920966959205449416192575100</v>
      </c>
      <c r="T39" s="427">
        <v>12.457670247268611852984931560</v>
      </c>
      <c r="U39" s="428">
        <v>-54.253238361543419249584070810</v>
      </c>
      <c r="V39" s="429">
        <v>8.804654935635158374070770850</v>
      </c>
      <c r="W39" s="427">
        <v>-4.7064637773996590821698371800</v>
      </c>
      <c r="X39" s="428">
        <v>-26.649385064574543862554166320</v>
      </c>
      <c r="Y39" s="429">
        <v>-56.952466162410520616607695580</v>
      </c>
      <c r="Z39" s="427">
        <v>-5.7178750285324721666696704700</v>
      </c>
      <c r="AA39" s="428">
        <v>-11.758946098415114969740084700</v>
      </c>
      <c r="AB39" s="429">
        <v>6.1479763368954160291551424800</v>
      </c>
    </row>
    <row r="40" ht="18" customHeight="1">
      <c r="A40" s="58"/>
      <c r="B40" s="1043" t="s">
        <v>46</v>
      </c>
      <c r="C40" s="1043"/>
      <c r="D40" s="439">
        <v>24.266313174052686868060216413</v>
      </c>
      <c r="E40" s="95">
        <v>52.087350915471625694584122342</v>
      </c>
      <c r="F40" s="440">
        <v>78.76021376497989241106666632</v>
      </c>
      <c r="G40" s="439">
        <v>2.569780538294143822144906369</v>
      </c>
      <c r="H40" s="95">
        <v>8.841091579466479566195611846</v>
      </c>
      <c r="I40" s="440">
        <v>9.198815753745684887420351969</v>
      </c>
      <c r="J40" s="439">
        <v>1.4008797319717773016843647673</v>
      </c>
      <c r="K40" s="95">
        <v>4.8443470862361025786274894155</v>
      </c>
      <c r="L40" s="440">
        <v>0.2330163756460116388506120234</v>
      </c>
      <c r="M40" s="439">
        <v>28.246346464014624139419077393</v>
      </c>
      <c r="N40" s="95">
        <v>65.772789581174207839407223548</v>
      </c>
      <c r="O40" s="440">
        <v>88.19424846520088875344844133</v>
      </c>
      <c r="P40" s="5"/>
      <c r="Q40" s="420">
        <v>-20.602239619736384394321116780</v>
      </c>
      <c r="R40" s="91">
        <v>4.1166751172213217923648998100</v>
      </c>
      <c r="S40" s="421">
        <v>5.5734355390530411122449749900</v>
      </c>
      <c r="T40" s="420">
        <v>-35.049145201059960226828614740</v>
      </c>
      <c r="U40" s="91">
        <v>-38.279389966598798583382080650</v>
      </c>
      <c r="V40" s="421">
        <v>37.857466458929905068338270890</v>
      </c>
      <c r="W40" s="420">
        <v>20.616975864010911601239168230</v>
      </c>
      <c r="X40" s="91">
        <v>-25.297050667996009324865745600</v>
      </c>
      <c r="Y40" s="421">
        <v>-45.734357537320312113738635980</v>
      </c>
      <c r="Z40" s="420">
        <v>-22.509937252446421876301229260</v>
      </c>
      <c r="AA40" s="91">
        <v>-7.1432474302027539391872824400</v>
      </c>
      <c r="AB40" s="421">
        <v>7.943341096176484193778030720</v>
      </c>
    </row>
    <row r="41" ht="18" customHeight="1">
      <c r="A41" s="58"/>
      <c r="B41" s="1043" t="s">
        <v>47</v>
      </c>
      <c r="C41" s="1043"/>
      <c r="D41" s="439">
        <v>33.577284195571310121787194448</v>
      </c>
      <c r="E41" s="95">
        <v>66.436136271861571646767794237</v>
      </c>
      <c r="F41" s="440">
        <v>96.74711615774905286847636881</v>
      </c>
      <c r="G41" s="439">
        <v>3.847317654332738685401542743</v>
      </c>
      <c r="H41" s="95">
        <v>12.303226013236586989359781599</v>
      </c>
      <c r="I41" s="440">
        <v>11.098709404455163481698447353</v>
      </c>
      <c r="J41" s="439">
        <v>1.3971579509778656609433118096</v>
      </c>
      <c r="K41" s="95">
        <v>4.778296259031104143834136393</v>
      </c>
      <c r="L41" s="440">
        <v>0.2210500412869579673408503847</v>
      </c>
      <c r="M41" s="439">
        <v>38.828619759627132364683239144</v>
      </c>
      <c r="N41" s="95">
        <v>83.51765854412926277996171216</v>
      </c>
      <c r="O41" s="440">
        <v>108.06968252350612085975833905</v>
      </c>
      <c r="P41" s="93"/>
      <c r="Q41" s="420">
        <v>-18.742013195050743666264581670</v>
      </c>
      <c r="R41" s="91">
        <v>1.3780017633914449545865884500</v>
      </c>
      <c r="S41" s="421">
        <v>6.158974337773787941393840200</v>
      </c>
      <c r="T41" s="420">
        <v>-39.145186047526882418751905890</v>
      </c>
      <c r="U41" s="91">
        <v>-29.390351804391896642581439680</v>
      </c>
      <c r="V41" s="421">
        <v>25.425295626555264181024899360</v>
      </c>
      <c r="W41" s="420">
        <v>8.600140326180420047009343790</v>
      </c>
      <c r="X41" s="91">
        <v>-23.631017002411106470529298850</v>
      </c>
      <c r="Y41" s="421">
        <v>-52.071672756299813539642247360</v>
      </c>
      <c r="Z41" s="420">
        <v>-22.323063373660526364288951660</v>
      </c>
      <c r="AA41" s="91">
        <v>-6.3792938494646020205885692300</v>
      </c>
      <c r="AB41" s="421">
        <v>7.5919610936890148808131397600</v>
      </c>
    </row>
    <row r="42" ht="18" customHeight="1">
      <c r="A42" s="58"/>
      <c r="B42" s="1043" t="s">
        <v>48</v>
      </c>
      <c r="C42" s="1043"/>
      <c r="D42" s="439">
        <v>37.575578941835054466119615101</v>
      </c>
      <c r="E42" s="95">
        <v>64.063279324342988191273233577</v>
      </c>
      <c r="F42" s="440">
        <v>93.43431524687039681717707562</v>
      </c>
      <c r="G42" s="439">
        <v>6.5795950354033437078573176024</v>
      </c>
      <c r="H42" s="95">
        <v>17.464753590669406326655293989</v>
      </c>
      <c r="I42" s="440">
        <v>11.045821323198978656677675649</v>
      </c>
      <c r="J42" s="439">
        <v>1.4522751554537371211753096128</v>
      </c>
      <c r="K42" s="95">
        <v>4.6291539473125224493899406405</v>
      </c>
      <c r="L42" s="440">
        <v>0.2399475660551448652858027335</v>
      </c>
      <c r="M42" s="439">
        <v>45.618745821373722162633844034</v>
      </c>
      <c r="N42" s="95">
        <v>86.15718686232491696731846814</v>
      </c>
      <c r="O42" s="440">
        <v>104.72207713358582315281390146</v>
      </c>
      <c r="P42" s="5"/>
      <c r="Q42" s="420">
        <v>-4.2527113853118911056473309200</v>
      </c>
      <c r="R42" s="91">
        <v>0.9718297242100814357589768500</v>
      </c>
      <c r="S42" s="421">
        <v>5.2623864205620927575814890200</v>
      </c>
      <c r="T42" s="420">
        <v>-33.196845791351181157687301690</v>
      </c>
      <c r="U42" s="91">
        <v>-19.442450503789432033500616030</v>
      </c>
      <c r="V42" s="421">
        <v>22.789413410993903139810850430</v>
      </c>
      <c r="W42" s="420">
        <v>23.885078997164407154935411560</v>
      </c>
      <c r="X42" s="91">
        <v>-25.104532459890335589436521190</v>
      </c>
      <c r="Y42" s="421">
        <v>-45.529046216872033631865594670</v>
      </c>
      <c r="Z42" s="420">
        <v>-10.096465932280289658268605090</v>
      </c>
      <c r="AA42" s="91">
        <v>-5.6344479025328107513709745700</v>
      </c>
      <c r="AB42" s="421">
        <v>6.6424277761853203230198468300</v>
      </c>
    </row>
    <row r="43" ht="18" customHeight="1">
      <c r="A43" s="58"/>
      <c r="B43" s="1043" t="s">
        <v>49</v>
      </c>
      <c r="C43" s="1043"/>
      <c r="D43" s="439">
        <v>32.652120951628859008349026955</v>
      </c>
      <c r="E43" s="95">
        <v>50.436532511855452331831444665</v>
      </c>
      <c r="F43" s="440">
        <v>74.997436138889785455953437879</v>
      </c>
      <c r="G43" s="439">
        <v>8.246246057436920272272403496</v>
      </c>
      <c r="H43" s="95">
        <v>19.047404563927058439259264715</v>
      </c>
      <c r="I43" s="440">
        <v>9.967850973920417728114938243</v>
      </c>
      <c r="J43" s="439">
        <v>1.1715425058450337392074413701</v>
      </c>
      <c r="K43" s="95">
        <v>4.8928189053306300265837563034</v>
      </c>
      <c r="L43" s="440">
        <v>0.1989195537549443813488128125</v>
      </c>
      <c r="M43" s="439">
        <v>42.080329976473347757268802809</v>
      </c>
      <c r="N43" s="95">
        <v>74.376755981113140797674465622</v>
      </c>
      <c r="O43" s="440">
        <v>85.16582748313610925048103496</v>
      </c>
      <c r="P43" s="93"/>
      <c r="Q43" s="420">
        <v>1.1230132644375372773377371900</v>
      </c>
      <c r="R43" s="91">
        <v>2.6256170282480296661025567100</v>
      </c>
      <c r="S43" s="421">
        <v>6.2386074463623604786183730100</v>
      </c>
      <c r="T43" s="420">
        <v>-8.979113406533054212910993820</v>
      </c>
      <c r="U43" s="91">
        <v>-3.6991740960413133797822030500</v>
      </c>
      <c r="V43" s="421">
        <v>17.695605651879732916864598700</v>
      </c>
      <c r="W43" s="420">
        <v>-8.390079218126362543743251060</v>
      </c>
      <c r="X43" s="91">
        <v>-22.803663614513420909990754430</v>
      </c>
      <c r="Y43" s="421">
        <v>-55.590812022342677532092415670</v>
      </c>
      <c r="Z43" s="420">
        <v>-3.3720116321274217606749963200</v>
      </c>
      <c r="AA43" s="91">
        <v>-1.1701037165464296645393488200</v>
      </c>
      <c r="AB43" s="421">
        <v>7.1130118684040938427213221300</v>
      </c>
    </row>
    <row r="44" ht="18" customHeight="1">
      <c r="A44" s="58"/>
      <c r="B44" s="1044" t="s">
        <v>75</v>
      </c>
      <c r="C44" s="1044"/>
      <c r="D44" s="457">
        <v>29.175807751467078864594715336</v>
      </c>
      <c r="E44" s="458">
        <v>52.369973184714221979014462714</v>
      </c>
      <c r="F44" s="459">
        <v>78.36077089983045369888478192</v>
      </c>
      <c r="G44" s="457">
        <v>4.7950252195406164252487736933</v>
      </c>
      <c r="H44" s="458">
        <v>12.508839874094070300599964805</v>
      </c>
      <c r="I44" s="459">
        <v>9.179120875988388372823417725</v>
      </c>
      <c r="J44" s="457">
        <v>1.3021215445615298709615516507</v>
      </c>
      <c r="K44" s="458">
        <v>4.8046576786614372219756107487</v>
      </c>
      <c r="L44" s="459">
        <v>0.2156738302612741057161925624</v>
      </c>
      <c r="M44" s="457">
        <v>35.282671222803134860832860977</v>
      </c>
      <c r="N44" s="458">
        <v>69.683470737469729501590038246</v>
      </c>
      <c r="O44" s="459">
        <v>87.75756397983154991707851726</v>
      </c>
      <c r="P44" s="5"/>
      <c r="Q44" s="430">
        <v>-10.670217024903246568087218650</v>
      </c>
      <c r="R44" s="431">
        <v>2.6133234719393337933743481300</v>
      </c>
      <c r="S44" s="432">
        <v>5.6918075158589731523928924900</v>
      </c>
      <c r="T44" s="430">
        <v>-24.228069230305027233685228820</v>
      </c>
      <c r="U44" s="431">
        <v>-25.427729570090578772230693570</v>
      </c>
      <c r="V44" s="432">
        <v>23.158838553440688814954775010</v>
      </c>
      <c r="W44" s="430">
        <v>7.6631642317735403718577192600</v>
      </c>
      <c r="X44" s="431">
        <v>-24.716621017855938160136116110</v>
      </c>
      <c r="Y44" s="432">
        <v>-51.211052030525565922643131270</v>
      </c>
      <c r="Z44" s="430">
        <v>-13.275252680688659660703384850</v>
      </c>
      <c r="AA44" s="431">
        <v>-6.0711051815505166679627460700</v>
      </c>
      <c r="AB44" s="432">
        <v>6.9747944729415348418564247800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52.148197246117946426879456733</v>
      </c>
      <c r="E46" s="494">
        <v>58.165080703149121746637610431</v>
      </c>
      <c r="F46" s="495">
        <v>73.316496106569447285620403349</v>
      </c>
      <c r="G46" s="493">
        <v>7.1155966882308822945512234267</v>
      </c>
      <c r="H46" s="494">
        <v>21.850211968374894255046927375</v>
      </c>
      <c r="I46" s="495">
        <v>12.391141724147049046429961877</v>
      </c>
      <c r="J46" s="493">
        <v>1.3745987832948084577420686826</v>
      </c>
      <c r="K46" s="494">
        <v>4.5829140980720017712324700101</v>
      </c>
      <c r="L46" s="495">
        <v>0.2254048558249536891934544763</v>
      </c>
      <c r="M46" s="493">
        <v>60.653412479934880876575896217</v>
      </c>
      <c r="N46" s="494">
        <v>84.59820676959601777291700776</v>
      </c>
      <c r="O46" s="495">
        <v>85.9346781353412588405880463</v>
      </c>
      <c r="P46" s="93"/>
      <c r="Q46" s="479">
        <v>6.4494709405119237747701019900</v>
      </c>
      <c r="R46" s="480">
        <v>0.348286786176022163879748100</v>
      </c>
      <c r="S46" s="481">
        <v>1.2812768334085152938967423400</v>
      </c>
      <c r="T46" s="479">
        <v>-5.3161081060096336763420806100</v>
      </c>
      <c r="U46" s="480">
        <v>-9.056400455838283400722091740</v>
      </c>
      <c r="V46" s="481">
        <v>6.1319350945818545472119936500</v>
      </c>
      <c r="W46" s="479">
        <v>25.670167265251740357533911830</v>
      </c>
      <c r="X46" s="480">
        <v>-27.394296557586409064758463920</v>
      </c>
      <c r="Y46" s="481">
        <v>-40.326067738458681841501966520</v>
      </c>
      <c r="Z46" s="479">
        <v>2.8120764785400282412475436400</v>
      </c>
      <c r="AA46" s="480">
        <v>-4.1876650104659618128108568800</v>
      </c>
      <c r="AB46" s="481">
        <v>1.7680090641648984090810819400</v>
      </c>
    </row>
    <row r="47" ht="18" customHeight="1">
      <c r="A47" s="58"/>
      <c r="B47" s="1046" t="s">
        <v>51</v>
      </c>
      <c r="C47" s="1046"/>
      <c r="D47" s="276">
        <v>51.261344279386152158007604575</v>
      </c>
      <c r="E47" s="94">
        <v>58.438451126889734440078309205</v>
      </c>
      <c r="F47" s="277">
        <v>74.259648893931689406425363576</v>
      </c>
      <c r="G47" s="276">
        <v>5.6433410910888265879398679929</v>
      </c>
      <c r="H47" s="94">
        <v>19.228906445950812705573092132</v>
      </c>
      <c r="I47" s="277">
        <v>10.45760976702150049849613238</v>
      </c>
      <c r="J47" s="276">
        <v>1.1361077381045839562242408425</v>
      </c>
      <c r="K47" s="94">
        <v>4.4110733011714393946688809058</v>
      </c>
      <c r="L47" s="277">
        <v>0.1888528213662826813134347264</v>
      </c>
      <c r="M47" s="276">
        <v>58.055169461194075013041625653</v>
      </c>
      <c r="N47" s="94">
        <v>82.07843087401198654032028218</v>
      </c>
      <c r="O47" s="277">
        <v>84.90823198788756226037076672</v>
      </c>
      <c r="P47" s="5"/>
      <c r="Q47" s="271">
        <v>7.3334538238328121961662807800</v>
      </c>
      <c r="R47" s="92">
        <v>-1.0157241711729611580714953700</v>
      </c>
      <c r="S47" s="272">
        <v>0.4746767868367761406177809500</v>
      </c>
      <c r="T47" s="271">
        <v>-25.796738031874357786272099010</v>
      </c>
      <c r="U47" s="92">
        <v>-8.127395922889581792503320500</v>
      </c>
      <c r="V47" s="272">
        <v>2.4121125132376945238856625100</v>
      </c>
      <c r="W47" s="271">
        <v>-8.456291979993121801507241660</v>
      </c>
      <c r="X47" s="92">
        <v>-23.619783407300028651715721080</v>
      </c>
      <c r="Y47" s="272">
        <v>-54.349222698161251673971958700</v>
      </c>
      <c r="Z47" s="271">
        <v>-0.4906692353251480912467249400</v>
      </c>
      <c r="AA47" s="92">
        <v>-4.2680497657220032884586286100</v>
      </c>
      <c r="AB47" s="272">
        <v>0.4431653121901701110036695400</v>
      </c>
    </row>
    <row r="48" ht="18" customHeight="1">
      <c r="A48" s="58"/>
      <c r="B48" s="1047" t="s">
        <v>76</v>
      </c>
      <c r="C48" s="1047"/>
      <c r="D48" s="443">
        <v>51.704770762752049292443530639</v>
      </c>
      <c r="E48" s="444">
        <v>58.301765915019428093357959813</v>
      </c>
      <c r="F48" s="445">
        <v>73.787971081817992474586588534</v>
      </c>
      <c r="G48" s="443">
        <v>6.3794688896598544412455457078</v>
      </c>
      <c r="H48" s="444">
        <v>20.539559207162853480310009752</v>
      </c>
      <c r="I48" s="445">
        <v>11.424583660763082079057821158</v>
      </c>
      <c r="J48" s="443">
        <v>1.2553532606996962069831547621</v>
      </c>
      <c r="K48" s="444">
        <v>4.4969936996217205829506754577</v>
      </c>
      <c r="L48" s="445">
        <v>0.2071327690829071274075803591</v>
      </c>
      <c r="M48" s="443">
        <v>59.354290970564477944808760937</v>
      </c>
      <c r="N48" s="444">
        <v>83.33831882180400215661864496</v>
      </c>
      <c r="O48" s="445">
        <v>85.42156696170984989958025785</v>
      </c>
      <c r="P48" s="93"/>
      <c r="Q48" s="273">
        <v>6.8599197995921169411377198400</v>
      </c>
      <c r="R48" s="274">
        <v>-0.3399844045701381653938044700</v>
      </c>
      <c r="S48" s="275">
        <v>0.8736484445426876878979579900</v>
      </c>
      <c r="T48" s="273">
        <v>-15.607867391240506080943004160</v>
      </c>
      <c r="U48" s="274">
        <v>-8.623888666023222063973420630</v>
      </c>
      <c r="V48" s="275">
        <v>4.3983275238370858027715674900</v>
      </c>
      <c r="W48" s="273">
        <v>7.6604894475787029310931484300</v>
      </c>
      <c r="X48" s="274">
        <v>-25.590870753742915311216981170</v>
      </c>
      <c r="Y48" s="275">
        <v>-47.655264530411762827215679250</v>
      </c>
      <c r="Z48" s="273">
        <v>1.1698940256855450152970814900</v>
      </c>
      <c r="AA48" s="274">
        <v>-4.2272666333931715223336606700</v>
      </c>
      <c r="AB48" s="275">
        <v>1.1053594907995696845574474700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35.728182736291807758569476623</v>
      </c>
      <c r="E50" s="483">
        <v>54.100143985442106252205158812</v>
      </c>
      <c r="F50" s="484">
        <v>76.958388921310689118951861716</v>
      </c>
      <c r="G50" s="482">
        <v>5.2344501871324184637319550882</v>
      </c>
      <c r="H50" s="483">
        <v>14.824612586287830708363058957</v>
      </c>
      <c r="I50" s="484">
        <v>9.914597292155021696016116301</v>
      </c>
      <c r="J50" s="482">
        <v>1.3005406047644507812035881899</v>
      </c>
      <c r="K50" s="483">
        <v>4.6816539468745012433938102505</v>
      </c>
      <c r="L50" s="484">
        <v>0.2114777747078274769602113076</v>
      </c>
      <c r="M50" s="482">
        <v>42.26320382581833303629774847</v>
      </c>
      <c r="N50" s="483">
        <v>73.606410518604438203962028021</v>
      </c>
      <c r="O50" s="484">
        <v>87.08446398817353829192818932</v>
      </c>
      <c r="P50" s="93"/>
      <c r="Q50" s="468">
        <v>-5.2951120286083916145755158800</v>
      </c>
      <c r="R50" s="469">
        <v>1.7023247989577311109878836200</v>
      </c>
      <c r="S50" s="470">
        <v>4.3259666369693648960900400800</v>
      </c>
      <c r="T50" s="468">
        <v>-23.890176519056927969352130730</v>
      </c>
      <c r="U50" s="469">
        <v>-19.408907990104312985492017300</v>
      </c>
      <c r="V50" s="470">
        <v>16.035728695377682820648294370</v>
      </c>
      <c r="W50" s="468">
        <v>6.7242813737982911597867906500</v>
      </c>
      <c r="X50" s="469">
        <v>-25.324914510252024249079084550</v>
      </c>
      <c r="Y50" s="470">
        <v>-50.235337078151195824074308720</v>
      </c>
      <c r="Z50" s="468">
        <v>-7.7664017141368452084717401400</v>
      </c>
      <c r="AA50" s="469">
        <v>-5.4616891720060733880760034500</v>
      </c>
      <c r="AB50" s="470">
        <v>5.2550250141078910732834408100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6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155</v>
      </c>
      <c r="Y1" s="5"/>
      <c r="AB1" s="685"/>
      <c r="AD1" s="236"/>
    </row>
    <row r="2" ht="15" customHeight="1">
      <c r="A2" s="11"/>
      <c r="B2" s="11" t="s">
        <v>170</v>
      </c>
    </row>
    <row r="3" ht="17.1" customHeight="1">
      <c r="A3" s="11"/>
      <c r="B3" s="11" t="s">
        <v>171</v>
      </c>
      <c r="R3" s="1040" t="s">
        <v>265</v>
      </c>
      <c r="S3" s="1040"/>
      <c r="T3" s="1040"/>
      <c r="U3" s="1040"/>
      <c r="V3" s="1040"/>
      <c r="W3" s="1040"/>
      <c r="X3" s="1040"/>
      <c r="Y3" s="1040"/>
      <c r="Z3" s="1040"/>
      <c r="AA3" s="1040"/>
      <c r="AB3" s="1040"/>
    </row>
    <row r="4" ht="19.5" customHeight="1">
      <c r="A4" s="4"/>
      <c r="B4" s="211" t="s">
        <v>172</v>
      </c>
      <c r="C4" s="5"/>
      <c r="D4" s="5"/>
      <c r="E4" s="5"/>
      <c r="F4" s="5"/>
      <c r="G4" s="5"/>
      <c r="H4" s="212"/>
      <c r="I4" s="212"/>
      <c r="J4" s="212"/>
      <c r="K4" s="212"/>
      <c r="L4" s="212"/>
      <c r="M4" s="212"/>
      <c r="N4" s="212"/>
      <c r="O4" s="212"/>
      <c r="P4" s="212"/>
      <c r="Q4" s="212"/>
      <c r="R4" s="212"/>
      <c r="S4" s="212"/>
      <c r="T4" s="212"/>
      <c r="U4" s="4"/>
      <c r="V4" s="4"/>
    </row>
    <row r="5" ht="12.75" customHeight="1"/>
    <row r="6" ht="15.75">
      <c r="D6" s="978" t="s">
        <v>44</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20.489219163429600855711310040</v>
      </c>
      <c r="E11" s="428">
        <v>26.236010766397506728998441730</v>
      </c>
      <c r="F11" s="429">
        <v>45.906157334728763300191871660</v>
      </c>
      <c r="G11" s="427">
        <v>3.1835838540787029218037493700</v>
      </c>
      <c r="H11" s="428">
        <v>4.1436464088397790055248618800</v>
      </c>
      <c r="I11" s="429">
        <v>4.5979417407988836560265131700</v>
      </c>
      <c r="J11" s="427">
        <v>1.3060856837245960704835894800</v>
      </c>
      <c r="K11" s="428">
        <v>4.0798980025499362515937101600</v>
      </c>
      <c r="L11" s="429">
        <v>0.2511773940345368916797488200</v>
      </c>
      <c r="M11" s="427">
        <v>25.00</v>
      </c>
      <c r="N11" s="428">
        <v>34.438305709023941068139963170</v>
      </c>
      <c r="O11" s="429">
        <v>50.755276469562183847898133610</v>
      </c>
      <c r="P11" s="5"/>
      <c r="Q11" s="427">
        <v>10.166571340577967940058068260</v>
      </c>
      <c r="R11" s="428">
        <v>21.602101116130961070113865680</v>
      </c>
      <c r="S11" s="429">
        <v>8.117656724971939951006683610</v>
      </c>
      <c r="T11" s="427">
        <v>107.85554012547971720341163730</v>
      </c>
      <c r="U11" s="428">
        <v>-29.433051869482680748091920590</v>
      </c>
      <c r="V11" s="429">
        <v>22.376973072264486878085820690</v>
      </c>
      <c r="W11" s="427">
        <v>10.540458188795694380309009720</v>
      </c>
      <c r="X11" s="428">
        <v>-24.607329843179825114442319690</v>
      </c>
      <c r="Y11" s="429">
        <v>14.285714275428571429497141670</v>
      </c>
      <c r="Z11" s="427">
        <v>16.924564796784000838044339990</v>
      </c>
      <c r="AA11" s="428">
        <v>4.8522751778461163451249533700</v>
      </c>
      <c r="AB11" s="429">
        <v>9.325217913997977023115800230</v>
      </c>
    </row>
    <row r="12" ht="18" customHeight="1">
      <c r="A12" s="58"/>
      <c r="B12" s="1043" t="s">
        <v>46</v>
      </c>
      <c r="C12" s="1043"/>
      <c r="D12" s="420">
        <v>26.529865450655857681697911410</v>
      </c>
      <c r="E12" s="91">
        <v>37.469896585918685366199178390</v>
      </c>
      <c r="F12" s="421">
        <v>62.033839176696319553462410660</v>
      </c>
      <c r="G12" s="420">
        <v>2.4489106569836176321567302800</v>
      </c>
      <c r="H12" s="91">
        <v>6.6227510978892194361807621500</v>
      </c>
      <c r="I12" s="421">
        <v>7.0015698587127158555729984400</v>
      </c>
      <c r="J12" s="420">
        <v>1.5101615718065642064966503400</v>
      </c>
      <c r="K12" s="91">
        <v>4.3136421589460263493412664700</v>
      </c>
      <c r="L12" s="421">
        <v>0.2616431187859759288330716900</v>
      </c>
      <c r="M12" s="420">
        <v>30.514705882352941176470588240</v>
      </c>
      <c r="N12" s="91">
        <v>48.377957217736223261085139540</v>
      </c>
      <c r="O12" s="421">
        <v>69.304029304029304029304029300</v>
      </c>
      <c r="P12" s="5"/>
      <c r="Q12" s="420">
        <v>3.4055008033919570592781319800</v>
      </c>
      <c r="R12" s="91">
        <v>8.246367914828092672168813970</v>
      </c>
      <c r="S12" s="421">
        <v>4.043063600809628162403907700</v>
      </c>
      <c r="T12" s="420">
        <v>89.11275242529046405882151601</v>
      </c>
      <c r="U12" s="91">
        <v>-15.917266186807033959162900180</v>
      </c>
      <c r="V12" s="421">
        <v>37.938144331199498352653389270</v>
      </c>
      <c r="W12" s="420">
        <v>20.381451013403493963142748200</v>
      </c>
      <c r="X12" s="91">
        <v>-20.287958115445335928290577610</v>
      </c>
      <c r="Y12" s="421">
        <v>20.967741914831555674701741570</v>
      </c>
      <c r="Z12" s="420">
        <v>5.8601991728126830073500202300</v>
      </c>
      <c r="AA12" s="91">
        <v>0.9906846074008498678641949400</v>
      </c>
      <c r="AB12" s="421">
        <v>6.7433238407568409616739728300</v>
      </c>
    </row>
    <row r="13" ht="18" customHeight="1">
      <c r="A13" s="58"/>
      <c r="B13" s="1043" t="s">
        <v>47</v>
      </c>
      <c r="C13" s="1043"/>
      <c r="D13" s="420">
        <v>30.694176393101124283919982870</v>
      </c>
      <c r="E13" s="91">
        <v>46.515087122821929451763705950</v>
      </c>
      <c r="F13" s="421">
        <v>71.759986045700331414617128970</v>
      </c>
      <c r="G13" s="420">
        <v>3.5980148883374689826302729600</v>
      </c>
      <c r="H13" s="91">
        <v>8.117297067573310667233319170</v>
      </c>
      <c r="I13" s="421">
        <v>8.044653758939473225187510910</v>
      </c>
      <c r="J13" s="420">
        <v>1.5546977912569310418772784400</v>
      </c>
      <c r="K13" s="91">
        <v>4.1011474713132171695707607300</v>
      </c>
      <c r="L13" s="421">
        <v>0.258154543868829583115297400</v>
      </c>
      <c r="M13" s="420">
        <v>35.866666666666666666666666670</v>
      </c>
      <c r="N13" s="91">
        <v>58.740614817962884261226802660</v>
      </c>
      <c r="O13" s="421">
        <v>80.05930577359148787720216292</v>
      </c>
      <c r="P13" s="184"/>
      <c r="Q13" s="420">
        <v>-5.306248752005778313535227100</v>
      </c>
      <c r="R13" s="91">
        <v>8.923536241602001631909075600</v>
      </c>
      <c r="S13" s="421">
        <v>5.1958678530932894605235349600</v>
      </c>
      <c r="T13" s="420">
        <v>2.1978021969936772587082859200</v>
      </c>
      <c r="U13" s="91">
        <v>-13.639788997513306215071112400</v>
      </c>
      <c r="V13" s="421">
        <v>13.596059113414088669950852630</v>
      </c>
      <c r="W13" s="420">
        <v>12.996480644344685687251979170</v>
      </c>
      <c r="X13" s="91">
        <v>-23.107569721353261059347529380</v>
      </c>
      <c r="Y13" s="421">
        <v>7.2463768040636420925262554400</v>
      </c>
      <c r="Z13" s="420">
        <v>-5.9375271150086781334550287300</v>
      </c>
      <c r="AA13" s="91">
        <v>2.2943135562563197132275145100</v>
      </c>
      <c r="AB13" s="421">
        <v>5.980419322046927271350889200</v>
      </c>
    </row>
    <row r="14" ht="18" customHeight="1">
      <c r="A14" s="58"/>
      <c r="B14" s="1043" t="s">
        <v>48</v>
      </c>
      <c r="C14" s="1043"/>
      <c r="D14" s="420">
        <v>31.305562611125222250444500910</v>
      </c>
      <c r="E14" s="91">
        <v>46.621334466638334041648958820</v>
      </c>
      <c r="F14" s="421">
        <v>71.299494156637013779870922800</v>
      </c>
      <c r="G14" s="420">
        <v>2.4962605480766517088589732800</v>
      </c>
      <c r="H14" s="91">
        <v>11.007224819379515512112197210</v>
      </c>
      <c r="I14" s="421">
        <v>7.7725449154020582592011163500</v>
      </c>
      <c r="J14" s="420">
        <v>1.4732029464058928117856235700</v>
      </c>
      <c r="K14" s="91">
        <v>3.9807338149879586343674741500</v>
      </c>
      <c r="L14" s="421">
        <v>0.258154543868829583115297400</v>
      </c>
      <c r="M14" s="420">
        <v>35.298935298935298935298935300</v>
      </c>
      <c r="N14" s="91">
        <v>61.580960475988100297492562690</v>
      </c>
      <c r="O14" s="421">
        <v>79.33368219082504796790511076</v>
      </c>
      <c r="P14" s="5"/>
      <c r="Q14" s="420">
        <v>-2.0361349459316700718650217600</v>
      </c>
      <c r="R14" s="91">
        <v>7.8485990495674153639060734500</v>
      </c>
      <c r="S14" s="421">
        <v>5.0364888478266780443830081700</v>
      </c>
      <c r="T14" s="420">
        <v>-33.280619333778611056089650310</v>
      </c>
      <c r="U14" s="91">
        <v>-15.035538545345557943357823650</v>
      </c>
      <c r="V14" s="421">
        <v>8.471275560164630914671702850</v>
      </c>
      <c r="W14" s="420">
        <v>15.410573680232295101076084500</v>
      </c>
      <c r="X14" s="91">
        <v>-23.641304348437579011100963120</v>
      </c>
      <c r="Y14" s="421">
        <v>17.460317449746031746983174140</v>
      </c>
      <c r="Z14" s="420">
        <v>-5.268784070049895639115611300</v>
      </c>
      <c r="AA14" s="91">
        <v>0.2883838966880051473581700300</v>
      </c>
      <c r="AB14" s="421">
        <v>5.4092889589534238267912960600</v>
      </c>
    </row>
    <row r="15" ht="18" customHeight="1">
      <c r="A15" s="58"/>
      <c r="B15" s="1043" t="s">
        <v>49</v>
      </c>
      <c r="C15" s="1043"/>
      <c r="D15" s="420">
        <v>29.791437360652499082775943350</v>
      </c>
      <c r="E15" s="91">
        <v>39.658591868536619917835387490</v>
      </c>
      <c r="F15" s="421">
        <v>63.303680446537589394732251930</v>
      </c>
      <c r="G15" s="420">
        <v>2.5371828521434820647419072600</v>
      </c>
      <c r="H15" s="91">
        <v>12.608018132880011333050007090</v>
      </c>
      <c r="I15" s="421">
        <v>7.3957788243502529216814931200</v>
      </c>
      <c r="J15" s="420">
        <v>1.1867468179380803206050856600</v>
      </c>
      <c r="K15" s="91">
        <v>4.1507295650942059781838787400</v>
      </c>
      <c r="L15" s="421">
        <v>0.2162916448630734345020059300</v>
      </c>
      <c r="M15" s="420">
        <v>33.579033579033579033579033580</v>
      </c>
      <c r="N15" s="91">
        <v>56.424422722765264201728290130</v>
      </c>
      <c r="O15" s="421">
        <v>70.922728065585208442351299490</v>
      </c>
      <c r="P15" s="184"/>
      <c r="Q15" s="420">
        <v>-0.110043910880595005718821500</v>
      </c>
      <c r="R15" s="91">
        <v>4.0512915814127340476539461500</v>
      </c>
      <c r="S15" s="421">
        <v>6.4094294259014434352081162700</v>
      </c>
      <c r="T15" s="420">
        <v>-52.859088102991305014857367020</v>
      </c>
      <c r="U15" s="91">
        <v>-5.1172707888768724910324877300</v>
      </c>
      <c r="V15" s="421">
        <v>-6.8131868130936263736262803100</v>
      </c>
      <c r="W15" s="420">
        <v>-11.132699322608229225174138120</v>
      </c>
      <c r="X15" s="91">
        <v>-22.074468084680901284515558150</v>
      </c>
      <c r="Y15" s="421">
        <v>-10.144927542541272841396921010</v>
      </c>
      <c r="Z15" s="420">
        <v>-10.084049619018177504463447750</v>
      </c>
      <c r="AA15" s="91">
        <v>-0.5368959919991292665023907200</v>
      </c>
      <c r="AB15" s="421">
        <v>4.8046190328974446012096813300</v>
      </c>
    </row>
    <row r="16" ht="18" customHeight="1">
      <c r="A16" s="58"/>
      <c r="B16" s="1044" t="s">
        <v>75</v>
      </c>
      <c r="C16" s="1044"/>
      <c r="D16" s="430">
        <v>27.710657019609191056421537460</v>
      </c>
      <c r="E16" s="431">
        <v>39.300184162062615101289134480</v>
      </c>
      <c r="F16" s="432">
        <v>62.860631432060003488574917180</v>
      </c>
      <c r="G16" s="430">
        <v>2.8408407376218055579424957500</v>
      </c>
      <c r="H16" s="431">
        <v>8.499787505312367190820229500</v>
      </c>
      <c r="I16" s="432">
        <v>6.9624978196406767835339263900</v>
      </c>
      <c r="J16" s="430">
        <v>1.403807265082120290328309300</v>
      </c>
      <c r="K16" s="431">
        <v>4.1252302025782688766114180500</v>
      </c>
      <c r="L16" s="432">
        <v>0.2490842490842490842490842500</v>
      </c>
      <c r="M16" s="430">
        <v>31.986699916874480465502909390</v>
      </c>
      <c r="N16" s="431">
        <v>51.912452188695282617934551640</v>
      </c>
      <c r="O16" s="432">
        <v>70.075004360718646432932147220</v>
      </c>
      <c r="P16" s="5"/>
      <c r="Q16" s="430">
        <v>-0.1780197050476462840119931100</v>
      </c>
      <c r="R16" s="431">
        <v>9.023029159879332060534365670</v>
      </c>
      <c r="S16" s="432">
        <v>5.5879147279916815622061454300</v>
      </c>
      <c r="T16" s="430">
        <v>-8.585803407162830413413687040</v>
      </c>
      <c r="U16" s="431">
        <v>-13.953821884203496681561736190</v>
      </c>
      <c r="V16" s="432">
        <v>12.237093689699120514807765790</v>
      </c>
      <c r="W16" s="430">
        <v>9.118016847908591716203957940</v>
      </c>
      <c r="X16" s="431">
        <v>-22.738126824278634523965532800</v>
      </c>
      <c r="Y16" s="432">
        <v>9.509202452996772554489753530</v>
      </c>
      <c r="Z16" s="629">
        <v>-1.847918275425127321868975500</v>
      </c>
      <c r="AA16" s="214">
        <v>1.2712449909946727250221438500</v>
      </c>
      <c r="AB16" s="630">
        <v>6.229837643482821101460702200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48.001862670392007450681568060</v>
      </c>
      <c r="E18" s="480">
        <v>45.403031590876894744298059260</v>
      </c>
      <c r="F18" s="481">
        <v>63.457177742892028606314320660</v>
      </c>
      <c r="G18" s="479">
        <v>3.0691728050122766912200491100</v>
      </c>
      <c r="H18" s="480">
        <v>15.625442697265901685791188570</v>
      </c>
      <c r="I18" s="481">
        <v>9.649398220826792255363683940</v>
      </c>
      <c r="J18" s="479">
        <v>1.391358338272232100019755600</v>
      </c>
      <c r="K18" s="480">
        <v>3.8815696274259810171412381400</v>
      </c>
      <c r="L18" s="481">
        <v>0.2442002442002442002442002400</v>
      </c>
      <c r="M18" s="479">
        <v>52.497952497952497952497952500</v>
      </c>
      <c r="N18" s="480">
        <v>64.931293384332058365207536480</v>
      </c>
      <c r="O18" s="481">
        <v>73.347287633001918716204430490</v>
      </c>
      <c r="P18" s="184"/>
      <c r="Q18" s="479">
        <v>13.729108406145207956784653330</v>
      </c>
      <c r="R18" s="480">
        <v>-0.4194500542717646536671891400</v>
      </c>
      <c r="S18" s="481">
        <v>1.4727211870463790363619603700</v>
      </c>
      <c r="T18" s="479">
        <v>-57.864641919834067839734188780</v>
      </c>
      <c r="U18" s="480">
        <v>-3.4995625545611158185277851500</v>
      </c>
      <c r="V18" s="481">
        <v>-3.6236933796945644599302171600</v>
      </c>
      <c r="W18" s="479">
        <v>10.911136111377213562694049790</v>
      </c>
      <c r="X18" s="480">
        <v>-24.099722991745046462197149650</v>
      </c>
      <c r="Y18" s="481">
        <v>11.111111101111111112011109200</v>
      </c>
      <c r="Z18" s="479">
        <v>1.2281093621252136886028247700</v>
      </c>
      <c r="AA18" s="480">
        <v>-2.9125185342096149622567748800</v>
      </c>
      <c r="AB18" s="481">
        <v>0.79581955025254696655260500</v>
      </c>
    </row>
    <row r="19" ht="18" customHeight="1">
      <c r="A19" s="58"/>
      <c r="B19" s="1046" t="s">
        <v>51</v>
      </c>
      <c r="C19" s="1046"/>
      <c r="D19" s="271">
        <v>50.416278610334998447774673360</v>
      </c>
      <c r="E19" s="92">
        <v>46.182178778863861736789913630</v>
      </c>
      <c r="F19" s="272">
        <v>65.581719867434153148438862790</v>
      </c>
      <c r="G19" s="271">
        <v>2.8236389806112945559224451800</v>
      </c>
      <c r="H19" s="92">
        <v>13.982150446238844028899277530</v>
      </c>
      <c r="I19" s="272">
        <v>8.672597244025815454386882970</v>
      </c>
      <c r="J19" s="271">
        <v>1.2685914260717410323709536300</v>
      </c>
      <c r="K19" s="92">
        <v>3.5699107522311942201444963900</v>
      </c>
      <c r="L19" s="272">
        <v>0.2232687946973661259375545100</v>
      </c>
      <c r="M19" s="271">
        <v>54.545454545454545454545454550</v>
      </c>
      <c r="N19" s="92">
        <v>63.755489446097180903810738060</v>
      </c>
      <c r="O19" s="272">
        <v>74.474097331240188383045525900</v>
      </c>
      <c r="P19" s="5"/>
      <c r="Q19" s="271">
        <v>26.393181679866455583327051460</v>
      </c>
      <c r="R19" s="92">
        <v>1.9705974351090533048802711900</v>
      </c>
      <c r="S19" s="272">
        <v>2.5250872600275232812400068500</v>
      </c>
      <c r="T19" s="271">
        <v>-59.913546521071970784351408090</v>
      </c>
      <c r="U19" s="92">
        <v>-2.3255813953699089789765554400</v>
      </c>
      <c r="V19" s="272">
        <v>5.0718512252932570388207234600</v>
      </c>
      <c r="W19" s="271">
        <v>-9.950720448443122644568736010</v>
      </c>
      <c r="X19" s="92">
        <v>-22.699386503295355489479549530</v>
      </c>
      <c r="Y19" s="272">
        <v>-9.859154923248561792850620440</v>
      </c>
      <c r="Z19" s="271">
        <v>9.817576262304856920698790650</v>
      </c>
      <c r="AA19" s="92">
        <v>-0.7169644826285391648828947700</v>
      </c>
      <c r="AB19" s="272">
        <v>2.7680161748154554388913434700</v>
      </c>
    </row>
    <row r="20" ht="18" customHeight="1">
      <c r="A20" s="58"/>
      <c r="B20" s="1047" t="s">
        <v>76</v>
      </c>
      <c r="C20" s="1047"/>
      <c r="D20" s="273">
        <v>49.209070640363502949228120720</v>
      </c>
      <c r="E20" s="274">
        <v>45.792605184870378240543986440</v>
      </c>
      <c r="F20" s="275">
        <v>64.519448805163090877376591720</v>
      </c>
      <c r="G20" s="273">
        <v>2.9464058928117856235712471400</v>
      </c>
      <c r="H20" s="274">
        <v>14.803796571752372857345233050</v>
      </c>
      <c r="I20" s="275">
        <v>9.160997732426303854875283460</v>
      </c>
      <c r="J20" s="273">
        <v>1.3299748821719865661953546100</v>
      </c>
      <c r="K20" s="274">
        <v>3.7257401898285876186428672700</v>
      </c>
      <c r="L20" s="275">
        <v>0.2337345194488051630908773800</v>
      </c>
      <c r="M20" s="273">
        <v>53.521703521703521703521703520</v>
      </c>
      <c r="N20" s="274">
        <v>64.343391415214619634509137270</v>
      </c>
      <c r="O20" s="275">
        <v>73.910692482121053549624978200</v>
      </c>
      <c r="P20" s="184"/>
      <c r="Q20" s="273">
        <v>19.891378806378989663808281340</v>
      </c>
      <c r="R20" s="274">
        <v>0.7715688566225566453206902800</v>
      </c>
      <c r="S20" s="275">
        <v>2.004853565684558641164902900</v>
      </c>
      <c r="T20" s="273">
        <v>-58.870070818477188568505602420</v>
      </c>
      <c r="U20" s="274">
        <v>-2.9486881819752646986032069500</v>
      </c>
      <c r="V20" s="275">
        <v>0.3055767760456639145693728600</v>
      </c>
      <c r="W20" s="273">
        <v>-0.139613233363185863655415900</v>
      </c>
      <c r="X20" s="274">
        <v>-23.435225618768144517965979150</v>
      </c>
      <c r="Y20" s="275">
        <v>0.0000000208805970192853679100</v>
      </c>
      <c r="Z20" s="273">
        <v>5.4301255523954031134968134800</v>
      </c>
      <c r="AA20" s="274">
        <v>-1.8370434407234163052592879400</v>
      </c>
      <c r="AB20" s="275">
        <v>1.7798808609019433740355514900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33.977313009571074087203119460</v>
      </c>
      <c r="E22" s="469">
        <v>41.176335071072836498058250430</v>
      </c>
      <c r="F22" s="470">
        <v>63.288003850680690474715863700</v>
      </c>
      <c r="G22" s="468">
        <v>2.8181495923431407302375044300</v>
      </c>
      <c r="H22" s="469">
        <v>10.325121181585321411927271920</v>
      </c>
      <c r="I22" s="470">
        <v>7.6406208838230743074481957200</v>
      </c>
      <c r="J22" s="468">
        <v>1.3883965496868722675174288100</v>
      </c>
      <c r="K22" s="469">
        <v>3.968764134689301260678068200</v>
      </c>
      <c r="L22" s="470">
        <v>0.2417921501988342061492146200</v>
      </c>
      <c r="M22" s="468">
        <v>38.183859151601087084958052700</v>
      </c>
      <c r="N22" s="469">
        <v>55.470220387347459170663590550</v>
      </c>
      <c r="O22" s="470">
        <v>71.170416884702598988313274030</v>
      </c>
      <c r="P22" s="184"/>
      <c r="Q22" s="468">
        <v>5.7557925707870413221441325700</v>
      </c>
      <c r="R22" s="469">
        <v>6.2231354365380461053373887700</v>
      </c>
      <c r="S22" s="470">
        <v>4.5866368518208594697544178400</v>
      </c>
      <c r="T22" s="468">
        <v>-35.278154680619522100852089640</v>
      </c>
      <c r="U22" s="469">
        <v>-9.75596210588652405912625600</v>
      </c>
      <c r="V22" s="470">
        <v>7.2522377877172028946308405800</v>
      </c>
      <c r="W22" s="468">
        <v>6.8181818201443595041682888100</v>
      </c>
      <c r="X22" s="469">
        <v>-22.793103417786823181035192820</v>
      </c>
      <c r="Y22" s="470">
        <v>5.9307063965763821499865365100</v>
      </c>
      <c r="Z22" s="468">
        <v>1.0633307270116020713505952600</v>
      </c>
      <c r="AA22" s="469">
        <v>0.2248793329729499829702600800</v>
      </c>
      <c r="AB22" s="470">
        <v>4.870973901013317509284158700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98.25293282001070916260073802</v>
      </c>
      <c r="E25" s="455">
        <v>122.08324103031199682251052565</v>
      </c>
      <c r="F25" s="456">
        <v>113.55202782461874830243090391</v>
      </c>
      <c r="G25" s="454">
        <v>127.32086520496180533335194364</v>
      </c>
      <c r="H25" s="455">
        <v>136.37720769099651963766076099</v>
      </c>
      <c r="I25" s="456">
        <v>125.86333146186031324669732361</v>
      </c>
      <c r="J25" s="454">
        <v>97.23250931799134491257614593</v>
      </c>
      <c r="K25" s="455">
        <v>127.78727975625676223378966878</v>
      </c>
      <c r="L25" s="456">
        <v>90.5607087178957061731602035</v>
      </c>
      <c r="M25" s="454">
        <v>101.90431382321588211246643588</v>
      </c>
      <c r="N25" s="455">
        <v>124.55418848521441696118333637</v>
      </c>
      <c r="O25" s="456">
        <v>114.55353467857436886489125519</v>
      </c>
      <c r="P25" s="5"/>
      <c r="Q25" s="427">
        <v>-7.3838636890175889217737092100</v>
      </c>
      <c r="R25" s="428">
        <v>-6.2428091041973144275947229100</v>
      </c>
      <c r="S25" s="429">
        <v>-2.16470643555623673120015100</v>
      </c>
      <c r="T25" s="427">
        <v>8.360860569268512256925664050</v>
      </c>
      <c r="U25" s="428">
        <v>-1.3454585154124308771850961800</v>
      </c>
      <c r="V25" s="429">
        <v>6.2884678969248893824292595900</v>
      </c>
      <c r="W25" s="427">
        <v>-1.0831530100970445306310600200</v>
      </c>
      <c r="X25" s="428">
        <v>5.1361933690551827585317365600</v>
      </c>
      <c r="Y25" s="429">
        <v>-3.425507084441238849756015700</v>
      </c>
      <c r="Z25" s="427">
        <v>-3.5665888781831825301802822300</v>
      </c>
      <c r="AA25" s="428">
        <v>-4.3912692174130805932233828100</v>
      </c>
      <c r="AB25" s="429">
        <v>-1.3961200206145951432753445600</v>
      </c>
    </row>
    <row r="26" ht="18" customHeight="1">
      <c r="A26" s="58"/>
      <c r="B26" s="1043" t="s">
        <v>46</v>
      </c>
      <c r="C26" s="1043"/>
      <c r="D26" s="439">
        <v>103.3017053448320841821767958</v>
      </c>
      <c r="E26" s="95">
        <v>140.17739455772844628725955105</v>
      </c>
      <c r="F26" s="440">
        <v>129.69150864575517181902136535</v>
      </c>
      <c r="G26" s="439">
        <v>111.05484524000921339460261258</v>
      </c>
      <c r="H26" s="95">
        <v>143.89201947756653860777442595</v>
      </c>
      <c r="I26" s="440">
        <v>130.59022597380282924561491038</v>
      </c>
      <c r="J26" s="439">
        <v>95.54070877826798193656397905</v>
      </c>
      <c r="K26" s="95">
        <v>127.53696071780854729955158863</v>
      </c>
      <c r="L26" s="440">
        <v>92.28384288677025903427918417</v>
      </c>
      <c r="M26" s="439">
        <v>103.54003402053189137047381694</v>
      </c>
      <c r="N26" s="95">
        <v>139.64091720337534403562211286</v>
      </c>
      <c r="O26" s="440">
        <v>129.62802166942255678089992865</v>
      </c>
      <c r="P26" s="5"/>
      <c r="Q26" s="420">
        <v>-5.9814738526232064020125110700</v>
      </c>
      <c r="R26" s="91">
        <v>-3.7314368623399469338823528500</v>
      </c>
      <c r="S26" s="421">
        <v>0.8394952782955498123037260400</v>
      </c>
      <c r="T26" s="420">
        <v>3.3968838491464903203285347600</v>
      </c>
      <c r="U26" s="91">
        <v>5.265920113776661850775843600</v>
      </c>
      <c r="V26" s="421">
        <v>4.4518475424022991031411437800</v>
      </c>
      <c r="W26" s="420">
        <v>1.1876112155261915357894145800</v>
      </c>
      <c r="X26" s="91">
        <v>5.8435427681847449221312933800</v>
      </c>
      <c r="Y26" s="421">
        <v>-0.5575540825265236574228630200</v>
      </c>
      <c r="Z26" s="420">
        <v>-5.0728405424324863891126614100</v>
      </c>
      <c r="AA26" s="91">
        <v>-1.179348711155930609201612200</v>
      </c>
      <c r="AB26" s="421">
        <v>1.1207473107152033864296916300</v>
      </c>
    </row>
    <row r="27" ht="18" customHeight="1">
      <c r="A27" s="58"/>
      <c r="B27" s="1043" t="s">
        <v>47</v>
      </c>
      <c r="C27" s="1043"/>
      <c r="D27" s="439">
        <v>106.14905693231175574114651158</v>
      </c>
      <c r="E27" s="95">
        <v>144.67938464499036493400364317</v>
      </c>
      <c r="F27" s="440">
        <v>141.33915864311505398244714824</v>
      </c>
      <c r="G27" s="439">
        <v>107.55713203297184673661559575</v>
      </c>
      <c r="H27" s="95">
        <v>144.24316904802408207428797054</v>
      </c>
      <c r="I27" s="440">
        <v>130.67469137127184687544819219</v>
      </c>
      <c r="J27" s="439">
        <v>96.72946711084399262424873128</v>
      </c>
      <c r="K27" s="95">
        <v>128.69227964051413445332341204</v>
      </c>
      <c r="L27" s="440">
        <v>90.83903616833367222225105612</v>
      </c>
      <c r="M27" s="439">
        <v>105.88185549414830550761686289</v>
      </c>
      <c r="N27" s="95">
        <v>143.48547215778910025650671584</v>
      </c>
      <c r="O27" s="440">
        <v>140.11087281657092819112675709</v>
      </c>
      <c r="P27" s="93"/>
      <c r="Q27" s="420">
        <v>-9.760192238943780614195129140</v>
      </c>
      <c r="R27" s="91">
        <v>-2.8568937004970296262256458300</v>
      </c>
      <c r="S27" s="421">
        <v>2.1231162031319266001660370300</v>
      </c>
      <c r="T27" s="420">
        <v>-13.391718510309342996882456360</v>
      </c>
      <c r="U27" s="91">
        <v>2.1628712837218964544409622300</v>
      </c>
      <c r="V27" s="421">
        <v>2.2776188920793132158603020900</v>
      </c>
      <c r="W27" s="420">
        <v>0.0248104825379358944666602900</v>
      </c>
      <c r="X27" s="91">
        <v>6.312641802700357956578578400</v>
      </c>
      <c r="Y27" s="421">
        <v>-1.8270976070062128883065730900</v>
      </c>
      <c r="Z27" s="420">
        <v>-9.870270252654102086554211440</v>
      </c>
      <c r="AA27" s="91">
        <v>-1.1218342742655661236621692500</v>
      </c>
      <c r="AB27" s="421">
        <v>2.0836124131013755167211343200</v>
      </c>
    </row>
    <row r="28" ht="18" customHeight="1">
      <c r="A28" s="58"/>
      <c r="B28" s="1043" t="s">
        <v>48</v>
      </c>
      <c r="C28" s="1043"/>
      <c r="D28" s="439">
        <v>109.48502750491230480313383203</v>
      </c>
      <c r="E28" s="95">
        <v>142.93701782874156366156573923</v>
      </c>
      <c r="F28" s="440">
        <v>139.7057890681589533349329688</v>
      </c>
      <c r="G28" s="439">
        <v>121.16467195932409716173111947</v>
      </c>
      <c r="H28" s="95">
        <v>149.30203032267601430323522223</v>
      </c>
      <c r="I28" s="440">
        <v>130.78170869562917305101860088</v>
      </c>
      <c r="J28" s="439">
        <v>98.94638400832692002488149122</v>
      </c>
      <c r="K28" s="95">
        <v>130.46910043366272019558464708</v>
      </c>
      <c r="L28" s="440">
        <v>95.32947499967988548962534145</v>
      </c>
      <c r="M28" s="439">
        <v>109.87141630519310002570616412</v>
      </c>
      <c r="N28" s="95">
        <v>143.3345342666130603861941342</v>
      </c>
      <c r="O28" s="440">
        <v>138.68092630486217832739377049</v>
      </c>
      <c r="P28" s="5"/>
      <c r="Q28" s="420">
        <v>-4.6014929432815112373604747500</v>
      </c>
      <c r="R28" s="91">
        <v>-4.8881693484600745154858819500</v>
      </c>
      <c r="S28" s="421">
        <v>2.8870138876103323389715486200</v>
      </c>
      <c r="T28" s="420">
        <v>-1.5568509770133194508829173900</v>
      </c>
      <c r="U28" s="91">
        <v>5.9708428112151465860567092400</v>
      </c>
      <c r="V28" s="421">
        <v>1.6887679890509010913898578200</v>
      </c>
      <c r="W28" s="420">
        <v>7.5924590770215927855932818300</v>
      </c>
      <c r="X28" s="91">
        <v>7.1042909272156637553442661800</v>
      </c>
      <c r="Y28" s="421">
        <v>8.194330076186657732913574790</v>
      </c>
      <c r="Z28" s="420">
        <v>-4.3691518267436614090989872300</v>
      </c>
      <c r="AA28" s="91">
        <v>-1.7361438040749054674186068800</v>
      </c>
      <c r="AB28" s="421">
        <v>2.7498128985855686288835401900</v>
      </c>
    </row>
    <row r="29" ht="18" customHeight="1">
      <c r="A29" s="58"/>
      <c r="B29" s="1043" t="s">
        <v>49</v>
      </c>
      <c r="C29" s="1043"/>
      <c r="D29" s="439">
        <v>107.45381266295102188469025127</v>
      </c>
      <c r="E29" s="95">
        <v>134.52799763853331465847689146</v>
      </c>
      <c r="F29" s="440">
        <v>127.54529637127963486052872208</v>
      </c>
      <c r="G29" s="439">
        <v>117.98191245382072624640691705</v>
      </c>
      <c r="H29" s="95">
        <v>144.3239536360169187648748241</v>
      </c>
      <c r="I29" s="440">
        <v>128.33984432564495768921416137</v>
      </c>
      <c r="J29" s="439">
        <v>101.9142669142476690192937601</v>
      </c>
      <c r="K29" s="95">
        <v>129.93419370993669040079273255</v>
      </c>
      <c r="L29" s="440">
        <v>97.27019473820185844478631434</v>
      </c>
      <c r="M29" s="439">
        <v>107.92288772107123336694054979</v>
      </c>
      <c r="N29" s="95">
        <v>136.36208056292757277795052015</v>
      </c>
      <c r="O29" s="440">
        <v>127.52327447109572453044097218</v>
      </c>
      <c r="P29" s="93"/>
      <c r="Q29" s="420">
        <v>-6.2819838836038411149786319900</v>
      </c>
      <c r="R29" s="91">
        <v>-3.0912466730111596296596739700</v>
      </c>
      <c r="S29" s="421">
        <v>1.0585640214052892323628376200</v>
      </c>
      <c r="T29" s="420">
        <v>5.6807062571148746426177668800</v>
      </c>
      <c r="U29" s="91">
        <v>4.7137091054776650018074440300</v>
      </c>
      <c r="V29" s="421">
        <v>5.8544332938498183647118632900</v>
      </c>
      <c r="W29" s="420">
        <v>10.957705263539069748738158300</v>
      </c>
      <c r="X29" s="91">
        <v>6.952711212232708082666512900</v>
      </c>
      <c r="Y29" s="421">
        <v>9.835885807018223509783985420</v>
      </c>
      <c r="Z29" s="420">
        <v>-4.8120644754545269085990711900</v>
      </c>
      <c r="AA29" s="91">
        <v>-0.4362120157883718567267288200</v>
      </c>
      <c r="AB29" s="421">
        <v>1.6232837871734665318837502500</v>
      </c>
    </row>
    <row r="30" ht="18" customHeight="1">
      <c r="A30" s="58"/>
      <c r="B30" s="1044" t="s">
        <v>75</v>
      </c>
      <c r="C30" s="1044"/>
      <c r="D30" s="457">
        <v>105.45578559649277908921601069</v>
      </c>
      <c r="E30" s="458">
        <v>138.34179118582783665218880209</v>
      </c>
      <c r="F30" s="459">
        <v>131.83301958044426635279403109</v>
      </c>
      <c r="G30" s="457">
        <v>116.99523232957294783475525953</v>
      </c>
      <c r="H30" s="458">
        <v>144.75572817222365287868989497</v>
      </c>
      <c r="I30" s="459">
        <v>129.55009616620264133767744199</v>
      </c>
      <c r="J30" s="457">
        <v>97.92639903351555995952226163</v>
      </c>
      <c r="K30" s="458">
        <v>128.86448629338885079853953819</v>
      </c>
      <c r="L30" s="459">
        <v>93.13412085265484248261646603</v>
      </c>
      <c r="M30" s="457">
        <v>106.12329304658991393821989935</v>
      </c>
      <c r="N30" s="458">
        <v>138.67282642098311079826738308</v>
      </c>
      <c r="O30" s="459">
        <v>131.46338616903529759277100117</v>
      </c>
      <c r="P30" s="5"/>
      <c r="Q30" s="430">
        <v>-6.9960919382388778121435695800</v>
      </c>
      <c r="R30" s="431">
        <v>-4.0887420695744220477362888600</v>
      </c>
      <c r="S30" s="432">
        <v>1.2378158800068543249104932900</v>
      </c>
      <c r="T30" s="430">
        <v>-0.3241253654239159313360496900</v>
      </c>
      <c r="U30" s="431">
        <v>4.0372743920335087743743315100</v>
      </c>
      <c r="V30" s="432">
        <v>3.8810243458944124897036031900</v>
      </c>
      <c r="W30" s="430">
        <v>3.5261725758465345283926515300</v>
      </c>
      <c r="X30" s="431">
        <v>6.2583175679573110793923400200</v>
      </c>
      <c r="Y30" s="432">
        <v>2.202473073810625906671124800</v>
      </c>
      <c r="Z30" s="430">
        <v>-6.0114755102258329279390093200</v>
      </c>
      <c r="AA30" s="431">
        <v>-1.564159099768466709649111300</v>
      </c>
      <c r="AB30" s="432">
        <v>1.4638796998883115276261382700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111.8204557300753082191937098</v>
      </c>
      <c r="E32" s="494">
        <v>131.72027861174242511886851012</v>
      </c>
      <c r="F32" s="495">
        <v>126.26799708967493964102620447</v>
      </c>
      <c r="G32" s="493">
        <v>121.76035279403869792617654871</v>
      </c>
      <c r="H32" s="494">
        <v>142.69463842035389293551410675</v>
      </c>
      <c r="I32" s="495">
        <v>130.96013725878124471755653177</v>
      </c>
      <c r="J32" s="493">
        <v>98.68343744401509606363939084</v>
      </c>
      <c r="K32" s="494">
        <v>130.21078904580020960037414122</v>
      </c>
      <c r="L32" s="495">
        <v>93.65319982392975926533934482</v>
      </c>
      <c r="M32" s="493">
        <v>112.05355530735394083599157725</v>
      </c>
      <c r="N32" s="494">
        <v>134.22786851245425413861637383</v>
      </c>
      <c r="O32" s="495">
        <v>126.78270300626164842366714771</v>
      </c>
      <c r="P32" s="93"/>
      <c r="Q32" s="479">
        <v>-8.145616502405317388138447530</v>
      </c>
      <c r="R32" s="480">
        <v>-6.7430078270326178561194211700</v>
      </c>
      <c r="S32" s="481">
        <v>-3.7263552721951649998732832700</v>
      </c>
      <c r="T32" s="479">
        <v>1.5151340808043343074689710200</v>
      </c>
      <c r="U32" s="480">
        <v>-0.2113580060849413456398203200</v>
      </c>
      <c r="V32" s="481">
        <v>4.1503310946162754871793445100</v>
      </c>
      <c r="W32" s="479">
        <v>4.588110829656110982783837500</v>
      </c>
      <c r="X32" s="480">
        <v>5.8869320318690049047245807700</v>
      </c>
      <c r="Y32" s="481">
        <v>-1.0497670937703406778648067700</v>
      </c>
      <c r="Z32" s="479">
        <v>-7.2421905423431166685232868400</v>
      </c>
      <c r="AA32" s="480">
        <v>-4.3390763582788754070984755800</v>
      </c>
      <c r="AB32" s="481">
        <v>-2.6994945356135228616377647300</v>
      </c>
    </row>
    <row r="33" ht="18" customHeight="1">
      <c r="A33" s="58"/>
      <c r="B33" s="1046" t="s">
        <v>51</v>
      </c>
      <c r="C33" s="1046"/>
      <c r="D33" s="276">
        <v>108.61616394757476119863547644</v>
      </c>
      <c r="E33" s="94">
        <v>132.31257556208933106714477531</v>
      </c>
      <c r="F33" s="277">
        <v>125.70357293198278204794135076</v>
      </c>
      <c r="G33" s="276">
        <v>119.51428195991572219595833025</v>
      </c>
      <c r="H33" s="94">
        <v>143.81723092344077247182713185</v>
      </c>
      <c r="I33" s="277">
        <v>134.18589028030421710871605239</v>
      </c>
      <c r="J33" s="276">
        <v>97.76583916283768986285785096</v>
      </c>
      <c r="K33" s="94">
        <v>132.32975920974445143598130233</v>
      </c>
      <c r="L33" s="277">
        <v>94.59200970481444860820563462</v>
      </c>
      <c r="M33" s="276">
        <v>108.92818352304373799848995881</v>
      </c>
      <c r="N33" s="94">
        <v>134.79251251521005743149708587</v>
      </c>
      <c r="O33" s="277">
        <v>126.60396662011845269638573731</v>
      </c>
      <c r="P33" s="5"/>
      <c r="Q33" s="271">
        <v>-7.5480595328207646661580512300</v>
      </c>
      <c r="R33" s="92">
        <v>-5.3947842846005233159865922500</v>
      </c>
      <c r="S33" s="272">
        <v>-4.1730778608398541004354585100</v>
      </c>
      <c r="T33" s="271">
        <v>3.143776215851411526010935800</v>
      </c>
      <c r="U33" s="92">
        <v>-0.2356336310711462864949607200</v>
      </c>
      <c r="V33" s="272">
        <v>8.153601353431001811493721350</v>
      </c>
      <c r="W33" s="271">
        <v>3.2214106918906883186029203700</v>
      </c>
      <c r="X33" s="92">
        <v>7.6962709015715011169904852800</v>
      </c>
      <c r="Y33" s="272">
        <v>-2.6548972332337859148851201500</v>
      </c>
      <c r="Z33" s="271">
        <v>-6.5679255503517338949323360600</v>
      </c>
      <c r="AA33" s="92">
        <v>-3.4506420055704263153858866300</v>
      </c>
      <c r="AB33" s="272">
        <v>-2.8006822530015394409848553100</v>
      </c>
    </row>
    <row r="34" ht="18" customHeight="1">
      <c r="A34" s="58"/>
      <c r="B34" s="1047" t="s">
        <v>76</v>
      </c>
      <c r="C34" s="1047"/>
      <c r="D34" s="443">
        <v>110.17900563608750201157302643</v>
      </c>
      <c r="E34" s="444">
        <v>132.01894652483305364035043194</v>
      </c>
      <c r="F34" s="445">
        <v>125.9811385711841756140884077</v>
      </c>
      <c r="G34" s="443">
        <v>120.68411051935477205544698569</v>
      </c>
      <c r="H34" s="444">
        <v>143.22478138712267288878729133</v>
      </c>
      <c r="I34" s="445">
        <v>132.48702644604440339318916091</v>
      </c>
      <c r="J34" s="443">
        <v>98.24581364837664079865127182</v>
      </c>
      <c r="K34" s="444">
        <v>131.2259610635073368676231994</v>
      </c>
      <c r="L34" s="445">
        <v>94.10158663271050641417100563</v>
      </c>
      <c r="M34" s="633">
        <v>110.46097871335960641382166304</v>
      </c>
      <c r="N34" s="634">
        <v>134.50761095349371833055931136</v>
      </c>
      <c r="O34" s="635">
        <v>126.69265357923535945696657071</v>
      </c>
      <c r="P34" s="93"/>
      <c r="Q34" s="273">
        <v>-7.926855895812465669868752800</v>
      </c>
      <c r="R34" s="274">
        <v>-6.0719821670869205271929881600</v>
      </c>
      <c r="S34" s="275">
        <v>-3.9533708215210069098264481200</v>
      </c>
      <c r="T34" s="273">
        <v>2.3301970653098182595855776300</v>
      </c>
      <c r="U34" s="274">
        <v>-0.2204417434690336519770927500</v>
      </c>
      <c r="V34" s="275">
        <v>6.0014498052793642967966321500</v>
      </c>
      <c r="W34" s="273">
        <v>3.9138553918665430641938969400</v>
      </c>
      <c r="X34" s="274">
        <v>6.7530122030289850688104267600</v>
      </c>
      <c r="Y34" s="275">
        <v>-1.9618592317275448273682453900</v>
      </c>
      <c r="Z34" s="273">
        <v>-6.9719051996720159049965971100</v>
      </c>
      <c r="AA34" s="274">
        <v>-3.9027493443139649552556805100</v>
      </c>
      <c r="AB34" s="275">
        <v>-2.7506391365310625599716378400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107.3338549817423056859676578</v>
      </c>
      <c r="E36" s="483">
        <v>136.40246966477878965288128541</v>
      </c>
      <c r="F36" s="484">
        <v>130.12248948860894991583552617</v>
      </c>
      <c r="G36" s="482">
        <v>118.9161425576519916142557652</v>
      </c>
      <c r="H36" s="483">
        <v>143.44765203776976582683876431</v>
      </c>
      <c r="I36" s="484">
        <v>130.61218408834851914788028744</v>
      </c>
      <c r="J36" s="482">
        <v>98.32765957446808510638297872</v>
      </c>
      <c r="K36" s="483">
        <v>130.29989230962698791667370428</v>
      </c>
      <c r="L36" s="484">
        <v>92.94566865510999046466270662</v>
      </c>
      <c r="M36" s="482">
        <v>107.86127649698282531332198669</v>
      </c>
      <c r="N36" s="483">
        <v>137.27722140133895182327295282</v>
      </c>
      <c r="O36" s="484">
        <v>130.04875811409804841499366278</v>
      </c>
      <c r="P36" s="93"/>
      <c r="Q36" s="468">
        <v>-6.9133050427050125846232921100</v>
      </c>
      <c r="R36" s="469">
        <v>-4.5558809235768707856429351900</v>
      </c>
      <c r="S36" s="470">
        <v>-0.3048687677215780167755117100</v>
      </c>
      <c r="T36" s="468">
        <v>-0.7865456156362522816711996100</v>
      </c>
      <c r="U36" s="469">
        <v>1.9943439104199197065781449700</v>
      </c>
      <c r="V36" s="470">
        <v>4.6940253392350327736802568500</v>
      </c>
      <c r="W36" s="468">
        <v>2.9707021438739439139715003700</v>
      </c>
      <c r="X36" s="469">
        <v>6.2367439236365577226136783300</v>
      </c>
      <c r="Y36" s="470">
        <v>0.8094041906402118487401893100</v>
      </c>
      <c r="Z36" s="468">
        <v>-6.3284769118517615318111705500</v>
      </c>
      <c r="AA36" s="469">
        <v>-2.3369167716142636668942366900</v>
      </c>
      <c r="AB36" s="470">
        <v>0.2021303910385488885818382900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20.131258739989245960552011837</v>
      </c>
      <c r="E39" s="455">
        <v>32.029772260679673907818316152</v>
      </c>
      <c r="F39" s="456">
        <v>52.127372549944465686784868865</v>
      </c>
      <c r="G39" s="454">
        <v>4.0533665075384732824416215828</v>
      </c>
      <c r="H39" s="455">
        <v>5.6509892689639441838809707645</v>
      </c>
      <c r="I39" s="456">
        <v>5.7871226536449291072439236936</v>
      </c>
      <c r="J39" s="454">
        <v>1.2699398841284688408330611873</v>
      </c>
      <c r="K39" s="455">
        <v>5.2135906742884186886714017061</v>
      </c>
      <c r="L39" s="456">
        <v>0.2274680281768181002779534156</v>
      </c>
      <c r="M39" s="454">
        <v>25.47607845580397052811660897</v>
      </c>
      <c r="N39" s="455">
        <v>42.894352203932036780370688585</v>
      </c>
      <c r="O39" s="456">
        <v>58.141963231766212894306745917</v>
      </c>
      <c r="P39" s="5"/>
      <c r="Q39" s="427">
        <v>2.0320218820321962205036324300</v>
      </c>
      <c r="R39" s="428">
        <v>14.010714076700153568596763560</v>
      </c>
      <c r="S39" s="429">
        <v>5.7772268519580341579652073500</v>
      </c>
      <c r="T39" s="427">
        <v>125.23405201138865960993783838</v>
      </c>
      <c r="U39" s="428">
        <v>-30.382500882132673083138984130</v>
      </c>
      <c r="V39" s="429">
        <v>30.072609737879181613366001570</v>
      </c>
      <c r="W39" s="427">
        <v>9.343135882025059651160408320</v>
      </c>
      <c r="X39" s="428">
        <v>-20.735016517530330495331022160</v>
      </c>
      <c r="Y39" s="429">
        <v>10.370849037878459262262814600</v>
      </c>
      <c r="Z39" s="427">
        <v>12.754346273085934190827895680</v>
      </c>
      <c r="AA39" s="428">
        <v>0.247929494246035510962091800</v>
      </c>
      <c r="AB39" s="429">
        <v>7.7989066591659883890122017200</v>
      </c>
    </row>
    <row r="40" ht="18" customHeight="1">
      <c r="A40" s="58"/>
      <c r="B40" s="1043" t="s">
        <v>46</v>
      </c>
      <c r="C40" s="1043"/>
      <c r="D40" s="439">
        <v>27.405803436216922631791259953</v>
      </c>
      <c r="E40" s="95">
        <v>52.524324777616056159484560543</v>
      </c>
      <c r="F40" s="440">
        <v>80.45262189913896617079497369</v>
      </c>
      <c r="G40" s="439">
        <v>2.7196339401792494413473026235</v>
      </c>
      <c r="H40" s="95">
        <v>9.529610299725507408858838956</v>
      </c>
      <c r="I40" s="440">
        <v>9.143365900206603115156083216</v>
      </c>
      <c r="J40" s="439">
        <v>1.442819069401023822241923515</v>
      </c>
      <c r="K40" s="95">
        <v>5.5014881057618221635803171518</v>
      </c>
      <c r="L40" s="440">
        <v>0.2414543246644957065261098489</v>
      </c>
      <c r="M40" s="439">
        <v>31.594936851853481557901936786</v>
      </c>
      <c r="N40" s="95">
        <v>67.555423183103385731923716589</v>
      </c>
      <c r="O40" s="440">
        <v>89.83744212401006499247716667</v>
      </c>
      <c r="P40" s="5"/>
      <c r="Q40" s="420">
        <v>-2.7796721892588983764261678700</v>
      </c>
      <c r="R40" s="91">
        <v>4.2072230403166319030667078600</v>
      </c>
      <c r="S40" s="421">
        <v>4.9165002069915523569680095700</v>
      </c>
      <c r="T40" s="420">
        <v>95.53669297014889627111972725</v>
      </c>
      <c r="U40" s="91">
        <v>-11.489536594861584405243451420</v>
      </c>
      <c r="V40" s="421">
        <v>44.078940217976242418279502740</v>
      </c>
      <c r="W40" s="420">
        <v>21.811114624341557890201253140</v>
      </c>
      <c r="X40" s="91">
        <v>-15.629950856728494763438276110</v>
      </c>
      <c r="Y40" s="421">
        <v>20.293281367561092544580126450</v>
      </c>
      <c r="Z40" s="420">
        <v>0.4900800709275572727735974600</v>
      </c>
      <c r="AA40" s="91">
        <v>-0.200347729923438230305190600</v>
      </c>
      <c r="AB40" s="421">
        <v>7.939646771971763362172710340</v>
      </c>
    </row>
    <row r="41" ht="18" customHeight="1">
      <c r="A41" s="58"/>
      <c r="B41" s="1043" t="s">
        <v>47</v>
      </c>
      <c r="C41" s="1043"/>
      <c r="D41" s="439">
        <v>32.581578774417107393573429945</v>
      </c>
      <c r="E41" s="95">
        <v>67.297741816379921130585205098</v>
      </c>
      <c r="F41" s="440">
        <v>101.42496051940961662023156609</v>
      </c>
      <c r="G41" s="439">
        <v>3.8699216240151160736499407933</v>
      </c>
      <c r="H41" s="95">
        <v>11.70864653131007211057756158</v>
      </c>
      <c r="I41" s="440">
        <v>10.512326471381576099591262218</v>
      </c>
      <c r="J41" s="439">
        <v>1.5038508886668911024356288075</v>
      </c>
      <c r="K41" s="95">
        <v>5.2778601722522796322761195382</v>
      </c>
      <c r="L41" s="440">
        <v>0.2345050994752029214877578287</v>
      </c>
      <c r="M41" s="439">
        <v>37.976292170567858908731914822</v>
      </c>
      <c r="N41" s="95">
        <v>84.28424851994227287343888614</v>
      </c>
      <c r="O41" s="440">
        <v>112.17179209026639564131058602</v>
      </c>
      <c r="P41" s="93"/>
      <c r="Q41" s="420">
        <v>-14.548540912046176609204407270</v>
      </c>
      <c r="R41" s="91">
        <v>5.8117065963366357638185049900</v>
      </c>
      <c r="S41" s="421">
        <v>7.429298368550326094034019200</v>
      </c>
      <c r="T41" s="420">
        <v>-11.488239796271624497927095080</v>
      </c>
      <c r="U41" s="91">
        <v>-11.771928793216937514351284780</v>
      </c>
      <c r="V41" s="421">
        <v>16.183344416452740701336869260</v>
      </c>
      <c r="W41" s="420">
        <v>13.024515618326139371617726270</v>
      </c>
      <c r="X41" s="91">
        <v>-18.253626024221140322133667300</v>
      </c>
      <c r="Y41" s="421">
        <v>5.286880826056618283494685700</v>
      </c>
      <c r="Z41" s="420">
        <v>-15.221747395030874387074584770</v>
      </c>
      <c r="AA41" s="91">
        <v>1.1467408860788563281704003600</v>
      </c>
      <c r="AB41" s="421">
        <v>8.188640494549408644908499130</v>
      </c>
    </row>
    <row r="42" ht="18" customHeight="1">
      <c r="A42" s="58"/>
      <c r="B42" s="1043" t="s">
        <v>48</v>
      </c>
      <c r="C42" s="1043"/>
      <c r="D42" s="439">
        <v>34.27490383535799229612965407</v>
      </c>
      <c r="E42" s="95">
        <v>66.639145158576071116335578444</v>
      </c>
      <c r="F42" s="440">
        <v>99.609520913135624917472877</v>
      </c>
      <c r="G42" s="439">
        <v>3.0245859043271008364956728262</v>
      </c>
      <c r="H42" s="95">
        <v>16.434010137515124396318709135</v>
      </c>
      <c r="I42" s="440">
        <v>10.165067049498056778568618281</v>
      </c>
      <c r="J42" s="439">
        <v>1.4576810445727613313292167882</v>
      </c>
      <c r="K42" s="95">
        <v>5.1936275990734132844537874861</v>
      </c>
      <c r="L42" s="440">
        <v>0.2460973713579735400743860204</v>
      </c>
      <c r="M42" s="439">
        <v>38.783440153593960778934772101</v>
      </c>
      <c r="N42" s="95">
        <v>88.26678289516460879710807499</v>
      </c>
      <c r="O42" s="440">
        <v>110.0206853339916552361158812</v>
      </c>
      <c r="P42" s="5"/>
      <c r="Q42" s="420">
        <v>-6.5439352832430841216268095100</v>
      </c>
      <c r="R42" s="91">
        <v>2.5767768882233938133353747800</v>
      </c>
      <c r="S42" s="421">
        <v>8.068906867875479579061554780</v>
      </c>
      <c r="T42" s="420">
        <v>-34.319340664067589999398413380</v>
      </c>
      <c r="U42" s="91">
        <v>-9.962444106629533797219436830</v>
      </c>
      <c r="V42" s="421">
        <v>10.303103738286407203763039310</v>
      </c>
      <c r="W42" s="420">
        <v>24.173074255980185902002414430</v>
      </c>
      <c r="X42" s="91">
        <v>-18.216560460968903251229456870</v>
      </c>
      <c r="Y42" s="421">
        <v>27.085403562369224869486916100</v>
      </c>
      <c r="Z42" s="420">
        <v>-9.407734721454330430592396450</v>
      </c>
      <c r="AA42" s="91">
        <v>-1.4527666665552576806850864900</v>
      </c>
      <c r="AB42" s="421">
        <v>8.307847183077581645146208600</v>
      </c>
    </row>
    <row r="43" ht="18" customHeight="1">
      <c r="A43" s="58"/>
      <c r="B43" s="1043" t="s">
        <v>49</v>
      </c>
      <c r="C43" s="1043"/>
      <c r="D43" s="439">
        <v>32.012035291115936754290923524</v>
      </c>
      <c r="E43" s="95">
        <v>53.35190953238050919201105794</v>
      </c>
      <c r="F43" s="440">
        <v>80.74086683946416375995653909</v>
      </c>
      <c r="G43" s="439">
        <v>2.9934168514092747691564309685</v>
      </c>
      <c r="H43" s="95">
        <v>18.196390244518353548765914941</v>
      </c>
      <c r="I43" s="440">
        <v>9.4917310298401294366347121</v>
      </c>
      <c r="J43" s="439">
        <v>1.209464319629756013394661083</v>
      </c>
      <c r="K43" s="95">
        <v>5.3932169934851183294280026453</v>
      </c>
      <c r="L43" s="440">
        <v>0.2103873041607715061425693876</v>
      </c>
      <c r="M43" s="439">
        <v>36.239462707321216773501740717</v>
      </c>
      <c r="N43" s="95">
        <v>76.941516770383981070204975457</v>
      </c>
      <c r="O43" s="440">
        <v>90.44298517346506470273382049</v>
      </c>
      <c r="P43" s="93"/>
      <c r="Q43" s="420">
        <v>-6.3851148534853511844077204900</v>
      </c>
      <c r="R43" s="91">
        <v>0.8348094922389261910560499700</v>
      </c>
      <c r="S43" s="421">
        <v>7.535841361280366877972326400</v>
      </c>
      <c r="T43" s="420">
        <v>-50.181151371205355583066806030</v>
      </c>
      <c r="U43" s="91">
        <v>-0.6447749426084867674433413700</v>
      </c>
      <c r="V43" s="421">
        <v>-1.3576269964027570145618853100</v>
      </c>
      <c r="W43" s="420">
        <v>-1.3948824401384814245375519800</v>
      </c>
      <c r="X43" s="91">
        <v>-16.656530890842721444732407310</v>
      </c>
      <c r="Y43" s="421">
        <v>-1.3068851995068173781413298400</v>
      </c>
      <c r="Z43" s="420">
        <v>-14.410863124960631174216570050</v>
      </c>
      <c r="AA43" s="91">
        <v>-0.9707660029716880122700217900</v>
      </c>
      <c r="AB43" s="421">
        <v>6.5058954218305504983235352400</v>
      </c>
    </row>
    <row r="44" ht="18" customHeight="1">
      <c r="A44" s="58"/>
      <c r="B44" s="1044" t="s">
        <v>75</v>
      </c>
      <c r="C44" s="1044"/>
      <c r="D44" s="457">
        <v>29.222491053978544520846906634</v>
      </c>
      <c r="E44" s="458">
        <v>54.368578709126446301246943636</v>
      </c>
      <c r="F44" s="459">
        <v>82.87106854421856743104816492</v>
      </c>
      <c r="G44" s="457">
        <v>3.3236482210937852573745070891</v>
      </c>
      <c r="H44" s="458">
        <v>12.303929296406600329680399074</v>
      </c>
      <c r="I44" s="459">
        <v>9.019922620914258907438919897</v>
      </c>
      <c r="J44" s="457">
        <v>1.3746979040657986588115862199</v>
      </c>
      <c r="K44" s="458">
        <v>5.3159567089722104196819257058</v>
      </c>
      <c r="L44" s="459">
        <v>0.2319824255670523549017553001</v>
      </c>
      <c r="M44" s="457">
        <v>33.945339288718037309581892992</v>
      </c>
      <c r="N44" s="458">
        <v>71.988464714505257050609268351</v>
      </c>
      <c r="O44" s="459">
        <v>92.12297359069987869338884007</v>
      </c>
      <c r="P44" s="5"/>
      <c r="Q44" s="430">
        <v>-7.1616572210303678484103168500</v>
      </c>
      <c r="R44" s="431">
        <v>4.5653587010882319465960331300</v>
      </c>
      <c r="S44" s="432">
        <v>6.8948987038908970951696380400</v>
      </c>
      <c r="T44" s="430">
        <v>-8.882100006193647543244393390</v>
      </c>
      <c r="U44" s="431">
        <v>-10.479901570263452330174412120</v>
      </c>
      <c r="V44" s="432">
        <v>16.593042621925336467791290480</v>
      </c>
      <c r="W44" s="430">
        <v>12.965706431727681553067211330</v>
      </c>
      <c r="X44" s="431">
        <v>-17.902833441772714138207092080</v>
      </c>
      <c r="Y44" s="432">
        <v>11.921113142384537820444573880</v>
      </c>
      <c r="Z44" s="430">
        <v>-7.7483066309975133524898132800</v>
      </c>
      <c r="AA44" s="431">
        <v>-0.3127984030098922432175372200</v>
      </c>
      <c r="AB44" s="432">
        <v>7.7849146719755537730485881500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53.675901596957239856804566776</v>
      </c>
      <c r="E46" s="494">
        <v>59.804999709680474926473094679</v>
      </c>
      <c r="F46" s="495">
        <v>80.12610734558476023269724966</v>
      </c>
      <c r="G46" s="493">
        <v>3.737035635241641520467276178</v>
      </c>
      <c r="H46" s="494">
        <v>22.296668958443170974340849963</v>
      </c>
      <c r="I46" s="495">
        <v>12.636865154641162493938997635</v>
      </c>
      <c r="J46" s="493">
        <v>1.3730402353709661151856805723</v>
      </c>
      <c r="K46" s="494">
        <v>5.0542224392334972985553923682</v>
      </c>
      <c r="L46" s="495">
        <v>0.2287013426713791435051021854</v>
      </c>
      <c r="M46" s="493">
        <v>58.825822237521602027740049975</v>
      </c>
      <c r="N46" s="494">
        <v>87.15589110735714319936933694</v>
      </c>
      <c r="O46" s="495">
        <v>92.9916738428973018701413494</v>
      </c>
      <c r="P46" s="93"/>
      <c r="Q46" s="479">
        <v>4.4651713837680040393067486300</v>
      </c>
      <c r="R46" s="480">
        <v>-7.1341743313365928337654237200</v>
      </c>
      <c r="S46" s="481">
        <v>-2.3085129086468322565166562400</v>
      </c>
      <c r="T46" s="479">
        <v>-57.226234749519771427410140430</v>
      </c>
      <c r="U46" s="480">
        <v>-3.7035239552004518832067561900</v>
      </c>
      <c r="V46" s="481">
        <v>0.3762424418475842001891935300</v>
      </c>
      <c r="W46" s="479">
        <v>15.999861957194339634087283860</v>
      </c>
      <c r="X46" s="480">
        <v>-19.631525271914410028016104270</v>
      </c>
      <c r="Y46" s="481">
        <v>9.944703211371098587927934880</v>
      </c>
      <c r="Z46" s="479">
        <v>-6.1030232002784003256721175500</v>
      </c>
      <c r="AA46" s="480">
        <v>-7.125218489383560436730650200</v>
      </c>
      <c r="AB46" s="481">
        <v>-1.9251580905358544035513324800</v>
      </c>
    </row>
    <row r="47" ht="18" customHeight="1">
      <c r="A47" s="58"/>
      <c r="B47" s="1046" t="s">
        <v>51</v>
      </c>
      <c r="C47" s="1046"/>
      <c r="D47" s="276">
        <v>54.760227831667528407203007153</v>
      </c>
      <c r="E47" s="94">
        <v>61.104830193003430978735227071</v>
      </c>
      <c r="F47" s="277">
        <v>82.43856506360873259093840765</v>
      </c>
      <c r="G47" s="276">
        <v>3.3746518528178726062443572234</v>
      </c>
      <c r="H47" s="94">
        <v>20.108741595330222755304346121</v>
      </c>
      <c r="I47" s="277">
        <v>11.637401822321168105085229602</v>
      </c>
      <c r="J47" s="276">
        <v>1.240249053246847334218231706</v>
      </c>
      <c r="K47" s="94">
        <v>4.7240543024303161583605734833</v>
      </c>
      <c r="L47" s="277">
        <v>0.2111944399479548128702306165</v>
      </c>
      <c r="M47" s="276">
        <v>59.415372830751129817358159353</v>
      </c>
      <c r="N47" s="94">
        <v>85.93762609076396989240014661</v>
      </c>
      <c r="O47" s="277">
        <v>94.28716132587785550889386779</v>
      </c>
      <c r="P47" s="5"/>
      <c r="Q47" s="271">
        <v>16.852949081126603716884108520</v>
      </c>
      <c r="R47" s="92">
        <v>-3.5304963302882240602126604400</v>
      </c>
      <c r="S47" s="272">
        <v>-1.7533644582015323558224551400</v>
      </c>
      <c r="T47" s="271">
        <v>-58.653318130903670635003665230</v>
      </c>
      <c r="U47" s="92">
        <v>-2.5557351746219710268044083700</v>
      </c>
      <c r="V47" s="272">
        <v>13.638991108768338338988902320</v>
      </c>
      <c r="W47" s="271">
        <v>-7.0498633272664822710293972300</v>
      </c>
      <c r="X47" s="92">
        <v>-16.750121880093732364053878530</v>
      </c>
      <c r="Y47" s="272">
        <v>-12.252301727506863098615317660</v>
      </c>
      <c r="Z47" s="271">
        <v>2.6048396120384742988933045100</v>
      </c>
      <c r="AA47" s="92">
        <v>-4.1428666106042071834317370100</v>
      </c>
      <c r="AB47" s="272">
        <v>-0.1101894159968001117806902500</v>
      </c>
    </row>
    <row r="48" ht="18" customHeight="1">
      <c r="A48" s="58"/>
      <c r="B48" s="1047" t="s">
        <v>76</v>
      </c>
      <c r="C48" s="1047"/>
      <c r="D48" s="443">
        <v>54.218064714312384132003786967</v>
      </c>
      <c r="E48" s="444">
        <v>60.454914951341952952604160881</v>
      </c>
      <c r="F48" s="445">
        <v>81.28233620459674641181782866</v>
      </c>
      <c r="G48" s="443">
        <v>3.5558437440297570633558167009</v>
      </c>
      <c r="H48" s="444">
        <v>21.202705276886696864822598042</v>
      </c>
      <c r="I48" s="445">
        <v>12.137133488481165299512113619</v>
      </c>
      <c r="J48" s="443">
        <v>1.3066446443089067247019561391</v>
      </c>
      <c r="K48" s="444">
        <v>4.8891383708319067284579829261</v>
      </c>
      <c r="L48" s="445">
        <v>0.2199478913096669781876664009</v>
      </c>
      <c r="M48" s="443">
        <v>59.120597534136365922549104666</v>
      </c>
      <c r="N48" s="444">
        <v>86.54675859906055654588474177</v>
      </c>
      <c r="O48" s="445">
        <v>93.63941758438757868951760859</v>
      </c>
      <c r="P48" s="93"/>
      <c r="Q48" s="273">
        <v>10.387761976747200768072962500</v>
      </c>
      <c r="R48" s="274">
        <v>-5.3472628338353029947317715300</v>
      </c>
      <c r="S48" s="275">
        <v>-2.0277765516380874865188250100</v>
      </c>
      <c r="T48" s="273">
        <v>-57.911662416110229197886471460</v>
      </c>
      <c r="U48" s="274">
        <v>-3.1626297859245314722540557600</v>
      </c>
      <c r="V48" s="275">
        <v>6.3253656186148278604147142400</v>
      </c>
      <c r="W48" s="273">
        <v>3.7687779008889647117327644100</v>
      </c>
      <c r="X48" s="274">
        <v>-18.264797061443291527197819840</v>
      </c>
      <c r="Y48" s="275">
        <v>-1.9618592149507717125548939500</v>
      </c>
      <c r="Z48" s="273">
        <v>-1.92036285302451484892027400</v>
      </c>
      <c r="AA48" s="274">
        <v>-5.6680975840749697408411169100</v>
      </c>
      <c r="AB48" s="275">
        <v>-1.0197163752158747138696492300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36.469159872385678837291740518</v>
      </c>
      <c r="E50" s="483">
        <v>56.165537954387795680577468125</v>
      </c>
      <c r="F50" s="484">
        <v>82.35192615815240892559067167</v>
      </c>
      <c r="G50" s="482">
        <v>3.3512347867186576863996218835</v>
      </c>
      <c r="H50" s="483">
        <v>14.811143905038574033685023079</v>
      </c>
      <c r="I50" s="484">
        <v>9.97958181427179545346233195</v>
      </c>
      <c r="J50" s="482">
        <v>1.3651778329197684036393713813</v>
      </c>
      <c r="K50" s="483">
        <v>5.1712953935232589259738838393</v>
      </c>
      <c r="L50" s="484">
        <v>0.2247353307578743132297702989</v>
      </c>
      <c r="M50" s="482">
        <v>41.185597896726928984993501123</v>
      </c>
      <c r="N50" s="483">
        <v>76.147977252949628640236375043</v>
      </c>
      <c r="O50" s="484">
        <v>92.55624330318207869228277392</v>
      </c>
      <c r="P50" s="93"/>
      <c r="Q50" s="468">
        <v>-1.5554279700655955180552050200</v>
      </c>
      <c r="R50" s="469">
        <v>1.3837358726990619089944822700</v>
      </c>
      <c r="S50" s="470">
        <v>4.2677848608785281402998087600</v>
      </c>
      <c r="T50" s="468">
        <v>-35.787221517584660549573224410</v>
      </c>
      <c r="U50" s="469">
        <v>-7.956185631355539453039060240</v>
      </c>
      <c r="V50" s="470">
        <v>12.286685007113700063061121590</v>
      </c>
      <c r="W50" s="468">
        <v>9.991431836893359931736483330</v>
      </c>
      <c r="X50" s="469">
        <v>-17.977906986742729762675022890</v>
      </c>
      <c r="Y50" s="470">
        <v>6.7881139817907416145649874500</v>
      </c>
      <c r="Z50" s="468">
        <v>-5.3324388243002800009248900900</v>
      </c>
      <c r="AA50" s="469">
        <v>-2.1172926814600620645008885900</v>
      </c>
      <c r="AB50" s="470">
        <v>5.0829500106706371642552719200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6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157</v>
      </c>
      <c r="Y1" s="5"/>
      <c r="AB1" s="685"/>
      <c r="AD1" s="236"/>
    </row>
    <row r="2" ht="15" customHeight="1">
      <c r="A2" s="11"/>
      <c r="B2" s="11" t="s">
        <v>170</v>
      </c>
    </row>
    <row r="3" ht="17.1" customHeight="1">
      <c r="A3" s="11"/>
      <c r="B3" s="11" t="s">
        <v>171</v>
      </c>
      <c r="R3" s="1040" t="s">
        <v>265</v>
      </c>
      <c r="S3" s="1040"/>
      <c r="T3" s="1040"/>
      <c r="U3" s="1040"/>
      <c r="V3" s="1040"/>
      <c r="W3" s="1040"/>
      <c r="X3" s="1040"/>
      <c r="Y3" s="1040"/>
      <c r="Z3" s="1040"/>
      <c r="AA3" s="1040"/>
      <c r="AB3" s="1040"/>
    </row>
    <row r="4" ht="19.5" customHeight="1">
      <c r="A4" s="4"/>
      <c r="B4" s="211" t="s">
        <v>172</v>
      </c>
      <c r="C4" s="5"/>
      <c r="D4" s="5"/>
      <c r="E4" s="5"/>
      <c r="F4" s="5"/>
      <c r="G4" s="5"/>
      <c r="H4" s="212"/>
      <c r="I4" s="212"/>
      <c r="J4" s="212"/>
      <c r="K4" s="212"/>
      <c r="L4" s="212"/>
      <c r="M4" s="212"/>
      <c r="N4" s="212"/>
      <c r="O4" s="212"/>
      <c r="P4" s="212"/>
      <c r="Q4" s="212"/>
      <c r="R4" s="212"/>
      <c r="S4" s="212"/>
      <c r="T4" s="212"/>
      <c r="U4" s="4"/>
      <c r="V4" s="4"/>
    </row>
    <row r="5" ht="12.75" customHeight="1"/>
    <row r="6" ht="15.75">
      <c r="D6" s="978" t="s">
        <v>45</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19.478072035043425934489356420</v>
      </c>
      <c r="E11" s="428">
        <v>22.646621334466638334041648980</v>
      </c>
      <c r="F11" s="429">
        <v>41.485006137738961606408703700</v>
      </c>
      <c r="G11" s="427">
        <v>2.6542008030584925897855668100</v>
      </c>
      <c r="H11" s="428">
        <v>3.7859470179912168862445105600</v>
      </c>
      <c r="I11" s="429">
        <v>3.6526523955420247467117959800</v>
      </c>
      <c r="J11" s="427">
        <v>1.0031625082425798764543874600</v>
      </c>
      <c r="K11" s="428">
        <v>3.93823487746139679841337300</v>
      </c>
      <c r="L11" s="429">
        <v>0.1783060753028411218782499100</v>
      </c>
      <c r="M11" s="427">
        <v>23.152503397094177903208947420</v>
      </c>
      <c r="N11" s="428">
        <v>30.372574018982858761864286730</v>
      </c>
      <c r="O11" s="429">
        <v>45.319779384128593530116164220</v>
      </c>
      <c r="P11" s="5"/>
      <c r="Q11" s="427">
        <v>-9.625767626046715792822909890</v>
      </c>
      <c r="R11" s="428">
        <v>5.9923302687941508750785877400</v>
      </c>
      <c r="S11" s="429">
        <v>6.3852348217140141164965599900</v>
      </c>
      <c r="T11" s="427">
        <v>-36.992602499340752370683205580</v>
      </c>
      <c r="U11" s="428">
        <v>-43.043912550384718803624647300</v>
      </c>
      <c r="V11" s="429">
        <v>-11.521963412668936413286387750</v>
      </c>
      <c r="W11" s="427">
        <v>-9.237895381571713887505533970</v>
      </c>
      <c r="X11" s="428">
        <v>-23.230219812186399669454667650</v>
      </c>
      <c r="Y11" s="429">
        <v>-83.39975251613044765558630382</v>
      </c>
      <c r="Z11" s="427">
        <v>-13.677239603306646742320195180</v>
      </c>
      <c r="AA11" s="428">
        <v>-8.328191239619981473385456500</v>
      </c>
      <c r="AB11" s="429">
        <v>2.5393327405055448760039891400</v>
      </c>
    </row>
    <row r="12" ht="18" customHeight="1">
      <c r="A12" s="58"/>
      <c r="B12" s="1043" t="s">
        <v>46</v>
      </c>
      <c r="C12" s="1043"/>
      <c r="D12" s="420">
        <v>24.284764138826638465588150020</v>
      </c>
      <c r="E12" s="91">
        <v>34.386184370547969005177386320</v>
      </c>
      <c r="F12" s="421">
        <v>58.366414011953872753024277310</v>
      </c>
      <c r="G12" s="420">
        <v>2.8044077792767517102231348700</v>
      </c>
      <c r="H12" s="91">
        <v>5.8688627123944542895861565800</v>
      </c>
      <c r="I12" s="421">
        <v>6.3379490767858350011401391900</v>
      </c>
      <c r="J12" s="420">
        <v>1.3368682245297776969880893800</v>
      </c>
      <c r="K12" s="91">
        <v>3.9021508739011084471315890100</v>
      </c>
      <c r="L12" s="421">
        <v>0.2323886077403546590865887900</v>
      </c>
      <c r="M12" s="420">
        <v>28.433541122059119243917152620</v>
      </c>
      <c r="N12" s="91">
        <v>44.157197956843531741895131870</v>
      </c>
      <c r="O12" s="421">
        <v>64.941000926148252323946077590</v>
      </c>
      <c r="P12" s="5"/>
      <c r="Q12" s="420">
        <v>-17.648678416915415143996490290</v>
      </c>
      <c r="R12" s="91">
        <v>4.7660819268035753675218046500</v>
      </c>
      <c r="S12" s="421">
        <v>2.9053142907140689882662433600</v>
      </c>
      <c r="T12" s="420">
        <v>-44.274062167798098134768550820</v>
      </c>
      <c r="U12" s="91">
        <v>-34.324001602142255105524863500</v>
      </c>
      <c r="V12" s="421">
        <v>16.524377881731620245565423980</v>
      </c>
      <c r="W12" s="420">
        <v>12.670945125693036879761390390</v>
      </c>
      <c r="X12" s="91">
        <v>-25.54954306813414442705905200</v>
      </c>
      <c r="Y12" s="421">
        <v>-78.671749942072224998475410580</v>
      </c>
      <c r="Z12" s="420">
        <v>-21.223371603304323772420009400</v>
      </c>
      <c r="AA12" s="91">
        <v>-6.0404224509372680740244384800</v>
      </c>
      <c r="AB12" s="421">
        <v>2.6751801063594592090055532700</v>
      </c>
    </row>
    <row r="13" ht="18" customHeight="1">
      <c r="A13" s="58"/>
      <c r="B13" s="1043" t="s">
        <v>47</v>
      </c>
      <c r="C13" s="1043"/>
      <c r="D13" s="420">
        <v>31.926255693612083270441197830</v>
      </c>
      <c r="E13" s="91">
        <v>42.394460971809038107380648850</v>
      </c>
      <c r="F13" s="421">
        <v>66.467085766688985849174090830</v>
      </c>
      <c r="G13" s="420">
        <v>3.2545147013875953868598146200</v>
      </c>
      <c r="H13" s="91">
        <v>9.029253435330783397081739630</v>
      </c>
      <c r="I13" s="421">
        <v>7.2205220003763260188050123500</v>
      </c>
      <c r="J13" s="420">
        <v>1.2377826405277411963138967100</v>
      </c>
      <c r="K13" s="91">
        <v>3.816050432072531520045332200</v>
      </c>
      <c r="L13" s="421">
        <v>0.2054016063537630570656310300</v>
      </c>
      <c r="M13" s="420">
        <v>36.435432230522945570971184630</v>
      </c>
      <c r="N13" s="91">
        <v>55.236223261085139538178212210</v>
      </c>
      <c r="O13" s="421">
        <v>73.894079907697955544678210250</v>
      </c>
      <c r="P13" s="184"/>
      <c r="Q13" s="420">
        <v>-11.252333038772807888684721030</v>
      </c>
      <c r="R13" s="91">
        <v>4.4098824662111647988336763700</v>
      </c>
      <c r="S13" s="421">
        <v>3.0672555095801178189326297200</v>
      </c>
      <c r="T13" s="420">
        <v>-50.129136875556346117192248670</v>
      </c>
      <c r="U13" s="91">
        <v>-18.762383369858225600519054490</v>
      </c>
      <c r="V13" s="421">
        <v>0.5001238976147911911119019500</v>
      </c>
      <c r="W13" s="420">
        <v>0.0092897496684802346820680400</v>
      </c>
      <c r="X13" s="91">
        <v>-24.053575277566023936297565630</v>
      </c>
      <c r="Y13" s="421">
        <v>-79.87242693700218782111234790</v>
      </c>
      <c r="Z13" s="420">
        <v>-17.585710820043349442043947010</v>
      </c>
      <c r="AA13" s="91">
        <v>-2.6617533647015566241899644500</v>
      </c>
      <c r="AB13" s="421">
        <v>1.6508047867125642171300993100</v>
      </c>
    </row>
    <row r="14" ht="18" customHeight="1">
      <c r="A14" s="58"/>
      <c r="B14" s="1043" t="s">
        <v>48</v>
      </c>
      <c r="C14" s="1043"/>
      <c r="D14" s="420">
        <v>33.220476267871676966029863520</v>
      </c>
      <c r="E14" s="91">
        <v>42.052698682532936676583085460</v>
      </c>
      <c r="F14" s="421">
        <v>65.761752024319058800228388910</v>
      </c>
      <c r="G14" s="420">
        <v>4.6153795370615173308778754500</v>
      </c>
      <c r="H14" s="91">
        <v>11.809392265193370165745856360</v>
      </c>
      <c r="I14" s="421">
        <v>7.314238866346040496805081200</v>
      </c>
      <c r="J14" s="420">
        <v>1.4666650528884377295900804200</v>
      </c>
      <c r="K14" s="91">
        <v>3.7487604476554752797846720500</v>
      </c>
      <c r="L14" s="421">
        <v>0.2524862676032018279475237100</v>
      </c>
      <c r="M14" s="420">
        <v>39.320886335658596635207221990</v>
      </c>
      <c r="N14" s="91">
        <v>57.600226661000141663125088540</v>
      </c>
      <c r="O14" s="421">
        <v>73.331061777579744712080308230</v>
      </c>
      <c r="P14" s="5"/>
      <c r="Q14" s="420">
        <v>-9.793573791297059342452659370</v>
      </c>
      <c r="R14" s="91">
        <v>4.2611610580498634635877428400</v>
      </c>
      <c r="S14" s="421">
        <v>1.3031837261620275941082950600</v>
      </c>
      <c r="T14" s="420">
        <v>-37.918170160798047392906096200</v>
      </c>
      <c r="U14" s="91">
        <v>-13.428213656018724400374696930</v>
      </c>
      <c r="V14" s="421">
        <v>0.5319820841383617684194932500</v>
      </c>
      <c r="W14" s="420">
        <v>19.038108976952418983520545180</v>
      </c>
      <c r="X14" s="91">
        <v>-24.647230000757017098677482210</v>
      </c>
      <c r="Y14" s="421">
        <v>-75.489571482459461059732144160</v>
      </c>
      <c r="Z14" s="420">
        <v>-13.917697456207761993649571450</v>
      </c>
      <c r="AA14" s="91">
        <v>-2.2779250442306782046066149800</v>
      </c>
      <c r="AB14" s="421">
        <v>0.1522363358568604579572588500</v>
      </c>
    </row>
    <row r="15" ht="18" customHeight="1">
      <c r="A15" s="58"/>
      <c r="B15" s="1043" t="s">
        <v>49</v>
      </c>
      <c r="C15" s="1043"/>
      <c r="D15" s="420">
        <v>30.246120566209810241686343780</v>
      </c>
      <c r="E15" s="91">
        <v>36.193157671058223544411389750</v>
      </c>
      <c r="F15" s="421">
        <v>58.334811675202038940775451110</v>
      </c>
      <c r="G15" s="420">
        <v>4.8102511175152258404038301900</v>
      </c>
      <c r="H15" s="91">
        <v>11.979388015299617509562260950</v>
      </c>
      <c r="I15" s="421">
        <v>6.8844006529869564160086048500</v>
      </c>
      <c r="J15" s="420">
        <v>1.1692294827222510571557284500</v>
      </c>
      <c r="K15" s="91">
        <v>3.9187561977617226236010766400</v>
      </c>
      <c r="L15" s="421">
        <v>0.2044352478171253555007631400</v>
      </c>
      <c r="M15" s="420">
        <v>36.263848994665572425112843660</v>
      </c>
      <c r="N15" s="91">
        <v>52.082447938801529961750956230</v>
      </c>
      <c r="O15" s="421">
        <v>65.429542456250709861172996440</v>
      </c>
      <c r="P15" s="184"/>
      <c r="Q15" s="420">
        <v>-9.294545320121591434202185210</v>
      </c>
      <c r="R15" s="91">
        <v>5.9236243363965197255667969500</v>
      </c>
      <c r="S15" s="421">
        <v>3.2124511614851259717899367500</v>
      </c>
      <c r="T15" s="420">
        <v>-17.059620916318611044124562280</v>
      </c>
      <c r="U15" s="91">
        <v>-4.3742784196389052528650489100</v>
      </c>
      <c r="V15" s="421">
        <v>1.0724716927305546068229917800</v>
      </c>
      <c r="W15" s="420">
        <v>-6.3039563901864956464681430900</v>
      </c>
      <c r="X15" s="91">
        <v>-21.590385110458090391839679800</v>
      </c>
      <c r="Y15" s="421">
        <v>-80.59566040391529106638050083</v>
      </c>
      <c r="Z15" s="420">
        <v>-11.181578253553290113892399010</v>
      </c>
      <c r="AA15" s="91">
        <v>0.761832238050528379282547300</v>
      </c>
      <c r="AB15" s="421">
        <v>1.6198218548571729166305913500</v>
      </c>
    </row>
    <row r="16" ht="18" customHeight="1">
      <c r="A16" s="58"/>
      <c r="B16" s="1044" t="s">
        <v>75</v>
      </c>
      <c r="C16" s="1044"/>
      <c r="D16" s="430">
        <v>27.815676726833119969965599730</v>
      </c>
      <c r="E16" s="431">
        <v>35.530224451923823232643960410</v>
      </c>
      <c r="F16" s="432">
        <v>58.084815215535730202491849970</v>
      </c>
      <c r="G16" s="430">
        <v>3.6309170883392118712651975300</v>
      </c>
      <c r="H16" s="431">
        <v>8.484508513085384870486794660</v>
      </c>
      <c r="I16" s="432">
        <v>6.282314606424098895123161200</v>
      </c>
      <c r="J16" s="430">
        <v>1.2440592414229968961307051300</v>
      </c>
      <c r="K16" s="431">
        <v>3.8649337087134762882524360900</v>
      </c>
      <c r="L16" s="432">
        <v>0.2146743316720038227887608500</v>
      </c>
      <c r="M16" s="430">
        <v>32.710473552574464126997250870</v>
      </c>
      <c r="N16" s="431">
        <v>47.875433063087854476690445450</v>
      </c>
      <c r="O16" s="432">
        <v>64.585335617678603763598122380</v>
      </c>
      <c r="P16" s="5"/>
      <c r="Q16" s="430">
        <v>-11.565731865143146579259905550</v>
      </c>
      <c r="R16" s="431">
        <v>5.0848440035399150633537506700</v>
      </c>
      <c r="S16" s="432">
        <v>3.2418753185953708955889676700</v>
      </c>
      <c r="T16" s="430">
        <v>-37.401878959342767879219200620</v>
      </c>
      <c r="U16" s="431">
        <v>-19.638519402535799418318840600</v>
      </c>
      <c r="V16" s="432">
        <v>1.9877897777568514827785885400</v>
      </c>
      <c r="W16" s="430">
        <v>3.4873353686296105153279834600</v>
      </c>
      <c r="X16" s="431">
        <v>-23.827878760091019148859673800</v>
      </c>
      <c r="Y16" s="432">
        <v>-79.62570273479822030453698011</v>
      </c>
      <c r="Z16" s="629">
        <v>-15.434942534764515844080263020</v>
      </c>
      <c r="AA16" s="214">
        <v>-3.1607288328818992407908445800</v>
      </c>
      <c r="AB16" s="630">
        <v>1.7494547693942010063234574100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41.405082646927434366119962650</v>
      </c>
      <c r="E18" s="480">
        <v>42.396231760872644850545403070</v>
      </c>
      <c r="F18" s="481">
        <v>58.123365109718039085856216450</v>
      </c>
      <c r="G18" s="479">
        <v>7.3025560675284451990778829300</v>
      </c>
      <c r="H18" s="480">
        <v>15.225244368890777730556736090</v>
      </c>
      <c r="I18" s="481">
        <v>9.020107227880189477718130840</v>
      </c>
      <c r="J18" s="479">
        <v>1.2307678765497379549007667900</v>
      </c>
      <c r="K18" s="480">
        <v>3.7168862445105539028190961900</v>
      </c>
      <c r="L18" s="481">
        <v>0.2088756542450697883126279700</v>
      </c>
      <c r="M18" s="479">
        <v>49.948707427164546573656134590</v>
      </c>
      <c r="N18" s="480">
        <v>61.338362374273976483921235300</v>
      </c>
      <c r="O18" s="481">
        <v>67.351576224228493519432961310</v>
      </c>
      <c r="P18" s="184"/>
      <c r="Q18" s="479">
        <v>-8.772005381768114966544019090</v>
      </c>
      <c r="R18" s="480">
        <v>4.0321237690509867938979137300</v>
      </c>
      <c r="S18" s="481">
        <v>2.7302131879354261887759560600</v>
      </c>
      <c r="T18" s="479">
        <v>-3.3962543014836599001975525300</v>
      </c>
      <c r="U18" s="480">
        <v>-8.900524445367104500411608780</v>
      </c>
      <c r="V18" s="481">
        <v>-5.2624781409635938360176467400</v>
      </c>
      <c r="W18" s="479">
        <v>9.530293898247997671163454310</v>
      </c>
      <c r="X18" s="480">
        <v>-22.551521985159770998277174720</v>
      </c>
      <c r="Y18" s="481">
        <v>-79.010408166006262804638110850</v>
      </c>
      <c r="Z18" s="479">
        <v>-8.727772863191926218175884250</v>
      </c>
      <c r="AA18" s="480">
        <v>-1.4681595308344111580260846300</v>
      </c>
      <c r="AB18" s="481">
        <v>0.3839226689102714340996520900</v>
      </c>
    </row>
    <row r="19" ht="18" customHeight="1">
      <c r="A19" s="58"/>
      <c r="B19" s="1046" t="s">
        <v>51</v>
      </c>
      <c r="C19" s="1046"/>
      <c r="D19" s="271">
        <v>42.830722103930880830546684180</v>
      </c>
      <c r="E19" s="92">
        <v>43.727865136704915710440572360</v>
      </c>
      <c r="F19" s="272">
        <v>58.788880733478906337793377600</v>
      </c>
      <c r="G19" s="271">
        <v>5.4051222578475991852725341400</v>
      </c>
      <c r="H19" s="92">
        <v>11.536690749397931718373707330</v>
      </c>
      <c r="I19" s="272">
        <v>7.8166055271700649855403979400</v>
      </c>
      <c r="J19" s="271">
        <v>1.1384602858085076082832092800</v>
      </c>
      <c r="K19" s="92">
        <v>3.6673041507295650942059781900</v>
      </c>
      <c r="L19" s="272">
        <v>0.1949343583716086436787641200</v>
      </c>
      <c r="M19" s="271">
        <v>49.405006155108740254411161260</v>
      </c>
      <c r="N19" s="92">
        <v>58.931860036832412523020257830</v>
      </c>
      <c r="O19" s="272">
        <v>66.799832159029319719565711490</v>
      </c>
      <c r="P19" s="5"/>
      <c r="Q19" s="271">
        <v>-7.987362959850093900748692650</v>
      </c>
      <c r="R19" s="92">
        <v>2.4460630473668864755456299600</v>
      </c>
      <c r="S19" s="272">
        <v>1.5393210201452611763701079300</v>
      </c>
      <c r="T19" s="271">
        <v>-16.406420671552401809593873410</v>
      </c>
      <c r="U19" s="92">
        <v>-11.822562981590797821616472240</v>
      </c>
      <c r="V19" s="272">
        <v>-7.4827093114465220101122787100</v>
      </c>
      <c r="W19" s="271">
        <v>-6.3426137429694530691689313900</v>
      </c>
      <c r="X19" s="92">
        <v>-15.244220838490230474671603710</v>
      </c>
      <c r="Y19" s="272">
        <v>-82.02395818225546545478915159</v>
      </c>
      <c r="Z19" s="271">
        <v>-10.240591471196002786196173480</v>
      </c>
      <c r="AA19" s="92">
        <v>-1.9254403364389876650102517300</v>
      </c>
      <c r="AB19" s="272">
        <v>-0.9319265056207243670082134100</v>
      </c>
    </row>
    <row r="20" ht="18" customHeight="1">
      <c r="A20" s="58"/>
      <c r="B20" s="1047" t="s">
        <v>76</v>
      </c>
      <c r="C20" s="1047"/>
      <c r="D20" s="273">
        <v>42.117902375429157598333323390</v>
      </c>
      <c r="E20" s="274">
        <v>43.062048448788780280492987700</v>
      </c>
      <c r="F20" s="275">
        <v>58.456087060374722660929437020</v>
      </c>
      <c r="G20" s="273">
        <v>6.3538391626880221921752085300</v>
      </c>
      <c r="H20" s="274">
        <v>13.380967559144354724465221710</v>
      </c>
      <c r="I20" s="275">
        <v>8.418421228059407461310893060</v>
      </c>
      <c r="J20" s="273">
        <v>1.1846140811791227815919880300</v>
      </c>
      <c r="K20" s="274">
        <v>3.6920951976200594985125371900</v>
      </c>
      <c r="L20" s="275">
        <v>0.2019057575332734385674937800</v>
      </c>
      <c r="M20" s="273">
        <v>49.676856791136643414033647930</v>
      </c>
      <c r="N20" s="274">
        <v>60.135111205553194503470746560</v>
      </c>
      <c r="O20" s="275">
        <v>67.075734333276518379637520600</v>
      </c>
      <c r="P20" s="184"/>
      <c r="Q20" s="273">
        <v>-8.374751053657680243674264710</v>
      </c>
      <c r="R20" s="274">
        <v>3.1979389523288127013930409700</v>
      </c>
      <c r="S20" s="275">
        <v>2.1166085159965739368209384600</v>
      </c>
      <c r="T20" s="273">
        <v>-9.394069800302951573937023150</v>
      </c>
      <c r="U20" s="274">
        <v>-10.079001568405260847908204080</v>
      </c>
      <c r="V20" s="275">
        <v>-6.2522061927516965007211749700</v>
      </c>
      <c r="W20" s="273">
        <v>1.282019374531700924351009700</v>
      </c>
      <c r="X20" s="274">
        <v>-19.046941471930407730511251920</v>
      </c>
      <c r="Y20" s="275">
        <v>-80.58975182556225504418613724</v>
      </c>
      <c r="Z20" s="273">
        <v>-9.488850346917104945641144770</v>
      </c>
      <c r="AA20" s="274">
        <v>-1.6761538548397403918421863900</v>
      </c>
      <c r="AB20" s="275">
        <v>-0.2779576166395391102746072700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31.991456768301664457210192960</v>
      </c>
      <c r="E22" s="469">
        <v>37.661468979571784559966705140</v>
      </c>
      <c r="F22" s="470">
        <v>58.131183258867291322921407300</v>
      </c>
      <c r="G22" s="468">
        <v>4.3599941081160701134187656500</v>
      </c>
      <c r="H22" s="469">
        <v>9.941849519828430915433160420</v>
      </c>
      <c r="I22" s="470">
        <v>6.9522093363245281533964778500</v>
      </c>
      <c r="J22" s="468">
        <v>1.2240388864339372514361467100</v>
      </c>
      <c r="K22" s="469">
        <v>3.7652831303079002691951040300</v>
      </c>
      <c r="L22" s="470">
        <v>0.2083609139929440505715465800</v>
      </c>
      <c r="M22" s="468">
        <v>37.575489762851671822065105320</v>
      </c>
      <c r="N22" s="469">
        <v>51.368601629708115744594969600</v>
      </c>
      <c r="O22" s="470">
        <v>65.291753509184763526889431730</v>
      </c>
      <c r="P22" s="184"/>
      <c r="Q22" s="468">
        <v>-10.875331029704806046333852390</v>
      </c>
      <c r="R22" s="469">
        <v>4.4831735282693344018316817300</v>
      </c>
      <c r="S22" s="470">
        <v>2.9706369131682096797246190300</v>
      </c>
      <c r="T22" s="468">
        <v>-30.145691008812477270083841910</v>
      </c>
      <c r="U22" s="469">
        <v>-16.370938295299731434262864640</v>
      </c>
      <c r="V22" s="470">
        <v>-1.6458401192806152786470003700</v>
      </c>
      <c r="W22" s="468">
        <v>2.6202847722667309908082804700</v>
      </c>
      <c r="X22" s="469">
        <v>-22.710602762972720797763219030</v>
      </c>
      <c r="Y22" s="470">
        <v>-79.93267483614651102666504287</v>
      </c>
      <c r="Z22" s="468">
        <v>-13.279688066707958758945749030</v>
      </c>
      <c r="AA22" s="469">
        <v>-2.7205392974017316838129036400</v>
      </c>
      <c r="AB22" s="470">
        <v>1.1318939998923601117725276400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101.23353083555941833522027144</v>
      </c>
      <c r="E25" s="455">
        <v>123.36285302326827301948478244</v>
      </c>
      <c r="F25" s="456">
        <v>114.12241426035391022472532885</v>
      </c>
      <c r="G25" s="454">
        <v>118.98102914749923796960344638</v>
      </c>
      <c r="H25" s="455">
        <v>143.16489349750493355084536535</v>
      </c>
      <c r="I25" s="456">
        <v>119.16337471912637665182271656</v>
      </c>
      <c r="J25" s="454">
        <v>93.68764580868313718594079079</v>
      </c>
      <c r="K25" s="455">
        <v>127.36090158151689390478239406</v>
      </c>
      <c r="L25" s="456">
        <v>91.21346807302251513655610587</v>
      </c>
      <c r="M25" s="454">
        <v>102.89593538536394735484432383</v>
      </c>
      <c r="N25" s="455">
        <v>126.34239241660080828020839075</v>
      </c>
      <c r="O25" s="456">
        <v>114.43197435779481498412626785</v>
      </c>
      <c r="P25" s="5"/>
      <c r="Q25" s="427">
        <v>-3.6941631161046260928319299600</v>
      </c>
      <c r="R25" s="428">
        <v>-3.0303463647120840590158366600</v>
      </c>
      <c r="S25" s="429">
        <v>0.7011259437861881435153989800</v>
      </c>
      <c r="T25" s="427">
        <v>16.616084779612723328453550310</v>
      </c>
      <c r="U25" s="428">
        <v>7.298329540263893452912145100</v>
      </c>
      <c r="V25" s="429">
        <v>4.7186933116269606265579789500</v>
      </c>
      <c r="W25" s="427">
        <v>-1.0570709781314457633848192700</v>
      </c>
      <c r="X25" s="428">
        <v>6.3928214917171497067072094700</v>
      </c>
      <c r="Y25" s="429">
        <v>0.0455135296397475100488380700</v>
      </c>
      <c r="Z25" s="427">
        <v>-1.1290416334318014419086496400</v>
      </c>
      <c r="AA25" s="428">
        <v>-0.7842257992037740152546670300</v>
      </c>
      <c r="AB25" s="429">
        <v>1.4171882540278403416928922200</v>
      </c>
    </row>
    <row r="26" ht="18" customHeight="1">
      <c r="A26" s="58"/>
      <c r="B26" s="1043" t="s">
        <v>46</v>
      </c>
      <c r="C26" s="1043"/>
      <c r="D26" s="439">
        <v>107.80068783470106142472439287</v>
      </c>
      <c r="E26" s="95">
        <v>140.0257798841279117467309087</v>
      </c>
      <c r="F26" s="440">
        <v>127.57742449726606215616723598</v>
      </c>
      <c r="G26" s="439">
        <v>121.01741004670394878489714555</v>
      </c>
      <c r="H26" s="95">
        <v>147.86350481781068387383968223</v>
      </c>
      <c r="I26" s="440">
        <v>129.64037137564267003656957883</v>
      </c>
      <c r="J26" s="439">
        <v>93.26281061156546349697664033</v>
      </c>
      <c r="K26" s="95">
        <v>127.5423624965580003617028915</v>
      </c>
      <c r="L26" s="440">
        <v>89.92670872115601276302445042</v>
      </c>
      <c r="M26" s="439">
        <v>108.42088862199659574194424679</v>
      </c>
      <c r="N26" s="95">
        <v>139.96432565740058971630127817</v>
      </c>
      <c r="O26" s="440">
        <v>127.63897508065239879433812851</v>
      </c>
      <c r="P26" s="5"/>
      <c r="Q26" s="420">
        <v>0.405955407090788372307415600</v>
      </c>
      <c r="R26" s="91">
        <v>-2.1773237147842858329610290600</v>
      </c>
      <c r="S26" s="421">
        <v>2.3442622590031602815962702400</v>
      </c>
      <c r="T26" s="420">
        <v>19.318411214533208273701307780</v>
      </c>
      <c r="U26" s="91">
        <v>7.4607867671917229274007874600</v>
      </c>
      <c r="V26" s="421">
        <v>7.6744349769353227454557442200</v>
      </c>
      <c r="W26" s="420">
        <v>0.0225978566795366535698420400</v>
      </c>
      <c r="X26" s="91">
        <v>8.48796971205436266107800500</v>
      </c>
      <c r="Y26" s="421">
        <v>-0.9279856318930251586064191300</v>
      </c>
      <c r="Z26" s="420">
        <v>2.2276587641073106597041734100</v>
      </c>
      <c r="AA26" s="91">
        <v>0.5195101019513704057826191700</v>
      </c>
      <c r="AB26" s="421">
        <v>3.1825601181753358423805911700</v>
      </c>
    </row>
    <row r="27" ht="18" customHeight="1">
      <c r="A27" s="58"/>
      <c r="B27" s="1043" t="s">
        <v>47</v>
      </c>
      <c r="C27" s="1043"/>
      <c r="D27" s="439">
        <v>112.06599617561960701530984654</v>
      </c>
      <c r="E27" s="95">
        <v>146.50554761134395123981483547</v>
      </c>
      <c r="F27" s="440">
        <v>136.21416686506949070707611333</v>
      </c>
      <c r="G27" s="439">
        <v>111.95868656806955249673733849</v>
      </c>
      <c r="H27" s="95">
        <v>145.30986042266227113719021038</v>
      </c>
      <c r="I27" s="440">
        <v>133.87807767292294315584075632</v>
      </c>
      <c r="J27" s="439">
        <v>93.45050043609016862921936185</v>
      </c>
      <c r="K27" s="95">
        <v>127.34488710075536440420003148</v>
      </c>
      <c r="L27" s="440">
        <v>88.94130100624556603854072453</v>
      </c>
      <c r="M27" s="439">
        <v>111.39107147372628507976022117</v>
      </c>
      <c r="N27" s="95">
        <v>144.99575306512577397018532769</v>
      </c>
      <c r="O27" s="440">
        <v>135.85609563102310814110551921</v>
      </c>
      <c r="P27" s="93"/>
      <c r="Q27" s="420">
        <v>0.2705967397060114915533672600</v>
      </c>
      <c r="R27" s="91">
        <v>-1.4304422131612274101396626200</v>
      </c>
      <c r="S27" s="421">
        <v>2.9424999664657234322964689400</v>
      </c>
      <c r="T27" s="420">
        <v>6.7419413584028955293220118900</v>
      </c>
      <c r="U27" s="91">
        <v>3.8301032414810665751460582600</v>
      </c>
      <c r="V27" s="421">
        <v>10.053188435588367073931632340</v>
      </c>
      <c r="W27" s="420">
        <v>-1.2868504119961819362565009900</v>
      </c>
      <c r="X27" s="91">
        <v>9.001437053381045356974553880</v>
      </c>
      <c r="Y27" s="421">
        <v>-3.8068591524904476999862677400</v>
      </c>
      <c r="Z27" s="420">
        <v>1.0314599113844891700563024500</v>
      </c>
      <c r="AA27" s="91">
        <v>0.6206902405108437831803105900</v>
      </c>
      <c r="AB27" s="421">
        <v>3.9399617265266240882999432900</v>
      </c>
    </row>
    <row r="28" ht="18" customHeight="1">
      <c r="A28" s="58"/>
      <c r="B28" s="1043" t="s">
        <v>48</v>
      </c>
      <c r="C28" s="1043"/>
      <c r="D28" s="439">
        <v>111.62702099428659438615871641</v>
      </c>
      <c r="E28" s="95">
        <v>143.43439890572748715889119032</v>
      </c>
      <c r="F28" s="440">
        <v>134.88405274565320077554084891</v>
      </c>
      <c r="G28" s="439">
        <v>123.02901701546376881670323116</v>
      </c>
      <c r="H28" s="95">
        <v>144.54294101611794731319276962</v>
      </c>
      <c r="I28" s="440">
        <v>132.02444596099073717206119736</v>
      </c>
      <c r="J28" s="439">
        <v>94.61441282115526899299869844</v>
      </c>
      <c r="K28" s="95">
        <v>128.70995356490540687102293681</v>
      </c>
      <c r="L28" s="440">
        <v>90.93075493604417232656258147</v>
      </c>
      <c r="M28" s="439">
        <v>112.30181051157792294554744336</v>
      </c>
      <c r="N28" s="95">
        <v>142.72983123913587377111983907</v>
      </c>
      <c r="O28" s="440">
        <v>134.44587494975503307579030796</v>
      </c>
      <c r="P28" s="5"/>
      <c r="Q28" s="420">
        <v>-1.0205448294783589442775790700</v>
      </c>
      <c r="R28" s="91">
        <v>-2.8714691066044402838748237800</v>
      </c>
      <c r="S28" s="421">
        <v>3.0367190755110156504123497400</v>
      </c>
      <c r="T28" s="420">
        <v>9.032803793413068317013551730</v>
      </c>
      <c r="U28" s="91">
        <v>3.3039453374542040164571529500</v>
      </c>
      <c r="V28" s="421">
        <v>7.1346886500713756084451618300</v>
      </c>
      <c r="W28" s="420">
        <v>1.3216549839287616444825553100</v>
      </c>
      <c r="X28" s="91">
        <v>8.874755843253391959182708790</v>
      </c>
      <c r="Y28" s="421">
        <v>-0.8737238629025791665625001800</v>
      </c>
      <c r="Z28" s="420">
        <v>-0.009095950944271245065322300</v>
      </c>
      <c r="AA28" s="91">
        <v>-0.4724917189108019760239677900</v>
      </c>
      <c r="AB28" s="421">
        <v>3.7407835953162756063094462500</v>
      </c>
    </row>
    <row r="29" ht="18" customHeight="1">
      <c r="A29" s="58"/>
      <c r="B29" s="1043" t="s">
        <v>49</v>
      </c>
      <c r="C29" s="1043"/>
      <c r="D29" s="439">
        <v>108.82741489459054277823100746</v>
      </c>
      <c r="E29" s="95">
        <v>134.50166715786786726215533527</v>
      </c>
      <c r="F29" s="440">
        <v>124.53807651782672280986424383</v>
      </c>
      <c r="G29" s="439">
        <v>115.85357234856797273625844221</v>
      </c>
      <c r="H29" s="95">
        <v>145.81515850280950039832557063</v>
      </c>
      <c r="I29" s="440">
        <v>125.96087643080809419654260879</v>
      </c>
      <c r="J29" s="439">
        <v>96.13259800134522836573469484</v>
      </c>
      <c r="K29" s="95">
        <v>129.25216651531128713588334626</v>
      </c>
      <c r="L29" s="440">
        <v>92.68791307142339635576789398</v>
      </c>
      <c r="M29" s="439">
        <v>109.25784671224306814710104826</v>
      </c>
      <c r="N29" s="95">
        <v>136.73174781754221024063563266</v>
      </c>
      <c r="O29" s="440">
        <v>124.57995173060874570374483736</v>
      </c>
      <c r="P29" s="93"/>
      <c r="Q29" s="420">
        <v>-1.3499958536971819776678556900</v>
      </c>
      <c r="R29" s="91">
        <v>-1.8927120442021709046806708100</v>
      </c>
      <c r="S29" s="421">
        <v>1.9714326594929760375455673300</v>
      </c>
      <c r="T29" s="420">
        <v>1.4984061166596501121922648100</v>
      </c>
      <c r="U29" s="91">
        <v>6.2257714490140466939618752200</v>
      </c>
      <c r="V29" s="421">
        <v>5.9157480876733702960373870700</v>
      </c>
      <c r="W29" s="420">
        <v>4.5100998816416551420339522300</v>
      </c>
      <c r="X29" s="91">
        <v>9.490599339426220616516379950</v>
      </c>
      <c r="Y29" s="421">
        <v>1.2449261387597372408079107100</v>
      </c>
      <c r="Z29" s="420">
        <v>-0.9445998842875423217096878300</v>
      </c>
      <c r="AA29" s="91">
        <v>1.0536556942521650808821981800</v>
      </c>
      <c r="AB29" s="421">
        <v>2.7159106211689470298369145900</v>
      </c>
    </row>
    <row r="30" ht="18" customHeight="1">
      <c r="A30" s="58"/>
      <c r="B30" s="1044" t="s">
        <v>75</v>
      </c>
      <c r="C30" s="1044"/>
      <c r="D30" s="457">
        <v>108.98508108233403969082935388</v>
      </c>
      <c r="E30" s="458">
        <v>139.1328159191065427478223087</v>
      </c>
      <c r="F30" s="459">
        <v>128.67212989139553123788517984</v>
      </c>
      <c r="G30" s="457">
        <v>118.28732003312094299806040447</v>
      </c>
      <c r="H30" s="458">
        <v>145.40732923511920742702090676</v>
      </c>
      <c r="I30" s="459">
        <v>129.14676981694434413856678989</v>
      </c>
      <c r="J30" s="457">
        <v>94.2312343274697788631731298</v>
      </c>
      <c r="K30" s="458">
        <v>128.03770325714096539710974066</v>
      </c>
      <c r="L30" s="459">
        <v>90.71115257260942507325256705</v>
      </c>
      <c r="M30" s="457">
        <v>109.41530589140894015556306214</v>
      </c>
      <c r="N30" s="458">
        <v>139.36139496654160182259673756</v>
      </c>
      <c r="O30" s="459">
        <v>128.58830318525470382052798057</v>
      </c>
      <c r="P30" s="5"/>
      <c r="Q30" s="430">
        <v>-0.8837753442161288163376993400</v>
      </c>
      <c r="R30" s="431">
        <v>-2.2070317424306480495045908500</v>
      </c>
      <c r="S30" s="432">
        <v>2.3285644768132721976002807500</v>
      </c>
      <c r="T30" s="430">
        <v>9.780815438764101416322570950</v>
      </c>
      <c r="U30" s="431">
        <v>5.3081228132019900046369886100</v>
      </c>
      <c r="V30" s="432">
        <v>7.5032442710881646050254724600</v>
      </c>
      <c r="W30" s="430">
        <v>0.7111797249102989867766117500</v>
      </c>
      <c r="X30" s="431">
        <v>8.431179024058346567473554380</v>
      </c>
      <c r="Y30" s="432">
        <v>-0.8857426999802003294235668100</v>
      </c>
      <c r="Z30" s="430">
        <v>0.291608678848014274377377300</v>
      </c>
      <c r="AA30" s="431">
        <v>0.3296584463132877981885661600</v>
      </c>
      <c r="AB30" s="432">
        <v>3.1756664099808126367316497100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117.6814747713771509959089181</v>
      </c>
      <c r="E32" s="494">
        <v>133.27418924949066073739808242</v>
      </c>
      <c r="F32" s="495">
        <v>125.72420354228842510697094724</v>
      </c>
      <c r="G32" s="493">
        <v>124.84869092563338258378514256</v>
      </c>
      <c r="H32" s="494">
        <v>147.25729003160352903484815094</v>
      </c>
      <c r="I32" s="495">
        <v>131.0169201400877140365984929</v>
      </c>
      <c r="J32" s="493">
        <v>97.82605610876287092346048905</v>
      </c>
      <c r="K32" s="494">
        <v>130.8102495050220594900886413</v>
      </c>
      <c r="L32" s="495">
        <v>95.26489759425782241088547434</v>
      </c>
      <c r="M32" s="493">
        <v>118.24019476774534226349447167</v>
      </c>
      <c r="N32" s="494">
        <v>136.59573118202239801628526659</v>
      </c>
      <c r="O32" s="495">
        <v>126.34348291753898649536281343</v>
      </c>
      <c r="P32" s="93"/>
      <c r="Q32" s="479">
        <v>-0.8851416699787598720976191200</v>
      </c>
      <c r="R32" s="480">
        <v>-2.4268422229018285421691408600</v>
      </c>
      <c r="S32" s="481">
        <v>0.0931769005576892051625485100</v>
      </c>
      <c r="T32" s="479">
        <v>9.667822040156064451182067320</v>
      </c>
      <c r="U32" s="480">
        <v>3.8695367964172244111897716500</v>
      </c>
      <c r="V32" s="481">
        <v>4.2139404794423336542285632500</v>
      </c>
      <c r="W32" s="479">
        <v>4.1816764788981150696436688100</v>
      </c>
      <c r="X32" s="480">
        <v>9.055140996138837219882603480</v>
      </c>
      <c r="Y32" s="481">
        <v>1.1878860386379189223852189900</v>
      </c>
      <c r="Z32" s="479">
        <v>0.6019485699882675280237193100</v>
      </c>
      <c r="AA32" s="480">
        <v>-0.0915019550791427808988211500</v>
      </c>
      <c r="AB32" s="481">
        <v>0.9471273469820014996789925200</v>
      </c>
    </row>
    <row r="33" ht="18" customHeight="1">
      <c r="A33" s="58"/>
      <c r="B33" s="1046" t="s">
        <v>51</v>
      </c>
      <c r="C33" s="1046"/>
      <c r="D33" s="276">
        <v>114.16313686376174794046529547</v>
      </c>
      <c r="E33" s="94">
        <v>132.80350799736488494232787323</v>
      </c>
      <c r="F33" s="277">
        <v>124.82938528759548895949585059</v>
      </c>
      <c r="G33" s="276">
        <v>122.08575800383693176555564438</v>
      </c>
      <c r="H33" s="94">
        <v>148.10893208797184860532058025</v>
      </c>
      <c r="I33" s="277">
        <v>131.25694463331340449190996889</v>
      </c>
      <c r="J33" s="276">
        <v>96.15749489378673979665820386</v>
      </c>
      <c r="K33" s="94">
        <v>131.801347267599749580929322</v>
      </c>
      <c r="L33" s="277">
        <v>94.07429651656886616112986426</v>
      </c>
      <c r="M33" s="276">
        <v>114.56767772929847395291942673</v>
      </c>
      <c r="N33" s="94">
        <v>135.73738308988173509049317031</v>
      </c>
      <c r="O33" s="277">
        <v>125.49668017772613674165498058</v>
      </c>
      <c r="P33" s="5"/>
      <c r="Q33" s="271">
        <v>-4.0825633021541826315947892500</v>
      </c>
      <c r="R33" s="92">
        <v>-1.9386576949712017370317782200</v>
      </c>
      <c r="S33" s="272">
        <v>-0.6769266967501536779016744800</v>
      </c>
      <c r="T33" s="271">
        <v>7.8674629994225324566219180300</v>
      </c>
      <c r="U33" s="92">
        <v>4.1695442550649799216239024700</v>
      </c>
      <c r="V33" s="272">
        <v>4.4094976641025630323249879600</v>
      </c>
      <c r="W33" s="271">
        <v>1.9845261139119240198207310400</v>
      </c>
      <c r="X33" s="92">
        <v>9.299276151285112425197781610</v>
      </c>
      <c r="Y33" s="272">
        <v>-0.6600077898981961577136367500</v>
      </c>
      <c r="Z33" s="271">
        <v>-2.4884774482241385784075836700</v>
      </c>
      <c r="AA33" s="92">
        <v>-0.0742296105108047491185547200</v>
      </c>
      <c r="AB33" s="272">
        <v>0.2442592831601783030474529400</v>
      </c>
    </row>
    <row r="34" ht="18" customHeight="1">
      <c r="A34" s="58"/>
      <c r="B34" s="1047" t="s">
        <v>76</v>
      </c>
      <c r="C34" s="1047"/>
      <c r="D34" s="443">
        <v>115.89253295934720783755842884</v>
      </c>
      <c r="E34" s="444">
        <v>133.03520983424282153426740255</v>
      </c>
      <c r="F34" s="445">
        <v>125.27429578219105569836186169</v>
      </c>
      <c r="G34" s="443">
        <v>123.67349669658840309935661509</v>
      </c>
      <c r="H34" s="444">
        <v>147.62442084595141509331621664</v>
      </c>
      <c r="I34" s="445">
        <v>131.12834094777208947403789582</v>
      </c>
      <c r="J34" s="443">
        <v>97.02427994052758713525679356</v>
      </c>
      <c r="K34" s="444">
        <v>131.30247095976987631937666282</v>
      </c>
      <c r="L34" s="445">
        <v>94.6902135242910751301592816</v>
      </c>
      <c r="M34" s="633">
        <v>116.41398495286045658628957582</v>
      </c>
      <c r="N34" s="634">
        <v>136.17514453459765292035686711</v>
      </c>
      <c r="O34" s="635">
        <v>125.92186919203566410433879663</v>
      </c>
      <c r="P34" s="93"/>
      <c r="Q34" s="273">
        <v>-2.512352198938767919760050900</v>
      </c>
      <c r="R34" s="274">
        <v>-2.1728322880346974462081800500</v>
      </c>
      <c r="S34" s="275">
        <v>-0.2945854857386132797401005300</v>
      </c>
      <c r="T34" s="273">
        <v>8.927254976781981959137206680</v>
      </c>
      <c r="U34" s="274">
        <v>3.9952634981614398925115036100</v>
      </c>
      <c r="V34" s="275">
        <v>4.3047667714552691686332680400</v>
      </c>
      <c r="W34" s="273">
        <v>3.1070572451147847766147686800</v>
      </c>
      <c r="X34" s="274">
        <v>9.187009971807582346822441880</v>
      </c>
      <c r="Y34" s="275">
        <v>0.2676730807213657207606945200</v>
      </c>
      <c r="Z34" s="273">
        <v>-0.9342258921556586616184538500</v>
      </c>
      <c r="AA34" s="274">
        <v>-0.0792252791796826846166739700</v>
      </c>
      <c r="AB34" s="275">
        <v>0.5969167146648145209584409200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111.41880381233021778166582255</v>
      </c>
      <c r="E36" s="483">
        <v>137.12913731506570153821558418</v>
      </c>
      <c r="F36" s="484">
        <v>127.70507815712366062993020805</v>
      </c>
      <c r="G36" s="482">
        <v>121.46959459459459459459459459</v>
      </c>
      <c r="H36" s="483">
        <v>145.83010866157575110763643808</v>
      </c>
      <c r="I36" s="484">
        <v>129.76773076549677527748777599</v>
      </c>
      <c r="J36" s="482">
        <v>95.68231046931407942238267148</v>
      </c>
      <c r="K36" s="483">
        <v>130.10967993446809749074540787</v>
      </c>
      <c r="L36" s="484">
        <v>91.95445042763881765263418835</v>
      </c>
      <c r="M36" s="482">
        <v>112.07238965111720893767150137</v>
      </c>
      <c r="N36" s="483">
        <v>138.29859689617915725370788724</v>
      </c>
      <c r="O36" s="484">
        <v>127.8106191922716810733606784</v>
      </c>
      <c r="P36" s="93"/>
      <c r="Q36" s="468">
        <v>-1.5474701182405358833173207300</v>
      </c>
      <c r="R36" s="469">
        <v>-2.2188987493723961157147019100</v>
      </c>
      <c r="S36" s="470">
        <v>1.5523663752606672802055238300</v>
      </c>
      <c r="T36" s="468">
        <v>10.740129644728191482571469460</v>
      </c>
      <c r="U36" s="469">
        <v>4.9502476841947420406364962500</v>
      </c>
      <c r="V36" s="470">
        <v>6.4158702134548617277107898100</v>
      </c>
      <c r="W36" s="468">
        <v>1.2379288297620582276047896400</v>
      </c>
      <c r="X36" s="469">
        <v>8.978541962418608094238242370</v>
      </c>
      <c r="Y36" s="470">
        <v>-0.1513520400705229740399866300</v>
      </c>
      <c r="Z36" s="468">
        <v>-0.0736483930706315842560415200</v>
      </c>
      <c r="AA36" s="469">
        <v>0.1967354695113905344359052700</v>
      </c>
      <c r="AB36" s="470">
        <v>2.4168064297776811596178559200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19.718340059768162505343114715</v>
      </c>
      <c r="E39" s="455">
        <v>27.937518191574195063858033786</v>
      </c>
      <c r="F39" s="456">
        <v>47.343690560443703640337479976</v>
      </c>
      <c r="G39" s="454">
        <v>3.1579954311201839139099879767</v>
      </c>
      <c r="H39" s="455">
        <v>5.4201470161790896007173004563</v>
      </c>
      <c r="I39" s="456">
        <v>4.3526238612868890998440963395</v>
      </c>
      <c r="J39" s="454">
        <v>0.9398393376078100162232919215</v>
      </c>
      <c r="K39" s="455">
        <v>5.015771446332582023732753305</v>
      </c>
      <c r="L39" s="456">
        <v>0.1626391550686164706226747687</v>
      </c>
      <c r="M39" s="454">
        <v>23.822984935568218186576792859</v>
      </c>
      <c r="N39" s="455">
        <v>38.373436654085866688308087514</v>
      </c>
      <c r="O39" s="456">
        <v>51.860318323855213073605311405</v>
      </c>
      <c r="P39" s="5"/>
      <c r="Q39" s="427">
        <v>-12.964339185095011067419508720</v>
      </c>
      <c r="R39" s="428">
        <v>2.7803955416585246686429933200</v>
      </c>
      <c r="S39" s="429">
        <v>7.1311293035267097037184565400</v>
      </c>
      <c r="T39" s="427">
        <v>-26.523239912967751960890622900</v>
      </c>
      <c r="U39" s="428">
        <v>-38.887069594695187881303474800</v>
      </c>
      <c r="V39" s="429">
        <v>-7.3469562168252458389427945400</v>
      </c>
      <c r="W39" s="427">
        <v>-10.197315251964132338378822200</v>
      </c>
      <c r="X39" s="428">
        <v>-18.322464804771709322000833990</v>
      </c>
      <c r="Y39" s="429">
        <v>-83.39219715768665693686020253</v>
      </c>
      <c r="Z39" s="427">
        <v>-14.651859507400883549291352590</v>
      </c>
      <c r="AA39" s="428">
        <v>-9.047105214493314639237164360</v>
      </c>
      <c r="AB39" s="429">
        <v>3.9925081198100969285655678200</v>
      </c>
    </row>
    <row r="40" ht="18" customHeight="1">
      <c r="A40" s="58"/>
      <c r="B40" s="1043" t="s">
        <v>46</v>
      </c>
      <c r="C40" s="1043"/>
      <c r="D40" s="439">
        <v>26.179142780689934036187065583</v>
      </c>
      <c r="E40" s="95">
        <v>48.149522837253893972884710159</v>
      </c>
      <c r="F40" s="440">
        <v>74.46236776786217150555470289</v>
      </c>
      <c r="G40" s="439">
        <v>3.3938216616290108247958285492</v>
      </c>
      <c r="H40" s="95">
        <v>8.677906099492068698110261771</v>
      </c>
      <c r="I40" s="440">
        <v>8.216540720744272508522352735</v>
      </c>
      <c r="J40" s="439">
        <v>1.2468008803694043206537148585</v>
      </c>
      <c r="K40" s="95">
        <v>4.9768954127535576081932084952</v>
      </c>
      <c r="L40" s="440">
        <v>0.2089794263838185501370390362</v>
      </c>
      <c r="M40" s="439">
        <v>30.827897951237318797327400958</v>
      </c>
      <c r="N40" s="95">
        <v>61.804324349499520279188180375</v>
      </c>
      <c r="O40" s="440">
        <v>82.89002798925261129469035892</v>
      </c>
      <c r="P40" s="5"/>
      <c r="Q40" s="420">
        <v>-17.314368773986150902179748490</v>
      </c>
      <c r="R40" s="91">
        <v>2.4849851801843956133952298800</v>
      </c>
      <c r="S40" s="421">
        <v>5.3176847362040567393965939800</v>
      </c>
      <c r="T40" s="420">
        <v>-33.508696344038347560067137010</v>
      </c>
      <c r="U40" s="91">
        <v>-29.424055404892821475607961750</v>
      </c>
      <c r="V40" s="421">
        <v>25.466965494484593541916134040</v>
      </c>
      <c r="W40" s="420">
        <v>12.696406341801208389881208520</v>
      </c>
      <c r="X40" s="91">
        <v>-19.230210833597422732470063570</v>
      </c>
      <c r="Y40" s="421">
        <v>-78.869673036718461037602273910</v>
      </c>
      <c r="Z40" s="420">
        <v>-19.468497136937929225439478090</v>
      </c>
      <c r="AA40" s="91">
        <v>-5.5522929538491273865842045200</v>
      </c>
      <c r="AB40" s="421">
        <v>5.9428794396986103852255678500</v>
      </c>
    </row>
    <row r="41" ht="18" customHeight="1">
      <c r="A41" s="58"/>
      <c r="B41" s="1043" t="s">
        <v>47</v>
      </c>
      <c r="C41" s="1043"/>
      <c r="D41" s="439">
        <v>35.778476484621854277193827439</v>
      </c>
      <c r="E41" s="95">
        <v>62.110237203626319886535043542</v>
      </c>
      <c r="F41" s="440">
        <v>90.53758711658658821804239217</v>
      </c>
      <c r="G41" s="439">
        <v>3.6437119138382826622379057147</v>
      </c>
      <c r="H41" s="95">
        <v>13.120395564087599527704577195</v>
      </c>
      <c r="I41" s="440">
        <v>9.666696052054307193374169135</v>
      </c>
      <c r="J41" s="439">
        <v>1.1567140718842251910019487439</v>
      </c>
      <c r="K41" s="95">
        <v>4.8595451144306525409238395676</v>
      </c>
      <c r="L41" s="440">
        <v>0.1826868609787640183805923906</v>
      </c>
      <c r="M41" s="439">
        <v>40.585818357662917530661835118</v>
      </c>
      <c r="N41" s="95">
        <v>80.09017788214457195516346024</v>
      </c>
      <c r="O41" s="440">
        <v>100.38961186506676656366359221</v>
      </c>
      <c r="P41" s="93"/>
      <c r="Q41" s="420">
        <v>-11.012184745400068653935226620</v>
      </c>
      <c r="R41" s="91">
        <v>2.9163594327530068806753206800</v>
      </c>
      <c r="S41" s="421">
        <v>6.1000094683597049734107327800</v>
      </c>
      <c r="T41" s="420">
        <v>-46.766872529359514575464891640</v>
      </c>
      <c r="U41" s="91">
        <v>-15.650898781539881231719299980</v>
      </c>
      <c r="V41" s="421">
        <v>10.603590730224878634183287550</v>
      </c>
      <c r="W41" s="420">
        <v>-1.2776802138483756509304716100</v>
      </c>
      <c r="X41" s="91">
        <v>-17.217305662369187960822204450</v>
      </c>
      <c r="Y41" s="421">
        <v>-80.63865529458794485713647039</v>
      </c>
      <c r="Z41" s="420">
        <v>-16.735640465864758758080560710</v>
      </c>
      <c r="AA41" s="91">
        <v>-2.0575843675604968777572862100</v>
      </c>
      <c r="AB41" s="421">
        <v>5.6558075900084246862149418100</v>
      </c>
    </row>
    <row r="42" ht="18" customHeight="1">
      <c r="A42" s="58"/>
      <c r="B42" s="1043" t="s">
        <v>48</v>
      </c>
      <c r="C42" s="1043"/>
      <c r="D42" s="439">
        <v>37.08302801793911254388892689</v>
      </c>
      <c r="E42" s="95">
        <v>60.318035578927899933583864405</v>
      </c>
      <c r="F42" s="440">
        <v>88.70211628694818077341972628</v>
      </c>
      <c r="G42" s="439">
        <v>5.6782560759796470790883085032</v>
      </c>
      <c r="H42" s="95">
        <v>17.069642896240448197897764935</v>
      </c>
      <c r="I42" s="440">
        <v>9.656583339556809745606377696</v>
      </c>
      <c r="J42" s="439">
        <v>1.3876765278434817341101620655</v>
      </c>
      <c r="K42" s="95">
        <v>4.8250278314369022939856133564</v>
      </c>
      <c r="L42" s="440">
        <v>0.2295876692414321441190864994</v>
      </c>
      <c r="M42" s="439">
        <v>44.158067264144253041678636683</v>
      </c>
      <c r="N42" s="95">
        <v>82.21270630660525042546724262</v>
      </c>
      <c r="O42" s="440">
        <v>98.59058761681247386560588253</v>
      </c>
      <c r="P42" s="5"/>
      <c r="Q42" s="420">
        <v>-10.714170809804239835294668430</v>
      </c>
      <c r="R42" s="91">
        <v>1.2673340280456541204388934400</v>
      </c>
      <c r="S42" s="421">
        <v>4.3794768304423953865617844800</v>
      </c>
      <c r="T42" s="420">
        <v>-32.310440280060722619681316360</v>
      </c>
      <c r="U42" s="91">
        <v>-10.567929157266093011587067650</v>
      </c>
      <c r="V42" s="421">
        <v>7.7046259999040350372753914300</v>
      </c>
      <c r="W42" s="420">
        <v>20.611382079052065010055877070</v>
      </c>
      <c r="X42" s="91">
        <v>-17.959855641898608725407897800</v>
      </c>
      <c r="Y42" s="421">
        <v>-75.703724946673267967898364630</v>
      </c>
      <c r="Z42" s="420">
        <v>-13.925527460132965888676772820</v>
      </c>
      <c r="AA42" s="91">
        <v>-2.7396537559832514443993485500</v>
      </c>
      <c r="AB42" s="421">
        <v>3.8987147630899681136831535400</v>
      </c>
    </row>
    <row r="43" ht="18" customHeight="1">
      <c r="A43" s="58"/>
      <c r="B43" s="1043" t="s">
        <v>49</v>
      </c>
      <c r="C43" s="1043"/>
      <c r="D43" s="439">
        <v>32.916071118107228442948897026</v>
      </c>
      <c r="E43" s="95">
        <v>48.68040046464905331794859222</v>
      </c>
      <c r="F43" s="440">
        <v>72.649052400593231964617312883</v>
      </c>
      <c r="G43" s="439">
        <v>5.5728477585783015838208959487</v>
      </c>
      <c r="H43" s="95">
        <v>17.467763622175702475468771889</v>
      </c>
      <c r="I43" s="440">
        <v>8.671651399510645717330084558</v>
      </c>
      <c r="J43" s="439">
        <v>1.1240106783385898719883794263</v>
      </c>
      <c r="K43" s="95">
        <v>5.0650772860600630123195538588</v>
      </c>
      <c r="L43" s="440">
        <v>0.1894867647840861459468098269</v>
      </c>
      <c r="M43" s="439">
        <v>39.621100546551010043085987445</v>
      </c>
      <c r="N43" s="95">
        <v>71.213241372884818805736917901</v>
      </c>
      <c r="O43" s="440">
        <v>81.51209240955529024151399951</v>
      </c>
      <c r="P43" s="93"/>
      <c r="Q43" s="420">
        <v>-10.519065197325131688931260770</v>
      </c>
      <c r="R43" s="91">
        <v>3.918795140757950078955501700</v>
      </c>
      <c r="S43" s="421">
        <v>5.2472151322885326307476040800</v>
      </c>
      <c r="T43" s="420">
        <v>-15.816837203352517390743031180</v>
      </c>
      <c r="U43" s="91">
        <v>1.5791604529116296709834478300</v>
      </c>
      <c r="V43" s="421">
        <v>7.0516645048612067063902245300</v>
      </c>
      <c r="W43" s="420">
        <v>-2.0781712437381371792747545600</v>
      </c>
      <c r="X43" s="91">
        <v>-14.148842717403022149422562790</v>
      </c>
      <c r="Y43" s="421">
        <v>-80.35409070970797194832873049</v>
      </c>
      <c r="Z43" s="420">
        <v>-12.020556962676991679302497240</v>
      </c>
      <c r="AA43" s="91">
        <v>1.8235150210391505045235157800</v>
      </c>
      <c r="AB43" s="421">
        <v>4.3797253898591808489376195400</v>
      </c>
    </row>
    <row r="44" ht="18" customHeight="1">
      <c r="A44" s="58"/>
      <c r="B44" s="1044" t="s">
        <v>75</v>
      </c>
      <c r="C44" s="1044"/>
      <c r="D44" s="457">
        <v>30.314937834338994850637748805</v>
      </c>
      <c r="E44" s="458">
        <v>49.434201782340554509819990017</v>
      </c>
      <c r="F44" s="459">
        <v>74.738968881311209966310958275</v>
      </c>
      <c r="G44" s="457">
        <v>4.2949145164210802107771171532</v>
      </c>
      <c r="H44" s="458">
        <v>12.337097227603782799589430747</v>
      </c>
      <c r="I44" s="459">
        <v>8.113406383934804018588999513</v>
      </c>
      <c r="J44" s="457">
        <v>1.1722923789578471818204187634</v>
      </c>
      <c r="K44" s="458">
        <v>4.9485723530477737414722282525</v>
      </c>
      <c r="L44" s="459">
        <v>0.1947335605372209855026319281</v>
      </c>
      <c r="M44" s="457">
        <v>35.790264696077770891539417067</v>
      </c>
      <c r="N44" s="458">
        <v>66.719871362992111050881649005</v>
      </c>
      <c r="O44" s="459">
        <v>83.04918717727485678372942029</v>
      </c>
      <c r="P44" s="5"/>
      <c r="Q44" s="430">
        <v>-12.347292122797773421870516980</v>
      </c>
      <c r="R44" s="431">
        <v>2.7655881400176738788373626100</v>
      </c>
      <c r="S44" s="432">
        <v>5.6459289524854293960278293600</v>
      </c>
      <c r="T44" s="430">
        <v>-31.279272271846880473132014920</v>
      </c>
      <c r="U44" s="431">
        <v>-15.372833317743544779311465420</v>
      </c>
      <c r="V44" s="432">
        <v>9.640182770152813099070531730</v>
      </c>
      <c r="W44" s="430">
        <v>4.2233163109837358432164852100</v>
      </c>
      <c r="X44" s="431">
        <v>-17.405670851790036146155217080</v>
      </c>
      <c r="Y44" s="432">
        <v>-79.80616658466707965130568480</v>
      </c>
      <c r="Z44" s="430">
        <v>-15.188343487911120641339883800</v>
      </c>
      <c r="AA44" s="431">
        <v>-2.8414899962050271082249742700</v>
      </c>
      <c r="AB44" s="432">
        <v>4.9806780267528492651640343900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48.726111889211767361802845059</v>
      </c>
      <c r="E46" s="494">
        <v>56.503234151638075495374431437</v>
      </c>
      <c r="F46" s="495">
        <v>73.07513785616936146058580418</v>
      </c>
      <c r="G46" s="493">
        <v>9.11714565441967595135761738</v>
      </c>
      <c r="H46" s="494">
        <v>22.420282258317876870690331543</v>
      </c>
      <c r="I46" s="495">
        <v>11.817866683302067563057732716</v>
      </c>
      <c r="J46" s="493">
        <v>1.2040116734821759965536858902</v>
      </c>
      <c r="K46" s="494">
        <v>4.8620681702620998524878888356</v>
      </c>
      <c r="L46" s="495">
        <v>0.1989851781159017758773850622</v>
      </c>
      <c r="M46" s="493">
        <v>59.059448945850643360787298169</v>
      </c>
      <c r="N46" s="494">
        <v>83.78558458021805221855265174</v>
      </c>
      <c r="O46" s="495">
        <v>85.09432720155137622503381861</v>
      </c>
      <c r="P46" s="93"/>
      <c r="Q46" s="479">
        <v>-9.579502376986130944827570370</v>
      </c>
      <c r="R46" s="480">
        <v>1.5074282641041515211117612900</v>
      </c>
      <c r="S46" s="481">
        <v>2.825934016509537357898160200</v>
      </c>
      <c r="T46" s="479">
        <v>5.9432239160133776171905099100</v>
      </c>
      <c r="U46" s="480">
        <v>-5.3753967175258045699041274800</v>
      </c>
      <c r="V46" s="481">
        <v>-1.2702953580498311120329453600</v>
      </c>
      <c r="W46" s="479">
        <v>14.110496430338411743908036280</v>
      </c>
      <c r="X46" s="480">
        <v>-15.538453100863425530214411770</v>
      </c>
      <c r="Y46" s="481">
        <v>-78.761075735429563452653671810</v>
      </c>
      <c r="Z46" s="479">
        <v>-8.178360997092917205831683540</v>
      </c>
      <c r="AA46" s="480">
        <v>-1.5583180912560589059507457200</v>
      </c>
      <c r="AB46" s="481">
        <v>1.3346862525829076774534948500</v>
      </c>
    </row>
    <row r="47" ht="18" customHeight="1">
      <c r="A47" s="58"/>
      <c r="B47" s="1046" t="s">
        <v>51</v>
      </c>
      <c r="C47" s="1046"/>
      <c r="D47" s="276">
        <v>48.896895895248066729011549718</v>
      </c>
      <c r="E47" s="94">
        <v>58.072138873900844113292330788</v>
      </c>
      <c r="F47" s="277">
        <v>73.385798437059376885457007132</v>
      </c>
      <c r="G47" s="276">
        <v>6.5988844795273468030202706647</v>
      </c>
      <c r="H47" s="94">
        <v>17.086869467225113218296918493</v>
      </c>
      <c r="I47" s="277">
        <v>10.259837589002127562657913464</v>
      </c>
      <c r="J47" s="276">
        <v>1.0947148911941056273320476653</v>
      </c>
      <c r="K47" s="94">
        <v>4.8335562790621738451286412043</v>
      </c>
      <c r="L47" s="277">
        <v>0.1833831263071781002146381488</v>
      </c>
      <c r="M47" s="276">
        <v>56.602168233925056478996713083</v>
      </c>
      <c r="N47" s="94">
        <v>79.99256462018813117671789042</v>
      </c>
      <c r="O47" s="277">
        <v>83.83157172387487752079274561</v>
      </c>
      <c r="P47" s="5"/>
      <c r="Q47" s="271">
        <v>-11.743837112958178423422656900</v>
      </c>
      <c r="R47" s="92">
        <v>0.4599845628279660183555757500</v>
      </c>
      <c r="S47" s="272">
        <v>0.8519742484100902203299468200</v>
      </c>
      <c r="T47" s="271">
        <v>-9.829726748190457168998886890</v>
      </c>
      <c r="U47" s="92">
        <v>-8.145965722268846867921886040</v>
      </c>
      <c r="V47" s="272">
        <v>-3.4031615400797639657641446600</v>
      </c>
      <c r="W47" s="271">
        <v>-4.4839584570857244402500933700</v>
      </c>
      <c r="X47" s="92">
        <v>-7.3625468797815197076800856200</v>
      </c>
      <c r="Y47" s="272">
        <v>-82.14260145689622433252429942</v>
      </c>
      <c r="Z47" s="271">
        <v>-12.474234110099460400071594930</v>
      </c>
      <c r="AA47" s="92">
        <v>-1.998240700051126514097180300</v>
      </c>
      <c r="AB47" s="272">
        <v>-0.6899435394184838805407506500</v>
      </c>
    </row>
    <row r="48" ht="18" customHeight="1">
      <c r="A48" s="58"/>
      <c r="B48" s="1047" t="s">
        <v>76</v>
      </c>
      <c r="C48" s="1047"/>
      <c r="D48" s="443">
        <v>48.811503892229917045407197352</v>
      </c>
      <c r="E48" s="444">
        <v>57.287686512769459804333381092</v>
      </c>
      <c r="F48" s="445">
        <v>73.230451406708942669183140675</v>
      </c>
      <c r="G48" s="443">
        <v>7.8580150669735113771889440182</v>
      </c>
      <c r="H48" s="444">
        <v>19.753575862771495044493625011</v>
      </c>
      <c r="I48" s="445">
        <v>11.038936090349361991757723422</v>
      </c>
      <c r="J48" s="443">
        <v>1.149363282338140811942866777</v>
      </c>
      <c r="K48" s="444">
        <v>4.8478122246621368488082650184</v>
      </c>
      <c r="L48" s="445">
        <v>0.191184992926094031772875882</v>
      </c>
      <c r="M48" s="443">
        <v>57.830808589887849919892005632</v>
      </c>
      <c r="N48" s="444">
        <v>81.88907460020309169763527108</v>
      </c>
      <c r="O48" s="445">
        <v>84.46301844674581276153763042</v>
      </c>
      <c r="P48" s="93"/>
      <c r="Q48" s="273">
        <v>-10.676700010154430105345992960</v>
      </c>
      <c r="R48" s="274">
        <v>0.9556208140962257893216061300</v>
      </c>
      <c r="S48" s="275">
        <v>1.8157878087194109264800007200</v>
      </c>
      <c r="T48" s="273">
        <v>-1.3054473870037937281583351500</v>
      </c>
      <c r="U48" s="274">
        <v>-6.4864207410404855720902329700</v>
      </c>
      <c r="V48" s="275">
        <v>-2.2165823153130829698463539400</v>
      </c>
      <c r="W48" s="273">
        <v>4.4289097005908171118871714600</v>
      </c>
      <c r="X48" s="274">
        <v>-11.609775911878179574150814220</v>
      </c>
      <c r="Y48" s="275">
        <v>-80.53779581685850985506174969</v>
      </c>
      <c r="Z48" s="273">
        <v>-10.334428942329170483935862300</v>
      </c>
      <c r="AA48" s="274">
        <v>-1.7540511964946501478682803700</v>
      </c>
      <c r="AB48" s="275">
        <v>0.3172999226790525714744477600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35.644498453380468404772425983</v>
      </c>
      <c r="E50" s="483">
        <v>51.644847511867865912666875345</v>
      </c>
      <c r="F50" s="484">
        <v>74.236473014397259404249461387</v>
      </c>
      <c r="G50" s="482">
        <v>5.2960671674768007070260715864</v>
      </c>
      <c r="H50" s="483">
        <v>14.498209957736147853477454957</v>
      </c>
      <c r="I50" s="484">
        <v>9.021724293815343897978224827</v>
      </c>
      <c r="J50" s="482">
        <v>1.1711886875828546177640300486</v>
      </c>
      <c r="K50" s="483">
        <v>4.8989978294701303848181056838</v>
      </c>
      <c r="L50" s="484">
        <v>0.1915971333682168895604354734</v>
      </c>
      <c r="M50" s="482">
        <v>42.111749300338783325968478421</v>
      </c>
      <c r="N50" s="483">
        <v>71.042055299074144150962435985</v>
      </c>
      <c r="O50" s="484">
        <v>83.44979444158082019178812169</v>
      </c>
      <c r="P50" s="93"/>
      <c r="Q50" s="468">
        <v>-12.254508649904655345375468600</v>
      </c>
      <c r="R50" s="469">
        <v>2.1647976976061568362700167700</v>
      </c>
      <c r="S50" s="470">
        <v>4.5691184570550034218445408300</v>
      </c>
      <c r="T50" s="468">
        <v>-22.643247660465262494779146580</v>
      </c>
      <c r="U50" s="469">
        <v>-12.231092605063405306937997890</v>
      </c>
      <c r="V50" s="470">
        <v>4.6644351277733532715105321200</v>
      </c>
      <c r="W50" s="468">
        <v>3.8906508559399677307971120100</v>
      </c>
      <c r="X50" s="469">
        <v>-15.771141799097520670004215710</v>
      </c>
      <c r="Y50" s="470">
        <v>-79.96304714094071026120410458</v>
      </c>
      <c r="Z50" s="468">
        <v>-13.343556182863321895855095760</v>
      </c>
      <c r="AA50" s="469">
        <v>-2.5291560936191237643591652800</v>
      </c>
      <c r="AB50" s="470">
        <v>3.5760561167143292266456387500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6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7">
    <pageSetUpPr fitToPage="1"/>
  </sheetPr>
  <dimension ref="A1:BW153"/>
  <sheetViews>
    <sheetView showGridLines="0" zoomScale="85" workbookViewId="0"/>
  </sheetViews>
  <sheetFormatPr defaultRowHeight="12.75"/>
  <cols>
    <col min="1" max="1" width="1" customWidth="1"/>
    <col min="2" max="2" width="1.28515625" style="33"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163</v>
      </c>
      <c r="D1" s="6"/>
      <c r="E1" s="6"/>
      <c r="AS1" s="236"/>
    </row>
    <row r="2" ht="15" customHeight="1">
      <c r="B2" s="0"/>
      <c r="C2" s="1049" t="s">
        <v>170</v>
      </c>
      <c r="D2" s="1049"/>
      <c r="E2" s="1049"/>
      <c r="F2" s="1049"/>
      <c r="G2" s="1049"/>
      <c r="H2" s="1049"/>
      <c r="I2" s="1049"/>
      <c r="J2" s="1049"/>
      <c r="K2" s="1049"/>
      <c r="L2" s="1049"/>
      <c r="M2" s="1049"/>
      <c r="N2" s="1049"/>
      <c r="O2" s="1049"/>
      <c r="P2" s="1049"/>
      <c r="Q2" s="1049"/>
      <c r="R2" s="1049"/>
      <c r="S2" s="1049"/>
      <c r="T2" s="1049"/>
      <c r="U2" s="1049"/>
      <c r="V2" s="1049"/>
      <c r="W2" s="1049"/>
      <c r="X2" s="1049"/>
      <c r="Y2" s="1049"/>
      <c r="Z2" s="1049"/>
      <c r="AA2" s="1049"/>
      <c r="AB2" s="1049"/>
      <c r="AC2" s="1049"/>
      <c r="AD2" s="1049"/>
      <c r="AE2" s="1049"/>
      <c r="AF2" s="1049"/>
      <c r="AG2" s="1049"/>
      <c r="AH2" s="1049"/>
      <c r="AI2" s="1049"/>
      <c r="AJ2" s="1049"/>
      <c r="AK2" s="1049"/>
      <c r="AL2" s="1049"/>
      <c r="AM2" s="1049"/>
      <c r="AN2" s="1049"/>
      <c r="AO2" s="1049"/>
      <c r="AP2" s="1049"/>
      <c r="AQ2" s="0"/>
    </row>
    <row r="3" ht="15" customHeight="1">
      <c r="B3" s="0"/>
      <c r="C3" s="1049" t="s">
        <v>171</v>
      </c>
      <c r="D3" s="1049"/>
      <c r="E3" s="1049"/>
      <c r="F3" s="1049"/>
      <c r="G3" s="1049"/>
      <c r="H3" s="1049"/>
      <c r="I3" s="1049"/>
      <c r="J3" s="1049"/>
      <c r="K3" s="1049"/>
      <c r="L3" s="1049"/>
      <c r="M3" s="1049"/>
      <c r="N3" s="1049"/>
      <c r="O3" s="1049"/>
      <c r="P3" s="1049"/>
      <c r="Q3" s="1049"/>
      <c r="R3" s="1049"/>
      <c r="S3" s="1049"/>
      <c r="T3" s="1049"/>
      <c r="U3" s="1049"/>
      <c r="V3" s="1049"/>
      <c r="W3" s="1049"/>
      <c r="X3" s="1049"/>
      <c r="Y3" s="1049"/>
      <c r="Z3" s="1049"/>
      <c r="AA3" s="1049"/>
      <c r="AB3" s="1049"/>
      <c r="AC3" s="1049"/>
      <c r="AD3" s="1049"/>
      <c r="AE3" s="1049"/>
      <c r="AF3" s="1049"/>
      <c r="AG3" s="1049"/>
      <c r="AH3" s="1049"/>
      <c r="AI3" s="1049"/>
      <c r="AJ3" s="1049"/>
      <c r="AK3" s="1049"/>
      <c r="AL3" s="1049"/>
      <c r="AM3" s="1049"/>
      <c r="AN3" s="1049"/>
      <c r="AO3" s="1049"/>
      <c r="AP3" s="1049"/>
      <c r="AQ3" s="0"/>
    </row>
    <row r="4" ht="15" customHeight="1">
      <c r="B4" s="0"/>
      <c r="C4" s="1049" t="s">
        <v>200</v>
      </c>
      <c r="D4" s="1049"/>
      <c r="E4" s="1049"/>
      <c r="F4" s="1049"/>
      <c r="G4" s="1049"/>
      <c r="H4" s="1049"/>
      <c r="I4" s="1049"/>
      <c r="J4" s="1049"/>
      <c r="K4" s="1049"/>
      <c r="L4" s="1049"/>
      <c r="M4" s="1049"/>
      <c r="N4" s="1049"/>
      <c r="O4" s="1049"/>
      <c r="P4" s="1049"/>
      <c r="Q4" s="1049"/>
      <c r="R4" s="1049"/>
      <c r="S4" s="1049"/>
      <c r="T4" s="1049"/>
      <c r="U4" s="1049"/>
      <c r="V4" s="1049"/>
      <c r="W4" s="1049"/>
      <c r="X4" s="1049"/>
      <c r="Y4" s="1049"/>
      <c r="Z4" s="1049"/>
      <c r="AA4" s="1049"/>
      <c r="AB4" s="1049"/>
      <c r="AC4" s="1049"/>
      <c r="AD4" s="1049"/>
      <c r="AE4" s="1049"/>
      <c r="AF4" s="1049"/>
      <c r="AG4" s="1049"/>
      <c r="AH4" s="1049"/>
      <c r="AI4" s="1049"/>
      <c r="AJ4" s="1049"/>
      <c r="AK4" s="1049"/>
      <c r="AL4" s="1049"/>
      <c r="AM4" s="1049"/>
      <c r="AN4" s="1049"/>
      <c r="AO4" s="1049"/>
      <c r="AP4" s="1049"/>
      <c r="AQ4" s="0"/>
    </row>
    <row r="5" ht="12.75" customHeight="1">
      <c r="C5" s="67"/>
      <c r="D5" s="67"/>
      <c r="E5" s="67"/>
    </row>
    <row r="6" ht="18" customHeight="1">
      <c r="B6" s="68"/>
      <c r="C6" s="68" t="s">
        <v>7</v>
      </c>
      <c r="D6" s="69"/>
      <c r="E6" s="69"/>
      <c r="F6" s="69"/>
      <c r="H6" s="1050" t="s">
        <v>202</v>
      </c>
      <c r="I6" s="1050"/>
      <c r="J6" s="1050"/>
      <c r="K6" s="1050"/>
      <c r="L6" s="1050"/>
      <c r="M6" s="1050"/>
      <c r="N6" s="1050"/>
      <c r="O6" s="1050"/>
      <c r="P6" s="1050"/>
      <c r="Q6" s="1050"/>
      <c r="R6" s="1050"/>
      <c r="S6" s="1050"/>
      <c r="T6" s="1050"/>
      <c r="U6" s="1050"/>
      <c r="Z6" s="1050" t="s">
        <v>203</v>
      </c>
      <c r="AA6" s="1050"/>
      <c r="AB6" s="1050"/>
      <c r="AC6" s="1050"/>
      <c r="AD6" s="1050"/>
      <c r="AE6" s="1050"/>
      <c r="AF6" s="1050"/>
      <c r="AG6" s="1050"/>
      <c r="AH6" s="1050"/>
      <c r="AI6" s="1050"/>
      <c r="AJ6" s="1050"/>
      <c r="AK6" s="1050"/>
      <c r="AL6" s="1050"/>
      <c r="AM6" s="1050"/>
    </row>
    <row r="7" ht="15" customHeight="1">
      <c r="D7" s="93" t="s">
        <v>205</v>
      </c>
      <c r="E7" s="71"/>
      <c r="F7" s="71"/>
      <c r="H7" s="1051" t="s">
        <v>0</v>
      </c>
      <c r="I7" s="1051"/>
      <c r="J7" s="1051" t="s">
        <v>1</v>
      </c>
      <c r="K7" s="1051"/>
      <c r="L7" s="1051" t="s">
        <v>2</v>
      </c>
      <c r="M7" s="1051"/>
      <c r="N7" s="1051" t="s">
        <v>3</v>
      </c>
      <c r="O7" s="1051"/>
      <c r="P7" s="1051" t="s">
        <v>4</v>
      </c>
      <c r="Q7" s="1051"/>
      <c r="R7" s="1051" t="s">
        <v>5</v>
      </c>
      <c r="S7" s="1051"/>
      <c r="T7" s="1051" t="s">
        <v>6</v>
      </c>
      <c r="U7" s="1051"/>
      <c r="Z7" s="1051" t="s">
        <v>0</v>
      </c>
      <c r="AA7" s="1051"/>
      <c r="AB7" s="1051" t="s">
        <v>1</v>
      </c>
      <c r="AC7" s="1051"/>
      <c r="AD7" s="1051" t="s">
        <v>2</v>
      </c>
      <c r="AE7" s="1051"/>
      <c r="AF7" s="1051" t="s">
        <v>3</v>
      </c>
      <c r="AG7" s="1051"/>
      <c r="AH7" s="1051" t="s">
        <v>4</v>
      </c>
      <c r="AI7" s="1051"/>
      <c r="AJ7" s="1051" t="s">
        <v>5</v>
      </c>
      <c r="AK7" s="1051"/>
      <c r="AL7" s="1051" t="s">
        <v>6</v>
      </c>
      <c r="AM7" s="1051"/>
    </row>
    <row r="8" ht="15" customHeight="1">
      <c r="D8" s="175" t="s">
        <v>207</v>
      </c>
      <c r="E8" s="71"/>
      <c r="F8" s="71"/>
      <c r="G8" s="71"/>
      <c r="H8" s="1052">
        <v>1</v>
      </c>
      <c r="I8" s="1052"/>
      <c r="J8" s="1053">
        <v>2</v>
      </c>
      <c r="K8" s="1053"/>
      <c r="L8" s="1053">
        <v>3</v>
      </c>
      <c r="M8" s="1053"/>
      <c r="N8" s="1053">
        <v>4</v>
      </c>
      <c r="O8" s="1053"/>
      <c r="P8" s="1053">
        <v>5</v>
      </c>
      <c r="Q8" s="1053"/>
      <c r="R8" s="1053">
        <v>6</v>
      </c>
      <c r="S8" s="1053"/>
      <c r="T8" s="1054">
        <v>7</v>
      </c>
      <c r="U8" s="1054"/>
      <c r="Z8" s="1052"/>
      <c r="AA8" s="1052"/>
      <c r="AB8" s="1053"/>
      <c r="AC8" s="1053"/>
      <c r="AD8" s="1053"/>
      <c r="AE8" s="1053"/>
      <c r="AF8" s="1053"/>
      <c r="AG8" s="1053"/>
      <c r="AH8" s="1053"/>
      <c r="AI8" s="1053"/>
      <c r="AJ8" s="1053"/>
      <c r="AK8" s="1053"/>
      <c r="AL8" s="1054">
        <v>1</v>
      </c>
      <c r="AM8" s="1054"/>
    </row>
    <row r="9" ht="15" customHeight="1">
      <c r="D9" s="175"/>
      <c r="H9" s="1055">
        <v>8</v>
      </c>
      <c r="I9" s="1055"/>
      <c r="J9" s="1056">
        <v>9</v>
      </c>
      <c r="K9" s="1056"/>
      <c r="L9" s="1056">
        <v>10</v>
      </c>
      <c r="M9" s="1056"/>
      <c r="N9" s="1056">
        <v>11</v>
      </c>
      <c r="O9" s="1056"/>
      <c r="P9" s="1056">
        <v>12</v>
      </c>
      <c r="Q9" s="1056"/>
      <c r="R9" s="1056">
        <v>13</v>
      </c>
      <c r="S9" s="1056"/>
      <c r="T9" s="1057">
        <v>14</v>
      </c>
      <c r="U9" s="1057"/>
      <c r="Z9" s="1055">
        <v>2</v>
      </c>
      <c r="AA9" s="1055"/>
      <c r="AB9" s="1056">
        <v>3</v>
      </c>
      <c r="AC9" s="1056"/>
      <c r="AD9" s="1056">
        <v>4</v>
      </c>
      <c r="AE9" s="1056"/>
      <c r="AF9" s="1056">
        <v>5</v>
      </c>
      <c r="AG9" s="1056"/>
      <c r="AH9" s="1056">
        <v>6</v>
      </c>
      <c r="AI9" s="1056"/>
      <c r="AJ9" s="1056">
        <v>7</v>
      </c>
      <c r="AK9" s="1056"/>
      <c r="AL9" s="1057">
        <v>8</v>
      </c>
      <c r="AM9" s="1057"/>
    </row>
    <row r="10" ht="15" customHeight="1">
      <c r="H10" s="1058">
        <v>15</v>
      </c>
      <c r="I10" s="1058"/>
      <c r="J10" s="1059">
        <v>16</v>
      </c>
      <c r="K10" s="1059"/>
      <c r="L10" s="1059">
        <v>17</v>
      </c>
      <c r="M10" s="1059"/>
      <c r="N10" s="1059">
        <v>18</v>
      </c>
      <c r="O10" s="1059"/>
      <c r="P10" s="1059">
        <v>19</v>
      </c>
      <c r="Q10" s="1059"/>
      <c r="R10" s="1059">
        <v>20</v>
      </c>
      <c r="S10" s="1059"/>
      <c r="T10" s="1060">
        <v>21</v>
      </c>
      <c r="U10" s="1060"/>
      <c r="Z10" s="1058">
        <v>9</v>
      </c>
      <c r="AA10" s="1058"/>
      <c r="AB10" s="1059">
        <v>10</v>
      </c>
      <c r="AC10" s="1059"/>
      <c r="AD10" s="1059">
        <v>11</v>
      </c>
      <c r="AE10" s="1059"/>
      <c r="AF10" s="1059">
        <v>12</v>
      </c>
      <c r="AG10" s="1059"/>
      <c r="AH10" s="1059">
        <v>13</v>
      </c>
      <c r="AI10" s="1059"/>
      <c r="AJ10" s="1059">
        <v>14</v>
      </c>
      <c r="AK10" s="1059"/>
      <c r="AL10" s="1060">
        <v>15</v>
      </c>
      <c r="AM10" s="1060"/>
    </row>
    <row r="11" ht="15" customHeight="1">
      <c r="H11" s="1055">
        <v>22</v>
      </c>
      <c r="I11" s="1055"/>
      <c r="J11" s="1056">
        <v>23</v>
      </c>
      <c r="K11" s="1056"/>
      <c r="L11" s="1056">
        <v>24</v>
      </c>
      <c r="M11" s="1056"/>
      <c r="N11" s="1056">
        <v>25</v>
      </c>
      <c r="O11" s="1056"/>
      <c r="P11" s="1056">
        <v>26</v>
      </c>
      <c r="Q11" s="1056"/>
      <c r="R11" s="1056">
        <v>27</v>
      </c>
      <c r="S11" s="1056"/>
      <c r="T11" s="1057">
        <v>28</v>
      </c>
      <c r="U11" s="1057"/>
      <c r="Z11" s="1055">
        <v>16</v>
      </c>
      <c r="AA11" s="1055"/>
      <c r="AB11" s="1056">
        <v>17</v>
      </c>
      <c r="AC11" s="1056"/>
      <c r="AD11" s="1056">
        <v>18</v>
      </c>
      <c r="AE11" s="1056"/>
      <c r="AF11" s="1056">
        <v>19</v>
      </c>
      <c r="AG11" s="1056"/>
      <c r="AH11" s="1056">
        <v>20</v>
      </c>
      <c r="AI11" s="1056"/>
      <c r="AJ11" s="1056">
        <v>21</v>
      </c>
      <c r="AK11" s="1056"/>
      <c r="AL11" s="1057">
        <v>22</v>
      </c>
      <c r="AM11" s="1057"/>
      <c r="AN11" t="s">
        <v>27</v>
      </c>
    </row>
    <row r="12" ht="15" customHeight="1">
      <c r="A12" s="68"/>
      <c r="H12" s="1058">
        <v>29</v>
      </c>
      <c r="I12" s="1058"/>
      <c r="J12" s="1059">
        <v>30</v>
      </c>
      <c r="K12" s="1059"/>
      <c r="L12" s="1059"/>
      <c r="M12" s="1059"/>
      <c r="N12" s="1059"/>
      <c r="O12" s="1059"/>
      <c r="P12" s="1059"/>
      <c r="Q12" s="1059"/>
      <c r="R12" s="1059"/>
      <c r="S12" s="1059"/>
      <c r="T12" s="1060"/>
      <c r="U12" s="1060"/>
      <c r="Z12" s="1058">
        <v>23</v>
      </c>
      <c r="AA12" s="1058"/>
      <c r="AB12" s="1059">
        <v>24</v>
      </c>
      <c r="AC12" s="1059"/>
      <c r="AD12" s="1059">
        <v>25</v>
      </c>
      <c r="AE12" s="1059"/>
      <c r="AF12" s="1059">
        <v>26</v>
      </c>
      <c r="AG12" s="1059"/>
      <c r="AH12" s="1059">
        <v>27</v>
      </c>
      <c r="AI12" s="1059"/>
      <c r="AJ12" s="1059">
        <v>28</v>
      </c>
      <c r="AK12" s="1059"/>
      <c r="AL12" s="1060">
        <v>29</v>
      </c>
      <c r="AM12" s="1060"/>
    </row>
    <row r="13" ht="15" customHeight="1">
      <c r="C13" s="72"/>
      <c r="D13" s="73"/>
      <c r="E13" s="73"/>
      <c r="F13" s="73"/>
      <c r="G13" s="73"/>
      <c r="H13" s="1061" t="s">
        <v>27</v>
      </c>
      <c r="I13" s="1061"/>
      <c r="J13" s="1062" t="s">
        <v>27</v>
      </c>
      <c r="K13" s="1062"/>
      <c r="L13" s="1062" t="s">
        <v>27</v>
      </c>
      <c r="M13" s="1062"/>
      <c r="N13" s="1062" t="s">
        <v>27</v>
      </c>
      <c r="O13" s="1062"/>
      <c r="P13" s="1062" t="s">
        <v>27</v>
      </c>
      <c r="Q13" s="1062"/>
      <c r="R13" s="1062" t="s">
        <v>27</v>
      </c>
      <c r="S13" s="1062"/>
      <c r="T13" s="1063" t="s">
        <v>27</v>
      </c>
      <c r="U13" s="1063"/>
      <c r="Z13" s="1061" t="n">
        <v>30</v>
      </c>
      <c r="AA13" s="1061"/>
      <c r="AB13" s="1062" t="s">
        <v>27</v>
      </c>
      <c r="AC13" s="1062"/>
      <c r="AD13" s="1062" t="s">
        <v>27</v>
      </c>
      <c r="AE13" s="1062"/>
      <c r="AF13" s="1062" t="s">
        <v>27</v>
      </c>
      <c r="AG13" s="1062"/>
      <c r="AH13" s="1062" t="s">
        <v>27</v>
      </c>
      <c r="AI13" s="1062"/>
      <c r="AJ13" s="1062" t="s">
        <v>27</v>
      </c>
      <c r="AK13" s="1062"/>
      <c r="AL13" s="1063" t="s">
        <v>27</v>
      </c>
      <c r="AM13" s="1063"/>
    </row>
    <row r="14" ht="15" customHeight="1">
      <c r="A14" s="68"/>
      <c r="C14" s="68" t="s">
        <v>8</v>
      </c>
      <c r="F14" s="64"/>
    </row>
    <row r="15" ht="15" customHeight="1">
      <c r="D15" s="70" t="s">
        <v>209</v>
      </c>
      <c r="F15" s="64"/>
      <c r="P15" s="1064"/>
      <c r="Q15" s="1064"/>
      <c r="R15" s="1064"/>
      <c r="S15" s="1064"/>
      <c r="T15" s="1064"/>
      <c r="U15" s="1064"/>
      <c r="V15" s="1064"/>
      <c r="W15" s="0"/>
      <c r="X15" s="1064"/>
      <c r="Y15" s="1064"/>
      <c r="Z15" s="1064"/>
      <c r="AA15" s="1064"/>
      <c r="AB15" s="1064"/>
      <c r="AC15" s="1064"/>
      <c r="AD15" s="1064"/>
      <c r="AE15" s="0"/>
      <c r="AF15" s="1064"/>
      <c r="AG15" s="1064"/>
      <c r="AH15" s="1064"/>
      <c r="AI15" s="1064"/>
      <c r="AJ15" s="1064"/>
      <c r="AK15" s="1064"/>
      <c r="AL15" s="1064"/>
      <c r="AM15" s="0"/>
      <c r="AN15" s="0"/>
    </row>
    <row r="16" ht="15" customHeight="1">
      <c r="C16" s="70"/>
      <c r="D16" s="73" t="s">
        <v>211</v>
      </c>
      <c r="F16" s="64"/>
      <c r="P16" s="21"/>
      <c r="Q16" s="21"/>
      <c r="R16" s="21"/>
      <c r="S16" s="21"/>
      <c r="T16" s="21"/>
      <c r="U16" s="21"/>
      <c r="V16" s="21"/>
      <c r="W16" s="0"/>
      <c r="X16" s="21"/>
      <c r="Y16" s="21"/>
      <c r="Z16" s="21"/>
      <c r="AA16" s="21"/>
      <c r="AB16" s="21"/>
      <c r="AC16" s="21"/>
      <c r="AD16" s="21"/>
      <c r="AE16" s="0"/>
      <c r="AF16" s="21"/>
      <c r="AG16" s="21"/>
      <c r="AH16" s="21"/>
      <c r="AI16" s="21"/>
      <c r="AJ16" s="21"/>
      <c r="AK16" s="21"/>
      <c r="AL16" s="21"/>
      <c r="AM16" s="0"/>
      <c r="AN16" s="0"/>
    </row>
    <row r="17" ht="15" customHeight="1">
      <c r="C17" s="70"/>
      <c r="D17" s="73"/>
      <c r="F17" s="64"/>
      <c r="P17" s="21"/>
      <c r="Q17" s="21"/>
      <c r="R17" s="21"/>
      <c r="S17" s="21"/>
      <c r="T17" s="21"/>
      <c r="U17" s="21"/>
      <c r="V17" s="21"/>
      <c r="W17" s="0"/>
      <c r="X17" s="21"/>
      <c r="Y17" s="21"/>
      <c r="Z17" s="21"/>
      <c r="AA17" s="21"/>
      <c r="AB17" s="21"/>
      <c r="AC17" s="21"/>
      <c r="AD17" s="21"/>
      <c r="AE17" s="0"/>
      <c r="AF17" s="21"/>
      <c r="AG17" s="21"/>
      <c r="AH17" s="21"/>
      <c r="AI17" s="21"/>
      <c r="AJ17" s="21"/>
      <c r="AK17" s="21"/>
      <c r="AL17" s="21"/>
      <c r="AM17" s="0"/>
      <c r="AN17" s="0"/>
    </row>
    <row r="18" ht="15" customHeight="1">
      <c r="C18" s="70"/>
      <c r="D18" s="71"/>
      <c r="F18" s="64"/>
      <c r="P18" s="21"/>
      <c r="Q18" s="21"/>
      <c r="R18" s="21"/>
      <c r="S18" s="21"/>
      <c r="T18" s="21"/>
      <c r="U18" s="21"/>
      <c r="V18" s="21"/>
      <c r="W18" s="0"/>
      <c r="X18" s="21"/>
      <c r="Y18" s="21"/>
      <c r="Z18" s="21"/>
      <c r="AA18" s="21"/>
      <c r="AB18" s="21"/>
      <c r="AC18" s="21"/>
      <c r="AD18" s="21"/>
      <c r="AE18" s="0"/>
      <c r="AF18" s="21"/>
      <c r="AG18" s="21"/>
      <c r="AH18" s="21"/>
      <c r="AI18" s="21"/>
      <c r="AJ18" s="21"/>
      <c r="AK18" s="21"/>
      <c r="AL18" s="21"/>
      <c r="AM18" s="0"/>
      <c r="AN18" s="0"/>
    </row>
    <row r="19" ht="15" customHeight="1">
      <c r="C19" s="74"/>
      <c r="D19" s="71"/>
      <c r="F19" s="64"/>
      <c r="P19" s="21"/>
      <c r="Q19" s="21"/>
      <c r="R19" s="21"/>
      <c r="S19" s="21"/>
      <c r="T19" s="21"/>
      <c r="U19" s="21"/>
      <c r="V19" s="21"/>
      <c r="W19" s="0"/>
      <c r="X19" s="21"/>
      <c r="Y19" s="21"/>
      <c r="Z19" s="21"/>
      <c r="AA19" s="21"/>
      <c r="AB19" s="21"/>
      <c r="AC19" s="21"/>
      <c r="AD19" s="21"/>
      <c r="AE19" s="0"/>
      <c r="AF19" s="21"/>
      <c r="AG19" s="21"/>
      <c r="AH19" s="21"/>
      <c r="AI19" s="21"/>
      <c r="AJ19" s="21"/>
      <c r="AK19" s="21"/>
      <c r="AL19" s="21"/>
      <c r="AM19" s="0"/>
      <c r="AN19" s="0"/>
    </row>
    <row r="20" ht="15" customHeight="1">
      <c r="C20" s="74"/>
      <c r="D20" s="71"/>
      <c r="F20" s="64"/>
      <c r="P20" s="21"/>
      <c r="Q20" s="21"/>
      <c r="R20" s="21"/>
      <c r="S20" s="21"/>
      <c r="T20" s="21"/>
      <c r="U20" s="21"/>
      <c r="V20" s="21"/>
      <c r="W20" s="0"/>
      <c r="X20" s="21"/>
      <c r="Y20" s="21"/>
      <c r="Z20" s="21"/>
      <c r="AA20" s="21"/>
      <c r="AB20" s="21"/>
      <c r="AC20" s="21"/>
      <c r="AD20" s="21"/>
      <c r="AE20" s="0"/>
      <c r="AF20" s="21"/>
      <c r="AG20" s="21"/>
      <c r="AH20" s="21"/>
      <c r="AI20" s="21"/>
      <c r="AJ20" s="21"/>
      <c r="AK20" s="21"/>
      <c r="AL20" s="21"/>
      <c r="AM20" s="0"/>
      <c r="AN20" s="0"/>
    </row>
    <row r="21" ht="30" customHeight="1">
      <c r="R21" s="993">
        <v>2023</v>
      </c>
      <c r="S21" s="993"/>
      <c r="T21" s="993"/>
      <c r="U21" s="993"/>
      <c r="V21" s="993"/>
      <c r="W21" s="993"/>
      <c r="X21" s="995">
        <v>2024</v>
      </c>
      <c r="Y21" s="995"/>
      <c r="Z21" s="995"/>
      <c r="AA21" s="995"/>
      <c r="AB21" s="995"/>
      <c r="AC21" s="995"/>
      <c r="AD21" s="995"/>
      <c r="AE21" s="995"/>
      <c r="AF21" s="995"/>
      <c r="AG21" s="995"/>
      <c r="AH21" s="995"/>
      <c r="AI21" s="995"/>
      <c r="AJ21" s="995">
        <v>2025</v>
      </c>
      <c r="AK21" s="995"/>
      <c r="AL21" s="995"/>
      <c r="AM21" s="995"/>
      <c r="AN21" s="995"/>
      <c r="AO21" s="995"/>
    </row>
    <row r="22" s="5" customFormat="1" ht="30" customHeight="1">
      <c r="B22" s="76"/>
      <c r="C22" s="77" t="s">
        <v>71</v>
      </c>
      <c r="D22" s="77" t="s">
        <v>21</v>
      </c>
      <c r="E22" s="177" t="s">
        <v>95</v>
      </c>
      <c r="F22" s="10" t="s">
        <v>60</v>
      </c>
      <c r="G22" s="10" t="s">
        <v>61</v>
      </c>
      <c r="H22" s="1065" t="s">
        <v>34</v>
      </c>
      <c r="I22" s="1065"/>
      <c r="J22" s="1065"/>
      <c r="K22" s="1065"/>
      <c r="L22" s="1065" t="s">
        <v>62</v>
      </c>
      <c r="M22" s="1065"/>
      <c r="N22" s="1065"/>
      <c r="O22" s="1065"/>
      <c r="R22" s="617" t="s">
        <v>190</v>
      </c>
      <c r="S22" s="618" t="s">
        <v>191</v>
      </c>
      <c r="T22" s="618" t="s">
        <v>192</v>
      </c>
      <c r="U22" s="618" t="s">
        <v>193</v>
      </c>
      <c r="V22" s="618" t="s">
        <v>194</v>
      </c>
      <c r="W22" s="1015" t="s">
        <v>196</v>
      </c>
      <c r="X22" s="618" t="s">
        <v>180</v>
      </c>
      <c r="Y22" s="618" t="s">
        <v>183</v>
      </c>
      <c r="Z22" s="618" t="s">
        <v>186</v>
      </c>
      <c r="AA22" s="618" t="s">
        <v>187</v>
      </c>
      <c r="AB22" s="618" t="s">
        <v>188</v>
      </c>
      <c r="AC22" s="618" t="s">
        <v>189</v>
      </c>
      <c r="AD22" s="618" t="s">
        <v>190</v>
      </c>
      <c r="AE22" s="618" t="s">
        <v>191</v>
      </c>
      <c r="AF22" s="618" t="s">
        <v>192</v>
      </c>
      <c r="AG22" s="618" t="s">
        <v>193</v>
      </c>
      <c r="AH22" s="618" t="s">
        <v>194</v>
      </c>
      <c r="AI22" s="1015" t="s">
        <v>196</v>
      </c>
      <c r="AJ22" s="618" t="s">
        <v>180</v>
      </c>
      <c r="AK22" s="618" t="s">
        <v>183</v>
      </c>
      <c r="AL22" s="618" t="s">
        <v>186</v>
      </c>
      <c r="AM22" s="618" t="s">
        <v>187</v>
      </c>
      <c r="AN22" s="618" t="s">
        <v>188</v>
      </c>
      <c r="AO22" s="1015" t="s">
        <v>189</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21"/>
      <c r="C23" s="1016">
        <v>60180</v>
      </c>
      <c r="D23" s="1016" t="s">
        <v>175</v>
      </c>
      <c r="E23" s="1016" t="s">
        <v>212</v>
      </c>
      <c r="F23" s="1017" t="s">
        <v>213</v>
      </c>
      <c r="G23" s="1016" t="s">
        <v>214</v>
      </c>
      <c r="H23" s="1018" t="s">
        <v>215</v>
      </c>
      <c r="I23" s="1018"/>
      <c r="J23" s="1018"/>
      <c r="K23" s="1018"/>
      <c r="L23" s="1018" t="s">
        <v>216</v>
      </c>
      <c r="M23" s="1018"/>
      <c r="N23" s="1018"/>
      <c r="O23" s="1018"/>
      <c r="P23" s="80"/>
      <c r="Q23" s="4"/>
      <c r="R23" s="1066" t="s">
        <v>272</v>
      </c>
      <c r="S23" s="1067" t="s">
        <v>272</v>
      </c>
      <c r="T23" s="1067" t="s">
        <v>272</v>
      </c>
      <c r="U23" s="1067" t="s">
        <v>272</v>
      </c>
      <c r="V23" s="1067" t="s">
        <v>272</v>
      </c>
      <c r="W23" s="1067" t="s">
        <v>272</v>
      </c>
      <c r="X23" s="1067" t="s">
        <v>272</v>
      </c>
      <c r="Y23" s="1067" t="s">
        <v>272</v>
      </c>
      <c r="Z23" s="1067" t="s">
        <v>272</v>
      </c>
      <c r="AA23" s="1067" t="s">
        <v>272</v>
      </c>
      <c r="AB23" s="1067" t="s">
        <v>272</v>
      </c>
      <c r="AC23" s="1067" t="s">
        <v>272</v>
      </c>
      <c r="AD23" s="1067" t="s">
        <v>272</v>
      </c>
      <c r="AE23" s="1067" t="s">
        <v>272</v>
      </c>
      <c r="AF23" s="1067" t="s">
        <v>272</v>
      </c>
      <c r="AG23" s="1067" t="s">
        <v>272</v>
      </c>
      <c r="AH23" s="1067" t="s">
        <v>272</v>
      </c>
      <c r="AI23" s="1067" t="s">
        <v>272</v>
      </c>
      <c r="AJ23" s="1067" t="s">
        <v>272</v>
      </c>
      <c r="AK23" s="1067" t="s">
        <v>272</v>
      </c>
      <c r="AL23" s="1067" t="s">
        <v>272</v>
      </c>
      <c r="AM23" s="1067" t="s">
        <v>272</v>
      </c>
      <c r="AN23" s="1067" t="s">
        <v>272</v>
      </c>
      <c r="AO23" s="1068" t="s">
        <v>272</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21"/>
      <c r="C24" s="1022">
        <v>7790</v>
      </c>
      <c r="D24" s="1022" t="s">
        <v>218</v>
      </c>
      <c r="E24" s="1022" t="s">
        <v>212</v>
      </c>
      <c r="F24" s="1023" t="s">
        <v>219</v>
      </c>
      <c r="G24" s="1022" t="s">
        <v>220</v>
      </c>
      <c r="H24" s="1024" t="s">
        <v>221</v>
      </c>
      <c r="I24" s="1024"/>
      <c r="J24" s="1024"/>
      <c r="K24" s="1024"/>
      <c r="L24" s="1024" t="s">
        <v>222</v>
      </c>
      <c r="M24" s="1024"/>
      <c r="N24" s="1024"/>
      <c r="O24" s="1024"/>
      <c r="P24" s="80"/>
      <c r="Q24" s="4"/>
      <c r="R24" s="1069" t="s">
        <v>272</v>
      </c>
      <c r="S24" s="1070" t="s">
        <v>272</v>
      </c>
      <c r="T24" s="1070" t="s">
        <v>272</v>
      </c>
      <c r="U24" s="1070" t="s">
        <v>272</v>
      </c>
      <c r="V24" s="1070" t="s">
        <v>272</v>
      </c>
      <c r="W24" s="1070" t="s">
        <v>272</v>
      </c>
      <c r="X24" s="1070" t="s">
        <v>272</v>
      </c>
      <c r="Y24" s="1070" t="s">
        <v>272</v>
      </c>
      <c r="Z24" s="1070" t="s">
        <v>272</v>
      </c>
      <c r="AA24" s="1070" t="s">
        <v>272</v>
      </c>
      <c r="AB24" s="1070" t="s">
        <v>272</v>
      </c>
      <c r="AC24" s="1070" t="s">
        <v>272</v>
      </c>
      <c r="AD24" s="1070" t="s">
        <v>272</v>
      </c>
      <c r="AE24" s="1070" t="s">
        <v>272</v>
      </c>
      <c r="AF24" s="1070" t="s">
        <v>272</v>
      </c>
      <c r="AG24" s="1070" t="s">
        <v>272</v>
      </c>
      <c r="AH24" s="1070" t="s">
        <v>272</v>
      </c>
      <c r="AI24" s="1070" t="s">
        <v>272</v>
      </c>
      <c r="AJ24" s="1070" t="s">
        <v>272</v>
      </c>
      <c r="AK24" s="1070" t="s">
        <v>272</v>
      </c>
      <c r="AL24" s="1070" t="s">
        <v>272</v>
      </c>
      <c r="AM24" s="1070" t="s">
        <v>272</v>
      </c>
      <c r="AN24" s="1070" t="s">
        <v>272</v>
      </c>
      <c r="AO24" s="1071" t="s">
        <v>272</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21"/>
      <c r="C25" s="1016">
        <v>27821</v>
      </c>
      <c r="D25" s="1016" t="s">
        <v>223</v>
      </c>
      <c r="E25" s="1016" t="s">
        <v>212</v>
      </c>
      <c r="F25" s="1017" t="s">
        <v>224</v>
      </c>
      <c r="G25" s="1016" t="s">
        <v>225</v>
      </c>
      <c r="H25" s="1018" t="s">
        <v>226</v>
      </c>
      <c r="I25" s="1018"/>
      <c r="J25" s="1018"/>
      <c r="K25" s="1018"/>
      <c r="L25" s="1018" t="s">
        <v>227</v>
      </c>
      <c r="M25" s="1018"/>
      <c r="N25" s="1018"/>
      <c r="O25" s="1018"/>
      <c r="P25" s="80"/>
      <c r="Q25" s="4"/>
      <c r="R25" s="1066" t="s">
        <v>273</v>
      </c>
      <c r="S25" s="1067" t="s">
        <v>273</v>
      </c>
      <c r="T25" s="1067" t="s">
        <v>273</v>
      </c>
      <c r="U25" s="1067" t="s">
        <v>273</v>
      </c>
      <c r="V25" s="1067" t="s">
        <v>273</v>
      </c>
      <c r="W25" s="1067" t="s">
        <v>273</v>
      </c>
      <c r="X25" s="1067" t="s">
        <v>273</v>
      </c>
      <c r="Y25" s="1067" t="s">
        <v>273</v>
      </c>
      <c r="Z25" s="1067" t="s">
        <v>273</v>
      </c>
      <c r="AA25" s="1067" t="s">
        <v>273</v>
      </c>
      <c r="AB25" s="1067" t="s">
        <v>273</v>
      </c>
      <c r="AC25" s="1067" t="s">
        <v>273</v>
      </c>
      <c r="AD25" s="1067" t="s">
        <v>273</v>
      </c>
      <c r="AE25" s="1067" t="s">
        <v>273</v>
      </c>
      <c r="AF25" s="1067" t="s">
        <v>273</v>
      </c>
      <c r="AG25" s="1067" t="s">
        <v>273</v>
      </c>
      <c r="AH25" s="1067" t="s">
        <v>273</v>
      </c>
      <c r="AI25" s="1067" t="s">
        <v>273</v>
      </c>
      <c r="AJ25" s="1067" t="s">
        <v>273</v>
      </c>
      <c r="AK25" s="1067" t="s">
        <v>273</v>
      </c>
      <c r="AL25" s="1067" t="s">
        <v>273</v>
      </c>
      <c r="AM25" s="1067" t="s">
        <v>273</v>
      </c>
      <c r="AN25" s="1067" t="s">
        <v>273</v>
      </c>
      <c r="AO25" s="1068" t="s">
        <v>273</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21"/>
      <c r="C26" s="1022">
        <v>31502</v>
      </c>
      <c r="D26" s="1022" t="s">
        <v>228</v>
      </c>
      <c r="E26" s="1022" t="s">
        <v>212</v>
      </c>
      <c r="F26" s="1023" t="s">
        <v>219</v>
      </c>
      <c r="G26" s="1022" t="s">
        <v>229</v>
      </c>
      <c r="H26" s="1024" t="s">
        <v>230</v>
      </c>
      <c r="I26" s="1024"/>
      <c r="J26" s="1024"/>
      <c r="K26" s="1024"/>
      <c r="L26" s="1024" t="s">
        <v>231</v>
      </c>
      <c r="M26" s="1024"/>
      <c r="N26" s="1024"/>
      <c r="O26" s="1024"/>
      <c r="P26" s="80"/>
      <c r="Q26" s="4"/>
      <c r="R26" s="1069" t="s">
        <v>273</v>
      </c>
      <c r="S26" s="1070" t="s">
        <v>273</v>
      </c>
      <c r="T26" s="1070" t="s">
        <v>273</v>
      </c>
      <c r="U26" s="1070" t="s">
        <v>273</v>
      </c>
      <c r="V26" s="1070" t="s">
        <v>273</v>
      </c>
      <c r="W26" s="1070" t="s">
        <v>273</v>
      </c>
      <c r="X26" s="1070" t="s">
        <v>273</v>
      </c>
      <c r="Y26" s="1070" t="s">
        <v>273</v>
      </c>
      <c r="Z26" s="1070" t="s">
        <v>273</v>
      </c>
      <c r="AA26" s="1070" t="s">
        <v>273</v>
      </c>
      <c r="AB26" s="1070" t="s">
        <v>273</v>
      </c>
      <c r="AC26" s="1070" t="s">
        <v>273</v>
      </c>
      <c r="AD26" s="1070" t="s">
        <v>273</v>
      </c>
      <c r="AE26" s="1070" t="s">
        <v>273</v>
      </c>
      <c r="AF26" s="1070" t="s">
        <v>273</v>
      </c>
      <c r="AG26" s="1070" t="s">
        <v>273</v>
      </c>
      <c r="AH26" s="1070" t="s">
        <v>273</v>
      </c>
      <c r="AI26" s="1070" t="s">
        <v>273</v>
      </c>
      <c r="AJ26" s="1070" t="s">
        <v>273</v>
      </c>
      <c r="AK26" s="1070" t="s">
        <v>273</v>
      </c>
      <c r="AL26" s="1070" t="s">
        <v>273</v>
      </c>
      <c r="AM26" s="1070" t="s">
        <v>273</v>
      </c>
      <c r="AN26" s="1070" t="s">
        <v>273</v>
      </c>
      <c r="AO26" s="1071" t="s">
        <v>273</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21"/>
      <c r="C27" s="1016">
        <v>33288</v>
      </c>
      <c r="D27" s="1016" t="s">
        <v>232</v>
      </c>
      <c r="E27" s="1016" t="s">
        <v>212</v>
      </c>
      <c r="F27" s="1017" t="s">
        <v>224</v>
      </c>
      <c r="G27" s="1016" t="s">
        <v>233</v>
      </c>
      <c r="H27" s="1018" t="s">
        <v>234</v>
      </c>
      <c r="I27" s="1018"/>
      <c r="J27" s="1018"/>
      <c r="K27" s="1018"/>
      <c r="L27" s="1018" t="s">
        <v>235</v>
      </c>
      <c r="M27" s="1018"/>
      <c r="N27" s="1018"/>
      <c r="O27" s="1018"/>
      <c r="P27" s="80"/>
      <c r="Q27" s="4"/>
      <c r="R27" s="1066" t="s">
        <v>272</v>
      </c>
      <c r="S27" s="1067" t="s">
        <v>272</v>
      </c>
      <c r="T27" s="1067" t="s">
        <v>272</v>
      </c>
      <c r="U27" s="1067" t="s">
        <v>272</v>
      </c>
      <c r="V27" s="1067" t="s">
        <v>272</v>
      </c>
      <c r="W27" s="1067" t="s">
        <v>272</v>
      </c>
      <c r="X27" s="1067" t="s">
        <v>272</v>
      </c>
      <c r="Y27" s="1067" t="s">
        <v>272</v>
      </c>
      <c r="Z27" s="1067" t="s">
        <v>272</v>
      </c>
      <c r="AA27" s="1067" t="s">
        <v>272</v>
      </c>
      <c r="AB27" s="1067" t="s">
        <v>272</v>
      </c>
      <c r="AC27" s="1067" t="s">
        <v>272</v>
      </c>
      <c r="AD27" s="1067" t="s">
        <v>272</v>
      </c>
      <c r="AE27" s="1067" t="s">
        <v>272</v>
      </c>
      <c r="AF27" s="1067" t="s">
        <v>272</v>
      </c>
      <c r="AG27" s="1067" t="s">
        <v>272</v>
      </c>
      <c r="AH27" s="1067" t="s">
        <v>272</v>
      </c>
      <c r="AI27" s="1067" t="s">
        <v>272</v>
      </c>
      <c r="AJ27" s="1067" t="s">
        <v>272</v>
      </c>
      <c r="AK27" s="1067" t="s">
        <v>272</v>
      </c>
      <c r="AL27" s="1067" t="s">
        <v>272</v>
      </c>
      <c r="AM27" s="1067" t="s">
        <v>272</v>
      </c>
      <c r="AN27" s="1067" t="s">
        <v>272</v>
      </c>
      <c r="AO27" s="1068" t="s">
        <v>272</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21"/>
      <c r="C28" s="1022">
        <v>57305</v>
      </c>
      <c r="D28" s="1022" t="s">
        <v>236</v>
      </c>
      <c r="E28" s="1022" t="s">
        <v>237</v>
      </c>
      <c r="F28" s="1023" t="s">
        <v>238</v>
      </c>
      <c r="G28" s="1022" t="s">
        <v>239</v>
      </c>
      <c r="H28" s="1024" t="s">
        <v>240</v>
      </c>
      <c r="I28" s="1024"/>
      <c r="J28" s="1024"/>
      <c r="K28" s="1024"/>
      <c r="L28" s="1024" t="s">
        <v>241</v>
      </c>
      <c r="M28" s="1024"/>
      <c r="N28" s="1024"/>
      <c r="O28" s="1024"/>
      <c r="P28" s="80"/>
      <c r="Q28" s="4"/>
      <c r="R28" s="1069" t="s">
        <v>272</v>
      </c>
      <c r="S28" s="1070" t="s">
        <v>272</v>
      </c>
      <c r="T28" s="1070" t="s">
        <v>272</v>
      </c>
      <c r="U28" s="1070" t="s">
        <v>272</v>
      </c>
      <c r="V28" s="1070" t="s">
        <v>272</v>
      </c>
      <c r="W28" s="1070" t="s">
        <v>272</v>
      </c>
      <c r="X28" s="1070" t="s">
        <v>272</v>
      </c>
      <c r="Y28" s="1070" t="s">
        <v>272</v>
      </c>
      <c r="Z28" s="1070" t="s">
        <v>272</v>
      </c>
      <c r="AA28" s="1070" t="s">
        <v>272</v>
      </c>
      <c r="AB28" s="1070" t="s">
        <v>272</v>
      </c>
      <c r="AC28" s="1070" t="s">
        <v>272</v>
      </c>
      <c r="AD28" s="1070" t="s">
        <v>272</v>
      </c>
      <c r="AE28" s="1070" t="s">
        <v>272</v>
      </c>
      <c r="AF28" s="1070" t="s">
        <v>272</v>
      </c>
      <c r="AG28" s="1070" t="s">
        <v>272</v>
      </c>
      <c r="AH28" s="1070" t="s">
        <v>272</v>
      </c>
      <c r="AI28" s="1070" t="s">
        <v>272</v>
      </c>
      <c r="AJ28" s="1070" t="s">
        <v>272</v>
      </c>
      <c r="AK28" s="1070" t="s">
        <v>272</v>
      </c>
      <c r="AL28" s="1070" t="s">
        <v>272</v>
      </c>
      <c r="AM28" s="1070" t="s">
        <v>272</v>
      </c>
      <c r="AN28" s="1070" t="s">
        <v>272</v>
      </c>
      <c r="AO28" s="1071" t="s">
        <v>272</v>
      </c>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21"/>
      <c r="C29" s="1016">
        <v>58062</v>
      </c>
      <c r="D29" s="1016" t="s">
        <v>242</v>
      </c>
      <c r="E29" s="1016" t="s">
        <v>237</v>
      </c>
      <c r="F29" s="1016" t="s">
        <v>243</v>
      </c>
      <c r="G29" s="1016" t="s">
        <v>244</v>
      </c>
      <c r="H29" s="1018" t="s">
        <v>245</v>
      </c>
      <c r="I29" s="1018"/>
      <c r="J29" s="1018"/>
      <c r="K29" s="1018"/>
      <c r="L29" s="1018" t="s">
        <v>246</v>
      </c>
      <c r="M29" s="1018"/>
      <c r="N29" s="1018"/>
      <c r="O29" s="1018"/>
      <c r="P29" s="80"/>
      <c r="Q29" s="4"/>
      <c r="R29" s="1066" t="s">
        <v>274</v>
      </c>
      <c r="S29" s="1067" t="s">
        <v>274</v>
      </c>
      <c r="T29" s="1067" t="s">
        <v>274</v>
      </c>
      <c r="U29" s="1067" t="s">
        <v>274</v>
      </c>
      <c r="V29" s="1067" t="s">
        <v>274</v>
      </c>
      <c r="W29" s="1067" t="s">
        <v>274</v>
      </c>
      <c r="X29" s="1067" t="s">
        <v>274</v>
      </c>
      <c r="Y29" s="1067" t="s">
        <v>274</v>
      </c>
      <c r="Z29" s="1067" t="s">
        <v>274</v>
      </c>
      <c r="AA29" s="1067" t="s">
        <v>274</v>
      </c>
      <c r="AB29" s="1067" t="s">
        <v>274</v>
      </c>
      <c r="AC29" s="1067" t="s">
        <v>274</v>
      </c>
      <c r="AD29" s="1067" t="s">
        <v>274</v>
      </c>
      <c r="AE29" s="1067" t="s">
        <v>274</v>
      </c>
      <c r="AF29" s="1067" t="s">
        <v>274</v>
      </c>
      <c r="AG29" s="1067" t="s">
        <v>274</v>
      </c>
      <c r="AH29" s="1067" t="s">
        <v>274</v>
      </c>
      <c r="AI29" s="1067" t="s">
        <v>274</v>
      </c>
      <c r="AJ29" s="1067" t="s">
        <v>274</v>
      </c>
      <c r="AK29" s="1067" t="s">
        <v>274</v>
      </c>
      <c r="AL29" s="1067" t="s">
        <v>274</v>
      </c>
      <c r="AM29" s="1067" t="s">
        <v>274</v>
      </c>
      <c r="AN29" s="1067" t="s">
        <v>274</v>
      </c>
      <c r="AO29" s="1068" t="s">
        <v>274</v>
      </c>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21"/>
      <c r="C30" s="1022">
        <v>66136</v>
      </c>
      <c r="D30" s="1022" t="s">
        <v>247</v>
      </c>
      <c r="E30" s="1022" t="s">
        <v>212</v>
      </c>
      <c r="F30" s="1022" t="s">
        <v>248</v>
      </c>
      <c r="G30" s="1022" t="s">
        <v>249</v>
      </c>
      <c r="H30" s="1024" t="s">
        <v>250</v>
      </c>
      <c r="I30" s="1024"/>
      <c r="J30" s="1024"/>
      <c r="K30" s="1024"/>
      <c r="L30" s="1024" t="s">
        <v>251</v>
      </c>
      <c r="M30" s="1024"/>
      <c r="N30" s="1024"/>
      <c r="O30" s="1024"/>
      <c r="P30" s="80"/>
      <c r="Q30" s="4"/>
      <c r="R30" s="1069" t="s">
        <v>274</v>
      </c>
      <c r="S30" s="1070" t="s">
        <v>274</v>
      </c>
      <c r="T30" s="1070" t="s">
        <v>274</v>
      </c>
      <c r="U30" s="1070" t="s">
        <v>274</v>
      </c>
      <c r="V30" s="1070" t="s">
        <v>274</v>
      </c>
      <c r="W30" s="1070" t="s">
        <v>274</v>
      </c>
      <c r="X30" s="1070" t="s">
        <v>274</v>
      </c>
      <c r="Y30" s="1070" t="s">
        <v>274</v>
      </c>
      <c r="Z30" s="1070" t="s">
        <v>274</v>
      </c>
      <c r="AA30" s="1070" t="s">
        <v>274</v>
      </c>
      <c r="AB30" s="1070" t="s">
        <v>274</v>
      </c>
      <c r="AC30" s="1070" t="s">
        <v>274</v>
      </c>
      <c r="AD30" s="1070" t="s">
        <v>274</v>
      </c>
      <c r="AE30" s="1070" t="s">
        <v>274</v>
      </c>
      <c r="AF30" s="1070" t="s">
        <v>274</v>
      </c>
      <c r="AG30" s="1070" t="s">
        <v>274</v>
      </c>
      <c r="AH30" s="1070" t="s">
        <v>274</v>
      </c>
      <c r="AI30" s="1070" t="s">
        <v>274</v>
      </c>
      <c r="AJ30" s="1070" t="s">
        <v>274</v>
      </c>
      <c r="AK30" s="1070" t="s">
        <v>274</v>
      </c>
      <c r="AL30" s="1070" t="s">
        <v>274</v>
      </c>
      <c r="AM30" s="1070" t="s">
        <v>274</v>
      </c>
      <c r="AN30" s="1070" t="s">
        <v>274</v>
      </c>
      <c r="AO30" s="1071" t="s">
        <v>274</v>
      </c>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21"/>
      <c r="C31" s="181"/>
      <c r="D31" s="181"/>
      <c r="E31" s="181"/>
      <c r="F31" s="201"/>
      <c r="G31" s="181"/>
      <c r="H31" s="997">
        <v>1272</v>
      </c>
      <c r="I31" s="997"/>
      <c r="J31" s="997"/>
      <c r="K31" s="997"/>
      <c r="L31" s="1072"/>
      <c r="M31" s="1072"/>
      <c r="N31" s="1072"/>
      <c r="O31" s="1072"/>
      <c r="P31" s="80"/>
      <c r="Q31" s="4"/>
      <c r="R31" s="182"/>
      <c r="S31" s="182"/>
      <c r="T31" s="182"/>
      <c r="U31" s="182"/>
      <c r="V31" s="182"/>
      <c r="W31" s="182"/>
      <c r="X31" s="182"/>
      <c r="Y31" s="182"/>
      <c r="Z31" s="182"/>
      <c r="AA31" s="182"/>
      <c r="AB31" s="182"/>
      <c r="AC31" s="182"/>
      <c r="AD31" s="182"/>
      <c r="AE31" s="182"/>
      <c r="AF31" s="182"/>
      <c r="AG31" s="182"/>
      <c r="AH31" s="182"/>
      <c r="AI31" s="182"/>
      <c r="AJ31" s="182"/>
      <c r="AK31" s="182"/>
      <c r="AL31" s="182"/>
      <c r="AM31" s="182"/>
      <c r="AN31" s="182"/>
      <c r="AO31" s="182"/>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21"/>
      <c r="C32" s="181"/>
      <c r="D32" s="181"/>
      <c r="E32" s="181"/>
      <c r="F32" s="201"/>
      <c r="G32" s="181"/>
      <c r="H32" s="996"/>
      <c r="I32" s="996"/>
      <c r="J32" s="996"/>
      <c r="K32" s="996"/>
      <c r="L32" s="1072"/>
      <c r="M32" s="1072"/>
      <c r="N32" s="1072"/>
      <c r="O32" s="1072"/>
      <c r="P32" s="80"/>
      <c r="Q32" s="4"/>
      <c r="R32" s="182"/>
      <c r="S32" s="182"/>
      <c r="T32" s="182"/>
      <c r="U32" s="182"/>
      <c r="V32" s="182"/>
      <c r="W32" s="182"/>
      <c r="X32" s="1028" t="s">
        <v>252</v>
      </c>
      <c r="Y32" s="182"/>
      <c r="Z32" s="182"/>
      <c r="AA32" s="182"/>
      <c r="AB32" s="182"/>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21"/>
      <c r="C33" s="181"/>
      <c r="D33" s="181"/>
      <c r="E33" s="181"/>
      <c r="F33" s="201"/>
      <c r="G33" s="181"/>
      <c r="H33" s="996"/>
      <c r="I33" s="996"/>
      <c r="J33" s="996"/>
      <c r="K33" s="996"/>
      <c r="L33" s="1072"/>
      <c r="M33" s="1072"/>
      <c r="N33" s="1072"/>
      <c r="O33" s="1072"/>
      <c r="P33" s="80"/>
      <c r="Q33" s="4"/>
      <c r="R33" s="182"/>
      <c r="S33" s="182"/>
      <c r="T33" s="182"/>
      <c r="U33" s="182"/>
      <c r="V33" s="182"/>
      <c r="W33" s="182"/>
      <c r="X33" s="182"/>
      <c r="Y33" s="182"/>
      <c r="Z33" s="182"/>
      <c r="AA33" s="1073" t="s">
        <v>272</v>
      </c>
      <c r="AB33" s="1028" t="s">
        <v>275</v>
      </c>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21"/>
      <c r="C34" s="181"/>
      <c r="D34" s="181"/>
      <c r="E34" s="181"/>
      <c r="F34" s="201"/>
      <c r="G34" s="181"/>
      <c r="H34" s="996"/>
      <c r="I34" s="996"/>
      <c r="J34" s="996"/>
      <c r="K34" s="996"/>
      <c r="L34" s="1072"/>
      <c r="M34" s="1072"/>
      <c r="N34" s="1072"/>
      <c r="O34" s="1072"/>
      <c r="P34" s="80"/>
      <c r="Q34" s="4"/>
      <c r="R34" s="182"/>
      <c r="S34" s="182"/>
      <c r="T34" s="182"/>
      <c r="U34" s="182"/>
      <c r="V34" s="182"/>
      <c r="W34" s="182"/>
      <c r="X34" s="182"/>
      <c r="Y34" s="182"/>
      <c r="Z34" s="182"/>
      <c r="AA34" s="1073" t="s">
        <v>276</v>
      </c>
      <c r="AB34" s="1028" t="s">
        <v>277</v>
      </c>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21"/>
      <c r="C35" s="181"/>
      <c r="D35" s="181"/>
      <c r="E35" s="181"/>
      <c r="F35" s="201"/>
      <c r="G35" s="181"/>
      <c r="H35" s="996"/>
      <c r="I35" s="996"/>
      <c r="J35" s="996"/>
      <c r="K35" s="996"/>
      <c r="L35" s="1072"/>
      <c r="M35" s="1072"/>
      <c r="N35" s="1072"/>
      <c r="O35" s="1072"/>
      <c r="P35" s="80"/>
      <c r="Q35" s="4"/>
      <c r="R35" s="182"/>
      <c r="S35" s="182"/>
      <c r="T35" s="182"/>
      <c r="U35" s="182"/>
      <c r="V35" s="182"/>
      <c r="W35" s="182"/>
      <c r="X35" s="182"/>
      <c r="Y35" s="182"/>
      <c r="Z35" s="182"/>
      <c r="AA35" s="1074" t="s">
        <v>274</v>
      </c>
      <c r="AB35" s="1028" t="s">
        <v>278</v>
      </c>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21"/>
      <c r="C36" s="181"/>
      <c r="D36" s="181"/>
      <c r="E36" s="181"/>
      <c r="F36" s="201"/>
      <c r="G36" s="181"/>
      <c r="H36" s="996"/>
      <c r="I36" s="996"/>
      <c r="J36" s="996"/>
      <c r="K36" s="996"/>
      <c r="L36" s="1072"/>
      <c r="M36" s="1072"/>
      <c r="N36" s="1072"/>
      <c r="O36" s="1072"/>
      <c r="P36" s="80"/>
      <c r="Q36" s="4"/>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21"/>
      <c r="C37" s="181"/>
      <c r="D37" s="181"/>
      <c r="E37" s="181"/>
      <c r="F37" s="201"/>
      <c r="G37" s="181"/>
      <c r="H37" s="996"/>
      <c r="I37" s="996"/>
      <c r="J37" s="996"/>
      <c r="K37" s="996"/>
      <c r="L37" s="1072"/>
      <c r="M37" s="1072"/>
      <c r="N37" s="1072"/>
      <c r="O37" s="1072"/>
      <c r="P37" s="80"/>
      <c r="Q37" s="4"/>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21"/>
      <c r="C38" s="181"/>
      <c r="D38" s="181"/>
      <c r="E38" s="181"/>
      <c r="F38" s="201"/>
      <c r="G38" s="181"/>
      <c r="H38" s="996"/>
      <c r="I38" s="996"/>
      <c r="J38" s="996"/>
      <c r="K38" s="996"/>
      <c r="L38" s="1072"/>
      <c r="M38" s="1072"/>
      <c r="N38" s="1072"/>
      <c r="O38" s="1072"/>
      <c r="P38" s="80"/>
      <c r="Q38" s="4"/>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1"/>
      <c r="E39" s="181"/>
      <c r="F39" s="201"/>
      <c r="G39" s="181"/>
      <c r="H39" s="996"/>
      <c r="I39" s="996"/>
      <c r="J39" s="996"/>
      <c r="K39" s="996"/>
      <c r="L39" s="1072"/>
      <c r="M39" s="1072"/>
      <c r="N39" s="1072"/>
      <c r="O39" s="1072"/>
      <c r="P39" s="80"/>
      <c r="Q39" s="4"/>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4"/>
      <c r="AQ39" s="79"/>
      <c r="AR39" s="79"/>
    </row>
    <row r="40" ht="18" customHeight="1">
      <c r="C40" s="181"/>
      <c r="D40" s="181"/>
      <c r="E40" s="181"/>
      <c r="F40" s="201"/>
      <c r="G40" s="181"/>
      <c r="H40" s="996"/>
      <c r="I40" s="996"/>
      <c r="J40" s="996"/>
      <c r="K40" s="996"/>
      <c r="L40" s="1072"/>
      <c r="M40" s="1072"/>
      <c r="N40" s="1072"/>
      <c r="O40" s="1072"/>
      <c r="P40" s="80"/>
      <c r="Q40" s="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4"/>
      <c r="AQ40" s="79"/>
      <c r="AR40" s="79"/>
    </row>
    <row r="41" ht="18" customHeight="1">
      <c r="C41" s="181"/>
      <c r="D41" s="181"/>
      <c r="E41" s="181"/>
      <c r="F41" s="201"/>
      <c r="G41" s="181"/>
      <c r="H41" s="996"/>
      <c r="I41" s="996"/>
      <c r="J41" s="996"/>
      <c r="K41" s="996"/>
      <c r="L41" s="1072"/>
      <c r="M41" s="1072"/>
      <c r="N41" s="1072"/>
      <c r="O41" s="1072"/>
      <c r="P41" s="80"/>
      <c r="Q41" s="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4"/>
      <c r="AQ41" s="79"/>
      <c r="AR41" s="79"/>
    </row>
    <row r="42" ht="18" customHeight="1">
      <c r="C42" s="181"/>
      <c r="D42" s="181"/>
      <c r="E42" s="181"/>
      <c r="F42" s="201"/>
      <c r="G42" s="181"/>
      <c r="H42" s="996"/>
      <c r="I42" s="996"/>
      <c r="J42" s="996"/>
      <c r="K42" s="996"/>
      <c r="L42" s="1072"/>
      <c r="M42" s="1072"/>
      <c r="N42" s="1072"/>
      <c r="O42" s="1072"/>
      <c r="P42" s="80"/>
      <c r="Q42" s="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4"/>
      <c r="AQ42" s="79"/>
      <c r="AR42" s="79"/>
    </row>
    <row r="43" ht="18" customHeight="1">
      <c r="C43" s="181"/>
      <c r="D43" s="181"/>
      <c r="E43" s="181"/>
      <c r="F43" s="201"/>
      <c r="G43" s="181"/>
      <c r="H43" s="996"/>
      <c r="I43" s="996"/>
      <c r="J43" s="996"/>
      <c r="K43" s="996"/>
      <c r="L43" s="1072"/>
      <c r="M43" s="1072"/>
      <c r="N43" s="1072"/>
      <c r="O43" s="1072"/>
      <c r="P43" s="80"/>
      <c r="Q43" s="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4"/>
      <c r="AQ43" s="79"/>
      <c r="AR43" s="79"/>
    </row>
    <row r="44" ht="18" customHeight="1">
      <c r="C44" s="181"/>
      <c r="D44" s="181"/>
      <c r="E44" s="181"/>
      <c r="F44" s="201"/>
      <c r="G44" s="181"/>
      <c r="H44" s="996"/>
      <c r="I44" s="996"/>
      <c r="J44" s="996"/>
      <c r="K44" s="996"/>
      <c r="L44" s="1072"/>
      <c r="M44" s="1072"/>
      <c r="N44" s="1072"/>
      <c r="O44" s="1072"/>
      <c r="P44" s="80"/>
      <c r="Q44" s="4"/>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4"/>
      <c r="AQ44" s="79"/>
      <c r="AR44" s="79"/>
    </row>
    <row r="45" ht="18" customHeight="1">
      <c r="C45" s="181"/>
      <c r="D45" s="181"/>
      <c r="E45" s="181"/>
      <c r="F45" s="201"/>
      <c r="G45" s="181"/>
      <c r="H45" s="996"/>
      <c r="I45" s="996"/>
      <c r="J45" s="996"/>
      <c r="K45" s="996"/>
      <c r="L45" s="1072"/>
      <c r="M45" s="1072"/>
      <c r="N45" s="1072"/>
      <c r="O45" s="1072"/>
      <c r="P45" s="80"/>
      <c r="Q45" s="4"/>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4"/>
      <c r="AQ45" s="79"/>
      <c r="AR45" s="79"/>
    </row>
    <row r="46" ht="18" customHeight="1">
      <c r="C46" s="181"/>
      <c r="D46" s="181"/>
      <c r="E46" s="181"/>
      <c r="F46" s="201"/>
      <c r="G46" s="181"/>
      <c r="H46" s="996"/>
      <c r="I46" s="996"/>
      <c r="J46" s="996"/>
      <c r="K46" s="996"/>
      <c r="L46" s="1072"/>
      <c r="M46" s="1072"/>
      <c r="N46" s="1072"/>
      <c r="O46" s="1072"/>
      <c r="P46" s="80"/>
      <c r="Q46" s="4"/>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4"/>
      <c r="AQ46" s="79"/>
      <c r="AR46" s="79"/>
    </row>
    <row r="47" ht="0" hidden="1" customHeight="1">
      <c r="C47" s="181"/>
      <c r="D47" s="181"/>
      <c r="E47" s="181"/>
      <c r="F47" s="201"/>
      <c r="G47" s="181"/>
      <c r="H47" s="996"/>
      <c r="I47" s="996"/>
      <c r="J47" s="996"/>
      <c r="K47" s="996"/>
      <c r="L47" s="1072"/>
      <c r="M47" s="1072"/>
      <c r="N47" s="1072"/>
      <c r="O47" s="1072"/>
      <c r="P47" s="80"/>
      <c r="Q47" s="4"/>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4"/>
      <c r="AQ47" s="79"/>
      <c r="AR47" s="79"/>
    </row>
    <row r="48" ht="0" hidden="1" customHeight="1">
      <c r="C48" s="181"/>
      <c r="D48" s="181"/>
      <c r="E48" s="181"/>
      <c r="F48" s="201"/>
      <c r="G48" s="181"/>
      <c r="H48" s="996"/>
      <c r="I48" s="996"/>
      <c r="J48" s="996"/>
      <c r="K48" s="996"/>
      <c r="L48" s="1072"/>
      <c r="M48" s="1072"/>
      <c r="N48" s="1072"/>
      <c r="O48" s="1072"/>
      <c r="P48" s="80"/>
      <c r="Q48" s="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4"/>
      <c r="AQ48" s="79"/>
      <c r="AR48" s="79"/>
    </row>
    <row r="49" ht="0" hidden="1" customHeight="1">
      <c r="C49" s="181"/>
      <c r="D49" s="181"/>
      <c r="E49" s="181"/>
      <c r="F49" s="201"/>
      <c r="G49" s="181"/>
      <c r="H49" s="996"/>
      <c r="I49" s="996"/>
      <c r="J49" s="996"/>
      <c r="K49" s="996"/>
      <c r="L49" s="1072"/>
      <c r="M49" s="1072"/>
      <c r="N49" s="1072"/>
      <c r="O49" s="1072"/>
      <c r="P49" s="80"/>
      <c r="Q49" s="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4"/>
      <c r="AQ49" s="79"/>
      <c r="AR49" s="79"/>
    </row>
    <row r="50" ht="0" hidden="1" customHeight="1">
      <c r="C50" s="181"/>
      <c r="D50" s="181"/>
      <c r="E50" s="181"/>
      <c r="F50" s="201"/>
      <c r="G50" s="181"/>
      <c r="H50" s="996"/>
      <c r="I50" s="996"/>
      <c r="J50" s="996"/>
      <c r="K50" s="996"/>
      <c r="L50" s="1072"/>
      <c r="M50" s="1072"/>
      <c r="N50" s="1072"/>
      <c r="O50" s="1072"/>
      <c r="P50" s="80"/>
      <c r="Q50" s="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4"/>
      <c r="AQ50" s="79"/>
      <c r="AR50" s="79"/>
    </row>
    <row r="51" ht="0" hidden="1" customHeight="1">
      <c r="C51" s="181"/>
      <c r="D51" s="181"/>
      <c r="E51" s="181"/>
      <c r="F51" s="201"/>
      <c r="G51" s="181"/>
      <c r="H51" s="996"/>
      <c r="I51" s="996"/>
      <c r="J51" s="996"/>
      <c r="K51" s="996"/>
      <c r="L51" s="1072"/>
      <c r="M51" s="1072"/>
      <c r="N51" s="1072"/>
      <c r="O51" s="1072"/>
      <c r="P51" s="80"/>
      <c r="Q51" s="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4"/>
      <c r="AQ51" s="79"/>
      <c r="AR51" s="79"/>
    </row>
    <row r="52" s="0" customFormat="1" ht="0" hidden="1" customHeight="1">
      <c r="B52" s="21"/>
      <c r="C52" s="181"/>
      <c r="D52" s="181"/>
      <c r="E52" s="181"/>
      <c r="F52" s="201"/>
      <c r="G52" s="181"/>
      <c r="H52" s="996"/>
      <c r="I52" s="996"/>
      <c r="J52" s="996"/>
      <c r="K52" s="996"/>
      <c r="L52" s="1072"/>
      <c r="M52" s="1072"/>
      <c r="N52" s="1072"/>
      <c r="O52" s="1072"/>
      <c r="P52" s="80"/>
      <c r="Q52" s="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21"/>
      <c r="C53" s="181"/>
      <c r="D53" s="181"/>
      <c r="E53" s="181"/>
      <c r="F53" s="201"/>
      <c r="G53" s="181"/>
      <c r="H53" s="996"/>
      <c r="I53" s="996"/>
      <c r="J53" s="996"/>
      <c r="K53" s="996"/>
      <c r="L53" s="1072"/>
      <c r="M53" s="1072"/>
      <c r="N53" s="1072"/>
      <c r="O53" s="1072"/>
      <c r="P53" s="80"/>
      <c r="Q53" s="4"/>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21"/>
      <c r="C54" s="181"/>
      <c r="D54" s="181"/>
      <c r="E54" s="181"/>
      <c r="F54" s="201"/>
      <c r="G54" s="181"/>
      <c r="H54" s="996"/>
      <c r="I54" s="996"/>
      <c r="J54" s="996"/>
      <c r="K54" s="996"/>
      <c r="L54" s="1072"/>
      <c r="M54" s="1072"/>
      <c r="N54" s="1072"/>
      <c r="O54" s="1072"/>
      <c r="P54" s="80"/>
      <c r="Q54" s="4"/>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21"/>
      <c r="C55" s="181"/>
      <c r="D55" s="181"/>
      <c r="E55" s="181"/>
      <c r="F55" s="201"/>
      <c r="G55" s="181"/>
      <c r="H55" s="996"/>
      <c r="I55" s="996"/>
      <c r="J55" s="996"/>
      <c r="K55" s="996"/>
      <c r="L55" s="1072"/>
      <c r="M55" s="1072"/>
      <c r="N55" s="1072"/>
      <c r="O55" s="1072"/>
      <c r="P55" s="80"/>
      <c r="Q55" s="4"/>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21"/>
      <c r="C56" s="181"/>
      <c r="D56" s="181"/>
      <c r="E56" s="181"/>
      <c r="F56" s="201"/>
      <c r="G56" s="181"/>
      <c r="H56" s="996"/>
      <c r="I56" s="996"/>
      <c r="J56" s="996"/>
      <c r="K56" s="996"/>
      <c r="L56" s="1072"/>
      <c r="M56" s="1072"/>
      <c r="N56" s="1072"/>
      <c r="O56" s="1072"/>
      <c r="P56" s="80"/>
      <c r="Q56" s="4"/>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21"/>
      <c r="C57" s="181"/>
      <c r="D57" s="181"/>
      <c r="E57" s="181"/>
      <c r="F57" s="201"/>
      <c r="G57" s="181"/>
      <c r="H57" s="996"/>
      <c r="I57" s="996"/>
      <c r="J57" s="996"/>
      <c r="K57" s="996"/>
      <c r="L57" s="1072"/>
      <c r="M57" s="1072"/>
      <c r="N57" s="1072"/>
      <c r="O57" s="1072"/>
      <c r="P57" s="80"/>
      <c r="Q57" s="4"/>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21"/>
      <c r="C58" s="181"/>
      <c r="D58" s="181"/>
      <c r="E58" s="181"/>
      <c r="F58" s="201"/>
      <c r="G58" s="181"/>
      <c r="H58" s="996"/>
      <c r="I58" s="996"/>
      <c r="J58" s="996"/>
      <c r="K58" s="996"/>
      <c r="L58" s="1072"/>
      <c r="M58" s="1072"/>
      <c r="N58" s="1072"/>
      <c r="O58" s="1072"/>
      <c r="P58" s="80"/>
      <c r="Q58" s="4"/>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1"/>
      <c r="E59" s="181"/>
      <c r="F59" s="201"/>
      <c r="G59" s="181"/>
      <c r="H59" s="996"/>
      <c r="I59" s="996"/>
      <c r="J59" s="996"/>
      <c r="K59" s="996"/>
      <c r="L59" s="1072"/>
      <c r="M59" s="1072"/>
      <c r="N59" s="1072"/>
      <c r="O59" s="1072"/>
      <c r="P59" s="80"/>
      <c r="Q59" s="4"/>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4"/>
      <c r="AQ59" s="79"/>
      <c r="AR59" s="79"/>
    </row>
    <row r="60" ht="0" hidden="1" customHeight="1">
      <c r="C60" s="181"/>
      <c r="D60" s="181"/>
      <c r="E60" s="181"/>
      <c r="F60" s="201"/>
      <c r="G60" s="181"/>
      <c r="H60" s="996"/>
      <c r="I60" s="996"/>
      <c r="J60" s="996"/>
      <c r="K60" s="996"/>
      <c r="L60" s="1072"/>
      <c r="M60" s="1072"/>
      <c r="N60" s="1072"/>
      <c r="O60" s="1072"/>
      <c r="P60" s="80"/>
      <c r="Q60" s="4"/>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4"/>
      <c r="AQ60" s="79"/>
      <c r="AR60" s="79"/>
    </row>
    <row r="61" ht="0" hidden="1" customHeight="1">
      <c r="C61" s="181"/>
      <c r="D61" s="181"/>
      <c r="E61" s="181"/>
      <c r="F61" s="201"/>
      <c r="G61" s="181"/>
      <c r="H61" s="996"/>
      <c r="I61" s="996"/>
      <c r="J61" s="996"/>
      <c r="K61" s="996"/>
      <c r="L61" s="1072"/>
      <c r="M61" s="1072"/>
      <c r="N61" s="1072"/>
      <c r="O61" s="1072"/>
      <c r="P61" s="80"/>
      <c r="Q61" s="4"/>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4"/>
      <c r="AQ61" s="79"/>
      <c r="AR61" s="79"/>
    </row>
    <row r="62" ht="0" hidden="1" customHeight="1">
      <c r="C62" s="181"/>
      <c r="D62" s="181"/>
      <c r="E62" s="181"/>
      <c r="F62" s="201"/>
      <c r="G62" s="181"/>
      <c r="H62" s="996"/>
      <c r="I62" s="996"/>
      <c r="J62" s="996"/>
      <c r="K62" s="996"/>
      <c r="L62" s="1072"/>
      <c r="M62" s="1072"/>
      <c r="N62" s="1072"/>
      <c r="O62" s="1072"/>
      <c r="P62" s="80"/>
      <c r="Q62" s="4"/>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4"/>
      <c r="AQ62" s="79"/>
      <c r="AR62" s="79"/>
    </row>
    <row r="63" ht="0" hidden="1" customHeight="1">
      <c r="C63" s="181"/>
      <c r="D63" s="181"/>
      <c r="E63" s="181"/>
      <c r="F63" s="201"/>
      <c r="G63" s="181"/>
      <c r="H63" s="996"/>
      <c r="I63" s="996"/>
      <c r="J63" s="996"/>
      <c r="K63" s="996"/>
      <c r="L63" s="1072"/>
      <c r="M63" s="1072"/>
      <c r="N63" s="1072"/>
      <c r="O63" s="1072"/>
      <c r="P63" s="80"/>
      <c r="Q63" s="4"/>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4"/>
      <c r="AQ63" s="79"/>
      <c r="AR63" s="79"/>
    </row>
    <row r="64" ht="0" hidden="1" customHeight="1">
      <c r="C64" s="181"/>
      <c r="D64" s="181"/>
      <c r="E64" s="181"/>
      <c r="F64" s="201"/>
      <c r="G64" s="181"/>
      <c r="H64" s="996"/>
      <c r="I64" s="996"/>
      <c r="J64" s="996"/>
      <c r="K64" s="996"/>
      <c r="L64" s="1072"/>
      <c r="M64" s="1072"/>
      <c r="N64" s="1072"/>
      <c r="O64" s="1072"/>
      <c r="P64" s="80"/>
      <c r="Q64" s="4"/>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4"/>
      <c r="AQ64" s="79"/>
      <c r="AR64" s="79"/>
    </row>
    <row r="65" ht="0" hidden="1" customHeight="1">
      <c r="C65" s="181"/>
      <c r="D65" s="181"/>
      <c r="E65" s="181"/>
      <c r="F65" s="201"/>
      <c r="G65" s="181"/>
      <c r="H65" s="996"/>
      <c r="I65" s="996"/>
      <c r="J65" s="996"/>
      <c r="K65" s="996"/>
      <c r="L65" s="1072"/>
      <c r="M65" s="1072"/>
      <c r="N65" s="1072"/>
      <c r="O65" s="1072"/>
      <c r="P65" s="80"/>
      <c r="Q65" s="4"/>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4"/>
      <c r="AQ65" s="79"/>
      <c r="AR65" s="79"/>
    </row>
    <row r="66" ht="0" hidden="1" customHeight="1">
      <c r="C66" s="181"/>
      <c r="D66" s="181"/>
      <c r="E66" s="181"/>
      <c r="F66" s="201"/>
      <c r="G66" s="181"/>
      <c r="H66" s="996"/>
      <c r="I66" s="996"/>
      <c r="J66" s="996"/>
      <c r="K66" s="996"/>
      <c r="L66" s="1072"/>
      <c r="M66" s="1072"/>
      <c r="N66" s="1072"/>
      <c r="O66" s="1072"/>
      <c r="P66" s="80"/>
      <c r="Q66" s="4"/>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4"/>
      <c r="AQ66" s="79"/>
      <c r="AR66" s="79"/>
    </row>
    <row r="67" ht="0" hidden="1" customHeight="1">
      <c r="C67" s="181"/>
      <c r="D67" s="181"/>
      <c r="E67" s="181"/>
      <c r="F67" s="201"/>
      <c r="G67" s="181"/>
      <c r="H67" s="996"/>
      <c r="I67" s="996"/>
      <c r="J67" s="996"/>
      <c r="K67" s="996"/>
      <c r="L67" s="1072"/>
      <c r="M67" s="1072"/>
      <c r="N67" s="1072"/>
      <c r="O67" s="1072"/>
      <c r="P67" s="80"/>
      <c r="Q67" s="4"/>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4"/>
      <c r="AQ67" s="79"/>
      <c r="AR67" s="79"/>
    </row>
    <row r="68" ht="0" hidden="1" customHeight="1">
      <c r="C68" s="181"/>
      <c r="D68" s="181"/>
      <c r="E68" s="181"/>
      <c r="F68" s="201"/>
      <c r="G68" s="181"/>
      <c r="H68" s="996"/>
      <c r="I68" s="996"/>
      <c r="J68" s="996"/>
      <c r="K68" s="996"/>
      <c r="L68" s="1072"/>
      <c r="M68" s="1072"/>
      <c r="N68" s="1072"/>
      <c r="O68" s="1072"/>
      <c r="P68" s="80"/>
      <c r="Q68" s="4"/>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4"/>
      <c r="AQ68" s="79"/>
      <c r="AR68" s="79"/>
    </row>
    <row r="69" ht="0" hidden="1" customHeight="1">
      <c r="C69" s="181"/>
      <c r="D69" s="181"/>
      <c r="E69" s="181"/>
      <c r="F69" s="201"/>
      <c r="G69" s="181"/>
      <c r="H69" s="996"/>
      <c r="I69" s="996"/>
      <c r="J69" s="996"/>
      <c r="K69" s="996"/>
      <c r="L69" s="1072"/>
      <c r="M69" s="1072"/>
      <c r="N69" s="1072"/>
      <c r="O69" s="1072"/>
      <c r="P69" s="80"/>
      <c r="Q69" s="4"/>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4"/>
      <c r="AQ69" s="79"/>
      <c r="AR69" s="79"/>
    </row>
    <row r="70" ht="0" hidden="1" customHeight="1">
      <c r="C70" s="181"/>
      <c r="D70" s="181"/>
      <c r="E70" s="181"/>
      <c r="F70" s="201"/>
      <c r="G70" s="181"/>
      <c r="H70" s="996"/>
      <c r="I70" s="996"/>
      <c r="J70" s="996"/>
      <c r="K70" s="996"/>
      <c r="L70" s="1072"/>
      <c r="M70" s="1072"/>
      <c r="N70" s="1072"/>
      <c r="O70" s="1072"/>
      <c r="P70" s="80"/>
      <c r="Q70" s="4"/>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4"/>
      <c r="AQ70" s="79"/>
      <c r="AR70" s="79"/>
    </row>
    <row r="71" ht="0" hidden="1" customHeight="1">
      <c r="C71" s="181"/>
      <c r="D71" s="181"/>
      <c r="E71" s="181"/>
      <c r="F71" s="201"/>
      <c r="G71" s="181"/>
      <c r="H71" s="996"/>
      <c r="I71" s="996"/>
      <c r="J71" s="996"/>
      <c r="K71" s="996"/>
      <c r="L71" s="1072"/>
      <c r="M71" s="1072"/>
      <c r="N71" s="1072"/>
      <c r="O71" s="1072"/>
      <c r="P71" s="80"/>
      <c r="Q71" s="4"/>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4"/>
      <c r="AQ71" s="79"/>
      <c r="AR71" s="79"/>
    </row>
    <row r="72" ht="0" hidden="1" customHeight="1">
      <c r="C72" s="181"/>
      <c r="D72" s="181"/>
      <c r="E72" s="181"/>
      <c r="F72" s="201"/>
      <c r="G72" s="181"/>
      <c r="H72" s="996"/>
      <c r="I72" s="996"/>
      <c r="J72" s="996"/>
      <c r="K72" s="996"/>
      <c r="L72" s="1072"/>
      <c r="M72" s="1072"/>
      <c r="N72" s="1072"/>
      <c r="O72" s="1072"/>
      <c r="P72" s="80"/>
      <c r="Q72" s="4"/>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4"/>
      <c r="AQ72" s="79"/>
      <c r="AR72" s="79"/>
    </row>
    <row r="73" ht="0" hidden="1" customHeight="1">
      <c r="C73" s="181"/>
      <c r="D73" s="181"/>
      <c r="E73" s="181"/>
      <c r="F73" s="201"/>
      <c r="G73" s="181"/>
      <c r="H73" s="996"/>
      <c r="I73" s="996"/>
      <c r="J73" s="996"/>
      <c r="K73" s="996"/>
      <c r="L73" s="1072"/>
      <c r="M73" s="1072"/>
      <c r="N73" s="1072"/>
      <c r="O73" s="1072"/>
      <c r="P73" s="80"/>
      <c r="Q73" s="4"/>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4"/>
      <c r="AQ73" s="79"/>
      <c r="AR73" s="79"/>
    </row>
    <row r="74" ht="0" hidden="1" customHeight="1">
      <c r="C74" s="181"/>
      <c r="D74" s="181"/>
      <c r="E74" s="181"/>
      <c r="F74" s="201"/>
      <c r="G74" s="181"/>
      <c r="H74" s="996"/>
      <c r="I74" s="996"/>
      <c r="J74" s="996"/>
      <c r="K74" s="996"/>
      <c r="L74" s="1072"/>
      <c r="M74" s="1072"/>
      <c r="N74" s="1072"/>
      <c r="O74" s="1072"/>
      <c r="P74" s="80"/>
      <c r="Q74" s="4"/>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4"/>
      <c r="AQ74" s="79"/>
      <c r="AR74" s="79"/>
    </row>
    <row r="75" ht="0" hidden="1" customHeight="1">
      <c r="C75" s="181"/>
      <c r="D75" s="181"/>
      <c r="E75" s="181"/>
      <c r="F75" s="201"/>
      <c r="G75" s="181"/>
      <c r="H75" s="996"/>
      <c r="I75" s="996"/>
      <c r="J75" s="996"/>
      <c r="K75" s="996"/>
      <c r="L75" s="1072"/>
      <c r="M75" s="1072"/>
      <c r="N75" s="1072"/>
      <c r="O75" s="1072"/>
      <c r="P75" s="80"/>
      <c r="Q75" s="4"/>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4"/>
      <c r="AQ75" s="79"/>
      <c r="AR75" s="79"/>
    </row>
    <row r="76" ht="0" hidden="1" customHeight="1">
      <c r="C76" s="181"/>
      <c r="D76" s="181"/>
      <c r="E76" s="181"/>
      <c r="F76" s="201"/>
      <c r="G76" s="181"/>
      <c r="H76" s="996"/>
      <c r="I76" s="996"/>
      <c r="J76" s="996"/>
      <c r="K76" s="996"/>
      <c r="L76" s="1072"/>
      <c r="M76" s="1072"/>
      <c r="N76" s="1072"/>
      <c r="O76" s="1072"/>
      <c r="P76" s="80"/>
      <c r="Q76" s="4"/>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4"/>
      <c r="AQ76" s="79"/>
      <c r="AR76" s="79"/>
    </row>
    <row r="77" ht="0" hidden="1" customHeight="1">
      <c r="C77" s="181"/>
      <c r="D77" s="181"/>
      <c r="E77" s="181"/>
      <c r="F77" s="201"/>
      <c r="G77" s="181"/>
      <c r="H77" s="996"/>
      <c r="I77" s="996"/>
      <c r="J77" s="996"/>
      <c r="K77" s="996"/>
      <c r="L77" s="1072"/>
      <c r="M77" s="1072"/>
      <c r="N77" s="1072"/>
      <c r="O77" s="1072"/>
      <c r="P77" s="80"/>
      <c r="Q77" s="4"/>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4"/>
      <c r="AQ77" s="79"/>
      <c r="AR77" s="79"/>
    </row>
    <row r="78" ht="0" hidden="1" customHeight="1">
      <c r="C78" s="181"/>
      <c r="D78" s="181"/>
      <c r="E78" s="181"/>
      <c r="F78" s="201"/>
      <c r="G78" s="181"/>
      <c r="H78" s="996"/>
      <c r="I78" s="996"/>
      <c r="J78" s="996"/>
      <c r="K78" s="996"/>
      <c r="L78" s="1072"/>
      <c r="M78" s="1072"/>
      <c r="N78" s="1072"/>
      <c r="O78" s="1072"/>
      <c r="P78" s="80"/>
      <c r="Q78" s="4"/>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4"/>
      <c r="AQ78" s="79"/>
      <c r="AR78" s="79"/>
    </row>
    <row r="79" ht="0" hidden="1" customHeight="1">
      <c r="C79" s="181"/>
      <c r="D79" s="181"/>
      <c r="E79" s="181"/>
      <c r="F79" s="201"/>
      <c r="G79" s="181"/>
      <c r="H79" s="996"/>
      <c r="I79" s="996"/>
      <c r="J79" s="996"/>
      <c r="K79" s="996"/>
      <c r="L79" s="1072"/>
      <c r="M79" s="1072"/>
      <c r="N79" s="1072"/>
      <c r="O79" s="1072"/>
      <c r="P79" s="80"/>
      <c r="Q79" s="4"/>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4"/>
      <c r="AQ79" s="79"/>
      <c r="AR79" s="79"/>
    </row>
    <row r="80" ht="0" hidden="1" customHeight="1">
      <c r="C80" s="181"/>
      <c r="D80" s="181"/>
      <c r="E80" s="181"/>
      <c r="F80" s="201"/>
      <c r="G80" s="181"/>
      <c r="H80" s="996"/>
      <c r="I80" s="996"/>
      <c r="J80" s="996"/>
      <c r="K80" s="996"/>
      <c r="L80" s="1072"/>
      <c r="M80" s="1072"/>
      <c r="N80" s="1072"/>
      <c r="O80" s="1072"/>
      <c r="P80" s="80"/>
      <c r="Q80" s="4"/>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4"/>
      <c r="AQ80" s="79"/>
      <c r="AR80" s="79"/>
    </row>
    <row r="81" ht="0" hidden="1" customHeight="1">
      <c r="C81" s="181"/>
      <c r="D81" s="181"/>
      <c r="E81" s="181"/>
      <c r="F81" s="201"/>
      <c r="G81" s="181"/>
      <c r="H81" s="996"/>
      <c r="I81" s="996"/>
      <c r="J81" s="996"/>
      <c r="K81" s="996"/>
      <c r="L81" s="1072"/>
      <c r="M81" s="1072"/>
      <c r="N81" s="1072"/>
      <c r="O81" s="1072"/>
      <c r="P81" s="80"/>
      <c r="Q81" s="4"/>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4"/>
      <c r="AQ81" s="79"/>
      <c r="AR81" s="79"/>
    </row>
    <row r="82" ht="0" hidden="1" customHeight="1">
      <c r="C82" s="181"/>
      <c r="D82" s="181"/>
      <c r="E82" s="181"/>
      <c r="F82" s="201"/>
      <c r="G82" s="181"/>
      <c r="H82" s="996"/>
      <c r="I82" s="996"/>
      <c r="J82" s="996"/>
      <c r="K82" s="996"/>
      <c r="L82" s="1072"/>
      <c r="M82" s="1072"/>
      <c r="N82" s="1072"/>
      <c r="O82" s="1072"/>
      <c r="P82" s="80"/>
      <c r="Q82" s="4"/>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4"/>
      <c r="AQ82" s="79"/>
      <c r="AR82" s="79"/>
    </row>
    <row r="83" ht="0" hidden="1" customHeight="1">
      <c r="C83" s="181"/>
      <c r="D83" s="181"/>
      <c r="E83" s="181"/>
      <c r="F83" s="201"/>
      <c r="G83" s="181"/>
      <c r="H83" s="996"/>
      <c r="I83" s="996"/>
      <c r="J83" s="996"/>
      <c r="K83" s="996"/>
      <c r="L83" s="1072"/>
      <c r="M83" s="1072"/>
      <c r="N83" s="1072"/>
      <c r="O83" s="1072"/>
      <c r="P83" s="80"/>
      <c r="Q83" s="4"/>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4"/>
      <c r="AQ83" s="79"/>
      <c r="AR83" s="79"/>
    </row>
    <row r="84" ht="0" hidden="1" customHeight="1">
      <c r="C84" s="181"/>
      <c r="D84" s="181"/>
      <c r="E84" s="181"/>
      <c r="F84" s="201"/>
      <c r="G84" s="181"/>
      <c r="H84" s="996"/>
      <c r="I84" s="996"/>
      <c r="J84" s="996"/>
      <c r="K84" s="996"/>
      <c r="L84" s="1072"/>
      <c r="M84" s="1072"/>
      <c r="N84" s="1072"/>
      <c r="O84" s="1072"/>
      <c r="P84" s="80"/>
      <c r="Q84" s="4"/>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4"/>
      <c r="AQ84" s="79"/>
      <c r="AR84" s="79"/>
    </row>
    <row r="85" ht="0" hidden="1" customHeight="1">
      <c r="C85" s="181"/>
      <c r="D85" s="181"/>
      <c r="E85" s="181"/>
      <c r="F85" s="201"/>
      <c r="G85" s="181"/>
      <c r="H85" s="996"/>
      <c r="I85" s="996"/>
      <c r="J85" s="996"/>
      <c r="K85" s="996"/>
      <c r="L85" s="1072"/>
      <c r="M85" s="1072"/>
      <c r="N85" s="1072"/>
      <c r="O85" s="1072"/>
      <c r="P85" s="80"/>
      <c r="Q85" s="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4"/>
      <c r="AQ85" s="79"/>
      <c r="AR85" s="79"/>
    </row>
    <row r="86" ht="0" hidden="1" customHeight="1">
      <c r="C86" s="181"/>
      <c r="D86" s="181"/>
      <c r="E86" s="181"/>
      <c r="F86" s="201"/>
      <c r="G86" s="181"/>
      <c r="H86" s="996"/>
      <c r="I86" s="996"/>
      <c r="J86" s="996"/>
      <c r="K86" s="996"/>
      <c r="L86" s="1072"/>
      <c r="M86" s="1072"/>
      <c r="N86" s="1072"/>
      <c r="O86" s="1072"/>
      <c r="P86" s="80"/>
      <c r="Q86" s="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4"/>
      <c r="AQ86" s="79"/>
      <c r="AR86" s="79"/>
    </row>
    <row r="87" ht="0" hidden="1" customHeight="1">
      <c r="C87" s="181"/>
      <c r="D87" s="181"/>
      <c r="E87" s="181"/>
      <c r="F87" s="201"/>
      <c r="G87" s="181"/>
      <c r="H87" s="996"/>
      <c r="I87" s="996"/>
      <c r="J87" s="996"/>
      <c r="K87" s="996"/>
      <c r="L87" s="1072"/>
      <c r="M87" s="1072"/>
      <c r="N87" s="1072"/>
      <c r="O87" s="1072"/>
      <c r="P87" s="80"/>
      <c r="Q87" s="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4"/>
      <c r="AQ87" s="79"/>
      <c r="AR87" s="79"/>
    </row>
    <row r="88" ht="0" hidden="1" customHeight="1">
      <c r="C88" s="181"/>
      <c r="D88" s="181"/>
      <c r="E88" s="181"/>
      <c r="F88" s="201"/>
      <c r="G88" s="181"/>
      <c r="H88" s="996"/>
      <c r="I88" s="996"/>
      <c r="J88" s="996"/>
      <c r="K88" s="996"/>
      <c r="L88" s="1072"/>
      <c r="M88" s="1072"/>
      <c r="N88" s="1072"/>
      <c r="O88" s="1072"/>
      <c r="P88" s="80"/>
      <c r="Q88" s="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4"/>
      <c r="AQ88" s="79"/>
      <c r="AR88" s="79"/>
    </row>
    <row r="89" ht="0" hidden="1" customHeight="1">
      <c r="C89" s="181"/>
      <c r="D89" s="181"/>
      <c r="E89" s="181"/>
      <c r="F89" s="201"/>
      <c r="G89" s="181"/>
      <c r="H89" s="996"/>
      <c r="I89" s="996"/>
      <c r="J89" s="996"/>
      <c r="K89" s="996"/>
      <c r="L89" s="1072"/>
      <c r="M89" s="1072"/>
      <c r="N89" s="1072"/>
      <c r="O89" s="1072"/>
      <c r="P89" s="80"/>
      <c r="Q89" s="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4"/>
      <c r="AQ89" s="79"/>
      <c r="AR89" s="79"/>
    </row>
    <row r="90" ht="0" hidden="1" customHeight="1">
      <c r="C90" s="181"/>
      <c r="D90" s="181"/>
      <c r="E90" s="181"/>
      <c r="F90" s="201"/>
      <c r="G90" s="181"/>
      <c r="H90" s="996"/>
      <c r="I90" s="996"/>
      <c r="J90" s="996"/>
      <c r="K90" s="996"/>
      <c r="L90" s="1072"/>
      <c r="M90" s="1072"/>
      <c r="N90" s="1072"/>
      <c r="O90" s="1072"/>
      <c r="P90" s="80"/>
      <c r="Q90" s="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4"/>
      <c r="AQ90" s="79"/>
      <c r="AR90" s="79"/>
    </row>
    <row r="91" ht="0" hidden="1" customHeight="1">
      <c r="C91" s="181"/>
      <c r="D91" s="181"/>
      <c r="E91" s="181"/>
      <c r="F91" s="201"/>
      <c r="G91" s="181"/>
      <c r="H91" s="996"/>
      <c r="I91" s="996"/>
      <c r="J91" s="996"/>
      <c r="K91" s="996"/>
      <c r="L91" s="1072"/>
      <c r="M91" s="1072"/>
      <c r="N91" s="1072"/>
      <c r="O91" s="1072"/>
      <c r="P91" s="80"/>
      <c r="Q91" s="4"/>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4"/>
      <c r="AQ91" s="79"/>
      <c r="AR91" s="79"/>
    </row>
    <row r="92" ht="0" hidden="1" customHeight="1">
      <c r="C92" s="181"/>
      <c r="D92" s="181"/>
      <c r="E92" s="181"/>
      <c r="F92" s="201"/>
      <c r="G92" s="181"/>
      <c r="H92" s="996"/>
      <c r="I92" s="996"/>
      <c r="J92" s="996"/>
      <c r="K92" s="996"/>
      <c r="L92" s="1072"/>
      <c r="M92" s="1072"/>
      <c r="N92" s="1072"/>
      <c r="O92" s="1072"/>
      <c r="P92" s="80"/>
      <c r="Q92" s="4"/>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4"/>
      <c r="AQ92" s="79"/>
      <c r="AR92" s="79"/>
    </row>
    <row r="93" ht="0" hidden="1" customHeight="1">
      <c r="C93" s="181"/>
      <c r="D93" s="181"/>
      <c r="E93" s="181"/>
      <c r="F93" s="201"/>
      <c r="G93" s="181"/>
      <c r="H93" s="996"/>
      <c r="I93" s="996"/>
      <c r="J93" s="996"/>
      <c r="K93" s="996"/>
      <c r="L93" s="1072"/>
      <c r="M93" s="1072"/>
      <c r="N93" s="1072"/>
      <c r="O93" s="1072"/>
      <c r="P93" s="80"/>
      <c r="Q93" s="4"/>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4"/>
      <c r="AQ93" s="79"/>
      <c r="AR93" s="79"/>
    </row>
    <row r="94" ht="0" hidden="1" customHeight="1">
      <c r="C94" s="181"/>
      <c r="D94" s="181"/>
      <c r="E94" s="181"/>
      <c r="F94" s="201"/>
      <c r="G94" s="181"/>
      <c r="H94" s="996"/>
      <c r="I94" s="996"/>
      <c r="J94" s="996"/>
      <c r="K94" s="996"/>
      <c r="L94" s="1072"/>
      <c r="M94" s="1072"/>
      <c r="N94" s="1072"/>
      <c r="O94" s="1072"/>
      <c r="P94" s="80"/>
      <c r="Q94" s="4"/>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4"/>
      <c r="AQ94" s="79"/>
      <c r="AR94" s="79"/>
    </row>
    <row r="95" ht="0" hidden="1" customHeight="1">
      <c r="C95" s="181"/>
      <c r="D95" s="181"/>
      <c r="E95" s="181"/>
      <c r="F95" s="201"/>
      <c r="G95" s="181"/>
      <c r="H95" s="996"/>
      <c r="I95" s="996"/>
      <c r="J95" s="996"/>
      <c r="K95" s="996"/>
      <c r="L95" s="1072"/>
      <c r="M95" s="1072"/>
      <c r="N95" s="1072"/>
      <c r="O95" s="1072"/>
      <c r="P95" s="80"/>
      <c r="Q95" s="4"/>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4"/>
      <c r="AQ95" s="79"/>
      <c r="AR95" s="79"/>
    </row>
    <row r="96" ht="0" hidden="1" customHeight="1">
      <c r="C96" s="181"/>
      <c r="D96" s="181"/>
      <c r="E96" s="181"/>
      <c r="F96" s="201"/>
      <c r="G96" s="181"/>
      <c r="H96" s="996"/>
      <c r="I96" s="996"/>
      <c r="J96" s="996"/>
      <c r="K96" s="996"/>
      <c r="L96" s="1072"/>
      <c r="M96" s="1072"/>
      <c r="N96" s="1072"/>
      <c r="O96" s="1072"/>
      <c r="P96" s="80"/>
      <c r="Q96" s="4"/>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4"/>
      <c r="AQ96" s="79"/>
      <c r="AR96" s="79"/>
    </row>
    <row r="97" ht="0" hidden="1" customHeight="1">
      <c r="C97" s="181"/>
      <c r="D97" s="181"/>
      <c r="E97" s="181"/>
      <c r="F97" s="201"/>
      <c r="G97" s="181"/>
      <c r="H97" s="996"/>
      <c r="I97" s="996"/>
      <c r="J97" s="996"/>
      <c r="K97" s="996"/>
      <c r="L97" s="1072"/>
      <c r="M97" s="1072"/>
      <c r="N97" s="1072"/>
      <c r="O97" s="1072"/>
      <c r="P97" s="80"/>
      <c r="Q97" s="4"/>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4"/>
      <c r="AQ97" s="79"/>
      <c r="AR97" s="79"/>
    </row>
    <row r="98" ht="0" hidden="1" customHeight="1">
      <c r="C98" s="181"/>
      <c r="D98" s="181"/>
      <c r="E98" s="181"/>
      <c r="F98" s="201"/>
      <c r="G98" s="181"/>
      <c r="H98" s="996"/>
      <c r="I98" s="996"/>
      <c r="J98" s="996"/>
      <c r="K98" s="996"/>
      <c r="L98" s="1072"/>
      <c r="M98" s="1072"/>
      <c r="N98" s="1072"/>
      <c r="O98" s="1072"/>
      <c r="P98" s="80"/>
      <c r="Q98" s="4"/>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4"/>
      <c r="AQ98" s="79"/>
      <c r="AR98" s="79"/>
    </row>
    <row r="99" ht="0" hidden="1" customHeight="1">
      <c r="C99" s="181"/>
      <c r="D99" s="181"/>
      <c r="E99" s="181"/>
      <c r="F99" s="201"/>
      <c r="G99" s="181"/>
      <c r="H99" s="996"/>
      <c r="I99" s="996"/>
      <c r="J99" s="996"/>
      <c r="K99" s="996"/>
      <c r="L99" s="1072"/>
      <c r="M99" s="1072"/>
      <c r="N99" s="1072"/>
      <c r="O99" s="1072"/>
      <c r="P99" s="80"/>
      <c r="Q99" s="4"/>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4"/>
      <c r="AQ99" s="79"/>
      <c r="AR99" s="79"/>
    </row>
    <row r="100" ht="0" hidden="1" customHeight="1">
      <c r="C100" s="181"/>
      <c r="D100" s="181"/>
      <c r="E100" s="181"/>
      <c r="F100" s="201"/>
      <c r="G100" s="181"/>
      <c r="H100" s="996"/>
      <c r="I100" s="996"/>
      <c r="J100" s="996"/>
      <c r="K100" s="996"/>
      <c r="L100" s="1072"/>
      <c r="M100" s="1072"/>
      <c r="N100" s="1072"/>
      <c r="O100" s="1072"/>
      <c r="P100" s="80"/>
      <c r="Q100" s="4"/>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4"/>
      <c r="AQ100" s="48"/>
      <c r="AR100" s="48"/>
    </row>
    <row r="101" ht="0" hidden="1" customHeight="1">
      <c r="C101" s="181"/>
      <c r="D101" s="181"/>
      <c r="E101" s="181"/>
      <c r="F101" s="201"/>
      <c r="G101" s="181"/>
      <c r="H101" s="996"/>
      <c r="I101" s="996"/>
      <c r="J101" s="996"/>
      <c r="K101" s="996"/>
      <c r="L101" s="1072"/>
      <c r="M101" s="1072"/>
      <c r="N101" s="1072"/>
      <c r="O101" s="1072"/>
      <c r="P101" s="80"/>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79"/>
      <c r="AR101" s="79"/>
    </row>
    <row r="102" ht="18" customHeight="1">
      <c r="C102" s="181"/>
      <c r="D102" s="181"/>
      <c r="E102" s="181"/>
      <c r="F102" s="201"/>
      <c r="G102" s="181"/>
      <c r="H102" s="996"/>
      <c r="I102" s="996"/>
      <c r="J102" s="996"/>
      <c r="K102" s="996"/>
      <c r="L102" s="1072"/>
      <c r="M102" s="1072"/>
      <c r="N102" s="1072"/>
      <c r="O102" s="1072"/>
      <c r="P102" s="80"/>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79"/>
      <c r="AR102" s="79"/>
    </row>
    <row r="103" ht="18" customHeight="1">
      <c r="C103" s="181"/>
      <c r="D103" s="181"/>
      <c r="E103" s="181"/>
      <c r="F103" s="201"/>
      <c r="G103" s="181"/>
      <c r="H103" s="996"/>
      <c r="I103" s="996"/>
      <c r="J103" s="996"/>
      <c r="K103" s="996"/>
      <c r="L103" s="1072"/>
      <c r="M103" s="1072"/>
      <c r="N103" s="1072"/>
      <c r="O103" s="1072"/>
      <c r="P103" s="80"/>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9" customHeight="1">
      <c r="E104" s="81"/>
      <c r="F104" s="202"/>
      <c r="R104" s="0"/>
      <c r="S104" s="0"/>
      <c r="T104" s="0"/>
      <c r="U104" s="0"/>
      <c r="V104" s="0"/>
      <c r="W104" s="0"/>
      <c r="X104" s="0"/>
      <c r="Y104" s="0"/>
      <c r="Z104" s="87"/>
      <c r="AA104" s="0"/>
      <c r="AB104" s="0"/>
      <c r="AC104" s="5"/>
      <c r="AD104" s="5"/>
      <c r="AE104" s="5"/>
      <c r="AF104" s="67"/>
      <c r="AG104" s="0"/>
      <c r="AH104" s="0"/>
      <c r="AI104" s="0"/>
      <c r="AJ104" s="5"/>
      <c r="AK104" s="0"/>
      <c r="AL104" s="0"/>
      <c r="AM104" s="0"/>
      <c r="AN104" s="0"/>
      <c r="AO104" s="0"/>
      <c r="AP104" s="0"/>
    </row>
    <row r="105" ht="39.95" customHeight="1">
      <c r="B105" s="0"/>
      <c r="C105" s="1075" t="s">
        <v>126</v>
      </c>
      <c r="D105" s="1075"/>
      <c r="E105" s="1075"/>
      <c r="F105" s="1075"/>
      <c r="G105" s="1075"/>
      <c r="H105" s="1075"/>
      <c r="I105" s="1075"/>
      <c r="J105" s="1075"/>
      <c r="K105" s="1075"/>
      <c r="L105" s="1075"/>
      <c r="M105" s="1075"/>
      <c r="N105" s="1075"/>
      <c r="O105" s="1075"/>
      <c r="P105" s="1075"/>
      <c r="Q105" s="1075"/>
      <c r="R105" s="1075"/>
      <c r="S105" s="1075"/>
      <c r="T105" s="1075"/>
      <c r="U105" s="1075"/>
      <c r="V105" s="1075"/>
      <c r="W105" s="1075"/>
      <c r="X105" s="1075"/>
      <c r="Y105" s="1075"/>
      <c r="Z105" s="1075"/>
      <c r="AA105" s="1075"/>
      <c r="AB105" s="1075"/>
      <c r="AC105" s="1075"/>
      <c r="AD105" s="1075"/>
      <c r="AE105" s="1075"/>
      <c r="AF105" s="1075"/>
      <c r="AG105" s="1075"/>
      <c r="AH105" s="1075"/>
      <c r="AI105" s="1075"/>
      <c r="AJ105" s="1075"/>
      <c r="AK105" s="1075"/>
      <c r="AL105" s="1075"/>
      <c r="AM105" s="1075"/>
      <c r="AN105" s="1075"/>
      <c r="AO105" s="1075"/>
      <c r="AP105" s="233"/>
    </row>
    <row r="106" s="84" customFormat="1" ht="12" customHeight="1">
      <c r="B106" s="84"/>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4">
    <mergeCell ref="C105:AO105"/>
    <mergeCell ref="AL9:AM9"/>
    <mergeCell ref="H43:K43"/>
    <mergeCell ref="L43:O43"/>
    <mergeCell ref="H38:K38"/>
    <mergeCell ref="L38:O38"/>
    <mergeCell ref="H39:K39"/>
    <mergeCell ref="L39:O39"/>
    <mergeCell ref="H40:K40"/>
    <mergeCell ref="L40:O40"/>
    <mergeCell ref="H41:K41"/>
    <mergeCell ref="AL10:AM10"/>
    <mergeCell ref="AH11:AI11"/>
    <mergeCell ref="AJ11:AK11"/>
    <mergeCell ref="AB10:AC10"/>
    <mergeCell ref="AD10:AE10"/>
    <mergeCell ref="AD12:AE12"/>
    <mergeCell ref="AF12:AG12"/>
    <mergeCell ref="AB12:AC12"/>
    <mergeCell ref="AF10:AG10"/>
    <mergeCell ref="AL11:AM11"/>
    <mergeCell ref="AH10:AI10"/>
    <mergeCell ref="AJ10:AK10"/>
    <mergeCell ref="Z12:AA12"/>
    <mergeCell ref="AL8:AM8"/>
    <mergeCell ref="AJ9:AK9"/>
    <mergeCell ref="AH9:AI9"/>
    <mergeCell ref="Z6:AM6"/>
    <mergeCell ref="Z7:AA7"/>
    <mergeCell ref="AB7:AC7"/>
    <mergeCell ref="AD7:AE7"/>
    <mergeCell ref="AF7:AG7"/>
    <mergeCell ref="AH7:AI7"/>
    <mergeCell ref="AJ7:AK7"/>
    <mergeCell ref="Z9:AA9"/>
    <mergeCell ref="H9:I9"/>
    <mergeCell ref="T9:U9"/>
    <mergeCell ref="R9:S9"/>
    <mergeCell ref="T11:U11"/>
    <mergeCell ref="T10:U10"/>
    <mergeCell ref="R10:S10"/>
    <mergeCell ref="Z8:AA8"/>
    <mergeCell ref="AB8:AC8"/>
    <mergeCell ref="AL7:AM7"/>
    <mergeCell ref="N9:O9"/>
    <mergeCell ref="Z10:AA10"/>
    <mergeCell ref="P9:Q9"/>
    <mergeCell ref="AD8:AE8"/>
    <mergeCell ref="AF8:AG8"/>
    <mergeCell ref="AH8:AI8"/>
    <mergeCell ref="AF11:AG11"/>
    <mergeCell ref="AB11:AC11"/>
    <mergeCell ref="AD11:AE11"/>
    <mergeCell ref="AB9:AC9"/>
    <mergeCell ref="AD9:AE9"/>
    <mergeCell ref="AF9:AG9"/>
    <mergeCell ref="N11:O11"/>
    <mergeCell ref="N10:O10"/>
    <mergeCell ref="AJ8:AK8"/>
    <mergeCell ref="R11:S11"/>
    <mergeCell ref="H23:K23"/>
    <mergeCell ref="H6:U6"/>
    <mergeCell ref="T8:U8"/>
    <mergeCell ref="R8:S8"/>
    <mergeCell ref="P8:Q8"/>
    <mergeCell ref="N8:O8"/>
    <mergeCell ref="L8:M8"/>
    <mergeCell ref="J8:K8"/>
    <mergeCell ref="H8:I8"/>
    <mergeCell ref="T7:U7"/>
    <mergeCell ref="R7:S7"/>
    <mergeCell ref="L10:M10"/>
    <mergeCell ref="H10:I10"/>
    <mergeCell ref="H11:I11"/>
    <mergeCell ref="L9:M9"/>
    <mergeCell ref="J9:K9"/>
    <mergeCell ref="J11:K11"/>
    <mergeCell ref="J7:K7"/>
    <mergeCell ref="H7:I7"/>
    <mergeCell ref="P7:Q7"/>
    <mergeCell ref="N7:O7"/>
    <mergeCell ref="L7:M7"/>
    <mergeCell ref="J10:K10"/>
    <mergeCell ref="L12:M12"/>
    <mergeCell ref="P12:Q12"/>
    <mergeCell ref="L11:M11"/>
    <mergeCell ref="H12:I12"/>
    <mergeCell ref="H13:I13"/>
    <mergeCell ref="J13:K13"/>
    <mergeCell ref="N12:O12"/>
    <mergeCell ref="L13:M13"/>
    <mergeCell ref="P11:Q11"/>
    <mergeCell ref="AJ13:AK13"/>
    <mergeCell ref="H37:K37"/>
    <mergeCell ref="L37:O37"/>
    <mergeCell ref="L30:O30"/>
    <mergeCell ref="H28:K28"/>
    <mergeCell ref="H29:K29"/>
    <mergeCell ref="Z13:AA13"/>
    <mergeCell ref="H22:K22"/>
    <mergeCell ref="H35:K35"/>
    <mergeCell ref="L35:O35"/>
    <mergeCell ref="L29:O29"/>
    <mergeCell ref="L22:O22"/>
    <mergeCell ref="L23:O23"/>
    <mergeCell ref="L32:O32"/>
    <mergeCell ref="H25:K25"/>
    <mergeCell ref="L25:O25"/>
    <mergeCell ref="H26:K26"/>
    <mergeCell ref="L31:O31"/>
    <mergeCell ref="H27:K27"/>
    <mergeCell ref="L27:O27"/>
    <mergeCell ref="H30:K30"/>
    <mergeCell ref="L28:O28"/>
    <mergeCell ref="R13:S13"/>
    <mergeCell ref="L26:O26"/>
    <mergeCell ref="L46:O46"/>
    <mergeCell ref="H47:K47"/>
    <mergeCell ref="L41:O41"/>
    <mergeCell ref="H44:K44"/>
    <mergeCell ref="H48:K48"/>
    <mergeCell ref="L42:O42"/>
    <mergeCell ref="L49:O49"/>
    <mergeCell ref="H33:K33"/>
    <mergeCell ref="L33:O33"/>
    <mergeCell ref="H34:K34"/>
    <mergeCell ref="L34:O34"/>
    <mergeCell ref="L59:O59"/>
    <mergeCell ref="H63:K63"/>
    <mergeCell ref="AH12:AI12"/>
    <mergeCell ref="AJ12:AK12"/>
    <mergeCell ref="L24:O24"/>
    <mergeCell ref="AF13:AG13"/>
    <mergeCell ref="AB13:AC13"/>
    <mergeCell ref="AD13:AE13"/>
    <mergeCell ref="P15:V15"/>
    <mergeCell ref="X15:AD15"/>
    <mergeCell ref="AH13:AI13"/>
    <mergeCell ref="AF15:AL15"/>
    <mergeCell ref="AL13:AM13"/>
    <mergeCell ref="N13:O13"/>
    <mergeCell ref="P13:Q13"/>
    <mergeCell ref="L44:O44"/>
    <mergeCell ref="L48:O48"/>
    <mergeCell ref="L50:O50"/>
    <mergeCell ref="L51:O51"/>
    <mergeCell ref="H36:K36"/>
    <mergeCell ref="L36:O36"/>
    <mergeCell ref="H45:K45"/>
    <mergeCell ref="L45:O45"/>
    <mergeCell ref="H46:K46"/>
    <mergeCell ref="L53:O53"/>
    <mergeCell ref="L54:O54"/>
    <mergeCell ref="H64:K64"/>
    <mergeCell ref="H67:K67"/>
    <mergeCell ref="L67:O67"/>
    <mergeCell ref="H68:K68"/>
    <mergeCell ref="L68:O68"/>
    <mergeCell ref="H60:K60"/>
    <mergeCell ref="L61:O61"/>
    <mergeCell ref="H66:K66"/>
    <mergeCell ref="L56:O56"/>
    <mergeCell ref="L57:O57"/>
    <mergeCell ref="H56:K56"/>
    <mergeCell ref="H57:K57"/>
    <mergeCell ref="L66:O66"/>
    <mergeCell ref="L63:O63"/>
    <mergeCell ref="H62:K62"/>
    <mergeCell ref="L62:O62"/>
    <mergeCell ref="H61:K61"/>
    <mergeCell ref="L64:O64"/>
    <mergeCell ref="L58:O58"/>
    <mergeCell ref="H58:K58"/>
    <mergeCell ref="H59:K59"/>
    <mergeCell ref="L60:O60"/>
    <mergeCell ref="H72:K72"/>
    <mergeCell ref="L72:O72"/>
    <mergeCell ref="L69:O69"/>
    <mergeCell ref="L81:O81"/>
    <mergeCell ref="H70:K70"/>
    <mergeCell ref="L70:O70"/>
    <mergeCell ref="H71:K71"/>
    <mergeCell ref="L71:O71"/>
    <mergeCell ref="H65:K65"/>
    <mergeCell ref="L65:O65"/>
    <mergeCell ref="H75:K75"/>
    <mergeCell ref="L75:O75"/>
    <mergeCell ref="H73:K73"/>
    <mergeCell ref="L73:O73"/>
    <mergeCell ref="H74:K74"/>
    <mergeCell ref="L74:O74"/>
    <mergeCell ref="H80:K80"/>
    <mergeCell ref="L80:O80"/>
    <mergeCell ref="H81:K81"/>
    <mergeCell ref="H78:K78"/>
    <mergeCell ref="L78:O78"/>
    <mergeCell ref="H79:K79"/>
    <mergeCell ref="L79:O79"/>
    <mergeCell ref="H69:K69"/>
    <mergeCell ref="H103:K103"/>
    <mergeCell ref="L103:O103"/>
    <mergeCell ref="L99:O99"/>
    <mergeCell ref="H100:K100"/>
    <mergeCell ref="L100:O100"/>
    <mergeCell ref="H101:K101"/>
    <mergeCell ref="L101:O101"/>
    <mergeCell ref="H99:K99"/>
    <mergeCell ref="H102:K102"/>
    <mergeCell ref="L102:O102"/>
    <mergeCell ref="C2:AP2"/>
    <mergeCell ref="H55:K55"/>
    <mergeCell ref="L55:O55"/>
    <mergeCell ref="H52:K52"/>
    <mergeCell ref="H53:K53"/>
    <mergeCell ref="H54:K54"/>
    <mergeCell ref="H24:K24"/>
    <mergeCell ref="R12:S12"/>
    <mergeCell ref="C4:AP4"/>
    <mergeCell ref="C3:AP3"/>
    <mergeCell ref="T13:U13"/>
    <mergeCell ref="T12:U12"/>
    <mergeCell ref="AL12:AM12"/>
    <mergeCell ref="P10:Q10"/>
    <mergeCell ref="J12:K12"/>
    <mergeCell ref="Z11:AA11"/>
    <mergeCell ref="H50:K50"/>
    <mergeCell ref="H51:K51"/>
    <mergeCell ref="H32:K32"/>
    <mergeCell ref="L47:O47"/>
    <mergeCell ref="L52:O52"/>
    <mergeCell ref="H49:K49"/>
    <mergeCell ref="H42:K42"/>
    <mergeCell ref="H98:K98"/>
    <mergeCell ref="L98:O98"/>
    <mergeCell ref="H96:K96"/>
    <mergeCell ref="L96:O96"/>
    <mergeCell ref="H97:K97"/>
    <mergeCell ref="L97:O97"/>
    <mergeCell ref="H91:K91"/>
    <mergeCell ref="L91:O91"/>
    <mergeCell ref="H76:K76"/>
    <mergeCell ref="L76:O76"/>
    <mergeCell ref="H77:K77"/>
    <mergeCell ref="L77:O77"/>
    <mergeCell ref="H86:K86"/>
    <mergeCell ref="L86:O86"/>
    <mergeCell ref="H87:K87"/>
    <mergeCell ref="L87:O87"/>
    <mergeCell ref="H84:K84"/>
    <mergeCell ref="L84:O84"/>
    <mergeCell ref="H85:K85"/>
    <mergeCell ref="L85:O85"/>
    <mergeCell ref="H82:K82"/>
    <mergeCell ref="L82:O82"/>
    <mergeCell ref="H83:K83"/>
    <mergeCell ref="L83:O83"/>
    <mergeCell ref="H88:K88"/>
    <mergeCell ref="L88:O88"/>
    <mergeCell ref="H89:K89"/>
    <mergeCell ref="L89:O89"/>
    <mergeCell ref="H94:K94"/>
    <mergeCell ref="L94:O94"/>
    <mergeCell ref="H95:K95"/>
    <mergeCell ref="L95:O95"/>
    <mergeCell ref="H92:K92"/>
    <mergeCell ref="L92:O92"/>
    <mergeCell ref="H93:K93"/>
    <mergeCell ref="L93:O93"/>
    <mergeCell ref="H90:K90"/>
    <mergeCell ref="L90:O90"/>
    <mergeCell ref="R21:W21"/>
    <mergeCell ref="X21:AI21"/>
    <mergeCell ref="AJ21:AO21"/>
    <mergeCell ref="H31:K31"/>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drawing r:id="rId7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29780688</Manager>
  <Company>131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26</vt:i4>
      </vt:variant>
      <vt:variant>
        <vt:lpstr>Named Ranges</vt:lpstr>
      </vt:variant>
      <vt:variant>
        <vt:i4>26</vt:i4>
      </vt:variant>
    </vt:vector>
  </HeadingPairs>
  <TitlesOfParts>
    <vt:vector baseType="lpstr" size="52">
      <vt:lpstr>Table of Contents</vt:lpstr>
      <vt:lpstr>Glance</vt:lpstr>
      <vt:lpstr>Summary</vt:lpstr>
      <vt:lpstr>Trend</vt:lpstr>
      <vt:lpstr>Trend Ind</vt:lpstr>
      <vt:lpstr>Raw Data</vt:lpstr>
      <vt:lpstr>Day of Week</vt:lpstr>
      <vt:lpstr>Day of Week Rank</vt:lpstr>
      <vt:lpstr>Daily by Month</vt:lpstr>
      <vt:lpstr>Daily by Month Rk</vt:lpstr>
      <vt:lpstr>Daily by DOW</vt:lpstr>
      <vt:lpstr>Plus Summary</vt:lpstr>
      <vt:lpstr>Occ Plus</vt:lpstr>
      <vt:lpstr>ADR Plus</vt:lpstr>
      <vt:lpstr>RevPAR Plus</vt:lpstr>
      <vt:lpstr>Plus Indexes</vt:lpstr>
      <vt:lpstr>Plus Ranking</vt:lpstr>
      <vt:lpstr>Plus DOW Month</vt:lpstr>
      <vt:lpstr>Segmentation DOW YTD_copy</vt:lpstr>
      <vt:lpstr>Add Rev ADR</vt:lpstr>
      <vt:lpstr>Add Rev RevPAR</vt:lpstr>
      <vt:lpstr>Additional Revenue obsolete</vt:lpstr>
      <vt:lpstr>Response</vt:lpstr>
      <vt:lpstr>Plus Response</vt:lpstr>
      <vt:lpstr>Hyatt Glance</vt:lpstr>
      <vt:lpstr>Help</vt:lpstr>
      <vt:lpstr>'Add Rev ADR'!Print_Area</vt:lpstr>
      <vt:lpstr>'Add Rev RevPAR'!Print_Area</vt:lpstr>
      <vt:lpstr>'Additional Revenue obsolete'!Print_Area</vt:lpstr>
      <vt:lpstr>'ADR Plus'!Print_Area</vt:lpstr>
      <vt:lpstr>'Daily by DOW'!Print_Area</vt:lpstr>
      <vt:lpstr>'Daily by Month'!Print_Area</vt:lpstr>
      <vt:lpstr>'Daily by Month Rk'!Print_Area</vt:lpstr>
      <vt:lpstr>'Day of Week'!Print_Area</vt:lpstr>
      <vt:lpstr>'Day of Week Rank'!Print_Area</vt:lpstr>
      <vt:lpstr>Glance!Print_Area</vt:lpstr>
      <vt:lpstr>Help!Print_Area</vt:lpstr>
      <vt:lpstr>'Hyatt Glance'!Print_Area</vt:lpstr>
      <vt:lpstr>'Occ Plus'!Print_Area</vt:lpstr>
      <vt:lpstr>'Plus DOW Month'!Print_Area</vt:lpstr>
      <vt:lpstr>'Plus Indexes'!Print_Area</vt:lpstr>
      <vt:lpstr>'Plus Ranking'!Print_Area</vt:lpstr>
      <vt:lpstr>'Plus Response'!Print_Area</vt:lpstr>
      <vt:lpstr>'Plus Summary'!Print_Area</vt:lpstr>
      <vt:lpstr>'Raw Data'!Print_Area</vt:lpstr>
      <vt:lpstr>Response!Print_Area</vt:lpstr>
      <vt:lpstr>'RevPAR Plus'!Print_Area</vt:lpstr>
      <vt:lpstr>'Segmentation DOW YTD_copy'!Print_Area</vt:lpstr>
      <vt:lpstr>Summary!Print_Area</vt:lpstr>
      <vt:lpstr>'Table of Contents'!Print_Area</vt:lpstr>
      <vt:lpstr>Trend!Print_Area</vt:lpstr>
      <vt:lpstr>'Trend Ind'!Print_Area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804,836,748,808</cp:category>
  <dcterms:created xsi:type="dcterms:W3CDTF">2003-06-11T18:24:11Z</dcterms:created>
  <dc:creator>STR, Inc.</dc:creator>
  <cp:keywords>60180</cp:keywords>
  <cp:lastModifiedBy>Jim Hawkins</cp:lastModifiedBy>
  <cp:lastPrinted>2016-02-11T20:47:50Z</cp:lastPrinted>
  <dcterms:modified xsi:type="dcterms:W3CDTF">2021-08-10T14:36:44Z</dcterms:modified>
  <dc:subject>60180</dc:subject>
  <dc:title>eSTAR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