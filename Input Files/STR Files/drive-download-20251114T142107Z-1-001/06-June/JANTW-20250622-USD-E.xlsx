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worksheets/sheet26.xml" ContentType="application/vnd.openxmlformats-officedocument.spreadsheetml.worksheet+xml"/>
  <Override PartName="/xl/printerSettings/printerSettings27.bin" ContentType="application/vnd.openxmlformats-officedocument.spreadsheetml.printerSettings"/>
  <Override PartName="/xl/drawings/drawing28.xml" ContentType="application/vnd.openxmlformats-officedocument.drawing+xml"/>
  <Override PartName="/xl/worksheets/sheet30.xml" ContentType="application/vnd.openxmlformats-officedocument.spreadsheetml.worksheet+xml"/>
  <Override PartName="/xl/printerSettings/printerSettings31.bin" ContentType="application/vnd.openxmlformats-officedocument.spreadsheetml.printerSettings"/>
  <Override PartName="/xl/drawings/drawing32.xml" ContentType="application/vnd.openxmlformats-officedocument.drawing+xml"/>
  <Override PartName="/xl/worksheets/sheet34.xml" ContentType="application/vnd.openxmlformats-officedocument.spreadsheetml.worksheet+xml"/>
  <Override PartName="/xl/printerSettings/printerSettings35.bin" ContentType="application/vnd.openxmlformats-officedocument.spreadsheetml.printerSettings"/>
  <Override PartName="/xl/drawings/drawing36.xml" ContentType="application/vnd.openxmlformats-officedocument.drawing+xml"/>
  <Override PartName="/xl/worksheets/sheet38.xml" ContentType="application/vnd.openxmlformats-officedocument.spreadsheetml.worksheet+xml"/>
  <Override PartName="/xl/printerSettings/printerSettings39.bin" ContentType="application/vnd.openxmlformats-officedocument.spreadsheetml.printerSettings"/>
  <Override PartName="/xl/drawings/drawing40.xml" ContentType="application/vnd.openxmlformats-officedocument.drawing+xml"/>
  <Override PartName="/xl/worksheets/sheet42.xml" ContentType="application/vnd.openxmlformats-officedocument.spreadsheetml.worksheet+xml"/>
  <Override PartName="/xl/printerSettings/printerSettings43.bin" ContentType="application/vnd.openxmlformats-officedocument.spreadsheetml.printerSettings"/>
  <Override PartName="/xl/drawings/drawing44.xml" ContentType="application/vnd.openxmlformats-officedocument.drawing+xml"/>
  <Override PartName="/xl/worksheets/sheet46.xml" ContentType="application/vnd.openxmlformats-officedocument.spreadsheetml.worksheet+xml"/>
  <Override PartName="/xl/printerSettings/printerSettings47.bin" ContentType="application/vnd.openxmlformats-officedocument.spreadsheetml.printerSettings"/>
  <Override PartName="/xl/drawings/drawing48.xml" ContentType="application/vnd.openxmlformats-officedocument.drawing+xml"/>
  <Override PartName="/xl/charts/chart49.xml" ContentType="application/vnd.openxmlformats-officedocument.drawingml.chart+xml"/>
  <Override PartName="/xl/drawings/drawing50.xml" ContentType="application/vnd.openxmlformats-officedocument.drawing+xml"/>
  <Override PartName="/xl/charts/chart51.xml" ContentType="application/vnd.openxmlformats-officedocument.drawingml.chart+xml"/>
  <Override PartName="/xl/drawings/drawing52.xml" ContentType="application/vnd.openxmlformats-officedocument.drawing+xml"/>
  <Override PartName="/xl/charts/chart53.xml" ContentType="application/vnd.openxmlformats-officedocument.drawingml.chart+xml"/>
  <Override PartName="/xl/drawings/drawing54.xml" ContentType="application/vnd.openxmlformats-officedocument.drawing+xml"/>
  <Override PartName="/xl/charts/chart55.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9"/>
    <sheet name="Glance" sheetId="19" r:id="rId8"/>
    <sheet name="Segmentation Glance" sheetId="20" r:id="rId7"/>
    <sheet name="Daily by Month" sheetId="21" r:id="rId6"/>
    <sheet name="Occ" sheetId="4" r:id="rId10"/>
    <sheet name="Segmentation Occ" sheetId="22" r:id="rId5"/>
    <sheet name="ADR" sheetId="6" r:id="rId11"/>
    <sheet name="Segmentation ADR" sheetId="23" r:id="rId4"/>
    <sheet name="RevPAR" sheetId="8" r:id="rId12"/>
    <sheet name="Segmentation RevPAR" sheetId="24" r:id="rId3"/>
    <sheet name="Additional Revenue" sheetId="25" r:id="rId2"/>
    <sheet name="Response" sheetId="26" r:id="rId1"/>
    <sheet name="Help" sheetId="18" r:id="rId13"/>
  </sheets>
  <definedNames>
    <definedName name="_xlnm.Print_Area" localSheetId="6">ADR!$A$1:$AI$61</definedName>
    <definedName name="_xlnm.Print_Area" localSheetId="12">Help!$A$1:$J$16</definedName>
    <definedName name="_xlnm.Print_Area" localSheetId="4">Occ!$A$1:$AI$58</definedName>
    <definedName name="_xlnm.Print_Area" localSheetId="8">RevPAR!$A$1:$AI$61</definedName>
    <definedName name="_xlnm.Print_Area" localSheetId="0">'Table of Contents'!$A$1:$H$48</definedName>
    <definedName name="_xlnm.Print_Area" localSheetId="1">Glance!$A$1:$AC$42</definedName>
    <definedName name="_xlnm.Print_Area" localSheetId="2">'Segmentation Glance'!$A$1:$T$42</definedName>
    <definedName name="_xlnm.Print_Area" localSheetId="3">'Daily by Month'!$A$1:$AL$63</definedName>
    <definedName name="_xlnm.Print_Area" localSheetId="5">'Segmentation Occ'!$A$1:$AB$54</definedName>
    <definedName name="_xlnm.Print_Area" localSheetId="7">'Segmentation ADR'!$A$1:$AC$54</definedName>
    <definedName name="_xlnm.Print_Area" localSheetId="9">'Segmentation RevPAR'!$A$1:$AC$54</definedName>
    <definedName name="_xlnm.Print_Area" localSheetId="10">'Additional Revenue'!$A$1:$AC$54</definedName>
    <definedName name="_xlnm.Print_Area" localSheetId="11">Response!$A$1:$AR$104</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<sst xmlns="http://schemas.openxmlformats.org/spreadsheetml/2006/main" xmlns:r="http://schemas.openxmlformats.org/officeDocument/2006/relationships" xmlns:xdr="http://schemas.openxmlformats.org/drawingml/2006/spreadsheetDrawing" xmlns:s="http://schemas.openxmlformats.org/officeDocument/2006/sharedTypes" xmlns:vt="http://schemas.openxmlformats.org/officeDocument/2006/docPropsVTypes" xmlns:a="http://schemas.openxmlformats.org/drawingml/2006/main" xmlns:cdr="http://schemas.openxmlformats.org/drawingml/2006/chartDrawing" count="969" uniqueCount="114">
  <si>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</si>
  <si>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</si>
  <si>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</si>
  <si>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</si>
  <si>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</si>
  <si>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</si>
  <si>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</si>
  <si>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</si>
  <si>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</si>
  <si>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</si>
  <si>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</si>
  <si>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</si>
  <si>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</si>
  <si>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</si>
  <si>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</si>
  <si>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</si>
  <si>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</si>
  <si>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</si>
  <si>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</si>
  <si>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</si>
  <si>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</si>
  <si>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</si>
  <si>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</si>
  <si>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</si>
  <si>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</si>
  <si>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</si>
  <si>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</si>
  <si>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</si>
  <si>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</si>
  <si>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</si>
  <si>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</si>
  <si>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</si>
  <si>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</si>
  <si>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</si>
  <si>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</si>
  <si>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</si>
  <si>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</si>
  <si>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</si>
  <si>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</si>
  <si>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</si>
  <si>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</si>
  <si>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</si>
  <si>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</si>
  <si>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</si>
  <si>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</si>
  <si>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</si>
  <si>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</si>
  <si>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</si>
  <si>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</si>
  <si>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</si>
  <si>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</si>
  <si>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</si>
  <si>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</si>
  <si>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</si>
  <si>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</si>
  <si>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</si>
  <si>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</si>
  <si>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</si>
  <si>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</si>
  <si>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</si>
  <si>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</si>
  <si>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</si>
  <si>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</si>
  <si>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</si>
  <si>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</si>
  <si>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</si>
  <si>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</si>
  <si>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</si>
  <si>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</si>
  <si>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</si>
  <si>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</si>
  <si>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</si>
  <si>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</si>
  <si>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</si>
  <si>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</si>
  <si>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</si>
  <si>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</si>
  <si>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</si>
  <si>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</si>
  <si>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</si>
  <si>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</si>
  <si>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</si>
  <si>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</si>
  <si>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</si>
  <si>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</si>
  <si>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</si>
  <si>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</si>
  <si>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</si>
  <si>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</si>
  <si>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</si>
  <si>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</si>
  <si>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</si>
  <si>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</si>
  <si>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</si>
  <si>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</si>
  <si>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</si>
  <si>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</si>
  <si>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</si>
  <si>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</si>
  <si>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</si>
  <si>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</si>
  <si>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</si>
  <si>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</si>
  <si>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</si>
  <si>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</si>
  <si>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</si>
  <si>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</si>
  <si>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</si>
  <si>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</si>
  <si>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</si>
  <si>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</si>
  <si>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</si>
  <si>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</si>
  <si>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</si>
  <si>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</si>
  <si>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</si>
  <si>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</si>
  <si>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Segmentation at a Glance - My Property vs. Competitive Set</t>
  </si>
  <si>
    <t>Segmentation at a Glance</t>
  </si>
  <si>
    <t>Tab 4 - Daily Data for the Month</t>
  </si>
  <si>
    <t>Daily Data for the Month</t>
  </si>
  <si>
    <t>Tab 5 - Occupancy Perspectives</t>
  </si>
  <si>
    <t>Occupancy Perspectives</t>
  </si>
  <si>
    <t>Tab 6 - Segmentation Occupancy Analysis</t>
  </si>
  <si>
    <t>Segmentation Occupancy Analysis</t>
  </si>
  <si>
    <t>Tab 7 - ADR Perspectives</t>
  </si>
  <si>
    <t>ADR Perspectives</t>
  </si>
  <si>
    <t>Tab 8 - Segmentation ADR Analysis</t>
  </si>
  <si>
    <t>Segmentation ADR Analysis</t>
  </si>
  <si>
    <t>Tab 9 - RevPAR Perspectives</t>
  </si>
  <si>
    <t>RevPAR Perspectives</t>
  </si>
  <si>
    <t>Tab 10 - Segmentation RevPAR Analysis</t>
  </si>
  <si>
    <t>Segmentation RevPAR Analysis</t>
  </si>
  <si>
    <t>Tab 11 - Additional Revenue</t>
  </si>
  <si>
    <t>Tab 12 - Response Report</t>
  </si>
  <si>
    <t>Response Report</t>
  </si>
  <si>
    <t>Help</t>
  </si>
  <si>
    <t>Weekly STAR Report : Hilton Garden Inn Jackson Downtown</t>
  </si>
  <si>
    <t>STR # 60180 / Created July 01, 2025</t>
  </si>
  <si>
    <t>For the Week of: June 22, 2025 - June 28, 2025</t>
  </si>
  <si>
    <t>Currency: US Dollar  /  Competitive Set Data Excludes Subject Property</t>
  </si>
  <si>
    <t>Hilton Garden Inn Jackson Downtown        235 W Capitol St        Jackson, MS 39201        Phone: (601) 353-5464</t>
  </si>
  <si>
    <t>STR # 60180        Chain ID: 000043085        Mgt Co: Dellisart Hospitality        Owner: Desai Hotel Group</t>
  </si>
  <si>
    <t>For the Week of: June 22, 2025 - June 28, 2025        Date Created: July 01, 2025        Competitive Set Data Excludes Subject Property</t>
  </si>
  <si>
    <t>June 22, 2025 - June 28, 2025</t>
  </si>
  <si>
    <t>Jun</t>
  </si>
  <si>
    <t>Market Scale: Jackson, MS Upscale Chains</t>
  </si>
  <si>
    <t>Market Scale</t>
  </si>
  <si>
    <t>7 of 8</t>
  </si>
  <si>
    <t>6 of 8</t>
  </si>
  <si>
    <t>8 of 8</t>
  </si>
  <si>
    <t>3 of 8</t>
  </si>
  <si>
    <t>1 of 8</t>
  </si>
  <si>
    <t>4 of 8</t>
  </si>
  <si>
    <t>2 of 8</t>
  </si>
  <si>
    <t>5 of 8</t>
  </si>
  <si>
    <t>6 of 7</t>
  </si>
  <si>
    <t>2 of 7</t>
  </si>
  <si>
    <t>7 of 7</t>
  </si>
  <si>
    <t>5 of 7</t>
  </si>
  <si>
    <t>Market Scale*: Jackson, MS Upscale Chains</t>
  </si>
  <si>
    <t>For the Week of: June 22, 2025 - June 28, 2025        Date Created: July 01, 2025</t>
  </si>
  <si>
    <t>Hilton Garden Inn Jackson Downtown</t>
  </si>
  <si>
    <t>Jackson, MS</t>
  </si>
  <si>
    <t>39201</t>
  </si>
  <si>
    <t>(601) 353-5464</t>
  </si>
  <si>
    <t>192312</t>
  </si>
  <si>
    <t>X</t>
  </si>
  <si>
    <t/>
  </si>
  <si>
    <t>Hilton Jackson</t>
  </si>
  <si>
    <t>39211</t>
  </si>
  <si>
    <t>(601) 957-2800</t>
  </si>
  <si>
    <t>198406</t>
  </si>
  <si>
    <t>Holiday Inn Express &amp; Suites Jackson Downtown Coliseum</t>
  </si>
  <si>
    <t>39202</t>
  </si>
  <si>
    <t>(601) 948-4466</t>
  </si>
  <si>
    <t>198905</t>
  </si>
  <si>
    <t>Courtyard Jackson Ridgeland</t>
  </si>
  <si>
    <t>(601) 956-9991</t>
  </si>
  <si>
    <t>199505</t>
  </si>
  <si>
    <t>L</t>
  </si>
  <si>
    <t>Hampton Inn &amp; Suites Jackson Downtown-Coliseum</t>
  </si>
  <si>
    <t>(601) 352-1700</t>
  </si>
  <si>
    <t>199611</t>
  </si>
  <si>
    <t>Embassy Suites by Hilton Jackson North Ridgeland</t>
  </si>
  <si>
    <t>Ridgeland, MS</t>
  </si>
  <si>
    <t>39157</t>
  </si>
  <si>
    <t>(601) 607-7112</t>
  </si>
  <si>
    <t>200812</t>
  </si>
  <si>
    <t>Hyatt Place Jackson/Ridgeland</t>
  </si>
  <si>
    <t>39157-8719</t>
  </si>
  <si>
    <t>(601) 898-8815</t>
  </si>
  <si>
    <t>200810</t>
  </si>
  <si>
    <t>T</t>
  </si>
  <si>
    <t>The Westin Jackson</t>
  </si>
  <si>
    <t>39201-4904</t>
  </si>
  <si>
    <t>(601) 968-8200</t>
  </si>
  <si>
    <t>201708</t>
  </si>
  <si>
    <t>Data received: X = Both years, T = This year only, L = Last year only, blank = No data</t>
  </si>
  <si>
    <t>2025 (This Year)</t>
  </si>
  <si>
    <t>May</t>
  </si>
  <si>
    <t>2024 (Last Year)</t>
  </si>
  <si>
    <t>May/Jun</t>
  </si>
  <si>
    <t>May 26th</t>
  </si>
  <si>
    <t>- Memorial Day</t>
  </si>
  <si>
    <t>Jun 15th</t>
  </si>
  <si>
    <t>- Father's Day</t>
  </si>
  <si>
    <t>Jun 19th</t>
  </si>
  <si>
    <t>- Juneteenth</t>
  </si>
  <si>
    <t>May 27th</t>
  </si>
  <si>
    <t>June 16th</t>
  </si>
  <si>
    <t>June 19th</t>
  </si>
  <si>
    <t>July 4th</t>
  </si>
  <si>
    <t>- Independence Day</t>
  </si>
  <si>
    <t>Sep 2nd</t>
  </si>
  <si>
    <t>- Labor Day</t>
  </si>
  <si>
    <t>Oct 3rd</t>
  </si>
  <si>
    <t>- Rosh Hashanah</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</si>
</sst>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color rgb="FFFFFFFF"/>
    </font>
    <font>
      <color rgb="FFA0A0A0"/>
    </font>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A0A0A0"/>
      </patternFill>
    </fill>
    <fill>
      <patternFill patternType="solid">
        <fgColor rgb="FFEAEAEA"/>
      </patternFill>
    </fill>
  </fills>
  <borders count="71">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left style="thin">
        <color indexed="39"/>
      </left>
      <right>
        <color/>
      </right>
      <top style="thin">
        <color rgb="FFA0A0A0"/>
      </top>
      <bottom>
        <color/>
      </bottom>
      <diagonal>
        <color/>
      </diagonal>
    </border>
    <border>
      <left>
        <color/>
      </left>
      <right>
        <color/>
      </right>
      <top style="thin">
        <color rgb="FFA0A0A0"/>
      </top>
      <bottom>
        <color/>
      </bottom>
      <diagonal>
        <color/>
      </diagonal>
    </border>
    <border>
      <left>
        <color/>
      </left>
      <right style="thin">
        <color indexed="39"/>
      </right>
      <top style="thin">
        <color rgb="FFA0A0A0"/>
      </top>
      <bottom>
        <color/>
      </bottom>
      <diagonal>
        <color/>
      </diagonal>
    </border>
    <border diagonalUp="0" diagonalDown="0">
      <left style="thin">
        <color indexed="39"/>
      </left>
      <right style="thin">
        <color indexed="39"/>
      </right>
      <top style="thin">
        <color indexed="39"/>
      </top>
      <bottom>
        <color auto="1" indexed="64"/>
      </bottom>
      <diagonal>
        <color/>
      </diagonal>
    </border>
    <border diagonalUp="0" diagonalDown="0">
      <left style="thin">
        <color indexed="39"/>
      </left>
      <right style="thin">
        <color indexed="39"/>
      </right>
      <top>
        <color auto="1" indexed="64"/>
      </top>
      <bottom style="thin">
        <color indexed="39"/>
      </bottom>
      <diagonal>
        <color/>
      </diagonal>
    </border>
    <border diagonalUp="0" diagonalDown="0">
      <left>
        <color auto="1" indexed="64"/>
      </left>
      <right style="thin">
        <color indexed="55"/>
      </right>
      <top>
        <color auto="1" indexed="64"/>
      </top>
      <bottom style="thin">
        <color indexed="55"/>
      </bottom>
      <diagonal>
        <color/>
      </diagonal>
    </border>
    <border>
      <left>
        <color/>
      </left>
      <right style="thin">
        <color indexed="55"/>
      </right>
      <top style="thin">
        <color rgb="FFA0A0A0"/>
      </top>
      <bottom>
        <color/>
      </bottom>
      <diagonal>
        <color/>
      </diagonal>
    </border>
    <border diagonalUp="0" diagonalDown="0">
      <left style="thin">
        <color indexed="39"/>
      </left>
      <right>
        <color auto="1" indexed="64"/>
      </right>
      <top style="thin">
        <color indexed="39"/>
      </top>
      <bottom>
        <color auto="1" indexed="64"/>
      </bottom>
      <diagonal>
        <color/>
      </diagonal>
    </border>
    <border diagonalUp="0" diagonalDown="0">
      <left>
        <color auto="1" indexed="64"/>
      </left>
      <right>
        <color auto="1" indexed="64"/>
      </right>
      <top style="thin">
        <color indexed="39"/>
      </top>
      <bottom>
        <color auto="1" indexed="64"/>
      </bottom>
      <diagonal>
        <color/>
      </diagonal>
    </border>
    <border diagonalUp="0" diagonalDown="0">
      <left>
        <color auto="1" indexed="64"/>
      </left>
      <right style="thin">
        <color indexed="39"/>
      </right>
      <top style="thin">
        <color indexed="39"/>
      </top>
      <bottom>
        <color auto="1" indexed="64"/>
      </bottom>
      <diagonal>
        <color/>
      </diagonal>
    </border>
    <border diagonalUp="0" diagonalDown="0">
      <left style="thin">
        <color indexed="39"/>
      </left>
      <right>
        <color auto="1" indexed="64"/>
      </right>
      <top>
        <color auto="1" indexed="64"/>
      </top>
      <bottom>
        <color auto="1" indexed="64"/>
      </bottom>
      <diagonal>
        <color/>
      </diagonal>
    </border>
    <border diagonalUp="0" diagonalDown="0">
      <left>
        <color auto="1" indexed="64"/>
      </left>
      <right style="thin">
        <color indexed="39"/>
      </right>
      <top>
        <color auto="1" indexed="64"/>
      </top>
      <bottom>
        <color auto="1" indexed="64"/>
      </bottom>
      <diagonal>
        <color/>
      </diagonal>
    </border>
    <border diagonalUp="0" diagonalDown="0">
      <left style="thin">
        <color indexed="39"/>
      </left>
      <right>
        <color auto="1" indexed="64"/>
      </right>
      <top>
        <color auto="1" indexed="64"/>
      </top>
      <bottom style="thin">
        <color indexed="39"/>
      </bottom>
      <diagonal>
        <color/>
      </diagonal>
    </border>
    <border diagonalUp="0" diagonalDown="0">
      <left>
        <color auto="1" indexed="64"/>
      </left>
      <right>
        <color auto="1" indexed="64"/>
      </right>
      <top>
        <color auto="1" indexed="64"/>
      </top>
      <bottom style="thin">
        <color indexed="39"/>
      </bottom>
      <diagonal>
        <color/>
      </diagonal>
    </border>
    <border diagonalUp="0" diagonalDown="0">
      <left>
        <color auto="1" indexed="64"/>
      </left>
      <right style="thin">
        <color indexed="39"/>
      </right>
      <top>
        <color auto="1" indexed="64"/>
      </top>
      <bottom style="thin">
        <color indexed="39"/>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714">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32" fillId="3" borderId="47" applyFont="1" applyFill="1" applyBorder="1" applyAlignment="1">
      <alignment horizontal="center"/>
    </xf>
    <xf numFmtId="0" fontId="69" fillId="3" borderId="47" applyFont="1" applyFill="1" applyBorder="1" applyAlignment="1">
      <alignment horizontal="right"/>
    </xf>
    <xf numFmtId="0" fontId="32" fillId="3" borderId="47" applyFont="1" applyFill="1" applyBorder="1" applyAlignment="1">
      <alignment horizontal="right" vertical="center"/>
    </xf>
    <xf numFmtId="0" fontId="39" fillId="3" borderId="47" applyFont="1" applyFill="1" applyBorder="1" applyAlignment="1">
      <alignment horizontal="left" wrapText="1"/>
    </xf>
    <xf numFmtId="0" fontId="36" fillId="0" borderId="47" applyFont="1" applyFill="1" applyBorder="1" applyAlignment="1">
      <alignment horizontal="right"/>
    </xf>
    <xf numFmtId="0" fontId="37" fillId="0" borderId="47" applyFont="1" applyFill="1" applyBorder="1" applyAlignment="1">
      <alignment horizontal="center"/>
    </xf>
    <xf numFmtId="0" fontId="81" fillId="15" borderId="48" applyFont="1" applyFill="1" applyBorder="1"/>
    <xf numFmtId="0" fontId="39" fillId="0" borderId="47" applyFont="1" applyFill="1" applyBorder="1" applyAlignment="1">
      <alignment horizontal="left" wrapText="1"/>
    </xf>
    <xf numFmtId="0" fontId="51" fillId="0" borderId="49" applyFont="1" applyFill="1" applyBorder="1" applyAlignment="1">
      <alignment horizontal="left"/>
    </xf>
    <xf numFmtId="0" fontId="53" fillId="0" borderId="50" applyFont="1" applyFill="1" applyBorder="1" applyAlignment="1">
      <alignment horizontal="center"/>
    </xf>
    <xf numFmtId="166" fontId="69" fillId="13" borderId="49" applyNumberFormat="1" applyFont="1" applyFill="1" applyBorder="1" applyAlignment="1">
      <alignment horizontal="center"/>
    </xf>
    <xf numFmtId="166" fontId="69" fillId="10" borderId="50" applyNumberFormat="1" applyFont="1" applyFill="1" applyBorder="1" applyAlignment="1">
      <alignment horizontal="center"/>
    </xf>
    <xf numFmtId="166" fontId="69" fillId="13" borderId="51" applyNumberFormat="1" applyFont="1" applyFill="1" applyBorder="1" applyAlignment="1">
      <alignment horizontal="center"/>
    </xf>
    <xf numFmtId="0" fontId="53" fillId="0" borderId="51" applyFont="1" applyFill="1" applyBorder="1" applyAlignment="1">
      <alignment horizontal="center"/>
    </xf>
    <xf numFmtId="166" fontId="69" fillId="10" borderId="51" applyNumberFormat="1" applyFont="1" applyFill="1" applyBorder="1" applyAlignment="1">
      <alignment horizontal="center"/>
    </xf>
    <xf numFmtId="1" fontId="69" fillId="13" borderId="49" applyNumberFormat="1" applyFont="1" applyFill="1" applyBorder="1" applyAlignment="1">
      <alignment horizontal="center"/>
    </xf>
    <xf numFmtId="1" fontId="69" fillId="10" borderId="51" applyNumberFormat="1" applyFont="1" applyFill="1" applyBorder="1" applyAlignment="1">
      <alignment horizontal="center"/>
    </xf>
    <xf numFmtId="0" fontId="82" fillId="16" borderId="0" applyFont="1" applyFill="1"/>
    <xf numFmtId="0" fontId="69" fillId="0" borderId="47" applyFont="1" applyFill="1" applyBorder="1" applyAlignment="1">
      <alignment horizontal="right" shrinkToFit="1"/>
    </xf>
    <xf numFmtId="0" fontId="42" fillId="0" borderId="52" applyFont="1" applyFill="1" applyBorder="1" applyAlignment="1">
      <alignment horizontal="center"/>
    </xf>
    <xf numFmtId="0" fontId="42" fillId="0" borderId="53" applyFont="1" applyFill="1" applyBorder="1" applyAlignment="1">
      <alignment horizontal="center"/>
    </xf>
    <xf numFmtId="166" fontId="69" fillId="0" borderId="52" applyNumberFormat="1" applyFont="1" applyFill="1" applyBorder="1" applyAlignment="1">
      <alignment horizontal="center"/>
    </xf>
    <xf numFmtId="166" fontId="69" fillId="0" borderId="53" applyNumberFormat="1" applyFont="1" applyFill="1" applyBorder="1" applyAlignment="1">
      <alignment horizontal="center"/>
    </xf>
    <xf numFmtId="166" fontId="69" fillId="0" borderId="54" applyNumberFormat="1" applyFont="1" applyFill="1" applyBorder="1" applyAlignment="1">
      <alignment horizontal="center"/>
    </xf>
    <xf numFmtId="2" fontId="69" fillId="13" borderId="49" applyNumberFormat="1" applyFont="1" applyFill="1" applyBorder="1" applyAlignment="1">
      <alignment horizontal="center"/>
    </xf>
    <xf numFmtId="2" fontId="69" fillId="10" borderId="50" applyNumberFormat="1" applyFont="1" applyFill="1" applyBorder="1" applyAlignment="1">
      <alignment horizontal="center"/>
    </xf>
    <xf numFmtId="2" fontId="69" fillId="13" borderId="51" applyNumberFormat="1" applyFont="1" applyFill="1" applyBorder="1" applyAlignment="1">
      <alignment horizontal="center"/>
    </xf>
    <xf numFmtId="0" fontId="69" fillId="0" borderId="47" applyFont="1" applyFill="1" applyBorder="1" applyAlignment="1">
      <alignment horizontal="right" wrapText="1"/>
    </xf>
    <xf numFmtId="0" fontId="21" fillId="0" borderId="55" applyFont="1" applyFill="1" applyBorder="1" applyAlignment="1">
      <alignment horizontal="center"/>
    </xf>
    <xf numFmtId="0" fontId="42" fillId="0" borderId="54" applyFont="1" applyFill="1" applyBorder="1" applyAlignment="1">
      <alignment horizontal="center"/>
    </xf>
    <xf numFmtId="2" fontId="69" fillId="0" borderId="52" applyNumberFormat="1" applyFont="1" applyFill="1" applyBorder="1" applyAlignment="1">
      <alignment horizontal="center"/>
    </xf>
    <xf numFmtId="2" fontId="69" fillId="0" borderId="53" applyNumberFormat="1" applyFont="1" applyFill="1" applyBorder="1" applyAlignment="1">
      <alignment horizontal="center"/>
    </xf>
    <xf numFmtId="2" fontId="69" fillId="0" borderId="54" applyNumberFormat="1" applyFont="1" applyFill="1" applyBorder="1" applyAlignment="1">
      <alignment horizontal="center"/>
    </xf>
    <xf numFmtId="0" fontId="21" fillId="0" borderId="56" applyFont="1" applyFill="1" applyBorder="1" applyAlignment="1">
      <alignment horizontal="center"/>
    </xf>
    <xf numFmtId="0" fontId="21" fillId="0" borderId="57" applyFont="1" applyFill="1" applyBorder="1" applyAlignment="1">
      <alignment horizontal="center"/>
    </xf>
    <xf numFmtId="166" fontId="42" fillId="0" borderId="53" applyNumberFormat="1" applyFont="1" applyFill="1" applyBorder="1" applyAlignment="1">
      <alignment horizontal="center"/>
    </xf>
    <xf numFmtId="166" fontId="42" fillId="0" borderId="58" applyNumberFormat="1" applyFont="1" applyFill="1" applyBorder="1" applyAlignment="1">
      <alignment horizontal="center"/>
    </xf>
    <xf numFmtId="0" fontId="32" fillId="0" borderId="47" applyFont="1" applyFill="1" applyBorder="1" applyAlignment="1">
      <alignment horizontal="center"/>
    </xf>
    <xf numFmtId="0" fontId="33" fillId="0" borderId="47" applyFont="1" applyFill="1" applyBorder="1" applyAlignment="1">
      <alignment horizontal="center"/>
    </xf>
    <xf numFmtId="0" fontId="34" fillId="0" borderId="59" applyFont="1" applyFill="1" applyBorder="1" applyAlignment="1">
      <alignment horizontal="center"/>
    </xf>
    <xf numFmtId="0" fontId="34" fillId="0" borderId="60" applyFont="1" applyFill="1" applyBorder="1" applyAlignment="1">
      <alignment horizontal="center"/>
    </xf>
    <xf numFmtId="0" fontId="34" fillId="0" borderId="61" applyFont="1" applyFill="1" applyBorder="1" applyAlignment="1">
      <alignment horizontal="center"/>
    </xf>
    <xf numFmtId="0" fontId="34" fillId="6" borderId="62" applyFont="1" applyFill="1" applyBorder="1" applyAlignment="1">
      <alignment horizontal="center"/>
    </xf>
    <xf numFmtId="0" fontId="34" fillId="6" borderId="47" applyFont="1" applyFill="1" applyBorder="1" applyAlignment="1">
      <alignment horizontal="center"/>
    </xf>
    <xf numFmtId="0" fontId="34" fillId="6" borderId="63" applyFont="1" applyFill="1" applyBorder="1" applyAlignment="1">
      <alignment horizontal="center"/>
    </xf>
    <xf numFmtId="0" fontId="34" fillId="0" borderId="62" applyFont="1" applyFill="1" applyBorder="1" applyAlignment="1">
      <alignment horizontal="center"/>
    </xf>
    <xf numFmtId="0" fontId="34" fillId="0" borderId="47" applyFont="1" applyFill="1" applyBorder="1" applyAlignment="1">
      <alignment horizontal="center"/>
    </xf>
    <xf numFmtId="0" fontId="34" fillId="0" borderId="63" applyFont="1" applyFill="1" applyBorder="1" applyAlignment="1">
      <alignment horizontal="center"/>
    </xf>
    <xf numFmtId="0" fontId="34" fillId="6" borderId="64" applyFont="1" applyFill="1" applyBorder="1" applyAlignment="1">
      <alignment horizontal="center"/>
    </xf>
    <xf numFmtId="0" fontId="34" fillId="6" borderId="65" applyFont="1" applyFill="1" applyBorder="1" applyAlignment="1">
      <alignment horizontal="center"/>
    </xf>
    <xf numFmtId="0" fontId="34" fillId="6" borderId="66" applyFont="1" applyFill="1" applyBorder="1" applyAlignment="1">
      <alignment horizontal="center"/>
    </xf>
    <xf numFmtId="0" fontId="1" fillId="0" borderId="47" applyFont="1" applyFill="1" applyBorder="1" applyAlignment="1">
      <alignment horizontal="center"/>
    </xf>
    <xf numFmtId="0" fontId="37" fillId="11" borderId="47" applyFont="1" applyFill="1" applyBorder="1" applyAlignment="1">
      <alignment horizontal="center"/>
    </xf>
    <xf numFmtId="0" fontId="83" fillId="15" borderId="67" applyFont="1" applyFill="1" applyBorder="1" applyAlignment="1">
      <alignment horizontal="left"/>
    </xf>
    <xf numFmtId="0" fontId="83" fillId="15" borderId="67" applyFont="1" applyFill="1" applyBorder="1" applyAlignment="1">
      <alignment horizontal="right"/>
    </xf>
    <xf numFmtId="0" fontId="83" fillId="15" borderId="68" applyFont="1" applyFill="1" applyBorder="1"/>
    <xf numFmtId="0" fontId="83" fillId="15" borderId="69" applyFont="1" applyFill="1" applyBorder="1"/>
    <xf numFmtId="0" fontId="83" fillId="15" borderId="70" applyFont="1" applyFill="1" applyBorder="1"/>
    <xf numFmtId="0" fontId="83" fillId="17" borderId="67" applyFont="1" applyFill="1" applyBorder="1" applyAlignment="1">
      <alignment horizontal="left"/>
    </xf>
    <xf numFmtId="0" fontId="83" fillId="17" borderId="67" applyFont="1" applyFill="1" applyBorder="1" applyAlignment="1">
      <alignment horizontal="right"/>
    </xf>
    <xf numFmtId="0" fontId="83" fillId="17" borderId="68" applyFont="1" applyFill="1" applyBorder="1"/>
    <xf numFmtId="0" fontId="83" fillId="17" borderId="69" applyFont="1" applyFill="1" applyBorder="1"/>
    <xf numFmtId="0" fontId="83" fillId="17" borderId="70" applyFont="1" applyFill="1" applyBorder="1"/>
    <xf numFmtId="0" fontId="1" fillId="3" borderId="47" applyFont="1" applyFill="1" applyBorder="1"/>
    <xf numFmtId="0" fontId="1" fillId="0" borderId="47" applyFont="1" applyFill="1" applyBorder="1" applyAlignment="1">
      <alignment horizontal="left" wrapText="1"/>
    </xf>
    <xf numFmtId="0" fontId="83" fillId="16" borderId="70"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11" Type="http://schemas.openxmlformats.org/officeDocument/2006/relationships/worksheet" Target="worksheets/sheet8.xml" />
<Relationship Id="rId14" Type="http://schemas.openxmlformats.org/officeDocument/2006/relationships/styles" Target="/xl/styles.xml" />
<Relationship Id="rId15" Type="http://schemas.openxmlformats.org/officeDocument/2006/relationships/theme" Target="/xl/theme/theme1.xml" />
<Relationship Id="rId13" Type="http://schemas.openxmlformats.org/officeDocument/2006/relationships/worksheet" Target="worksheets/sheet16.xml" />
<Relationship Id="rId9" Type="http://schemas.openxmlformats.org/officeDocument/2006/relationships/worksheet" Target="worksheets/sheet1.xml" />
<Relationship Id="rId10" Type="http://schemas.openxmlformats.org/officeDocument/2006/relationships/worksheet" Target="worksheets/sheet6.xml" />
<Relationship Id="rId12" Type="http://schemas.openxmlformats.org/officeDocument/2006/relationships/worksheet" Target="worksheets/sheet10.xml" />
<Relationship Id="rId16" Type="http://schemas.openxmlformats.org/officeDocument/2006/relationships/sharedStrings" Target="/xl/sharedStrings.xml" />
<Relationship Id="rId8" Type="http://schemas.openxmlformats.org/officeDocument/2006/relationships/worksheet" Target="worksheets/sheet18.xml" />
<Relationship Id="rId7" Type="http://schemas.openxmlformats.org/officeDocument/2006/relationships/worksheet" Target="worksheets/sheet22.xml" />
<Relationship Id="rId6" Type="http://schemas.openxmlformats.org/officeDocument/2006/relationships/worksheet" Target="worksheets/sheet26.xml" />
<Relationship Id="rId5" Type="http://schemas.openxmlformats.org/officeDocument/2006/relationships/worksheet" Target="worksheets/sheet30.xml" />
<Relationship Id="rId4" Type="http://schemas.openxmlformats.org/officeDocument/2006/relationships/worksheet" Target="worksheets/sheet34.xml" />
<Relationship Id="rId3" Type="http://schemas.openxmlformats.org/officeDocument/2006/relationships/worksheet" Target="worksheets/sheet38.xml" />
<Relationship Id="rId2" Type="http://schemas.openxmlformats.org/officeDocument/2006/relationships/worksheet" Target="worksheets/sheet42.xml" />
<Relationship Id="rId1" Type="http://schemas.openxmlformats.org/officeDocument/2006/relationships/worksheet" Target="worksheets/sheet46.xml" />
</Relationships>
</file>

<file path=xl/charts/chart4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June</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Month'!$C$28:$AF$28</f>
              <numCache>
                <formatCode>General</formatCode>
                <ptCount val="30"/>
                <pt idx="0">
                  <v>69.3548387097468</v>
                </pt>
                <pt idx="0">
                  <v>48.2900800388234</v>
                </pt>
                <pt idx="0">
                  <v>45.3741367893651</v>
                </pt>
                <pt idx="0">
                  <v>34.4315376209255</v>
                </pt>
                <pt idx="0">
                  <v>61.419183024758</v>
                </pt>
                <pt idx="0">
                  <v>105.646134090765</v>
                </pt>
                <pt idx="0">
                  <v>108.967562224853</v>
                </pt>
                <pt idx="0">
                  <v>67.9564784307345</v>
                </pt>
                <pt idx="0">
                  <v>50.3521751997784</v>
                </pt>
                <pt idx="0">
                  <v>0</v>
                </pt>
                <pt idx="0">
                  <v>43.6086199972962</v>
                </pt>
                <pt idx="0">
                  <v>58.8011896591379</v>
                </pt>
                <pt idx="0">
                  <v>53.9446002804709</v>
                </pt>
                <pt idx="0">
                  <v>26.7355982274792</v>
                </pt>
                <pt idx="0">
                  <v>62.7405206565443</v>
                </pt>
                <pt idx="0">
                  <v>76.3114030786933</v>
                </pt>
                <pt idx="0">
                  <v>47.4495690038083</v>
                </pt>
                <pt idx="0">
                  <v>54.249428498852</v>
                </pt>
                <pt idx="0">
                  <v>50.655472087167</v>
                </pt>
                <pt idx="0">
                  <v>96.287492925809</v>
                </pt>
                <pt idx="0">
                  <v>94.1508869096727</v>
                </pt>
                <pt idx="0">
                  <v>56.5866136137938</v>
                </pt>
                <pt idx="0">
                  <v>106.34792626734</v>
                </pt>
                <pt idx="0">
                  <v>92.6501835040258</v>
                </pt>
                <pt idx="0">
                  <v>80.4043675011044</v>
                </pt>
                <pt idx="0">
                  <v>61.9391615004292</v>
                </pt>
                <pt idx="0">
                  <v>93.1140628294014</v>
                </pt>
                <pt idx="0">
                  <v>80.1979378027874</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Month'!$C$40:$AF$40</f>
              <numCache>
                <formatCode>General</formatCode>
                <ptCount val="30"/>
                <pt idx="0">
                  <v>89.8508065435894</v>
                </pt>
                <pt idx="0">
                  <v>79.0201876876174</v>
                </pt>
                <pt idx="0">
                  <v>83.4956013023305</v>
                </pt>
                <pt idx="0">
                  <v>86.7237886211886</v>
                </pt>
                <pt idx="0">
                  <v>88.0421071371855</v>
                </pt>
                <pt idx="0">
                  <v>82.4183308029895</v>
                </pt>
                <pt idx="0">
                  <v>86.3613646831184</v>
                </pt>
                <pt idx="0">
                  <v>73.9708666976844</v>
                </pt>
                <pt idx="0">
                  <v>77.8624458530179</v>
                </pt>
                <pt idx="0">
                  <v>0</v>
                </pt>
                <pt idx="0">
                  <v>84.5549366577857</v>
                </pt>
                <pt idx="0">
                  <v>86.4962378203772</v>
                </pt>
                <pt idx="0">
                  <v>80.4795681971998</v>
                </pt>
                <pt idx="0">
                  <v>67.2528259439214</v>
                </pt>
                <pt idx="0">
                  <v>76.2600258314742</v>
                </pt>
                <pt idx="0">
                  <v>70.2224762442365</v>
                </pt>
                <pt idx="0">
                  <v>66.3263569135274</v>
                </pt>
                <pt idx="0">
                  <v>71.8449362822148</v>
                </pt>
                <pt idx="0">
                  <v>73.5820833518395</v>
                </pt>
                <pt idx="0">
                  <v>79.1506635526806</v>
                </pt>
                <pt idx="0">
                  <v>76.6955360953543</v>
                </pt>
                <pt idx="0">
                  <v>65.3414978035124</v>
                </pt>
                <pt idx="0">
                  <v>70.0138556204364</v>
                </pt>
                <pt idx="0">
                  <v>69.1227312562859</v>
                </pt>
                <pt idx="0">
                  <v>67.3241662828323</v>
                </pt>
                <pt idx="0">
                  <v>64.8921937289176</v>
                </pt>
                <pt idx="0">
                  <v>79.8699466146701</v>
                </pt>
                <pt idx="0">
                  <v>74.003336348468</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Month'!$C$52:$AF$52</f>
              <numCache>
                <formatCode>General</formatCode>
                <ptCount val="30"/>
                <pt idx="0">
                  <v>62.3158819575986</v>
                </pt>
                <pt idx="0">
                  <v>38.1589118811604</v>
                </pt>
                <pt idx="0">
                  <v>37.8854083480008</v>
                </pt>
                <pt idx="0">
                  <v>29.8603339053738</v>
                </pt>
                <pt idx="0">
                  <v>54.0747429214822</v>
                </pt>
                <pt idx="0">
                  <v>87.0717802755056</v>
                </pt>
                <pt idx="0">
                  <v>94.1058737992785</v>
                </pt>
                <pt idx="0">
                  <v>50.2679960724216</v>
                </pt>
                <pt idx="0">
                  <v>39.2054351507468</v>
                </pt>
                <pt idx="0">
                  <v>0</v>
                </pt>
                <pt idx="0">
                  <v>36.8732410160704</v>
                </pt>
                <pt idx="0">
                  <v>50.8608168487515</v>
                </pt>
                <pt idx="0">
                  <v>43.4143813714237</v>
                </pt>
                <pt idx="0">
                  <v>17.9804453409972</v>
                </pt>
                <pt idx="0">
                  <v>47.8459372594344</v>
                </pt>
                <pt idx="0">
                  <v>53.5877568986053</v>
                </pt>
                <pt idx="0">
                  <v>31.4715704914205</v>
                </pt>
                <pt idx="0">
                  <v>38.9754673384621</v>
                </pt>
                <pt idx="0">
                  <v>37.2733516934706</v>
                </pt>
                <pt idx="0">
                  <v>76.2121895690735</v>
                </pt>
                <pt idx="0">
                  <v>72.2095274539335</v>
                </pt>
                <pt idx="0">
                  <v>36.9745408914998</v>
                </pt>
                <pt idx="0">
                  <v>74.4582835520878</v>
                </pt>
                <pt idx="0">
                  <v>64.0423373519248</v>
                </pt>
                <pt idx="0">
                  <v>54.1315700751274</v>
                </pt>
                <pt idx="0">
                  <v>40.1936806749624</v>
                </pt>
                <pt idx="0">
                  <v>74.370152272643</v>
                </pt>
                <pt idx="0">
                  <v>59.3491496567491</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Month'!$C$61:$AF$61</f>
              <numCache>
                <formatCode>General</formatCode>
                <ptCount val="30"/>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14"/>
          <min val="13"/>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Apr 06, 2025 to Jun 28,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44.3164362519201</v>
                </pt>
                <pt idx="0">
                  <v>24.9615975422427</v>
                </pt>
                <pt idx="0">
                  <v>29.3394777265745</v>
                </pt>
                <pt idx="0">
                  <v>49.0015360983103</v>
                </pt>
                <pt idx="0">
                  <v>29.6466973886329</v>
                </pt>
                <pt idx="0">
                  <v>37.4807987711214</v>
                </pt>
                <pt idx="0">
                  <v>37.6344086021505</v>
                </pt>
                <pt idx="0">
                  <v>39.0168970814132</v>
                </pt>
                <pt idx="0">
                  <v>42.2427035330261</v>
                </pt>
                <pt idx="0">
                  <v>28.673835125448</v>
                </pt>
                <pt idx="0">
                  <v>45.3149001536098</v>
                </pt>
                <pt idx="0">
                  <v>50.7680491551459</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55.1960010523546</v>
                </pt>
                <pt idx="0">
                  <v>46.4088397790055</v>
                </pt>
                <pt idx="0">
                  <v>55.2617732175743</v>
                </pt>
                <pt idx="0">
                  <v>61.8521441725862</v>
                </pt>
                <pt idx="0">
                  <v>48.4477769008156</v>
                </pt>
                <pt idx="0">
                  <v>54.7355958958169</v>
                </pt>
                <pt idx="0">
                  <v>57.0902394106814</v>
                </pt>
                <pt idx="0">
                  <v>49.0397263877927</v>
                </pt>
                <pt idx="0">
                  <v>61.4443567482242</v>
                </pt>
                <pt idx="0">
                  <v>58.9450144698763</v>
                </pt>
                <pt idx="0">
                  <v>63.7858458300447</v>
                </pt>
                <pt idx="0">
                  <v>61.7092373442544</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68.3187560738581</v>
                </pt>
                <pt idx="0">
                  <v>63.1875607385811</v>
                </pt>
                <pt idx="0">
                  <v>68.0984774862326</v>
                </pt>
                <pt idx="0">
                  <v>77.4732750242954</v>
                </pt>
                <pt idx="0">
                  <v>69.322967282151</v>
                </pt>
                <pt idx="0">
                  <v>69.4201490119857</v>
                </pt>
                <pt idx="0">
                  <v>72.4327826368643</v>
                </pt>
                <pt idx="0">
                  <v>63.4467120181406</v>
                </pt>
                <pt idx="0">
                  <v>78.7366375121477</v>
                </pt>
                <pt idx="0">
                  <v>74.408811143505</v>
                </pt>
                <pt idx="0">
                  <v>77.680596047943</v>
                </pt>
                <pt idx="0">
                  <v>75.7240038872692</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4"/>
          <min val="20"/>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Apr 06, 2025 to Jun 28,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112.022530329289</v>
                </pt>
                <pt idx="0">
                  <v>107.32</v>
                </pt>
                <pt idx="0">
                  <v>108.034031413613</v>
                </pt>
                <pt idx="0">
                  <v>117.459247648903</v>
                </pt>
                <pt idx="0">
                  <v>109.282383419689</v>
                </pt>
                <pt idx="0">
                  <v>107.247950819672</v>
                </pt>
                <pt idx="0">
                  <v>102.773469387755</v>
                </pt>
                <pt idx="0">
                  <v>104.76968503937</v>
                </pt>
                <pt idx="0">
                  <v>115.150909090909</v>
                </pt>
                <pt idx="0">
                  <v>106.484375</v>
                </pt>
                <pt idx="0">
                  <v>102.181355932203</v>
                </pt>
                <pt idx="0">
                  <v>100.78517397882</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140.198481887512</v>
                </pt>
                <pt idx="0">
                  <v>133.37102324263</v>
                </pt>
                <pt idx="0">
                  <v>140.778202808855</v>
                </pt>
                <pt idx="0">
                  <v>148.032890259464</v>
                </pt>
                <pt idx="0">
                  <v>136.701365734456</v>
                </pt>
                <pt idx="0">
                  <v>133.522907954819</v>
                </pt>
                <pt idx="0">
                  <v>134.470783410138</v>
                </pt>
                <pt idx="0">
                  <v>127.382910407725</v>
                </pt>
                <pt idx="0">
                  <v>137.218826803682</v>
                </pt>
                <pt idx="0">
                  <v>135.446094621736</v>
                </pt>
                <pt idx="0">
                  <v>136.926535368117</v>
                </pt>
                <pt idx="0">
                  <v>142.354403964528</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129.874727358938</v>
                </pt>
                <pt idx="0">
                  <v>127.930585460884</v>
                </pt>
                <pt idx="0">
                  <v>130.904385881458</v>
                </pt>
                <pt idx="0">
                  <v>142.951580531862</v>
                </pt>
                <pt idx="0">
                  <v>132.489065420561</v>
                </pt>
                <pt idx="0">
                  <v>128.335697620159</v>
                </pt>
                <pt idx="0">
                  <v>127.839982110912</v>
                </pt>
                <pt idx="0">
                  <v>119.817931175329</v>
                </pt>
                <pt idx="0">
                  <v>132.015551715626</v>
                </pt>
                <pt idx="0">
                  <v>127.872616456247</v>
                </pt>
                <pt idx="0">
                  <v>132.605921601334</v>
                </pt>
                <pt idx="0">
                  <v>129.759240246407</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53"/>
          <min val="96"/>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Apr 06, 2025 to Jun 28,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49.6443932411674</v>
                </pt>
                <pt idx="0">
                  <v>26.7887864823349</v>
                </pt>
                <pt idx="0">
                  <v>31.6966205837174</v>
                </pt>
                <pt idx="0">
                  <v>57.5568356374808</v>
                </pt>
                <pt idx="0">
                  <v>32.3986175115207</v>
                </pt>
                <pt idx="0">
                  <v>40.1973886328725</v>
                </pt>
                <pt idx="0">
                  <v>38.6781874039939</v>
                </pt>
                <pt idx="0">
                  <v>40.8778801843318</v>
                </pt>
                <pt idx="0">
                  <v>48.6428571428571</v>
                </pt>
                <pt idx="0">
                  <v>30.5331541218638</v>
                </pt>
                <pt idx="0">
                  <v>46.3033794162826</v>
                </pt>
                <pt idx="0">
                  <v>51.1666666666667</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77.3839555380163</v>
                </pt>
                <pt idx="0">
                  <v>61.8959444882926</v>
                </pt>
                <pt idx="0">
                  <v>77.7965311760063</v>
                </pt>
                <pt idx="0">
                  <v>91.56151670613</v>
                </pt>
                <pt idx="0">
                  <v>66.228772691397</v>
                </pt>
                <pt idx="0">
                  <v>73.084559326493</v>
                </pt>
                <pt idx="0">
                  <v>76.7696921862668</v>
                </pt>
                <pt idx="0">
                  <v>62.4682307287556</v>
                </pt>
                <pt idx="0">
                  <v>84.3132254669824</v>
                </pt>
                <pt idx="0">
                  <v>79.8387200736648</v>
                </pt>
                <pt idx="0">
                  <v>87.3397487503289</v>
                </pt>
                <pt idx="0">
                  <v>87.8458170124694</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88.728798185941</v>
                </pt>
                <pt idx="0">
                  <v>80.8362163913184</v>
                </pt>
                <pt idx="0">
                  <v>89.1438937479754</v>
                </pt>
                <pt idx="0">
                  <v>110.749271137026</v>
                </pt>
                <pt idx="0">
                  <v>91.8453514739229</v>
                </pt>
                <pt idx="0">
                  <v>89.0908325234856</v>
                </pt>
                <pt idx="0">
                  <v>92.5980563654033</v>
                </pt>
                <pt idx="0">
                  <v>76.0205377389051</v>
                </pt>
                <pt idx="0">
                  <v>103.944606413994</v>
                </pt>
                <pt idx="0">
                  <v>95.1484936831876</v>
                </pt>
                <pt idx="0">
                  <v>103.009070294785</v>
                </pt>
                <pt idx="0">
                  <v>98.2588921282799</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16"/>
          <min val="22"/>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8.xml.rels><?xml version="1.0" encoding="utf-8" standalone="yes" ?>
<Relationships xmlns="http://schemas.openxmlformats.org/package/2006/relationships">
<Relationship Id="rId54" Type="http://schemas.openxmlformats.org/officeDocument/2006/relationships/chart" Target="/xl/charts/chart49.xml" />
</Relationships>
</file>

<file path=xl/drawings/_rels/drawing50.xml.rels><?xml version="1.0" encoding="utf-8" standalone="yes" ?>
<Relationships xmlns="http://schemas.openxmlformats.org/package/2006/relationships">
<Relationship Id="rId56" Type="http://schemas.openxmlformats.org/officeDocument/2006/relationships/chart" Target="/xl/charts/chart51.xml" />
</Relationships>
</file>

<file path=xl/drawings/_rels/drawing52.xml.rels><?xml version="1.0" encoding="utf-8" standalone="yes" ?>
<Relationships xmlns="http://schemas.openxmlformats.org/package/2006/relationships">
<Relationship Id="rId58" Type="http://schemas.openxmlformats.org/officeDocument/2006/relationships/chart" Target="/xl/charts/chart53.xml" />
</Relationships>
</file>

<file path=xl/drawings/_rels/drawing54.xml.rels><?xml version="1.0" encoding="utf-8" standalone="yes" ?>
<Relationships xmlns="http://schemas.openxmlformats.org/package/2006/relationships">
<Relationship Id="rId60" Type="http://schemas.openxmlformats.org/officeDocument/2006/relationships/chart" Target="/xl/charts/chart55.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100584</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4"/>
        </a:graphicData>
      </a:graphic>
    </xdr:graphicFrame>
    <xdr:clientData/>
  </xdr:oneCellAnchor>
</xdr:wsDr>
</file>

<file path=xl/drawings/drawing3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6"/>
        </a:graphicData>
      </a:graphic>
    </xdr:graphicFrame>
    <xdr:clientData/>
  </xdr:oneCellAnchor>
</xdr:wsDr>
</file>

<file path=xl/drawings/drawing5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8"/>
        </a:graphicData>
      </a:graphic>
    </xdr:graphicFrame>
    <xdr:clientData/>
  </xdr:oneCellAnchor>
</xdr:wsDr>
</file>

<file path=xl/drawings/drawing5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60"/>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61" Type="http://schemas.openxmlformats.org/officeDocument/2006/relationships/hyperlink" Target="http://www.strglobal.com/" TargetMode="External" />
<Relationship Id="rId62"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55" Type="http://schemas.openxmlformats.org/officeDocument/2006/relationships/drawing" Target="../drawings/drawing50.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57" Type="http://schemas.openxmlformats.org/officeDocument/2006/relationships/drawing" Target="../drawings/drawing52.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59" Type="http://schemas.openxmlformats.org/officeDocument/2006/relationships/drawing" Target="../drawings/drawing54.xml"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63" Type="http://schemas.openxmlformats.org/officeDocument/2006/relationships/hyperlink" Target="http://www.str.com/data-insights/resources/glossary" TargetMode="External" />
<Relationship Id="rId64" Type="http://schemas.openxmlformats.org/officeDocument/2006/relationships/hyperlink" Target="http://www.hotelnewsnow.com/" TargetMode="External" />
<Relationship Id="rId65" Type="http://schemas.openxmlformats.org/officeDocument/2006/relationships/hyperlink" Target="http://www.hoteldataconference.com/" TargetMode="External" />
<Relationship Id="rId66" Type="http://schemas.openxmlformats.org/officeDocument/2006/relationships/hyperlink" Target="http://www.str.com/data-insights/resources/FAQ" TargetMode="External" />
<Relationship Id="rId67"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_rels/sheet26.xml.rels><?xml version="1.0" encoding="utf-8" standalone="yes" ?>
<Relationships xmlns="http://schemas.openxmlformats.org/package/2006/relationships">
<Relationship Id="rId1" Type="http://schemas.openxmlformats.org/officeDocument/2006/relationships/printerSettings" Target="../printerSettings/printerSettings27.bin" />
<Relationship Id="rId30" Type="http://schemas.openxmlformats.org/officeDocument/2006/relationships/drawing" Target="../drawings/drawing28.xml" />
</Relationships>
</file>

<file path=xl/worksheets/_rels/sheet30.xml.rels><?xml version="1.0" encoding="utf-8" standalone="yes" ?>
<Relationships xmlns="http://schemas.openxmlformats.org/package/2006/relationships">
<Relationship Id="rId1" Type="http://schemas.openxmlformats.org/officeDocument/2006/relationships/printerSettings" Target="../printerSettings/printerSettings31.bin" />
<Relationship Id="rId34" Type="http://schemas.openxmlformats.org/officeDocument/2006/relationships/drawing" Target="../drawings/drawing32.xml" />
</Relationships>
</file>

<file path=xl/worksheets/_rels/sheet34.xml.rels><?xml version="1.0" encoding="utf-8" standalone="yes" ?>
<Relationships xmlns="http://schemas.openxmlformats.org/package/2006/relationships">
<Relationship Id="rId1" Type="http://schemas.openxmlformats.org/officeDocument/2006/relationships/printerSettings" Target="../printerSettings/printerSettings35.bin" />
<Relationship Id="rId38" Type="http://schemas.openxmlformats.org/officeDocument/2006/relationships/drawing" Target="../drawings/drawing36.xml" />
</Relationships>
</file>

<file path=xl/worksheets/_rels/sheet38.xml.rels><?xml version="1.0" encoding="utf-8" standalone="yes" ?>
<Relationships xmlns="http://schemas.openxmlformats.org/package/2006/relationships">
<Relationship Id="rId1" Type="http://schemas.openxmlformats.org/officeDocument/2006/relationships/printerSettings" Target="../printerSettings/printerSettings39.bin" />
<Relationship Id="rId42" Type="http://schemas.openxmlformats.org/officeDocument/2006/relationships/drawing" Target="../drawings/drawing40.xml" />
</Relationships>
</file>

<file path=xl/worksheets/_rels/sheet42.xml.rels><?xml version="1.0" encoding="utf-8" standalone="yes" ?>
<Relationships xmlns="http://schemas.openxmlformats.org/package/2006/relationships">
<Relationship Id="rId1" Type="http://schemas.openxmlformats.org/officeDocument/2006/relationships/printerSettings" Target="../printerSettings/printerSettings43.bin" />
<Relationship Id="rId46" Type="http://schemas.openxmlformats.org/officeDocument/2006/relationships/drawing" Target="../drawings/drawing44.xml" />
</Relationships>
</file>

<file path=xl/worksheets/_rels/sheet46.xml.rels><?xml version="1.0" encoding="utf-8" standalone="yes" ?>
<Relationships xmlns="http://schemas.openxmlformats.org/package/2006/relationships">
<Relationship Id="rId1" Type="http://schemas.openxmlformats.org/officeDocument/2006/relationships/printerSettings" Target="../printerSettings/printerSettings47.bin" />
<Relationship Id="rId50" Type="http://schemas.openxmlformats.org/officeDocument/2006/relationships/drawing" Target="../drawings/drawing48.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138</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137</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139</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140</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HYPERLINK("#'Segmentation Glance'!A1", "Segmentation at a Glance")</f>
      </c>
      <c r="C9" s="421" t="str">
        <f>HYPERLINK("#'Segmentation Glance'!A1",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HYPERLINK("#'Daily by Month'!A1", "Daily Data for the Month")</f>
      </c>
      <c r="C10" s="421" t="str">
        <f>HYPERLINK("#'Daily by Month'!A1",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HYPERLINK("#'Occ'!A1", "Occupancy Perspectives")</f>
      </c>
      <c r="C11" s="421" t="str">
        <f>HYPERLINK("#'Occ'!A1",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HYPERLINK("#'Segmentation Occ'!A1", "Segmentation Occupancy Analysis")</f>
      </c>
      <c r="C12" s="421" t="str">
        <f>HYPERLINK("#'Segmentation Occ'!A1",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HYPERLINK("#'ADR'!A1", "ADR Perspectives")</f>
      </c>
      <c r="C13" s="421" t="str">
        <f>HYPERLINK("#'ADR'!A1",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HYPERLINK("#'Segmentation ADR'!A1", "Segmentation ADR Analysis")</f>
      </c>
      <c r="C14" s="421" t="str">
        <f>HYPERLINK("#'Segmentation ADR'!A1",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t="str">
        <f>HYPERLINK("#'RevPAR'!A1", "RevPAR Perspectives")</f>
      </c>
      <c r="C15" s="421" t="str">
        <f>HYPERLINK("#'RevPAR'!A1", "9")</f>
      </c>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t="str">
        <f>HYPERLINK("#'Segmentation RevPAR'!A1", "Segmentation RevPAR Analysis")</f>
      </c>
      <c r="C16" s="421" t="str">
        <f>HYPERLINK("#'Segmentation RevPAR'!A1", "10")</f>
      </c>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t="str">
        <f>HYPERLINK("#'Additional Revenue'!A1", "Additional Revenue")</f>
      </c>
      <c r="C17" s="421" t="str">
        <f>HYPERLINK("#'Additional Revenue'!A1", "11")</f>
      </c>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t="str">
        <f>HYPERLINK("#'Response'!A1", "Response Report")</f>
      </c>
      <c r="C18" s="421" t="str">
        <f>HYPERLINK("#'Response'!A1", "12")</f>
      </c>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t="str">
        <f>HYPERLINK("#'Help'!A1", "Help")</f>
      </c>
      <c r="C19" s="421" t="str">
        <f>HYPERLINK("#'Help'!A1", "13")</f>
      </c>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61" display="www.strglobal.com"/>
    <hyperlink ref="M8" r:id="rId62"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121</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656" t="s">
        <v>145</v>
      </c>
      <c r="D24" s="310"/>
      <c r="E24" s="310"/>
      <c r="F24" s="310"/>
      <c r="G24" s="310"/>
      <c r="H24" s="310"/>
      <c r="I24" s="310"/>
      <c r="J24" s="310"/>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657">
        <v>1</v>
      </c>
      <c r="D25" s="42">
        <v>2</v>
      </c>
      <c r="E25" s="42">
        <v>3</v>
      </c>
      <c r="F25" s="42">
        <v>4</v>
      </c>
      <c r="G25" s="42">
        <v>5</v>
      </c>
      <c r="H25" s="42">
        <v>6</v>
      </c>
      <c r="I25" s="42">
        <v>7</v>
      </c>
      <c r="J25" s="42">
        <v>8</v>
      </c>
      <c r="K25" s="42">
        <v>9</v>
      </c>
      <c r="L25" s="42">
        <v>10</v>
      </c>
      <c r="M25" s="42">
        <v>11</v>
      </c>
      <c r="N25" s="42">
        <v>12</v>
      </c>
      <c r="O25" s="42">
        <v>13</v>
      </c>
      <c r="P25" s="42">
        <v>14</v>
      </c>
      <c r="Q25" s="42">
        <v>15</v>
      </c>
      <c r="R25" s="42">
        <v>16</v>
      </c>
      <c r="S25" s="42">
        <v>17</v>
      </c>
      <c r="T25" s="42">
        <v>18</v>
      </c>
      <c r="U25" s="42">
        <v>19</v>
      </c>
      <c r="V25" s="42">
        <v>20</v>
      </c>
      <c r="W25" s="42">
        <v>21</v>
      </c>
      <c r="X25" s="323">
        <v>22</v>
      </c>
      <c r="Y25" s="42">
        <v>23</v>
      </c>
      <c r="Z25" s="42">
        <v>24</v>
      </c>
      <c r="AA25" s="42">
        <v>25</v>
      </c>
      <c r="AB25" s="42">
        <v>26</v>
      </c>
      <c r="AC25" s="42">
        <v>27</v>
      </c>
      <c r="AD25" s="337">
        <v>28</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658">
        <v>23.118279569892473118279569890</v>
      </c>
      <c r="D26" s="445">
        <v>23.655913978494623655913978490</v>
      </c>
      <c r="E26" s="445">
        <v>28.494623655913978494623655910</v>
      </c>
      <c r="F26" s="445">
        <v>25.268817204301075268817204300</v>
      </c>
      <c r="G26" s="445">
        <v>42.473118279569892473118279570</v>
      </c>
      <c r="H26" s="445">
        <v>80.64516129032258064516129032</v>
      </c>
      <c r="I26" s="445">
        <v>72.043010752688172043010752690</v>
      </c>
      <c r="J26" s="445">
        <v>26.344086021505376344086021510</v>
      </c>
      <c r="K26" s="445">
        <v>25.268817204301075268817204300</v>
      </c>
      <c r="L26" s="445"/>
      <c r="M26" s="445">
        <v>29.032258064516129032258064520</v>
      </c>
      <c r="N26" s="445">
        <v>38.172043010752688172043010750</v>
      </c>
      <c r="O26" s="445">
        <v>36.559139784946236559139784950</v>
      </c>
      <c r="P26" s="445">
        <v>16.666666666666666666666666670</v>
      </c>
      <c r="Q26" s="445">
        <v>26.344086021505376344086021510</v>
      </c>
      <c r="R26" s="445">
        <v>46.236559139784946236559139780</v>
      </c>
      <c r="S26" s="445">
        <v>31.720430107526881720430107530</v>
      </c>
      <c r="T26" s="445">
        <v>31.720430107526881720430107530</v>
      </c>
      <c r="U26" s="445">
        <v>30.645161290322580645161290320</v>
      </c>
      <c r="V26" s="445">
        <v>75.806451612903225806451612900</v>
      </c>
      <c r="W26" s="445">
        <v>74.731182795698924731182795700</v>
      </c>
      <c r="X26" s="446">
        <v>23.655913978494623655913978490</v>
      </c>
      <c r="Y26" s="445">
        <v>54.838709677419354838709677420</v>
      </c>
      <c r="Z26" s="445">
        <v>56.989247311827956989247311830</v>
      </c>
      <c r="AA26" s="445">
        <v>57.526881720430107526881720430</v>
      </c>
      <c r="AB26" s="445">
        <v>39.247311827956989247311827960</v>
      </c>
      <c r="AC26" s="445">
        <v>65.591397849462365591397849460</v>
      </c>
      <c r="AD26" s="447">
        <v>57.526881720430107526881720430</v>
      </c>
      <c r="AE26" s="448"/>
      <c r="AF26" s="444">
        <v>50.768049155145929339477726570</v>
      </c>
      <c r="AG26" s="445">
        <v>42.234169653524492234169653520</v>
      </c>
      <c r="AH26" s="449">
        <v>42.234169653524492234169653520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659">
        <v>33.333333333333333333333333330</v>
      </c>
      <c r="D27" s="81">
        <v>48.987108655616942909760589320</v>
      </c>
      <c r="E27" s="81">
        <v>62.799263351749539594843462250</v>
      </c>
      <c r="F27" s="81">
        <v>73.388581952117863720073664830</v>
      </c>
      <c r="G27" s="81">
        <v>69.152854511970534069981583790</v>
      </c>
      <c r="H27" s="81">
        <v>76.335174953959484346224677720</v>
      </c>
      <c r="I27" s="81">
        <v>66.114180478821362799263351750</v>
      </c>
      <c r="J27" s="81">
        <v>38.766114180478821362799263350</v>
      </c>
      <c r="K27" s="81">
        <v>50.184162062615101289134438310</v>
      </c>
      <c r="L27" s="81">
        <v>62.062615101289134438305709020</v>
      </c>
      <c r="M27" s="81">
        <v>66.574585635359116022099447510</v>
      </c>
      <c r="N27" s="81">
        <v>64.917127071823204419889502760</v>
      </c>
      <c r="O27" s="81">
        <v>67.771639042357274401473296500</v>
      </c>
      <c r="P27" s="81">
        <v>62.338858195211786372007366480</v>
      </c>
      <c r="Q27" s="81">
        <v>41.988950276243093922651933700</v>
      </c>
      <c r="R27" s="81">
        <v>60.589318600368324125230202580</v>
      </c>
      <c r="S27" s="81">
        <v>66.850828729281767955801104970</v>
      </c>
      <c r="T27" s="81">
        <v>58.471454880294659300184162060</v>
      </c>
      <c r="U27" s="81">
        <v>60.497237569060773480662983430</v>
      </c>
      <c r="V27" s="81">
        <v>78.729281767955801104972375690</v>
      </c>
      <c r="W27" s="81">
        <v>79.37384898710865561694290976</v>
      </c>
      <c r="X27" s="82">
        <v>41.804788213627992633517495400</v>
      </c>
      <c r="Y27" s="81">
        <v>51.565377532228360957642725600</v>
      </c>
      <c r="Z27" s="81">
        <v>61.510128913443830570902394110</v>
      </c>
      <c r="AA27" s="81">
        <v>71.546961325966850828729281770</v>
      </c>
      <c r="AB27" s="81">
        <v>63.364293085655314757481940140</v>
      </c>
      <c r="AC27" s="81">
        <v>70.441988950276243093922651930</v>
      </c>
      <c r="AD27" s="83">
        <v>71.731123388581952117863720070</v>
      </c>
      <c r="AE27" s="88"/>
      <c r="AF27" s="327">
        <v>61.70923734425436356572288700</v>
      </c>
      <c r="AG27" s="81">
        <v>61.471113598099897126631984580</v>
      </c>
      <c r="AH27" s="328">
        <v>61.471113598099897126631984580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660">
        <v>56.870748299319727891156462590</v>
      </c>
      <c r="D28" s="451">
        <v>74.920634920634920634920634920</v>
      </c>
      <c r="E28" s="451">
        <v>81.26984126984126984126984127</v>
      </c>
      <c r="F28" s="451">
        <v>83.35600907029478458049886621</v>
      </c>
      <c r="G28" s="451">
        <v>83.58276643990929705215419501</v>
      </c>
      <c r="H28" s="451">
        <v>87.75510204081632653061224490</v>
      </c>
      <c r="I28" s="451">
        <v>83.40136054421768707482993197</v>
      </c>
      <c r="J28" s="451">
        <v>55.102040816326530612244897960</v>
      </c>
      <c r="K28" s="451">
        <v>76.281179138321995464852607710</v>
      </c>
      <c r="L28" s="451">
        <v>90.56689342403628117913832200</v>
      </c>
      <c r="M28" s="451">
        <v>81.76870748299319727891156463</v>
      </c>
      <c r="N28" s="451">
        <v>73.741496598639455782312925170</v>
      </c>
      <c r="O28" s="451">
        <v>72.426303854875283446712018140</v>
      </c>
      <c r="P28" s="451">
        <v>70.975056689342403628117913830</v>
      </c>
      <c r="Q28" s="451">
        <v>51.383219954648526077097505670</v>
      </c>
      <c r="R28" s="451">
        <v>77.233560090702947845804988660</v>
      </c>
      <c r="S28" s="451">
        <v>84.67120181405895691609977324</v>
      </c>
      <c r="T28" s="451">
        <v>78.684807256235827664399092970</v>
      </c>
      <c r="U28" s="451">
        <v>75.328798185941043083900226760</v>
      </c>
      <c r="V28" s="451">
        <v>88.79818594104308390022675737</v>
      </c>
      <c r="W28" s="451">
        <v>87.66439909297052154195011338</v>
      </c>
      <c r="X28" s="452">
        <v>58.503401360544217687074829930</v>
      </c>
      <c r="Y28" s="451">
        <v>78.730158730158730158730158730</v>
      </c>
      <c r="Z28" s="451">
        <v>85.07936507936507936507936508</v>
      </c>
      <c r="AA28" s="451">
        <v>83.62811791383219954648526077</v>
      </c>
      <c r="AB28" s="451">
        <v>74.920634920634920634920634920</v>
      </c>
      <c r="AC28" s="451">
        <v>76.598639455782312925170068030</v>
      </c>
      <c r="AD28" s="453">
        <v>72.607709750566893424036281180</v>
      </c>
      <c r="AE28" s="448"/>
      <c r="AF28" s="450">
        <v>75.724003887269193391642371230</v>
      </c>
      <c r="AG28" s="451">
        <v>76.637512147716229348882410110</v>
      </c>
      <c r="AH28" s="454">
        <v>76.637512147716229348882410110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656" t="s">
        <v>145</v>
      </c>
      <c r="D31" s="310"/>
      <c r="E31" s="310"/>
      <c r="F31" s="310"/>
      <c r="G31" s="310"/>
      <c r="H31" s="310"/>
      <c r="I31" s="310"/>
      <c r="J31" s="310"/>
      <c r="K31" s="310"/>
      <c r="L31" s="310"/>
      <c r="M31" s="310"/>
      <c r="N31" s="310"/>
      <c r="O31" s="310"/>
      <c r="P31" s="310"/>
      <c r="Q31" s="310"/>
      <c r="R31" s="310"/>
      <c r="S31" s="311"/>
      <c r="T31" s="311"/>
      <c r="U31" s="311"/>
      <c r="V31" s="311"/>
      <c r="W31" s="311"/>
      <c r="X31" s="312"/>
      <c r="Y31" s="311"/>
      <c r="Z31" s="311"/>
      <c r="AA31" s="311"/>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657">
        <v>1</v>
      </c>
      <c r="D32" s="42">
        <v>2</v>
      </c>
      <c r="E32" s="42">
        <v>3</v>
      </c>
      <c r="F32" s="42">
        <v>4</v>
      </c>
      <c r="G32" s="42">
        <v>5</v>
      </c>
      <c r="H32" s="42">
        <v>6</v>
      </c>
      <c r="I32" s="42">
        <v>7</v>
      </c>
      <c r="J32" s="42">
        <v>8</v>
      </c>
      <c r="K32" s="42">
        <v>9</v>
      </c>
      <c r="L32" s="42">
        <v>10</v>
      </c>
      <c r="M32" s="42">
        <v>11</v>
      </c>
      <c r="N32" s="42">
        <v>12</v>
      </c>
      <c r="O32" s="42">
        <v>13</v>
      </c>
      <c r="P32" s="42">
        <v>14</v>
      </c>
      <c r="Q32" s="42">
        <v>15</v>
      </c>
      <c r="R32" s="42">
        <v>16</v>
      </c>
      <c r="S32" s="42">
        <v>17</v>
      </c>
      <c r="T32" s="42">
        <v>18</v>
      </c>
      <c r="U32" s="42">
        <v>19</v>
      </c>
      <c r="V32" s="42">
        <v>20</v>
      </c>
      <c r="W32" s="42">
        <v>21</v>
      </c>
      <c r="X32" s="323">
        <v>22</v>
      </c>
      <c r="Y32" s="42">
        <v>23</v>
      </c>
      <c r="Z32" s="42">
        <v>24</v>
      </c>
      <c r="AA32" s="42">
        <v>25</v>
      </c>
      <c r="AB32" s="42">
        <v>26</v>
      </c>
      <c r="AC32" s="42">
        <v>27</v>
      </c>
      <c r="AD32" s="337">
        <v>28</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658">
        <v>2.3809523809085034013605630100</v>
      </c>
      <c r="D33" s="445">
        <v>-30.158730158656991685563037500</v>
      </c>
      <c r="E33" s="445">
        <v>-36.144578313283785745391188550</v>
      </c>
      <c r="F33" s="445">
        <v>-22.950819672057887664606218980</v>
      </c>
      <c r="G33" s="445">
        <v>-12.222222222233925925925924370</v>
      </c>
      <c r="H33" s="445">
        <v>38.888888888966049382716092250</v>
      </c>
      <c r="I33" s="445">
        <v>21.818181818257123966942195320</v>
      </c>
      <c r="J33" s="445">
        <v>63.333333332974000000000790560</v>
      </c>
      <c r="K33" s="445">
        <v>20.512820512727810650887645270</v>
      </c>
      <c r="L33" s="445"/>
      <c r="M33" s="445">
        <v>31.707317073100059488399799990</v>
      </c>
      <c r="N33" s="445">
        <v>16.393442623061488847084222390</v>
      </c>
      <c r="O33" s="445">
        <v>-26.086956521742344045368619890</v>
      </c>
      <c r="P33" s="445">
        <v>-59.210526315825969529085839910</v>
      </c>
      <c r="Q33" s="445">
        <v>-3.9215686274170703575547746400</v>
      </c>
      <c r="R33" s="445">
        <v>43.333333333462333333333449420</v>
      </c>
      <c r="S33" s="445">
        <v>0.0000000000847457627119362400</v>
      </c>
      <c r="T33" s="445">
        <v>1.7241379311151605231867465200</v>
      </c>
      <c r="U33" s="445">
        <v>-10.937499999902587890624893460</v>
      </c>
      <c r="V33" s="445">
        <v>80.76923076909171597633146790</v>
      </c>
      <c r="W33" s="445">
        <v>19.827586206991587395957269190</v>
      </c>
      <c r="X33" s="446">
        <v>-0.0000000000227272727272675800</v>
      </c>
      <c r="Y33" s="445">
        <v>92.45283018877365610537562481</v>
      </c>
      <c r="Z33" s="445">
        <v>171.79487179466272189349128510</v>
      </c>
      <c r="AA33" s="445">
        <v>137.77777777774607407407407830</v>
      </c>
      <c r="AB33" s="445">
        <v>128.12499999958652343750074944</v>
      </c>
      <c r="AC33" s="445">
        <v>28.421052631589761772853186500</v>
      </c>
      <c r="AD33" s="447">
        <v>52.857142856941959183673733420</v>
      </c>
      <c r="AE33" s="448"/>
      <c r="AF33" s="444">
        <v>74.867724867822016460905403750</v>
      </c>
      <c r="AG33" s="445">
        <v>20.589668615827321547655893540</v>
      </c>
      <c r="AH33" s="449">
        <v>18.638379479849501180572301600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659">
        <v>8.059701492640534640231776020</v>
      </c>
      <c r="D34" s="81">
        <v>-0.9310986965525919915107935300</v>
      </c>
      <c r="E34" s="81">
        <v>4.2813455658152484358780543100</v>
      </c>
      <c r="F34" s="81">
        <v>17.205882353005639705882388400</v>
      </c>
      <c r="G34" s="81">
        <v>16.614906832224618552525026090</v>
      </c>
      <c r="H34" s="81">
        <v>4.9367088607090177856113045300</v>
      </c>
      <c r="I34" s="81">
        <v>-6.0209424084187864915983476600</v>
      </c>
      <c r="J34" s="81">
        <v>20.285714285873750204081844050</v>
      </c>
      <c r="K34" s="81">
        <v>12.139917695397106640247981400</v>
      </c>
      <c r="L34" s="81">
        <v>10.310965630140925369855974750</v>
      </c>
      <c r="M34" s="81">
        <v>-4.111405835553177395183248100</v>
      </c>
      <c r="N34" s="81">
        <v>0.5706134094042177366346437600</v>
      </c>
      <c r="O34" s="81">
        <v>0.8219178082371326702946175700</v>
      </c>
      <c r="P34" s="81">
        <v>7.1202531645054358275917568700</v>
      </c>
      <c r="Q34" s="81">
        <v>21.925133689924332980640054340</v>
      </c>
      <c r="R34" s="81">
        <v>24.385633270306782780221627560</v>
      </c>
      <c r="S34" s="81">
        <v>4.0114613180035935665553049300</v>
      </c>
      <c r="T34" s="81">
        <v>-19.313850063485240623925289980</v>
      </c>
      <c r="U34" s="81">
        <v>-15.877080665816506957002168840</v>
      </c>
      <c r="V34" s="81">
        <v>2.1505376344349635796045853700</v>
      </c>
      <c r="W34" s="81">
        <v>5.2503052502828894345377909400</v>
      </c>
      <c r="X34" s="82">
        <v>7.328605200928880170346900</v>
      </c>
      <c r="Y34" s="81">
        <v>1.4492753622548834278513320700</v>
      </c>
      <c r="Z34" s="81">
        <v>0.4511278195836146757872244100</v>
      </c>
      <c r="AA34" s="81">
        <v>28.217821782122360552886996200</v>
      </c>
      <c r="AB34" s="81">
        <v>27.906361135630539439702190470</v>
      </c>
      <c r="AC34" s="81">
        <v>6.9930069930048980390239131900</v>
      </c>
      <c r="AD34" s="83">
        <v>26.666666666764292682926904510</v>
      </c>
      <c r="AE34" s="88"/>
      <c r="AF34" s="327">
        <v>14.028590736656485974451183970</v>
      </c>
      <c r="AG34" s="81">
        <v>6.1630954900014850668987497700</v>
      </c>
      <c r="AH34" s="328">
        <v>6.8793883179479885252070416100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147</v>
      </c>
      <c r="C35" s="660">
        <v>35.129310344678332388897311120</v>
      </c>
      <c r="D35" s="451">
        <v>11.021505376309391801075279660</v>
      </c>
      <c r="E35" s="451">
        <v>6.6666666666333333333333437500</v>
      </c>
      <c r="F35" s="451">
        <v>14.161490683187623548474225690</v>
      </c>
      <c r="G35" s="451">
        <v>19.830949284826729780962911680</v>
      </c>
      <c r="H35" s="451">
        <v>11.849710982689346453272753760</v>
      </c>
      <c r="I35" s="451">
        <v>5.9331797234467746580942761700</v>
      </c>
      <c r="J35" s="451">
        <v>18.421052631573753462603878350</v>
      </c>
      <c r="K35" s="451">
        <v>12.961719274684028521672926370</v>
      </c>
      <c r="L35" s="451">
        <v>17.886658795744833491076917280</v>
      </c>
      <c r="M35" s="451">
        <v>8.876811594241360467863907730</v>
      </c>
      <c r="N35" s="451">
        <v>5.174644243219164258136426300</v>
      </c>
      <c r="O35" s="451">
        <v>-0.1874999999394886718749633200</v>
      </c>
      <c r="P35" s="451">
        <v>7.7823691459309082086834293600</v>
      </c>
      <c r="Q35" s="451">
        <v>-0.8748906387130944261888337800</v>
      </c>
      <c r="R35" s="451">
        <v>5.3836633663516325758504089500</v>
      </c>
      <c r="S35" s="451">
        <v>4.069119286494058138797853500</v>
      </c>
      <c r="T35" s="451">
        <v>-0.6868918145258508412000077700</v>
      </c>
      <c r="U35" s="451">
        <v>3.5536159601504299180353604100</v>
      </c>
      <c r="V35" s="451">
        <v>15.312131919888454302921335950</v>
      </c>
      <c r="W35" s="451">
        <v>13.906894519689705810350639850</v>
      </c>
      <c r="X35" s="452">
        <v>9.974424552356538745821962400</v>
      </c>
      <c r="Y35" s="451">
        <v>5.4678007290365730686269155500</v>
      </c>
      <c r="Z35" s="451">
        <v>4.2222222222534888888888982700</v>
      </c>
      <c r="AA35" s="451">
        <v>7.0226349390063613081558064600</v>
      </c>
      <c r="AB35" s="451">
        <v>15.929824561468185410895696280</v>
      </c>
      <c r="AC35" s="451">
        <v>6.3602015112894679237860977100</v>
      </c>
      <c r="AD35" s="453">
        <v>2.825947334558417885291520500</v>
      </c>
      <c r="AE35" s="448"/>
      <c r="AF35" s="450">
        <v>7.1114369501708729150721152900</v>
      </c>
      <c r="AG35" s="451">
        <v>9.063249124167669557942800190</v>
      </c>
      <c r="AH35" s="454">
        <v>9.434049540976981252595840660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656" t="s">
        <v>145</v>
      </c>
      <c r="D38" s="310"/>
      <c r="E38" s="310"/>
      <c r="F38" s="310"/>
      <c r="G38" s="310"/>
      <c r="H38" s="310"/>
      <c r="I38" s="310"/>
      <c r="J38" s="310"/>
      <c r="K38" s="310"/>
      <c r="L38" s="310"/>
      <c r="M38" s="310"/>
      <c r="N38" s="310"/>
      <c r="O38" s="310"/>
      <c r="P38" s="310"/>
      <c r="Q38" s="310"/>
      <c r="R38" s="310"/>
      <c r="S38" s="311"/>
      <c r="T38" s="311"/>
      <c r="U38" s="311"/>
      <c r="V38" s="311"/>
      <c r="W38" s="311"/>
      <c r="X38" s="312"/>
      <c r="Y38" s="311"/>
      <c r="Z38" s="311"/>
      <c r="AA38" s="311"/>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661">
        <v>1</v>
      </c>
      <c r="D39" s="42">
        <v>2</v>
      </c>
      <c r="E39" s="42">
        <v>3</v>
      </c>
      <c r="F39" s="42">
        <v>4</v>
      </c>
      <c r="G39" s="42">
        <v>5</v>
      </c>
      <c r="H39" s="42">
        <v>6</v>
      </c>
      <c r="I39" s="42">
        <v>7</v>
      </c>
      <c r="J39" s="42">
        <v>8</v>
      </c>
      <c r="K39" s="42">
        <v>9</v>
      </c>
      <c r="L39" s="42">
        <v>10</v>
      </c>
      <c r="M39" s="42">
        <v>11</v>
      </c>
      <c r="N39" s="42">
        <v>12</v>
      </c>
      <c r="O39" s="42">
        <v>13</v>
      </c>
      <c r="P39" s="42">
        <v>14</v>
      </c>
      <c r="Q39" s="42">
        <v>15</v>
      </c>
      <c r="R39" s="42">
        <v>16</v>
      </c>
      <c r="S39" s="42">
        <v>17</v>
      </c>
      <c r="T39" s="42">
        <v>18</v>
      </c>
      <c r="U39" s="42">
        <v>19</v>
      </c>
      <c r="V39" s="42">
        <v>20</v>
      </c>
      <c r="W39" s="42">
        <v>21</v>
      </c>
      <c r="X39" s="323">
        <v>22</v>
      </c>
      <c r="Y39" s="42">
        <v>23</v>
      </c>
      <c r="Z39" s="42">
        <v>24</v>
      </c>
      <c r="AA39" s="42">
        <v>25</v>
      </c>
      <c r="AB39" s="42">
        <v>26</v>
      </c>
      <c r="AC39" s="42">
        <v>27</v>
      </c>
      <c r="AD39" s="337">
        <v>28</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658">
        <v>69.354838709746774193548456440</v>
      </c>
      <c r="D40" s="445">
        <v>48.290080038823395986935571700</v>
      </c>
      <c r="E40" s="445">
        <v>45.374136789365090807557138910</v>
      </c>
      <c r="F40" s="445">
        <v>34.431537620925530063028787230</v>
      </c>
      <c r="G40" s="445">
        <v>61.419183024757988132141849610</v>
      </c>
      <c r="H40" s="445">
        <v>105.64613409076458176314261143</v>
      </c>
      <c r="I40" s="445">
        <v>108.96756222485325252527276236</v>
      </c>
      <c r="J40" s="445">
        <v>67.956478430734462516955701740</v>
      </c>
      <c r="K40" s="445">
        <v>50.352175199778395410400454180</v>
      </c>
      <c r="L40" s="445"/>
      <c r="M40" s="445">
        <v>43.608619997296201800488877670</v>
      </c>
      <c r="N40" s="445">
        <v>58.801189659137925183876329690</v>
      </c>
      <c r="O40" s="445">
        <v>53.944600280470900283553896680</v>
      </c>
      <c r="P40" s="445">
        <v>26.735598227479205548852462840</v>
      </c>
      <c r="Q40" s="445">
        <v>62.740520656544301038036583540</v>
      </c>
      <c r="R40" s="445">
        <v>76.311403078693313814960722340</v>
      </c>
      <c r="S40" s="445">
        <v>47.449569003808262443146477610</v>
      </c>
      <c r="T40" s="445">
        <v>54.249428498852042648085296630</v>
      </c>
      <c r="U40" s="445">
        <v>50.655472087167037061698672950</v>
      </c>
      <c r="V40" s="445">
        <v>96.28749292580898857216615590</v>
      </c>
      <c r="W40" s="445">
        <v>94.15088690967271744945942618</v>
      </c>
      <c r="X40" s="446">
        <v>56.586613613793752468857211320</v>
      </c>
      <c r="Y40" s="445">
        <v>106.34792626733959735023044692</v>
      </c>
      <c r="Z40" s="445">
        <v>92.65018350402584248154266010</v>
      </c>
      <c r="AA40" s="445">
        <v>80.40436750110444170127818634</v>
      </c>
      <c r="AB40" s="445">
        <v>61.939161500429157856214129430</v>
      </c>
      <c r="AC40" s="445">
        <v>93.11406282940144523404977639</v>
      </c>
      <c r="AD40" s="447">
        <v>80.19793780278739149985135052</v>
      </c>
      <c r="AE40" s="448"/>
      <c r="AF40" s="444">
        <v>82.26977246840874524302806839</v>
      </c>
      <c r="AG40" s="445">
        <v>68.705717501154722641451534160</v>
      </c>
      <c r="AH40" s="449">
        <v>68.705717501154722641451534160</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147</v>
      </c>
      <c r="C41" s="662">
        <v>40.65056335855708630053223600</v>
      </c>
      <c r="D41" s="330">
        <v>31.574630945886778224648096480</v>
      </c>
      <c r="E41" s="330">
        <v>35.061743951630708017656889080</v>
      </c>
      <c r="F41" s="330">
        <v>30.314331847377793699444769880</v>
      </c>
      <c r="G41" s="330">
        <v>50.815640698026060829934292890</v>
      </c>
      <c r="H41" s="330">
        <v>91.89797449364050314904307790</v>
      </c>
      <c r="I41" s="330">
        <v>86.38109772143072756005985191</v>
      </c>
      <c r="J41" s="330">
        <v>47.809637594606850598109071960</v>
      </c>
      <c r="K41" s="330">
        <v>33.125887000891758039796294880</v>
      </c>
      <c r="L41" s="330"/>
      <c r="M41" s="330">
        <v>35.505340561426921084328795470</v>
      </c>
      <c r="N41" s="330">
        <v>51.764670872542873728790867780</v>
      </c>
      <c r="O41" s="330">
        <v>50.477710222779549944165191580</v>
      </c>
      <c r="P41" s="330">
        <v>23.482428115030003878777989180</v>
      </c>
      <c r="Q41" s="330">
        <v>51.269823192828079037533983650</v>
      </c>
      <c r="R41" s="330">
        <v>59.865891311350380349118109800</v>
      </c>
      <c r="S41" s="330">
        <v>37.463068230885308043277683930</v>
      </c>
      <c r="T41" s="330">
        <v>40.313284372984796362076683050</v>
      </c>
      <c r="U41" s="330">
        <v>40.681866734014513794084845450</v>
      </c>
      <c r="V41" s="330">
        <v>85.36936966625777007375319271</v>
      </c>
      <c r="W41" s="330">
        <v>85.24690018854667281279643517</v>
      </c>
      <c r="X41" s="331">
        <v>40.435108777224859994068307600</v>
      </c>
      <c r="Y41" s="330">
        <v>69.654006243459845779765720190</v>
      </c>
      <c r="Z41" s="330">
        <v>66.983630235889694971219982690</v>
      </c>
      <c r="AA41" s="330">
        <v>68.788923098480058151938239910</v>
      </c>
      <c r="AB41" s="330">
        <v>52.385183160221245690893432820</v>
      </c>
      <c r="AC41" s="330">
        <v>85.62997765425169948948910592</v>
      </c>
      <c r="AD41" s="338">
        <v>79.22971529886979975303311592</v>
      </c>
      <c r="AE41" s="88"/>
      <c r="AF41" s="329">
        <v>67.043535139404400012427347850</v>
      </c>
      <c r="AG41" s="330">
        <v>55.109004024202264408613511600</v>
      </c>
      <c r="AH41" s="332">
        <v>55.109004024202264408613511600</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656" t="s">
        <v>145</v>
      </c>
      <c r="D44" s="310"/>
      <c r="E44" s="310"/>
      <c r="F44" s="310"/>
      <c r="G44" s="310"/>
      <c r="H44" s="310"/>
      <c r="I44" s="310"/>
      <c r="J44" s="310"/>
      <c r="K44" s="310"/>
      <c r="L44" s="310"/>
      <c r="M44" s="310"/>
      <c r="N44" s="310"/>
      <c r="O44" s="310"/>
      <c r="P44" s="310"/>
      <c r="Q44" s="310"/>
      <c r="R44" s="310"/>
      <c r="S44" s="311"/>
      <c r="T44" s="311"/>
      <c r="U44" s="311"/>
      <c r="V44" s="311"/>
      <c r="W44" s="311"/>
      <c r="X44" s="312"/>
      <c r="Y44" s="311"/>
      <c r="Z44" s="311"/>
      <c r="AA44" s="311"/>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657">
        <v>1</v>
      </c>
      <c r="D45" s="42">
        <v>2</v>
      </c>
      <c r="E45" s="42">
        <v>3</v>
      </c>
      <c r="F45" s="42">
        <v>4</v>
      </c>
      <c r="G45" s="42">
        <v>5</v>
      </c>
      <c r="H45" s="42">
        <v>6</v>
      </c>
      <c r="I45" s="42">
        <v>7</v>
      </c>
      <c r="J45" s="42">
        <v>8</v>
      </c>
      <c r="K45" s="42">
        <v>9</v>
      </c>
      <c r="L45" s="42">
        <v>10</v>
      </c>
      <c r="M45" s="42">
        <v>11</v>
      </c>
      <c r="N45" s="42">
        <v>12</v>
      </c>
      <c r="O45" s="42">
        <v>13</v>
      </c>
      <c r="P45" s="42">
        <v>14</v>
      </c>
      <c r="Q45" s="42">
        <v>15</v>
      </c>
      <c r="R45" s="42">
        <v>16</v>
      </c>
      <c r="S45" s="42">
        <v>17</v>
      </c>
      <c r="T45" s="42">
        <v>18</v>
      </c>
      <c r="U45" s="42">
        <v>19</v>
      </c>
      <c r="V45" s="42">
        <v>20</v>
      </c>
      <c r="W45" s="42">
        <v>21</v>
      </c>
      <c r="X45" s="323">
        <v>22</v>
      </c>
      <c r="Y45" s="42">
        <v>23</v>
      </c>
      <c r="Z45" s="42">
        <v>24</v>
      </c>
      <c r="AA45" s="42">
        <v>25</v>
      </c>
      <c r="AB45" s="42">
        <v>26</v>
      </c>
      <c r="AC45" s="42">
        <v>27</v>
      </c>
      <c r="AD45" s="337">
        <v>28</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658">
        <v>-5.2551960010376232099016861800</v>
      </c>
      <c r="D46" s="445">
        <v>-29.502327246592786391704083990</v>
      </c>
      <c r="E46" s="445">
        <v>-38.76620852914575111277594500</v>
      </c>
      <c r="F46" s="445">
        <v>-34.261678013902715143500058690</v>
      </c>
      <c r="G46" s="445">
        <v>-24.728510134600059537480722410</v>
      </c>
      <c r="H46" s="445">
        <v>32.354912210160678928953332770</v>
      </c>
      <c r="I46" s="445">
        <v>29.622689288458239866700782060</v>
      </c>
      <c r="J46" s="445">
        <v>35.787806808862729101576726130</v>
      </c>
      <c r="K46" s="445">
        <v>7.4664784756902413925288390100</v>
      </c>
      <c r="L46" s="445"/>
      <c r="M46" s="445">
        <v>37.354518773388892697933587930</v>
      </c>
      <c r="N46" s="445">
        <v>15.733054295971783372134979470</v>
      </c>
      <c r="O46" s="445">
        <v>-26.689508506708788911463172090</v>
      </c>
      <c r="P46" s="445">
        <v>-61.921791184007000087394995710</v>
      </c>
      <c r="Q46" s="445">
        <v>-21.198830409329545349553587650</v>
      </c>
      <c r="R46" s="445">
        <v>15.233029381864616444186135810</v>
      </c>
      <c r="S46" s="445">
        <v>-3.8567493113371921627901592400</v>
      </c>
      <c r="T46" s="445">
        <v>26.073852837172710643137805570</v>
      </c>
      <c r="U46" s="445">
        <v>5.8718607306325407435641269400</v>
      </c>
      <c r="V46" s="445">
        <v>76.963562752924529607034765320</v>
      </c>
      <c r="W46" s="445">
        <v>13.850108008691459570312004480</v>
      </c>
      <c r="X46" s="446">
        <v>-6.8281938325481140184927572400</v>
      </c>
      <c r="Y46" s="445">
        <v>89.70350404326155447382322564</v>
      </c>
      <c r="Z46" s="445">
        <v>170.57423614321379555177683044</v>
      </c>
      <c r="AA46" s="445">
        <v>85.44830544839807580252158948</v>
      </c>
      <c r="AB46" s="445">
        <v>78.353131129887558387627312720</v>
      </c>
      <c r="AC46" s="445">
        <v>20.027519779846444412078447230</v>
      </c>
      <c r="AD46" s="447">
        <v>20.676691729235321622707507810</v>
      </c>
      <c r="AE46" s="448"/>
      <c r="AF46" s="444">
        <v>53.35428048159197106661567600</v>
      </c>
      <c r="AG46" s="445">
        <v>13.589066011403053187110428420</v>
      </c>
      <c r="AH46" s="449">
        <v>11.002113079850072344538682450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147</v>
      </c>
      <c r="C47" s="662">
        <v>-24.234829497914301564002639810</v>
      </c>
      <c r="D47" s="330">
        <v>-37.092124985600129496583745600</v>
      </c>
      <c r="E47" s="330">
        <v>-40.135542168647596057030928240</v>
      </c>
      <c r="F47" s="330">
        <v>-32.508607003266022211878299610</v>
      </c>
      <c r="G47" s="330">
        <v>-26.748658588049069405497534790</v>
      </c>
      <c r="H47" s="330">
        <v>24.174562159124184728987580920</v>
      </c>
      <c r="I47" s="330">
        <v>14.995303771855132335298683730</v>
      </c>
      <c r="J47" s="330">
        <v>37.925925926104251742112659540</v>
      </c>
      <c r="K47" s="330">
        <v>6.6846550201031873893286916800</v>
      </c>
      <c r="L47" s="330"/>
      <c r="M47" s="330">
        <v>20.969116513078190787899349200</v>
      </c>
      <c r="N47" s="330">
        <v>10.666827979899902893691583630</v>
      </c>
      <c r="O47" s="330">
        <v>-25.948109226623736592677974920</v>
      </c>
      <c r="P47" s="330">
        <v>-62.155708760691877670250132750</v>
      </c>
      <c r="Q47" s="330">
        <v>-3.0735683504401701687378185300</v>
      </c>
      <c r="R47" s="330">
        <v>36.010961049144344672708835300</v>
      </c>
      <c r="S47" s="330">
        <v>-3.910016068591511730327751700</v>
      </c>
      <c r="T47" s="330">
        <v>2.4277054556066523559071387500</v>
      </c>
      <c r="U47" s="330">
        <v>-13.993829018614912978923201860</v>
      </c>
      <c r="V47" s="330">
        <v>56.765144967571416690310784250</v>
      </c>
      <c r="W47" s="330">
        <v>5.1978343471572580910942317500</v>
      </c>
      <c r="X47" s="331">
        <v>-9.069767441651851303065718130</v>
      </c>
      <c r="Y47" s="330">
        <v>82.47543691836034022393645515</v>
      </c>
      <c r="Z47" s="330">
        <v>160.78399212684115594179605047</v>
      </c>
      <c r="AA47" s="330">
        <v>122.17522294520484035945628908</v>
      </c>
      <c r="AB47" s="330">
        <v>96.77852602879852858227184911</v>
      </c>
      <c r="AC47" s="330">
        <v>20.741640958622700894973479820</v>
      </c>
      <c r="AD47" s="338">
        <v>48.656197019754925102724437030</v>
      </c>
      <c r="AE47" s="88"/>
      <c r="AF47" s="329">
        <v>63.257752717032486355725645200</v>
      </c>
      <c r="AG47" s="330">
        <v>10.568564190485079345171048280</v>
      </c>
      <c r="AH47" s="332">
        <v>8.410846511984408895012323430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656" t="s">
        <v>145</v>
      </c>
      <c r="D50" s="310"/>
      <c r="E50" s="310"/>
      <c r="F50" s="310"/>
      <c r="G50" s="310"/>
      <c r="H50" s="310"/>
      <c r="I50" s="310"/>
      <c r="J50" s="310"/>
      <c r="K50" s="310"/>
      <c r="L50" s="310"/>
      <c r="M50" s="310"/>
      <c r="N50" s="310"/>
      <c r="O50" s="310"/>
      <c r="P50" s="310"/>
      <c r="Q50" s="310"/>
      <c r="R50" s="310"/>
      <c r="S50" s="311"/>
      <c r="T50" s="311"/>
      <c r="U50" s="311"/>
      <c r="V50" s="311"/>
      <c r="W50" s="311"/>
      <c r="X50" s="312"/>
      <c r="Y50" s="311"/>
      <c r="Z50" s="311"/>
      <c r="AA50" s="311"/>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657">
        <v>1</v>
      </c>
      <c r="D51" s="42">
        <v>2</v>
      </c>
      <c r="E51" s="42">
        <v>3</v>
      </c>
      <c r="F51" s="42">
        <v>4</v>
      </c>
      <c r="G51" s="42">
        <v>5</v>
      </c>
      <c r="H51" s="42">
        <v>6</v>
      </c>
      <c r="I51" s="42">
        <v>7</v>
      </c>
      <c r="J51" s="42">
        <v>8</v>
      </c>
      <c r="K51" s="42">
        <v>9</v>
      </c>
      <c r="L51" s="42">
        <v>10</v>
      </c>
      <c r="M51" s="42">
        <v>11</v>
      </c>
      <c r="N51" s="42">
        <v>12</v>
      </c>
      <c r="O51" s="42">
        <v>13</v>
      </c>
      <c r="P51" s="42">
        <v>14</v>
      </c>
      <c r="Q51" s="42">
        <v>15</v>
      </c>
      <c r="R51" s="42">
        <v>16</v>
      </c>
      <c r="S51" s="42">
        <v>17</v>
      </c>
      <c r="T51" s="42">
        <v>18</v>
      </c>
      <c r="U51" s="42">
        <v>19</v>
      </c>
      <c r="V51" s="42">
        <v>20</v>
      </c>
      <c r="W51" s="42">
        <v>21</v>
      </c>
      <c r="X51" s="323">
        <v>22</v>
      </c>
      <c r="Y51" s="42">
        <v>23</v>
      </c>
      <c r="Z51" s="42">
        <v>24</v>
      </c>
      <c r="AA51" s="42">
        <v>25</v>
      </c>
      <c r="AB51" s="42">
        <v>26</v>
      </c>
      <c r="AC51" s="42">
        <v>27</v>
      </c>
      <c r="AD51" s="337">
        <v>28</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663" t="s">
        <v>148</v>
      </c>
      <c r="D52" s="456" t="s">
        <v>148</v>
      </c>
      <c r="E52" s="456" t="s">
        <v>150</v>
      </c>
      <c r="F52" s="456" t="s">
        <v>150</v>
      </c>
      <c r="G52" s="456" t="s">
        <v>148</v>
      </c>
      <c r="H52" s="456" t="s">
        <v>151</v>
      </c>
      <c r="I52" s="456" t="s">
        <v>153</v>
      </c>
      <c r="J52" s="456" t="s">
        <v>150</v>
      </c>
      <c r="K52" s="456" t="s">
        <v>148</v>
      </c>
      <c r="L52" s="456"/>
      <c r="M52" s="456" t="s">
        <v>148</v>
      </c>
      <c r="N52" s="456" t="s">
        <v>148</v>
      </c>
      <c r="O52" s="456" t="s">
        <v>148</v>
      </c>
      <c r="P52" s="456" t="s">
        <v>150</v>
      </c>
      <c r="Q52" s="456" t="s">
        <v>149</v>
      </c>
      <c r="R52" s="456" t="s">
        <v>149</v>
      </c>
      <c r="S52" s="456" t="s">
        <v>150</v>
      </c>
      <c r="T52" s="456" t="s">
        <v>150</v>
      </c>
      <c r="U52" s="456" t="s">
        <v>150</v>
      </c>
      <c r="V52" s="456" t="s">
        <v>153</v>
      </c>
      <c r="W52" s="456" t="s">
        <v>155</v>
      </c>
      <c r="X52" s="457" t="s">
        <v>148</v>
      </c>
      <c r="Y52" s="456" t="s">
        <v>155</v>
      </c>
      <c r="Z52" s="456" t="s">
        <v>149</v>
      </c>
      <c r="AA52" s="456" t="s">
        <v>148</v>
      </c>
      <c r="AB52" s="456" t="s">
        <v>156</v>
      </c>
      <c r="AC52" s="456" t="s">
        <v>149</v>
      </c>
      <c r="AD52" s="458" t="s">
        <v>148</v>
      </c>
      <c r="AE52" s="459"/>
      <c r="AF52" s="455" t="s">
        <v>148</v>
      </c>
      <c r="AG52" s="456" t="s">
        <v>148</v>
      </c>
      <c r="AH52" s="460" t="s">
        <v>148</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664" t="s">
        <v>149</v>
      </c>
      <c r="D53" s="334" t="s">
        <v>148</v>
      </c>
      <c r="E53" s="334" t="s">
        <v>150</v>
      </c>
      <c r="F53" s="334" t="s">
        <v>150</v>
      </c>
      <c r="G53" s="334" t="s">
        <v>150</v>
      </c>
      <c r="H53" s="334" t="s">
        <v>152</v>
      </c>
      <c r="I53" s="334" t="s">
        <v>151</v>
      </c>
      <c r="J53" s="334" t="s">
        <v>154</v>
      </c>
      <c r="K53" s="334" t="s">
        <v>151</v>
      </c>
      <c r="L53" s="334"/>
      <c r="M53" s="334" t="s">
        <v>154</v>
      </c>
      <c r="N53" s="334" t="s">
        <v>151</v>
      </c>
      <c r="O53" s="334" t="s">
        <v>148</v>
      </c>
      <c r="P53" s="334" t="s">
        <v>150</v>
      </c>
      <c r="Q53" s="334" t="s">
        <v>155</v>
      </c>
      <c r="R53" s="334" t="s">
        <v>151</v>
      </c>
      <c r="S53" s="334" t="s">
        <v>149</v>
      </c>
      <c r="T53" s="334" t="s">
        <v>153</v>
      </c>
      <c r="U53" s="334" t="s">
        <v>155</v>
      </c>
      <c r="V53" s="334" t="s">
        <v>154</v>
      </c>
      <c r="W53" s="334" t="s">
        <v>151</v>
      </c>
      <c r="X53" s="60" t="s">
        <v>151</v>
      </c>
      <c r="Y53" s="61" t="s">
        <v>154</v>
      </c>
      <c r="Z53" s="61" t="s">
        <v>152</v>
      </c>
      <c r="AA53" s="61" t="s">
        <v>152</v>
      </c>
      <c r="AB53" s="61" t="s">
        <v>157</v>
      </c>
      <c r="AC53" s="61" t="s">
        <v>151</v>
      </c>
      <c r="AD53" s="62" t="s">
        <v>151</v>
      </c>
      <c r="AE53" s="59"/>
      <c r="AF53" s="333" t="s">
        <v>154</v>
      </c>
      <c r="AG53" s="334" t="s">
        <v>154</v>
      </c>
      <c r="AH53" s="335" t="s">
        <v>154</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65"/>
      <c r="C66" s="665"/>
      <c r="D66" s="665"/>
      <c r="E66" s="665"/>
      <c r="F66" s="665"/>
      <c r="G66" s="665"/>
      <c r="H66" s="665"/>
      <c r="I66" s="665"/>
      <c r="J66" s="665"/>
      <c r="K66" s="665"/>
      <c r="L66" s="665"/>
      <c r="M66" s="665"/>
      <c r="N66" s="665"/>
      <c r="O66" s="665"/>
      <c r="P66" s="665"/>
      <c r="Q66" s="665"/>
      <c r="R66" s="665"/>
      <c r="S66" s="665"/>
      <c r="T66" s="665"/>
      <c r="U66" s="665"/>
      <c r="V66" s="665"/>
      <c r="W66" s="665"/>
      <c r="X66" s="665"/>
      <c r="Y66" s="665"/>
      <c r="Z66" s="665"/>
      <c r="AA66" s="665"/>
      <c r="AB66" s="665"/>
      <c r="AC66" s="665"/>
      <c r="AD66" s="665"/>
      <c r="AE66" s="665"/>
      <c r="AF66" s="665"/>
      <c r="AG66" s="665"/>
      <c r="AH66" s="665"/>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65"/>
      <c r="C67" s="665"/>
      <c r="D67" s="665"/>
      <c r="E67" s="665"/>
      <c r="F67" s="665"/>
      <c r="G67" s="665"/>
      <c r="H67" s="665"/>
      <c r="I67" s="665"/>
      <c r="J67" s="665"/>
      <c r="K67" s="665"/>
      <c r="L67" s="665"/>
      <c r="M67" s="665"/>
      <c r="N67" s="665"/>
      <c r="O67" s="665"/>
      <c r="P67" s="665"/>
      <c r="Q67" s="665"/>
      <c r="R67" s="665"/>
      <c r="S67" s="665"/>
      <c r="T67" s="665"/>
      <c r="U67" s="665"/>
      <c r="V67" s="665"/>
      <c r="W67" s="665"/>
      <c r="X67" s="665"/>
      <c r="Y67" s="665"/>
      <c r="Z67" s="665"/>
      <c r="AA67" s="665"/>
      <c r="AB67" s="665"/>
      <c r="AC67" s="665"/>
      <c r="AD67" s="665"/>
      <c r="AE67" s="665"/>
      <c r="AF67" s="665"/>
      <c r="AG67" s="665"/>
      <c r="AH67" s="665"/>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65"/>
      <c r="C68" s="665"/>
      <c r="D68" s="665"/>
      <c r="E68" s="665"/>
      <c r="F68" s="665"/>
      <c r="G68" s="665"/>
      <c r="H68" s="665"/>
      <c r="I68" s="665"/>
      <c r="J68" s="665"/>
      <c r="K68" s="665"/>
      <c r="L68" s="665"/>
      <c r="M68" s="665"/>
      <c r="N68" s="665"/>
      <c r="O68" s="665"/>
      <c r="P68" s="665"/>
      <c r="Q68" s="665"/>
      <c r="R68" s="665"/>
      <c r="S68" s="665"/>
      <c r="T68" s="665"/>
      <c r="U68" s="665"/>
      <c r="V68" s="665"/>
      <c r="W68" s="665"/>
      <c r="X68" s="665"/>
      <c r="Y68" s="665"/>
      <c r="Z68" s="665"/>
      <c r="AA68" s="665"/>
      <c r="AB68" s="665"/>
      <c r="AC68" s="665"/>
      <c r="AD68" s="665"/>
      <c r="AE68" s="665"/>
      <c r="AF68" s="665"/>
      <c r="AG68" s="665"/>
      <c r="AH68" s="665"/>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65"/>
      <c r="C69" s="665"/>
      <c r="D69" s="665"/>
      <c r="E69" s="665"/>
      <c r="F69" s="665"/>
      <c r="G69" s="665"/>
      <c r="H69" s="665"/>
      <c r="I69" s="665"/>
      <c r="J69" s="665"/>
      <c r="K69" s="665"/>
      <c r="L69" s="665"/>
      <c r="M69" s="665"/>
      <c r="N69" s="665"/>
      <c r="O69" s="665"/>
      <c r="P69" s="665"/>
      <c r="Q69" s="665"/>
      <c r="R69" s="665"/>
      <c r="S69" s="665"/>
      <c r="T69" s="665"/>
      <c r="U69" s="665"/>
      <c r="V69" s="665"/>
      <c r="W69" s="665"/>
      <c r="X69" s="665"/>
      <c r="Y69" s="665"/>
      <c r="Z69" s="665"/>
      <c r="AA69" s="665"/>
      <c r="AB69" s="665"/>
      <c r="AC69" s="665"/>
      <c r="AD69" s="665"/>
      <c r="AE69" s="665"/>
      <c r="AF69" s="665"/>
      <c r="AG69" s="665"/>
      <c r="AH69" s="665"/>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65"/>
      <c r="C70" s="665"/>
      <c r="D70" s="665"/>
      <c r="E70" s="665"/>
      <c r="F70" s="665"/>
      <c r="G70" s="665"/>
      <c r="H70" s="665"/>
      <c r="I70" s="665"/>
      <c r="J70" s="665"/>
      <c r="K70" s="665"/>
      <c r="L70" s="665"/>
      <c r="M70" s="665"/>
      <c r="N70" s="665"/>
      <c r="O70" s="665"/>
      <c r="P70" s="665"/>
      <c r="Q70" s="665"/>
      <c r="R70" s="665"/>
      <c r="S70" s="665"/>
      <c r="T70" s="665"/>
      <c r="U70" s="665"/>
      <c r="V70" s="665"/>
      <c r="W70" s="665"/>
      <c r="X70" s="665"/>
      <c r="Y70" s="665"/>
      <c r="Z70" s="665"/>
      <c r="AA70" s="665"/>
      <c r="AB70" s="665"/>
      <c r="AC70" s="665"/>
      <c r="AD70" s="665"/>
      <c r="AE70" s="665"/>
      <c r="AF70" s="665"/>
      <c r="AG70" s="665"/>
      <c r="AH70" s="665"/>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65">
        <v>1</v>
      </c>
      <c r="C71" s="665">
        <v>2</v>
      </c>
      <c r="D71" s="665">
        <v>3</v>
      </c>
      <c r="E71" s="665">
        <v>4</v>
      </c>
      <c r="F71" s="665">
        <v>5</v>
      </c>
      <c r="G71" s="665">
        <v>6</v>
      </c>
      <c r="H71" s="665">
        <v>7</v>
      </c>
      <c r="I71" s="665">
        <v>8</v>
      </c>
      <c r="J71" s="665">
        <v>9</v>
      </c>
      <c r="K71" s="665">
        <v>10</v>
      </c>
      <c r="L71" s="665">
        <v>11</v>
      </c>
      <c r="M71" s="665">
        <v>12</v>
      </c>
      <c r="N71" s="665"/>
      <c r="O71" s="665"/>
      <c r="P71" s="665"/>
      <c r="Q71" s="665"/>
      <c r="R71" s="665"/>
      <c r="S71" s="665"/>
      <c r="T71" s="665"/>
      <c r="U71" s="665"/>
      <c r="V71" s="665"/>
      <c r="W71" s="665"/>
      <c r="X71" s="665"/>
      <c r="Y71" s="665"/>
      <c r="Z71" s="665"/>
      <c r="AA71" s="665"/>
      <c r="AB71" s="665"/>
      <c r="AC71" s="665"/>
      <c r="AD71" s="665"/>
      <c r="AE71" s="665"/>
      <c r="AF71" s="665"/>
      <c r="AG71" s="665"/>
      <c r="AH71" s="665"/>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5" t="n">
        <v>45759</v>
      </c>
      <c r="C72" s="665">
        <v>45766</v>
      </c>
      <c r="D72" s="665">
        <v>45773</v>
      </c>
      <c r="E72" s="665">
        <v>45780</v>
      </c>
      <c r="F72" s="665">
        <v>45787</v>
      </c>
      <c r="G72" s="665">
        <v>45794</v>
      </c>
      <c r="H72" s="665">
        <v>45801</v>
      </c>
      <c r="I72" s="665">
        <v>45808</v>
      </c>
      <c r="J72" s="665">
        <v>45815</v>
      </c>
      <c r="K72" s="665">
        <v>45822</v>
      </c>
      <c r="L72" s="665">
        <v>45829</v>
      </c>
      <c r="M72" s="665">
        <v>45836</v>
      </c>
      <c r="N72" s="665"/>
      <c r="O72" s="665"/>
      <c r="P72" s="665"/>
      <c r="Q72" s="665"/>
      <c r="R72" s="665"/>
      <c r="S72" s="665"/>
      <c r="T72" s="665"/>
      <c r="U72" s="665"/>
      <c r="V72" s="665"/>
      <c r="W72" s="665"/>
      <c r="X72" s="665"/>
      <c r="Y72" s="665"/>
      <c r="Z72" s="665"/>
      <c r="AA72" s="665"/>
      <c r="AB72" s="665"/>
      <c r="AC72" s="665"/>
      <c r="AD72" s="665"/>
      <c r="AE72" s="665"/>
      <c r="AF72" s="665"/>
      <c r="AG72" s="665"/>
      <c r="AH72" s="665"/>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5">
        <v>44.316436251920122887864823350</v>
      </c>
      <c r="C73" s="665">
        <v>24.961597542242703533026113670</v>
      </c>
      <c r="D73" s="665">
        <v>29.339477726574500768049155150</v>
      </c>
      <c r="E73" s="665">
        <v>49.001536098310291858678955450</v>
      </c>
      <c r="F73" s="665">
        <v>29.646697388632872503840245780</v>
      </c>
      <c r="G73" s="665">
        <v>37.480798771121351766513056840</v>
      </c>
      <c r="H73" s="665">
        <v>37.634408602150537634408602150</v>
      </c>
      <c r="I73" s="665">
        <v>39.016897081413210445468509980</v>
      </c>
      <c r="J73" s="665">
        <v>42.242703533026113671274961600</v>
      </c>
      <c r="K73" s="665">
        <v>28.673835125448028673835125450</v>
      </c>
      <c r="L73" s="665">
        <v>45.314900153609831029185867900</v>
      </c>
      <c r="M73" s="665">
        <v>50.768049155145929339477726570</v>
      </c>
      <c r="N73" s="665"/>
      <c r="O73" s="665"/>
      <c r="P73" s="665"/>
      <c r="Q73" s="665"/>
      <c r="R73" s="665"/>
      <c r="S73" s="665"/>
      <c r="T73" s="665"/>
      <c r="U73" s="665"/>
      <c r="V73" s="665"/>
      <c r="W73" s="665"/>
      <c r="X73" s="665"/>
      <c r="Y73" s="665"/>
      <c r="Z73" s="665"/>
      <c r="AA73" s="665"/>
      <c r="AB73" s="665"/>
      <c r="AC73" s="665"/>
      <c r="AD73" s="665"/>
      <c r="AE73" s="665"/>
      <c r="AF73" s="665"/>
      <c r="AG73" s="665"/>
      <c r="AH73" s="665"/>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5">
        <v>55.196001052354643514864509340</v>
      </c>
      <c r="C74" s="665">
        <v>46.408839779005524861878453040</v>
      </c>
      <c r="D74" s="665">
        <v>55.261773217574322546698237310</v>
      </c>
      <c r="E74" s="665">
        <v>61.852144172586161536437779530</v>
      </c>
      <c r="F74" s="665">
        <v>48.447776900815574848724019990</v>
      </c>
      <c r="G74" s="665">
        <v>54.735595895816890292028413580</v>
      </c>
      <c r="H74" s="665">
        <v>57.090239410681399631675874770</v>
      </c>
      <c r="I74" s="665">
        <v>49.039726387792686135227571690</v>
      </c>
      <c r="J74" s="665">
        <v>61.444356748224151539068666140</v>
      </c>
      <c r="K74" s="665">
        <v>58.945014469876348329387003420</v>
      </c>
      <c r="L74" s="665">
        <v>63.785845830044725072349381740</v>
      </c>
      <c r="M74" s="665">
        <v>61.70923734425436356572288700</v>
      </c>
      <c r="N74" s="665"/>
      <c r="O74" s="665"/>
      <c r="P74" s="665"/>
      <c r="Q74" s="665"/>
      <c r="R74" s="665"/>
      <c r="S74" s="665"/>
      <c r="T74" s="665"/>
      <c r="U74" s="665"/>
      <c r="V74" s="665"/>
      <c r="W74" s="665"/>
      <c r="X74" s="665"/>
      <c r="Y74" s="665"/>
      <c r="Z74" s="665"/>
      <c r="AA74" s="665"/>
      <c r="AB74" s="665"/>
      <c r="AC74" s="665"/>
      <c r="AD74" s="665"/>
      <c r="AE74" s="665"/>
      <c r="AF74" s="665"/>
      <c r="AG74" s="665"/>
      <c r="AH74" s="665"/>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147</v>
      </c>
      <c r="B75" s="665">
        <v>68.318756073858114674441205050</v>
      </c>
      <c r="C75" s="665">
        <v>63.187560738581146744412050530</v>
      </c>
      <c r="D75" s="665">
        <v>68.098477486232588273404599940</v>
      </c>
      <c r="E75" s="665">
        <v>77.473275024295432458697764820</v>
      </c>
      <c r="F75" s="665">
        <v>69.322967282150955620343375450</v>
      </c>
      <c r="G75" s="665">
        <v>69.420149011985746679624230640</v>
      </c>
      <c r="H75" s="665">
        <v>72.432782636864269517330741820</v>
      </c>
      <c r="I75" s="665">
        <v>63.446712018140589569160997730</v>
      </c>
      <c r="J75" s="665">
        <v>78.736637512147716229348882410</v>
      </c>
      <c r="K75" s="665">
        <v>74.408811143505021056041464200</v>
      </c>
      <c r="L75" s="665">
        <v>77.680596047942986718496922580</v>
      </c>
      <c r="M75" s="665">
        <v>75.724003887269193391642371230</v>
      </c>
      <c r="N75" s="665"/>
      <c r="O75" s="665"/>
      <c r="P75" s="665"/>
      <c r="Q75" s="665"/>
      <c r="R75" s="665"/>
      <c r="S75" s="665"/>
      <c r="T75" s="665"/>
      <c r="U75" s="665"/>
      <c r="V75" s="665"/>
      <c r="W75" s="665"/>
      <c r="X75" s="665"/>
      <c r="Y75" s="665"/>
      <c r="Z75" s="665"/>
      <c r="AA75" s="665"/>
      <c r="AB75" s="665"/>
      <c r="AC75" s="665"/>
      <c r="AD75" s="665"/>
      <c r="AE75" s="665"/>
      <c r="AF75" s="665"/>
      <c r="AG75" s="665"/>
      <c r="AH75" s="665"/>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5"/>
      <c r="C76" s="665"/>
      <c r="D76" s="665"/>
      <c r="E76" s="665"/>
      <c r="F76" s="665"/>
      <c r="G76" s="665"/>
      <c r="H76" s="665"/>
      <c r="I76" s="665"/>
      <c r="J76" s="665"/>
      <c r="K76" s="665"/>
      <c r="L76" s="665"/>
      <c r="M76" s="665"/>
      <c r="N76" s="665"/>
      <c r="O76" s="665"/>
      <c r="P76" s="665"/>
      <c r="Q76" s="665"/>
      <c r="R76" s="665"/>
      <c r="S76" s="665"/>
      <c r="T76" s="665"/>
      <c r="U76" s="665"/>
      <c r="V76" s="665"/>
      <c r="W76" s="665"/>
      <c r="X76" s="665"/>
      <c r="Y76" s="665"/>
      <c r="Z76" s="665"/>
      <c r="AA76" s="665"/>
      <c r="AB76" s="665"/>
      <c r="AC76" s="665"/>
      <c r="AD76" s="665"/>
      <c r="AE76" s="665"/>
      <c r="AF76" s="665"/>
      <c r="AG76" s="665"/>
      <c r="AH76" s="665"/>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5"/>
      <c r="C77" s="665"/>
      <c r="D77" s="665"/>
      <c r="E77" s="665"/>
      <c r="F77" s="665"/>
      <c r="G77" s="665"/>
      <c r="H77" s="665"/>
      <c r="I77" s="665"/>
      <c r="J77" s="665"/>
      <c r="K77" s="665"/>
      <c r="L77" s="665"/>
      <c r="M77" s="665"/>
      <c r="N77" s="665"/>
      <c r="O77" s="665"/>
      <c r="P77" s="665"/>
      <c r="Q77" s="665"/>
      <c r="R77" s="665"/>
      <c r="S77" s="665"/>
      <c r="T77" s="665"/>
      <c r="U77" s="665"/>
      <c r="V77" s="665"/>
      <c r="W77" s="665"/>
      <c r="X77" s="665"/>
      <c r="Y77" s="665"/>
      <c r="Z77" s="665"/>
      <c r="AA77" s="665"/>
      <c r="AB77" s="665"/>
      <c r="AC77" s="665"/>
      <c r="AD77" s="665"/>
      <c r="AE77" s="665"/>
      <c r="AF77" s="665"/>
      <c r="AG77" s="665"/>
      <c r="AH77" s="665"/>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5"/>
      <c r="C78" s="665"/>
      <c r="D78" s="665"/>
      <c r="E78" s="665"/>
      <c r="F78" s="665"/>
      <c r="G78" s="665"/>
      <c r="H78" s="665"/>
      <c r="I78" s="665"/>
      <c r="J78" s="665"/>
      <c r="K78" s="665"/>
      <c r="L78" s="665"/>
      <c r="M78" s="665"/>
      <c r="N78" s="665"/>
      <c r="O78" s="665"/>
      <c r="P78" s="665"/>
      <c r="Q78" s="665"/>
      <c r="R78" s="665"/>
      <c r="S78" s="665"/>
      <c r="T78" s="665"/>
      <c r="U78" s="665"/>
      <c r="V78" s="665"/>
      <c r="W78" s="665"/>
      <c r="X78" s="665"/>
      <c r="Y78" s="665"/>
      <c r="Z78" s="665"/>
      <c r="AA78" s="665"/>
      <c r="AB78" s="665"/>
      <c r="AC78" s="665"/>
      <c r="AD78" s="665"/>
      <c r="AE78" s="665"/>
      <c r="AF78" s="665"/>
      <c r="AG78" s="665"/>
      <c r="AH78" s="665"/>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5"/>
      <c r="C79" s="665"/>
      <c r="D79" s="665"/>
      <c r="E79" s="665"/>
      <c r="F79" s="665"/>
      <c r="G79" s="665"/>
      <c r="H79" s="665"/>
      <c r="I79" s="665"/>
      <c r="J79" s="665"/>
      <c r="K79" s="665"/>
      <c r="L79" s="665"/>
      <c r="M79" s="665"/>
      <c r="N79" s="665"/>
      <c r="O79" s="665"/>
      <c r="P79" s="665"/>
      <c r="Q79" s="665"/>
      <c r="R79" s="665"/>
      <c r="S79" s="665"/>
      <c r="T79" s="665"/>
      <c r="U79" s="665"/>
      <c r="V79" s="665"/>
      <c r="W79" s="665"/>
      <c r="X79" s="665"/>
      <c r="Y79" s="665"/>
      <c r="Z79" s="665"/>
      <c r="AA79" s="665"/>
      <c r="AB79" s="665"/>
      <c r="AC79" s="665"/>
      <c r="AD79" s="665"/>
      <c r="AE79" s="665"/>
      <c r="AF79" s="665"/>
      <c r="AG79" s="665"/>
      <c r="AH79" s="665"/>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5"/>
      <c r="C80" s="665"/>
      <c r="D80" s="665"/>
      <c r="E80" s="665"/>
      <c r="F80" s="665"/>
      <c r="G80" s="665"/>
      <c r="H80" s="665"/>
      <c r="I80" s="665"/>
      <c r="J80" s="665"/>
      <c r="K80" s="665"/>
      <c r="L80" s="665"/>
      <c r="M80" s="665"/>
      <c r="N80" s="665"/>
      <c r="O80" s="665"/>
      <c r="P80" s="665"/>
      <c r="Q80" s="665"/>
      <c r="R80" s="665"/>
      <c r="S80" s="665"/>
      <c r="T80" s="665"/>
      <c r="U80" s="665"/>
      <c r="V80" s="665"/>
      <c r="W80" s="665"/>
      <c r="X80" s="665"/>
      <c r="Y80" s="665"/>
      <c r="Z80" s="665"/>
      <c r="AA80" s="665"/>
      <c r="AB80" s="665"/>
      <c r="AC80" s="665"/>
      <c r="AD80" s="665"/>
      <c r="AE80" s="665"/>
      <c r="AF80" s="665"/>
      <c r="AG80" s="665"/>
      <c r="AH80" s="665"/>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5"/>
      <c r="C81" s="665"/>
      <c r="D81" s="665"/>
      <c r="E81" s="665"/>
      <c r="F81" s="665"/>
      <c r="G81" s="665"/>
      <c r="H81" s="665"/>
      <c r="I81" s="665"/>
      <c r="J81" s="665"/>
      <c r="K81" s="665"/>
      <c r="L81" s="665"/>
      <c r="M81" s="665"/>
      <c r="N81" s="665"/>
      <c r="O81" s="665"/>
      <c r="P81" s="665"/>
      <c r="Q81" s="665"/>
      <c r="R81" s="665"/>
      <c r="S81" s="665"/>
      <c r="T81" s="665"/>
      <c r="U81" s="665"/>
      <c r="V81" s="665"/>
      <c r="W81" s="665"/>
      <c r="X81" s="665"/>
      <c r="Y81" s="665"/>
      <c r="Z81" s="665"/>
      <c r="AA81" s="665"/>
      <c r="AB81" s="665"/>
      <c r="AC81" s="665"/>
      <c r="AD81" s="665"/>
      <c r="AE81" s="665"/>
      <c r="AF81" s="665"/>
      <c r="AG81" s="665"/>
      <c r="AH81" s="665"/>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5"/>
      <c r="C82" s="665"/>
      <c r="D82" s="665"/>
      <c r="E82" s="665"/>
      <c r="F82" s="665"/>
      <c r="G82" s="665"/>
      <c r="H82" s="665"/>
      <c r="I82" s="665"/>
      <c r="J82" s="665"/>
      <c r="K82" s="665"/>
      <c r="L82" s="665"/>
      <c r="M82" s="665"/>
      <c r="N82" s="665"/>
      <c r="O82" s="665"/>
      <c r="P82" s="665"/>
      <c r="Q82" s="665"/>
      <c r="R82" s="665"/>
      <c r="S82" s="665"/>
      <c r="T82" s="665"/>
      <c r="U82" s="665"/>
      <c r="V82" s="665"/>
      <c r="W82" s="665"/>
      <c r="X82" s="665"/>
      <c r="Y82" s="665"/>
      <c r="Z82" s="665"/>
      <c r="AA82" s="665"/>
      <c r="AB82" s="665"/>
      <c r="AC82" s="665"/>
      <c r="AD82" s="665"/>
      <c r="AE82" s="665"/>
      <c r="AF82" s="665"/>
      <c r="AG82" s="665"/>
      <c r="AH82" s="665"/>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5"/>
      <c r="C83" s="665"/>
      <c r="D83" s="665"/>
      <c r="E83" s="665"/>
      <c r="F83" s="665"/>
      <c r="G83" s="665"/>
      <c r="H83" s="665"/>
      <c r="I83" s="665"/>
      <c r="J83" s="665"/>
      <c r="K83" s="665"/>
      <c r="L83" s="665"/>
      <c r="M83" s="665"/>
      <c r="N83" s="665"/>
      <c r="O83" s="665"/>
      <c r="P83" s="665"/>
      <c r="Q83" s="665"/>
      <c r="R83" s="665"/>
      <c r="S83" s="665"/>
      <c r="T83" s="665"/>
      <c r="U83" s="665"/>
      <c r="V83" s="665"/>
      <c r="W83" s="665"/>
      <c r="X83" s="665"/>
      <c r="Y83" s="665"/>
      <c r="Z83" s="665"/>
      <c r="AA83" s="665"/>
      <c r="AB83" s="665"/>
      <c r="AC83" s="665"/>
      <c r="AD83" s="665"/>
      <c r="AE83" s="665"/>
      <c r="AF83" s="665"/>
      <c r="AG83" s="665"/>
      <c r="AH83" s="665"/>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5"/>
      <c r="C84" s="665"/>
      <c r="D84" s="665"/>
      <c r="E84" s="665"/>
      <c r="F84" s="665"/>
      <c r="G84" s="665"/>
      <c r="H84" s="665"/>
      <c r="I84" s="665"/>
      <c r="J84" s="665"/>
      <c r="K84" s="665"/>
      <c r="L84" s="665"/>
      <c r="M84" s="665"/>
      <c r="N84" s="665"/>
      <c r="O84" s="665"/>
      <c r="P84" s="665"/>
      <c r="Q84" s="665"/>
      <c r="R84" s="665"/>
      <c r="S84" s="665"/>
      <c r="T84" s="665"/>
      <c r="U84" s="665"/>
      <c r="V84" s="665"/>
      <c r="W84" s="665"/>
      <c r="X84" s="665"/>
      <c r="Y84" s="665"/>
      <c r="Z84" s="665"/>
      <c r="AA84" s="665"/>
      <c r="AB84" s="665"/>
      <c r="AC84" s="665"/>
      <c r="AD84" s="665"/>
      <c r="AE84" s="665"/>
      <c r="AF84" s="665"/>
      <c r="AG84" s="665"/>
      <c r="AH84" s="665"/>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5"/>
      <c r="C85" s="665"/>
      <c r="D85" s="665"/>
      <c r="E85" s="665"/>
      <c r="F85" s="665"/>
      <c r="G85" s="665"/>
      <c r="H85" s="665"/>
      <c r="I85" s="665"/>
      <c r="J85" s="665"/>
      <c r="K85" s="665"/>
      <c r="L85" s="665"/>
      <c r="M85" s="665"/>
      <c r="N85" s="665"/>
      <c r="O85" s="665"/>
      <c r="P85" s="665"/>
      <c r="Q85" s="665"/>
      <c r="R85" s="665"/>
      <c r="S85" s="665"/>
      <c r="T85" s="665"/>
      <c r="U85" s="665"/>
      <c r="V85" s="665"/>
      <c r="W85" s="665"/>
      <c r="X85" s="665"/>
      <c r="Y85" s="665"/>
      <c r="Z85" s="665"/>
      <c r="AA85" s="665"/>
      <c r="AB85" s="665"/>
      <c r="AC85" s="665"/>
      <c r="AD85" s="665"/>
      <c r="AE85" s="665"/>
      <c r="AF85" s="665"/>
      <c r="AG85" s="665"/>
      <c r="AH85" s="665"/>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5"/>
      <c r="C86" s="665"/>
      <c r="D86" s="665"/>
      <c r="E86" s="665"/>
      <c r="F86" s="665"/>
      <c r="G86" s="665"/>
      <c r="H86" s="665"/>
      <c r="I86" s="665"/>
      <c r="J86" s="665"/>
      <c r="K86" s="665"/>
      <c r="L86" s="665"/>
      <c r="M86" s="665"/>
      <c r="N86" s="665"/>
      <c r="O86" s="665"/>
      <c r="P86" s="665"/>
      <c r="Q86" s="665"/>
      <c r="R86" s="665"/>
      <c r="S86" s="665"/>
      <c r="T86" s="665"/>
      <c r="U86" s="665"/>
      <c r="V86" s="665"/>
      <c r="W86" s="665"/>
      <c r="X86" s="665"/>
      <c r="Y86" s="665"/>
      <c r="Z86" s="665"/>
      <c r="AA86" s="665"/>
      <c r="AB86" s="665"/>
      <c r="AC86" s="665"/>
      <c r="AD86" s="665"/>
      <c r="AE86" s="665"/>
      <c r="AF86" s="665"/>
      <c r="AG86" s="665"/>
      <c r="AH86" s="665"/>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5"/>
      <c r="C87" s="665"/>
      <c r="D87" s="665"/>
      <c r="E87" s="665"/>
      <c r="F87" s="665"/>
      <c r="G87" s="665"/>
      <c r="H87" s="665"/>
      <c r="I87" s="665"/>
      <c r="J87" s="665"/>
      <c r="K87" s="665"/>
      <c r="L87" s="665"/>
      <c r="M87" s="665"/>
      <c r="N87" s="665"/>
      <c r="O87" s="665"/>
      <c r="P87" s="665"/>
      <c r="Q87" s="665"/>
      <c r="R87" s="665"/>
      <c r="S87" s="665"/>
      <c r="T87" s="665"/>
      <c r="U87" s="665"/>
      <c r="V87" s="665"/>
      <c r="W87" s="665"/>
      <c r="X87" s="665"/>
      <c r="Y87" s="665"/>
      <c r="Z87" s="665"/>
      <c r="AA87" s="665"/>
      <c r="AB87" s="665"/>
      <c r="AC87" s="665"/>
      <c r="AD87" s="665"/>
      <c r="AE87" s="665"/>
      <c r="AF87" s="665"/>
      <c r="AG87" s="665"/>
      <c r="AH87" s="665"/>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5"/>
      <c r="C88" s="665"/>
      <c r="D88" s="665"/>
      <c r="E88" s="665"/>
      <c r="F88" s="665"/>
      <c r="G88" s="665"/>
      <c r="H88" s="665"/>
      <c r="I88" s="665"/>
      <c r="J88" s="665"/>
      <c r="K88" s="665"/>
      <c r="L88" s="665"/>
      <c r="M88" s="665"/>
      <c r="N88" s="665"/>
      <c r="O88" s="665"/>
      <c r="P88" s="665"/>
      <c r="Q88" s="665"/>
      <c r="R88" s="665"/>
      <c r="S88" s="665"/>
      <c r="T88" s="665"/>
      <c r="U88" s="665"/>
      <c r="V88" s="665"/>
      <c r="W88" s="665"/>
      <c r="X88" s="665"/>
      <c r="Y88" s="665"/>
      <c r="Z88" s="665"/>
      <c r="AA88" s="665"/>
      <c r="AB88" s="665"/>
      <c r="AC88" s="665"/>
      <c r="AD88" s="665"/>
      <c r="AE88" s="665"/>
      <c r="AF88" s="665"/>
      <c r="AG88" s="665"/>
      <c r="AH88" s="665"/>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5"/>
      <c r="C89" s="665"/>
      <c r="D89" s="665"/>
      <c r="E89" s="665"/>
      <c r="F89" s="665"/>
      <c r="G89" s="665"/>
      <c r="H89" s="665"/>
      <c r="I89" s="665"/>
      <c r="J89" s="665"/>
      <c r="K89" s="665"/>
      <c r="L89" s="665"/>
      <c r="M89" s="665"/>
      <c r="N89" s="665"/>
      <c r="O89" s="665"/>
      <c r="P89" s="665"/>
      <c r="Q89" s="665"/>
      <c r="R89" s="665"/>
      <c r="S89" s="665"/>
      <c r="T89" s="665"/>
      <c r="U89" s="665"/>
      <c r="V89" s="665"/>
      <c r="W89" s="665"/>
      <c r="X89" s="665"/>
      <c r="Y89" s="665"/>
      <c r="Z89" s="665"/>
      <c r="AA89" s="665"/>
      <c r="AB89" s="665"/>
      <c r="AC89" s="665"/>
      <c r="AD89" s="665"/>
      <c r="AE89" s="665"/>
      <c r="AF89" s="665"/>
      <c r="AG89" s="665"/>
      <c r="AH89" s="665"/>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5"/>
      <c r="C90" s="665"/>
      <c r="D90" s="665"/>
      <c r="E90" s="665"/>
      <c r="F90" s="665"/>
      <c r="G90" s="665"/>
      <c r="H90" s="665"/>
      <c r="I90" s="665"/>
      <c r="J90" s="665"/>
      <c r="K90" s="665"/>
      <c r="L90" s="665"/>
      <c r="M90" s="665"/>
      <c r="N90" s="665"/>
      <c r="O90" s="665"/>
      <c r="P90" s="665"/>
      <c r="Q90" s="665"/>
      <c r="R90" s="665"/>
      <c r="S90" s="665"/>
      <c r="T90" s="665"/>
      <c r="U90" s="665"/>
      <c r="V90" s="665"/>
      <c r="W90" s="665"/>
      <c r="X90" s="665"/>
      <c r="Y90" s="665"/>
      <c r="Z90" s="665"/>
      <c r="AA90" s="665"/>
      <c r="AB90" s="665"/>
      <c r="AC90" s="665"/>
      <c r="AD90" s="665"/>
      <c r="AE90" s="665"/>
      <c r="AF90" s="665"/>
      <c r="AG90" s="665"/>
      <c r="AH90" s="665"/>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5"/>
      <c r="C91" s="665"/>
      <c r="D91" s="665"/>
      <c r="E91" s="665"/>
      <c r="F91" s="665"/>
      <c r="G91" s="665"/>
      <c r="H91" s="665"/>
      <c r="I91" s="665"/>
      <c r="J91" s="665"/>
      <c r="K91" s="665"/>
      <c r="L91" s="665"/>
      <c r="M91" s="665"/>
      <c r="N91" s="665"/>
      <c r="O91" s="665"/>
      <c r="P91" s="665"/>
      <c r="Q91" s="665"/>
      <c r="R91" s="665"/>
      <c r="S91" s="665"/>
      <c r="T91" s="665"/>
      <c r="U91" s="665"/>
      <c r="V91" s="665"/>
      <c r="W91" s="665"/>
      <c r="X91" s="665"/>
      <c r="Y91" s="665"/>
      <c r="Z91" s="665"/>
      <c r="AA91" s="665"/>
      <c r="AB91" s="665"/>
      <c r="AC91" s="665"/>
      <c r="AD91" s="665"/>
      <c r="AE91" s="665"/>
      <c r="AF91" s="665"/>
      <c r="AG91" s="665"/>
      <c r="AH91" s="665"/>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5"/>
      <c r="C92" s="665"/>
      <c r="D92" s="665"/>
      <c r="E92" s="665"/>
      <c r="F92" s="665"/>
      <c r="G92" s="665"/>
      <c r="H92" s="665"/>
      <c r="I92" s="665"/>
      <c r="J92" s="665"/>
      <c r="K92" s="665"/>
      <c r="L92" s="665"/>
      <c r="M92" s="665"/>
      <c r="N92" s="665"/>
      <c r="O92" s="665"/>
      <c r="P92" s="665"/>
      <c r="Q92" s="665"/>
      <c r="R92" s="665"/>
      <c r="S92" s="665"/>
      <c r="T92" s="665"/>
      <c r="U92" s="665"/>
      <c r="V92" s="665"/>
      <c r="W92" s="665"/>
      <c r="X92" s="665"/>
      <c r="Y92" s="665"/>
      <c r="Z92" s="665"/>
      <c r="AA92" s="665"/>
      <c r="AB92" s="665"/>
      <c r="AC92" s="665"/>
      <c r="AD92" s="665"/>
      <c r="AE92" s="665"/>
      <c r="AF92" s="665"/>
      <c r="AG92" s="665"/>
      <c r="AH92" s="665"/>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5"/>
      <c r="C93" s="665"/>
      <c r="D93" s="665"/>
      <c r="E93" s="665"/>
      <c r="F93" s="665"/>
      <c r="G93" s="665"/>
      <c r="H93" s="665"/>
      <c r="I93" s="665"/>
      <c r="J93" s="665"/>
      <c r="K93" s="665"/>
      <c r="L93" s="665"/>
      <c r="M93" s="665"/>
      <c r="N93" s="665"/>
      <c r="O93" s="665"/>
      <c r="P93" s="665"/>
      <c r="Q93" s="665"/>
      <c r="R93" s="665"/>
      <c r="S93" s="665"/>
      <c r="T93" s="665"/>
      <c r="U93" s="665"/>
      <c r="V93" s="665"/>
      <c r="W93" s="665"/>
      <c r="X93" s="665"/>
      <c r="Y93" s="665"/>
      <c r="Z93" s="665"/>
      <c r="AA93" s="665"/>
      <c r="AB93" s="665"/>
      <c r="AC93" s="665"/>
      <c r="AD93" s="665"/>
      <c r="AE93" s="665"/>
      <c r="AF93" s="665"/>
      <c r="AG93" s="665"/>
      <c r="AH93" s="665"/>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5"/>
      <c r="C94" s="665"/>
      <c r="D94" s="665"/>
      <c r="E94" s="665"/>
      <c r="F94" s="665"/>
      <c r="G94" s="665"/>
      <c r="H94" s="665"/>
      <c r="I94" s="665"/>
      <c r="J94" s="665"/>
      <c r="K94" s="665"/>
      <c r="L94" s="665"/>
      <c r="M94" s="665"/>
      <c r="N94" s="665"/>
      <c r="O94" s="665"/>
      <c r="P94" s="665"/>
      <c r="Q94" s="665"/>
      <c r="R94" s="665"/>
      <c r="S94" s="665"/>
      <c r="T94" s="665"/>
      <c r="U94" s="665"/>
      <c r="V94" s="665"/>
      <c r="W94" s="665"/>
      <c r="X94" s="665"/>
      <c r="Y94" s="665"/>
      <c r="Z94" s="665"/>
      <c r="AA94" s="665"/>
      <c r="AB94" s="665"/>
      <c r="AC94" s="665"/>
      <c r="AD94" s="665"/>
      <c r="AE94" s="665"/>
      <c r="AF94" s="665"/>
      <c r="AG94" s="665"/>
      <c r="AH94" s="665"/>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5"/>
      <c r="C95" s="665"/>
      <c r="D95" s="665"/>
      <c r="E95" s="665"/>
      <c r="F95" s="665"/>
      <c r="G95" s="665"/>
      <c r="H95" s="665"/>
      <c r="I95" s="665"/>
      <c r="J95" s="665"/>
      <c r="K95" s="665"/>
      <c r="L95" s="665"/>
      <c r="M95" s="665"/>
      <c r="N95" s="665"/>
      <c r="O95" s="665"/>
      <c r="P95" s="665"/>
      <c r="Q95" s="665"/>
      <c r="R95" s="665"/>
      <c r="S95" s="665"/>
      <c r="T95" s="665"/>
      <c r="U95" s="665"/>
      <c r="V95" s="665"/>
      <c r="W95" s="665"/>
      <c r="X95" s="665"/>
      <c r="Y95" s="665"/>
      <c r="Z95" s="665"/>
      <c r="AA95" s="665"/>
      <c r="AB95" s="665"/>
      <c r="AC95" s="665"/>
      <c r="AD95" s="665"/>
      <c r="AE95" s="665"/>
      <c r="AF95" s="665"/>
      <c r="AG95" s="665"/>
      <c r="AH95" s="665"/>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55"/>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125</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656" t="s">
        <v>145</v>
      </c>
      <c r="D24" s="310"/>
      <c r="E24" s="310"/>
      <c r="F24" s="310"/>
      <c r="G24" s="310"/>
      <c r="H24" s="310"/>
      <c r="I24" s="310"/>
      <c r="J24" s="310"/>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657">
        <v>1</v>
      </c>
      <c r="D25" s="42">
        <v>2</v>
      </c>
      <c r="E25" s="42">
        <v>3</v>
      </c>
      <c r="F25" s="42">
        <v>4</v>
      </c>
      <c r="G25" s="42">
        <v>5</v>
      </c>
      <c r="H25" s="42">
        <v>6</v>
      </c>
      <c r="I25" s="42">
        <v>7</v>
      </c>
      <c r="J25" s="42">
        <v>8</v>
      </c>
      <c r="K25" s="42">
        <v>9</v>
      </c>
      <c r="L25" s="42">
        <v>10</v>
      </c>
      <c r="M25" s="42">
        <v>11</v>
      </c>
      <c r="N25" s="42">
        <v>12</v>
      </c>
      <c r="O25" s="42">
        <v>13</v>
      </c>
      <c r="P25" s="42">
        <v>14</v>
      </c>
      <c r="Q25" s="42">
        <v>15</v>
      </c>
      <c r="R25" s="42">
        <v>16</v>
      </c>
      <c r="S25" s="42">
        <v>17</v>
      </c>
      <c r="T25" s="42">
        <v>18</v>
      </c>
      <c r="U25" s="42">
        <v>19</v>
      </c>
      <c r="V25" s="42">
        <v>20</v>
      </c>
      <c r="W25" s="42">
        <v>21</v>
      </c>
      <c r="X25" s="323">
        <v>22</v>
      </c>
      <c r="Y25" s="42">
        <v>23</v>
      </c>
      <c r="Z25" s="42">
        <v>24</v>
      </c>
      <c r="AA25" s="42">
        <v>25</v>
      </c>
      <c r="AB25" s="42">
        <v>26</v>
      </c>
      <c r="AC25" s="42">
        <v>27</v>
      </c>
      <c r="AD25" s="337">
        <v>28</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672">
        <v>107.51162790697674418604651163</v>
      </c>
      <c r="D26" s="462">
        <v>110.11363636363636363636363636</v>
      </c>
      <c r="E26" s="462">
        <v>118.6226415094339622641509434</v>
      </c>
      <c r="F26" s="462">
        <v>126.70212765957446808510638298</v>
      </c>
      <c r="G26" s="462">
        <v>120.06329113924050632911392405</v>
      </c>
      <c r="H26" s="462">
        <v>111.14666666666666666666666667</v>
      </c>
      <c r="I26" s="462">
        <v>115.41791044776119402985074627</v>
      </c>
      <c r="J26" s="462">
        <v>88.89795918367346938775510204</v>
      </c>
      <c r="K26" s="462">
        <v>107.25531914893617021276595745</v>
      </c>
      <c r="L26" s="462"/>
      <c r="M26" s="462">
        <v>115.000000000</v>
      </c>
      <c r="N26" s="462">
        <v>115.02816901408450704225352113</v>
      </c>
      <c r="O26" s="462">
        <v>110.01470588235294117647058824</v>
      </c>
      <c r="P26" s="462">
        <v>90.96774193548387096774193548</v>
      </c>
      <c r="Q26" s="462">
        <v>99.2448979591836734693877551</v>
      </c>
      <c r="R26" s="462">
        <v>96.67441860465116279069767442</v>
      </c>
      <c r="S26" s="462">
        <v>93.83050847457627118644067797</v>
      </c>
      <c r="T26" s="462">
        <v>98.37288135593220338983050847</v>
      </c>
      <c r="U26" s="462">
        <v>96.54385964912280701754385965</v>
      </c>
      <c r="V26" s="462">
        <v>109.56028368794326241134751773</v>
      </c>
      <c r="W26" s="462">
        <v>106.61151079136690647482014388</v>
      </c>
      <c r="X26" s="463">
        <v>88.20454545454545454545454545</v>
      </c>
      <c r="Y26" s="462">
        <v>98.77450980392156862745098039</v>
      </c>
      <c r="Z26" s="462">
        <v>99.56603773584905660377358491</v>
      </c>
      <c r="AA26" s="462">
        <v>98.30841121495327102803738318</v>
      </c>
      <c r="AB26" s="462">
        <v>99.72602739726027397260273973</v>
      </c>
      <c r="AC26" s="462">
        <v>111.69672131147540983606557377</v>
      </c>
      <c r="AD26" s="464">
        <v>99.84112149532710280373831776</v>
      </c>
      <c r="AE26" s="465"/>
      <c r="AF26" s="461">
        <v>100.78517397881996974281391831</v>
      </c>
      <c r="AG26" s="462">
        <v>105.75860443187175860443187176</v>
      </c>
      <c r="AH26" s="466">
        <v>105.75860443187175860443187176</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673">
        <v>119.65571823204419889502762432</v>
      </c>
      <c r="D27" s="85">
        <v>139.3487406015037593984962406</v>
      </c>
      <c r="E27" s="85">
        <v>142.07052785923753665689149559</v>
      </c>
      <c r="F27" s="85">
        <v>146.09846925972396486825595983</v>
      </c>
      <c r="G27" s="85">
        <v>136.370306258322237017310253</v>
      </c>
      <c r="H27" s="85">
        <v>134.85673100120627261761158022</v>
      </c>
      <c r="I27" s="85">
        <v>133.64530640668523676880222841</v>
      </c>
      <c r="J27" s="85">
        <v>120.17969121140142517814726841</v>
      </c>
      <c r="K27" s="85">
        <v>137.74974311926605504587155962</v>
      </c>
      <c r="L27" s="85">
        <v>143.9077151335311572700296736</v>
      </c>
      <c r="M27" s="85">
        <v>136.00625172890733056708160443</v>
      </c>
      <c r="N27" s="85">
        <v>132.9863262411347517730496454</v>
      </c>
      <c r="O27" s="85">
        <v>136.69892663043478260869565218</v>
      </c>
      <c r="P27" s="85">
        <v>135.2623338257016248153618907</v>
      </c>
      <c r="Q27" s="85">
        <v>130.14013157894736842105263158</v>
      </c>
      <c r="R27" s="85">
        <v>137.66876899696048632218844984</v>
      </c>
      <c r="S27" s="85">
        <v>141.4679063360881542699724518</v>
      </c>
      <c r="T27" s="85">
        <v>136.92388976377952755905511812</v>
      </c>
      <c r="U27" s="85">
        <v>131.20566210045662100456621004</v>
      </c>
      <c r="V27" s="85">
        <v>138.41991812865497076023391813</v>
      </c>
      <c r="W27" s="85">
        <v>139.00614849187935034802784223</v>
      </c>
      <c r="X27" s="86">
        <v>134.99008810572687224669603523</v>
      </c>
      <c r="Y27" s="85">
        <v>141.07851785714285714285714285</v>
      </c>
      <c r="Z27" s="85">
        <v>144.04239520958083832335329341</v>
      </c>
      <c r="AA27" s="85">
        <v>146.02247104247104247104247105</v>
      </c>
      <c r="AB27" s="85">
        <v>153.67954397394136807817589578</v>
      </c>
      <c r="AC27" s="85">
        <v>139.84824836601307189542483661</v>
      </c>
      <c r="AD27" s="87">
        <v>134.91435173299101412066752247</v>
      </c>
      <c r="AE27" s="169"/>
      <c r="AF27" s="370">
        <v>142.35440396452832131211157067</v>
      </c>
      <c r="AG27" s="85">
        <v>138.00689927387885172155639033</v>
      </c>
      <c r="AH27" s="371">
        <v>138.00689927387885172155639033</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674">
        <v>112.77113237639553429027113238</v>
      </c>
      <c r="D28" s="468">
        <v>133.37167070217917675544794189</v>
      </c>
      <c r="E28" s="468">
        <v>140.62555803571428571428571429</v>
      </c>
      <c r="F28" s="468">
        <v>141.43362350380848748639825898</v>
      </c>
      <c r="G28" s="468">
        <v>132.69723277265328269126424308</v>
      </c>
      <c r="H28" s="468">
        <v>130.31111111111111111111111111</v>
      </c>
      <c r="I28" s="468">
        <v>127.22729744426318651441000544</v>
      </c>
      <c r="J28" s="468">
        <v>114.20164609053497942386831276</v>
      </c>
      <c r="K28" s="468">
        <v>129.91736028537455410225921522</v>
      </c>
      <c r="L28" s="468">
        <v>139.28843264897346019028542814</v>
      </c>
      <c r="M28" s="468">
        <v>137.10981697171381031613976705</v>
      </c>
      <c r="N28" s="468">
        <v>123.97232472324723247232472325</v>
      </c>
      <c r="O28" s="468">
        <v>119.70068879148403256105197245</v>
      </c>
      <c r="P28" s="468">
        <v>123.47092651757188498402555911</v>
      </c>
      <c r="Q28" s="468">
        <v>115.8120035304501323918799647</v>
      </c>
      <c r="R28" s="468">
        <v>133.49735760422783323546682325</v>
      </c>
      <c r="S28" s="468">
        <v>143.49758971612212104981253348</v>
      </c>
      <c r="T28" s="468">
        <v>137.31412103746397694524495677</v>
      </c>
      <c r="U28" s="468">
        <v>129.11438892233594220349187237</v>
      </c>
      <c r="V28" s="468">
        <v>132.35444330949948927477017365</v>
      </c>
      <c r="W28" s="468">
        <v>130.17330574236937403000517331</v>
      </c>
      <c r="X28" s="469">
        <v>118.12403100775193798449612403</v>
      </c>
      <c r="Y28" s="468">
        <v>130.73790322580645161290322581</v>
      </c>
      <c r="Z28" s="468">
        <v>141.46535181236673773987206823</v>
      </c>
      <c r="AA28" s="468">
        <v>140.17082429501084598698481562</v>
      </c>
      <c r="AB28" s="468">
        <v>129.1979418886198547215496368</v>
      </c>
      <c r="AC28" s="468">
        <v>121.75192421551213735938425104</v>
      </c>
      <c r="AD28" s="470">
        <v>121.39100562148657089319175515</v>
      </c>
      <c r="AE28" s="465"/>
      <c r="AF28" s="467">
        <v>129.75924024640657084188911704</v>
      </c>
      <c r="AG28" s="468">
        <v>130.60218530729562938540874123</v>
      </c>
      <c r="AH28" s="471">
        <v>130.60218530729562938540874123</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656" t="s">
        <v>145</v>
      </c>
      <c r="D33" s="310"/>
      <c r="E33" s="310"/>
      <c r="F33" s="310"/>
      <c r="G33" s="310"/>
      <c r="H33" s="310"/>
      <c r="I33" s="310"/>
      <c r="J33" s="310"/>
      <c r="K33" s="310"/>
      <c r="L33" s="310"/>
      <c r="M33" s="310"/>
      <c r="N33" s="310"/>
      <c r="O33" s="310"/>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657">
        <v>1</v>
      </c>
      <c r="D34" s="42">
        <v>2</v>
      </c>
      <c r="E34" s="42">
        <v>3</v>
      </c>
      <c r="F34" s="42">
        <v>4</v>
      </c>
      <c r="G34" s="42">
        <v>5</v>
      </c>
      <c r="H34" s="42">
        <v>6</v>
      </c>
      <c r="I34" s="42">
        <v>7</v>
      </c>
      <c r="J34" s="42">
        <v>8</v>
      </c>
      <c r="K34" s="42">
        <v>9</v>
      </c>
      <c r="L34" s="42">
        <v>10</v>
      </c>
      <c r="M34" s="42">
        <v>11</v>
      </c>
      <c r="N34" s="42">
        <v>12</v>
      </c>
      <c r="O34" s="42">
        <v>13</v>
      </c>
      <c r="P34" s="42">
        <v>14</v>
      </c>
      <c r="Q34" s="42">
        <v>15</v>
      </c>
      <c r="R34" s="42">
        <v>16</v>
      </c>
      <c r="S34" s="42">
        <v>17</v>
      </c>
      <c r="T34" s="42">
        <v>18</v>
      </c>
      <c r="U34" s="42">
        <v>19</v>
      </c>
      <c r="V34" s="42">
        <v>20</v>
      </c>
      <c r="W34" s="42">
        <v>21</v>
      </c>
      <c r="X34" s="323">
        <v>22</v>
      </c>
      <c r="Y34" s="42">
        <v>23</v>
      </c>
      <c r="Z34" s="42">
        <v>24</v>
      </c>
      <c r="AA34" s="42">
        <v>25</v>
      </c>
      <c r="AB34" s="42">
        <v>26</v>
      </c>
      <c r="AC34" s="42">
        <v>27</v>
      </c>
      <c r="AD34" s="337">
        <v>28</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658">
        <v>-11.094932622721866607493086220</v>
      </c>
      <c r="D35" s="445">
        <v>19.709388971719171159679522290</v>
      </c>
      <c r="E35" s="445">
        <v>9.946166893125523667415468010</v>
      </c>
      <c r="F35" s="445">
        <v>9.349600838074929954723685780</v>
      </c>
      <c r="G35" s="445">
        <v>14.273436997971841862418718370</v>
      </c>
      <c r="H35" s="445">
        <v>2.2038314176245210727969348700</v>
      </c>
      <c r="I35" s="445">
        <v>7.1751658724869415409615647400</v>
      </c>
      <c r="J35" s="445">
        <v>-4.0669505212501888079904473700</v>
      </c>
      <c r="K35" s="445">
        <v>3.4617226516736491690180703200</v>
      </c>
      <c r="L35" s="445"/>
      <c r="M35" s="445">
        <v>14.247637509047747348555205510</v>
      </c>
      <c r="N35" s="445">
        <v>16.906336385465640444616808060</v>
      </c>
      <c r="O35" s="445">
        <v>-1.5624106090444894994597412300</v>
      </c>
      <c r="P35" s="445">
        <v>-21.302807204390940428242144490</v>
      </c>
      <c r="Q35" s="445">
        <v>-3.0737304496247290092218663100</v>
      </c>
      <c r="R35" s="445">
        <v>-9.846672112513633291892909660</v>
      </c>
      <c r="S35" s="445">
        <v>-22.832450515762080784706473080</v>
      </c>
      <c r="T35" s="445">
        <v>-10.331178396270263081681255580</v>
      </c>
      <c r="U35" s="445">
        <v>-12.839511672395829466457793520</v>
      </c>
      <c r="V35" s="445">
        <v>-20.608490081200534484530784250</v>
      </c>
      <c r="W35" s="445">
        <v>-6.6857673598539111817766793200</v>
      </c>
      <c r="X35" s="446">
        <v>-33.782630950327173735181821250</v>
      </c>
      <c r="Y35" s="445">
        <v>9.154483311299355138403182830</v>
      </c>
      <c r="Z35" s="445">
        <v>-18.848997456669662266357370900</v>
      </c>
      <c r="AA35" s="445">
        <v>-12.932916656694892114182271820</v>
      </c>
      <c r="AB35" s="445">
        <v>-1.5051581261626923727380348300</v>
      </c>
      <c r="AC35" s="445">
        <v>0.3422082703419271990749350300</v>
      </c>
      <c r="AD35" s="447">
        <v>-4.4582569422707150203461074100</v>
      </c>
      <c r="AE35" s="448"/>
      <c r="AF35" s="444">
        <v>-8.537690528889999586679729810</v>
      </c>
      <c r="AG35" s="445">
        <v>-4.042334734274472459256734900</v>
      </c>
      <c r="AH35" s="449">
        <v>-3.9763498713536873654639636300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659">
        <v>-8.452296230783923117771584700</v>
      </c>
      <c r="D36" s="81">
        <v>-3.6155019620251057444761910400</v>
      </c>
      <c r="E36" s="81">
        <v>2.9061702860914876381764544500</v>
      </c>
      <c r="F36" s="81">
        <v>-0.5560233597934293955666952300</v>
      </c>
      <c r="G36" s="81">
        <v>-5.4519818669872395894509897800</v>
      </c>
      <c r="H36" s="81">
        <v>-11.216966007162069130635761650</v>
      </c>
      <c r="I36" s="81">
        <v>-4.933208295741201052023546100</v>
      </c>
      <c r="J36" s="81">
        <v>-7.8486641626245689794540169900</v>
      </c>
      <c r="K36" s="81">
        <v>3.1907556360915216071099257500</v>
      </c>
      <c r="L36" s="81">
        <v>-0.6487509271517496900739000300</v>
      </c>
      <c r="M36" s="81">
        <v>-3.0341438473086109445591038700</v>
      </c>
      <c r="N36" s="81">
        <v>0.9352186750906707646664025200</v>
      </c>
      <c r="O36" s="81">
        <v>3.8298734100582834959939205600</v>
      </c>
      <c r="P36" s="81">
        <v>0.5251873052154322729305047600</v>
      </c>
      <c r="Q36" s="81">
        <v>-0.9314885482156040479441327300</v>
      </c>
      <c r="R36" s="81">
        <v>-3.4464899139871484181203192500</v>
      </c>
      <c r="S36" s="81">
        <v>-0.4733207317321638109392448300</v>
      </c>
      <c r="T36" s="81">
        <v>-3.7801164058900878387525330100</v>
      </c>
      <c r="U36" s="81">
        <v>-8.198354619801275267969728840</v>
      </c>
      <c r="V36" s="81">
        <v>-4.1448126048784091144034316400</v>
      </c>
      <c r="W36" s="81">
        <v>2.2863117504477164153135535100</v>
      </c>
      <c r="X36" s="82">
        <v>3.3869844483780306738405392700</v>
      </c>
      <c r="Y36" s="81">
        <v>-4.5202907656743841643115945200</v>
      </c>
      <c r="Z36" s="81">
        <v>-3.5262939726882847072279276700</v>
      </c>
      <c r="AA36" s="81">
        <v>6.2090461497177291185998630500</v>
      </c>
      <c r="AB36" s="81">
        <v>20.864390246486163599996187490</v>
      </c>
      <c r="AC36" s="81">
        <v>10.582870585768144215974433380</v>
      </c>
      <c r="AD36" s="83">
        <v>9.989176790200001697678788800</v>
      </c>
      <c r="AE36" s="88"/>
      <c r="AF36" s="327">
        <v>5.7763926058288830090809651300</v>
      </c>
      <c r="AG36" s="81">
        <v>-0.5534405943015788199873152200</v>
      </c>
      <c r="AH36" s="328">
        <v>-0.8986811298257731182839642900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147</v>
      </c>
      <c r="C37" s="660">
        <v>-5.3611766636704408794970282800</v>
      </c>
      <c r="D37" s="451">
        <v>4.8196004927250649472416237900</v>
      </c>
      <c r="E37" s="451">
        <v>2.4994305610001300389037615800</v>
      </c>
      <c r="F37" s="451">
        <v>5.6527706025664408561811405600</v>
      </c>
      <c r="G37" s="451">
        <v>3.6076108498993969869382471500</v>
      </c>
      <c r="H37" s="451">
        <v>-2.0178883861959161306492176700</v>
      </c>
      <c r="I37" s="451">
        <v>-5.0056607972963112741613639100</v>
      </c>
      <c r="J37" s="451">
        <v>-3.8613611354648872268847094100</v>
      </c>
      <c r="K37" s="451">
        <v>-1.7367399830884786841105807100</v>
      </c>
      <c r="L37" s="451">
        <v>-0.0344841857209785752246756200</v>
      </c>
      <c r="M37" s="451">
        <v>2.4902643374147740270902545400</v>
      </c>
      <c r="N37" s="451">
        <v>1.1378137897234732253363111300</v>
      </c>
      <c r="O37" s="451">
        <v>-3.0056812320848938002982153400</v>
      </c>
      <c r="P37" s="451">
        <v>1.4754859562752696635107179800</v>
      </c>
      <c r="Q37" s="451">
        <v>2.338745118064935568919108200</v>
      </c>
      <c r="R37" s="451">
        <v>4.1005481187918668030055456600</v>
      </c>
      <c r="S37" s="451">
        <v>6.5183758552848876584506644600</v>
      </c>
      <c r="T37" s="451">
        <v>3.7576857493198388132691757600</v>
      </c>
      <c r="U37" s="451">
        <v>4.14702309311075702952757800</v>
      </c>
      <c r="V37" s="451">
        <v>3.4499821579899614702606977100</v>
      </c>
      <c r="W37" s="451">
        <v>6.0000479101806697389680834200</v>
      </c>
      <c r="X37" s="452">
        <v>2.2149268367369020326490219900</v>
      </c>
      <c r="Y37" s="451">
        <v>-0.9105277339517407362556927900</v>
      </c>
      <c r="Z37" s="451">
        <v>3.9697990168994687838500471300</v>
      </c>
      <c r="AA37" s="451">
        <v>4.5629744605801120984480290400</v>
      </c>
      <c r="AB37" s="451">
        <v>7.3247759681434054054467233100</v>
      </c>
      <c r="AC37" s="451">
        <v>-1.060790802024321715602191800</v>
      </c>
      <c r="AD37" s="453">
        <v>0.1392347015196532088110756800</v>
      </c>
      <c r="AE37" s="448"/>
      <c r="AF37" s="450">
        <v>2.2837098652349648352259205200</v>
      </c>
      <c r="AG37" s="451">
        <v>1.8390960040965440614300957400</v>
      </c>
      <c r="AH37" s="454">
        <v>1.7414839621002336152334429800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656" t="s">
        <v>145</v>
      </c>
      <c r="D40" s="310"/>
      <c r="E40" s="310"/>
      <c r="F40" s="310"/>
      <c r="G40" s="310"/>
      <c r="H40" s="310"/>
      <c r="I40" s="310"/>
      <c r="J40" s="310"/>
      <c r="K40" s="310"/>
      <c r="L40" s="310"/>
      <c r="M40" s="310"/>
      <c r="N40" s="310"/>
      <c r="O40" s="310"/>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661">
        <v>1</v>
      </c>
      <c r="D41" s="314">
        <v>2</v>
      </c>
      <c r="E41" s="314">
        <v>3</v>
      </c>
      <c r="F41" s="314">
        <v>4</v>
      </c>
      <c r="G41" s="314">
        <v>5</v>
      </c>
      <c r="H41" s="314">
        <v>6</v>
      </c>
      <c r="I41" s="314">
        <v>7</v>
      </c>
      <c r="J41" s="314">
        <v>8</v>
      </c>
      <c r="K41" s="314">
        <v>9</v>
      </c>
      <c r="L41" s="314">
        <v>10</v>
      </c>
      <c r="M41" s="314">
        <v>11</v>
      </c>
      <c r="N41" s="314">
        <v>12</v>
      </c>
      <c r="O41" s="314">
        <v>13</v>
      </c>
      <c r="P41" s="314">
        <v>14</v>
      </c>
      <c r="Q41" s="314">
        <v>15</v>
      </c>
      <c r="R41" s="314">
        <v>16</v>
      </c>
      <c r="S41" s="314">
        <v>17</v>
      </c>
      <c r="T41" s="314">
        <v>18</v>
      </c>
      <c r="U41" s="314">
        <v>19</v>
      </c>
      <c r="V41" s="314">
        <v>20</v>
      </c>
      <c r="W41" s="314">
        <v>21</v>
      </c>
      <c r="X41" s="315">
        <v>22</v>
      </c>
      <c r="Y41" s="314">
        <v>23</v>
      </c>
      <c r="Z41" s="314">
        <v>24</v>
      </c>
      <c r="AA41" s="314">
        <v>25</v>
      </c>
      <c r="AB41" s="314">
        <v>26</v>
      </c>
      <c r="AC41" s="314">
        <v>27</v>
      </c>
      <c r="AD41" s="373">
        <v>28</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658">
        <v>89.85080654358939453684872486</v>
      </c>
      <c r="D42" s="445">
        <v>79.020187687617365392284984800</v>
      </c>
      <c r="E42" s="445">
        <v>83.49560130233046568098363024</v>
      </c>
      <c r="F42" s="445">
        <v>86.72378862118862384237546450</v>
      </c>
      <c r="G42" s="445">
        <v>88.04210713718552746648798060</v>
      </c>
      <c r="H42" s="445">
        <v>82.41833080298946790948891758</v>
      </c>
      <c r="I42" s="445">
        <v>86.36136468311840586724998004</v>
      </c>
      <c r="J42" s="445">
        <v>73.970866697684434210144714150</v>
      </c>
      <c r="K42" s="445">
        <v>77.862445853017869013458442330</v>
      </c>
      <c r="L42" s="445"/>
      <c r="M42" s="445">
        <v>84.55493665778572684971651560</v>
      </c>
      <c r="N42" s="445">
        <v>86.49623782037716994852851592</v>
      </c>
      <c r="O42" s="445">
        <v>80.47956819719983993240941579</v>
      </c>
      <c r="P42" s="445">
        <v>67.252825943921348117500948380</v>
      </c>
      <c r="Q42" s="445">
        <v>76.260025831474215997971846740</v>
      </c>
      <c r="R42" s="445">
        <v>70.222476244236510226967141490</v>
      </c>
      <c r="S42" s="445">
        <v>66.326356913527359060559802280</v>
      </c>
      <c r="T42" s="445">
        <v>71.844936282214844238227507680</v>
      </c>
      <c r="U42" s="445">
        <v>73.582083351839506170812320540</v>
      </c>
      <c r="V42" s="445">
        <v>79.150663552680589233586743920</v>
      </c>
      <c r="W42" s="445">
        <v>76.695536095354260461754926600</v>
      </c>
      <c r="X42" s="446">
        <v>65.341497803512426310250209510</v>
      </c>
      <c r="Y42" s="445">
        <v>70.013855620436392951799072570</v>
      </c>
      <c r="Z42" s="445">
        <v>69.122731256285909360642274030</v>
      </c>
      <c r="AA42" s="445">
        <v>67.324166282832250084189903140</v>
      </c>
      <c r="AB42" s="445">
        <v>64.892193728917582248845187030</v>
      </c>
      <c r="AC42" s="445">
        <v>79.86994661467007096604679240</v>
      </c>
      <c r="AD42" s="447">
        <v>74.003336348467960513309786590</v>
      </c>
      <c r="AE42" s="448"/>
      <c r="AF42" s="444">
        <v>70.798774868920483008927977930</v>
      </c>
      <c r="AG42" s="445">
        <v>76.632838639446868211267394490</v>
      </c>
      <c r="AH42" s="449">
        <v>76.632838639446868211267394490</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147</v>
      </c>
      <c r="C43" s="662">
        <v>95.33612516023300101565841851</v>
      </c>
      <c r="D43" s="330">
        <v>82.56148834598051630521568101</v>
      </c>
      <c r="E43" s="330">
        <v>84.35354367043275815752243894</v>
      </c>
      <c r="F43" s="330">
        <v>89.58416288908151313490266724</v>
      </c>
      <c r="G43" s="330">
        <v>90.47912200618346778125279094</v>
      </c>
      <c r="H43" s="330">
        <v>85.29331514325420304528847666</v>
      </c>
      <c r="I43" s="330">
        <v>90.71788269203081570549897959</v>
      </c>
      <c r="J43" s="330">
        <v>77.842975322111886829760618740</v>
      </c>
      <c r="K43" s="330">
        <v>82.55657204958576250567914192</v>
      </c>
      <c r="L43" s="330"/>
      <c r="M43" s="330">
        <v>83.87437350582741110517940327</v>
      </c>
      <c r="N43" s="330">
        <v>92.78536098352143209755955224</v>
      </c>
      <c r="O43" s="330">
        <v>91.90816443335715805279973182</v>
      </c>
      <c r="P43" s="330">
        <v>73.675434777365985381931609670</v>
      </c>
      <c r="Q43" s="330">
        <v>85.69482863064945658853028204</v>
      </c>
      <c r="R43" s="330">
        <v>72.416728195682024650410780400</v>
      </c>
      <c r="S43" s="330">
        <v>65.388212206360682183093566020</v>
      </c>
      <c r="T43" s="330">
        <v>71.640761061323706097083867060</v>
      </c>
      <c r="U43" s="330">
        <v>74.773896585005815784090012240</v>
      </c>
      <c r="V43" s="330">
        <v>82.77794152459659657418606743</v>
      </c>
      <c r="W43" s="330">
        <v>81.89967227408395255234618199</v>
      </c>
      <c r="X43" s="331">
        <v>74.671127205878291288075022370</v>
      </c>
      <c r="Y43" s="330">
        <v>75.551548071966683663994678480</v>
      </c>
      <c r="Z43" s="330">
        <v>70.381924945046295011290421380</v>
      </c>
      <c r="AA43" s="330">
        <v>70.134717199105468118441147380</v>
      </c>
      <c r="AB43" s="330">
        <v>77.188557293929903928377320980</v>
      </c>
      <c r="AC43" s="330">
        <v>91.74123697114884538764234392</v>
      </c>
      <c r="AD43" s="338">
        <v>82.24754460526841596047014568</v>
      </c>
      <c r="AE43" s="88"/>
      <c r="AF43" s="329">
        <v>77.670903272428895298361118870</v>
      </c>
      <c r="AG43" s="330">
        <v>80.97766831621338024988491138</v>
      </c>
      <c r="AH43" s="332">
        <v>80.97766831621338024988491138</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656" t="s">
        <v>145</v>
      </c>
      <c r="D46" s="310"/>
      <c r="E46" s="310"/>
      <c r="F46" s="310"/>
      <c r="G46" s="310"/>
      <c r="H46" s="310"/>
      <c r="I46" s="310"/>
      <c r="J46" s="310"/>
      <c r="K46" s="310"/>
      <c r="L46" s="310"/>
      <c r="M46" s="310"/>
      <c r="N46" s="310"/>
      <c r="O46" s="310"/>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657">
        <v>1</v>
      </c>
      <c r="D47" s="42">
        <v>2</v>
      </c>
      <c r="E47" s="42">
        <v>3</v>
      </c>
      <c r="F47" s="42">
        <v>4</v>
      </c>
      <c r="G47" s="42">
        <v>5</v>
      </c>
      <c r="H47" s="42">
        <v>6</v>
      </c>
      <c r="I47" s="42">
        <v>7</v>
      </c>
      <c r="J47" s="42">
        <v>8</v>
      </c>
      <c r="K47" s="42">
        <v>9</v>
      </c>
      <c r="L47" s="42">
        <v>10</v>
      </c>
      <c r="M47" s="42">
        <v>11</v>
      </c>
      <c r="N47" s="42">
        <v>12</v>
      </c>
      <c r="O47" s="42">
        <v>13</v>
      </c>
      <c r="P47" s="42">
        <v>14</v>
      </c>
      <c r="Q47" s="42">
        <v>15</v>
      </c>
      <c r="R47" s="42">
        <v>16</v>
      </c>
      <c r="S47" s="42">
        <v>17</v>
      </c>
      <c r="T47" s="42">
        <v>18</v>
      </c>
      <c r="U47" s="42">
        <v>19</v>
      </c>
      <c r="V47" s="42">
        <v>20</v>
      </c>
      <c r="W47" s="42">
        <v>21</v>
      </c>
      <c r="X47" s="323">
        <v>22</v>
      </c>
      <c r="Y47" s="42">
        <v>23</v>
      </c>
      <c r="Z47" s="42">
        <v>24</v>
      </c>
      <c r="AA47" s="42">
        <v>25</v>
      </c>
      <c r="AB47" s="42">
        <v>26</v>
      </c>
      <c r="AC47" s="42">
        <v>27</v>
      </c>
      <c r="AD47" s="337">
        <v>28</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658">
        <v>-2.8866222560496789017434359600</v>
      </c>
      <c r="D48" s="445">
        <v>24.199836497099225862788225630</v>
      </c>
      <c r="E48" s="445">
        <v>6.8411802592170912942448937700</v>
      </c>
      <c r="F48" s="445">
        <v>9.961009738836791686071186320</v>
      </c>
      <c r="G48" s="445">
        <v>20.862858105922990631394552650</v>
      </c>
      <c r="H48" s="445">
        <v>15.116398732129897670800054100</v>
      </c>
      <c r="I48" s="445">
        <v>12.736702218661771005245518760</v>
      </c>
      <c r="J48" s="445">
        <v>4.103807727811884506888533800</v>
      </c>
      <c r="K48" s="445">
        <v>0.2625884595047578422977624500</v>
      </c>
      <c r="L48" s="445"/>
      <c r="M48" s="445">
        <v>17.822542946630380227478563180</v>
      </c>
      <c r="N48" s="445">
        <v>15.823136780328634885346557750</v>
      </c>
      <c r="O48" s="445">
        <v>-5.1933839867268176365984793100</v>
      </c>
      <c r="P48" s="445">
        <v>-21.713955571428750842251135700</v>
      </c>
      <c r="Q48" s="445">
        <v>-2.1623842631665971057110471200</v>
      </c>
      <c r="R48" s="445">
        <v>-6.6286375222804296403001864700</v>
      </c>
      <c r="S48" s="445">
        <v>-22.465463480111928015297251570</v>
      </c>
      <c r="T48" s="445">
        <v>-6.8084285136598136226881005900</v>
      </c>
      <c r="U48" s="445">
        <v>-5.0556360219546589578869501100</v>
      </c>
      <c r="V48" s="445">
        <v>-17.175572781935326487916485720</v>
      </c>
      <c r="W48" s="445">
        <v>-8.771534486607738275529630980</v>
      </c>
      <c r="X48" s="446">
        <v>-35.951929149517764870606723830</v>
      </c>
      <c r="Y48" s="445">
        <v>14.322178174375279569082190430</v>
      </c>
      <c r="Z48" s="445">
        <v>-15.882776888092913175962845660</v>
      </c>
      <c r="AA48" s="445">
        <v>-18.022911889691345993609195560</v>
      </c>
      <c r="AB48" s="445">
        <v>-18.507972718047350145618735090</v>
      </c>
      <c r="AC48" s="445">
        <v>-9.260622609226014954881135040</v>
      </c>
      <c r="AD48" s="447">
        <v>-13.135323087312601417029802350</v>
      </c>
      <c r="AE48" s="448"/>
      <c r="AF48" s="444">
        <v>-13.532398659143205524955966750</v>
      </c>
      <c r="AG48" s="445">
        <v>-3.5083105547308919258930041400</v>
      </c>
      <c r="AH48" s="449">
        <v>-3.1055779848053802618572729900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147</v>
      </c>
      <c r="C49" s="662">
        <v>-6.058566407464874043811125700</v>
      </c>
      <c r="D49" s="330">
        <v>14.205156677635977256821588970</v>
      </c>
      <c r="E49" s="330">
        <v>7.2651489783252190321000594700</v>
      </c>
      <c r="F49" s="330">
        <v>3.49903766316295570636239600</v>
      </c>
      <c r="G49" s="330">
        <v>10.294442715684024295485913160</v>
      </c>
      <c r="H49" s="330">
        <v>4.3086638309026895066153764100</v>
      </c>
      <c r="I49" s="330">
        <v>12.822686880104368220522615670</v>
      </c>
      <c r="J49" s="330">
        <v>-0.2138467822143249155780159100</v>
      </c>
      <c r="K49" s="330">
        <v>5.2903421216644883714963575600</v>
      </c>
      <c r="L49" s="330"/>
      <c r="M49" s="330">
        <v>11.471697578041524969381290370</v>
      </c>
      <c r="N49" s="330">
        <v>15.591124629898708624727196280</v>
      </c>
      <c r="O49" s="330">
        <v>1.4879950097465616484934765900</v>
      </c>
      <c r="P49" s="330">
        <v>-22.447089507391065022775539840</v>
      </c>
      <c r="Q49" s="330">
        <v>-5.2887843812503606871103121400</v>
      </c>
      <c r="R49" s="330">
        <v>-13.397835538193978903214696040</v>
      </c>
      <c r="S49" s="330">
        <v>-27.554707002729277652085922940</v>
      </c>
      <c r="T49" s="330">
        <v>-13.578622194488129460747219510</v>
      </c>
      <c r="U49" s="330">
        <v>-16.310149115185459447277892900</v>
      </c>
      <c r="V49" s="330">
        <v>-23.256139573283186697078770190</v>
      </c>
      <c r="W49" s="330">
        <v>-11.967744845594388999037085640</v>
      </c>
      <c r="X49" s="331">
        <v>-35.217515583252623719422564510</v>
      </c>
      <c r="Y49" s="330">
        <v>10.157497880481530662418895140</v>
      </c>
      <c r="Z49" s="330">
        <v>-21.947523886103395295383066320</v>
      </c>
      <c r="AA49" s="330">
        <v>-16.732396154141743662454073660</v>
      </c>
      <c r="AB49" s="330">
        <v>-8.227302609891160018883709440</v>
      </c>
      <c r="AC49" s="330">
        <v>1.4180415264835551142779138300</v>
      </c>
      <c r="AD49" s="338">
        <v>-4.5910992405170175798593279300</v>
      </c>
      <c r="AE49" s="88"/>
      <c r="AF49" s="329">
        <v>-10.579788715557139817789460130</v>
      </c>
      <c r="AG49" s="330">
        <v>-5.7752189179978778679292971400</v>
      </c>
      <c r="AH49" s="332">
        <v>-5.6199630778325887684803279300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656" t="s">
        <v>145</v>
      </c>
      <c r="D52" s="310"/>
      <c r="E52" s="310"/>
      <c r="F52" s="310"/>
      <c r="G52" s="310"/>
      <c r="H52" s="310"/>
      <c r="I52" s="310"/>
      <c r="J52" s="310"/>
      <c r="K52" s="310"/>
      <c r="L52" s="310"/>
      <c r="M52" s="310"/>
      <c r="N52" s="310"/>
      <c r="O52" s="310"/>
      <c r="P52" s="310"/>
      <c r="Q52" s="310"/>
      <c r="R52" s="310"/>
      <c r="S52" s="311"/>
      <c r="T52" s="311"/>
      <c r="U52" s="311"/>
      <c r="V52" s="311"/>
      <c r="W52" s="311"/>
      <c r="X52" s="312"/>
      <c r="Y52" s="311"/>
      <c r="Z52" s="311"/>
      <c r="AA52" s="311"/>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657">
        <v>1</v>
      </c>
      <c r="D53" s="42">
        <v>2</v>
      </c>
      <c r="E53" s="42">
        <v>3</v>
      </c>
      <c r="F53" s="42">
        <v>4</v>
      </c>
      <c r="G53" s="42">
        <v>5</v>
      </c>
      <c r="H53" s="42">
        <v>6</v>
      </c>
      <c r="I53" s="42">
        <v>7</v>
      </c>
      <c r="J53" s="42">
        <v>8</v>
      </c>
      <c r="K53" s="42">
        <v>9</v>
      </c>
      <c r="L53" s="42">
        <v>10</v>
      </c>
      <c r="M53" s="42">
        <v>11</v>
      </c>
      <c r="N53" s="42">
        <v>12</v>
      </c>
      <c r="O53" s="42">
        <v>13</v>
      </c>
      <c r="P53" s="42">
        <v>14</v>
      </c>
      <c r="Q53" s="42">
        <v>15</v>
      </c>
      <c r="R53" s="42">
        <v>16</v>
      </c>
      <c r="S53" s="42">
        <v>17</v>
      </c>
      <c r="T53" s="42">
        <v>18</v>
      </c>
      <c r="U53" s="42">
        <v>19</v>
      </c>
      <c r="V53" s="42">
        <v>20</v>
      </c>
      <c r="W53" s="42">
        <v>21</v>
      </c>
      <c r="X53" s="323">
        <v>22</v>
      </c>
      <c r="Y53" s="42">
        <v>23</v>
      </c>
      <c r="Z53" s="42">
        <v>24</v>
      </c>
      <c r="AA53" s="42">
        <v>25</v>
      </c>
      <c r="AB53" s="42">
        <v>26</v>
      </c>
      <c r="AC53" s="42">
        <v>27</v>
      </c>
      <c r="AD53" s="337">
        <v>28</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663" t="s">
        <v>153</v>
      </c>
      <c r="D54" s="456" t="s">
        <v>153</v>
      </c>
      <c r="E54" s="456" t="s">
        <v>153</v>
      </c>
      <c r="F54" s="456" t="s">
        <v>153</v>
      </c>
      <c r="G54" s="456" t="s">
        <v>153</v>
      </c>
      <c r="H54" s="456" t="s">
        <v>149</v>
      </c>
      <c r="I54" s="456" t="s">
        <v>153</v>
      </c>
      <c r="J54" s="456" t="s">
        <v>149</v>
      </c>
      <c r="K54" s="456" t="s">
        <v>155</v>
      </c>
      <c r="L54" s="456"/>
      <c r="M54" s="456" t="s">
        <v>149</v>
      </c>
      <c r="N54" s="456" t="s">
        <v>149</v>
      </c>
      <c r="O54" s="456" t="s">
        <v>148</v>
      </c>
      <c r="P54" s="456" t="s">
        <v>148</v>
      </c>
      <c r="Q54" s="456" t="s">
        <v>148</v>
      </c>
      <c r="R54" s="456" t="s">
        <v>149</v>
      </c>
      <c r="S54" s="456" t="s">
        <v>148</v>
      </c>
      <c r="T54" s="456" t="s">
        <v>148</v>
      </c>
      <c r="U54" s="456" t="s">
        <v>148</v>
      </c>
      <c r="V54" s="456" t="s">
        <v>148</v>
      </c>
      <c r="W54" s="456" t="s">
        <v>148</v>
      </c>
      <c r="X54" s="457" t="s">
        <v>149</v>
      </c>
      <c r="Y54" s="456" t="s">
        <v>148</v>
      </c>
      <c r="Z54" s="456" t="s">
        <v>149</v>
      </c>
      <c r="AA54" s="456" t="s">
        <v>148</v>
      </c>
      <c r="AB54" s="456" t="s">
        <v>158</v>
      </c>
      <c r="AC54" s="456" t="s">
        <v>155</v>
      </c>
      <c r="AD54" s="458" t="s">
        <v>148</v>
      </c>
      <c r="AE54" s="459"/>
      <c r="AF54" s="455" t="s">
        <v>148</v>
      </c>
      <c r="AG54" s="456" t="s">
        <v>148</v>
      </c>
      <c r="AH54" s="460" t="s">
        <v>148</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664" t="s">
        <v>148</v>
      </c>
      <c r="D55" s="334" t="s">
        <v>152</v>
      </c>
      <c r="E55" s="334" t="s">
        <v>151</v>
      </c>
      <c r="F55" s="334" t="s">
        <v>151</v>
      </c>
      <c r="G55" s="334" t="s">
        <v>152</v>
      </c>
      <c r="H55" s="334" t="s">
        <v>151</v>
      </c>
      <c r="I55" s="334" t="s">
        <v>154</v>
      </c>
      <c r="J55" s="334" t="s">
        <v>153</v>
      </c>
      <c r="K55" s="334" t="s">
        <v>155</v>
      </c>
      <c r="L55" s="334"/>
      <c r="M55" s="334" t="s">
        <v>152</v>
      </c>
      <c r="N55" s="334" t="s">
        <v>152</v>
      </c>
      <c r="O55" s="334" t="s">
        <v>149</v>
      </c>
      <c r="P55" s="334" t="s">
        <v>150</v>
      </c>
      <c r="Q55" s="334" t="s">
        <v>149</v>
      </c>
      <c r="R55" s="334" t="s">
        <v>149</v>
      </c>
      <c r="S55" s="334" t="s">
        <v>150</v>
      </c>
      <c r="T55" s="334" t="s">
        <v>148</v>
      </c>
      <c r="U55" s="334" t="s">
        <v>149</v>
      </c>
      <c r="V55" s="334" t="s">
        <v>150</v>
      </c>
      <c r="W55" s="334" t="s">
        <v>148</v>
      </c>
      <c r="X55" s="60" t="s">
        <v>150</v>
      </c>
      <c r="Y55" s="61" t="s">
        <v>151</v>
      </c>
      <c r="Z55" s="61" t="s">
        <v>150</v>
      </c>
      <c r="AA55" s="61" t="s">
        <v>148</v>
      </c>
      <c r="AB55" s="61" t="s">
        <v>159</v>
      </c>
      <c r="AC55" s="61" t="s">
        <v>148</v>
      </c>
      <c r="AD55" s="62" t="s">
        <v>148</v>
      </c>
      <c r="AE55" s="59"/>
      <c r="AF55" s="333" t="s">
        <v>148</v>
      </c>
      <c r="AG55" s="334" t="s">
        <v>149</v>
      </c>
      <c r="AH55" s="335" t="s">
        <v>149</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5"/>
      <c r="C66" s="665"/>
      <c r="D66" s="665"/>
      <c r="E66" s="665"/>
      <c r="F66" s="665"/>
      <c r="G66" s="665"/>
      <c r="H66" s="665"/>
      <c r="I66" s="665"/>
      <c r="J66" s="665"/>
      <c r="K66" s="665"/>
      <c r="L66" s="665"/>
      <c r="M66" s="665"/>
      <c r="N66" s="665"/>
      <c r="O66" s="665"/>
      <c r="P66" s="665"/>
      <c r="Q66" s="665"/>
      <c r="R66" s="665"/>
      <c r="S66" s="665"/>
      <c r="T66" s="665"/>
      <c r="U66" s="665"/>
      <c r="V66" s="665"/>
      <c r="W66" s="665"/>
      <c r="X66" s="665"/>
      <c r="Y66" s="665"/>
      <c r="Z66" s="665"/>
      <c r="AA66" s="665"/>
      <c r="AB66" s="665"/>
      <c r="AC66" s="665"/>
      <c r="AD66" s="665"/>
      <c r="AE66" s="665"/>
      <c r="AF66" s="665"/>
      <c r="AG66" s="665"/>
      <c r="AH66" s="665"/>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5"/>
      <c r="C67" s="665"/>
      <c r="D67" s="665"/>
      <c r="E67" s="665"/>
      <c r="F67" s="665"/>
      <c r="G67" s="665"/>
      <c r="H67" s="665"/>
      <c r="I67" s="665"/>
      <c r="J67" s="665"/>
      <c r="K67" s="665"/>
      <c r="L67" s="665"/>
      <c r="M67" s="665"/>
      <c r="N67" s="665"/>
      <c r="O67" s="665"/>
      <c r="P67" s="665"/>
      <c r="Q67" s="665"/>
      <c r="R67" s="665"/>
      <c r="S67" s="665"/>
      <c r="T67" s="665"/>
      <c r="U67" s="665"/>
      <c r="V67" s="665"/>
      <c r="W67" s="665"/>
      <c r="X67" s="665"/>
      <c r="Y67" s="665"/>
      <c r="Z67" s="665"/>
      <c r="AA67" s="665"/>
      <c r="AB67" s="665"/>
      <c r="AC67" s="665"/>
      <c r="AD67" s="665"/>
      <c r="AE67" s="665"/>
      <c r="AF67" s="665"/>
      <c r="AG67" s="665"/>
      <c r="AH67" s="665"/>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65"/>
      <c r="C68" s="665"/>
      <c r="D68" s="665"/>
      <c r="E68" s="665"/>
      <c r="F68" s="665"/>
      <c r="G68" s="665"/>
      <c r="H68" s="665"/>
      <c r="I68" s="665"/>
      <c r="J68" s="665"/>
      <c r="K68" s="665"/>
      <c r="L68" s="665"/>
      <c r="M68" s="665"/>
      <c r="N68" s="665"/>
      <c r="O68" s="665"/>
      <c r="P68" s="665"/>
      <c r="Q68" s="665"/>
      <c r="R68" s="665"/>
      <c r="S68" s="665"/>
      <c r="T68" s="665"/>
      <c r="U68" s="665"/>
      <c r="V68" s="665"/>
      <c r="W68" s="665"/>
      <c r="X68" s="665"/>
      <c r="Y68" s="665"/>
      <c r="Z68" s="665"/>
      <c r="AA68" s="665"/>
      <c r="AB68" s="665"/>
      <c r="AC68" s="665"/>
      <c r="AD68" s="665"/>
      <c r="AE68" s="665"/>
      <c r="AF68" s="665"/>
      <c r="AG68" s="665"/>
      <c r="AH68" s="66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65"/>
      <c r="C69" s="665"/>
      <c r="D69" s="665"/>
      <c r="E69" s="665"/>
      <c r="F69" s="665"/>
      <c r="G69" s="665"/>
      <c r="H69" s="665"/>
      <c r="I69" s="665"/>
      <c r="J69" s="665"/>
      <c r="K69" s="665"/>
      <c r="L69" s="665"/>
      <c r="M69" s="665"/>
      <c r="N69" s="665"/>
      <c r="O69" s="665"/>
      <c r="P69" s="665"/>
      <c r="Q69" s="665"/>
      <c r="R69" s="665"/>
      <c r="S69" s="665"/>
      <c r="T69" s="665"/>
      <c r="U69" s="665"/>
      <c r="V69" s="665"/>
      <c r="W69" s="665"/>
      <c r="X69" s="665"/>
      <c r="Y69" s="665"/>
      <c r="Z69" s="665"/>
      <c r="AA69" s="665"/>
      <c r="AB69" s="665"/>
      <c r="AC69" s="665"/>
      <c r="AD69" s="665"/>
      <c r="AE69" s="665"/>
      <c r="AF69" s="665"/>
      <c r="AG69" s="665"/>
      <c r="AH69" s="66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65"/>
      <c r="C70" s="665"/>
      <c r="D70" s="665"/>
      <c r="E70" s="665"/>
      <c r="F70" s="665"/>
      <c r="G70" s="665"/>
      <c r="H70" s="665"/>
      <c r="I70" s="665"/>
      <c r="J70" s="665"/>
      <c r="K70" s="665"/>
      <c r="L70" s="665"/>
      <c r="M70" s="665"/>
      <c r="N70" s="665"/>
      <c r="O70" s="665"/>
      <c r="P70" s="665"/>
      <c r="Q70" s="665"/>
      <c r="R70" s="665"/>
      <c r="S70" s="665"/>
      <c r="T70" s="665"/>
      <c r="U70" s="665"/>
      <c r="V70" s="665"/>
      <c r="W70" s="665"/>
      <c r="X70" s="665"/>
      <c r="Y70" s="665"/>
      <c r="Z70" s="665"/>
      <c r="AA70" s="665"/>
      <c r="AB70" s="665"/>
      <c r="AC70" s="665"/>
      <c r="AD70" s="665"/>
      <c r="AE70" s="665"/>
      <c r="AF70" s="665"/>
      <c r="AG70" s="665"/>
      <c r="AH70" s="665"/>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65">
        <v>1</v>
      </c>
      <c r="C71" s="665">
        <v>2</v>
      </c>
      <c r="D71" s="665">
        <v>3</v>
      </c>
      <c r="E71" s="665">
        <v>4</v>
      </c>
      <c r="F71" s="665">
        <v>5</v>
      </c>
      <c r="G71" s="665">
        <v>6</v>
      </c>
      <c r="H71" s="665">
        <v>7</v>
      </c>
      <c r="I71" s="665">
        <v>8</v>
      </c>
      <c r="J71" s="665">
        <v>9</v>
      </c>
      <c r="K71" s="665">
        <v>10</v>
      </c>
      <c r="L71" s="665">
        <v>11</v>
      </c>
      <c r="M71" s="665">
        <v>12</v>
      </c>
      <c r="N71" s="665"/>
      <c r="O71" s="665"/>
      <c r="P71" s="665"/>
      <c r="Q71" s="665"/>
      <c r="R71" s="665"/>
      <c r="S71" s="665"/>
      <c r="T71" s="665"/>
      <c r="U71" s="665"/>
      <c r="V71" s="665"/>
      <c r="W71" s="665"/>
      <c r="X71" s="665"/>
      <c r="Y71" s="665"/>
      <c r="Z71" s="665"/>
      <c r="AA71" s="665"/>
      <c r="AB71" s="665"/>
      <c r="AC71" s="665"/>
      <c r="AD71" s="665"/>
      <c r="AE71" s="665"/>
      <c r="AF71" s="665"/>
      <c r="AG71" s="665"/>
      <c r="AH71" s="665"/>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5" t="n">
        <v>45759</v>
      </c>
      <c r="C72" s="665">
        <v>45766</v>
      </c>
      <c r="D72" s="665">
        <v>45773</v>
      </c>
      <c r="E72" s="665">
        <v>45780</v>
      </c>
      <c r="F72" s="665">
        <v>45787</v>
      </c>
      <c r="G72" s="665">
        <v>45794</v>
      </c>
      <c r="H72" s="665">
        <v>45801</v>
      </c>
      <c r="I72" s="665">
        <v>45808</v>
      </c>
      <c r="J72" s="665">
        <v>45815</v>
      </c>
      <c r="K72" s="665">
        <v>45822</v>
      </c>
      <c r="L72" s="665">
        <v>45829</v>
      </c>
      <c r="M72" s="665">
        <v>45836</v>
      </c>
      <c r="N72" s="665"/>
      <c r="O72" s="665"/>
      <c r="P72" s="665"/>
      <c r="Q72" s="665"/>
      <c r="R72" s="665"/>
      <c r="S72" s="665"/>
      <c r="T72" s="665"/>
      <c r="U72" s="665"/>
      <c r="V72" s="665"/>
      <c r="W72" s="665"/>
      <c r="X72" s="665"/>
      <c r="Y72" s="665"/>
      <c r="Z72" s="665"/>
      <c r="AA72" s="665"/>
      <c r="AB72" s="665"/>
      <c r="AC72" s="665"/>
      <c r="AD72" s="665"/>
      <c r="AE72" s="665"/>
      <c r="AF72" s="665"/>
      <c r="AG72" s="665"/>
      <c r="AH72" s="665"/>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5">
        <v>112.02253032928942807625649913</v>
      </c>
      <c r="C73" s="665">
        <v>107.320000000</v>
      </c>
      <c r="D73" s="665">
        <v>108.03403141361256544502617801</v>
      </c>
      <c r="E73" s="665">
        <v>117.45924764890282131661442006</v>
      </c>
      <c r="F73" s="665">
        <v>109.28238341968911917098445596</v>
      </c>
      <c r="G73" s="665">
        <v>107.24795081967213114754098361</v>
      </c>
      <c r="H73" s="665">
        <v>102.77346938775510204081632653</v>
      </c>
      <c r="I73" s="665">
        <v>104.76968503937007874015748031</v>
      </c>
      <c r="J73" s="665">
        <v>115.15090909090909090909090909</v>
      </c>
      <c r="K73" s="665">
        <v>106.484375000</v>
      </c>
      <c r="L73" s="665">
        <v>102.18135593220338983050847458</v>
      </c>
      <c r="M73" s="665">
        <v>100.78517397881996974281391831</v>
      </c>
      <c r="N73" s="665"/>
      <c r="O73" s="665"/>
      <c r="P73" s="665"/>
      <c r="Q73" s="665"/>
      <c r="R73" s="665"/>
      <c r="S73" s="665"/>
      <c r="T73" s="665"/>
      <c r="U73" s="665"/>
      <c r="V73" s="665"/>
      <c r="W73" s="665"/>
      <c r="X73" s="665"/>
      <c r="Y73" s="665"/>
      <c r="Z73" s="665"/>
      <c r="AA73" s="665"/>
      <c r="AB73" s="665"/>
      <c r="AC73" s="665"/>
      <c r="AD73" s="665"/>
      <c r="AE73" s="665"/>
      <c r="AF73" s="665"/>
      <c r="AG73" s="665"/>
      <c r="AH73" s="665"/>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5">
        <v>140.1984818875119161105815062</v>
      </c>
      <c r="C74" s="665">
        <v>133.37102324263038548752834467</v>
      </c>
      <c r="D74" s="665">
        <v>140.77820280885503451559152582</v>
      </c>
      <c r="E74" s="665">
        <v>148.03289025946405784772437261</v>
      </c>
      <c r="F74" s="665">
        <v>136.70136573445560684224816725</v>
      </c>
      <c r="G74" s="665">
        <v>133.52290795481855323239605864</v>
      </c>
      <c r="H74" s="665">
        <v>134.47078341013824884792626728</v>
      </c>
      <c r="I74" s="665">
        <v>127.38291040772532188841201716</v>
      </c>
      <c r="J74" s="665">
        <v>137.21882680368229501177478056</v>
      </c>
      <c r="K74" s="665">
        <v>135.44609462173621959384066057</v>
      </c>
      <c r="L74" s="665">
        <v>136.92653536811713755413487317</v>
      </c>
      <c r="M74" s="665">
        <v>142.35440396452832131211157067</v>
      </c>
      <c r="N74" s="665"/>
      <c r="O74" s="665"/>
      <c r="P74" s="665"/>
      <c r="Q74" s="665"/>
      <c r="R74" s="665"/>
      <c r="S74" s="665"/>
      <c r="T74" s="665"/>
      <c r="U74" s="665"/>
      <c r="V74" s="665"/>
      <c r="W74" s="665"/>
      <c r="X74" s="665"/>
      <c r="Y74" s="665"/>
      <c r="Z74" s="665"/>
      <c r="AA74" s="665"/>
      <c r="AB74" s="665"/>
      <c r="AC74" s="665"/>
      <c r="AD74" s="665"/>
      <c r="AE74" s="665"/>
      <c r="AF74" s="665"/>
      <c r="AG74" s="665"/>
      <c r="AH74" s="665"/>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147</v>
      </c>
      <c r="B75" s="665">
        <v>129.87472735893788525367472736</v>
      </c>
      <c r="C75" s="665">
        <v>127.93058546088383061622065006</v>
      </c>
      <c r="D75" s="665">
        <v>130.90438588145752069260774427</v>
      </c>
      <c r="E75" s="665">
        <v>142.95158053186151530356246864</v>
      </c>
      <c r="F75" s="665">
        <v>132.48906542056074766355140187</v>
      </c>
      <c r="G75" s="665">
        <v>128.33569762015865608959402706</v>
      </c>
      <c r="H75" s="665">
        <v>127.83998211091234347048300537</v>
      </c>
      <c r="I75" s="665">
        <v>119.81793117532931685898090473</v>
      </c>
      <c r="J75" s="665">
        <v>132.01555171562577141446556406</v>
      </c>
      <c r="K75" s="665">
        <v>127.87261645624727905964301263</v>
      </c>
      <c r="L75" s="665">
        <v>132.60592160133444537114261885</v>
      </c>
      <c r="M75" s="665">
        <v>129.75924024640657084188911704</v>
      </c>
      <c r="N75" s="665"/>
      <c r="O75" s="665"/>
      <c r="P75" s="665"/>
      <c r="Q75" s="665"/>
      <c r="R75" s="665"/>
      <c r="S75" s="665"/>
      <c r="T75" s="665"/>
      <c r="U75" s="665"/>
      <c r="V75" s="665"/>
      <c r="W75" s="665"/>
      <c r="X75" s="665"/>
      <c r="Y75" s="665"/>
      <c r="Z75" s="665"/>
      <c r="AA75" s="665"/>
      <c r="AB75" s="665"/>
      <c r="AC75" s="665"/>
      <c r="AD75" s="665"/>
      <c r="AE75" s="665"/>
      <c r="AF75" s="665"/>
      <c r="AG75" s="665"/>
      <c r="AH75" s="665"/>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65"/>
      <c r="C76" s="665"/>
      <c r="D76" s="665"/>
      <c r="E76" s="665"/>
      <c r="F76" s="665"/>
      <c r="G76" s="665"/>
      <c r="H76" s="665"/>
      <c r="I76" s="665"/>
      <c r="J76" s="665"/>
      <c r="K76" s="665"/>
      <c r="L76" s="665"/>
      <c r="M76" s="665"/>
      <c r="N76" s="665"/>
      <c r="O76" s="665"/>
      <c r="P76" s="665"/>
      <c r="Q76" s="665"/>
      <c r="R76" s="665"/>
      <c r="S76" s="665"/>
      <c r="T76" s="665"/>
      <c r="U76" s="665"/>
      <c r="V76" s="665"/>
      <c r="W76" s="665"/>
      <c r="X76" s="665"/>
      <c r="Y76" s="665"/>
      <c r="Z76" s="665"/>
      <c r="AA76" s="665"/>
      <c r="AB76" s="665"/>
      <c r="AC76" s="665"/>
      <c r="AD76" s="665"/>
      <c r="AE76" s="665"/>
      <c r="AF76" s="665"/>
      <c r="AG76" s="665"/>
      <c r="AH76" s="665"/>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65"/>
      <c r="C77" s="665"/>
      <c r="D77" s="665"/>
      <c r="E77" s="665"/>
      <c r="F77" s="665"/>
      <c r="G77" s="665"/>
      <c r="H77" s="665"/>
      <c r="I77" s="665"/>
      <c r="J77" s="665"/>
      <c r="K77" s="665"/>
      <c r="L77" s="665"/>
      <c r="M77" s="665"/>
      <c r="N77" s="665"/>
      <c r="O77" s="665"/>
      <c r="P77" s="665"/>
      <c r="Q77" s="665"/>
      <c r="R77" s="665"/>
      <c r="S77" s="665"/>
      <c r="T77" s="665"/>
      <c r="U77" s="665"/>
      <c r="V77" s="665"/>
      <c r="W77" s="665"/>
      <c r="X77" s="665"/>
      <c r="Y77" s="665"/>
      <c r="Z77" s="665"/>
      <c r="AA77" s="665"/>
      <c r="AB77" s="665"/>
      <c r="AC77" s="665"/>
      <c r="AD77" s="665"/>
      <c r="AE77" s="665"/>
      <c r="AF77" s="665"/>
      <c r="AG77" s="665"/>
      <c r="AH77" s="665"/>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5"/>
      <c r="C78" s="665"/>
      <c r="D78" s="665"/>
      <c r="E78" s="665"/>
      <c r="F78" s="665"/>
      <c r="G78" s="665"/>
      <c r="H78" s="665"/>
      <c r="I78" s="665"/>
      <c r="J78" s="665"/>
      <c r="K78" s="665"/>
      <c r="L78" s="665"/>
      <c r="M78" s="665"/>
      <c r="N78" s="665"/>
      <c r="O78" s="665"/>
      <c r="P78" s="665"/>
      <c r="Q78" s="665"/>
      <c r="R78" s="665"/>
      <c r="S78" s="665"/>
      <c r="T78" s="665"/>
      <c r="U78" s="665"/>
      <c r="V78" s="665"/>
      <c r="W78" s="665"/>
      <c r="X78" s="665"/>
      <c r="Y78" s="665"/>
      <c r="Z78" s="665"/>
      <c r="AA78" s="665"/>
      <c r="AB78" s="665"/>
      <c r="AC78" s="665"/>
      <c r="AD78" s="665"/>
      <c r="AE78" s="665"/>
      <c r="AF78" s="665"/>
      <c r="AG78" s="665"/>
      <c r="AH78" s="665"/>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5"/>
      <c r="C79" s="665"/>
      <c r="D79" s="665"/>
      <c r="E79" s="665"/>
      <c r="F79" s="665"/>
      <c r="G79" s="665"/>
      <c r="H79" s="665"/>
      <c r="I79" s="665"/>
      <c r="J79" s="665"/>
      <c r="K79" s="665"/>
      <c r="L79" s="665"/>
      <c r="M79" s="665"/>
      <c r="N79" s="665"/>
      <c r="O79" s="665"/>
      <c r="P79" s="665"/>
      <c r="Q79" s="665"/>
      <c r="R79" s="665"/>
      <c r="S79" s="665"/>
      <c r="T79" s="665"/>
      <c r="U79" s="665"/>
      <c r="V79" s="665"/>
      <c r="W79" s="665"/>
      <c r="X79" s="665"/>
      <c r="Y79" s="665"/>
      <c r="Z79" s="665"/>
      <c r="AA79" s="665"/>
      <c r="AB79" s="665"/>
      <c r="AC79" s="665"/>
      <c r="AD79" s="665"/>
      <c r="AE79" s="665"/>
      <c r="AF79" s="665"/>
      <c r="AG79" s="665"/>
      <c r="AH79" s="665"/>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5"/>
      <c r="C80" s="665"/>
      <c r="D80" s="665"/>
      <c r="E80" s="665"/>
      <c r="F80" s="665"/>
      <c r="G80" s="665"/>
      <c r="H80" s="665"/>
      <c r="I80" s="665"/>
      <c r="J80" s="665"/>
      <c r="K80" s="665"/>
      <c r="L80" s="665"/>
      <c r="M80" s="665"/>
      <c r="N80" s="665"/>
      <c r="O80" s="665"/>
      <c r="P80" s="665"/>
      <c r="Q80" s="665"/>
      <c r="R80" s="665"/>
      <c r="S80" s="665"/>
      <c r="T80" s="665"/>
      <c r="U80" s="665"/>
      <c r="V80" s="665"/>
      <c r="W80" s="665"/>
      <c r="X80" s="665"/>
      <c r="Y80" s="665"/>
      <c r="Z80" s="665"/>
      <c r="AA80" s="665"/>
      <c r="AB80" s="665"/>
      <c r="AC80" s="665"/>
      <c r="AD80" s="665"/>
      <c r="AE80" s="665"/>
      <c r="AF80" s="665"/>
      <c r="AG80" s="665"/>
      <c r="AH80" s="665"/>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5"/>
      <c r="C81" s="665"/>
      <c r="D81" s="665"/>
      <c r="E81" s="665"/>
      <c r="F81" s="665"/>
      <c r="G81" s="665"/>
      <c r="H81" s="665"/>
      <c r="I81" s="665"/>
      <c r="J81" s="665"/>
      <c r="K81" s="665"/>
      <c r="L81" s="665"/>
      <c r="M81" s="665"/>
      <c r="N81" s="665"/>
      <c r="O81" s="665"/>
      <c r="P81" s="665"/>
      <c r="Q81" s="665"/>
      <c r="R81" s="665"/>
      <c r="S81" s="665"/>
      <c r="T81" s="665"/>
      <c r="U81" s="665"/>
      <c r="V81" s="665"/>
      <c r="W81" s="665"/>
      <c r="X81" s="665"/>
      <c r="Y81" s="665"/>
      <c r="Z81" s="665"/>
      <c r="AA81" s="665"/>
      <c r="AB81" s="665"/>
      <c r="AC81" s="665"/>
      <c r="AD81" s="665"/>
      <c r="AE81" s="665"/>
      <c r="AF81" s="665"/>
      <c r="AG81" s="665"/>
      <c r="AH81" s="665"/>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5"/>
      <c r="C82" s="665"/>
      <c r="D82" s="665"/>
      <c r="E82" s="665"/>
      <c r="F82" s="665"/>
      <c r="G82" s="665"/>
      <c r="H82" s="665"/>
      <c r="I82" s="665"/>
      <c r="J82" s="665"/>
      <c r="K82" s="665"/>
      <c r="L82" s="665"/>
      <c r="M82" s="665"/>
      <c r="N82" s="665"/>
      <c r="O82" s="665"/>
      <c r="P82" s="665"/>
      <c r="Q82" s="665"/>
      <c r="R82" s="665"/>
      <c r="S82" s="665"/>
      <c r="T82" s="665"/>
      <c r="U82" s="665"/>
      <c r="V82" s="665"/>
      <c r="W82" s="665"/>
      <c r="X82" s="665"/>
      <c r="Y82" s="665"/>
      <c r="Z82" s="665"/>
      <c r="AA82" s="665"/>
      <c r="AB82" s="665"/>
      <c r="AC82" s="665"/>
      <c r="AD82" s="665"/>
      <c r="AE82" s="665"/>
      <c r="AF82" s="665"/>
      <c r="AG82" s="665"/>
      <c r="AH82" s="665"/>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5"/>
      <c r="C83" s="665"/>
      <c r="D83" s="665"/>
      <c r="E83" s="665"/>
      <c r="F83" s="665"/>
      <c r="G83" s="665"/>
      <c r="H83" s="665"/>
      <c r="I83" s="665"/>
      <c r="J83" s="665"/>
      <c r="K83" s="665"/>
      <c r="L83" s="665"/>
      <c r="M83" s="665"/>
      <c r="N83" s="665"/>
      <c r="O83" s="665"/>
      <c r="P83" s="665"/>
      <c r="Q83" s="665"/>
      <c r="R83" s="665"/>
      <c r="S83" s="665"/>
      <c r="T83" s="665"/>
      <c r="U83" s="665"/>
      <c r="V83" s="665"/>
      <c r="W83" s="665"/>
      <c r="X83" s="665"/>
      <c r="Y83" s="665"/>
      <c r="Z83" s="665"/>
      <c r="AA83" s="665"/>
      <c r="AB83" s="665"/>
      <c r="AC83" s="665"/>
      <c r="AD83" s="665"/>
      <c r="AE83" s="665"/>
      <c r="AF83" s="665"/>
      <c r="AG83" s="665"/>
      <c r="AH83" s="665"/>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5"/>
      <c r="C84" s="665"/>
      <c r="D84" s="665"/>
      <c r="E84" s="665"/>
      <c r="F84" s="665"/>
      <c r="G84" s="665"/>
      <c r="H84" s="665"/>
      <c r="I84" s="665"/>
      <c r="J84" s="665"/>
      <c r="K84" s="665"/>
      <c r="L84" s="665"/>
      <c r="M84" s="665"/>
      <c r="N84" s="665"/>
      <c r="O84" s="665"/>
      <c r="P84" s="665"/>
      <c r="Q84" s="665"/>
      <c r="R84" s="665"/>
      <c r="S84" s="665"/>
      <c r="T84" s="665"/>
      <c r="U84" s="665"/>
      <c r="V84" s="665"/>
      <c r="W84" s="665"/>
      <c r="X84" s="665"/>
      <c r="Y84" s="665"/>
      <c r="Z84" s="665"/>
      <c r="AA84" s="665"/>
      <c r="AB84" s="665"/>
      <c r="AC84" s="665"/>
      <c r="AD84" s="665"/>
      <c r="AE84" s="665"/>
      <c r="AF84" s="665"/>
      <c r="AG84" s="665"/>
      <c r="AH84" s="665"/>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5"/>
      <c r="C85" s="665"/>
      <c r="D85" s="665"/>
      <c r="E85" s="665"/>
      <c r="F85" s="665"/>
      <c r="G85" s="665"/>
      <c r="H85" s="665"/>
      <c r="I85" s="665"/>
      <c r="J85" s="665"/>
      <c r="K85" s="665"/>
      <c r="L85" s="665"/>
      <c r="M85" s="665"/>
      <c r="N85" s="665"/>
      <c r="O85" s="665"/>
      <c r="P85" s="665"/>
      <c r="Q85" s="665"/>
      <c r="R85" s="665"/>
      <c r="S85" s="665"/>
      <c r="T85" s="665"/>
      <c r="U85" s="665"/>
      <c r="V85" s="665"/>
      <c r="W85" s="665"/>
      <c r="X85" s="665"/>
      <c r="Y85" s="665"/>
      <c r="Z85" s="665"/>
      <c r="AA85" s="665"/>
      <c r="AB85" s="665"/>
      <c r="AC85" s="665"/>
      <c r="AD85" s="665"/>
      <c r="AE85" s="665"/>
      <c r="AF85" s="665"/>
      <c r="AG85" s="665"/>
      <c r="AH85" s="665"/>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5"/>
      <c r="C86" s="665"/>
      <c r="D86" s="665"/>
      <c r="E86" s="665"/>
      <c r="F86" s="665"/>
      <c r="G86" s="665"/>
      <c r="H86" s="665"/>
      <c r="I86" s="665"/>
      <c r="J86" s="665"/>
      <c r="K86" s="665"/>
      <c r="L86" s="665"/>
      <c r="M86" s="665"/>
      <c r="N86" s="665"/>
      <c r="O86" s="665"/>
      <c r="P86" s="665"/>
      <c r="Q86" s="665"/>
      <c r="R86" s="665"/>
      <c r="S86" s="665"/>
      <c r="T86" s="665"/>
      <c r="U86" s="665"/>
      <c r="V86" s="665"/>
      <c r="W86" s="665"/>
      <c r="X86" s="665"/>
      <c r="Y86" s="665"/>
      <c r="Z86" s="665"/>
      <c r="AA86" s="665"/>
      <c r="AB86" s="665"/>
      <c r="AC86" s="665"/>
      <c r="AD86" s="665"/>
      <c r="AE86" s="665"/>
      <c r="AF86" s="665"/>
      <c r="AG86" s="665"/>
      <c r="AH86" s="665"/>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5"/>
      <c r="C87" s="665"/>
      <c r="D87" s="665"/>
      <c r="E87" s="665"/>
      <c r="F87" s="665"/>
      <c r="G87" s="665"/>
      <c r="H87" s="665"/>
      <c r="I87" s="665"/>
      <c r="J87" s="665"/>
      <c r="K87" s="665"/>
      <c r="L87" s="665"/>
      <c r="M87" s="665"/>
      <c r="N87" s="665"/>
      <c r="O87" s="665"/>
      <c r="P87" s="665"/>
      <c r="Q87" s="665"/>
      <c r="R87" s="665"/>
      <c r="S87" s="665"/>
      <c r="T87" s="665"/>
      <c r="U87" s="665"/>
      <c r="V87" s="665"/>
      <c r="W87" s="665"/>
      <c r="X87" s="665"/>
      <c r="Y87" s="665"/>
      <c r="Z87" s="665"/>
      <c r="AA87" s="665"/>
      <c r="AB87" s="665"/>
      <c r="AC87" s="665"/>
      <c r="AD87" s="665"/>
      <c r="AE87" s="665"/>
      <c r="AF87" s="665"/>
      <c r="AG87" s="665"/>
      <c r="AH87" s="665"/>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5"/>
      <c r="C88" s="665"/>
      <c r="D88" s="665"/>
      <c r="E88" s="665"/>
      <c r="F88" s="665"/>
      <c r="G88" s="665"/>
      <c r="H88" s="665"/>
      <c r="I88" s="665"/>
      <c r="J88" s="665"/>
      <c r="K88" s="665"/>
      <c r="L88" s="665"/>
      <c r="M88" s="665"/>
      <c r="N88" s="665"/>
      <c r="O88" s="665"/>
      <c r="P88" s="665"/>
      <c r="Q88" s="665"/>
      <c r="R88" s="665"/>
      <c r="S88" s="665"/>
      <c r="T88" s="665"/>
      <c r="U88" s="665"/>
      <c r="V88" s="665"/>
      <c r="W88" s="665"/>
      <c r="X88" s="665"/>
      <c r="Y88" s="665"/>
      <c r="Z88" s="665"/>
      <c r="AA88" s="665"/>
      <c r="AB88" s="665"/>
      <c r="AC88" s="665"/>
      <c r="AD88" s="665"/>
      <c r="AE88" s="665"/>
      <c r="AF88" s="665"/>
      <c r="AG88" s="665"/>
      <c r="AH88" s="665"/>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5"/>
      <c r="C89" s="665"/>
      <c r="D89" s="665"/>
      <c r="E89" s="665"/>
      <c r="F89" s="665"/>
      <c r="G89" s="665"/>
      <c r="H89" s="665"/>
      <c r="I89" s="665"/>
      <c r="J89" s="665"/>
      <c r="K89" s="665"/>
      <c r="L89" s="665"/>
      <c r="M89" s="665"/>
      <c r="N89" s="665"/>
      <c r="O89" s="665"/>
      <c r="P89" s="665"/>
      <c r="Q89" s="665"/>
      <c r="R89" s="665"/>
      <c r="S89" s="665"/>
      <c r="T89" s="665"/>
      <c r="U89" s="665"/>
      <c r="V89" s="665"/>
      <c r="W89" s="665"/>
      <c r="X89" s="665"/>
      <c r="Y89" s="665"/>
      <c r="Z89" s="665"/>
      <c r="AA89" s="665"/>
      <c r="AB89" s="665"/>
      <c r="AC89" s="665"/>
      <c r="AD89" s="665"/>
      <c r="AE89" s="665"/>
      <c r="AF89" s="665"/>
      <c r="AG89" s="665"/>
      <c r="AH89" s="665"/>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5"/>
      <c r="C90" s="665"/>
      <c r="D90" s="665"/>
      <c r="E90" s="665"/>
      <c r="F90" s="665"/>
      <c r="G90" s="665"/>
      <c r="H90" s="665"/>
      <c r="I90" s="665"/>
      <c r="J90" s="665"/>
      <c r="K90" s="665"/>
      <c r="L90" s="665"/>
      <c r="M90" s="665"/>
      <c r="N90" s="665"/>
      <c r="O90" s="665"/>
      <c r="P90" s="665"/>
      <c r="Q90" s="665"/>
      <c r="R90" s="665"/>
      <c r="S90" s="665"/>
      <c r="T90" s="665"/>
      <c r="U90" s="665"/>
      <c r="V90" s="665"/>
      <c r="W90" s="665"/>
      <c r="X90" s="665"/>
      <c r="Y90" s="665"/>
      <c r="Z90" s="665"/>
      <c r="AA90" s="665"/>
      <c r="AB90" s="665"/>
      <c r="AC90" s="665"/>
      <c r="AD90" s="665"/>
      <c r="AE90" s="665"/>
      <c r="AF90" s="665"/>
      <c r="AG90" s="665"/>
      <c r="AH90" s="665"/>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5"/>
      <c r="C91" s="665"/>
      <c r="D91" s="665"/>
      <c r="E91" s="665"/>
      <c r="F91" s="665"/>
      <c r="G91" s="665"/>
      <c r="H91" s="665"/>
      <c r="I91" s="665"/>
      <c r="J91" s="665"/>
      <c r="K91" s="665"/>
      <c r="L91" s="665"/>
      <c r="M91" s="665"/>
      <c r="N91" s="665"/>
      <c r="O91" s="665"/>
      <c r="P91" s="665"/>
      <c r="Q91" s="665"/>
      <c r="R91" s="665"/>
      <c r="S91" s="665"/>
      <c r="T91" s="665"/>
      <c r="U91" s="665"/>
      <c r="V91" s="665"/>
      <c r="W91" s="665"/>
      <c r="X91" s="665"/>
      <c r="Y91" s="665"/>
      <c r="Z91" s="665"/>
      <c r="AA91" s="665"/>
      <c r="AB91" s="665"/>
      <c r="AC91" s="665"/>
      <c r="AD91" s="665"/>
      <c r="AE91" s="665"/>
      <c r="AF91" s="665"/>
      <c r="AG91" s="665"/>
      <c r="AH91" s="665"/>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5"/>
      <c r="C92" s="665"/>
      <c r="D92" s="665"/>
      <c r="E92" s="665"/>
      <c r="F92" s="665"/>
      <c r="G92" s="665"/>
      <c r="H92" s="665"/>
      <c r="I92" s="665"/>
      <c r="J92" s="665"/>
      <c r="K92" s="665"/>
      <c r="L92" s="665"/>
      <c r="M92" s="665"/>
      <c r="N92" s="665"/>
      <c r="O92" s="665"/>
      <c r="P92" s="665"/>
      <c r="Q92" s="665"/>
      <c r="R92" s="665"/>
      <c r="S92" s="665"/>
      <c r="T92" s="665"/>
      <c r="U92" s="665"/>
      <c r="V92" s="665"/>
      <c r="W92" s="665"/>
      <c r="X92" s="665"/>
      <c r="Y92" s="665"/>
      <c r="Z92" s="665"/>
      <c r="AA92" s="665"/>
      <c r="AB92" s="665"/>
      <c r="AC92" s="665"/>
      <c r="AD92" s="665"/>
      <c r="AE92" s="665"/>
      <c r="AF92" s="665"/>
      <c r="AG92" s="665"/>
      <c r="AH92" s="665"/>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5"/>
      <c r="C93" s="665"/>
      <c r="D93" s="665"/>
      <c r="E93" s="665"/>
      <c r="F93" s="665"/>
      <c r="G93" s="665"/>
      <c r="H93" s="665"/>
      <c r="I93" s="665"/>
      <c r="J93" s="665"/>
      <c r="K93" s="665"/>
      <c r="L93" s="665"/>
      <c r="M93" s="665"/>
      <c r="N93" s="665"/>
      <c r="O93" s="665"/>
      <c r="P93" s="665"/>
      <c r="Q93" s="665"/>
      <c r="R93" s="665"/>
      <c r="S93" s="665"/>
      <c r="T93" s="665"/>
      <c r="U93" s="665"/>
      <c r="V93" s="665"/>
      <c r="W93" s="665"/>
      <c r="X93" s="665"/>
      <c r="Y93" s="665"/>
      <c r="Z93" s="665"/>
      <c r="AA93" s="665"/>
      <c r="AB93" s="665"/>
      <c r="AC93" s="665"/>
      <c r="AD93" s="665"/>
      <c r="AE93" s="665"/>
      <c r="AF93" s="665"/>
      <c r="AG93" s="665"/>
      <c r="AH93" s="665"/>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5"/>
      <c r="C94" s="665"/>
      <c r="D94" s="665"/>
      <c r="E94" s="665"/>
      <c r="F94" s="665"/>
      <c r="G94" s="665"/>
      <c r="H94" s="665"/>
      <c r="I94" s="665"/>
      <c r="J94" s="665"/>
      <c r="K94" s="665"/>
      <c r="L94" s="665"/>
      <c r="M94" s="665"/>
      <c r="N94" s="665"/>
      <c r="O94" s="665"/>
      <c r="P94" s="665"/>
      <c r="Q94" s="665"/>
      <c r="R94" s="665"/>
      <c r="S94" s="665"/>
      <c r="T94" s="665"/>
      <c r="U94" s="665"/>
      <c r="V94" s="665"/>
      <c r="W94" s="665"/>
      <c r="X94" s="665"/>
      <c r="Y94" s="665"/>
      <c r="Z94" s="665"/>
      <c r="AA94" s="665"/>
      <c r="AB94" s="665"/>
      <c r="AC94" s="665"/>
      <c r="AD94" s="665"/>
      <c r="AE94" s="665"/>
      <c r="AF94" s="665"/>
      <c r="AG94" s="665"/>
      <c r="AH94" s="665"/>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5"/>
      <c r="C95" s="665"/>
      <c r="D95" s="665"/>
      <c r="E95" s="665"/>
      <c r="F95" s="665"/>
      <c r="G95" s="665"/>
      <c r="H95" s="665"/>
      <c r="I95" s="665"/>
      <c r="J95" s="665"/>
      <c r="K95" s="665"/>
      <c r="L95" s="665"/>
      <c r="M95" s="665"/>
      <c r="N95" s="665"/>
      <c r="O95" s="665"/>
      <c r="P95" s="665"/>
      <c r="Q95" s="665"/>
      <c r="R95" s="665"/>
      <c r="S95" s="665"/>
      <c r="T95" s="665"/>
      <c r="U95" s="665"/>
      <c r="V95" s="665"/>
      <c r="W95" s="665"/>
      <c r="X95" s="665"/>
      <c r="Y95" s="665"/>
      <c r="Z95" s="665"/>
      <c r="AA95" s="665"/>
      <c r="AB95" s="665"/>
      <c r="AC95" s="665"/>
      <c r="AD95" s="665"/>
      <c r="AE95" s="665"/>
      <c r="AF95" s="665"/>
      <c r="AG95" s="665"/>
      <c r="AH95" s="665"/>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57"/>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142</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143</v>
      </c>
      <c r="R4" s="618" t="s">
        <v>160</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656" t="s">
        <v>145</v>
      </c>
      <c r="D24" s="310"/>
      <c r="E24" s="310"/>
      <c r="F24" s="310"/>
      <c r="G24" s="310"/>
      <c r="H24" s="310"/>
      <c r="I24" s="310"/>
      <c r="J24" s="310"/>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661">
        <v>1</v>
      </c>
      <c r="D25" s="314">
        <v>2</v>
      </c>
      <c r="E25" s="314">
        <v>3</v>
      </c>
      <c r="F25" s="314">
        <v>4</v>
      </c>
      <c r="G25" s="314">
        <v>5</v>
      </c>
      <c r="H25" s="314">
        <v>6</v>
      </c>
      <c r="I25" s="314">
        <v>7</v>
      </c>
      <c r="J25" s="314">
        <v>8</v>
      </c>
      <c r="K25" s="314">
        <v>9</v>
      </c>
      <c r="L25" s="314">
        <v>10</v>
      </c>
      <c r="M25" s="314">
        <v>11</v>
      </c>
      <c r="N25" s="314">
        <v>12</v>
      </c>
      <c r="O25" s="314">
        <v>13</v>
      </c>
      <c r="P25" s="314">
        <v>14</v>
      </c>
      <c r="Q25" s="314">
        <v>15</v>
      </c>
      <c r="R25" s="314">
        <v>16</v>
      </c>
      <c r="S25" s="314">
        <v>17</v>
      </c>
      <c r="T25" s="314">
        <v>18</v>
      </c>
      <c r="U25" s="314">
        <v>19</v>
      </c>
      <c r="V25" s="314">
        <v>20</v>
      </c>
      <c r="W25" s="314">
        <v>21</v>
      </c>
      <c r="X25" s="315">
        <v>22</v>
      </c>
      <c r="Y25" s="314">
        <v>23</v>
      </c>
      <c r="Z25" s="314">
        <v>24</v>
      </c>
      <c r="AA25" s="314">
        <v>25</v>
      </c>
      <c r="AB25" s="314">
        <v>26</v>
      </c>
      <c r="AC25" s="314">
        <v>27</v>
      </c>
      <c r="AD25" s="373">
        <v>28</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672">
        <v>24.854838709677419354838709677</v>
      </c>
      <c r="D26" s="462">
        <v>26.048387096774193548387096774</v>
      </c>
      <c r="E26" s="462">
        <v>33.801075268817204301075268817</v>
      </c>
      <c r="F26" s="462">
        <v>32.016129032258064516129032258</v>
      </c>
      <c r="G26" s="462">
        <v>50.994623655913978494623655914</v>
      </c>
      <c r="H26" s="462">
        <v>89.63440860215053763440860215</v>
      </c>
      <c r="I26" s="462">
        <v>83.15053763440860215053763441</v>
      </c>
      <c r="J26" s="462">
        <v>23.41935483870967741935483871</v>
      </c>
      <c r="K26" s="462">
        <v>27.102150537634408602150537634</v>
      </c>
      <c r="L26" s="462"/>
      <c r="M26" s="462">
        <v>33.387096774193548387096774194</v>
      </c>
      <c r="N26" s="462">
        <v>43.908602150537634408602150538</v>
      </c>
      <c r="O26" s="462">
        <v>40.220430107526881720430107527</v>
      </c>
      <c r="P26" s="462">
        <v>15.161290322580645161290322581</v>
      </c>
      <c r="Q26" s="462">
        <v>26.145161290322580645161290323</v>
      </c>
      <c r="R26" s="462">
        <v>44.698924731182795698924731183</v>
      </c>
      <c r="S26" s="462">
        <v>29.763440860215053763440860215</v>
      </c>
      <c r="T26" s="462">
        <v>31.204301075268817204301075269</v>
      </c>
      <c r="U26" s="462">
        <v>29.586021505376344086021505376</v>
      </c>
      <c r="V26" s="462">
        <v>83.05376344086021505376344086</v>
      </c>
      <c r="W26" s="462">
        <v>79.67204301075268817204301075</v>
      </c>
      <c r="X26" s="463">
        <v>20.865591397849462365591397849</v>
      </c>
      <c r="Y26" s="462">
        <v>54.166666666666666666666666667</v>
      </c>
      <c r="Z26" s="462">
        <v>56.741935483870967741935483871</v>
      </c>
      <c r="AA26" s="462">
        <v>56.55376344086021505376344086</v>
      </c>
      <c r="AB26" s="462">
        <v>39.139784946236559139784946237</v>
      </c>
      <c r="AC26" s="462">
        <v>73.263440860215053763440860215</v>
      </c>
      <c r="AD26" s="464">
        <v>57.435483870967741935483870968</v>
      </c>
      <c r="AE26" s="465"/>
      <c r="AF26" s="461">
        <v>51.166666666666666666666666667</v>
      </c>
      <c r="AG26" s="462">
        <v>44.66626841895659099960175229</v>
      </c>
      <c r="AH26" s="466">
        <v>44.66626841895659099960175229</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673">
        <v>39.88523941068139963167587477</v>
      </c>
      <c r="D27" s="85">
        <v>68.262918968692449355432780847</v>
      </c>
      <c r="E27" s="85">
        <v>89.2192449355432780847145488</v>
      </c>
      <c r="F27" s="85">
        <v>107.21959484346224677716390424</v>
      </c>
      <c r="G27" s="85">
        <v>94.30395948434622467771639042</v>
      </c>
      <c r="H27" s="85">
        <v>102.94312154696132596685082873</v>
      </c>
      <c r="I27" s="85">
        <v>88.35849907918968692449355433</v>
      </c>
      <c r="J27" s="85">
        <v>46.588996316758747697974217311</v>
      </c>
      <c r="K27" s="85">
        <v>69.128554327808471454880294659</v>
      </c>
      <c r="L27" s="85">
        <v>89.31289134438305709023941068</v>
      </c>
      <c r="M27" s="85">
        <v>90.54559852670349907918968692</v>
      </c>
      <c r="N27" s="85">
        <v>86.33090239410681399631675875</v>
      </c>
      <c r="O27" s="85">
        <v>92.64310313075506445672191529</v>
      </c>
      <c r="P27" s="85">
        <v>84.32099447513812154696132597</v>
      </c>
      <c r="Q27" s="85">
        <v>54.644475138121546961325966851</v>
      </c>
      <c r="R27" s="85">
        <v>83.41256906077348066298342541</v>
      </c>
      <c r="S27" s="85">
        <v>94.57246777163904235727440147</v>
      </c>
      <c r="T27" s="85">
        <v>80.06139042357274401473296501</v>
      </c>
      <c r="U27" s="85">
        <v>79.37580110497237569060773481</v>
      </c>
      <c r="V27" s="85">
        <v>108.97700736648250460405156538</v>
      </c>
      <c r="W27" s="85">
        <v>110.33453038674033149171270718</v>
      </c>
      <c r="X27" s="86">
        <v>56.432320441988950276243093923</v>
      </c>
      <c r="Y27" s="85">
        <v>72.747670349907918968692449355</v>
      </c>
      <c r="Z27" s="85">
        <v>88.60066298342541436464088398</v>
      </c>
      <c r="AA27" s="85">
        <v>104.47464088397790055248618785</v>
      </c>
      <c r="AB27" s="85">
        <v>97.37795665634674922600619195</v>
      </c>
      <c r="AC27" s="85">
        <v>98.51188766114180478821362799</v>
      </c>
      <c r="AD27" s="87">
        <v>96.77558011049723756906077348</v>
      </c>
      <c r="AE27" s="169"/>
      <c r="AF27" s="370">
        <v>87.84581701246942510647760122</v>
      </c>
      <c r="AG27" s="85">
        <v>84.83437782586137100958440951</v>
      </c>
      <c r="AH27" s="371">
        <v>84.83437782586137100958440951</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147</v>
      </c>
      <c r="C28" s="674">
        <v>64.133786848072562358276643991</v>
      </c>
      <c r="D28" s="468">
        <v>99.92290249433106575963718821</v>
      </c>
      <c r="E28" s="468">
        <v>114.28616780045351473922902494</v>
      </c>
      <c r="F28" s="468">
        <v>117.89342403628117913832199546</v>
      </c>
      <c r="G28" s="468">
        <v>110.91201814058956916099773243</v>
      </c>
      <c r="H28" s="468">
        <v>114.35464852607709750566893424</v>
      </c>
      <c r="I28" s="468">
        <v>106.10929705215419501133786848</v>
      </c>
      <c r="J28" s="468">
        <v>62.927437641723356009070294785</v>
      </c>
      <c r="K28" s="468">
        <v>99.10249433106575963718820862</v>
      </c>
      <c r="L28" s="468">
        <v>126.14920634920634920634920635</v>
      </c>
      <c r="M28" s="468">
        <v>112.11292517006802721088435374</v>
      </c>
      <c r="N28" s="468">
        <v>91.41904761904761904761904762</v>
      </c>
      <c r="O28" s="468">
        <v>86.69478458049886621315192744</v>
      </c>
      <c r="P28" s="468">
        <v>87.63356009070294784580498866</v>
      </c>
      <c r="Q28" s="468">
        <v>59.507936507936507936507936508</v>
      </c>
      <c r="R28" s="468">
        <v>103.1047619047619047619047619</v>
      </c>
      <c r="S28" s="468">
        <v>121.50113378684807256235827664</v>
      </c>
      <c r="T28" s="468">
        <v>108.04535147392290249433106576</v>
      </c>
      <c r="U28" s="468">
        <v>97.26031746031746031746031746</v>
      </c>
      <c r="V28" s="468">
        <v>117.5283446712018140589569161</v>
      </c>
      <c r="W28" s="468">
        <v>114.11564625850340136054421769</v>
      </c>
      <c r="X28" s="469">
        <v>69.106575963718820861678004535</v>
      </c>
      <c r="Y28" s="468">
        <v>102.93015873015873015873015873</v>
      </c>
      <c r="Z28" s="468">
        <v>120.35782312925170068027210884</v>
      </c>
      <c r="AA28" s="468">
        <v>117.22222222222222222222222222</v>
      </c>
      <c r="AB28" s="468">
        <v>96.79591836734693877551020408</v>
      </c>
      <c r="AC28" s="468">
        <v>93.26031746031746031746031746</v>
      </c>
      <c r="AD28" s="470">
        <v>88.13922902494331065759637188</v>
      </c>
      <c r="AE28" s="465"/>
      <c r="AF28" s="467">
        <v>98.25889212827988338192419825</v>
      </c>
      <c r="AG28" s="468">
        <v>100.09026563006154842889536767</v>
      </c>
      <c r="AH28" s="471">
        <v>100.09026563006154842889536767</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656" t="s">
        <v>145</v>
      </c>
      <c r="D33" s="310"/>
      <c r="E33" s="310"/>
      <c r="F33" s="310"/>
      <c r="G33" s="310"/>
      <c r="H33" s="310"/>
      <c r="I33" s="310"/>
      <c r="J33" s="310"/>
      <c r="K33" s="310"/>
      <c r="L33" s="310"/>
      <c r="M33" s="310"/>
      <c r="N33" s="310"/>
      <c r="O33" s="310"/>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661">
        <v>1</v>
      </c>
      <c r="D34" s="314">
        <v>2</v>
      </c>
      <c r="E34" s="314">
        <v>3</v>
      </c>
      <c r="F34" s="314">
        <v>4</v>
      </c>
      <c r="G34" s="314">
        <v>5</v>
      </c>
      <c r="H34" s="314">
        <v>6</v>
      </c>
      <c r="I34" s="314">
        <v>7</v>
      </c>
      <c r="J34" s="314">
        <v>8</v>
      </c>
      <c r="K34" s="314">
        <v>9</v>
      </c>
      <c r="L34" s="314">
        <v>10</v>
      </c>
      <c r="M34" s="314">
        <v>11</v>
      </c>
      <c r="N34" s="314">
        <v>12</v>
      </c>
      <c r="O34" s="314">
        <v>13</v>
      </c>
      <c r="P34" s="314">
        <v>14</v>
      </c>
      <c r="Q34" s="314">
        <v>15</v>
      </c>
      <c r="R34" s="314">
        <v>16</v>
      </c>
      <c r="S34" s="314">
        <v>17</v>
      </c>
      <c r="T34" s="314">
        <v>18</v>
      </c>
      <c r="U34" s="314">
        <v>19</v>
      </c>
      <c r="V34" s="314">
        <v>20</v>
      </c>
      <c r="W34" s="314">
        <v>21</v>
      </c>
      <c r="X34" s="315">
        <v>22</v>
      </c>
      <c r="Y34" s="314">
        <v>23</v>
      </c>
      <c r="Z34" s="314">
        <v>24</v>
      </c>
      <c r="AA34" s="314">
        <v>25</v>
      </c>
      <c r="AB34" s="314">
        <v>26</v>
      </c>
      <c r="AC34" s="314">
        <v>27</v>
      </c>
      <c r="AD34" s="373">
        <v>28</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658">
        <v>-8.978145304182986195546861550</v>
      </c>
      <c r="D35" s="445">
        <v>-16.393442622965247033197072430</v>
      </c>
      <c r="E35" s="445">
        <v>-29.793411501921287808856289160</v>
      </c>
      <c r="F35" s="445">
        <v>-15.747028862478777589134125640</v>
      </c>
      <c r="G35" s="445">
        <v>0.3066835871786277560188074300</v>
      </c>
      <c r="H35" s="445">
        <v>41.949765857862595914568158610</v>
      </c>
      <c r="I35" s="445">
        <v>30.558838426495113766406634330</v>
      </c>
      <c r="J35" s="445">
        <v>56.690647482431478701931652140</v>
      </c>
      <c r="K35" s="445">
        <v>24.684640118637369034792929840</v>
      </c>
      <c r="L35" s="445"/>
      <c r="M35" s="445">
        <v>50.472498182772218317510429960</v>
      </c>
      <c r="N35" s="445">
        <v>36.071309563483374585456963790</v>
      </c>
      <c r="O35" s="445">
        <v>-27.241781754557847801130831620</v>
      </c>
      <c r="P35" s="445">
        <v>-67.899829254411658512709062910</v>
      </c>
      <c r="Q35" s="445">
        <v>-6.8747606280975679449449402600</v>
      </c>
      <c r="R35" s="445">
        <v>29.219769971883037241249116990</v>
      </c>
      <c r="S35" s="445">
        <v>-22.832450515714751928039229180</v>
      </c>
      <c r="T35" s="445">
        <v>-8.785164230829200789008492020</v>
      </c>
      <c r="U35" s="445">
        <v>-22.372690083214395151375350160</v>
      </c>
      <c r="V35" s="445">
        <v>43.515421776379338701572287590</v>
      </c>
      <c r="W35" s="445">
        <v>11.816192560242551085828260800</v>
      </c>
      <c r="X35" s="446">
        <v>-33.782630950408519078494774900</v>
      </c>
      <c r="Y35" s="445">
        <v>110.07089241000906197199414744</v>
      </c>
      <c r="Z35" s="445">
        <v>120.56426332299464038285792835</v>
      </c>
      <c r="AA35" s="445">
        <v>107.02617594942878952777654548</v>
      </c>
      <c r="AB35" s="445">
        <v>124.69135802481618655692736702</v>
      </c>
      <c r="AC35" s="445">
        <v>28.860520094511469107858444620</v>
      </c>
      <c r="AD35" s="447">
        <v>46.042378674133311405650358600</v>
      </c>
      <c r="AE35" s="448"/>
      <c r="AF35" s="444">
        <v>59.938059683543190951113281840</v>
      </c>
      <c r="AG35" s="445">
        <v>15.715030555741142695116670380</v>
      </c>
      <c r="AH35" s="449">
        <v>13.920902430111374571276510960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659">
        <v>-1.0738245837222658249713947800</v>
      </c>
      <c r="D36" s="81">
        <v>-4.5129367667940930433907643900</v>
      </c>
      <c r="E36" s="81">
        <v>7.3119390445473736769874829100</v>
      </c>
      <c r="F36" s="81">
        <v>16.554190268034352432693706600</v>
      </c>
      <c r="G36" s="81">
        <v>10.257083257654867213204340880</v>
      </c>
      <c r="H36" s="81">
        <v>-6.8340061011910288503426589100</v>
      </c>
      <c r="I36" s="81">
        <v>-10.657125073738492653393902900</v>
      </c>
      <c r="J36" s="81">
        <v>10.844892535765879254644811770</v>
      </c>
      <c r="K36" s="81">
        <v>15.718028439628553305761347570</v>
      </c>
      <c r="L36" s="81">
        <v>9.595322217898466604225302830</v>
      </c>
      <c r="M36" s="81">
        <v>-7.0208037156699334157613799500</v>
      </c>
      <c r="N36" s="81">
        <v>1.5111685677119016376875634700</v>
      </c>
      <c r="O36" s="81">
        <v>4.6832696298343054150991863200</v>
      </c>
      <c r="P36" s="81">
        <v>7.6828351355007114579738008800</v>
      </c>
      <c r="Q36" s="81">
        <v>20.789415032185090474964594430</v>
      </c>
      <c r="R36" s="81">
        <v>20.098694965249066093933574260</v>
      </c>
      <c r="S36" s="81">
        <v>3.5191535083086619353562699400</v>
      </c>
      <c r="T36" s="81">
        <v>-22.363880454529791548134224880</v>
      </c>
      <c r="U36" s="81">
        <v>-22.773775909355754475683848240</v>
      </c>
      <c r="V36" s="81">
        <v>-2.0834107254797772637545594500</v>
      </c>
      <c r="W36" s="81">
        <v>7.6566553466717874110572744500</v>
      </c>
      <c r="X36" s="82">
        <v>10.963808367810927824451201940</v>
      </c>
      <c r="Y36" s="81">
        <v>-3.1365268637034090146237648700</v>
      </c>
      <c r="Z36" s="81">
        <v>-3.0910742462838357585429393700</v>
      </c>
      <c r="AA36" s="81">
        <v>36.178925508913195999070476060</v>
      </c>
      <c r="AB36" s="81">
        <v>54.593243473268367194861744290</v>
      </c>
      <c r="AC36" s="81">
        <v>18.315938458918018369734401540</v>
      </c>
      <c r="AD36" s="83">
        <v>39.319623934292119097490357160</v>
      </c>
      <c r="AE36" s="88"/>
      <c r="AF36" s="327">
        <v>20.615329820708164474665140040</v>
      </c>
      <c r="AG36" s="81">
        <v>5.5755458233864407502842913200</v>
      </c>
      <c r="AH36" s="328">
        <v>5.9188834234312814629066791200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147</v>
      </c>
      <c r="C37" s="660">
        <v>27.884789292935905419822210690</v>
      </c>
      <c r="D37" s="451">
        <v>16.372298396480795662727506910</v>
      </c>
      <c r="E37" s="451">
        <v>9.332725931708568713320783160</v>
      </c>
      <c r="F37" s="451">
        <v>20.614777868040683262093219780</v>
      </c>
      <c r="G37" s="451">
        <v>24.153983612732269971743261010</v>
      </c>
      <c r="H37" s="451">
        <v>9.592708654729038690759180070</v>
      </c>
      <c r="I37" s="451">
        <v>0.6305240747934960166849304900</v>
      </c>
      <c r="J37" s="451">
        <v>13.848388129048013108170669450</v>
      </c>
      <c r="K37" s="451">
        <v>10.999867930422264440238278310</v>
      </c>
      <c r="L37" s="451">
        <v>17.846006541333355329076067490</v>
      </c>
      <c r="M37" s="451">
        <v>11.588132005015874144381228950</v>
      </c>
      <c r="N37" s="451">
        <v>6.3713358486538562534667199800</v>
      </c>
      <c r="O37" s="451">
        <v>-3.1875455797678704401897979800</v>
      </c>
      <c r="P37" s="451">
        <v>9.372682866098933206206879810</v>
      </c>
      <c r="Q37" s="451">
        <v>1.4433930172796410417079853100</v>
      </c>
      <c r="R37" s="451">
        <v>9.704971191971577857773419260</v>
      </c>
      <c r="S37" s="451">
        <v>10.852735630862329931537352830</v>
      </c>
      <c r="T37" s="451">
        <v>3.0449826989133568204403911900</v>
      </c>
      <c r="U37" s="451">
        <v>7.8480083277708200739778595300</v>
      </c>
      <c r="V37" s="451">
        <v>19.290379897203460599526605860</v>
      </c>
      <c r="W37" s="451">
        <v>20.741362763952337219460225400</v>
      </c>
      <c r="X37" s="452">
        <v>12.410277595345868498009832090</v>
      </c>
      <c r="Y37" s="451">
        <v>4.5074871530885899480709389200</v>
      </c>
      <c r="Z37" s="451">
        <v>8.359634975376842899776526920</v>
      </c>
      <c r="AA37" s="451">
        <v>11.906050438384807969144861540</v>
      </c>
      <c r="AB37" s="451">
        <v>24.421424490835874594976663490</v>
      </c>
      <c r="AC37" s="451">
        <v>5.2319422767405798476081834600</v>
      </c>
      <c r="AD37" s="453">
        <v>2.9691167354597269169836836700</v>
      </c>
      <c r="AE37" s="448"/>
      <c r="AF37" s="450">
        <v>9.557551402545535012765536510</v>
      </c>
      <c r="AG37" s="451">
        <v>11.069026980636261965260171490</v>
      </c>
      <c r="AH37" s="454">
        <v>11.339825962723197677178793420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656" t="s">
        <v>145</v>
      </c>
      <c r="D40" s="310"/>
      <c r="E40" s="310"/>
      <c r="F40" s="310"/>
      <c r="G40" s="310"/>
      <c r="H40" s="310"/>
      <c r="I40" s="310"/>
      <c r="J40" s="310"/>
      <c r="K40" s="310"/>
      <c r="L40" s="310"/>
      <c r="M40" s="310"/>
      <c r="N40" s="310"/>
      <c r="O40" s="310"/>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661">
        <v>1</v>
      </c>
      <c r="D41" s="314">
        <v>2</v>
      </c>
      <c r="E41" s="314">
        <v>3</v>
      </c>
      <c r="F41" s="314">
        <v>4</v>
      </c>
      <c r="G41" s="314">
        <v>5</v>
      </c>
      <c r="H41" s="314">
        <v>6</v>
      </c>
      <c r="I41" s="314">
        <v>7</v>
      </c>
      <c r="J41" s="314">
        <v>8</v>
      </c>
      <c r="K41" s="314">
        <v>9</v>
      </c>
      <c r="L41" s="314">
        <v>10</v>
      </c>
      <c r="M41" s="314">
        <v>11</v>
      </c>
      <c r="N41" s="314">
        <v>12</v>
      </c>
      <c r="O41" s="314">
        <v>13</v>
      </c>
      <c r="P41" s="314">
        <v>14</v>
      </c>
      <c r="Q41" s="314">
        <v>15</v>
      </c>
      <c r="R41" s="314">
        <v>16</v>
      </c>
      <c r="S41" s="314">
        <v>17</v>
      </c>
      <c r="T41" s="314">
        <v>18</v>
      </c>
      <c r="U41" s="314">
        <v>19</v>
      </c>
      <c r="V41" s="314">
        <v>20</v>
      </c>
      <c r="W41" s="314">
        <v>21</v>
      </c>
      <c r="X41" s="315">
        <v>22</v>
      </c>
      <c r="Y41" s="314">
        <v>23</v>
      </c>
      <c r="Z41" s="314">
        <v>24</v>
      </c>
      <c r="AA41" s="314">
        <v>25</v>
      </c>
      <c r="AB41" s="314">
        <v>26</v>
      </c>
      <c r="AC41" s="314">
        <v>27</v>
      </c>
      <c r="AD41" s="373">
        <v>28</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658">
        <v>62.315881957598629796304184370</v>
      </c>
      <c r="D42" s="445">
        <v>38.158911881160448130251091430</v>
      </c>
      <c r="E42" s="445">
        <v>37.885408348000807096648026320</v>
      </c>
      <c r="F42" s="445">
        <v>29.860333905373814439458619350</v>
      </c>
      <c r="G42" s="445">
        <v>54.074742921482223801320203370</v>
      </c>
      <c r="H42" s="445">
        <v>87.07178027550563531816057623</v>
      </c>
      <c r="I42" s="445">
        <v>94.10587379927849396978672893</v>
      </c>
      <c r="J42" s="445">
        <v>50.267996072421620465749347920</v>
      </c>
      <c r="K42" s="445">
        <v>39.205435150746813217013745010</v>
      </c>
      <c r="L42" s="445"/>
      <c r="M42" s="445">
        <v>36.873241016070364851369320600</v>
      </c>
      <c r="N42" s="445">
        <v>50.860816848751511026344246450</v>
      </c>
      <c r="O42" s="445">
        <v>43.414381371423699923574351810</v>
      </c>
      <c r="P42" s="445">
        <v>17.980445340997224660578014790</v>
      </c>
      <c r="Q42" s="445">
        <v>47.845937259434446556366987930</v>
      </c>
      <c r="R42" s="445">
        <v>53.587756898605340286992820340</v>
      </c>
      <c r="S42" s="445">
        <v>31.471570491420527130417432040</v>
      </c>
      <c r="T42" s="445">
        <v>38.975467338462069617546920390</v>
      </c>
      <c r="U42" s="445">
        <v>37.27335169347056391642260500</v>
      </c>
      <c r="V42" s="445">
        <v>76.212189569073538864128394460</v>
      </c>
      <c r="W42" s="445">
        <v>72.209527453933456287603106010</v>
      </c>
      <c r="X42" s="446">
        <v>36.974540891499749833362341980</v>
      </c>
      <c r="Y42" s="445">
        <v>74.458283552087829779168666530</v>
      </c>
      <c r="Z42" s="445">
        <v>64.042337351924777066685152080</v>
      </c>
      <c r="AA42" s="445">
        <v>54.131570075127452546988207230</v>
      </c>
      <c r="AB42" s="445">
        <v>40.193680674962445165727671070</v>
      </c>
      <c r="AC42" s="445">
        <v>74.370152272642972607963715390</v>
      </c>
      <c r="AD42" s="447">
        <v>59.349149656749080258445505860</v>
      </c>
      <c r="AE42" s="448"/>
      <c r="AF42" s="444">
        <v>58.245990995093047848004004200</v>
      </c>
      <c r="AG42" s="445">
        <v>52.651141628718287502738914210</v>
      </c>
      <c r="AH42" s="449">
        <v>52.651141628718287502738914210</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147</v>
      </c>
      <c r="C43" s="662">
        <v>38.754671961825310681952021020</v>
      </c>
      <c r="D43" s="330">
        <v>26.068485248674694179906908070</v>
      </c>
      <c r="E43" s="330">
        <v>29.575823495824072231771996170</v>
      </c>
      <c r="F43" s="330">
        <v>27.156840420887369802192628670</v>
      </c>
      <c r="G43" s="330">
        <v>45.977545545397568600541263670</v>
      </c>
      <c r="H43" s="330">
        <v>78.382828995091195848229816420</v>
      </c>
      <c r="I43" s="330">
        <v>78.363102898988259659533662600</v>
      </c>
      <c r="J43" s="330">
        <v>37.216444394345432725696736880</v>
      </c>
      <c r="K43" s="330">
        <v>27.347596768943590562088487180</v>
      </c>
      <c r="L43" s="330"/>
      <c r="M43" s="330">
        <v>29.779881956998240103219827490</v>
      </c>
      <c r="N43" s="330">
        <v>48.030036731001699288881924070</v>
      </c>
      <c r="O43" s="330">
        <v>46.393136913767178814369771670</v>
      </c>
      <c r="P43" s="330">
        <v>17.300781010024968499736489250</v>
      </c>
      <c r="Q43" s="330">
        <v>43.935587124335372076527634140</v>
      </c>
      <c r="R43" s="330">
        <v>43.352919792836314720075589520</v>
      </c>
      <c r="S43" s="330">
        <v>24.496430553842768005962513570</v>
      </c>
      <c r="T43" s="330">
        <v>28.880743733622534717540862300</v>
      </c>
      <c r="U43" s="330">
        <v>30.419416960522314374872222870</v>
      </c>
      <c r="V43" s="330">
        <v>70.667006902218638191713091200</v>
      </c>
      <c r="W43" s="330">
        <v>69.816931878277163910281454340</v>
      </c>
      <c r="X43" s="331">
        <v>30.193351510874520775040061150</v>
      </c>
      <c r="Y43" s="330">
        <v>52.624680011082129326708075510</v>
      </c>
      <c r="Z43" s="330">
        <v>47.144368358102737912523263030</v>
      </c>
      <c r="AA43" s="330">
        <v>48.244916679415964485045478640</v>
      </c>
      <c r="AB43" s="330">
        <v>40.435367117152043248854245470</v>
      </c>
      <c r="AC43" s="330">
        <v>78.558000718153870802067499850</v>
      </c>
      <c r="AD43" s="338">
        <v>65.164495431134055612321604400</v>
      </c>
      <c r="AE43" s="88"/>
      <c r="AF43" s="329">
        <v>52.073319328551555383033447100</v>
      </c>
      <c r="AG43" s="330">
        <v>44.625986491062092921244143770</v>
      </c>
      <c r="AH43" s="332">
        <v>44.625986491062092921244143770</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656" t="s">
        <v>145</v>
      </c>
      <c r="D46" s="310"/>
      <c r="E46" s="310"/>
      <c r="F46" s="310"/>
      <c r="G46" s="310"/>
      <c r="H46" s="310"/>
      <c r="I46" s="310"/>
      <c r="J46" s="310"/>
      <c r="K46" s="310"/>
      <c r="L46" s="310"/>
      <c r="M46" s="310"/>
      <c r="N46" s="310"/>
      <c r="O46" s="310"/>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661">
        <v>1</v>
      </c>
      <c r="D47" s="314">
        <v>2</v>
      </c>
      <c r="E47" s="314">
        <v>3</v>
      </c>
      <c r="F47" s="314">
        <v>4</v>
      </c>
      <c r="G47" s="314">
        <v>5</v>
      </c>
      <c r="H47" s="314">
        <v>6</v>
      </c>
      <c r="I47" s="314">
        <v>7</v>
      </c>
      <c r="J47" s="314">
        <v>8</v>
      </c>
      <c r="K47" s="314">
        <v>9</v>
      </c>
      <c r="L47" s="314">
        <v>10</v>
      </c>
      <c r="M47" s="314">
        <v>11</v>
      </c>
      <c r="N47" s="314">
        <v>12</v>
      </c>
      <c r="O47" s="314">
        <v>13</v>
      </c>
      <c r="P47" s="314">
        <v>14</v>
      </c>
      <c r="Q47" s="314">
        <v>15</v>
      </c>
      <c r="R47" s="314">
        <v>16</v>
      </c>
      <c r="S47" s="314">
        <v>17</v>
      </c>
      <c r="T47" s="314">
        <v>18</v>
      </c>
      <c r="U47" s="314">
        <v>19</v>
      </c>
      <c r="V47" s="314">
        <v>20</v>
      </c>
      <c r="W47" s="314">
        <v>21</v>
      </c>
      <c r="X47" s="315">
        <v>22</v>
      </c>
      <c r="Y47" s="314">
        <v>23</v>
      </c>
      <c r="Z47" s="314">
        <v>24</v>
      </c>
      <c r="AA47" s="314">
        <v>25</v>
      </c>
      <c r="AB47" s="314">
        <v>26</v>
      </c>
      <c r="AC47" s="314">
        <v>27</v>
      </c>
      <c r="AD47" s="373">
        <v>28</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658">
        <v>-7.990120599717290199747844600</v>
      </c>
      <c r="D48" s="445">
        <v>-12.442005706289492297132922640</v>
      </c>
      <c r="E48" s="445">
        <v>-34.577094475062236944661636910</v>
      </c>
      <c r="F48" s="445">
        <v>-27.713477358780086863200452190</v>
      </c>
      <c r="G48" s="445">
        <v>-9.024726009873328217488014930</v>
      </c>
      <c r="H48" s="445">
        <v>52.362208481242963096874080180</v>
      </c>
      <c r="I48" s="445">
        <v>46.132345230981778462688336510</v>
      </c>
      <c r="J48" s="445">
        <v>41.360277318607930989014087420</v>
      </c>
      <c r="K48" s="445">
        <v>7.7486730459873752013149760900</v>
      </c>
      <c r="L48" s="445"/>
      <c r="M48" s="445">
        <v>61.834586870775570691886938860</v>
      </c>
      <c r="N48" s="445">
        <v>34.045653777156644001269268480</v>
      </c>
      <c r="O48" s="445">
        <v>-30.496803832464039148473547310</v>
      </c>
      <c r="P48" s="445">
        <v>-70.190076528707528590370058650</v>
      </c>
      <c r="Q48" s="445">
        <v>-22.902814499786976337323211500</v>
      </c>
      <c r="R48" s="445">
        <v>7.5946495582970589676732422800</v>
      </c>
      <c r="S48" s="445">
        <v>-25.455776183482787502211674920</v>
      </c>
      <c r="T48" s="445">
        <v>17.490204692574211653696963810</v>
      </c>
      <c r="U48" s="445">
        <v>0.5193648023086695884197810400</v>
      </c>
      <c r="V48" s="445">
        <v>46.569057234934754051232376850</v>
      </c>
      <c r="W48" s="445">
        <v>3.8637065215988090827189137900</v>
      </c>
      <c r="X48" s="446">
        <v>-40.325255573311436118172758250</v>
      </c>
      <c r="Y48" s="445">
        <v>116.87317789507027483518037744</v>
      </c>
      <c r="Z48" s="445">
        <v>127.59953389987919507302593306</v>
      </c>
      <c r="AA48" s="445">
        <v>52.025120756255672244918578580</v>
      </c>
      <c r="AB48" s="445">
        <v>45.343582278506096588518159390</v>
      </c>
      <c r="AC48" s="445">
        <v>8.912224145891188151366228900</v>
      </c>
      <c r="AD48" s="447">
        <v>4.8254183795511999728104343700</v>
      </c>
      <c r="AE48" s="448"/>
      <c r="AF48" s="444">
        <v>32.601767885740667236382115180</v>
      </c>
      <c r="AG48" s="445">
        <v>9.604008819625255051955201510</v>
      </c>
      <c r="AH48" s="449">
        <v>7.5548558934519397548290116600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147</v>
      </c>
      <c r="C49" s="662">
        <v>-28.825112666607523475391754260</v>
      </c>
      <c r="D49" s="330">
        <v>-28.155962777058877890934221560</v>
      </c>
      <c r="E49" s="330">
        <v>-35.786300122182230133522905440</v>
      </c>
      <c r="F49" s="330">
        <v>-30.147057742982646898422199890</v>
      </c>
      <c r="G49" s="330">
        <v>-19.207841207918220161302308060</v>
      </c>
      <c r="H49" s="330">
        <v>29.524826605850087639881132480</v>
      </c>
      <c r="I49" s="330">
        <v>29.740791501123104580996035400</v>
      </c>
      <c r="J49" s="330">
        <v>37.630975771488400805395711480</v>
      </c>
      <c r="K49" s="330">
        <v>12.328638261628358440531047790</v>
      </c>
      <c r="L49" s="330"/>
      <c r="M49" s="330">
        <v>34.846327722038062416649449300</v>
      </c>
      <c r="N49" s="330">
        <v>27.921031053929252040189572810</v>
      </c>
      <c r="O49" s="330">
        <v>-24.846220787212156251728733530</v>
      </c>
      <c r="P49" s="330">
        <v>-70.650650688641738390407628790</v>
      </c>
      <c r="Q49" s="330">
        <v>-8.199798328768333429044699410</v>
      </c>
      <c r="R49" s="330">
        <v>17.788436173905506626278910040</v>
      </c>
      <c r="S49" s="330">
        <v>-30.387329599822310885900700180</v>
      </c>
      <c r="T49" s="330">
        <v>-11.480565690682504809848995250</v>
      </c>
      <c r="U49" s="330">
        <v>-28.021563754034359036956735760</v>
      </c>
      <c r="V49" s="330">
        <v>20.307624051516051416233500160</v>
      </c>
      <c r="W49" s="330">
        <v>-7.3919740505732307663888675600</v>
      </c>
      <c r="X49" s="331">
        <v>-41.093136262841276128655437070</v>
      </c>
      <c r="Y49" s="330">
        <v>101.01037555574449823257879790</v>
      </c>
      <c r="Z49" s="330">
        <v>103.54836316391345446268576281</v>
      </c>
      <c r="AA49" s="330">
        <v>84.99998448557412226316866498</v>
      </c>
      <c r="AB49" s="330">
        <v>80.58896122147998857255775480</v>
      </c>
      <c r="AC49" s="330">
        <v>22.453807567009185415746592090</v>
      </c>
      <c r="AD49" s="338">
        <v>41.831243487435132684012846120</v>
      </c>
      <c r="AE49" s="88"/>
      <c r="AF49" s="329">
        <v>45.985427417667465823954114020</v>
      </c>
      <c r="AG49" s="330">
        <v>4.1829875538988595728295290300</v>
      </c>
      <c r="AH49" s="332">
        <v>2.3181969658876569808675894200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656" t="s">
        <v>145</v>
      </c>
      <c r="D52" s="310"/>
      <c r="E52" s="310"/>
      <c r="F52" s="310"/>
      <c r="G52" s="310"/>
      <c r="H52" s="310"/>
      <c r="I52" s="310"/>
      <c r="J52" s="310"/>
      <c r="K52" s="310"/>
      <c r="L52" s="310"/>
      <c r="M52" s="310"/>
      <c r="N52" s="310"/>
      <c r="O52" s="310"/>
      <c r="P52" s="310"/>
      <c r="Q52" s="310"/>
      <c r="R52" s="310"/>
      <c r="S52" s="311"/>
      <c r="T52" s="311"/>
      <c r="U52" s="311"/>
      <c r="V52" s="311"/>
      <c r="W52" s="311"/>
      <c r="X52" s="312"/>
      <c r="Y52" s="311"/>
      <c r="Z52" s="311"/>
      <c r="AA52" s="311"/>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661">
        <v>1</v>
      </c>
      <c r="D53" s="314">
        <v>2</v>
      </c>
      <c r="E53" s="314">
        <v>3</v>
      </c>
      <c r="F53" s="314">
        <v>4</v>
      </c>
      <c r="G53" s="314">
        <v>5</v>
      </c>
      <c r="H53" s="314">
        <v>6</v>
      </c>
      <c r="I53" s="314">
        <v>7</v>
      </c>
      <c r="J53" s="314">
        <v>8</v>
      </c>
      <c r="K53" s="314">
        <v>9</v>
      </c>
      <c r="L53" s="314">
        <v>10</v>
      </c>
      <c r="M53" s="314">
        <v>11</v>
      </c>
      <c r="N53" s="314">
        <v>12</v>
      </c>
      <c r="O53" s="314">
        <v>13</v>
      </c>
      <c r="P53" s="314">
        <v>14</v>
      </c>
      <c r="Q53" s="314">
        <v>15</v>
      </c>
      <c r="R53" s="314">
        <v>16</v>
      </c>
      <c r="S53" s="314">
        <v>17</v>
      </c>
      <c r="T53" s="314">
        <v>18</v>
      </c>
      <c r="U53" s="314">
        <v>19</v>
      </c>
      <c r="V53" s="314">
        <v>20</v>
      </c>
      <c r="W53" s="314">
        <v>21</v>
      </c>
      <c r="X53" s="315">
        <v>22</v>
      </c>
      <c r="Y53" s="314">
        <v>23</v>
      </c>
      <c r="Z53" s="314">
        <v>24</v>
      </c>
      <c r="AA53" s="314">
        <v>25</v>
      </c>
      <c r="AB53" s="314">
        <v>26</v>
      </c>
      <c r="AC53" s="314">
        <v>27</v>
      </c>
      <c r="AD53" s="373">
        <v>28</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658" t="s">
        <v>148</v>
      </c>
      <c r="D54" s="445" t="s">
        <v>148</v>
      </c>
      <c r="E54" s="445" t="s">
        <v>150</v>
      </c>
      <c r="F54" s="445" t="s">
        <v>148</v>
      </c>
      <c r="G54" s="445" t="s">
        <v>149</v>
      </c>
      <c r="H54" s="445" t="s">
        <v>153</v>
      </c>
      <c r="I54" s="445" t="s">
        <v>153</v>
      </c>
      <c r="J54" s="445" t="s">
        <v>150</v>
      </c>
      <c r="K54" s="445" t="s">
        <v>148</v>
      </c>
      <c r="L54" s="445"/>
      <c r="M54" s="445" t="s">
        <v>148</v>
      </c>
      <c r="N54" s="445" t="s">
        <v>149</v>
      </c>
      <c r="O54" s="445" t="s">
        <v>149</v>
      </c>
      <c r="P54" s="445" t="s">
        <v>150</v>
      </c>
      <c r="Q54" s="445" t="s">
        <v>149</v>
      </c>
      <c r="R54" s="445" t="s">
        <v>149</v>
      </c>
      <c r="S54" s="445" t="s">
        <v>150</v>
      </c>
      <c r="T54" s="445" t="s">
        <v>150</v>
      </c>
      <c r="U54" s="445" t="s">
        <v>150</v>
      </c>
      <c r="V54" s="445" t="s">
        <v>149</v>
      </c>
      <c r="W54" s="445" t="s">
        <v>149</v>
      </c>
      <c r="X54" s="446" t="s">
        <v>150</v>
      </c>
      <c r="Y54" s="445" t="s">
        <v>153</v>
      </c>
      <c r="Z54" s="445" t="s">
        <v>155</v>
      </c>
      <c r="AA54" s="445" t="s">
        <v>148</v>
      </c>
      <c r="AB54" s="445" t="s">
        <v>158</v>
      </c>
      <c r="AC54" s="445" t="s">
        <v>149</v>
      </c>
      <c r="AD54" s="447" t="s">
        <v>148</v>
      </c>
      <c r="AE54" s="448"/>
      <c r="AF54" s="444" t="s">
        <v>148</v>
      </c>
      <c r="AG54" s="445" t="s">
        <v>149</v>
      </c>
      <c r="AH54" s="449" t="s">
        <v>149</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662" t="s">
        <v>148</v>
      </c>
      <c r="D55" s="330" t="s">
        <v>155</v>
      </c>
      <c r="E55" s="330" t="s">
        <v>148</v>
      </c>
      <c r="F55" s="330" t="s">
        <v>149</v>
      </c>
      <c r="G55" s="330" t="s">
        <v>149</v>
      </c>
      <c r="H55" s="330" t="s">
        <v>152</v>
      </c>
      <c r="I55" s="330" t="s">
        <v>152</v>
      </c>
      <c r="J55" s="330" t="s">
        <v>154</v>
      </c>
      <c r="K55" s="330" t="s">
        <v>153</v>
      </c>
      <c r="L55" s="330"/>
      <c r="M55" s="330" t="s">
        <v>154</v>
      </c>
      <c r="N55" s="330" t="s">
        <v>151</v>
      </c>
      <c r="O55" s="330" t="s">
        <v>148</v>
      </c>
      <c r="P55" s="330" t="s">
        <v>150</v>
      </c>
      <c r="Q55" s="330" t="s">
        <v>155</v>
      </c>
      <c r="R55" s="330" t="s">
        <v>153</v>
      </c>
      <c r="S55" s="330" t="s">
        <v>150</v>
      </c>
      <c r="T55" s="330" t="s">
        <v>155</v>
      </c>
      <c r="U55" s="330" t="s">
        <v>155</v>
      </c>
      <c r="V55" s="330" t="s">
        <v>154</v>
      </c>
      <c r="W55" s="330" t="s">
        <v>151</v>
      </c>
      <c r="X55" s="89" t="s">
        <v>148</v>
      </c>
      <c r="Y55" s="90" t="s">
        <v>152</v>
      </c>
      <c r="Z55" s="90" t="s">
        <v>152</v>
      </c>
      <c r="AA55" s="90" t="s">
        <v>154</v>
      </c>
      <c r="AB55" s="90" t="s">
        <v>157</v>
      </c>
      <c r="AC55" s="90" t="s">
        <v>155</v>
      </c>
      <c r="AD55" s="91" t="s">
        <v>151</v>
      </c>
      <c r="AE55" s="88"/>
      <c r="AF55" s="329" t="s">
        <v>151</v>
      </c>
      <c r="AG55" s="330" t="s">
        <v>151</v>
      </c>
      <c r="AH55" s="332" t="s">
        <v>153</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5"/>
      <c r="B65" s="665"/>
      <c r="C65" s="665"/>
      <c r="D65" s="665"/>
      <c r="E65" s="665"/>
      <c r="F65" s="665"/>
      <c r="G65" s="665"/>
      <c r="H65" s="665"/>
      <c r="I65" s="665"/>
      <c r="J65" s="665"/>
      <c r="K65" s="665"/>
      <c r="L65" s="665"/>
      <c r="M65" s="665"/>
      <c r="N65" s="665"/>
      <c r="O65" s="665"/>
      <c r="P65" s="665"/>
      <c r="Q65" s="665"/>
      <c r="R65" s="665"/>
      <c r="S65" s="665"/>
      <c r="T65" s="665"/>
      <c r="U65" s="665"/>
      <c r="V65" s="665"/>
      <c r="W65" s="665"/>
      <c r="X65" s="665"/>
      <c r="Y65" s="665"/>
      <c r="Z65" s="665"/>
      <c r="AA65" s="665"/>
      <c r="AB65" s="665"/>
      <c r="AC65" s="665"/>
      <c r="AD65" s="665"/>
      <c r="AE65" s="665"/>
      <c r="AF65" s="665"/>
      <c r="AG65" s="665"/>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5"/>
      <c r="B66" s="665"/>
      <c r="C66" s="665"/>
      <c r="D66" s="665"/>
      <c r="E66" s="665"/>
      <c r="F66" s="665"/>
      <c r="G66" s="665"/>
      <c r="H66" s="665"/>
      <c r="I66" s="665"/>
      <c r="J66" s="665"/>
      <c r="K66" s="665"/>
      <c r="L66" s="665"/>
      <c r="M66" s="665"/>
      <c r="N66" s="665"/>
      <c r="O66" s="665"/>
      <c r="P66" s="665"/>
      <c r="Q66" s="665"/>
      <c r="R66" s="665"/>
      <c r="S66" s="665"/>
      <c r="T66" s="665"/>
      <c r="U66" s="665"/>
      <c r="V66" s="665"/>
      <c r="W66" s="665"/>
      <c r="X66" s="665"/>
      <c r="Y66" s="665"/>
      <c r="Z66" s="665"/>
      <c r="AA66" s="665"/>
      <c r="AB66" s="665"/>
      <c r="AC66" s="665"/>
      <c r="AD66" s="665"/>
      <c r="AE66" s="665"/>
      <c r="AF66" s="665"/>
      <c r="AG66" s="665"/>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5"/>
      <c r="B67" s="665"/>
      <c r="C67" s="665"/>
      <c r="D67" s="665"/>
      <c r="E67" s="665"/>
      <c r="F67" s="665"/>
      <c r="G67" s="665"/>
      <c r="H67" s="665"/>
      <c r="I67" s="665"/>
      <c r="J67" s="665"/>
      <c r="K67" s="665"/>
      <c r="L67" s="665"/>
      <c r="M67" s="665"/>
      <c r="N67" s="665"/>
      <c r="O67" s="665"/>
      <c r="P67" s="665"/>
      <c r="Q67" s="665"/>
      <c r="R67" s="665"/>
      <c r="S67" s="665"/>
      <c r="T67" s="665"/>
      <c r="U67" s="665"/>
      <c r="V67" s="665"/>
      <c r="W67" s="665"/>
      <c r="X67" s="665"/>
      <c r="Y67" s="665"/>
      <c r="Z67" s="665"/>
      <c r="AA67" s="665"/>
      <c r="AB67" s="665"/>
      <c r="AC67" s="665"/>
      <c r="AD67" s="665"/>
      <c r="AE67" s="665"/>
      <c r="AF67" s="665"/>
      <c r="AG67" s="665"/>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5"/>
      <c r="B68" s="665"/>
      <c r="C68" s="665"/>
      <c r="D68" s="665"/>
      <c r="E68" s="665"/>
      <c r="F68" s="665"/>
      <c r="G68" s="665"/>
      <c r="H68" s="665"/>
      <c r="I68" s="665"/>
      <c r="J68" s="665"/>
      <c r="K68" s="665"/>
      <c r="L68" s="665"/>
      <c r="M68" s="665"/>
      <c r="N68" s="665"/>
      <c r="O68" s="665"/>
      <c r="P68" s="665"/>
      <c r="Q68" s="665"/>
      <c r="R68" s="665"/>
      <c r="S68" s="665"/>
      <c r="T68" s="665"/>
      <c r="U68" s="665"/>
      <c r="V68" s="665"/>
      <c r="W68" s="665"/>
      <c r="X68" s="665"/>
      <c r="Y68" s="665"/>
      <c r="Z68" s="665"/>
      <c r="AA68" s="665"/>
      <c r="AB68" s="665"/>
      <c r="AC68" s="665"/>
      <c r="AD68" s="665"/>
      <c r="AE68" s="665"/>
      <c r="AF68" s="665"/>
      <c r="AG68" s="665"/>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65"/>
      <c r="B69" s="665"/>
      <c r="C69" s="665"/>
      <c r="D69" s="665"/>
      <c r="E69" s="665"/>
      <c r="F69" s="665"/>
      <c r="G69" s="665"/>
      <c r="H69" s="665"/>
      <c r="I69" s="665"/>
      <c r="J69" s="665"/>
      <c r="K69" s="665"/>
      <c r="L69" s="665"/>
      <c r="M69" s="665"/>
      <c r="N69" s="665"/>
      <c r="O69" s="665"/>
      <c r="P69" s="665"/>
      <c r="Q69" s="665"/>
      <c r="R69" s="665"/>
      <c r="S69" s="665"/>
      <c r="T69" s="665"/>
      <c r="U69" s="665"/>
      <c r="V69" s="665"/>
      <c r="W69" s="665"/>
      <c r="X69" s="665"/>
      <c r="Y69" s="665"/>
      <c r="Z69" s="665"/>
      <c r="AA69" s="665"/>
      <c r="AB69" s="665"/>
      <c r="AC69" s="665"/>
      <c r="AD69" s="665"/>
      <c r="AE69" s="665"/>
      <c r="AF69" s="665"/>
      <c r="AG69" s="665"/>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65"/>
      <c r="B70" s="665"/>
      <c r="C70" s="665"/>
      <c r="D70" s="665"/>
      <c r="E70" s="665"/>
      <c r="F70" s="665"/>
      <c r="G70" s="665"/>
      <c r="H70" s="665"/>
      <c r="I70" s="665"/>
      <c r="J70" s="665"/>
      <c r="K70" s="665"/>
      <c r="L70" s="665"/>
      <c r="M70" s="665"/>
      <c r="N70" s="665"/>
      <c r="O70" s="665"/>
      <c r="P70" s="665"/>
      <c r="Q70" s="665"/>
      <c r="R70" s="665"/>
      <c r="S70" s="665"/>
      <c r="T70" s="665"/>
      <c r="U70" s="665"/>
      <c r="V70" s="665"/>
      <c r="W70" s="665"/>
      <c r="X70" s="665"/>
      <c r="Y70" s="665"/>
      <c r="Z70" s="665"/>
      <c r="AA70" s="665"/>
      <c r="AB70" s="665"/>
      <c r="AC70" s="665"/>
      <c r="AD70" s="665"/>
      <c r="AE70" s="665"/>
      <c r="AF70" s="665"/>
      <c r="AG70" s="665"/>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65"/>
      <c r="B71" s="665">
        <v>1</v>
      </c>
      <c r="C71" s="665">
        <v>2</v>
      </c>
      <c r="D71" s="665">
        <v>3</v>
      </c>
      <c r="E71" s="665">
        <v>4</v>
      </c>
      <c r="F71" s="665">
        <v>5</v>
      </c>
      <c r="G71" s="665">
        <v>6</v>
      </c>
      <c r="H71" s="665">
        <v>7</v>
      </c>
      <c r="I71" s="665">
        <v>8</v>
      </c>
      <c r="J71" s="665">
        <v>9</v>
      </c>
      <c r="K71" s="665">
        <v>10</v>
      </c>
      <c r="L71" s="665">
        <v>11</v>
      </c>
      <c r="M71" s="665">
        <v>12</v>
      </c>
      <c r="N71" s="665"/>
      <c r="O71" s="665"/>
      <c r="P71" s="665"/>
      <c r="Q71" s="665"/>
      <c r="R71" s="665"/>
      <c r="S71" s="665"/>
      <c r="T71" s="665"/>
      <c r="U71" s="665"/>
      <c r="V71" s="665"/>
      <c r="W71" s="665"/>
      <c r="X71" s="665"/>
      <c r="Y71" s="665"/>
      <c r="Z71" s="665"/>
      <c r="AA71" s="665"/>
      <c r="AB71" s="665"/>
      <c r="AC71" s="665"/>
      <c r="AD71" s="665"/>
      <c r="AE71" s="665"/>
      <c r="AF71" s="665"/>
      <c r="AG71" s="665"/>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65"/>
      <c r="B72" s="665" t="n">
        <v>45759</v>
      </c>
      <c r="C72" s="665">
        <v>45766</v>
      </c>
      <c r="D72" s="665">
        <v>45773</v>
      </c>
      <c r="E72" s="665">
        <v>45780</v>
      </c>
      <c r="F72" s="665">
        <v>45787</v>
      </c>
      <c r="G72" s="665">
        <v>45794</v>
      </c>
      <c r="H72" s="665">
        <v>45801</v>
      </c>
      <c r="I72" s="665">
        <v>45808</v>
      </c>
      <c r="J72" s="665">
        <v>45815</v>
      </c>
      <c r="K72" s="665">
        <v>45822</v>
      </c>
      <c r="L72" s="665">
        <v>45829</v>
      </c>
      <c r="M72" s="665">
        <v>45836</v>
      </c>
      <c r="N72" s="665"/>
      <c r="O72" s="665"/>
      <c r="P72" s="665"/>
      <c r="Q72" s="665"/>
      <c r="R72" s="665"/>
      <c r="S72" s="665"/>
      <c r="T72" s="665"/>
      <c r="U72" s="665"/>
      <c r="V72" s="665"/>
      <c r="W72" s="665"/>
      <c r="X72" s="665"/>
      <c r="Y72" s="665"/>
      <c r="Z72" s="665"/>
      <c r="AA72" s="665"/>
      <c r="AB72" s="665"/>
      <c r="AC72" s="665"/>
      <c r="AD72" s="665"/>
      <c r="AE72" s="665"/>
      <c r="AF72" s="665"/>
      <c r="AG72" s="665"/>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65" t="s">
        <v>32</v>
      </c>
      <c r="B73" s="665">
        <v>49.644393241167434715821812596</v>
      </c>
      <c r="C73" s="665">
        <v>26.788786482334869431643625192</v>
      </c>
      <c r="D73" s="665">
        <v>31.696620583717357910906298003</v>
      </c>
      <c r="E73" s="665">
        <v>57.556835637480798771121351767</v>
      </c>
      <c r="F73" s="665">
        <v>32.398617511520737327188940092</v>
      </c>
      <c r="G73" s="665">
        <v>40.19738863287250384024577573</v>
      </c>
      <c r="H73" s="665">
        <v>38.678187403993855606758832565</v>
      </c>
      <c r="I73" s="665">
        <v>40.877880184331797235023041475</v>
      </c>
      <c r="J73" s="665">
        <v>48.642857142857142857142857143</v>
      </c>
      <c r="K73" s="665">
        <v>30.533154121863799283154121864</v>
      </c>
      <c r="L73" s="665">
        <v>46.303379416282642089093701997</v>
      </c>
      <c r="M73" s="665">
        <v>51.166666666666666666666666667</v>
      </c>
      <c r="N73" s="665"/>
      <c r="O73" s="665"/>
      <c r="P73" s="665"/>
      <c r="Q73" s="665"/>
      <c r="R73" s="665"/>
      <c r="S73" s="665"/>
      <c r="T73" s="665"/>
      <c r="U73" s="665"/>
      <c r="V73" s="665"/>
      <c r="W73" s="665"/>
      <c r="X73" s="665"/>
      <c r="Y73" s="665"/>
      <c r="Z73" s="665"/>
      <c r="AA73" s="665"/>
      <c r="AB73" s="665"/>
      <c r="AC73" s="665"/>
      <c r="AD73" s="665"/>
      <c r="AE73" s="665"/>
      <c r="AF73" s="665"/>
      <c r="AG73" s="665"/>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65" t="s">
        <v>26</v>
      </c>
      <c r="B74" s="665">
        <v>77.383955538016311496974480401</v>
      </c>
      <c r="C74" s="665">
        <v>61.895944488292554590897132334</v>
      </c>
      <c r="D74" s="665">
        <v>77.796531176006314127861089186</v>
      </c>
      <c r="E74" s="665">
        <v>91.56151670612996579847408577</v>
      </c>
      <c r="F74" s="665">
        <v>66.228772691397000789265982636</v>
      </c>
      <c r="G74" s="665">
        <v>73.084559326493028150486714023</v>
      </c>
      <c r="H74" s="665">
        <v>76.769692186266771902131018152</v>
      </c>
      <c r="I74" s="665">
        <v>62.468230728755590634043672719</v>
      </c>
      <c r="J74" s="665">
        <v>84.31322546698237305972112602</v>
      </c>
      <c r="K74" s="665">
        <v>79.83872007366482504604051565</v>
      </c>
      <c r="L74" s="665">
        <v>87.33974875032886082609839516</v>
      </c>
      <c r="M74" s="665">
        <v>87.84581701246942510647760122</v>
      </c>
      <c r="N74" s="665"/>
      <c r="O74" s="665"/>
      <c r="P74" s="665"/>
      <c r="Q74" s="665"/>
      <c r="R74" s="665"/>
      <c r="S74" s="665"/>
      <c r="T74" s="665"/>
      <c r="U74" s="665"/>
      <c r="V74" s="665"/>
      <c r="W74" s="665"/>
      <c r="X74" s="665"/>
      <c r="Y74" s="665"/>
      <c r="Z74" s="665"/>
      <c r="AA74" s="665"/>
      <c r="AB74" s="665"/>
      <c r="AC74" s="665"/>
      <c r="AD74" s="665"/>
      <c r="AE74" s="665"/>
      <c r="AF74" s="665"/>
      <c r="AG74" s="665"/>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65" t="s">
        <v>147</v>
      </c>
      <c r="B75" s="665">
        <v>88.72879818594104308390022676</v>
      </c>
      <c r="C75" s="665">
        <v>80.83621639131843213475866537</v>
      </c>
      <c r="D75" s="665">
        <v>89.14389374797538062844185293</v>
      </c>
      <c r="E75" s="665">
        <v>110.74927113702623906705539359</v>
      </c>
      <c r="F75" s="665">
        <v>91.84535147392290249433106576</v>
      </c>
      <c r="G75" s="665">
        <v>89.09083252348558471007450599</v>
      </c>
      <c r="H75" s="665">
        <v>92.5980563654033041788143829</v>
      </c>
      <c r="I75" s="665">
        <v>76.020537738905085843861354065</v>
      </c>
      <c r="J75" s="665">
        <v>103.94460641399416909620991254</v>
      </c>
      <c r="K75" s="665">
        <v>95.14849368318756073858114674</v>
      </c>
      <c r="L75" s="665">
        <v>103.00907029478458049886621315</v>
      </c>
      <c r="M75" s="665">
        <v>98.25889212827988338192419825</v>
      </c>
      <c r="N75" s="665"/>
      <c r="O75" s="665"/>
      <c r="P75" s="665"/>
      <c r="Q75" s="665"/>
      <c r="R75" s="665"/>
      <c r="S75" s="665"/>
      <c r="T75" s="665"/>
      <c r="U75" s="665"/>
      <c r="V75" s="665"/>
      <c r="W75" s="665"/>
      <c r="X75" s="665"/>
      <c r="Y75" s="665"/>
      <c r="Z75" s="665"/>
      <c r="AA75" s="665"/>
      <c r="AB75" s="665"/>
      <c r="AC75" s="665"/>
      <c r="AD75" s="665"/>
      <c r="AE75" s="665"/>
      <c r="AF75" s="665"/>
      <c r="AG75" s="665"/>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65"/>
      <c r="B76" s="665"/>
      <c r="C76" s="665"/>
      <c r="D76" s="665"/>
      <c r="E76" s="665"/>
      <c r="F76" s="665"/>
      <c r="G76" s="665"/>
      <c r="H76" s="665"/>
      <c r="I76" s="665"/>
      <c r="J76" s="665"/>
      <c r="K76" s="665"/>
      <c r="L76" s="665"/>
      <c r="M76" s="665"/>
      <c r="N76" s="665"/>
      <c r="O76" s="665"/>
      <c r="P76" s="665"/>
      <c r="Q76" s="665"/>
      <c r="R76" s="665"/>
      <c r="S76" s="665"/>
      <c r="T76" s="665"/>
      <c r="U76" s="665"/>
      <c r="V76" s="665"/>
      <c r="W76" s="665"/>
      <c r="X76" s="665"/>
      <c r="Y76" s="665"/>
      <c r="Z76" s="665"/>
      <c r="AA76" s="665"/>
      <c r="AB76" s="665"/>
      <c r="AC76" s="665"/>
      <c r="AD76" s="665"/>
      <c r="AE76" s="665"/>
      <c r="AF76" s="665"/>
      <c r="AG76" s="665"/>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65"/>
      <c r="B77" s="665"/>
      <c r="C77" s="665"/>
      <c r="D77" s="665"/>
      <c r="E77" s="665"/>
      <c r="F77" s="665"/>
      <c r="G77" s="665"/>
      <c r="H77" s="665"/>
      <c r="I77" s="665"/>
      <c r="J77" s="665"/>
      <c r="K77" s="665"/>
      <c r="L77" s="665"/>
      <c r="M77" s="665"/>
      <c r="N77" s="665"/>
      <c r="O77" s="665"/>
      <c r="P77" s="665"/>
      <c r="Q77" s="665"/>
      <c r="R77" s="665"/>
      <c r="S77" s="665"/>
      <c r="T77" s="665"/>
      <c r="U77" s="665"/>
      <c r="V77" s="665"/>
      <c r="W77" s="665"/>
      <c r="X77" s="665"/>
      <c r="Y77" s="665"/>
      <c r="Z77" s="665"/>
      <c r="AA77" s="665"/>
      <c r="AB77" s="665"/>
      <c r="AC77" s="665"/>
      <c r="AD77" s="665"/>
      <c r="AE77" s="665"/>
      <c r="AF77" s="665"/>
      <c r="AG77" s="665"/>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65"/>
      <c r="B78" s="665"/>
      <c r="C78" s="665"/>
      <c r="D78" s="665"/>
      <c r="E78" s="665"/>
      <c r="F78" s="665"/>
      <c r="G78" s="665"/>
      <c r="H78" s="665"/>
      <c r="I78" s="665"/>
      <c r="J78" s="665"/>
      <c r="K78" s="665"/>
      <c r="L78" s="665"/>
      <c r="M78" s="665"/>
      <c r="N78" s="665"/>
      <c r="O78" s="665"/>
      <c r="P78" s="665"/>
      <c r="Q78" s="665"/>
      <c r="R78" s="665"/>
      <c r="S78" s="665"/>
      <c r="T78" s="665"/>
      <c r="U78" s="665"/>
      <c r="V78" s="665"/>
      <c r="W78" s="665"/>
      <c r="X78" s="665"/>
      <c r="Y78" s="665"/>
      <c r="Z78" s="665"/>
      <c r="AA78" s="665"/>
      <c r="AB78" s="665"/>
      <c r="AC78" s="665"/>
      <c r="AD78" s="665"/>
      <c r="AE78" s="665"/>
      <c r="AF78" s="665"/>
      <c r="AG78" s="665"/>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5"/>
      <c r="B79" s="665"/>
      <c r="C79" s="665"/>
      <c r="D79" s="665"/>
      <c r="E79" s="665"/>
      <c r="F79" s="665"/>
      <c r="G79" s="665"/>
      <c r="H79" s="665"/>
      <c r="I79" s="665"/>
      <c r="J79" s="665"/>
      <c r="K79" s="665"/>
      <c r="L79" s="665"/>
      <c r="M79" s="665"/>
      <c r="N79" s="665"/>
      <c r="O79" s="665"/>
      <c r="P79" s="665"/>
      <c r="Q79" s="665"/>
      <c r="R79" s="665"/>
      <c r="S79" s="665"/>
      <c r="T79" s="665"/>
      <c r="U79" s="665"/>
      <c r="V79" s="665"/>
      <c r="W79" s="665"/>
      <c r="X79" s="665"/>
      <c r="Y79" s="665"/>
      <c r="Z79" s="665"/>
      <c r="AA79" s="665"/>
      <c r="AB79" s="665"/>
      <c r="AC79" s="665"/>
      <c r="AD79" s="665"/>
      <c r="AE79" s="665"/>
      <c r="AF79" s="665"/>
      <c r="AG79" s="665"/>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5"/>
      <c r="B80" s="665"/>
      <c r="C80" s="665"/>
      <c r="D80" s="665"/>
      <c r="E80" s="665"/>
      <c r="F80" s="665"/>
      <c r="G80" s="665"/>
      <c r="H80" s="665"/>
      <c r="I80" s="665"/>
      <c r="J80" s="665"/>
      <c r="K80" s="665"/>
      <c r="L80" s="665"/>
      <c r="M80" s="665"/>
      <c r="N80" s="665"/>
      <c r="O80" s="665"/>
      <c r="P80" s="665"/>
      <c r="Q80" s="665"/>
      <c r="R80" s="665"/>
      <c r="S80" s="665"/>
      <c r="T80" s="665"/>
      <c r="U80" s="665"/>
      <c r="V80" s="665"/>
      <c r="W80" s="665"/>
      <c r="X80" s="665"/>
      <c r="Y80" s="665"/>
      <c r="Z80" s="665"/>
      <c r="AA80" s="665"/>
      <c r="AB80" s="665"/>
      <c r="AC80" s="665"/>
      <c r="AD80" s="665"/>
      <c r="AE80" s="665"/>
      <c r="AF80" s="665"/>
      <c r="AG80" s="665"/>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5"/>
      <c r="B81" s="665"/>
      <c r="C81" s="665"/>
      <c r="D81" s="665"/>
      <c r="E81" s="665"/>
      <c r="F81" s="665"/>
      <c r="G81" s="665"/>
      <c r="H81" s="665"/>
      <c r="I81" s="665"/>
      <c r="J81" s="665"/>
      <c r="K81" s="665"/>
      <c r="L81" s="665"/>
      <c r="M81" s="665"/>
      <c r="N81" s="665"/>
      <c r="O81" s="665"/>
      <c r="P81" s="665"/>
      <c r="Q81" s="665"/>
      <c r="R81" s="665"/>
      <c r="S81" s="665"/>
      <c r="T81" s="665"/>
      <c r="U81" s="665"/>
      <c r="V81" s="665"/>
      <c r="W81" s="665"/>
      <c r="X81" s="665"/>
      <c r="Y81" s="665"/>
      <c r="Z81" s="665"/>
      <c r="AA81" s="665"/>
      <c r="AB81" s="665"/>
      <c r="AC81" s="665"/>
      <c r="AD81" s="665"/>
      <c r="AE81" s="665"/>
      <c r="AF81" s="665"/>
      <c r="AG81" s="665"/>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5"/>
      <c r="B82" s="665"/>
      <c r="C82" s="665"/>
      <c r="D82" s="665"/>
      <c r="E82" s="665"/>
      <c r="F82" s="665"/>
      <c r="G82" s="665"/>
      <c r="H82" s="665"/>
      <c r="I82" s="665"/>
      <c r="J82" s="665"/>
      <c r="K82" s="665"/>
      <c r="L82" s="665"/>
      <c r="M82" s="665"/>
      <c r="N82" s="665"/>
      <c r="O82" s="665"/>
      <c r="P82" s="665"/>
      <c r="Q82" s="665"/>
      <c r="R82" s="665"/>
      <c r="S82" s="665"/>
      <c r="T82" s="665"/>
      <c r="U82" s="665"/>
      <c r="V82" s="665"/>
      <c r="W82" s="665"/>
      <c r="X82" s="665"/>
      <c r="Y82" s="665"/>
      <c r="Z82" s="665"/>
      <c r="AA82" s="665"/>
      <c r="AB82" s="665"/>
      <c r="AC82" s="665"/>
      <c r="AD82" s="665"/>
      <c r="AE82" s="665"/>
      <c r="AF82" s="665"/>
      <c r="AG82" s="665"/>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5"/>
      <c r="B83" s="665"/>
      <c r="C83" s="665"/>
      <c r="D83" s="665"/>
      <c r="E83" s="665"/>
      <c r="F83" s="665"/>
      <c r="G83" s="665"/>
      <c r="H83" s="665"/>
      <c r="I83" s="665"/>
      <c r="J83" s="665"/>
      <c r="K83" s="665"/>
      <c r="L83" s="665"/>
      <c r="M83" s="665"/>
      <c r="N83" s="665"/>
      <c r="O83" s="665"/>
      <c r="P83" s="665"/>
      <c r="Q83" s="665"/>
      <c r="R83" s="665"/>
      <c r="S83" s="665"/>
      <c r="T83" s="665"/>
      <c r="U83" s="665"/>
      <c r="V83" s="665"/>
      <c r="W83" s="665"/>
      <c r="X83" s="665"/>
      <c r="Y83" s="665"/>
      <c r="Z83" s="665"/>
      <c r="AA83" s="665"/>
      <c r="AB83" s="665"/>
      <c r="AC83" s="665"/>
      <c r="AD83" s="665"/>
      <c r="AE83" s="665"/>
      <c r="AF83" s="665"/>
      <c r="AG83" s="665"/>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5"/>
      <c r="B84" s="665"/>
      <c r="C84" s="665"/>
      <c r="D84" s="665"/>
      <c r="E84" s="665"/>
      <c r="F84" s="665"/>
      <c r="G84" s="665"/>
      <c r="H84" s="665"/>
      <c r="I84" s="665"/>
      <c r="J84" s="665"/>
      <c r="K84" s="665"/>
      <c r="L84" s="665"/>
      <c r="M84" s="665"/>
      <c r="N84" s="665"/>
      <c r="O84" s="665"/>
      <c r="P84" s="665"/>
      <c r="Q84" s="665"/>
      <c r="R84" s="665"/>
      <c r="S84" s="665"/>
      <c r="T84" s="665"/>
      <c r="U84" s="665"/>
      <c r="V84" s="665"/>
      <c r="W84" s="665"/>
      <c r="X84" s="665"/>
      <c r="Y84" s="665"/>
      <c r="Z84" s="665"/>
      <c r="AA84" s="665"/>
      <c r="AB84" s="665"/>
      <c r="AC84" s="665"/>
      <c r="AD84" s="665"/>
      <c r="AE84" s="665"/>
      <c r="AF84" s="665"/>
      <c r="AG84" s="665"/>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5"/>
      <c r="B85" s="665"/>
      <c r="C85" s="665"/>
      <c r="D85" s="665"/>
      <c r="E85" s="665"/>
      <c r="F85" s="665"/>
      <c r="G85" s="665"/>
      <c r="H85" s="665"/>
      <c r="I85" s="665"/>
      <c r="J85" s="665"/>
      <c r="K85" s="665"/>
      <c r="L85" s="665"/>
      <c r="M85" s="665"/>
      <c r="N85" s="665"/>
      <c r="O85" s="665"/>
      <c r="P85" s="665"/>
      <c r="Q85" s="665"/>
      <c r="R85" s="665"/>
      <c r="S85" s="665"/>
      <c r="T85" s="665"/>
      <c r="U85" s="665"/>
      <c r="V85" s="665"/>
      <c r="W85" s="665"/>
      <c r="X85" s="665"/>
      <c r="Y85" s="665"/>
      <c r="Z85" s="665"/>
      <c r="AA85" s="665"/>
      <c r="AB85" s="665"/>
      <c r="AC85" s="665"/>
      <c r="AD85" s="665"/>
      <c r="AE85" s="665"/>
      <c r="AF85" s="665"/>
      <c r="AG85" s="665"/>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5"/>
      <c r="B86" s="665"/>
      <c r="C86" s="665"/>
      <c r="D86" s="665"/>
      <c r="E86" s="665"/>
      <c r="F86" s="665"/>
      <c r="G86" s="665"/>
      <c r="H86" s="665"/>
      <c r="I86" s="665"/>
      <c r="J86" s="665"/>
      <c r="K86" s="665"/>
      <c r="L86" s="665"/>
      <c r="M86" s="665"/>
      <c r="N86" s="665"/>
      <c r="O86" s="665"/>
      <c r="P86" s="665"/>
      <c r="Q86" s="665"/>
      <c r="R86" s="665"/>
      <c r="S86" s="665"/>
      <c r="T86" s="665"/>
      <c r="U86" s="665"/>
      <c r="V86" s="665"/>
      <c r="W86" s="665"/>
      <c r="X86" s="665"/>
      <c r="Y86" s="665"/>
      <c r="Z86" s="665"/>
      <c r="AA86" s="665"/>
      <c r="AB86" s="665"/>
      <c r="AC86" s="665"/>
      <c r="AD86" s="665"/>
      <c r="AE86" s="665"/>
      <c r="AF86" s="665"/>
      <c r="AG86" s="665"/>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5"/>
      <c r="B87" s="665"/>
      <c r="C87" s="665"/>
      <c r="D87" s="665"/>
      <c r="E87" s="665"/>
      <c r="F87" s="665"/>
      <c r="G87" s="665"/>
      <c r="H87" s="665"/>
      <c r="I87" s="665"/>
      <c r="J87" s="665"/>
      <c r="K87" s="665"/>
      <c r="L87" s="665"/>
      <c r="M87" s="665"/>
      <c r="N87" s="665"/>
      <c r="O87" s="665"/>
      <c r="P87" s="665"/>
      <c r="Q87" s="665"/>
      <c r="R87" s="665"/>
      <c r="S87" s="665"/>
      <c r="T87" s="665"/>
      <c r="U87" s="665"/>
      <c r="V87" s="665"/>
      <c r="W87" s="665"/>
      <c r="X87" s="665"/>
      <c r="Y87" s="665"/>
      <c r="Z87" s="665"/>
      <c r="AA87" s="665"/>
      <c r="AB87" s="665"/>
      <c r="AC87" s="665"/>
      <c r="AD87" s="665"/>
      <c r="AE87" s="665"/>
      <c r="AF87" s="665"/>
      <c r="AG87" s="665"/>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5"/>
      <c r="B88" s="665"/>
      <c r="C88" s="665"/>
      <c r="D88" s="665"/>
      <c r="E88" s="665"/>
      <c r="F88" s="665"/>
      <c r="G88" s="665"/>
      <c r="H88" s="665"/>
      <c r="I88" s="665"/>
      <c r="J88" s="665"/>
      <c r="K88" s="665"/>
      <c r="L88" s="665"/>
      <c r="M88" s="665"/>
      <c r="N88" s="665"/>
      <c r="O88" s="665"/>
      <c r="P88" s="665"/>
      <c r="Q88" s="665"/>
      <c r="R88" s="665"/>
      <c r="S88" s="665"/>
      <c r="T88" s="665"/>
      <c r="U88" s="665"/>
      <c r="V88" s="665"/>
      <c r="W88" s="665"/>
      <c r="X88" s="665"/>
      <c r="Y88" s="665"/>
      <c r="Z88" s="665"/>
      <c r="AA88" s="665"/>
      <c r="AB88" s="665"/>
      <c r="AC88" s="665"/>
      <c r="AD88" s="665"/>
      <c r="AE88" s="665"/>
      <c r="AF88" s="665"/>
      <c r="AG88" s="665"/>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5"/>
      <c r="B89" s="665"/>
      <c r="C89" s="665"/>
      <c r="D89" s="665"/>
      <c r="E89" s="665"/>
      <c r="F89" s="665"/>
      <c r="G89" s="665"/>
      <c r="H89" s="665"/>
      <c r="I89" s="665"/>
      <c r="J89" s="665"/>
      <c r="K89" s="665"/>
      <c r="L89" s="665"/>
      <c r="M89" s="665"/>
      <c r="N89" s="665"/>
      <c r="O89" s="665"/>
      <c r="P89" s="665"/>
      <c r="Q89" s="665"/>
      <c r="R89" s="665"/>
      <c r="S89" s="665"/>
      <c r="T89" s="665"/>
      <c r="U89" s="665"/>
      <c r="V89" s="665"/>
      <c r="W89" s="665"/>
      <c r="X89" s="665"/>
      <c r="Y89" s="665"/>
      <c r="Z89" s="665"/>
      <c r="AA89" s="665"/>
      <c r="AB89" s="665"/>
      <c r="AC89" s="665"/>
      <c r="AD89" s="665"/>
      <c r="AE89" s="665"/>
      <c r="AF89" s="665"/>
      <c r="AG89" s="665"/>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5"/>
      <c r="B90" s="665"/>
      <c r="C90" s="665"/>
      <c r="D90" s="665"/>
      <c r="E90" s="665"/>
      <c r="F90" s="665"/>
      <c r="G90" s="665"/>
      <c r="H90" s="665"/>
      <c r="I90" s="665"/>
      <c r="J90" s="665"/>
      <c r="K90" s="665"/>
      <c r="L90" s="665"/>
      <c r="M90" s="665"/>
      <c r="N90" s="665"/>
      <c r="O90" s="665"/>
      <c r="P90" s="665"/>
      <c r="Q90" s="665"/>
      <c r="R90" s="665"/>
      <c r="S90" s="665"/>
      <c r="T90" s="665"/>
      <c r="U90" s="665"/>
      <c r="V90" s="665"/>
      <c r="W90" s="665"/>
      <c r="X90" s="665"/>
      <c r="Y90" s="665"/>
      <c r="Z90" s="665"/>
      <c r="AA90" s="665"/>
      <c r="AB90" s="665"/>
      <c r="AC90" s="665"/>
      <c r="AD90" s="665"/>
      <c r="AE90" s="665"/>
      <c r="AF90" s="665"/>
      <c r="AG90" s="665"/>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5"/>
      <c r="B91" s="665"/>
      <c r="C91" s="665"/>
      <c r="D91" s="665"/>
      <c r="E91" s="665"/>
      <c r="F91" s="665"/>
      <c r="G91" s="665"/>
      <c r="H91" s="665"/>
      <c r="I91" s="665"/>
      <c r="J91" s="665"/>
      <c r="K91" s="665"/>
      <c r="L91" s="665"/>
      <c r="M91" s="665"/>
      <c r="N91" s="665"/>
      <c r="O91" s="665"/>
      <c r="P91" s="665"/>
      <c r="Q91" s="665"/>
      <c r="R91" s="665"/>
      <c r="S91" s="665"/>
      <c r="T91" s="665"/>
      <c r="U91" s="665"/>
      <c r="V91" s="665"/>
      <c r="W91" s="665"/>
      <c r="X91" s="665"/>
      <c r="Y91" s="665"/>
      <c r="Z91" s="665"/>
      <c r="AA91" s="665"/>
      <c r="AB91" s="665"/>
      <c r="AC91" s="665"/>
      <c r="AD91" s="665"/>
      <c r="AE91" s="665"/>
      <c r="AF91" s="665"/>
      <c r="AG91" s="665"/>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5"/>
      <c r="B92" s="665"/>
      <c r="C92" s="665"/>
      <c r="D92" s="665"/>
      <c r="E92" s="665"/>
      <c r="F92" s="665"/>
      <c r="G92" s="665"/>
      <c r="H92" s="665"/>
      <c r="I92" s="665"/>
      <c r="J92" s="665"/>
      <c r="K92" s="665"/>
      <c r="L92" s="665"/>
      <c r="M92" s="665"/>
      <c r="N92" s="665"/>
      <c r="O92" s="665"/>
      <c r="P92" s="665"/>
      <c r="Q92" s="665"/>
      <c r="R92" s="665"/>
      <c r="S92" s="665"/>
      <c r="T92" s="665"/>
      <c r="U92" s="665"/>
      <c r="V92" s="665"/>
      <c r="W92" s="665"/>
      <c r="X92" s="665"/>
      <c r="Y92" s="665"/>
      <c r="Z92" s="665"/>
      <c r="AA92" s="665"/>
      <c r="AB92" s="665"/>
      <c r="AC92" s="665"/>
      <c r="AD92" s="665"/>
      <c r="AE92" s="665"/>
      <c r="AF92" s="665"/>
      <c r="AG92" s="665"/>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5"/>
      <c r="B93" s="665"/>
      <c r="C93" s="665"/>
      <c r="D93" s="665"/>
      <c r="E93" s="665"/>
      <c r="F93" s="665"/>
      <c r="G93" s="665"/>
      <c r="H93" s="665"/>
      <c r="I93" s="665"/>
      <c r="J93" s="665"/>
      <c r="K93" s="665"/>
      <c r="L93" s="665"/>
      <c r="M93" s="665"/>
      <c r="N93" s="665"/>
      <c r="O93" s="665"/>
      <c r="P93" s="665"/>
      <c r="Q93" s="665"/>
      <c r="R93" s="665"/>
      <c r="S93" s="665"/>
      <c r="T93" s="665"/>
      <c r="U93" s="665"/>
      <c r="V93" s="665"/>
      <c r="W93" s="665"/>
      <c r="X93" s="665"/>
      <c r="Y93" s="665"/>
      <c r="Z93" s="665"/>
      <c r="AA93" s="665"/>
      <c r="AB93" s="665"/>
      <c r="AC93" s="665"/>
      <c r="AD93" s="665"/>
      <c r="AE93" s="665"/>
      <c r="AF93" s="665"/>
      <c r="AG93" s="665"/>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5"/>
      <c r="B94" s="665"/>
      <c r="C94" s="665"/>
      <c r="D94" s="665"/>
      <c r="E94" s="665"/>
      <c r="F94" s="665"/>
      <c r="G94" s="665"/>
      <c r="H94" s="665"/>
      <c r="I94" s="665"/>
      <c r="J94" s="665"/>
      <c r="K94" s="665"/>
      <c r="L94" s="665"/>
      <c r="M94" s="665"/>
      <c r="N94" s="665"/>
      <c r="O94" s="665"/>
      <c r="P94" s="665"/>
      <c r="Q94" s="665"/>
      <c r="R94" s="665"/>
      <c r="S94" s="665"/>
      <c r="T94" s="665"/>
      <c r="U94" s="665"/>
      <c r="V94" s="665"/>
      <c r="W94" s="665"/>
      <c r="X94" s="665"/>
      <c r="Y94" s="665"/>
      <c r="Z94" s="665"/>
      <c r="AA94" s="665"/>
      <c r="AB94" s="665"/>
      <c r="AC94" s="665"/>
      <c r="AD94" s="665"/>
      <c r="AE94" s="665"/>
      <c r="AF94" s="665"/>
      <c r="AG94" s="665"/>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59"/>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63" display="For all STR definitions, please click here or visit www.str.com/data-insights/resources/glossary"/>
    <hyperlink ref="A14:I14" r:id="rId64" display="For the latest in industry news, visit HotelNewsNow.com."/>
    <hyperlink ref="A15:I15" r:id="rId65" display="To learn more about the Hotel Data Conference, visit HotelDataConference.com."/>
    <hyperlink ref="A9:F9" r:id="rId66" display="For all STR FAQs, please click here or visit www.str.com/data-insights/resources/FAQ"/>
    <hyperlink ref="A12:E12" r:id="rId67"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141</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142</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143</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144</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48" t="s">
        <v>40</v>
      </c>
      <c r="F8" s="648"/>
      <c r="G8" s="64"/>
      <c r="H8" s="648" t="s">
        <v>39</v>
      </c>
      <c r="I8" s="648"/>
      <c r="J8" s="1"/>
      <c r="K8" s="648" t="s">
        <v>41</v>
      </c>
      <c r="L8" s="648"/>
      <c r="M8" s="64"/>
      <c r="N8" s="648" t="s">
        <v>42</v>
      </c>
      <c r="O8" s="648"/>
      <c r="P8" s="64"/>
      <c r="Q8" s="648" t="s">
        <v>43</v>
      </c>
      <c r="R8" s="648"/>
      <c r="S8" s="64"/>
      <c r="T8" s="648" t="s">
        <v>44</v>
      </c>
      <c r="U8" s="648"/>
      <c r="V8" s="64"/>
      <c r="W8" s="648" t="s">
        <v>45</v>
      </c>
      <c r="X8" s="648"/>
      <c r="Y8" s="64"/>
      <c r="Z8" s="648" t="s">
        <v>23</v>
      </c>
      <c r="AA8" s="648"/>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49" t="s">
        <v>57</v>
      </c>
      <c r="F9" s="649"/>
      <c r="G9" s="65"/>
      <c r="H9" s="649" t="s">
        <v>57</v>
      </c>
      <c r="I9" s="649"/>
      <c r="J9" s="3"/>
      <c r="K9" s="649" t="s">
        <v>57</v>
      </c>
      <c r="L9" s="649"/>
      <c r="M9" s="79"/>
      <c r="N9" s="649" t="s">
        <v>57</v>
      </c>
      <c r="O9" s="649"/>
      <c r="P9" s="65"/>
      <c r="Q9" s="649" t="s">
        <v>57</v>
      </c>
      <c r="R9" s="649"/>
      <c r="S9" s="65"/>
      <c r="T9" s="649" t="s">
        <v>57</v>
      </c>
      <c r="U9" s="649"/>
      <c r="V9" s="65"/>
      <c r="W9" s="649" t="s">
        <v>57</v>
      </c>
      <c r="X9" s="649"/>
      <c r="Y9" s="1"/>
      <c r="Z9" s="649" t="s">
        <v>57</v>
      </c>
      <c r="AA9" s="649"/>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0" t="s">
        <v>28</v>
      </c>
      <c r="C10" s="1"/>
      <c r="D10" s="17" t="s">
        <v>32</v>
      </c>
      <c r="E10" s="67">
        <v>0.2365591397849462365591397849</v>
      </c>
      <c r="F10" s="73">
        <v>-0.0000000000227272727272675800</v>
      </c>
      <c r="G10" s="66"/>
      <c r="H10" s="67">
        <v>0.5483870967741935483870967742</v>
      </c>
      <c r="I10" s="73">
        <v>92.45283018877365610537562481</v>
      </c>
      <c r="J10" s="66"/>
      <c r="K10" s="67">
        <v>0.5698924731182795698924731183</v>
      </c>
      <c r="L10" s="73">
        <v>171.79487179466272189349128510</v>
      </c>
      <c r="M10" s="67"/>
      <c r="N10" s="67">
        <v>0.5752688172043010752688172043</v>
      </c>
      <c r="O10" s="73">
        <v>137.77777777774607407407407830</v>
      </c>
      <c r="P10" s="66"/>
      <c r="Q10" s="67">
        <v>0.3924731182795698924731182796</v>
      </c>
      <c r="R10" s="73">
        <v>128.12499999958652343750074944</v>
      </c>
      <c r="S10" s="66"/>
      <c r="T10" s="67">
        <v>0.6559139784946236559139784946</v>
      </c>
      <c r="U10" s="73">
        <v>28.421052631589761772853186500</v>
      </c>
      <c r="V10" s="66"/>
      <c r="W10" s="67">
        <v>0.5752688172043010752688172043</v>
      </c>
      <c r="X10" s="73">
        <v>52.857142856941959183673733420</v>
      </c>
      <c r="Y10" s="177"/>
      <c r="Z10" s="67">
        <v>0.5076804915514592933947772657</v>
      </c>
      <c r="AA10" s="73">
        <v>74.867724867822016460905403750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0"/>
      <c r="C11" s="15"/>
      <c r="D11" s="187" t="s">
        <v>26</v>
      </c>
      <c r="E11" s="180">
        <v>0.418047882136279926335174954</v>
      </c>
      <c r="F11" s="81">
        <v>7.328605200928880170346900</v>
      </c>
      <c r="G11" s="181"/>
      <c r="H11" s="180">
        <v>0.515653775322283609576427256</v>
      </c>
      <c r="I11" s="81">
        <v>1.4492753622548834278513320700</v>
      </c>
      <c r="J11" s="181"/>
      <c r="K11" s="180">
        <v>0.6151012891344383057090239411</v>
      </c>
      <c r="L11" s="81">
        <v>0.4511278195836146757872244100</v>
      </c>
      <c r="M11" s="180"/>
      <c r="N11" s="180">
        <v>0.7154696132596685082872928177</v>
      </c>
      <c r="O11" s="81">
        <v>28.217821782122360552886996200</v>
      </c>
      <c r="P11" s="181"/>
      <c r="Q11" s="180">
        <v>0.6336429308565531475748194014</v>
      </c>
      <c r="R11" s="81">
        <v>27.906361135630539439702190470</v>
      </c>
      <c r="S11" s="182"/>
      <c r="T11" s="180">
        <v>0.7044198895027624309392265193</v>
      </c>
      <c r="U11" s="81">
        <v>6.9930069930048980390239131900</v>
      </c>
      <c r="V11" s="181"/>
      <c r="W11" s="180">
        <v>0.7173112338858195211786372007</v>
      </c>
      <c r="X11" s="81">
        <v>26.666666666764292682926904510</v>
      </c>
      <c r="Y11" s="183"/>
      <c r="Z11" s="180">
        <v>0.61709237344254363565722887</v>
      </c>
      <c r="AA11" s="81">
        <v>14.028590736656485974451183970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56.586613613793752468857211320</v>
      </c>
      <c r="F12" s="73">
        <v>-6.8281938325481140184927572400</v>
      </c>
      <c r="G12" s="68"/>
      <c r="H12" s="68">
        <v>106.34792626733959735023044692</v>
      </c>
      <c r="I12" s="73">
        <v>89.70350404326155447382322564</v>
      </c>
      <c r="J12" s="68"/>
      <c r="K12" s="68">
        <v>92.65018350402584248154266010</v>
      </c>
      <c r="L12" s="73">
        <v>170.57423614321379555177683044</v>
      </c>
      <c r="M12" s="68"/>
      <c r="N12" s="68">
        <v>80.40436750110444170127818634</v>
      </c>
      <c r="O12" s="73">
        <v>85.44830544839807580252158948</v>
      </c>
      <c r="P12" s="68"/>
      <c r="Q12" s="68">
        <v>61.939161500429157856214129430</v>
      </c>
      <c r="R12" s="73">
        <v>78.353131129887558387627312720</v>
      </c>
      <c r="S12" s="68"/>
      <c r="T12" s="68">
        <v>93.11406282940144523404977639</v>
      </c>
      <c r="U12" s="73">
        <v>20.027519779846444412078447230</v>
      </c>
      <c r="V12" s="68"/>
      <c r="W12" s="68">
        <v>80.19793780278739149985135052</v>
      </c>
      <c r="X12" s="73">
        <v>20.676691729235321622707507810</v>
      </c>
      <c r="Y12" s="174"/>
      <c r="Z12" s="68">
        <v>82.26977246840874524302806839</v>
      </c>
      <c r="AA12" s="73">
        <v>53.35428048159197106661567600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0" t="s">
        <v>12</v>
      </c>
      <c r="C14" s="1"/>
      <c r="D14" s="17" t="s">
        <v>32</v>
      </c>
      <c r="E14" s="237">
        <v>88.20454545454545454545454545</v>
      </c>
      <c r="F14" s="73">
        <v>-33.782630950327173735181821250</v>
      </c>
      <c r="G14" s="70"/>
      <c r="H14" s="237">
        <v>98.77450980392156862745098039</v>
      </c>
      <c r="I14" s="73">
        <v>9.154483311299355138403182830</v>
      </c>
      <c r="J14" s="70"/>
      <c r="K14" s="237">
        <v>99.56603773584905660377358491</v>
      </c>
      <c r="L14" s="73">
        <v>-18.848997456669662266357370900</v>
      </c>
      <c r="M14" s="70"/>
      <c r="N14" s="237">
        <v>98.30841121495327102803738318</v>
      </c>
      <c r="O14" s="73">
        <v>-12.932916656694892114182271820</v>
      </c>
      <c r="P14" s="70"/>
      <c r="Q14" s="237">
        <v>99.72602739726027397260273973</v>
      </c>
      <c r="R14" s="73">
        <v>-1.5051581261626923727380348300</v>
      </c>
      <c r="S14" s="70"/>
      <c r="T14" s="237">
        <v>111.69672131147540983606557377</v>
      </c>
      <c r="U14" s="73">
        <v>0.3422082703419271990749350300</v>
      </c>
      <c r="V14" s="70"/>
      <c r="W14" s="237">
        <v>99.84112149532710280373831776</v>
      </c>
      <c r="X14" s="73">
        <v>-4.4582569422707150203461074100</v>
      </c>
      <c r="Y14" s="178"/>
      <c r="Z14" s="237">
        <v>100.78517397881996974281391831</v>
      </c>
      <c r="AA14" s="73">
        <v>-8.537690528889999586679729810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0"/>
      <c r="C15" s="15"/>
      <c r="D15" s="187" t="s">
        <v>26</v>
      </c>
      <c r="E15" s="238">
        <v>134.99008810572687224669603523</v>
      </c>
      <c r="F15" s="81">
        <v>3.3869844483780306738405392700</v>
      </c>
      <c r="G15" s="184"/>
      <c r="H15" s="238">
        <v>141.07851785714285714285714285</v>
      </c>
      <c r="I15" s="81">
        <v>-4.5202907656743841643115945200</v>
      </c>
      <c r="J15" s="184"/>
      <c r="K15" s="238">
        <v>144.04239520958083832335329341</v>
      </c>
      <c r="L15" s="81">
        <v>-3.5262939726882847072279276700</v>
      </c>
      <c r="M15" s="184"/>
      <c r="N15" s="238">
        <v>146.02247104247104247104247105</v>
      </c>
      <c r="O15" s="81">
        <v>6.2090461497177291185998630500</v>
      </c>
      <c r="P15" s="184"/>
      <c r="Q15" s="238">
        <v>153.67954397394136807817589578</v>
      </c>
      <c r="R15" s="81">
        <v>20.864390246486163599996187490</v>
      </c>
      <c r="S15" s="184"/>
      <c r="T15" s="238">
        <v>139.84824836601307189542483661</v>
      </c>
      <c r="U15" s="81">
        <v>10.582870585768144215974433380</v>
      </c>
      <c r="V15" s="184"/>
      <c r="W15" s="238">
        <v>134.91435173299101412066752247</v>
      </c>
      <c r="X15" s="81">
        <v>9.989176790200001697678788800</v>
      </c>
      <c r="Y15" s="186"/>
      <c r="Z15" s="238">
        <v>142.35440396452832131211157067</v>
      </c>
      <c r="AA15" s="81">
        <v>5.7763926058288830090809651300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65.341497803512426310250209510</v>
      </c>
      <c r="F16" s="73">
        <v>-35.951929149517764870606723830</v>
      </c>
      <c r="G16" s="68"/>
      <c r="H16" s="68">
        <v>70.013855620436392951799072570</v>
      </c>
      <c r="I16" s="73">
        <v>14.322178174375279569082190430</v>
      </c>
      <c r="J16" s="68"/>
      <c r="K16" s="68">
        <v>69.122731256285909360642274030</v>
      </c>
      <c r="L16" s="73">
        <v>-15.882776888092913175962845660</v>
      </c>
      <c r="M16" s="68"/>
      <c r="N16" s="68">
        <v>67.324166282832250084189903140</v>
      </c>
      <c r="O16" s="73">
        <v>-18.022911889691345993609195560</v>
      </c>
      <c r="P16" s="68"/>
      <c r="Q16" s="68">
        <v>64.892193728917582248845187030</v>
      </c>
      <c r="R16" s="73">
        <v>-18.507972718047350145618735090</v>
      </c>
      <c r="S16" s="68"/>
      <c r="T16" s="68">
        <v>79.86994661467007096604679240</v>
      </c>
      <c r="U16" s="73">
        <v>-9.260622609226014954881135040</v>
      </c>
      <c r="V16" s="68"/>
      <c r="W16" s="68">
        <v>74.003336348467960513309786590</v>
      </c>
      <c r="X16" s="73">
        <v>-13.135323087312601417029802350</v>
      </c>
      <c r="Y16" s="174"/>
      <c r="Z16" s="68">
        <v>70.798774868920483008927977930</v>
      </c>
      <c r="AA16" s="73">
        <v>-13.532398659143205524955966750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0" t="s">
        <v>13</v>
      </c>
      <c r="C18" s="1"/>
      <c r="D18" s="17" t="s">
        <v>32</v>
      </c>
      <c r="E18" s="237">
        <v>20.865591397849462365591397849</v>
      </c>
      <c r="F18" s="73">
        <v>-33.782630950408519078494774900</v>
      </c>
      <c r="G18" s="70"/>
      <c r="H18" s="237">
        <v>54.166666666666666666666666667</v>
      </c>
      <c r="I18" s="73">
        <v>110.07089241000906197199414744</v>
      </c>
      <c r="J18" s="70"/>
      <c r="K18" s="237">
        <v>56.741935483870967741935483871</v>
      </c>
      <c r="L18" s="73">
        <v>120.56426332299464038285792835</v>
      </c>
      <c r="M18" s="70"/>
      <c r="N18" s="237">
        <v>56.55376344086021505376344086</v>
      </c>
      <c r="O18" s="73">
        <v>107.02617594942878952777654548</v>
      </c>
      <c r="P18" s="70"/>
      <c r="Q18" s="237">
        <v>39.139784946236559139784946237</v>
      </c>
      <c r="R18" s="73">
        <v>124.69135802481618655692736702</v>
      </c>
      <c r="S18" s="70"/>
      <c r="T18" s="237">
        <v>73.263440860215053763440860215</v>
      </c>
      <c r="U18" s="73">
        <v>28.860520094511469107858444620</v>
      </c>
      <c r="V18" s="70"/>
      <c r="W18" s="237">
        <v>57.435483870967741935483870968</v>
      </c>
      <c r="X18" s="73">
        <v>46.042378674133311405650358600</v>
      </c>
      <c r="Y18" s="178"/>
      <c r="Z18" s="237">
        <v>51.166666666666666666666666667</v>
      </c>
      <c r="AA18" s="73">
        <v>59.938059683543190951113281840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0" t="s"/>
      <c r="C19" s="15"/>
      <c r="D19" s="187" t="s">
        <v>26</v>
      </c>
      <c r="E19" s="238">
        <v>56.432320441988950276243093923</v>
      </c>
      <c r="F19" s="81">
        <v>10.963808367810927824451201940</v>
      </c>
      <c r="G19" s="184"/>
      <c r="H19" s="238">
        <v>72.747670349907918968692449355</v>
      </c>
      <c r="I19" s="81">
        <v>-3.1365268637034090146237648700</v>
      </c>
      <c r="J19" s="184"/>
      <c r="K19" s="238">
        <v>88.60066298342541436464088398</v>
      </c>
      <c r="L19" s="81">
        <v>-3.0910742462838357585429393700</v>
      </c>
      <c r="M19" s="184"/>
      <c r="N19" s="238">
        <v>104.47464088397790055248618785</v>
      </c>
      <c r="O19" s="81">
        <v>36.178925508913195999070476060</v>
      </c>
      <c r="P19" s="184"/>
      <c r="Q19" s="238">
        <v>97.37795665634674922600619195</v>
      </c>
      <c r="R19" s="81">
        <v>54.593243473268367194861744290</v>
      </c>
      <c r="S19" s="184"/>
      <c r="T19" s="238">
        <v>98.51188766114180478821362799</v>
      </c>
      <c r="U19" s="81">
        <v>18.315938458918018369734401540</v>
      </c>
      <c r="V19" s="184"/>
      <c r="W19" s="238">
        <v>96.77558011049723756906077348</v>
      </c>
      <c r="X19" s="81">
        <v>39.319623934292119097490357160</v>
      </c>
      <c r="Y19" s="186"/>
      <c r="Z19" s="238">
        <v>87.84581701246942510647760122</v>
      </c>
      <c r="AA19" s="81">
        <v>20.615329820708164474665140040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36.974540891499749833362341980</v>
      </c>
      <c r="F20" s="73">
        <v>-40.325255573311436118172758250</v>
      </c>
      <c r="G20" s="68"/>
      <c r="H20" s="68">
        <v>74.458283552087829779168666530</v>
      </c>
      <c r="I20" s="73">
        <v>116.87317789507027483518037744</v>
      </c>
      <c r="J20" s="68"/>
      <c r="K20" s="68">
        <v>64.042337351924777066685152080</v>
      </c>
      <c r="L20" s="73">
        <v>127.59953389987919507302593306</v>
      </c>
      <c r="M20" s="68"/>
      <c r="N20" s="68">
        <v>54.131570075127452546988207230</v>
      </c>
      <c r="O20" s="73">
        <v>52.025120756255672244918578580</v>
      </c>
      <c r="P20" s="68"/>
      <c r="Q20" s="68">
        <v>40.193680674962445165727671070</v>
      </c>
      <c r="R20" s="73">
        <v>45.343582278506096588518159390</v>
      </c>
      <c r="S20" s="68"/>
      <c r="T20" s="68">
        <v>74.370152272642972607963715390</v>
      </c>
      <c r="U20" s="73">
        <v>8.912224145891188151366228900</v>
      </c>
      <c r="V20" s="68"/>
      <c r="W20" s="68">
        <v>59.349149656749080258445505860</v>
      </c>
      <c r="X20" s="73">
        <v>4.8254183795511999728104343700</v>
      </c>
      <c r="Y20" s="174"/>
      <c r="Z20" s="68">
        <v>58.245990995093047848004004200</v>
      </c>
      <c r="AA20" s="73">
        <v>32.601767885740667236382115180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48" t="s">
        <v>40</v>
      </c>
      <c r="F25" s="648"/>
      <c r="G25" s="64"/>
      <c r="H25" s="648" t="s">
        <v>39</v>
      </c>
      <c r="I25" s="648"/>
      <c r="J25" s="1"/>
      <c r="K25" s="648" t="s">
        <v>41</v>
      </c>
      <c r="L25" s="648"/>
      <c r="M25" s="64"/>
      <c r="N25" s="648" t="s">
        <v>42</v>
      </c>
      <c r="O25" s="648"/>
      <c r="P25" s="64"/>
      <c r="Q25" s="648" t="s">
        <v>43</v>
      </c>
      <c r="R25" s="648"/>
      <c r="S25" s="64"/>
      <c r="T25" s="648" t="s">
        <v>44</v>
      </c>
      <c r="U25" s="648"/>
      <c r="V25" s="64"/>
      <c r="W25" s="648" t="s">
        <v>45</v>
      </c>
      <c r="X25" s="648"/>
      <c r="Y25" s="64"/>
      <c r="Z25" s="648" t="s">
        <v>23</v>
      </c>
      <c r="AA25" s="648"/>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49" t="s">
        <v>57</v>
      </c>
      <c r="F26" s="649"/>
      <c r="G26" s="65"/>
      <c r="H26" s="649" t="s">
        <v>57</v>
      </c>
      <c r="I26" s="649"/>
      <c r="J26" s="3"/>
      <c r="K26" s="649" t="s">
        <v>57</v>
      </c>
      <c r="L26" s="649"/>
      <c r="M26" s="65"/>
      <c r="N26" s="649" t="s">
        <v>57</v>
      </c>
      <c r="O26" s="649"/>
      <c r="P26" s="65"/>
      <c r="Q26" s="649" t="s">
        <v>57</v>
      </c>
      <c r="R26" s="649"/>
      <c r="S26" s="65"/>
      <c r="T26" s="649" t="s">
        <v>57</v>
      </c>
      <c r="U26" s="649"/>
      <c r="V26" s="65"/>
      <c r="W26" s="649" t="s">
        <v>57</v>
      </c>
      <c r="X26" s="649"/>
      <c r="Y26" s="1"/>
      <c r="Z26" s="649" t="s">
        <v>57</v>
      </c>
      <c r="AA26" s="649"/>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0" t="s">
        <v>28</v>
      </c>
      <c r="C27" s="1"/>
      <c r="D27" s="17" t="s">
        <v>32</v>
      </c>
      <c r="E27" s="67">
        <v>0.2486559139784946236559139785</v>
      </c>
      <c r="F27" s="73">
        <v>10.778443113968804905160088420</v>
      </c>
      <c r="G27" s="66"/>
      <c r="H27" s="67">
        <v>0.375</v>
      </c>
      <c r="I27" s="73">
        <v>29.767441860310602487831444120</v>
      </c>
      <c r="J27" s="66"/>
      <c r="K27" s="67">
        <v>0.3906810035842293906810035842</v>
      </c>
      <c r="L27" s="73">
        <v>18.639455782247068166041963520</v>
      </c>
      <c r="M27" s="67"/>
      <c r="N27" s="67">
        <v>0.3588709677419354838709677419</v>
      </c>
      <c r="O27" s="73">
        <v>30.243902438836330755502948500</v>
      </c>
      <c r="P27" s="66"/>
      <c r="Q27" s="67">
        <v>0.3763440860215053763440860215</v>
      </c>
      <c r="R27" s="73">
        <v>13.360323886580930682358371010</v>
      </c>
      <c r="S27" s="66"/>
      <c r="T27" s="67">
        <v>0.6465053763440860215053763441</v>
      </c>
      <c r="U27" s="73">
        <v>28.954423592366071775115306400</v>
      </c>
      <c r="V27" s="66"/>
      <c r="W27" s="67">
        <v>0.5524193548387096774193548387</v>
      </c>
      <c r="X27" s="73">
        <v>10.483870967741935483870967740</v>
      </c>
      <c r="Y27" s="177"/>
      <c r="Z27" s="67">
        <v>0.4223416965352449223416965352</v>
      </c>
      <c r="AA27" s="73">
        <v>20.589668615827321547655893540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0"/>
      <c r="C28" s="15"/>
      <c r="D28" s="187" t="s">
        <v>26</v>
      </c>
      <c r="E28" s="180">
        <v>0.3897329650092081031307550644</v>
      </c>
      <c r="F28" s="81">
        <v>14.237516869254916487731539890</v>
      </c>
      <c r="G28" s="181"/>
      <c r="H28" s="180">
        <v>0.5283149171270718232044198895</v>
      </c>
      <c r="I28" s="81">
        <v>9.077946767996965765010374400</v>
      </c>
      <c r="J28" s="181"/>
      <c r="K28" s="180">
        <v>0.6330570902394106813996316759</v>
      </c>
      <c r="L28" s="81">
        <v>4.6423135463552851970003845500</v>
      </c>
      <c r="M28" s="180"/>
      <c r="N28" s="180">
        <v>0.6749539594843462246777163904</v>
      </c>
      <c r="O28" s="81">
        <v>3.7141846480549848728636134600</v>
      </c>
      <c r="P28" s="181"/>
      <c r="Q28" s="180">
        <v>0.6448287805962745668200400253</v>
      </c>
      <c r="R28" s="81">
        <v>5.1477561152976337185650444600</v>
      </c>
      <c r="S28" s="182"/>
      <c r="T28" s="180">
        <v>0.7331952117863720073664825046</v>
      </c>
      <c r="U28" s="81">
        <v>3.6783854166650466918945312700</v>
      </c>
      <c r="V28" s="181"/>
      <c r="W28" s="180">
        <v>0.6988950276243093922651933702</v>
      </c>
      <c r="X28" s="81">
        <v>7.2791519434498572338273686400</v>
      </c>
      <c r="Y28" s="183"/>
      <c r="Z28" s="180">
        <v>0.6147111359809989712663198458</v>
      </c>
      <c r="AA28" s="81">
        <v>6.1630954900014850668987497700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63.801611950570431880290813900</v>
      </c>
      <c r="F29" s="73">
        <v>-3.027966512493240313843038100</v>
      </c>
      <c r="G29" s="68"/>
      <c r="H29" s="68">
        <v>70.980392156872394719979496380</v>
      </c>
      <c r="I29" s="73">
        <v>18.967624259016158297684264280</v>
      </c>
      <c r="J29" s="68"/>
      <c r="K29" s="68">
        <v>61.713391984399761455682954960</v>
      </c>
      <c r="L29" s="73">
        <v>13.376178107723815612943047700</v>
      </c>
      <c r="M29" s="68"/>
      <c r="N29" s="68">
        <v>53.169695902857005940036249670</v>
      </c>
      <c r="O29" s="73">
        <v>25.579642631459000703259030600</v>
      </c>
      <c r="P29" s="68"/>
      <c r="Q29" s="68">
        <v>58.363413257339325538531893890</v>
      </c>
      <c r="R29" s="73">
        <v>7.8105021683676393292284173800</v>
      </c>
      <c r="S29" s="68"/>
      <c r="T29" s="68">
        <v>88.17643186311254657953729160</v>
      </c>
      <c r="U29" s="73">
        <v>24.379274498028331555711873760</v>
      </c>
      <c r="V29" s="68"/>
      <c r="W29" s="68">
        <v>79.041820731897798444674378320</v>
      </c>
      <c r="X29" s="73">
        <v>2.9872710272534802108049369600</v>
      </c>
      <c r="Y29" s="174"/>
      <c r="Z29" s="68">
        <v>68.705717501154722641451534160</v>
      </c>
      <c r="AA29" s="73">
        <v>13.589066011403053187110428420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0" t="s">
        <v>12</v>
      </c>
      <c r="C31" s="1"/>
      <c r="D31" s="17" t="s">
        <v>32</v>
      </c>
      <c r="E31" s="237">
        <v>95.800000000</v>
      </c>
      <c r="F31" s="73">
        <v>-15.539013831697650311331098110</v>
      </c>
      <c r="G31" s="70"/>
      <c r="H31" s="237">
        <v>101.34408602150537634408602151</v>
      </c>
      <c r="I31" s="73">
        <v>3.4221496802154585151210520400</v>
      </c>
      <c r="J31" s="70"/>
      <c r="K31" s="237">
        <v>102.64678899082568807339449541</v>
      </c>
      <c r="L31" s="73">
        <v>-10.276987039345051798169124630</v>
      </c>
      <c r="M31" s="70"/>
      <c r="N31" s="237">
        <v>106.69662921348314606741573034</v>
      </c>
      <c r="O31" s="73">
        <v>-3.3843854023729017504068082200</v>
      </c>
      <c r="P31" s="70"/>
      <c r="Q31" s="237">
        <v>108.69642857142857142857142857</v>
      </c>
      <c r="R31" s="73">
        <v>4.114545535124864907767761300</v>
      </c>
      <c r="S31" s="70"/>
      <c r="T31" s="237">
        <v>110.66112266112266112266112266</v>
      </c>
      <c r="U31" s="73">
        <v>-4.8180631080082462287792734500</v>
      </c>
      <c r="V31" s="70"/>
      <c r="W31" s="237">
        <v>106.54014598540145985401459854</v>
      </c>
      <c r="X31" s="73">
        <v>-3.8012225865449572424247417200</v>
      </c>
      <c r="Y31" s="178"/>
      <c r="Z31" s="237">
        <v>105.75860443187175860443187176</v>
      </c>
      <c r="AA31" s="73">
        <v>-4.042334734274472459256734900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0"/>
      <c r="C32" s="15"/>
      <c r="D32" s="187" t="s">
        <v>26</v>
      </c>
      <c r="E32" s="238">
        <v>126.72204370939161252215002954</v>
      </c>
      <c r="F32" s="81">
        <v>-3.0905173220491183496581164400</v>
      </c>
      <c r="G32" s="184"/>
      <c r="H32" s="238">
        <v>138.90943790849673202614379084</v>
      </c>
      <c r="I32" s="81">
        <v>-2.4162275987333610226340571400</v>
      </c>
      <c r="J32" s="184"/>
      <c r="K32" s="238">
        <v>142.84069818181818181818181818</v>
      </c>
      <c r="L32" s="81">
        <v>-0.5062835299126404739240445600</v>
      </c>
      <c r="M32" s="184"/>
      <c r="N32" s="238">
        <v>141.60270463847203274215552524</v>
      </c>
      <c r="O32" s="81">
        <v>-0.1641408655324318231676946500</v>
      </c>
      <c r="P32" s="184"/>
      <c r="Q32" s="238">
        <v>138.55950230280282105779720083</v>
      </c>
      <c r="R32" s="81">
        <v>1.0530266162992957088438544500</v>
      </c>
      <c r="S32" s="184"/>
      <c r="T32" s="238">
        <v>137.43785871271585557299843014</v>
      </c>
      <c r="U32" s="81">
        <v>-1.2135099556273336889601930600</v>
      </c>
      <c r="V32" s="184"/>
      <c r="W32" s="238">
        <v>135.85359354413702239789196311</v>
      </c>
      <c r="X32" s="81">
        <v>1.3937651928934913624037240700</v>
      </c>
      <c r="Y32" s="186"/>
      <c r="Z32" s="238">
        <v>138.00689927387885172155639033</v>
      </c>
      <c r="AA32" s="81">
        <v>-0.5534405943015788199873152200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75.598528240034798575014402910</v>
      </c>
      <c r="F33" s="73">
        <v>-12.845488558700762180105281300</v>
      </c>
      <c r="G33" s="68"/>
      <c r="H33" s="68">
        <v>72.956947740484691563311568710</v>
      </c>
      <c r="I33" s="73">
        <v>5.9829386949443305824876543300</v>
      </c>
      <c r="J33" s="68"/>
      <c r="K33" s="68">
        <v>71.861024412091815521800078850</v>
      </c>
      <c r="L33" s="73">
        <v>-9.820422691992180510493066310</v>
      </c>
      <c r="M33" s="68"/>
      <c r="N33" s="68">
        <v>75.349287632514379480925320010</v>
      </c>
      <c r="O33" s="73">
        <v>-3.2255389644097052287147680400</v>
      </c>
      <c r="P33" s="68"/>
      <c r="Q33" s="68">
        <v>78.447473298431472625328091510</v>
      </c>
      <c r="R33" s="73">
        <v>3.0296162533445045884807069700</v>
      </c>
      <c r="S33" s="68"/>
      <c r="T33" s="68">
        <v>80.51720515556677256927034948</v>
      </c>
      <c r="U33" s="73">
        <v>-3.6488320930869322922052314500</v>
      </c>
      <c r="V33" s="68"/>
      <c r="W33" s="68">
        <v>78.422766160261355160501765390</v>
      </c>
      <c r="X33" s="73">
        <v>-5.1235771444871515087813298200</v>
      </c>
      <c r="Y33" s="174"/>
      <c r="Z33" s="68">
        <v>76.632838639446868211267394490</v>
      </c>
      <c r="AA33" s="73">
        <v>-3.5083105547308919258930041400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0" t="s">
        <v>13</v>
      </c>
      <c r="C35" s="1"/>
      <c r="D35" s="17" t="s">
        <v>32</v>
      </c>
      <c r="E35" s="237">
        <v>23.82123655913978494623655914</v>
      </c>
      <c r="F35" s="73">
        <v>-6.4354344843809402070174638600</v>
      </c>
      <c r="G35" s="70"/>
      <c r="H35" s="237">
        <v>38.004032258064516129032258065</v>
      </c>
      <c r="I35" s="73">
        <v>34.208277956974110864134786230</v>
      </c>
      <c r="J35" s="70"/>
      <c r="K35" s="237">
        <v>40.102150537634408602150537634</v>
      </c>
      <c r="L35" s="73">
        <v>6.446894287985879611462081100</v>
      </c>
      <c r="M35" s="70"/>
      <c r="N35" s="237">
        <v>38.290322580645161290322580645</v>
      </c>
      <c r="O35" s="73">
        <v>25.835946817274405052087489620</v>
      </c>
      <c r="P35" s="70"/>
      <c r="Q35" s="237">
        <v>40.907258064516129032258064516</v>
      </c>
      <c r="R35" s="73">
        <v>18.024586031582272175306933680</v>
      </c>
      <c r="S35" s="70"/>
      <c r="T35" s="237">
        <v>71.543010752688172043010752688</v>
      </c>
      <c r="U35" s="73">
        <v>22.741318083295586083773769150</v>
      </c>
      <c r="V35" s="70"/>
      <c r="W35" s="237">
        <v>58.854838709677419354838709677</v>
      </c>
      <c r="X35" s="73">
        <v>6.2841331100269424015145998700</v>
      </c>
      <c r="Y35" s="178"/>
      <c r="Z35" s="237">
        <v>44.66626841895659099960175229</v>
      </c>
      <c r="AA35" s="73">
        <v>15.715030555741142695116670380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0" t="s"/>
      <c r="C36" s="15"/>
      <c r="D36" s="187" t="s">
        <v>26</v>
      </c>
      <c r="E36" s="238">
        <v>49.387757826887661141804788214</v>
      </c>
      <c r="F36" s="81">
        <v>10.706986621922784749898816360</v>
      </c>
      <c r="G36" s="184"/>
      <c r="H36" s="238">
        <v>73.387928176795580110497237569</v>
      </c>
      <c r="I36" s="81">
        <v>6.4423753141022072831382793900</v>
      </c>
      <c r="J36" s="184"/>
      <c r="K36" s="238">
        <v>90.42631675874769797421731123</v>
      </c>
      <c r="L36" s="81">
        <v>4.112526747657124957228253500</v>
      </c>
      <c r="M36" s="184"/>
      <c r="N36" s="238">
        <v>95.57530616942909760589318601</v>
      </c>
      <c r="O36" s="81">
        <v>3.543947287687913776776470100</v>
      </c>
      <c r="P36" s="184"/>
      <c r="Q36" s="238">
        <v>89.34715490994304089766176898</v>
      </c>
      <c r="R36" s="81">
        <v>6.2549899735499005822627197800</v>
      </c>
      <c r="S36" s="184"/>
      <c r="T36" s="238">
        <v>100.76877992633517495395948435</v>
      </c>
      <c r="U36" s="81">
        <v>2.4202378878575267313599657900</v>
      </c>
      <c r="V36" s="184"/>
      <c r="W36" s="238">
        <v>94.94740101289134438305709024</v>
      </c>
      <c r="X36" s="81">
        <v>8.774371422522366217883618360</v>
      </c>
      <c r="Y36" s="186"/>
      <c r="Z36" s="238">
        <v>84.83437782586137100958440951</v>
      </c>
      <c r="AA36" s="81">
        <v>5.5755458233864407502842913200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48.233079628014792212941037860</v>
      </c>
      <c r="F37" s="73">
        <v>-15.484497979011568354505741070</v>
      </c>
      <c r="G37" s="68"/>
      <c r="H37" s="68">
        <v>51.785127611871547199484038600</v>
      </c>
      <c r="I37" s="73">
        <v>26.085384285173547881100697380</v>
      </c>
      <c r="J37" s="68"/>
      <c r="K37" s="68">
        <v>44.347875679428404251619887490</v>
      </c>
      <c r="L37" s="73">
        <v>2.2421581853023201930590538800</v>
      </c>
      <c r="M37" s="68"/>
      <c r="N37" s="68">
        <v>40.062987099176497686879070590</v>
      </c>
      <c r="O37" s="73">
        <v>21.529022326879035412600349880</v>
      </c>
      <c r="P37" s="68"/>
      <c r="Q37" s="68">
        <v>45.784623031106110075116179910</v>
      </c>
      <c r="R37" s="73">
        <v>11.076746664898464845121546650</v>
      </c>
      <c r="S37" s="68"/>
      <c r="T37" s="68">
        <v>70.997198542061447373392869700</v>
      </c>
      <c r="U37" s="73">
        <v>19.840883612897005669058745560</v>
      </c>
      <c r="V37" s="68"/>
      <c r="W37" s="68">
        <v>61.986782241339206794829436140</v>
      </c>
      <c r="X37" s="73">
        <v>-2.2893612530028810547434619100</v>
      </c>
      <c r="Y37" s="174"/>
      <c r="Z37" s="68">
        <v>52.651141628718287502738914210</v>
      </c>
      <c r="AA37" s="73">
        <v>9.604008819625255051955201510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651"/>
      <c r="U40" s="651"/>
      <c r="V40" s="651"/>
      <c r="W40" s="651"/>
      <c r="X40" s="651"/>
      <c r="Y40" s="651"/>
      <c r="Z40" s="651"/>
      <c r="AA40" s="651"/>
      <c r="AB40" s="651"/>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AV84"/>
  <sheetViews>
    <sheetView showGridLines="0" workbookViewId="0"/>
  </sheetViews>
  <sheetFormatPr defaultRowHeight="12.75"/>
  <cols>
    <col min="1" max="1" width="2.7109375" customWidth="1"/>
    <col min="2" max="2" width="14.28515625" customWidth="1"/>
    <col min="3" max="3" width="4.42578125" customWidth="1"/>
    <col min="4" max="4" width="12.28515625" customWidth="1"/>
    <col min="5" max="5" width="8.7109375" customWidth="1"/>
    <col min="6" max="6" width="6.7109375" customWidth="1"/>
    <col min="7" max="7" width="4.7109375" customWidth="1"/>
    <col min="8" max="8" width="12.28515625" customWidth="1"/>
    <col min="9" max="9" width="8.7109375" customWidth="1"/>
    <col min="10" max="10" width="6.7109375" customWidth="1"/>
    <col min="11" max="11" width="4.7109375" customWidth="1"/>
    <col min="12" max="12" width="12.28515625" customWidth="1"/>
    <col min="13" max="13" width="8.7109375" customWidth="1"/>
    <col min="14" max="14" width="6.7109375" customWidth="1"/>
    <col min="15" max="15" width="3.7109375" customWidth="1"/>
    <col min="16" max="16" width="12.28515625" customWidth="1"/>
    <col min="17" max="17" width="8.7109375" customWidth="1"/>
    <col min="18" max="18" width="6.7109375" customWidth="1"/>
    <col min="19" max="19" width="4.7109375" customWidth="1"/>
    <col min="20" max="20" width="2.7109375" customWidth="1"/>
  </cols>
  <sheetData>
    <row r="1" ht="26.25" customHeight="1">
      <c r="B1" s="20" t="s">
        <v>117</v>
      </c>
      <c r="C1" s="11"/>
      <c r="D1" s="11"/>
      <c r="E1" s="11"/>
      <c r="F1" s="11"/>
      <c r="G1" s="11"/>
      <c r="H1" s="1"/>
      <c r="I1" s="1"/>
      <c r="J1" s="1"/>
      <c r="K1" s="1"/>
      <c r="L1" s="1"/>
      <c r="M1" s="1"/>
      <c r="N1" s="1"/>
      <c r="O1" s="1"/>
      <c r="P1" s="1"/>
      <c r="Q1" s="1"/>
      <c r="R1" s="1"/>
      <c r="S1" s="175"/>
      <c r="T1" s="1"/>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row>
    <row r="2" ht="14.25" customHeight="1">
      <c r="B2" s="10" t="s">
        <v>141</v>
      </c>
      <c r="C2" s="1"/>
      <c r="D2" s="1"/>
      <c r="E2" s="1"/>
      <c r="F2" s="1"/>
      <c r="G2" s="1"/>
      <c r="H2" s="1"/>
      <c r="I2" s="1"/>
      <c r="J2" s="1"/>
      <c r="K2" s="1"/>
      <c r="L2" s="1"/>
      <c r="M2" s="1"/>
      <c r="N2" s="1"/>
      <c r="O2" s="1"/>
      <c r="P2" s="1"/>
      <c r="Q2" s="1"/>
      <c r="R2" s="234"/>
      <c r="S2" s="175"/>
      <c r="T2" s="1"/>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row>
    <row r="3" ht="14.25" customHeight="1">
      <c r="B3" s="432" t="s">
        <v>142</v>
      </c>
      <c r="C3" s="1"/>
      <c r="D3" s="1"/>
      <c r="E3" s="1"/>
      <c r="F3" s="1"/>
      <c r="G3" s="1"/>
      <c r="H3" s="1"/>
      <c r="I3" s="1"/>
      <c r="J3" s="1"/>
      <c r="K3" s="1"/>
      <c r="L3" s="1"/>
      <c r="M3" s="1"/>
      <c r="N3" s="1"/>
      <c r="O3" s="1"/>
      <c r="P3" s="1"/>
      <c r="Q3" s="1"/>
      <c r="R3" s="1"/>
      <c r="S3" s="175"/>
      <c r="T3" s="1"/>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row>
    <row r="4" ht="14.25" customHeight="1">
      <c r="B4" s="175" t="s">
        <v>143</v>
      </c>
      <c r="C4" s="1"/>
      <c r="D4" s="1"/>
      <c r="E4" s="1"/>
      <c r="F4" s="1"/>
      <c r="G4" s="1"/>
      <c r="H4" s="1"/>
      <c r="I4" s="1"/>
      <c r="J4" s="1"/>
      <c r="K4" s="1"/>
      <c r="L4" s="1"/>
      <c r="M4" s="1"/>
      <c r="N4" s="1"/>
      <c r="O4" s="1"/>
      <c r="P4" s="1"/>
      <c r="Q4" s="1"/>
      <c r="R4" s="1"/>
      <c r="S4" s="175"/>
      <c r="T4" s="1"/>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row>
    <row r="5" ht="14.25" customHeight="1">
      <c r="A5" s="13"/>
      <c r="B5" s="12"/>
      <c r="C5" s="1"/>
      <c r="D5" s="1"/>
      <c r="E5" s="1"/>
      <c r="F5" s="1"/>
      <c r="G5" s="1"/>
      <c r="H5" s="1"/>
      <c r="I5" s="1"/>
      <c r="J5" s="1"/>
      <c r="K5" s="1"/>
      <c r="L5" s="1"/>
      <c r="M5" s="1"/>
      <c r="N5" s="1"/>
      <c r="O5" s="1"/>
      <c r="P5" s="1"/>
      <c r="Q5" s="1"/>
      <c r="R5" s="1"/>
      <c r="S5" s="1"/>
      <c r="T5" s="1"/>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row>
    <row r="6" ht="15" customHeight="1">
      <c r="A6" s="13"/>
      <c r="B6" s="612" t="s">
        <v>144</v>
      </c>
      <c r="C6" s="612"/>
      <c r="D6" s="612"/>
      <c r="E6" s="612"/>
      <c r="F6" s="612"/>
      <c r="G6" s="612"/>
      <c r="H6" s="612"/>
      <c r="I6" s="612"/>
      <c r="J6" s="612"/>
      <c r="K6" s="612"/>
      <c r="L6" s="612"/>
      <c r="M6" s="612"/>
      <c r="N6" s="612"/>
      <c r="O6" s="612"/>
      <c r="P6" s="612"/>
      <c r="Q6" s="612"/>
      <c r="R6" s="612"/>
      <c r="S6" s="612"/>
      <c r="T6" s="1"/>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row>
    <row r="7" ht="14.25" customHeight="1">
      <c r="A7" s="13"/>
      <c r="B7" s="12"/>
      <c r="C7" s="1"/>
      <c r="D7" s="1"/>
      <c r="E7" s="1"/>
      <c r="F7" s="1"/>
      <c r="G7" s="1"/>
      <c r="H7" s="1"/>
      <c r="I7" s="1"/>
      <c r="J7" s="1"/>
      <c r="K7" s="1"/>
      <c r="L7" s="1"/>
      <c r="M7" s="1"/>
      <c r="N7" s="1"/>
      <c r="O7" s="1"/>
      <c r="P7" s="1"/>
      <c r="Q7" s="1"/>
      <c r="R7" s="1"/>
      <c r="S7" s="1"/>
      <c r="T7" s="1"/>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row>
    <row r="8" ht="15" customHeight="1">
      <c r="A8" s="1"/>
      <c r="B8" s="1"/>
      <c r="C8" s="14"/>
      <c r="D8" s="648" t="s">
        <v>21</v>
      </c>
      <c r="E8" s="648"/>
      <c r="F8" s="648"/>
      <c r="G8" s="1"/>
      <c r="H8" s="648" t="s">
        <v>24</v>
      </c>
      <c r="I8" s="648"/>
      <c r="J8" s="648"/>
      <c r="K8" s="1"/>
      <c r="L8" s="648" t="s">
        <v>25</v>
      </c>
      <c r="M8" s="648"/>
      <c r="N8" s="648"/>
      <c r="O8" s="1"/>
      <c r="P8" s="648" t="s">
        <v>23</v>
      </c>
      <c r="Q8" s="648"/>
      <c r="R8" s="648"/>
      <c r="S8" s="2"/>
      <c r="T8" s="1"/>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row>
    <row r="9" ht="15" customHeight="1">
      <c r="A9" s="1"/>
      <c r="B9" s="1"/>
      <c r="C9" s="1"/>
      <c r="D9" s="2"/>
      <c r="E9" s="2"/>
      <c r="F9" s="66" t="s">
        <v>57</v>
      </c>
      <c r="G9" s="65"/>
      <c r="H9" s="1"/>
      <c r="I9" s="1"/>
      <c r="J9" s="66" t="s">
        <v>57</v>
      </c>
      <c r="K9" s="1"/>
      <c r="L9" s="1"/>
      <c r="M9" s="1"/>
      <c r="N9" s="66" t="s">
        <v>57</v>
      </c>
      <c r="O9" s="1"/>
      <c r="P9" s="1"/>
      <c r="Q9" s="1"/>
      <c r="R9" s="66" t="s">
        <v>57</v>
      </c>
      <c r="S9" s="1"/>
      <c r="T9" s="1"/>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row>
    <row r="10" ht="15" customHeight="1">
      <c r="A10" s="1"/>
      <c r="B10" s="57" t="s">
        <v>28</v>
      </c>
      <c r="C10" s="58"/>
      <c r="D10" s="17" t="s">
        <v>32</v>
      </c>
      <c r="E10" s="19">
        <v>0.4032258064516129032258064516</v>
      </c>
      <c r="F10" s="73">
        <v>54.867256637447724958885303850</v>
      </c>
      <c r="G10" s="66"/>
      <c r="H10" s="17" t="s">
        <v>32</v>
      </c>
      <c r="I10" s="19">
        <v>0.0890937019969278033794162826</v>
      </c>
      <c r="J10" s="73">
        <v>544.44444442704444444491424414</v>
      </c>
      <c r="K10" s="1"/>
      <c r="L10" s="17" t="s">
        <v>32</v>
      </c>
      <c r="M10" s="19">
        <v>0.0153609831029185867895545315</v>
      </c>
      <c r="N10" s="73">
        <v>-4.7619047615238095238079999400</v>
      </c>
      <c r="O10" s="1"/>
      <c r="P10" s="17" t="s">
        <v>32</v>
      </c>
      <c r="Q10" s="19">
        <v>0.5076804915514592933947772657</v>
      </c>
      <c r="R10" s="73">
        <v>74.867724867822016460905403750</v>
      </c>
      <c r="S10" s="19"/>
      <c r="T10" s="1"/>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row>
    <row r="11" ht="15" customHeight="1">
      <c r="A11" s="1"/>
      <c r="B11" s="57"/>
      <c r="C11" s="58"/>
      <c r="D11" s="187" t="s">
        <v>27</v>
      </c>
      <c r="E11" s="190">
        <v>0.4546492603109124656319989902</v>
      </c>
      <c r="F11" s="81">
        <v>7.5155212551714732314395243900</v>
      </c>
      <c r="G11" s="181"/>
      <c r="H11" s="187" t="s">
        <v>27</v>
      </c>
      <c r="I11" s="190">
        <v>0.1100450839771565268032494626</v>
      </c>
      <c r="J11" s="81">
        <v>47.503497148934137544185108960</v>
      </c>
      <c r="K11" s="191"/>
      <c r="L11" s="187" t="s">
        <v>27</v>
      </c>
      <c r="M11" s="190">
        <v>0.0523980291544746432219804172</v>
      </c>
      <c r="N11" s="81">
        <v>19.904454733889402218816831120</v>
      </c>
      <c r="O11" s="191"/>
      <c r="P11" s="187" t="s">
        <v>27</v>
      </c>
      <c r="Q11" s="190">
        <v>0.61709237344254363565722887</v>
      </c>
      <c r="R11" s="81">
        <v>14.028590736656485974451183970</v>
      </c>
      <c r="S11" s="19"/>
      <c r="T11" s="1"/>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row>
    <row r="12" ht="15" customHeight="1">
      <c r="A12" s="1"/>
      <c r="B12" s="57"/>
      <c r="C12" s="58"/>
      <c r="D12" s="406" t="s">
        <v>91</v>
      </c>
      <c r="E12" s="74">
        <v>88.68942317772359227926293768</v>
      </c>
      <c r="F12" s="73">
        <v>44.041767020476907029129275600</v>
      </c>
      <c r="G12" s="68"/>
      <c r="H12" s="406" t="s">
        <v>91</v>
      </c>
      <c r="I12" s="74">
        <v>80.96109228791070267676450155</v>
      </c>
      <c r="J12" s="73">
        <v>336.90112905913552560192517326</v>
      </c>
      <c r="K12" s="1"/>
      <c r="L12" s="406" t="s">
        <v>91</v>
      </c>
      <c r="M12" s="74">
        <v>29.315955868820971780389363420</v>
      </c>
      <c r="N12" s="73">
        <v>-20.571678966888706278338243130</v>
      </c>
      <c r="O12" s="1"/>
      <c r="P12" s="406" t="s">
        <v>91</v>
      </c>
      <c r="Q12" s="74">
        <v>82.26977246840874524302806839</v>
      </c>
      <c r="R12" s="73">
        <v>53.35428048159197106661567600</v>
      </c>
      <c r="S12" s="74"/>
      <c r="T12" s="1"/>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row>
    <row r="13" ht="15" customHeight="1">
      <c r="A13" s="1"/>
      <c r="B13" s="16"/>
      <c r="C13" s="1"/>
      <c r="D13" s="1"/>
      <c r="E13" s="3"/>
      <c r="F13" s="66"/>
      <c r="G13" s="3"/>
      <c r="H13" s="1"/>
      <c r="I13" s="1"/>
      <c r="J13" s="66"/>
      <c r="K13" s="1"/>
      <c r="L13" s="1"/>
      <c r="M13" s="1"/>
      <c r="N13" s="66"/>
      <c r="O13" s="1"/>
      <c r="P13" s="1"/>
      <c r="Q13" s="19"/>
      <c r="R13" s="66"/>
      <c r="S13" s="19"/>
      <c r="T13" s="1"/>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row>
    <row r="14" ht="15" customHeight="1">
      <c r="A14" s="1"/>
      <c r="B14" s="57" t="s">
        <v>12</v>
      </c>
      <c r="C14" s="58"/>
      <c r="D14" s="17" t="s">
        <v>32</v>
      </c>
      <c r="E14" s="239">
        <v>99.55809523809523809523809524</v>
      </c>
      <c r="F14" s="73">
        <v>-9.490213506095569820527858950</v>
      </c>
      <c r="G14" s="70"/>
      <c r="H14" s="76" t="s">
        <v>32</v>
      </c>
      <c r="I14" s="239">
        <v>106.81896551724137931034482759</v>
      </c>
      <c r="J14" s="73">
        <v>-18.493370949144011252488340450</v>
      </c>
      <c r="K14" s="77"/>
      <c r="L14" s="76" t="s">
        <v>32</v>
      </c>
      <c r="M14" s="239">
        <v>98</v>
      </c>
      <c r="N14" s="73">
        <v>2.6433915211867687390003803700</v>
      </c>
      <c r="O14" s="77"/>
      <c r="P14" s="76" t="s">
        <v>32</v>
      </c>
      <c r="Q14" s="239">
        <v>100.78517397881996974281391831</v>
      </c>
      <c r="R14" s="73">
        <v>-8.537690528889999586679729810</v>
      </c>
      <c r="S14" s="18"/>
      <c r="T14" s="1"/>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row>
    <row r="15" ht="15" customHeight="1">
      <c r="A15" s="1"/>
      <c r="B15" s="57"/>
      <c r="C15" s="58"/>
      <c r="D15" s="187" t="s">
        <v>27</v>
      </c>
      <c r="E15" s="240">
        <v>141.65653522096080633128104064</v>
      </c>
      <c r="F15" s="81">
        <v>4.8894877112951611755160376300</v>
      </c>
      <c r="G15" s="184"/>
      <c r="H15" s="189" t="s">
        <v>27</v>
      </c>
      <c r="I15" s="240">
        <v>155.0239573963960695233923332</v>
      </c>
      <c r="J15" s="81">
        <v>10.290752879801057459067125740</v>
      </c>
      <c r="K15" s="188"/>
      <c r="L15" s="189" t="s">
        <v>27</v>
      </c>
      <c r="M15" s="240">
        <v>121.80140644374439015362028896</v>
      </c>
      <c r="N15" s="81">
        <v>1.6706952883478144441268341300</v>
      </c>
      <c r="O15" s="188"/>
      <c r="P15" s="189" t="s">
        <v>27</v>
      </c>
      <c r="Q15" s="240">
        <v>142.35440396452832131211157067</v>
      </c>
      <c r="R15" s="81">
        <v>5.7763926058288830090809651300</v>
      </c>
      <c r="S15" s="18"/>
      <c r="T15" s="1"/>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row>
    <row r="16" ht="15" customHeight="1">
      <c r="A16" s="1"/>
      <c r="B16" s="57"/>
      <c r="C16" s="58"/>
      <c r="D16" s="406" t="s">
        <v>92</v>
      </c>
      <c r="E16" s="74">
        <v>70.281328766635087834793185590</v>
      </c>
      <c r="F16" s="73">
        <v>-13.709382638030140615661617240</v>
      </c>
      <c r="G16" s="68"/>
      <c r="H16" s="406" t="s">
        <v>92</v>
      </c>
      <c r="I16" s="74">
        <v>68.904811431243950763618946180</v>
      </c>
      <c r="J16" s="73">
        <v>-26.098401794630871246840711820</v>
      </c>
      <c r="K16" s="1"/>
      <c r="L16" s="406" t="s">
        <v>92</v>
      </c>
      <c r="M16" s="74">
        <v>80.45884104408788375347823143</v>
      </c>
      <c r="N16" s="73">
        <v>0.9567124825735416507211148600</v>
      </c>
      <c r="O16" s="1"/>
      <c r="P16" s="406" t="s">
        <v>92</v>
      </c>
      <c r="Q16" s="74">
        <v>70.798774868920483008927977930</v>
      </c>
      <c r="R16" s="73">
        <v>-13.532398659143205524955966750</v>
      </c>
      <c r="S16" s="74"/>
      <c r="T16" s="1"/>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row>
    <row r="17" ht="15" customHeight="1">
      <c r="A17" s="1"/>
      <c r="B17" s="16"/>
      <c r="C17" s="1"/>
      <c r="D17" s="1"/>
      <c r="E17" s="3"/>
      <c r="F17" s="68"/>
      <c r="G17" s="3"/>
      <c r="H17" s="1"/>
      <c r="I17" s="1"/>
      <c r="J17" s="68"/>
      <c r="K17" s="1"/>
      <c r="L17" s="1"/>
      <c r="M17" s="1"/>
      <c r="N17" s="68"/>
      <c r="O17" s="1"/>
      <c r="P17" s="1"/>
      <c r="Q17" s="18"/>
      <c r="R17" s="68"/>
      <c r="S17" s="18"/>
      <c r="T17" s="1"/>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row>
    <row r="18" ht="15" customHeight="1">
      <c r="A18" s="1"/>
      <c r="B18" s="57" t="s">
        <v>13</v>
      </c>
      <c r="C18" s="58"/>
      <c r="D18" s="17" t="s">
        <v>32</v>
      </c>
      <c r="E18" s="239">
        <v>40.144393241167434715821812596</v>
      </c>
      <c r="F18" s="73">
        <v>40.170023331456249647632742030</v>
      </c>
      <c r="G18" s="70"/>
      <c r="H18" s="76" t="s">
        <v>32</v>
      </c>
      <c r="I18" s="239">
        <v>9.516897081413210445468509985</v>
      </c>
      <c r="J18" s="73">
        <v>425.26494276924387062366705632</v>
      </c>
      <c r="K18" s="77"/>
      <c r="L18" s="76" t="s">
        <v>32</v>
      </c>
      <c r="M18" s="239">
        <v>1.505376344086021505376344086</v>
      </c>
      <c r="N18" s="73">
        <v>-2.2443890294889210887558940300</v>
      </c>
      <c r="O18" s="77"/>
      <c r="P18" s="76" t="s">
        <v>32</v>
      </c>
      <c r="Q18" s="239">
        <v>51.166666666666666666666666667</v>
      </c>
      <c r="R18" s="73">
        <v>59.938059683543190951113281840</v>
      </c>
      <c r="S18" s="18"/>
      <c r="T18" s="1"/>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row>
    <row r="19" ht="15" customHeight="1">
      <c r="A19" s="1"/>
      <c r="B19" s="57"/>
      <c r="C19" s="58"/>
      <c r="D19" s="187" t="s">
        <v>27</v>
      </c>
      <c r="E19" s="240">
        <v>64.404038956416549725955271163</v>
      </c>
      <c r="F19" s="81">
        <v>12.772479454726315603445335900</v>
      </c>
      <c r="G19" s="184"/>
      <c r="H19" s="189" t="s">
        <v>27</v>
      </c>
      <c r="I19" s="240">
        <v>17.059624410157541152332778427</v>
      </c>
      <c r="J19" s="81">
        <v>62.682717530722908015313947230</v>
      </c>
      <c r="K19" s="188"/>
      <c r="L19" s="189" t="s">
        <v>27</v>
      </c>
      <c r="M19" s="240">
        <v>6.3821536458953342281895516306</v>
      </c>
      <c r="N19" s="81">
        <v>21.907692809826220755845574390</v>
      </c>
      <c r="O19" s="188"/>
      <c r="P19" s="189" t="s">
        <v>27</v>
      </c>
      <c r="Q19" s="240">
        <v>87.84581701246942510647760122</v>
      </c>
      <c r="R19" s="81">
        <v>20.615329820708164474665140040</v>
      </c>
      <c r="S19" s="18"/>
      <c r="T19" s="1"/>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row>
    <row r="20" ht="15" customHeight="1">
      <c r="A20" s="1"/>
      <c r="B20" s="57"/>
      <c r="C20" s="58"/>
      <c r="D20" s="406" t="s">
        <v>93</v>
      </c>
      <c r="E20" s="74">
        <v>62.332105084813442419039081530</v>
      </c>
      <c r="F20" s="73">
        <v>24.294530020994597778259987020</v>
      </c>
      <c r="G20" s="68"/>
      <c r="H20" s="406" t="s">
        <v>93</v>
      </c>
      <c r="I20" s="74">
        <v>55.786087973443480222092550890</v>
      </c>
      <c r="J20" s="73">
        <v>222.87691694797025141792518042</v>
      </c>
      <c r="K20" s="1"/>
      <c r="L20" s="406" t="s">
        <v>93</v>
      </c>
      <c r="M20" s="74">
        <v>23.587278332810115234714833460</v>
      </c>
      <c r="N20" s="73">
        <v>-19.811778306017519992067249520</v>
      </c>
      <c r="O20" s="1"/>
      <c r="P20" s="406" t="s">
        <v>93</v>
      </c>
      <c r="Q20" s="74">
        <v>58.245990995093047848004004200</v>
      </c>
      <c r="R20" s="73">
        <v>32.601767885740667236382115180</v>
      </c>
      <c r="S20" s="74"/>
      <c r="T20" s="1"/>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row>
    <row r="21" ht="15" customHeight="1">
      <c r="A21" s="1"/>
      <c r="B21" s="16"/>
      <c r="C21" s="1"/>
      <c r="D21" s="1"/>
      <c r="E21" s="1"/>
      <c r="F21" s="1"/>
      <c r="G21" s="1"/>
      <c r="H21" s="1"/>
      <c r="I21" s="1"/>
      <c r="J21" s="1"/>
      <c r="K21" s="1"/>
      <c r="L21" s="1"/>
      <c r="M21" s="1"/>
      <c r="N21" s="1"/>
      <c r="O21" s="1"/>
      <c r="P21" s="1"/>
      <c r="Q21" s="1"/>
      <c r="R21" s="1"/>
      <c r="S21" s="1"/>
      <c r="T21" s="1"/>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row>
    <row r="22" ht="15" customHeight="1">
      <c r="A22" s="1"/>
      <c r="T22" s="1"/>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row>
    <row r="23" ht="15" customHeight="1">
      <c r="A23" s="1"/>
      <c r="B23" s="612" t="s">
        <v>61</v>
      </c>
      <c r="C23" s="612"/>
      <c r="D23" s="612"/>
      <c r="E23" s="612"/>
      <c r="F23" s="612"/>
      <c r="G23" s="612"/>
      <c r="H23" s="612"/>
      <c r="I23" s="612"/>
      <c r="J23" s="612"/>
      <c r="K23" s="612"/>
      <c r="L23" s="612"/>
      <c r="M23" s="612"/>
      <c r="N23" s="612"/>
      <c r="O23" s="612"/>
      <c r="P23" s="612"/>
      <c r="Q23" s="612"/>
      <c r="R23" s="612"/>
      <c r="S23" s="612"/>
      <c r="T23" s="1"/>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row>
    <row r="24" ht="15" customHeight="1">
      <c r="A24" s="1"/>
      <c r="B24" s="16"/>
      <c r="C24" s="1"/>
      <c r="D24" s="1"/>
      <c r="E24" s="1"/>
      <c r="F24" s="1"/>
      <c r="G24" s="1"/>
      <c r="H24" s="1"/>
      <c r="I24" s="1"/>
      <c r="J24" s="1"/>
      <c r="K24" s="1"/>
      <c r="L24" s="1"/>
      <c r="M24" s="1"/>
      <c r="N24" s="1"/>
      <c r="O24" s="1"/>
      <c r="P24" s="1"/>
      <c r="Q24" s="1"/>
      <c r="R24" s="1"/>
      <c r="S24" s="1"/>
      <c r="T24" s="1"/>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row>
    <row r="25" ht="15" customHeight="1">
      <c r="A25" s="1"/>
      <c r="B25" s="1"/>
      <c r="C25" s="14"/>
      <c r="D25" s="648" t="s">
        <v>21</v>
      </c>
      <c r="E25" s="648"/>
      <c r="F25" s="648"/>
      <c r="G25" s="1"/>
      <c r="H25" s="648" t="s">
        <v>24</v>
      </c>
      <c r="I25" s="648"/>
      <c r="J25" s="648"/>
      <c r="K25" s="1"/>
      <c r="L25" s="648" t="s">
        <v>25</v>
      </c>
      <c r="M25" s="648"/>
      <c r="N25" s="648"/>
      <c r="O25" s="1"/>
      <c r="P25" s="648" t="s">
        <v>23</v>
      </c>
      <c r="Q25" s="648"/>
      <c r="R25" s="648"/>
      <c r="S25" s="2"/>
      <c r="T25" s="1"/>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row>
    <row r="26" ht="15" customHeight="1">
      <c r="A26" s="1"/>
      <c r="B26" s="16"/>
      <c r="C26" s="1"/>
      <c r="D26" s="1"/>
      <c r="E26" s="1"/>
      <c r="F26" s="66" t="s">
        <v>57</v>
      </c>
      <c r="G26" s="1"/>
      <c r="H26" s="1"/>
      <c r="I26" s="1"/>
      <c r="J26" s="66" t="s">
        <v>57</v>
      </c>
      <c r="K26" s="1"/>
      <c r="L26" s="1"/>
      <c r="M26" s="1"/>
      <c r="N26" s="66" t="s">
        <v>57</v>
      </c>
      <c r="O26" s="1"/>
      <c r="P26" s="1"/>
      <c r="Q26" s="1"/>
      <c r="R26" s="66" t="s">
        <v>57</v>
      </c>
      <c r="S26" s="1"/>
      <c r="T26" s="1"/>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row>
    <row r="27" ht="15" customHeight="1">
      <c r="A27" s="1"/>
      <c r="B27" s="57" t="s">
        <v>28</v>
      </c>
      <c r="C27" s="58"/>
      <c r="D27" s="17" t="s">
        <v>32</v>
      </c>
      <c r="E27" s="19">
        <v>0.3582238152130625248904818797</v>
      </c>
      <c r="F27" s="73">
        <v>15.645552094067157825756889690</v>
      </c>
      <c r="G27" s="1"/>
      <c r="H27" s="17" t="s">
        <v>32</v>
      </c>
      <c r="I27" s="19">
        <v>0.0499800876144962166467542812</v>
      </c>
      <c r="J27" s="73">
        <v>41.347195147700159213284324330</v>
      </c>
      <c r="K27" s="1"/>
      <c r="L27" s="17" t="s">
        <v>32</v>
      </c>
      <c r="M27" s="19">
        <v>0.0141377937076861808044603744</v>
      </c>
      <c r="N27" s="73">
        <v>6.8287037053729021991001556600</v>
      </c>
      <c r="O27" s="1"/>
      <c r="P27" s="17" t="s">
        <v>32</v>
      </c>
      <c r="Q27" s="19">
        <v>0.4223416965352449223416965352</v>
      </c>
      <c r="R27" s="73">
        <v>20.589668615827321547655893540</v>
      </c>
      <c r="S27" s="19"/>
      <c r="T27" s="1"/>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row>
    <row r="28" ht="15" customHeight="1">
      <c r="A28" s="1"/>
      <c r="B28" s="57"/>
      <c r="C28" s="58"/>
      <c r="D28" s="187" t="s">
        <v>27</v>
      </c>
      <c r="E28" s="190">
        <v>0.4550809141810257580245331692</v>
      </c>
      <c r="F28" s="81">
        <v>4.9689409262517648690380278800</v>
      </c>
      <c r="G28" s="191"/>
      <c r="H28" s="187" t="s">
        <v>27</v>
      </c>
      <c r="I28" s="190">
        <v>0.1100932155874913248004429507</v>
      </c>
      <c r="J28" s="81">
        <v>9.01938016887140732074440800</v>
      </c>
      <c r="K28" s="191"/>
      <c r="L28" s="187" t="s">
        <v>27</v>
      </c>
      <c r="M28" s="190">
        <v>0.0495370062124818884413437259</v>
      </c>
      <c r="N28" s="81">
        <v>11.315047597369290503005975730</v>
      </c>
      <c r="O28" s="191"/>
      <c r="P28" s="187" t="s">
        <v>27</v>
      </c>
      <c r="Q28" s="190">
        <v>0.6147111359809989712663198458</v>
      </c>
      <c r="R28" s="81">
        <v>6.1630954900014850668987497700</v>
      </c>
      <c r="S28" s="19"/>
      <c r="T28" s="1"/>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row>
    <row r="29" ht="15" customHeight="1">
      <c r="A29" s="1"/>
      <c r="B29" s="57"/>
      <c r="C29" s="58"/>
      <c r="D29" s="406" t="s">
        <v>91</v>
      </c>
      <c r="E29" s="74">
        <v>78.716510416120338775030250230</v>
      </c>
      <c r="F29" s="73">
        <v>10.171209763332914619670260220</v>
      </c>
      <c r="G29" s="75"/>
      <c r="H29" s="406" t="s">
        <v>91</v>
      </c>
      <c r="I29" s="74">
        <v>45.397972389134170277920125840</v>
      </c>
      <c r="J29" s="73">
        <v>29.653273509768500243727730750</v>
      </c>
      <c r="K29" s="75"/>
      <c r="L29" s="406" t="s">
        <v>91</v>
      </c>
      <c r="M29" s="74">
        <v>28.539863000968753021542355620</v>
      </c>
      <c r="N29" s="73">
        <v>-4.0303121541926676359624981100</v>
      </c>
      <c r="O29" s="75"/>
      <c r="P29" s="406" t="s">
        <v>91</v>
      </c>
      <c r="Q29" s="74">
        <v>68.705717501154722641451534160</v>
      </c>
      <c r="R29" s="73">
        <v>13.589066011403053187110428420</v>
      </c>
      <c r="S29" s="74"/>
      <c r="T29" s="1"/>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row>
    <row r="30" ht="15" customHeight="1">
      <c r="A30" s="1"/>
      <c r="B30" s="16"/>
      <c r="C30" s="1"/>
      <c r="D30" s="1"/>
      <c r="E30" s="1"/>
      <c r="F30" s="66"/>
      <c r="G30" s="1"/>
      <c r="H30" s="1"/>
      <c r="I30" s="1"/>
      <c r="J30" s="66"/>
      <c r="K30" s="1"/>
      <c r="L30" s="1"/>
      <c r="M30" s="1"/>
      <c r="N30" s="66"/>
      <c r="O30" s="1"/>
      <c r="P30" s="1"/>
      <c r="Q30" s="19"/>
      <c r="R30" s="66"/>
      <c r="S30" s="19"/>
      <c r="T30" s="1"/>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row>
    <row r="31" ht="15" customHeight="1">
      <c r="A31" s="1"/>
      <c r="B31" s="57" t="s">
        <v>12</v>
      </c>
      <c r="C31" s="58"/>
      <c r="D31" s="17" t="s">
        <v>32</v>
      </c>
      <c r="E31" s="239">
        <v>104.75430794886047804335742079</v>
      </c>
      <c r="F31" s="73">
        <v>-6.2760835529286787196081123100</v>
      </c>
      <c r="G31" s="77"/>
      <c r="H31" s="76" t="s">
        <v>32</v>
      </c>
      <c r="I31" s="239">
        <v>115.13545816733067729083665339</v>
      </c>
      <c r="J31" s="73">
        <v>11.025564465160346714403417970</v>
      </c>
      <c r="K31" s="77"/>
      <c r="L31" s="76" t="s">
        <v>32</v>
      </c>
      <c r="M31" s="239">
        <v>98.02816901408450704225352113</v>
      </c>
      <c r="N31" s="73">
        <v>4.2159936362360207758176968800</v>
      </c>
      <c r="O31" s="77"/>
      <c r="P31" s="76" t="s">
        <v>32</v>
      </c>
      <c r="Q31" s="239">
        <v>105.75860443187175860443187176</v>
      </c>
      <c r="R31" s="73">
        <v>-4.042334734274472459256734900</v>
      </c>
      <c r="S31" s="18"/>
      <c r="T31" s="1"/>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row>
    <row r="32" ht="15" customHeight="1">
      <c r="A32" s="1"/>
      <c r="B32" s="57"/>
      <c r="C32" s="58"/>
      <c r="D32" s="187" t="s">
        <v>27</v>
      </c>
      <c r="E32" s="240">
        <v>137.67643416495642713267789324</v>
      </c>
      <c r="F32" s="81">
        <v>-2.0826925157298480173746016400</v>
      </c>
      <c r="G32" s="188"/>
      <c r="H32" s="189" t="s">
        <v>27</v>
      </c>
      <c r="I32" s="240">
        <v>145.74236416565664590688725862</v>
      </c>
      <c r="J32" s="81">
        <v>4.1591577543557830643324650800</v>
      </c>
      <c r="K32" s="188"/>
      <c r="L32" s="189" t="s">
        <v>27</v>
      </c>
      <c r="M32" s="240">
        <v>123.85114191707025381495592419</v>
      </c>
      <c r="N32" s="81">
        <v>4.653887228013324521243198400</v>
      </c>
      <c r="O32" s="188"/>
      <c r="P32" s="189" t="s">
        <v>27</v>
      </c>
      <c r="Q32" s="240">
        <v>138.00689927387885172155639033</v>
      </c>
      <c r="R32" s="81">
        <v>-0.5534405943015788199873152200</v>
      </c>
      <c r="S32" s="18"/>
      <c r="T32" s="1"/>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row>
    <row r="33" ht="15" customHeight="1">
      <c r="A33" s="1"/>
      <c r="B33" s="57"/>
      <c r="C33" s="58"/>
      <c r="D33" s="406" t="s">
        <v>92</v>
      </c>
      <c r="E33" s="74">
        <v>76.087319216385573537095843470</v>
      </c>
      <c r="F33" s="73">
        <v>-4.2825840956687133465242296900</v>
      </c>
      <c r="G33" s="75"/>
      <c r="H33" s="406" t="s">
        <v>92</v>
      </c>
      <c r="I33" s="74">
        <v>78.999307323180804900575140710</v>
      </c>
      <c r="J33" s="73">
        <v>6.5922256466431415868909214900</v>
      </c>
      <c r="K33" s="75"/>
      <c r="L33" s="406" t="s">
        <v>92</v>
      </c>
      <c r="M33" s="74">
        <v>79.149992076536404059723728740</v>
      </c>
      <c r="N33" s="73">
        <v>-0.4184207614826893350392794500</v>
      </c>
      <c r="O33" s="75"/>
      <c r="P33" s="406" t="s">
        <v>92</v>
      </c>
      <c r="Q33" s="74">
        <v>76.632838639446868211267394490</v>
      </c>
      <c r="R33" s="73">
        <v>-3.5083105547308919258930041400</v>
      </c>
      <c r="S33" s="74"/>
      <c r="T33" s="1"/>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row>
    <row r="34" ht="15" customHeight="1">
      <c r="A34" s="1"/>
      <c r="B34" s="16"/>
      <c r="C34" s="1"/>
      <c r="D34" s="1"/>
      <c r="E34" s="1"/>
      <c r="F34" s="68"/>
      <c r="G34" s="1"/>
      <c r="H34" s="1"/>
      <c r="I34" s="1"/>
      <c r="J34" s="68"/>
      <c r="K34" s="1"/>
      <c r="L34" s="1"/>
      <c r="M34" s="1"/>
      <c r="N34" s="68"/>
      <c r="O34" s="1"/>
      <c r="P34" s="1"/>
      <c r="Q34" s="18"/>
      <c r="R34" s="68"/>
      <c r="S34" s="18"/>
      <c r="T34" s="1"/>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row>
    <row r="35" ht="15" customHeight="1">
      <c r="A35" s="1"/>
      <c r="B35" s="57" t="s">
        <v>13</v>
      </c>
      <c r="C35" s="58"/>
      <c r="D35" s="17" t="s">
        <v>32</v>
      </c>
      <c r="E35" s="239">
        <v>37.525487853444842692154520112</v>
      </c>
      <c r="F35" s="73">
        <v>8.387540619612159092300624810</v>
      </c>
      <c r="G35" s="77"/>
      <c r="H35" s="76" t="s">
        <v>32</v>
      </c>
      <c r="I35" s="239">
        <v>5.7544802867383512544802867384</v>
      </c>
      <c r="J35" s="73">
        <v>56.931521270545481898623910120</v>
      </c>
      <c r="K35" s="77"/>
      <c r="L35" s="76" t="s">
        <v>32</v>
      </c>
      <c r="M35" s="239">
        <v>1.3859020310633213859020310633</v>
      </c>
      <c r="N35" s="73">
        <v>11.332595051631522340354676800</v>
      </c>
      <c r="O35" s="77"/>
      <c r="P35" s="76" t="s">
        <v>32</v>
      </c>
      <c r="Q35" s="239">
        <v>44.66626841895659099960175229</v>
      </c>
      <c r="R35" s="73">
        <v>15.715030555741142695116670380</v>
      </c>
      <c r="S35" s="18"/>
      <c r="T35" s="1"/>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row>
    <row r="36" ht="15" customHeight="1">
      <c r="A36" s="1"/>
      <c r="B36" s="57"/>
      <c r="C36" s="58"/>
      <c r="D36" s="187" t="s">
        <v>27</v>
      </c>
      <c r="E36" s="240">
        <v>62.653917520972178486539428433</v>
      </c>
      <c r="F36" s="81">
        <v>2.7827606496421422353357479200</v>
      </c>
      <c r="G36" s="188"/>
      <c r="H36" s="189" t="s">
        <v>27</v>
      </c>
      <c r="I36" s="240">
        <v>16.045245518320307337236035189</v>
      </c>
      <c r="J36" s="81">
        <v>13.553668173211863736141239820</v>
      </c>
      <c r="K36" s="188"/>
      <c r="L36" s="189" t="s">
        <v>27</v>
      </c>
      <c r="M36" s="240">
        <v>6.1352147865688851858089458978</v>
      </c>
      <c r="N36" s="81">
        <v>16.495524380992709311740254470</v>
      </c>
      <c r="O36" s="188"/>
      <c r="P36" s="189" t="s">
        <v>27</v>
      </c>
      <c r="Q36" s="240">
        <v>84.83437782586137100958440951</v>
      </c>
      <c r="R36" s="81">
        <v>5.5755458233864407502842913200</v>
      </c>
      <c r="S36" s="18"/>
      <c r="T36" s="1"/>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row>
    <row r="37" ht="15" customHeight="1">
      <c r="A37" s="1"/>
      <c r="B37" s="57"/>
      <c r="C37" s="58"/>
      <c r="D37" s="406" t="s">
        <v>93</v>
      </c>
      <c r="E37" s="74">
        <v>59.893282556301851923834022360</v>
      </c>
      <c r="F37" s="73">
        <v>5.4530350560619288856849142100</v>
      </c>
      <c r="G37" s="75"/>
      <c r="H37" s="406" t="s">
        <v>93</v>
      </c>
      <c r="I37" s="74">
        <v>35.864083726080875064251815910</v>
      </c>
      <c r="J37" s="73">
        <v>38.200309857090327435369383950</v>
      </c>
      <c r="K37" s="75"/>
      <c r="L37" s="406" t="s">
        <v>93</v>
      </c>
      <c r="M37" s="74">
        <v>22.589299303592231075322579210</v>
      </c>
      <c r="N37" s="73">
        <v>-4.4318692548021012104390187400</v>
      </c>
      <c r="O37" s="75"/>
      <c r="P37" s="406" t="s">
        <v>93</v>
      </c>
      <c r="Q37" s="74">
        <v>52.651141628718287502738914210</v>
      </c>
      <c r="R37" s="73">
        <v>9.604008819625255051955201510</v>
      </c>
      <c r="S37" s="74"/>
      <c r="T37" s="1"/>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row>
    <row r="38" ht="18" customHeight="1">
      <c r="A38" s="1"/>
      <c r="B38" s="1"/>
      <c r="C38" s="1"/>
      <c r="D38" s="1"/>
      <c r="E38" s="1"/>
      <c r="F38" s="1"/>
      <c r="G38" s="1"/>
      <c r="H38" s="1"/>
      <c r="I38" s="1"/>
      <c r="J38" s="1"/>
      <c r="K38" s="1"/>
      <c r="L38" s="1"/>
      <c r="M38" s="1"/>
      <c r="N38" s="1"/>
      <c r="O38" s="1"/>
      <c r="P38" s="1"/>
      <c r="Q38" s="1"/>
      <c r="R38" s="1"/>
      <c r="S38" s="1"/>
      <c r="T38" s="1"/>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row>
    <row r="39" ht="9" customHeight="1">
      <c r="A39" s="1"/>
      <c r="B39" s="1"/>
      <c r="C39" s="1"/>
      <c r="D39" s="1"/>
      <c r="E39" s="1"/>
      <c r="F39" s="1"/>
      <c r="G39" s="1"/>
      <c r="H39" s="1"/>
      <c r="I39" s="1"/>
      <c r="J39" s="1"/>
      <c r="K39" s="1"/>
      <c r="L39" s="1"/>
      <c r="M39" s="1"/>
      <c r="N39" s="1"/>
      <c r="O39" s="1"/>
      <c r="P39" s="1"/>
      <c r="Q39" s="1"/>
      <c r="R39" s="1"/>
      <c r="S39" s="1"/>
      <c r="T39" s="1"/>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1"/>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row>
    <row r="41" ht="9" customHeight="1">
      <c r="A41" s="1"/>
      <c r="B41" s="1"/>
      <c r="C41" s="1"/>
      <c r="D41" s="1"/>
      <c r="E41" s="1"/>
      <c r="F41" s="1"/>
      <c r="G41" s="1"/>
      <c r="H41" s="1"/>
      <c r="I41" s="1"/>
      <c r="J41" s="1"/>
      <c r="K41" s="1"/>
      <c r="L41" s="1"/>
      <c r="M41" s="1"/>
      <c r="N41" s="1"/>
      <c r="O41" s="1"/>
      <c r="P41" s="1"/>
      <c r="Q41" s="80"/>
      <c r="R41" s="241"/>
      <c r="S41" s="1"/>
      <c r="T41" s="1"/>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row>
    <row r="42" ht="9" customHeight="1">
      <c r="A42" s="1"/>
      <c r="B42" s="1"/>
      <c r="C42" s="1"/>
      <c r="D42" s="1"/>
      <c r="E42" s="1"/>
      <c r="F42" s="1"/>
      <c r="G42" s="1"/>
      <c r="H42" s="1"/>
      <c r="I42" s="1"/>
      <c r="J42" s="1"/>
      <c r="K42" s="1"/>
      <c r="L42" s="1"/>
      <c r="M42" s="1"/>
      <c r="N42" s="1"/>
      <c r="O42" s="1"/>
      <c r="P42" s="1"/>
      <c r="Q42" s="1"/>
      <c r="R42" s="1"/>
      <c r="S42" s="1"/>
      <c r="T42" s="1"/>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sheetData>
  <mergeCells count="11">
    <mergeCell ref="B40:S40"/>
    <mergeCell ref="D25:F25"/>
    <mergeCell ref="H25:J25"/>
    <mergeCell ref="L25:N25"/>
    <mergeCell ref="P25:R25"/>
    <mergeCell ref="B6:S6"/>
    <mergeCell ref="B23:S23"/>
    <mergeCell ref="D8:F8"/>
    <mergeCell ref="H8:J8"/>
    <mergeCell ref="L8:N8"/>
    <mergeCell ref="P8:R8"/>
  </mergeCells>
  <phoneticPr fontId="0" type="noConversion"/>
  <printOptions horizontalCentered="1" verticalCentered="1"/>
  <pageMargins left="0.25" right="0.25" top="0.3" bottom="0.3" header="0" footer="0"/>
  <pageSetup scale="89" orientation="landscape" r:id="rId1"/>
  <headerFooter alignWithMargins="0">
    <oddHeader/>
    <oddFooter/>
  </headerFooter>
  <drawing r:id="rId26"/>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2" width="8.28515625" customWidth="1"/>
    <col min="33" max="33" width="0" customWidth="1"/>
    <col min="34" max="34" width="1.7109375" customWidth="1"/>
    <col min="35" max="37" width="8.28515625" customWidth="1"/>
    <col min="38" max="38" width="3.7109375" customWidth="1"/>
    <col min="39" max="40" width="9.28515625" customWidth="1"/>
  </cols>
  <sheetData>
    <row r="1" ht="36" customHeight="1">
      <c r="A1" s="6"/>
      <c r="B1" s="39" t="s">
        <v>119</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141</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142</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143</v>
      </c>
      <c r="T4" s="652"/>
      <c r="U4" s="652"/>
      <c r="V4" s="652"/>
      <c r="W4" s="652"/>
      <c r="X4" s="652"/>
      <c r="Y4" s="652"/>
      <c r="Z4" s="652"/>
      <c r="AA4" s="652"/>
      <c r="AB4" s="652"/>
      <c r="AC4" s="652"/>
      <c r="AD4" s="652"/>
      <c r="AE4" s="652"/>
      <c r="AF4" s="652"/>
      <c r="AG4" s="652"/>
      <c r="AH4" s="652"/>
      <c r="AI4" s="652"/>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144</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3"/>
      <c r="Y22" s="653"/>
      <c r="Z22" s="653"/>
      <c r="AA22" s="653"/>
      <c r="AB22" s="653"/>
      <c r="AC22" s="653"/>
      <c r="AD22" s="653"/>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0" t="s">
        <v>49</v>
      </c>
      <c r="Y23" s="50" t="s">
        <v>47</v>
      </c>
      <c r="Z23" s="50" t="s">
        <v>48</v>
      </c>
      <c r="AA23" s="50" t="s">
        <v>50</v>
      </c>
      <c r="AB23" s="50" t="s">
        <v>51</v>
      </c>
      <c r="AC23" s="50" t="s">
        <v>52</v>
      </c>
      <c r="AD23" s="50" t="s">
        <v>53</v>
      </c>
      <c r="AE23" s="50" t="s">
        <v>49</v>
      </c>
      <c r="AF23" s="50" t="s">
        <v>47</v>
      </c>
      <c r="AG23" s="50"/>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145</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23.118279569892473118279569890</v>
      </c>
      <c r="D26" s="287">
        <v>23.655913978494623655913978490</v>
      </c>
      <c r="E26" s="287">
        <v>28.494623655913978494623655910</v>
      </c>
      <c r="F26" s="287">
        <v>25.268817204301075268817204300</v>
      </c>
      <c r="G26" s="287">
        <v>42.473118279569892473118279570</v>
      </c>
      <c r="H26" s="287">
        <v>80.64516129032258064516129032</v>
      </c>
      <c r="I26" s="287">
        <v>72.043010752688172043010752690</v>
      </c>
      <c r="J26" s="287">
        <v>26.344086021505376344086021510</v>
      </c>
      <c r="K26" s="287">
        <v>25.268817204301075268817204300</v>
      </c>
      <c r="L26" s="287"/>
      <c r="M26" s="287">
        <v>29.032258064516129032258064520</v>
      </c>
      <c r="N26" s="287">
        <v>38.172043010752688172043010750</v>
      </c>
      <c r="O26" s="287">
        <v>36.559139784946236559139784950</v>
      </c>
      <c r="P26" s="287">
        <v>16.666666666666666666666666670</v>
      </c>
      <c r="Q26" s="287">
        <v>26.344086021505376344086021510</v>
      </c>
      <c r="R26" s="287">
        <v>46.236559139784946236559139780</v>
      </c>
      <c r="S26" s="287">
        <v>31.720430107526881720430107530</v>
      </c>
      <c r="T26" s="287">
        <v>31.720430107526881720430107530</v>
      </c>
      <c r="U26" s="287">
        <v>30.645161290322580645161290320</v>
      </c>
      <c r="V26" s="287">
        <v>75.806451612903225806451612900</v>
      </c>
      <c r="W26" s="287">
        <v>74.731182795698924731182795700</v>
      </c>
      <c r="X26" s="287">
        <v>23.655913978494623655913978490</v>
      </c>
      <c r="Y26" s="287">
        <v>54.838709677419354838709677420</v>
      </c>
      <c r="Z26" s="287">
        <v>56.989247311827956989247311830</v>
      </c>
      <c r="AA26" s="287">
        <v>57.526881720430107526881720430</v>
      </c>
      <c r="AB26" s="287">
        <v>39.247311827956989247311827960</v>
      </c>
      <c r="AC26" s="287">
        <v>65.591397849462365591397849460</v>
      </c>
      <c r="AD26" s="287">
        <v>57.526881720430107526881720430</v>
      </c>
      <c r="AE26" s="287"/>
      <c r="AF26" s="287"/>
      <c r="AG26" s="288"/>
      <c r="AH26" s="218"/>
      <c r="AI26" s="302">
        <v>42.234169653524492234169653520</v>
      </c>
      <c r="AJ26" s="302">
        <v>34.776457272212790039615166950</v>
      </c>
      <c r="AK26" s="302">
        <v>59.946236559139784946236559140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33.333333333333333333333333330</v>
      </c>
      <c r="D27" s="202">
        <v>48.987108655616942909760589320</v>
      </c>
      <c r="E27" s="202">
        <v>62.799263351749539594843462250</v>
      </c>
      <c r="F27" s="202">
        <v>73.388581952117863720073664830</v>
      </c>
      <c r="G27" s="202">
        <v>69.152854511970534069981583790</v>
      </c>
      <c r="H27" s="202">
        <v>76.335174953959484346224677720</v>
      </c>
      <c r="I27" s="202">
        <v>66.114180478821362799263351750</v>
      </c>
      <c r="J27" s="202">
        <v>38.766114180478821362799263350</v>
      </c>
      <c r="K27" s="202">
        <v>50.184162062615101289134438310</v>
      </c>
      <c r="L27" s="202">
        <v>62.062615101289134438305709020</v>
      </c>
      <c r="M27" s="202">
        <v>66.574585635359116022099447510</v>
      </c>
      <c r="N27" s="202">
        <v>64.917127071823204419889502760</v>
      </c>
      <c r="O27" s="202">
        <v>67.771639042357274401473296500</v>
      </c>
      <c r="P27" s="202">
        <v>62.338858195211786372007366480</v>
      </c>
      <c r="Q27" s="202">
        <v>41.988950276243093922651933700</v>
      </c>
      <c r="R27" s="202">
        <v>60.589318600368324125230202580</v>
      </c>
      <c r="S27" s="202">
        <v>66.850828729281767955801104970</v>
      </c>
      <c r="T27" s="202">
        <v>58.471454880294659300184162060</v>
      </c>
      <c r="U27" s="202">
        <v>60.497237569060773480662983430</v>
      </c>
      <c r="V27" s="202">
        <v>78.729281767955801104972375690</v>
      </c>
      <c r="W27" s="202">
        <v>79.37384898710865561694290976</v>
      </c>
      <c r="X27" s="202">
        <v>41.804788213627992633517495400</v>
      </c>
      <c r="Y27" s="202">
        <v>51.565377532228360957642725600</v>
      </c>
      <c r="Z27" s="202">
        <v>61.510128913443830570902394110</v>
      </c>
      <c r="AA27" s="202">
        <v>71.546961325966850828729281770</v>
      </c>
      <c r="AB27" s="202">
        <v>63.364293085655314757481940140</v>
      </c>
      <c r="AC27" s="202">
        <v>70.441988950276243093922651930</v>
      </c>
      <c r="AD27" s="202">
        <v>71.731123388581952117863720070</v>
      </c>
      <c r="AE27" s="202"/>
      <c r="AF27" s="202"/>
      <c r="AG27" s="290"/>
      <c r="AH27" s="218"/>
      <c r="AI27" s="303">
        <v>61.471113598099897126631984580</v>
      </c>
      <c r="AJ27" s="303">
        <v>57.417754249126227984651260910</v>
      </c>
      <c r="AK27" s="303">
        <v>71.604511970534069981583793740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69.354838709746774193548456440</v>
      </c>
      <c r="D28" s="292">
        <v>48.290080038823395986935571700</v>
      </c>
      <c r="E28" s="292">
        <v>45.374136789365090807557138910</v>
      </c>
      <c r="F28" s="292">
        <v>34.431537620925530063028787230</v>
      </c>
      <c r="G28" s="292">
        <v>61.419183024757988132141849610</v>
      </c>
      <c r="H28" s="292">
        <v>105.64613409076458176314261143</v>
      </c>
      <c r="I28" s="292">
        <v>108.96756222485325252527276236</v>
      </c>
      <c r="J28" s="292">
        <v>67.956478430734462516955701740</v>
      </c>
      <c r="K28" s="292">
        <v>50.352175199778395410400454180</v>
      </c>
      <c r="L28" s="292"/>
      <c r="M28" s="292">
        <v>43.608619997296201800488877670</v>
      </c>
      <c r="N28" s="292">
        <v>58.801189659137925183876329690</v>
      </c>
      <c r="O28" s="292">
        <v>53.944600280470900283553896680</v>
      </c>
      <c r="P28" s="292">
        <v>26.735598227479205548852462840</v>
      </c>
      <c r="Q28" s="292">
        <v>62.740520656544301038036583540</v>
      </c>
      <c r="R28" s="292">
        <v>76.311403078693313814960722340</v>
      </c>
      <c r="S28" s="292">
        <v>47.449569003808262443146477610</v>
      </c>
      <c r="T28" s="292">
        <v>54.249428498852042648085296630</v>
      </c>
      <c r="U28" s="292">
        <v>50.655472087167037061698672950</v>
      </c>
      <c r="V28" s="292">
        <v>96.28749292580898857216615590</v>
      </c>
      <c r="W28" s="292">
        <v>94.15088690967271744945942618</v>
      </c>
      <c r="X28" s="292">
        <v>56.586613613793752468857211320</v>
      </c>
      <c r="Y28" s="292">
        <v>106.34792626733959735023044692</v>
      </c>
      <c r="Z28" s="292">
        <v>92.65018350402584248154266010</v>
      </c>
      <c r="AA28" s="292">
        <v>80.40436750110444170127818634</v>
      </c>
      <c r="AB28" s="292">
        <v>61.939161500429157856214129430</v>
      </c>
      <c r="AC28" s="292">
        <v>93.11406282940144523404977639</v>
      </c>
      <c r="AD28" s="292">
        <v>80.19793780278739149985135052</v>
      </c>
      <c r="AE28" s="292"/>
      <c r="AF28" s="292"/>
      <c r="AG28" s="293"/>
      <c r="AH28" s="218"/>
      <c r="AI28" s="304">
        <v>68.705717501154722641451534160</v>
      </c>
      <c r="AJ28" s="304">
        <v>60.567428536719366547579037800</v>
      </c>
      <c r="AK28" s="304">
        <v>83.71851844173834727977668724</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2.3809523809085034013605630100</v>
      </c>
      <c r="D31" s="287">
        <v>-30.158730158656991685563037500</v>
      </c>
      <c r="E31" s="287">
        <v>-36.144578313283785745391188550</v>
      </c>
      <c r="F31" s="287">
        <v>-22.950819672057887664606218980</v>
      </c>
      <c r="G31" s="287">
        <v>-12.222222222233925925925924370</v>
      </c>
      <c r="H31" s="287">
        <v>38.888888888966049382716092250</v>
      </c>
      <c r="I31" s="287">
        <v>21.818181818257123966942195320</v>
      </c>
      <c r="J31" s="287">
        <v>63.333333332974000000000790560</v>
      </c>
      <c r="K31" s="287">
        <v>20.512820512727810650887645270</v>
      </c>
      <c r="L31" s="287"/>
      <c r="M31" s="287">
        <v>31.707317073100059488399799990</v>
      </c>
      <c r="N31" s="287">
        <v>16.393442623061488847084222390</v>
      </c>
      <c r="O31" s="287">
        <v>-26.086956521742344045368619890</v>
      </c>
      <c r="P31" s="287">
        <v>-59.210526315825969529085839910</v>
      </c>
      <c r="Q31" s="287">
        <v>-3.9215686274170703575547746400</v>
      </c>
      <c r="R31" s="287">
        <v>43.333333333462333333333449420</v>
      </c>
      <c r="S31" s="287">
        <v>0.0000000000847457627119362400</v>
      </c>
      <c r="T31" s="287">
        <v>1.7241379311151605231867465200</v>
      </c>
      <c r="U31" s="287">
        <v>-10.937499999902587890624893460</v>
      </c>
      <c r="V31" s="287">
        <v>80.76923076909171597633146790</v>
      </c>
      <c r="W31" s="287">
        <v>19.827586206991587395957269190</v>
      </c>
      <c r="X31" s="287">
        <v>-0.0000000000227272727272675800</v>
      </c>
      <c r="Y31" s="287">
        <v>92.45283018877365610537562481</v>
      </c>
      <c r="Z31" s="287">
        <v>171.79487179466272189349128510</v>
      </c>
      <c r="AA31" s="287">
        <v>137.77777777774607407407407830</v>
      </c>
      <c r="AB31" s="287">
        <v>128.12499999958652343750074944</v>
      </c>
      <c r="AC31" s="287">
        <v>28.421052631589761772853186500</v>
      </c>
      <c r="AD31" s="287">
        <v>52.857142856941959183673733420</v>
      </c>
      <c r="AE31" s="287"/>
      <c r="AF31" s="287"/>
      <c r="AG31" s="288"/>
      <c r="AH31" s="218"/>
      <c r="AI31" s="302">
        <v>18.638379479849501180572301600</v>
      </c>
      <c r="AJ31" s="302">
        <v>19.896590410166110028132654940</v>
      </c>
      <c r="AK31" s="302">
        <v>15.096774193622049032258111660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8.059701492640534640231776020</v>
      </c>
      <c r="D32" s="202">
        <v>-0.9310986965525919915107935300</v>
      </c>
      <c r="E32" s="202">
        <v>4.2813455658152484358780543100</v>
      </c>
      <c r="F32" s="202">
        <v>17.205882353005639705882388400</v>
      </c>
      <c r="G32" s="202">
        <v>16.614906832224618552525026090</v>
      </c>
      <c r="H32" s="202">
        <v>4.9367088607090177856113045300</v>
      </c>
      <c r="I32" s="202">
        <v>-6.0209424084187864915983476600</v>
      </c>
      <c r="J32" s="202">
        <v>20.285714285873750204081844050</v>
      </c>
      <c r="K32" s="202">
        <v>12.139917695397106640247981400</v>
      </c>
      <c r="L32" s="202">
        <v>10.310965630140925369855974750</v>
      </c>
      <c r="M32" s="202">
        <v>-4.111405835553177395183248100</v>
      </c>
      <c r="N32" s="202">
        <v>0.5706134094042177366346437600</v>
      </c>
      <c r="O32" s="202">
        <v>0.8219178082371326702946175700</v>
      </c>
      <c r="P32" s="202">
        <v>7.1202531645054358275917568700</v>
      </c>
      <c r="Q32" s="202">
        <v>21.925133689924332980640054340</v>
      </c>
      <c r="R32" s="202">
        <v>24.385633270306782780221627560</v>
      </c>
      <c r="S32" s="202">
        <v>4.0114613180035935665553049300</v>
      </c>
      <c r="T32" s="202">
        <v>-19.313850063485240623925289980</v>
      </c>
      <c r="U32" s="202">
        <v>-15.877080665816506957002168840</v>
      </c>
      <c r="V32" s="202">
        <v>2.1505376344349635796045853700</v>
      </c>
      <c r="W32" s="202">
        <v>5.2503052502828894345377909400</v>
      </c>
      <c r="X32" s="202">
        <v>7.328605200928880170346900</v>
      </c>
      <c r="Y32" s="202">
        <v>1.4492753622548834278513320700</v>
      </c>
      <c r="Z32" s="202">
        <v>0.4511278195836146757872244100</v>
      </c>
      <c r="AA32" s="202">
        <v>28.217821782122360552886996200</v>
      </c>
      <c r="AB32" s="202">
        <v>27.906361135630539439702190470</v>
      </c>
      <c r="AC32" s="202">
        <v>6.9930069930048980390239131900</v>
      </c>
      <c r="AD32" s="202">
        <v>26.666666666764292682926904510</v>
      </c>
      <c r="AE32" s="202"/>
      <c r="AF32" s="202"/>
      <c r="AG32" s="290"/>
      <c r="AH32" s="218"/>
      <c r="AI32" s="303">
        <v>6.8793883179479885252070416100</v>
      </c>
      <c r="AJ32" s="303">
        <v>6.5453756763810547302940273300</v>
      </c>
      <c r="AK32" s="303">
        <v>7.555325034512096038291392300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-5.2551960010376232099016861800</v>
      </c>
      <c r="D33" s="292">
        <v>-29.502327246592786391704083990</v>
      </c>
      <c r="E33" s="292">
        <v>-38.76620852914575111277594500</v>
      </c>
      <c r="F33" s="292">
        <v>-34.261678013902715143500058690</v>
      </c>
      <c r="G33" s="292">
        <v>-24.728510134600059537480722410</v>
      </c>
      <c r="H33" s="292">
        <v>32.354912210160678928953332770</v>
      </c>
      <c r="I33" s="292">
        <v>29.622689288458239866700782060</v>
      </c>
      <c r="J33" s="292">
        <v>35.787806808862729101576726130</v>
      </c>
      <c r="K33" s="292">
        <v>7.4664784756902413925288390100</v>
      </c>
      <c r="L33" s="292"/>
      <c r="M33" s="292">
        <v>37.354518773388892697933587930</v>
      </c>
      <c r="N33" s="292">
        <v>15.733054295971783372134979470</v>
      </c>
      <c r="O33" s="292">
        <v>-26.689508506708788911463172090</v>
      </c>
      <c r="P33" s="292">
        <v>-61.921791184007000087394995710</v>
      </c>
      <c r="Q33" s="292">
        <v>-21.198830409329545349553587650</v>
      </c>
      <c r="R33" s="292">
        <v>15.233029381864616444186135810</v>
      </c>
      <c r="S33" s="292">
        <v>-3.8567493113371921627901592400</v>
      </c>
      <c r="T33" s="292">
        <v>26.073852837172710643137805570</v>
      </c>
      <c r="U33" s="292">
        <v>5.8718607306325407435641269400</v>
      </c>
      <c r="V33" s="292">
        <v>76.963562752924529607034765320</v>
      </c>
      <c r="W33" s="292">
        <v>13.850108008691459570312004480</v>
      </c>
      <c r="X33" s="292">
        <v>-6.8281938325481140184927572400</v>
      </c>
      <c r="Y33" s="292">
        <v>89.70350404326155447382322564</v>
      </c>
      <c r="Z33" s="292">
        <v>170.57423614321379555177683044</v>
      </c>
      <c r="AA33" s="292">
        <v>85.44830544839807580252158948</v>
      </c>
      <c r="AB33" s="292">
        <v>78.353131129887558387627312720</v>
      </c>
      <c r="AC33" s="292">
        <v>20.027519779846444412078447230</v>
      </c>
      <c r="AD33" s="292">
        <v>20.676691729235321622707507810</v>
      </c>
      <c r="AE33" s="292"/>
      <c r="AF33" s="292"/>
      <c r="AG33" s="293"/>
      <c r="AH33" s="218"/>
      <c r="AI33" s="304">
        <v>11.002113079850072344538682450</v>
      </c>
      <c r="AJ33" s="304">
        <v>12.531012865771316049266382320</v>
      </c>
      <c r="AK33" s="304">
        <v>7.0116929651687764739965942600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3"/>
      <c r="Y35" s="653"/>
      <c r="Z35" s="653"/>
      <c r="AA35" s="653"/>
      <c r="AB35" s="653"/>
      <c r="AC35" s="653"/>
      <c r="AD35" s="653"/>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145</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107.51162790697674418604651163</v>
      </c>
      <c r="D38" s="295">
        <v>110.11363636363636363636363636</v>
      </c>
      <c r="E38" s="295">
        <v>118.6226415094339622641509434</v>
      </c>
      <c r="F38" s="295">
        <v>126.70212765957446808510638298</v>
      </c>
      <c r="G38" s="295">
        <v>120.06329113924050632911392405</v>
      </c>
      <c r="H38" s="295">
        <v>111.14666666666666666666666667</v>
      </c>
      <c r="I38" s="295">
        <v>115.41791044776119402985074627</v>
      </c>
      <c r="J38" s="295">
        <v>88.89795918367346938775510204</v>
      </c>
      <c r="K38" s="295">
        <v>107.25531914893617021276595745</v>
      </c>
      <c r="L38" s="295"/>
      <c r="M38" s="295">
        <v>115.000000000</v>
      </c>
      <c r="N38" s="295">
        <v>115.02816901408450704225352113</v>
      </c>
      <c r="O38" s="295">
        <v>110.01470588235294117647058824</v>
      </c>
      <c r="P38" s="295">
        <v>90.96774193548387096774193548</v>
      </c>
      <c r="Q38" s="295">
        <v>99.2448979591836734693877551</v>
      </c>
      <c r="R38" s="295">
        <v>96.67441860465116279069767442</v>
      </c>
      <c r="S38" s="295">
        <v>93.83050847457627118644067797</v>
      </c>
      <c r="T38" s="295">
        <v>98.37288135593220338983050847</v>
      </c>
      <c r="U38" s="295">
        <v>96.54385964912280701754385965</v>
      </c>
      <c r="V38" s="295">
        <v>109.56028368794326241134751773</v>
      </c>
      <c r="W38" s="295">
        <v>106.61151079136690647482014388</v>
      </c>
      <c r="X38" s="295">
        <v>88.20454545454545454545454545</v>
      </c>
      <c r="Y38" s="295">
        <v>98.77450980392156862745098039</v>
      </c>
      <c r="Z38" s="295">
        <v>99.56603773584905660377358491</v>
      </c>
      <c r="AA38" s="295">
        <v>98.30841121495327102803738318</v>
      </c>
      <c r="AB38" s="295">
        <v>99.72602739726027397260273973</v>
      </c>
      <c r="AC38" s="295">
        <v>111.69672131147540983606557377</v>
      </c>
      <c r="AD38" s="295">
        <v>99.84112149532710280373831776</v>
      </c>
      <c r="AE38" s="295"/>
      <c r="AF38" s="295"/>
      <c r="AG38" s="296"/>
      <c r="AH38" s="218"/>
      <c r="AI38" s="305">
        <v>105.75860443187175860443187176</v>
      </c>
      <c r="AJ38" s="305">
        <v>103.57851912123677786818551668</v>
      </c>
      <c r="AK38" s="305">
        <v>108.76233183856502242152466368</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119.65571823204419889502762432</v>
      </c>
      <c r="D39" s="207">
        <v>139.3487406015037593984962406</v>
      </c>
      <c r="E39" s="207">
        <v>142.07052785923753665689149559</v>
      </c>
      <c r="F39" s="207">
        <v>146.09846925972396486825595983</v>
      </c>
      <c r="G39" s="207">
        <v>136.370306258322237017310253</v>
      </c>
      <c r="H39" s="207">
        <v>134.85673100120627261761158022</v>
      </c>
      <c r="I39" s="207">
        <v>133.64530640668523676880222841</v>
      </c>
      <c r="J39" s="207">
        <v>120.17969121140142517814726841</v>
      </c>
      <c r="K39" s="207">
        <v>137.74974311926605504587155962</v>
      </c>
      <c r="L39" s="207">
        <v>143.9077151335311572700296736</v>
      </c>
      <c r="M39" s="207">
        <v>136.00625172890733056708160443</v>
      </c>
      <c r="N39" s="207">
        <v>132.9863262411347517730496454</v>
      </c>
      <c r="O39" s="207">
        <v>136.69892663043478260869565218</v>
      </c>
      <c r="P39" s="207">
        <v>135.2623338257016248153618907</v>
      </c>
      <c r="Q39" s="207">
        <v>130.14013157894736842105263158</v>
      </c>
      <c r="R39" s="207">
        <v>137.66876899696048632218844984</v>
      </c>
      <c r="S39" s="207">
        <v>141.4679063360881542699724518</v>
      </c>
      <c r="T39" s="207">
        <v>136.92388976377952755905511812</v>
      </c>
      <c r="U39" s="207">
        <v>131.20566210045662100456621004</v>
      </c>
      <c r="V39" s="207">
        <v>138.41991812865497076023391813</v>
      </c>
      <c r="W39" s="207">
        <v>139.00614849187935034802784223</v>
      </c>
      <c r="X39" s="207">
        <v>134.99008810572687224669603523</v>
      </c>
      <c r="Y39" s="207">
        <v>141.07851785714285714285714285</v>
      </c>
      <c r="Z39" s="207">
        <v>144.04239520958083832335329341</v>
      </c>
      <c r="AA39" s="207">
        <v>146.02247104247104247104247105</v>
      </c>
      <c r="AB39" s="207">
        <v>153.67954397394136807817589578</v>
      </c>
      <c r="AC39" s="207">
        <v>139.84824836601307189542483661</v>
      </c>
      <c r="AD39" s="207">
        <v>134.91435173299101412066752247</v>
      </c>
      <c r="AE39" s="207"/>
      <c r="AF39" s="207"/>
      <c r="AG39" s="298"/>
      <c r="AH39" s="218"/>
      <c r="AI39" s="306">
        <v>138.00689927387885172155639033</v>
      </c>
      <c r="AJ39" s="306">
        <v>138.6764317233329121337021685</v>
      </c>
      <c r="AK39" s="306">
        <v>136.66469860151101109146439479</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89.85080654358939453684872486</v>
      </c>
      <c r="D40" s="292">
        <v>79.020187687617365392284984800</v>
      </c>
      <c r="E40" s="292">
        <v>83.49560130233046568098363024</v>
      </c>
      <c r="F40" s="292">
        <v>86.72378862118862384237546450</v>
      </c>
      <c r="G40" s="292">
        <v>88.04210713718552746648798060</v>
      </c>
      <c r="H40" s="292">
        <v>82.41833080298946790948891758</v>
      </c>
      <c r="I40" s="292">
        <v>86.36136468311840586724998004</v>
      </c>
      <c r="J40" s="292">
        <v>73.970866697684434210144714150</v>
      </c>
      <c r="K40" s="292">
        <v>77.862445853017869013458442330</v>
      </c>
      <c r="L40" s="292"/>
      <c r="M40" s="292">
        <v>84.55493665778572684971651560</v>
      </c>
      <c r="N40" s="292">
        <v>86.49623782037716994852851592</v>
      </c>
      <c r="O40" s="292">
        <v>80.47956819719983993240941579</v>
      </c>
      <c r="P40" s="292">
        <v>67.252825943921348117500948380</v>
      </c>
      <c r="Q40" s="292">
        <v>76.260025831474215997971846740</v>
      </c>
      <c r="R40" s="292">
        <v>70.222476244236510226967141490</v>
      </c>
      <c r="S40" s="292">
        <v>66.326356913527359060559802280</v>
      </c>
      <c r="T40" s="292">
        <v>71.844936282214844238227507680</v>
      </c>
      <c r="U40" s="292">
        <v>73.582083351839506170812320540</v>
      </c>
      <c r="V40" s="292">
        <v>79.150663552680589233586743920</v>
      </c>
      <c r="W40" s="292">
        <v>76.695536095354260461754926600</v>
      </c>
      <c r="X40" s="292">
        <v>65.341497803512426310250209510</v>
      </c>
      <c r="Y40" s="292">
        <v>70.013855620436392951799072570</v>
      </c>
      <c r="Z40" s="292">
        <v>69.122731256285909360642274030</v>
      </c>
      <c r="AA40" s="292">
        <v>67.324166282832250084189903140</v>
      </c>
      <c r="AB40" s="292">
        <v>64.892193728917582248845187030</v>
      </c>
      <c r="AC40" s="292">
        <v>79.86994661467007096604679240</v>
      </c>
      <c r="AD40" s="292">
        <v>74.003336348467960513309786590</v>
      </c>
      <c r="AE40" s="292"/>
      <c r="AF40" s="292"/>
      <c r="AG40" s="293"/>
      <c r="AH40" s="218"/>
      <c r="AI40" s="304">
        <v>76.632838639446868211267394490</v>
      </c>
      <c r="AJ40" s="304">
        <v>74.690787637156822191818753810</v>
      </c>
      <c r="AK40" s="304">
        <v>79.58334006626292908718324993</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-11.094932622721866607493086220</v>
      </c>
      <c r="D43" s="287">
        <v>19.709388971719171159679522290</v>
      </c>
      <c r="E43" s="287">
        <v>9.946166893125523667415468010</v>
      </c>
      <c r="F43" s="287">
        <v>9.349600838074929954723685780</v>
      </c>
      <c r="G43" s="287">
        <v>14.273436997971841862418718370</v>
      </c>
      <c r="H43" s="287">
        <v>2.2038314176245210727969348700</v>
      </c>
      <c r="I43" s="287">
        <v>7.1751658724869415409615647400</v>
      </c>
      <c r="J43" s="287">
        <v>-4.0669505212501888079904473700</v>
      </c>
      <c r="K43" s="287">
        <v>3.4617226516736491690180703200</v>
      </c>
      <c r="L43" s="287"/>
      <c r="M43" s="287">
        <v>14.247637509047747348555205510</v>
      </c>
      <c r="N43" s="287">
        <v>16.906336385465640444616808060</v>
      </c>
      <c r="O43" s="287">
        <v>-1.5624106090444894994597412300</v>
      </c>
      <c r="P43" s="287">
        <v>-21.302807204390940428242144490</v>
      </c>
      <c r="Q43" s="287">
        <v>-3.0737304496247290092218663100</v>
      </c>
      <c r="R43" s="287">
        <v>-9.846672112513633291892909660</v>
      </c>
      <c r="S43" s="287">
        <v>-22.832450515762080784706473080</v>
      </c>
      <c r="T43" s="287">
        <v>-10.331178396270263081681255580</v>
      </c>
      <c r="U43" s="287">
        <v>-12.839511672395829466457793520</v>
      </c>
      <c r="V43" s="287">
        <v>-20.608490081200534484530784250</v>
      </c>
      <c r="W43" s="287">
        <v>-6.6857673598539111817766793200</v>
      </c>
      <c r="X43" s="287">
        <v>-33.782630950327173735181821250</v>
      </c>
      <c r="Y43" s="287">
        <v>9.154483311299355138403182830</v>
      </c>
      <c r="Z43" s="287">
        <v>-18.848997456669662266357370900</v>
      </c>
      <c r="AA43" s="287">
        <v>-12.932916656694892114182271820</v>
      </c>
      <c r="AB43" s="287">
        <v>-1.5051581261626923727380348300</v>
      </c>
      <c r="AC43" s="287">
        <v>0.3422082703419271990749350300</v>
      </c>
      <c r="AD43" s="287">
        <v>-4.4582569422707150203461074100</v>
      </c>
      <c r="AE43" s="287"/>
      <c r="AF43" s="287"/>
      <c r="AG43" s="288"/>
      <c r="AH43" s="218"/>
      <c r="AI43" s="302">
        <v>-3.9763498713536873654639636300</v>
      </c>
      <c r="AJ43" s="302">
        <v>-4.0387909399035311395621006200</v>
      </c>
      <c r="AK43" s="302">
        <v>-3.9212967196618292608205040100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-8.452296230783923117771584700</v>
      </c>
      <c r="D44" s="202">
        <v>-3.6155019620251057444761910400</v>
      </c>
      <c r="E44" s="202">
        <v>2.9061702860914876381764544500</v>
      </c>
      <c r="F44" s="202">
        <v>-0.5560233597934293955666952300</v>
      </c>
      <c r="G44" s="202">
        <v>-5.4519818669872395894509897800</v>
      </c>
      <c r="H44" s="202">
        <v>-11.216966007162069130635761650</v>
      </c>
      <c r="I44" s="202">
        <v>-4.933208295741201052023546100</v>
      </c>
      <c r="J44" s="202">
        <v>-7.8486641626245689794540169900</v>
      </c>
      <c r="K44" s="202">
        <v>3.1907556360915216071099257500</v>
      </c>
      <c r="L44" s="202">
        <v>-0.6487509271517496900739000300</v>
      </c>
      <c r="M44" s="202">
        <v>-3.0341438473086109445591038700</v>
      </c>
      <c r="N44" s="202">
        <v>0.9352186750906707646664025200</v>
      </c>
      <c r="O44" s="202">
        <v>3.8298734100582834959939205600</v>
      </c>
      <c r="P44" s="202">
        <v>0.5251873052154322729305047600</v>
      </c>
      <c r="Q44" s="202">
        <v>-0.9314885482156040479441327300</v>
      </c>
      <c r="R44" s="202">
        <v>-3.4464899139871484181203192500</v>
      </c>
      <c r="S44" s="202">
        <v>-0.4733207317321638109392448300</v>
      </c>
      <c r="T44" s="202">
        <v>-3.7801164058900878387525330100</v>
      </c>
      <c r="U44" s="202">
        <v>-8.198354619801275267969728840</v>
      </c>
      <c r="V44" s="202">
        <v>-4.1448126048784091144034316400</v>
      </c>
      <c r="W44" s="202">
        <v>2.2863117504477164153135535100</v>
      </c>
      <c r="X44" s="202">
        <v>3.3869844483780306738405392700</v>
      </c>
      <c r="Y44" s="202">
        <v>-4.5202907656743841643115945200</v>
      </c>
      <c r="Z44" s="202">
        <v>-3.5262939726882847072279276700</v>
      </c>
      <c r="AA44" s="202">
        <v>6.2090461497177291185998630500</v>
      </c>
      <c r="AB44" s="202">
        <v>20.864390246486163599996187490</v>
      </c>
      <c r="AC44" s="202">
        <v>10.582870585768144215974433380</v>
      </c>
      <c r="AD44" s="202">
        <v>9.989176790200001697678788800</v>
      </c>
      <c r="AE44" s="202"/>
      <c r="AF44" s="202"/>
      <c r="AG44" s="290"/>
      <c r="AH44" s="218"/>
      <c r="AI44" s="303">
        <v>-0.8986811298257731182839642900</v>
      </c>
      <c r="AJ44" s="303">
        <v>-0.8324788745566021207764228500</v>
      </c>
      <c r="AK44" s="303">
        <v>-1.0251476335368414859512009100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-2.8866222560496789017434359600</v>
      </c>
      <c r="D45" s="292">
        <v>24.199836497099225862788225630</v>
      </c>
      <c r="E45" s="292">
        <v>6.8411802592170912942448937700</v>
      </c>
      <c r="F45" s="292">
        <v>9.961009738836791686071186320</v>
      </c>
      <c r="G45" s="292">
        <v>20.862858105922990631394552650</v>
      </c>
      <c r="H45" s="292">
        <v>15.116398732129897670800054100</v>
      </c>
      <c r="I45" s="292">
        <v>12.736702218661771005245518760</v>
      </c>
      <c r="J45" s="292">
        <v>4.103807727811884506888533800</v>
      </c>
      <c r="K45" s="292">
        <v>0.2625884595047578422977624500</v>
      </c>
      <c r="L45" s="292"/>
      <c r="M45" s="292">
        <v>17.822542946630380227478563180</v>
      </c>
      <c r="N45" s="292">
        <v>15.823136780328634885346557750</v>
      </c>
      <c r="O45" s="292">
        <v>-5.1933839867268176365984793100</v>
      </c>
      <c r="P45" s="292">
        <v>-21.713955571428750842251135700</v>
      </c>
      <c r="Q45" s="292">
        <v>-2.1623842631665971057110471200</v>
      </c>
      <c r="R45" s="292">
        <v>-6.6286375222804296403001864700</v>
      </c>
      <c r="S45" s="292">
        <v>-22.465463480111928015297251570</v>
      </c>
      <c r="T45" s="292">
        <v>-6.8084285136598136226881005900</v>
      </c>
      <c r="U45" s="292">
        <v>-5.0556360219546589578869501100</v>
      </c>
      <c r="V45" s="292">
        <v>-17.175572781935326487916485720</v>
      </c>
      <c r="W45" s="292">
        <v>-8.771534486607738275529630980</v>
      </c>
      <c r="X45" s="292">
        <v>-35.951929149517764870606723830</v>
      </c>
      <c r="Y45" s="292">
        <v>14.322178174375279569082190430</v>
      </c>
      <c r="Z45" s="292">
        <v>-15.882776888092913175962845660</v>
      </c>
      <c r="AA45" s="292">
        <v>-18.022911889691345993609195560</v>
      </c>
      <c r="AB45" s="292">
        <v>-18.507972718047350145618735090</v>
      </c>
      <c r="AC45" s="292">
        <v>-9.260622609226014954881135040</v>
      </c>
      <c r="AD45" s="292">
        <v>-13.135323087312601417029802350</v>
      </c>
      <c r="AE45" s="292"/>
      <c r="AF45" s="292"/>
      <c r="AG45" s="293"/>
      <c r="AH45" s="218"/>
      <c r="AI45" s="304">
        <v>-3.1055779848053802618572729900</v>
      </c>
      <c r="AJ45" s="304">
        <v>-3.2332280054552927039689215200</v>
      </c>
      <c r="AK45" s="304">
        <v>-2.9261464067325765612909176800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3"/>
      <c r="Y47" s="653"/>
      <c r="Z47" s="653"/>
      <c r="AA47" s="653"/>
      <c r="AB47" s="653"/>
      <c r="AC47" s="653"/>
      <c r="AD47" s="653"/>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145</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24.854838709677419354838709677</v>
      </c>
      <c r="D50" s="295">
        <v>26.048387096774193548387096774</v>
      </c>
      <c r="E50" s="295">
        <v>33.801075268817204301075268817</v>
      </c>
      <c r="F50" s="295">
        <v>32.016129032258064516129032258</v>
      </c>
      <c r="G50" s="295">
        <v>50.994623655913978494623655914</v>
      </c>
      <c r="H50" s="295">
        <v>89.63440860215053763440860215</v>
      </c>
      <c r="I50" s="295">
        <v>83.15053763440860215053763441</v>
      </c>
      <c r="J50" s="295">
        <v>23.41935483870967741935483871</v>
      </c>
      <c r="K50" s="295">
        <v>27.102150537634408602150537634</v>
      </c>
      <c r="L50" s="295"/>
      <c r="M50" s="295">
        <v>33.387096774193548387096774194</v>
      </c>
      <c r="N50" s="295">
        <v>43.908602150537634408602150538</v>
      </c>
      <c r="O50" s="295">
        <v>40.220430107526881720430107527</v>
      </c>
      <c r="P50" s="295">
        <v>15.161290322580645161290322581</v>
      </c>
      <c r="Q50" s="295">
        <v>26.145161290322580645161290323</v>
      </c>
      <c r="R50" s="295">
        <v>44.698924731182795698924731183</v>
      </c>
      <c r="S50" s="295">
        <v>29.763440860215053763440860215</v>
      </c>
      <c r="T50" s="295">
        <v>31.204301075268817204301075269</v>
      </c>
      <c r="U50" s="295">
        <v>29.586021505376344086021505376</v>
      </c>
      <c r="V50" s="295">
        <v>83.05376344086021505376344086</v>
      </c>
      <c r="W50" s="295">
        <v>79.67204301075268817204301075</v>
      </c>
      <c r="X50" s="295">
        <v>20.865591397849462365591397849</v>
      </c>
      <c r="Y50" s="295">
        <v>54.166666666666666666666666667</v>
      </c>
      <c r="Z50" s="295">
        <v>56.741935483870967741935483871</v>
      </c>
      <c r="AA50" s="295">
        <v>56.55376344086021505376344086</v>
      </c>
      <c r="AB50" s="295">
        <v>39.139784946236559139784946237</v>
      </c>
      <c r="AC50" s="295">
        <v>73.263440860215053763440860215</v>
      </c>
      <c r="AD50" s="295">
        <v>57.435483870967741935483870968</v>
      </c>
      <c r="AE50" s="295"/>
      <c r="AF50" s="295"/>
      <c r="AG50" s="296"/>
      <c r="AH50" s="218"/>
      <c r="AI50" s="305">
        <v>44.66626841895659099960175229</v>
      </c>
      <c r="AJ50" s="305">
        <v>36.020939445387662705149971703</v>
      </c>
      <c r="AK50" s="305">
        <v>65.198924731182795698924731183</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39.88523941068139963167587477</v>
      </c>
      <c r="D51" s="207">
        <v>68.262918968692449355432780847</v>
      </c>
      <c r="E51" s="207">
        <v>89.2192449355432780847145488</v>
      </c>
      <c r="F51" s="207">
        <v>107.21959484346224677716390424</v>
      </c>
      <c r="G51" s="207">
        <v>94.30395948434622467771639042</v>
      </c>
      <c r="H51" s="207">
        <v>102.94312154696132596685082873</v>
      </c>
      <c r="I51" s="207">
        <v>88.35849907918968692449355433</v>
      </c>
      <c r="J51" s="207">
        <v>46.588996316758747697974217311</v>
      </c>
      <c r="K51" s="207">
        <v>69.128554327808471454880294659</v>
      </c>
      <c r="L51" s="207">
        <v>89.31289134438305709023941068</v>
      </c>
      <c r="M51" s="207">
        <v>90.54559852670349907918968692</v>
      </c>
      <c r="N51" s="207">
        <v>86.33090239410681399631675875</v>
      </c>
      <c r="O51" s="207">
        <v>92.64310313075506445672191529</v>
      </c>
      <c r="P51" s="207">
        <v>84.32099447513812154696132597</v>
      </c>
      <c r="Q51" s="207">
        <v>54.644475138121546961325966851</v>
      </c>
      <c r="R51" s="207">
        <v>83.41256906077348066298342541</v>
      </c>
      <c r="S51" s="207">
        <v>94.57246777163904235727440147</v>
      </c>
      <c r="T51" s="207">
        <v>80.06139042357274401473296501</v>
      </c>
      <c r="U51" s="207">
        <v>79.37580110497237569060773481</v>
      </c>
      <c r="V51" s="207">
        <v>108.97700736648250460405156538</v>
      </c>
      <c r="W51" s="207">
        <v>110.33453038674033149171270718</v>
      </c>
      <c r="X51" s="207">
        <v>56.432320441988950276243093923</v>
      </c>
      <c r="Y51" s="207">
        <v>72.747670349907918968692449355</v>
      </c>
      <c r="Z51" s="207">
        <v>88.60066298342541436464088398</v>
      </c>
      <c r="AA51" s="207">
        <v>104.47464088397790055248618785</v>
      </c>
      <c r="AB51" s="207">
        <v>97.37795665634674922600619195</v>
      </c>
      <c r="AC51" s="207">
        <v>98.51188766114180478821362799</v>
      </c>
      <c r="AD51" s="207">
        <v>96.77558011049723756906077348</v>
      </c>
      <c r="AE51" s="207"/>
      <c r="AF51" s="207"/>
      <c r="AG51" s="298"/>
      <c r="AH51" s="218"/>
      <c r="AI51" s="306">
        <v>84.83437782586137100958440951</v>
      </c>
      <c r="AJ51" s="306">
        <v>79.6248927683606155460148584</v>
      </c>
      <c r="AK51" s="306">
        <v>97.85809046961325966850828729</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62.315881957598629796304184370</v>
      </c>
      <c r="D52" s="292">
        <v>38.158911881160448130251091430</v>
      </c>
      <c r="E52" s="292">
        <v>37.885408348000807096648026320</v>
      </c>
      <c r="F52" s="292">
        <v>29.860333905373814439458619350</v>
      </c>
      <c r="G52" s="292">
        <v>54.074742921482223801320203370</v>
      </c>
      <c r="H52" s="292">
        <v>87.07178027550563531816057623</v>
      </c>
      <c r="I52" s="292">
        <v>94.10587379927849396978672893</v>
      </c>
      <c r="J52" s="292">
        <v>50.267996072421620465749347920</v>
      </c>
      <c r="K52" s="292">
        <v>39.205435150746813217013745010</v>
      </c>
      <c r="L52" s="292"/>
      <c r="M52" s="292">
        <v>36.873241016070364851369320600</v>
      </c>
      <c r="N52" s="292">
        <v>50.860816848751511026344246450</v>
      </c>
      <c r="O52" s="292">
        <v>43.414381371423699923574351810</v>
      </c>
      <c r="P52" s="292">
        <v>17.980445340997224660578014790</v>
      </c>
      <c r="Q52" s="292">
        <v>47.845937259434446556366987930</v>
      </c>
      <c r="R52" s="292">
        <v>53.587756898605340286992820340</v>
      </c>
      <c r="S52" s="292">
        <v>31.471570491420527130417432040</v>
      </c>
      <c r="T52" s="292">
        <v>38.975467338462069617546920390</v>
      </c>
      <c r="U52" s="292">
        <v>37.27335169347056391642260500</v>
      </c>
      <c r="V52" s="292">
        <v>76.212189569073538864128394460</v>
      </c>
      <c r="W52" s="292">
        <v>72.209527453933456287603106010</v>
      </c>
      <c r="X52" s="292">
        <v>36.974540891499749833362341980</v>
      </c>
      <c r="Y52" s="292">
        <v>74.458283552087829779168666530</v>
      </c>
      <c r="Z52" s="292">
        <v>64.042337351924777066685152080</v>
      </c>
      <c r="AA52" s="292">
        <v>54.131570075127452546988207230</v>
      </c>
      <c r="AB52" s="292">
        <v>40.193680674962445165727671070</v>
      </c>
      <c r="AC52" s="292">
        <v>74.370152272642972607963715390</v>
      </c>
      <c r="AD52" s="292">
        <v>59.349149656749080258445505860</v>
      </c>
      <c r="AE52" s="292"/>
      <c r="AF52" s="292"/>
      <c r="AG52" s="293"/>
      <c r="AH52" s="218"/>
      <c r="AI52" s="304">
        <v>52.651141628718287502738914210</v>
      </c>
      <c r="AJ52" s="304">
        <v>45.238289425594004898475263320</v>
      </c>
      <c r="AK52" s="304">
        <v>66.625993229897631857851969090</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-8.978145304182986195546861550</v>
      </c>
      <c r="D55" s="287">
        <v>-16.393442622965247033197072430</v>
      </c>
      <c r="E55" s="287">
        <v>-29.793411501921287808856289160</v>
      </c>
      <c r="F55" s="287">
        <v>-15.747028862478777589134125640</v>
      </c>
      <c r="G55" s="287">
        <v>0.3066835871786277560188074300</v>
      </c>
      <c r="H55" s="287">
        <v>41.949765857862595914568158610</v>
      </c>
      <c r="I55" s="287">
        <v>30.558838426495113766406634330</v>
      </c>
      <c r="J55" s="287">
        <v>56.690647482431478701931652140</v>
      </c>
      <c r="K55" s="287">
        <v>24.684640118637369034792929840</v>
      </c>
      <c r="L55" s="287"/>
      <c r="M55" s="287">
        <v>50.472498182772218317510429960</v>
      </c>
      <c r="N55" s="287">
        <v>36.071309563483374585456963790</v>
      </c>
      <c r="O55" s="287">
        <v>-27.241781754557847801130831620</v>
      </c>
      <c r="P55" s="287">
        <v>-67.899829254411658512709062910</v>
      </c>
      <c r="Q55" s="287">
        <v>-6.8747606280975679449449402600</v>
      </c>
      <c r="R55" s="287">
        <v>29.219769971883037241249116990</v>
      </c>
      <c r="S55" s="287">
        <v>-22.832450515714751928039229180</v>
      </c>
      <c r="T55" s="287">
        <v>-8.785164230829200789008492020</v>
      </c>
      <c r="U55" s="287">
        <v>-22.372690083214395151375350160</v>
      </c>
      <c r="V55" s="287">
        <v>43.515421776379338701572287590</v>
      </c>
      <c r="W55" s="287">
        <v>11.816192560242551085828260800</v>
      </c>
      <c r="X55" s="287">
        <v>-33.782630950408519078494774900</v>
      </c>
      <c r="Y55" s="287">
        <v>110.07089241000906197199414744</v>
      </c>
      <c r="Z55" s="287">
        <v>120.56426332299464038285792835</v>
      </c>
      <c r="AA55" s="287">
        <v>107.02617594942878952777654548</v>
      </c>
      <c r="AB55" s="287">
        <v>124.69135802481618655692736702</v>
      </c>
      <c r="AC55" s="287">
        <v>28.860520094511469107858444620</v>
      </c>
      <c r="AD55" s="287">
        <v>46.042378674133311405650358600</v>
      </c>
      <c r="AE55" s="287"/>
      <c r="AF55" s="287"/>
      <c r="AG55" s="288"/>
      <c r="AH55" s="218"/>
      <c r="AI55" s="302">
        <v>13.920902430111374571276510960</v>
      </c>
      <c r="AJ55" s="302">
        <v>15.054217779545747772734363820</v>
      </c>
      <c r="AK55" s="302">
        <v>10.583488162761786333490752110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-1.0738245837222658249713947800</v>
      </c>
      <c r="D56" s="202">
        <v>-4.5129367667940930433907643900</v>
      </c>
      <c r="E56" s="202">
        <v>7.3119390445473736769874829100</v>
      </c>
      <c r="F56" s="202">
        <v>16.554190268034352432693706600</v>
      </c>
      <c r="G56" s="202">
        <v>10.257083257654867213204340880</v>
      </c>
      <c r="H56" s="202">
        <v>-6.8340061011910288503426589100</v>
      </c>
      <c r="I56" s="202">
        <v>-10.657125073738492653393902900</v>
      </c>
      <c r="J56" s="202">
        <v>10.844892535765879254644811770</v>
      </c>
      <c r="K56" s="202">
        <v>15.718028439628553305761347570</v>
      </c>
      <c r="L56" s="202">
        <v>9.595322217898466604225302830</v>
      </c>
      <c r="M56" s="202">
        <v>-7.0208037156699334157613799500</v>
      </c>
      <c r="N56" s="202">
        <v>1.5111685677119016376875634700</v>
      </c>
      <c r="O56" s="202">
        <v>4.6832696298343054150991863200</v>
      </c>
      <c r="P56" s="202">
        <v>7.6828351355007114579738008800</v>
      </c>
      <c r="Q56" s="202">
        <v>20.789415032185090474964594430</v>
      </c>
      <c r="R56" s="202">
        <v>20.098694965249066093933574260</v>
      </c>
      <c r="S56" s="202">
        <v>3.5191535083086619353562699400</v>
      </c>
      <c r="T56" s="202">
        <v>-22.363880454529791548134224880</v>
      </c>
      <c r="U56" s="202">
        <v>-22.773775909355754475683848240</v>
      </c>
      <c r="V56" s="202">
        <v>-2.0834107254797772637545594500</v>
      </c>
      <c r="W56" s="202">
        <v>7.6566553466717874110572744500</v>
      </c>
      <c r="X56" s="202">
        <v>10.963808367810927824451201940</v>
      </c>
      <c r="Y56" s="202">
        <v>-3.1365268637034090146237648700</v>
      </c>
      <c r="Z56" s="202">
        <v>-3.0910742462838357585429393700</v>
      </c>
      <c r="AA56" s="202">
        <v>36.178925508913195999070476060</v>
      </c>
      <c r="AB56" s="202">
        <v>54.593243473268367194861744290</v>
      </c>
      <c r="AC56" s="202">
        <v>18.315938458918018369734401540</v>
      </c>
      <c r="AD56" s="202">
        <v>39.319623934292119097490357160</v>
      </c>
      <c r="AE56" s="202"/>
      <c r="AF56" s="202"/>
      <c r="AG56" s="290"/>
      <c r="AH56" s="218"/>
      <c r="AI56" s="303">
        <v>5.9188834234312814629066791200</v>
      </c>
      <c r="AJ56" s="303">
        <v>5.65840793199412341042001800</v>
      </c>
      <c r="AK56" s="303">
        <v>6.4527241652561065282484378200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-7.990120599717290199747844600</v>
      </c>
      <c r="D57" s="292">
        <v>-12.442005706289492297132922640</v>
      </c>
      <c r="E57" s="292">
        <v>-34.577094475062236944661636910</v>
      </c>
      <c r="F57" s="292">
        <v>-27.713477358780086863200452190</v>
      </c>
      <c r="G57" s="292">
        <v>-9.024726009873328217488014930</v>
      </c>
      <c r="H57" s="292">
        <v>52.362208481242963096874080180</v>
      </c>
      <c r="I57" s="292">
        <v>46.132345230981778462688336510</v>
      </c>
      <c r="J57" s="292">
        <v>41.360277318607930989014087420</v>
      </c>
      <c r="K57" s="292">
        <v>7.7486730459873752013149760900</v>
      </c>
      <c r="L57" s="292"/>
      <c r="M57" s="292">
        <v>61.834586870775570691886938860</v>
      </c>
      <c r="N57" s="292">
        <v>34.045653777156644001269268480</v>
      </c>
      <c r="O57" s="292">
        <v>-30.496803832464039148473547310</v>
      </c>
      <c r="P57" s="292">
        <v>-70.190076528707528590370058650</v>
      </c>
      <c r="Q57" s="292">
        <v>-22.902814499786976337323211500</v>
      </c>
      <c r="R57" s="292">
        <v>7.5946495582970589676732422800</v>
      </c>
      <c r="S57" s="292">
        <v>-25.455776183482787502211674920</v>
      </c>
      <c r="T57" s="292">
        <v>17.490204692574211653696963810</v>
      </c>
      <c r="U57" s="292">
        <v>0.5193648023086695884197810400</v>
      </c>
      <c r="V57" s="292">
        <v>46.569057234934754051232376850</v>
      </c>
      <c r="W57" s="292">
        <v>3.8637065215988090827189137900</v>
      </c>
      <c r="X57" s="292">
        <v>-40.325255573311436118172758250</v>
      </c>
      <c r="Y57" s="292">
        <v>116.87317789507027483518037744</v>
      </c>
      <c r="Z57" s="292">
        <v>127.59953389987919507302593306</v>
      </c>
      <c r="AA57" s="292">
        <v>52.025120756255672244918578580</v>
      </c>
      <c r="AB57" s="292">
        <v>45.343582278506096588518159390</v>
      </c>
      <c r="AC57" s="292">
        <v>8.912224145891188151366228900</v>
      </c>
      <c r="AD57" s="292">
        <v>4.8254183795511999728104343700</v>
      </c>
      <c r="AE57" s="292"/>
      <c r="AF57" s="292"/>
      <c r="AG57" s="293"/>
      <c r="AH57" s="218"/>
      <c r="AI57" s="304">
        <v>7.5548558934519397548290116600</v>
      </c>
      <c r="AJ57" s="304">
        <v>8.892628642856628137706667900</v>
      </c>
      <c r="AK57" s="304">
        <v>3.8803741565604221830524352400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4" t="s">
        <v>82</v>
      </c>
      <c r="C60" s="654"/>
      <c r="D60" s="654"/>
      <c r="E60" s="654"/>
      <c r="F60" s="654"/>
      <c r="G60" s="654"/>
      <c r="H60" s="654"/>
      <c r="I60" s="654"/>
      <c r="J60" s="654"/>
      <c r="K60" s="654"/>
      <c r="L60" s="654"/>
      <c r="M60" s="654"/>
      <c r="N60" s="654"/>
      <c r="O60" s="654"/>
      <c r="P60" s="654"/>
      <c r="Q60" s="654"/>
      <c r="R60" s="654"/>
      <c r="S60" s="654"/>
      <c r="T60" s="654"/>
      <c r="U60" s="654"/>
      <c r="V60" s="654"/>
      <c r="W60" s="654"/>
      <c r="X60" s="654"/>
      <c r="Y60" s="654"/>
      <c r="Z60" s="654"/>
      <c r="AA60" s="654"/>
      <c r="AB60" s="654"/>
      <c r="AC60" s="654"/>
      <c r="AD60" s="654"/>
      <c r="AE60" s="654"/>
      <c r="AF60" s="654"/>
      <c r="AG60" s="654"/>
      <c r="AH60" s="654"/>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5" t="s">
        <v>114</v>
      </c>
      <c r="C62" s="655"/>
      <c r="D62" s="655"/>
      <c r="E62" s="655"/>
      <c r="F62" s="655"/>
      <c r="G62" s="655"/>
      <c r="H62" s="655"/>
      <c r="I62" s="655"/>
      <c r="J62" s="655"/>
      <c r="K62" s="655"/>
      <c r="L62" s="655"/>
      <c r="M62" s="655"/>
      <c r="N62" s="655"/>
      <c r="O62" s="655"/>
      <c r="P62" s="655"/>
      <c r="Q62" s="655"/>
      <c r="R62" s="655"/>
      <c r="S62" s="655"/>
      <c r="T62" s="655"/>
      <c r="U62" s="655"/>
      <c r="V62" s="655"/>
      <c r="W62" s="655"/>
      <c r="X62" s="655"/>
      <c r="Y62" s="655"/>
      <c r="Z62" s="655"/>
      <c r="AA62" s="655"/>
      <c r="AB62" s="655"/>
      <c r="AC62" s="655"/>
      <c r="AD62" s="655"/>
      <c r="AE62" s="655"/>
      <c r="AF62" s="655"/>
      <c r="AG62" s="655"/>
      <c r="AH62" s="655"/>
      <c r="AI62" s="655"/>
      <c r="AJ62" s="655"/>
      <c r="AK62" s="655"/>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30"/>
</worksheet>
</file>

<file path=xl/worksheets/sheet3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105"/>
  <sheetViews>
    <sheetView showGridLines="0" zoomScale="75"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123</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7.1" customHeight="1">
      <c r="A4" t="s">
        <v>143</v>
      </c>
      <c r="B4" s="442"/>
      <c r="C4" s="211"/>
      <c r="D4" s="212"/>
      <c r="E4" s="212"/>
      <c r="F4" s="212"/>
      <c r="G4" s="212"/>
      <c r="H4" s="212"/>
      <c r="I4" s="212"/>
      <c r="J4" s="212"/>
      <c r="K4" s="212"/>
      <c r="L4" s="212"/>
      <c r="M4" s="212"/>
      <c r="N4" s="212"/>
      <c r="O4" s="212"/>
      <c r="P4" s="212"/>
      <c r="Q4" s="212"/>
      <c r="R4" s="666" t="s">
        <v>146</v>
      </c>
      <c r="S4" s="666"/>
      <c r="T4" s="666"/>
      <c r="U4" s="666"/>
      <c r="V4" s="666"/>
      <c r="W4" s="666"/>
      <c r="X4" s="666"/>
      <c r="Y4" s="666"/>
      <c r="Z4" s="666"/>
      <c r="AA4" s="666"/>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row>
    <row r="7" ht="15.75">
      <c r="D7" s="621" t="s">
        <v>54</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27" customHeight="1">
      <c r="A9" s="92"/>
      <c r="D9" s="339" t="s">
        <v>63</v>
      </c>
      <c r="E9" s="340" t="s">
        <v>26</v>
      </c>
      <c r="F9" s="341" t="s">
        <v>147</v>
      </c>
      <c r="G9" s="339" t="s">
        <v>63</v>
      </c>
      <c r="H9" s="340" t="s">
        <v>26</v>
      </c>
      <c r="I9" s="341" t="s">
        <v>147</v>
      </c>
      <c r="J9" s="340" t="s">
        <v>63</v>
      </c>
      <c r="K9" s="340" t="s">
        <v>26</v>
      </c>
      <c r="L9" s="341" t="s">
        <v>147</v>
      </c>
      <c r="M9" s="339" t="s">
        <v>63</v>
      </c>
      <c r="N9" s="340" t="s">
        <v>26</v>
      </c>
      <c r="O9" s="341" t="s">
        <v>147</v>
      </c>
      <c r="P9" s="96"/>
      <c r="Q9" s="339" t="s">
        <v>63</v>
      </c>
      <c r="R9" s="340" t="s">
        <v>26</v>
      </c>
      <c r="S9" s="341" t="s">
        <v>147</v>
      </c>
      <c r="T9" s="339" t="s">
        <v>63</v>
      </c>
      <c r="U9" s="340" t="s">
        <v>26</v>
      </c>
      <c r="V9" s="341" t="s">
        <v>147</v>
      </c>
      <c r="W9" s="340"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5.6" customHeight="1">
      <c r="A10" s="92" t="s">
        <v>145</v>
      </c>
      <c r="B10" s="667">
        <v>1</v>
      </c>
      <c r="C10" s="668" t="s">
        <v>49</v>
      </c>
      <c r="D10" s="669">
        <v>17.741935483870967741935483870</v>
      </c>
      <c r="E10" s="670">
        <v>25.328554360812425328554360810</v>
      </c>
      <c r="F10" s="671">
        <v>52.878110148168856583729382160</v>
      </c>
      <c r="G10" s="669">
        <v>3.7634408602150537634408602200</v>
      </c>
      <c r="H10" s="670">
        <v>3.2258064516129032258064516100</v>
      </c>
      <c r="I10" s="671">
        <v>3.7004938961886124312738794100</v>
      </c>
      <c r="J10" s="670">
        <v>1.6129032258064516129032258100</v>
      </c>
      <c r="K10" s="670">
        <v>4.7789725209080047789725209100</v>
      </c>
      <c r="L10" s="671">
        <v>0.2921442549622588761532010100</v>
      </c>
      <c r="M10" s="669">
        <v>23.118279569892473118279569890</v>
      </c>
      <c r="N10" s="670">
        <v>33.333333333333333333333333330</v>
      </c>
      <c r="O10" s="671">
        <v>56.870748299319727891156462590</v>
      </c>
      <c r="P10" s="4"/>
      <c r="Q10" s="669">
        <v>-17.500000000053624999999965150</v>
      </c>
      <c r="R10" s="670">
        <v>19.164596098834593107270276300</v>
      </c>
      <c r="S10" s="671">
        <v>29.791065183788628556644517710</v>
      </c>
      <c r="T10" s="669">
        <v>0</v>
      </c>
      <c r="U10" s="670">
        <v>18.377660086638382047033973540</v>
      </c>
      <c r="V10" s="671">
        <v>220.93211205869776464760480925</v>
      </c>
      <c r="W10" s="670">
        <v>50.000000000600000000002400330</v>
      </c>
      <c r="X10" s="670">
        <v>-30.407019349459478036852358680</v>
      </c>
      <c r="Y10" s="671">
        <v>52.020474133067362201497016960</v>
      </c>
      <c r="Z10" s="669">
        <v>2.3809523809085034013605630100</v>
      </c>
      <c r="AA10" s="670">
        <v>8.059701492640534640231776020</v>
      </c>
      <c r="AB10" s="671">
        <v>35.129310344678332388897311120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5.6" customHeight="1">
      <c r="A11" s="92"/>
      <c r="B11" s="344">
        <v>2</v>
      </c>
      <c r="C11" s="351" t="s">
        <v>47</v>
      </c>
      <c r="D11" s="327">
        <v>19.354838709677419354838709680</v>
      </c>
      <c r="E11" s="171">
        <v>38.288774581401748481192184760</v>
      </c>
      <c r="F11" s="328">
        <v>68.366217284807807286543617040</v>
      </c>
      <c r="G11" s="327">
        <v>3.2258064516129032258064516100</v>
      </c>
      <c r="H11" s="171">
        <v>6.0811583158696894646599352300</v>
      </c>
      <c r="I11" s="328">
        <v>6.372350479276360199810989600</v>
      </c>
      <c r="J11" s="171">
        <v>1.075268817204301075268817200</v>
      </c>
      <c r="K11" s="171">
        <v>4.6171757583455049639084693400</v>
      </c>
      <c r="L11" s="328">
        <v>0.1820671565507531485660282700</v>
      </c>
      <c r="M11" s="327">
        <v>23.655913978494623655913978490</v>
      </c>
      <c r="N11" s="171">
        <v>48.987108655616942909760589320</v>
      </c>
      <c r="O11" s="328">
        <v>74.920634920634920634920634920</v>
      </c>
      <c r="P11" s="4"/>
      <c r="Q11" s="327">
        <v>-39.999999999945999999999951390</v>
      </c>
      <c r="R11" s="171">
        <v>5.1213866007559722679601418600</v>
      </c>
      <c r="S11" s="328">
        <v>7.3101780334972901321188207900</v>
      </c>
      <c r="T11" s="327">
        <v>0</v>
      </c>
      <c r="U11" s="171">
        <v>-5.0069417221807809553767223400</v>
      </c>
      <c r="V11" s="328">
        <v>81.83632544051079102520716077</v>
      </c>
      <c r="W11" s="171">
        <v>-33.333333333066666666665600270</v>
      </c>
      <c r="X11" s="171">
        <v>-30.279786240175562234319760870</v>
      </c>
      <c r="Y11" s="328">
        <v>-32.460793400101297272799634430</v>
      </c>
      <c r="Z11" s="327">
        <v>-30.158730158656991685563037500</v>
      </c>
      <c r="AA11" s="171">
        <v>-0.9310986965525919915107935300</v>
      </c>
      <c r="AB11" s="328">
        <v>11.021505376309391801075279660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5.6" customHeight="1">
      <c r="A12" s="92"/>
      <c r="B12" s="346">
        <v>3</v>
      </c>
      <c r="C12" s="352" t="s">
        <v>48</v>
      </c>
      <c r="D12" s="359">
        <v>24.193548387096774193548387100</v>
      </c>
      <c r="E12" s="170">
        <v>53.357416064598385040373990650</v>
      </c>
      <c r="F12" s="360">
        <v>71.826194909993792675356921170</v>
      </c>
      <c r="G12" s="359">
        <v>2.6881720430107526881720430100</v>
      </c>
      <c r="H12" s="170">
        <v>5.2698682532936676583085422900</v>
      </c>
      <c r="I12" s="360">
        <v>9.171233484082646093819278180</v>
      </c>
      <c r="J12" s="170">
        <v>1.6129032258064516129032258100</v>
      </c>
      <c r="K12" s="170">
        <v>4.1719790338574868961609293100</v>
      </c>
      <c r="L12" s="360">
        <v>0.2724128757648310720936419300</v>
      </c>
      <c r="M12" s="359">
        <v>28.494623655913978494623655910</v>
      </c>
      <c r="N12" s="170">
        <v>62.799263351749539594843462250</v>
      </c>
      <c r="O12" s="360">
        <v>81.26984126984126984126984127</v>
      </c>
      <c r="P12" s="4"/>
      <c r="Q12" s="359">
        <v>-44.444444444477366255144013410</v>
      </c>
      <c r="R12" s="170">
        <v>13.917733642603421501845241730</v>
      </c>
      <c r="S12" s="360">
        <v>0.6889024097900643515980561500</v>
      </c>
      <c r="T12" s="359">
        <v>0</v>
      </c>
      <c r="U12" s="170">
        <v>-36.584516401393458492617901290</v>
      </c>
      <c r="V12" s="360">
        <v>96.00267032169451604944090895</v>
      </c>
      <c r="W12" s="170">
        <v>50.000000000600000000002400330</v>
      </c>
      <c r="X12" s="170">
        <v>-17.751017281812632961625856740</v>
      </c>
      <c r="Y12" s="360">
        <v>54.279329571733122914000255870</v>
      </c>
      <c r="Z12" s="359">
        <v>-36.144578313283785745391188550</v>
      </c>
      <c r="AA12" s="170">
        <v>4.2813455658152484358780543100</v>
      </c>
      <c r="AB12" s="360">
        <v>6.6666666666333333333333437500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15.6" customHeight="1">
      <c r="A13" s="92"/>
      <c r="B13" s="344">
        <v>4</v>
      </c>
      <c r="C13" s="351" t="s">
        <v>50</v>
      </c>
      <c r="D13" s="327">
        <v>22.580645161290322580645161290</v>
      </c>
      <c r="E13" s="171">
        <v>59.462435376866582351505469400</v>
      </c>
      <c r="F13" s="328">
        <v>72.889783716177053781153717090</v>
      </c>
      <c r="G13" s="327">
        <v>1.6129032258064516129032258100</v>
      </c>
      <c r="H13" s="171">
        <v>10.720922363487097561516785370</v>
      </c>
      <c r="I13" s="328">
        <v>10.279328472794199892213985740</v>
      </c>
      <c r="J13" s="171">
        <v>1.075268817204301075268817200</v>
      </c>
      <c r="K13" s="171">
        <v>3.2052242117641838070514100600</v>
      </c>
      <c r="L13" s="328">
        <v>0.1868968813235309071311633800</v>
      </c>
      <c r="M13" s="327">
        <v>25.268817204301075268817204300</v>
      </c>
      <c r="N13" s="171">
        <v>73.388581952117863720073664830</v>
      </c>
      <c r="O13" s="328">
        <v>83.35600907029478458049886621</v>
      </c>
      <c r="P13" s="4"/>
      <c r="Q13" s="327"/>
      <c r="R13" s="171">
        <v>29.800301742944584982434463970</v>
      </c>
      <c r="S13" s="328">
        <v>12.610078103372629358473299230</v>
      </c>
      <c r="T13" s="327"/>
      <c r="U13" s="171">
        <v>-14.390281714911867723922980540</v>
      </c>
      <c r="V13" s="328">
        <v>24.022332660711293229474257640</v>
      </c>
      <c r="W13" s="171"/>
      <c r="X13" s="171">
        <v>-25.135625221119104038214736320</v>
      </c>
      <c r="Y13" s="328">
        <v>0</v>
      </c>
      <c r="Z13" s="327">
        <v>-22.950819672057887664606218980</v>
      </c>
      <c r="AA13" s="171">
        <v>17.205882353005639705882388400</v>
      </c>
      <c r="AB13" s="328">
        <v>14.161490683187623548474225690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5.6" customHeight="1">
      <c r="A14" s="92"/>
      <c r="B14" s="346">
        <v>5</v>
      </c>
      <c r="C14" s="352" t="s">
        <v>51</v>
      </c>
      <c r="D14" s="359">
        <v>32.795698924731182795698924730</v>
      </c>
      <c r="E14" s="170">
        <v>51.088887708362846484393445720</v>
      </c>
      <c r="F14" s="360">
        <v>71.192083248557333640001297440</v>
      </c>
      <c r="G14" s="359">
        <v>8.602150537634408602150537630</v>
      </c>
      <c r="H14" s="170">
        <v>13.076982103225197147849081550</v>
      </c>
      <c r="I14" s="360">
        <v>12.173302784486139492641443230</v>
      </c>
      <c r="J14" s="170">
        <v>1.075268817204301075268817200</v>
      </c>
      <c r="K14" s="170">
        <v>4.9869847003824904377390565200</v>
      </c>
      <c r="L14" s="360">
        <v>0.2173804068658239195114543400</v>
      </c>
      <c r="M14" s="359">
        <v>42.473118279569892473118279570</v>
      </c>
      <c r="N14" s="170">
        <v>69.152854511970534069981583790</v>
      </c>
      <c r="O14" s="360">
        <v>83.58276643990929705215419501</v>
      </c>
      <c r="P14" s="4"/>
      <c r="Q14" s="359">
        <v>5.172413793186860879904941300</v>
      </c>
      <c r="R14" s="170">
        <v>34.880935984885992723530790340</v>
      </c>
      <c r="S14" s="360">
        <v>26.297135601676236242549050810</v>
      </c>
      <c r="T14" s="359">
        <v>-46.666666666783999999999741890</v>
      </c>
      <c r="U14" s="170">
        <v>-23.103769289903065894232335730</v>
      </c>
      <c r="V14" s="360">
        <v>-7.7677406674952125178341571900</v>
      </c>
      <c r="W14" s="170">
        <v>0.000000000400000000001599600</v>
      </c>
      <c r="X14" s="170">
        <v>12.900609918933935943126810350</v>
      </c>
      <c r="Y14" s="360">
        <v>18.584333421216891992491700080</v>
      </c>
      <c r="Z14" s="359">
        <v>-12.222222222233925925925924370</v>
      </c>
      <c r="AA14" s="170">
        <v>16.614906832224618552525026090</v>
      </c>
      <c r="AB14" s="360">
        <v>19.830949284826729780962911680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5.6" customHeight="1">
      <c r="A15" s="92"/>
      <c r="B15" s="344">
        <v>6</v>
      </c>
      <c r="C15" s="351" t="s">
        <v>52</v>
      </c>
      <c r="D15" s="327">
        <v>60.215053763440860215053763440</v>
      </c>
      <c r="E15" s="171">
        <v>59.745445301703972329717699300</v>
      </c>
      <c r="F15" s="328">
        <v>72.617858332144046429760715470</v>
      </c>
      <c r="G15" s="327">
        <v>18.817204301075268817204301080</v>
      </c>
      <c r="H15" s="171">
        <v>11.657647863747116552140038890</v>
      </c>
      <c r="I15" s="328">
        <v>14.830407687550544693401836260</v>
      </c>
      <c r="J15" s="171">
        <v>1.6129032258064516129032258100</v>
      </c>
      <c r="K15" s="171">
        <v>4.9320817885083954643669395300</v>
      </c>
      <c r="L15" s="328">
        <v>0.3068360211217354074496931600</v>
      </c>
      <c r="M15" s="327">
        <v>80.64516129032258064516129032</v>
      </c>
      <c r="N15" s="171">
        <v>76.335174953959484346224677720</v>
      </c>
      <c r="O15" s="328">
        <v>87.75510204081632653061224490</v>
      </c>
      <c r="P15" s="4"/>
      <c r="Q15" s="327">
        <v>62.318840579921865154379608230</v>
      </c>
      <c r="R15" s="171">
        <v>20.590711198623273351325559710</v>
      </c>
      <c r="S15" s="328">
        <v>11.535526401236167326750078060</v>
      </c>
      <c r="T15" s="327">
        <v>-7.8947368421876731301938320600</v>
      </c>
      <c r="U15" s="171">
        <v>-38.902488893822505599987615130</v>
      </c>
      <c r="V15" s="328">
        <v>11.849710983011826760114991950</v>
      </c>
      <c r="W15" s="171">
        <v>200.00000000120000000000480066</v>
      </c>
      <c r="X15" s="171">
        <v>19.721438767883577456003018030</v>
      </c>
      <c r="Y15" s="328">
        <v>235.54913289589111898967479270</v>
      </c>
      <c r="Z15" s="327">
        <v>38.888888888966049382716092250</v>
      </c>
      <c r="AA15" s="171">
        <v>4.9367088607090177856113045300</v>
      </c>
      <c r="AB15" s="328">
        <v>11.849710982689346453272753760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5.6" customHeight="1">
      <c r="A16" s="92"/>
      <c r="B16" s="346">
        <v>7</v>
      </c>
      <c r="C16" s="352" t="s">
        <v>53</v>
      </c>
      <c r="D16" s="359">
        <v>53.225806451612903225806451610</v>
      </c>
      <c r="E16" s="170">
        <v>51.119211710428888762317024550</v>
      </c>
      <c r="F16" s="360">
        <v>71.290271884331290271884331290</v>
      </c>
      <c r="G16" s="359">
        <v>17.741935483870967741935483870</v>
      </c>
      <c r="H16" s="170">
        <v>10.905431831558162935960965240</v>
      </c>
      <c r="I16" s="360">
        <v>11.927587316554784730173697640</v>
      </c>
      <c r="J16" s="170">
        <v>1.075268817204301075268817200</v>
      </c>
      <c r="K16" s="170">
        <v>4.0895369368343111009853619600</v>
      </c>
      <c r="L16" s="360">
        <v>0.1835013433316120727719030400</v>
      </c>
      <c r="M16" s="359">
        <v>72.043010752688172043010752690</v>
      </c>
      <c r="N16" s="170">
        <v>66.114180478821362799263351750</v>
      </c>
      <c r="O16" s="360">
        <v>83.40136054421768707482993197</v>
      </c>
      <c r="P16" s="4"/>
      <c r="Q16" s="359">
        <v>39.436619718137036302321182260</v>
      </c>
      <c r="R16" s="170">
        <v>-0.2944177554443619947526776500</v>
      </c>
      <c r="S16" s="360">
        <v>9.425384950976323516433699220</v>
      </c>
      <c r="T16" s="359">
        <v>-10.810810810902410518626640770</v>
      </c>
      <c r="U16" s="170">
        <v>-27.438850028149697480717845960</v>
      </c>
      <c r="V16" s="360">
        <v>-10.968045071838812652874766020</v>
      </c>
      <c r="W16" s="170">
        <v>0.000000000400000000001599600</v>
      </c>
      <c r="X16" s="170">
        <v>0.9650211786789431829927615400</v>
      </c>
      <c r="Y16" s="360">
        <v>-0.0102659925620264149839191900</v>
      </c>
      <c r="Z16" s="359">
        <v>21.818181818257123966942195320</v>
      </c>
      <c r="AA16" s="170">
        <v>-6.0209424084187864915983476600</v>
      </c>
      <c r="AB16" s="360">
        <v>5.9331797234467746580942761700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15.6" customHeight="1">
      <c r="A17" s="92"/>
      <c r="B17" s="344">
        <v>8</v>
      </c>
      <c r="C17" s="351" t="s">
        <v>49</v>
      </c>
      <c r="D17" s="327">
        <v>24.731182795698924731182795700</v>
      </c>
      <c r="E17" s="171">
        <v>29.750738789669793138892457920</v>
      </c>
      <c r="F17" s="328">
        <v>47.615350488021295474711623780</v>
      </c>
      <c r="G17" s="327">
        <v>0.537634408602150537634408600</v>
      </c>
      <c r="H17" s="171">
        <v>3.6061501563236112895627221700</v>
      </c>
      <c r="I17" s="328">
        <v>7.2870452528837622005323868700</v>
      </c>
      <c r="J17" s="171">
        <v>1.075268817204301075268817200</v>
      </c>
      <c r="K17" s="171">
        <v>5.4092252344854169343440832600</v>
      </c>
      <c r="L17" s="328">
        <v>0.1996450754214729370008873100</v>
      </c>
      <c r="M17" s="327">
        <v>26.344086021505376344086021510</v>
      </c>
      <c r="N17" s="171">
        <v>38.766114180478821362799263350</v>
      </c>
      <c r="O17" s="328">
        <v>55.102040816326530612244897960</v>
      </c>
      <c r="P17" s="4"/>
      <c r="Q17" s="327"/>
      <c r="R17" s="171">
        <v>41.157146082826424357774587520</v>
      </c>
      <c r="S17" s="328">
        <v>16.106594349576449436034073150</v>
      </c>
      <c r="T17" s="327"/>
      <c r="U17" s="171">
        <v>-48.166894665062514605293990030</v>
      </c>
      <c r="V17" s="328">
        <v>31.997793396569551560537508540</v>
      </c>
      <c r="W17" s="171"/>
      <c r="X17" s="171">
        <v>28.950652298572426877703253840</v>
      </c>
      <c r="Y17" s="328">
        <v>0</v>
      </c>
      <c r="Z17" s="327">
        <v>63.333333332974000000000790560</v>
      </c>
      <c r="AA17" s="171">
        <v>20.285714285873750204081844050</v>
      </c>
      <c r="AB17" s="328">
        <v>18.421052631573753462603878350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5.6" customHeight="1">
      <c r="A18" s="92"/>
      <c r="B18" s="346">
        <v>9</v>
      </c>
      <c r="C18" s="352" t="s">
        <v>47</v>
      </c>
      <c r="D18" s="359">
        <v>23.118279569892473118279569890</v>
      </c>
      <c r="E18" s="170">
        <v>41.111968005529076113295489510</v>
      </c>
      <c r="F18" s="360">
        <v>59.504880931716550532728279650</v>
      </c>
      <c r="G18" s="359">
        <v>0</v>
      </c>
      <c r="H18" s="170">
        <v>3.5599748831603389930507267500</v>
      </c>
      <c r="I18" s="360">
        <v>16.405551284912506922574619160</v>
      </c>
      <c r="J18" s="170">
        <v>2.1505376344086021505376344100</v>
      </c>
      <c r="K18" s="170">
        <v>5.5122191739256861827882220600</v>
      </c>
      <c r="L18" s="360">
        <v>0.3707469216929380095497089100</v>
      </c>
      <c r="M18" s="359">
        <v>25.268817204301075268817204300</v>
      </c>
      <c r="N18" s="170">
        <v>50.184162062615101289134438310</v>
      </c>
      <c r="O18" s="360">
        <v>76.281179138321995464852607710</v>
      </c>
      <c r="P18" s="4"/>
      <c r="Q18" s="359">
        <v>16.216216216096859021183468080</v>
      </c>
      <c r="R18" s="170">
        <v>17.105803858910903715764458080</v>
      </c>
      <c r="S18" s="360">
        <v>-1.2138931275707329578735584600</v>
      </c>
      <c r="T18" s="359">
        <v>0</v>
      </c>
      <c r="U18" s="170">
        <v>-20.904515718451705465206984260</v>
      </c>
      <c r="V18" s="360">
        <v>131.30928815304023355857567474</v>
      </c>
      <c r="W18" s="170">
        <v>100.00000000080000000000320013</v>
      </c>
      <c r="X18" s="170">
        <v>7.1616238668115682119967301200</v>
      </c>
      <c r="Y18" s="360">
        <v>85.57016336393314026420310765</v>
      </c>
      <c r="Z18" s="359">
        <v>20.512820512727810650887645270</v>
      </c>
      <c r="AA18" s="170">
        <v>12.139917695397106640247981400</v>
      </c>
      <c r="AB18" s="360">
        <v>12.961719274684028521672926370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5.6" customHeight="1">
      <c r="A19" s="92"/>
      <c r="B19" s="344">
        <v>10</v>
      </c>
      <c r="C19" s="351" t="s">
        <v>48</v>
      </c>
      <c r="D19" s="327"/>
      <c r="E19" s="171">
        <v>52.287753222836095764272559850</v>
      </c>
      <c r="F19" s="328">
        <v>71.777957492243206528920814630</v>
      </c>
      <c r="G19" s="327"/>
      <c r="H19" s="171">
        <v>4.8098526703499079189686924500</v>
      </c>
      <c r="I19" s="328">
        <v>18.788935931793074650217507360</v>
      </c>
      <c r="J19" s="171"/>
      <c r="K19" s="171">
        <v>4.9650092081031307550644567200</v>
      </c>
      <c r="L19" s="328">
        <v>0</v>
      </c>
      <c r="M19" s="327"/>
      <c r="N19" s="171">
        <v>62.062615101289134438305709020</v>
      </c>
      <c r="O19" s="328">
        <v>90.56689342403628117913832200</v>
      </c>
      <c r="P19" s="4"/>
      <c r="Q19" s="327"/>
      <c r="R19" s="171">
        <v>6.8120882413546775295856965700</v>
      </c>
      <c r="S19" s="328">
        <v>2.5303093028158793564245052700</v>
      </c>
      <c r="T19" s="327"/>
      <c r="U19" s="171">
        <v>51.653597094760952215886597240</v>
      </c>
      <c r="V19" s="328">
        <v>187.02622943325793307640424154</v>
      </c>
      <c r="W19" s="171"/>
      <c r="X19" s="171">
        <v>20.018330604782702175987693930</v>
      </c>
      <c r="Y19" s="328">
        <v>-100</v>
      </c>
      <c r="Z19" s="327"/>
      <c r="AA19" s="171">
        <v>10.310965630140925369855974750</v>
      </c>
      <c r="AB19" s="328">
        <v>17.886658795744833491076917280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5.6" customHeight="1">
      <c r="A20" s="92"/>
      <c r="B20" s="346">
        <v>11</v>
      </c>
      <c r="C20" s="352" t="s">
        <v>50</v>
      </c>
      <c r="D20" s="359">
        <v>26.881720430107526881720430110</v>
      </c>
      <c r="E20" s="170">
        <v>48.948599219252233702589138470</v>
      </c>
      <c r="F20" s="360">
        <v>72.407336766482293852120287370</v>
      </c>
      <c r="G20" s="359">
        <v>0</v>
      </c>
      <c r="H20" s="170">
        <v>12.012614946009149096736325270</v>
      </c>
      <c r="I20" s="360">
        <v>8.979273952571682878758980230</v>
      </c>
      <c r="J20" s="170">
        <v>2.1505376344086021505376344100</v>
      </c>
      <c r="K20" s="170">
        <v>5.6133714700977332227739837700</v>
      </c>
      <c r="L20" s="360">
        <v>0.3820967639392205480322970300</v>
      </c>
      <c r="M20" s="359">
        <v>29.032258064516129032258064520</v>
      </c>
      <c r="N20" s="170">
        <v>66.574585635359116022099447510</v>
      </c>
      <c r="O20" s="360">
        <v>81.76870748299319727891156463</v>
      </c>
      <c r="P20" s="4"/>
      <c r="Q20" s="359">
        <v>28.205128205029585798816643920</v>
      </c>
      <c r="R20" s="170">
        <v>-6.88209357968583711443999700</v>
      </c>
      <c r="S20" s="360">
        <v>2.0028417322951047308998160100</v>
      </c>
      <c r="T20" s="359">
        <v>0</v>
      </c>
      <c r="U20" s="170">
        <v>-5.4063379185393722870085333800</v>
      </c>
      <c r="V20" s="360">
        <v>128.27806612569900259149867090</v>
      </c>
      <c r="W20" s="170">
        <v>100.00000000080000000000320013</v>
      </c>
      <c r="X20" s="170">
        <v>34.818069789900007873552761620</v>
      </c>
      <c r="Y20" s="360">
        <v>108.85014558843426615195991282</v>
      </c>
      <c r="Z20" s="359">
        <v>31.707317073100059488399799990</v>
      </c>
      <c r="AA20" s="170">
        <v>-4.111405835553177395183248100</v>
      </c>
      <c r="AB20" s="360">
        <v>8.876811594241360467863907730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15.6" customHeight="1">
      <c r="A21" s="92"/>
      <c r="B21" s="344">
        <v>12</v>
      </c>
      <c r="C21" s="351" t="s">
        <v>51</v>
      </c>
      <c r="D21" s="327">
        <v>20.430107526881720430107526880</v>
      </c>
      <c r="E21" s="171">
        <v>40.338995769587933476535752140</v>
      </c>
      <c r="F21" s="328">
        <v>58.497776371530524354444620230</v>
      </c>
      <c r="G21" s="327">
        <v>15.591397849462365591397849460</v>
      </c>
      <c r="H21" s="171">
        <v>19.287771201305705897250701160</v>
      </c>
      <c r="I21" s="328">
        <v>14.862627221431208142171597320</v>
      </c>
      <c r="J21" s="171">
        <v>2.1505376344086021505376344100</v>
      </c>
      <c r="K21" s="171">
        <v>5.2903601009295650461030494600</v>
      </c>
      <c r="L21" s="328">
        <v>0.3810930056777232856967076200</v>
      </c>
      <c r="M21" s="327">
        <v>38.172043010752688172043010750</v>
      </c>
      <c r="N21" s="171">
        <v>64.917127071823204419889502760</v>
      </c>
      <c r="O21" s="328">
        <v>73.741496598639455782312925170</v>
      </c>
      <c r="P21" s="4"/>
      <c r="Q21" s="327">
        <v>-36.666666666609666666666615370</v>
      </c>
      <c r="R21" s="171">
        <v>-2.6070747042608826718379311200</v>
      </c>
      <c r="S21" s="328">
        <v>-6.7660062313204145069399461300</v>
      </c>
      <c r="T21" s="327">
        <v>0</v>
      </c>
      <c r="U21" s="171">
        <v>3.6332218609991678236726909600</v>
      </c>
      <c r="V21" s="328">
        <v>104.27154301135260478128815609</v>
      </c>
      <c r="W21" s="171">
        <v>300.00000000160000000000640026</v>
      </c>
      <c r="X21" s="171">
        <v>17.084391065020712545399084080</v>
      </c>
      <c r="Y21" s="328">
        <v>303.30535416724829868843170042</v>
      </c>
      <c r="Z21" s="327">
        <v>16.393442623061488847084222390</v>
      </c>
      <c r="AA21" s="171">
        <v>0.5706134094042177366346437600</v>
      </c>
      <c r="AB21" s="328">
        <v>5.174644243219164258136426300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15.6" customHeight="1">
      <c r="A22" s="92"/>
      <c r="B22" s="346">
        <v>13</v>
      </c>
      <c r="C22" s="352" t="s">
        <v>52</v>
      </c>
      <c r="D22" s="359">
        <v>35.483870967741935483870967740</v>
      </c>
      <c r="E22" s="170">
        <v>37.750483235164299955861984990</v>
      </c>
      <c r="F22" s="360">
        <v>61.130458299527762175206474030</v>
      </c>
      <c r="G22" s="359">
        <v>0</v>
      </c>
      <c r="H22" s="170">
        <v>24.756251617125549822686939710</v>
      </c>
      <c r="I22" s="360">
        <v>11.105999411560167972824778670</v>
      </c>
      <c r="J22" s="170">
        <v>1.075268817204301075268817200</v>
      </c>
      <c r="K22" s="170">
        <v>5.2649041900674246229243717900</v>
      </c>
      <c r="L22" s="360">
        <v>0.1898461437873532986807654500</v>
      </c>
      <c r="M22" s="359">
        <v>36.559139784946236559139784950</v>
      </c>
      <c r="N22" s="170">
        <v>67.771639042357274401473296500</v>
      </c>
      <c r="O22" s="360">
        <v>72.426303854875283446712018140</v>
      </c>
      <c r="P22" s="4"/>
      <c r="Q22" s="359">
        <v>-25.842696629226814796111599680</v>
      </c>
      <c r="R22" s="170">
        <v>-23.989928051990623946291875160</v>
      </c>
      <c r="S22" s="360">
        <v>-4.8451092337760729194687784800</v>
      </c>
      <c r="T22" s="359">
        <v>0</v>
      </c>
      <c r="U22" s="170">
        <v>85.02971674459173483849719463</v>
      </c>
      <c r="V22" s="360">
        <v>38.100948501940317805338865690</v>
      </c>
      <c r="W22" s="170">
        <v>-33.333333333066666666665600270</v>
      </c>
      <c r="X22" s="170">
        <v>26.122471965751228954116245830</v>
      </c>
      <c r="Y22" s="360">
        <v>-31.539700747735619897098611110</v>
      </c>
      <c r="Z22" s="359">
        <v>-26.086956521742344045368619890</v>
      </c>
      <c r="AA22" s="170">
        <v>0.8219178082371326702946175700</v>
      </c>
      <c r="AB22" s="360">
        <v>-0.1874999999394886718749633200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ht="15.6" customHeight="1">
      <c r="A23" s="92"/>
      <c r="B23" s="344">
        <v>14</v>
      </c>
      <c r="C23" s="351" t="s">
        <v>53</v>
      </c>
      <c r="D23" s="327">
        <v>15.053763440860215053763440860</v>
      </c>
      <c r="E23" s="171">
        <v>38.570142765494987408677001440</v>
      </c>
      <c r="F23" s="328">
        <v>63.690515503473696459628696600</v>
      </c>
      <c r="G23" s="327">
        <v>0</v>
      </c>
      <c r="H23" s="171">
        <v>19.663210037311170051482392890</v>
      </c>
      <c r="I23" s="328">
        <v>6.9892219486037595805774922100</v>
      </c>
      <c r="J23" s="171">
        <v>1.6129032258064516129032258100</v>
      </c>
      <c r="K23" s="171">
        <v>4.1055053924056289118479721400</v>
      </c>
      <c r="L23" s="328">
        <v>0.2953192372649475879117250200</v>
      </c>
      <c r="M23" s="327">
        <v>16.666666666666666666666666670</v>
      </c>
      <c r="N23" s="171">
        <v>62.338858195211786372007366480</v>
      </c>
      <c r="O23" s="328">
        <v>70.975056689342403628117913830</v>
      </c>
      <c r="P23" s="4"/>
      <c r="Q23" s="327">
        <v>-62.162162162201022644265847600</v>
      </c>
      <c r="R23" s="171">
        <v>-11.317065137031902121131373080</v>
      </c>
      <c r="S23" s="328">
        <v>3.7487339565421804446274076900</v>
      </c>
      <c r="T23" s="327">
        <v>0</v>
      </c>
      <c r="U23" s="171">
        <v>82.13537210576714814753644481</v>
      </c>
      <c r="V23" s="328">
        <v>63.790197773304370814194466270</v>
      </c>
      <c r="W23" s="171">
        <v>50.000000000600000000002400330</v>
      </c>
      <c r="X23" s="171">
        <v>5.0780992921217144812084897800</v>
      </c>
      <c r="Y23" s="328">
        <v>52.255676778376914602087316780</v>
      </c>
      <c r="Z23" s="327">
        <v>-59.210526315825969529085839910</v>
      </c>
      <c r="AA23" s="171">
        <v>7.1202531645054358275917568700</v>
      </c>
      <c r="AB23" s="328">
        <v>7.7823691459309082086834293600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row>
    <row r="24" ht="15.6" customHeight="1">
      <c r="A24" s="92"/>
      <c r="B24" s="346">
        <v>15</v>
      </c>
      <c r="C24" s="352" t="s">
        <v>49</v>
      </c>
      <c r="D24" s="359">
        <v>24.731182795698924731182795700</v>
      </c>
      <c r="E24" s="170">
        <v>25.258134613472709454757204330</v>
      </c>
      <c r="F24" s="360">
        <v>49.131365693687833699216738490</v>
      </c>
      <c r="G24" s="359">
        <v>0</v>
      </c>
      <c r="H24" s="170">
        <v>11.441719098410714539334460080</v>
      </c>
      <c r="I24" s="360">
        <v>1.9447832253751434172606625700</v>
      </c>
      <c r="J24" s="170">
        <v>1.6129032258064516129032258100</v>
      </c>
      <c r="K24" s="170">
        <v>5.2890965643596699285602692800</v>
      </c>
      <c r="L24" s="360">
        <v>0.3070710355855489606201046200</v>
      </c>
      <c r="M24" s="359">
        <v>26.344086021505376344086021510</v>
      </c>
      <c r="N24" s="170">
        <v>41.988950276243093922651933700</v>
      </c>
      <c r="O24" s="360">
        <v>51.383219954648526077097505670</v>
      </c>
      <c r="P24" s="4"/>
      <c r="Q24" s="359">
        <v>-6.1224489795726780508121576900</v>
      </c>
      <c r="R24" s="170">
        <v>-8.321075567344813889878622390</v>
      </c>
      <c r="S24" s="360">
        <v>1.1545394420999142281515076100</v>
      </c>
      <c r="T24" s="359">
        <v>0</v>
      </c>
      <c r="U24" s="170">
        <v>342.98420466176128235801995735</v>
      </c>
      <c r="V24" s="360">
        <v>-36.349668752601152525976250790</v>
      </c>
      <c r="W24" s="170">
        <v>50.000000000600000000002400330</v>
      </c>
      <c r="X24" s="170">
        <v>22.865430351485617823386183230</v>
      </c>
      <c r="Y24" s="360">
        <v>45.725758394126180627596711300</v>
      </c>
      <c r="Z24" s="359">
        <v>-3.9215686274170703575547746400</v>
      </c>
      <c r="AA24" s="170">
        <v>21.925133689924332980640054340</v>
      </c>
      <c r="AB24" s="360">
        <v>-0.8748906387130944261888337800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5.6" customHeight="1">
      <c r="A25" s="92"/>
      <c r="B25" s="344">
        <v>16</v>
      </c>
      <c r="C25" s="351" t="s">
        <v>47</v>
      </c>
      <c r="D25" s="327">
        <v>45.698924731182795698924731180</v>
      </c>
      <c r="E25" s="171">
        <v>43.278084714548802946593001840</v>
      </c>
      <c r="F25" s="328">
        <v>70.993377835130929811424960300</v>
      </c>
      <c r="G25" s="327">
        <v>0</v>
      </c>
      <c r="H25" s="171">
        <v>12.428578174434528025688246680</v>
      </c>
      <c r="I25" s="328">
        <v>6.149744831578220671562926500</v>
      </c>
      <c r="J25" s="171">
        <v>0.537634408602150537634408600</v>
      </c>
      <c r="K25" s="171">
        <v>4.8826557113849931529489540500</v>
      </c>
      <c r="L25" s="328">
        <v>0.0904374239937973628171018600</v>
      </c>
      <c r="M25" s="327">
        <v>46.236559139784946236559139780</v>
      </c>
      <c r="N25" s="171">
        <v>60.589318600368324125230202580</v>
      </c>
      <c r="O25" s="328">
        <v>77.233560090702947845804988660</v>
      </c>
      <c r="P25" s="4"/>
      <c r="Q25" s="327">
        <v>49.122807017653739612188446610</v>
      </c>
      <c r="R25" s="171">
        <v>3.467253714803084305293883300</v>
      </c>
      <c r="S25" s="328">
        <v>8.606476982937513590730322070</v>
      </c>
      <c r="T25" s="327">
        <v>0</v>
      </c>
      <c r="U25" s="171">
        <v>351.41926078311478762212082322</v>
      </c>
      <c r="V25" s="328">
        <v>-19.444431562362900363122113680</v>
      </c>
      <c r="W25" s="171">
        <v>-66.666666666533333333332800130</v>
      </c>
      <c r="X25" s="171">
        <v>18.228854016056701023549051830</v>
      </c>
      <c r="Y25" s="328">
        <v>-68.409581000710164108339087110</v>
      </c>
      <c r="Z25" s="327">
        <v>43.333333333462333333333449420</v>
      </c>
      <c r="AA25" s="171">
        <v>24.385633270306782780221627560</v>
      </c>
      <c r="AB25" s="328">
        <v>5.3836633663516325758504089500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5.6" customHeight="1">
      <c r="A26" s="93"/>
      <c r="B26" s="346">
        <v>17</v>
      </c>
      <c r="C26" s="352" t="s">
        <v>48</v>
      </c>
      <c r="D26" s="359">
        <v>31.182795698924731182795698920</v>
      </c>
      <c r="E26" s="170">
        <v>54.726468776716522186778941170</v>
      </c>
      <c r="F26" s="360">
        <v>79.83013534262733493995505527</v>
      </c>
      <c r="G26" s="359">
        <v>0</v>
      </c>
      <c r="H26" s="170">
        <v>6.8964249271472040154071023400</v>
      </c>
      <c r="I26" s="360">
        <v>4.7461435994427666432791352700</v>
      </c>
      <c r="J26" s="170">
        <v>0.537634408602150537634408600</v>
      </c>
      <c r="K26" s="170">
        <v>5.2279350254180417536150614500</v>
      </c>
      <c r="L26" s="360">
        <v>0.0949228719888553328655827100</v>
      </c>
      <c r="M26" s="359">
        <v>31.720430107526881720430107530</v>
      </c>
      <c r="N26" s="170">
        <v>66.850828729281767955801104970</v>
      </c>
      <c r="O26" s="360">
        <v>84.67120181405895691609977324</v>
      </c>
      <c r="P26" s="4"/>
      <c r="Q26" s="359">
        <v>1.7543859649872576177285870900</v>
      </c>
      <c r="R26" s="170">
        <v>0.879497467431706220701163100</v>
      </c>
      <c r="S26" s="360">
        <v>9.274625256141367899071301160</v>
      </c>
      <c r="T26" s="359">
        <v>0</v>
      </c>
      <c r="U26" s="170">
        <v>11.233998732129677874173336320</v>
      </c>
      <c r="V26" s="360">
        <v>-41.529629767579610292250108930</v>
      </c>
      <c r="W26" s="170">
        <v>-49.999999999799999999999200200</v>
      </c>
      <c r="X26" s="170">
        <v>36.739266096702859551088951920</v>
      </c>
      <c r="Y26" s="360">
        <v>-49.715481597640533582428595680</v>
      </c>
      <c r="Z26" s="359">
        <v>0.0000000000847457627119362400</v>
      </c>
      <c r="AA26" s="170">
        <v>4.0114613180035935665553049300</v>
      </c>
      <c r="AB26" s="360">
        <v>4.069119286494058138797853500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5.6" customHeight="1">
      <c r="A27" s="93"/>
      <c r="B27" s="344">
        <v>18</v>
      </c>
      <c r="C27" s="351" t="s">
        <v>50</v>
      </c>
      <c r="D27" s="327">
        <v>30.645161290322580645161290320</v>
      </c>
      <c r="E27" s="171">
        <v>43.968692449355432780847145480</v>
      </c>
      <c r="F27" s="328">
        <v>71.855196846464747268100394190</v>
      </c>
      <c r="G27" s="327">
        <v>0</v>
      </c>
      <c r="H27" s="171">
        <v>9.323204419889502762430939230</v>
      </c>
      <c r="I27" s="328">
        <v>6.6372270179465429203466227600</v>
      </c>
      <c r="J27" s="171">
        <v>1.075268817204301075268817200</v>
      </c>
      <c r="K27" s="171">
        <v>5.1795580110497237569060773500</v>
      </c>
      <c r="L27" s="328">
        <v>0.1923833918245374759520760200</v>
      </c>
      <c r="M27" s="327">
        <v>31.720430107526881720430107530</v>
      </c>
      <c r="N27" s="171">
        <v>58.471454880294659300184162060</v>
      </c>
      <c r="O27" s="328">
        <v>78.684807256235827664399092970</v>
      </c>
      <c r="P27" s="4"/>
      <c r="Q27" s="327">
        <v>16.326530612268638067471891550</v>
      </c>
      <c r="R27" s="171">
        <v>-12.758755437831325083884153710</v>
      </c>
      <c r="S27" s="328">
        <v>0.8804571012290224217785854100</v>
      </c>
      <c r="T27" s="327">
        <v>-100</v>
      </c>
      <c r="U27" s="171">
        <v>-48.972416943873615597151002130</v>
      </c>
      <c r="V27" s="328">
        <v>-13.894419463348676166566029750</v>
      </c>
      <c r="W27" s="171">
        <v>-33.333333333066666666665600270</v>
      </c>
      <c r="X27" s="171">
        <v>36.380026785615223973784425830</v>
      </c>
      <c r="Y27" s="328">
        <v>-34.276899891605607661250222260</v>
      </c>
      <c r="Z27" s="327">
        <v>1.7241379311151605231867465200</v>
      </c>
      <c r="AA27" s="171">
        <v>-19.313850063485240623925289980</v>
      </c>
      <c r="AB27" s="328">
        <v>-0.6868918145258508412000077700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5.6" customHeight="1">
      <c r="A28" s="92"/>
      <c r="B28" s="346">
        <v>19</v>
      </c>
      <c r="C28" s="352" t="s">
        <v>51</v>
      </c>
      <c r="D28" s="359">
        <v>29.569892473118279569892473120</v>
      </c>
      <c r="E28" s="170">
        <v>45.286503551696921862667719020</v>
      </c>
      <c r="F28" s="360">
        <v>61.085536744657916428888466170</v>
      </c>
      <c r="G28" s="359">
        <v>0</v>
      </c>
      <c r="H28" s="170">
        <v>9.910023677979479084451460140</v>
      </c>
      <c r="I28" s="360">
        <v>14.042652125208716420434130150</v>
      </c>
      <c r="J28" s="170">
        <v>1.075268817204301075268817200</v>
      </c>
      <c r="K28" s="170">
        <v>5.3007103393843725335438042600</v>
      </c>
      <c r="L28" s="360">
        <v>0.2006093160744102345776304300</v>
      </c>
      <c r="M28" s="359">
        <v>30.645161290322580645161290320</v>
      </c>
      <c r="N28" s="170">
        <v>60.497237569060773480662983430</v>
      </c>
      <c r="O28" s="360">
        <v>75.328798185941043083900226760</v>
      </c>
      <c r="P28" s="4"/>
      <c r="Q28" s="359">
        <v>0.0000000000618181818182200400</v>
      </c>
      <c r="R28" s="170">
        <v>-6.5533069939383616664240187700</v>
      </c>
      <c r="S28" s="360">
        <v>-5.0678138220354384614023797700</v>
      </c>
      <c r="T28" s="359">
        <v>-100</v>
      </c>
      <c r="U28" s="170">
        <v>-49.472837022111447275200489760</v>
      </c>
      <c r="V28" s="360">
        <v>73.273260465185837411417160110</v>
      </c>
      <c r="W28" s="170">
        <v>-33.333333333066666666665600270</v>
      </c>
      <c r="X28" s="170">
        <v>38.052531403123453350330879180</v>
      </c>
      <c r="Y28" s="360">
        <v>-31.515806573257087336577826950</v>
      </c>
      <c r="Z28" s="359">
        <v>-10.937499999902587890624893460</v>
      </c>
      <c r="AA28" s="170">
        <v>-15.877080665816506957002168840</v>
      </c>
      <c r="AB28" s="360">
        <v>3.5536159601504299180353604100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5.6" customHeight="1">
      <c r="A29" s="92"/>
      <c r="B29" s="344">
        <v>20</v>
      </c>
      <c r="C29" s="351" t="s">
        <v>52</v>
      </c>
      <c r="D29" s="327">
        <v>73.655913978494623655913978490</v>
      </c>
      <c r="E29" s="171">
        <v>59.102404482141467590070811610</v>
      </c>
      <c r="F29" s="328">
        <v>74.181200600953687373440459860</v>
      </c>
      <c r="G29" s="327">
        <v>0</v>
      </c>
      <c r="H29" s="171">
        <v>14.526106917749591471480818610</v>
      </c>
      <c r="I29" s="328">
        <v>14.251560706587161613616640070</v>
      </c>
      <c r="J29" s="171">
        <v>2.1505376344086021505376344100</v>
      </c>
      <c r="K29" s="171">
        <v>5.1007703680647420434207454700</v>
      </c>
      <c r="L29" s="328">
        <v>0.3654246335022349131696574400</v>
      </c>
      <c r="M29" s="327">
        <v>75.806451612903225806451612900</v>
      </c>
      <c r="N29" s="171">
        <v>78.729281767955801104972375690</v>
      </c>
      <c r="O29" s="328">
        <v>88.79818594104308390022675737</v>
      </c>
      <c r="P29" s="4"/>
      <c r="Q29" s="327">
        <v>82.66666666649130666666683500</v>
      </c>
      <c r="R29" s="171">
        <v>4.7582884756904152858760491300</v>
      </c>
      <c r="S29" s="328">
        <v>11.681657668200538927150148490</v>
      </c>
      <c r="T29" s="327">
        <v>-100</v>
      </c>
      <c r="U29" s="171">
        <v>-12.086362259457983982557809420</v>
      </c>
      <c r="V29" s="328">
        <v>37.158505592098521898355533160</v>
      </c>
      <c r="W29" s="171">
        <v>100.00000000080000000000320013</v>
      </c>
      <c r="X29" s="171">
        <v>23.481750720287256379929129790</v>
      </c>
      <c r="Y29" s="328">
        <v>88.15333459881601624435907126</v>
      </c>
      <c r="Z29" s="327">
        <v>80.76923076909171597633146790</v>
      </c>
      <c r="AA29" s="171">
        <v>2.1505376344349635796045853700</v>
      </c>
      <c r="AB29" s="328">
        <v>15.312131919888454302921335950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15.6" customHeight="1">
      <c r="A30" s="92"/>
      <c r="B30" s="346">
        <v>21</v>
      </c>
      <c r="C30" s="352" t="s">
        <v>53</v>
      </c>
      <c r="D30" s="359">
        <v>73.655913978494623655913978490</v>
      </c>
      <c r="E30" s="170">
        <v>57.202382789592271366400197530</v>
      </c>
      <c r="F30" s="360">
        <v>73.451028947143711040901716340</v>
      </c>
      <c r="G30" s="359">
        <v>0</v>
      </c>
      <c r="H30" s="170">
        <v>18.069744950975853164192310460</v>
      </c>
      <c r="I30" s="360">
        <v>14.029971821364529075228417730</v>
      </c>
      <c r="J30" s="170">
        <v>1.075268817204301075268817200</v>
      </c>
      <c r="K30" s="170">
        <v>4.1017212465405310863504017600</v>
      </c>
      <c r="L30" s="360">
        <v>0.1833983244622814258199793200</v>
      </c>
      <c r="M30" s="359">
        <v>74.731182795698924731182795700</v>
      </c>
      <c r="N30" s="170">
        <v>79.37384898710865561694290976</v>
      </c>
      <c r="O30" s="360">
        <v>87.66439909297052154195011338</v>
      </c>
      <c r="P30" s="4"/>
      <c r="Q30" s="359">
        <v>75.641025640890532544378802140</v>
      </c>
      <c r="R30" s="170">
        <v>-0.8553162061123064212962963300</v>
      </c>
      <c r="S30" s="360">
        <v>13.577665717582007401976758530</v>
      </c>
      <c r="T30" s="359">
        <v>-100</v>
      </c>
      <c r="U30" s="170">
        <v>34.852712887674701525144408220</v>
      </c>
      <c r="V30" s="360">
        <v>16.843412984102983869809441500</v>
      </c>
      <c r="W30" s="170">
        <v>-33.333333333066666666665600270</v>
      </c>
      <c r="X30" s="170">
        <v>-5.0282215507421605439061282300</v>
      </c>
      <c r="Y30" s="360">
        <v>-35.341553595980081726505908460</v>
      </c>
      <c r="Z30" s="359">
        <v>19.827586206991587395957269190</v>
      </c>
      <c r="AA30" s="170">
        <v>5.2503052502828894345377909400</v>
      </c>
      <c r="AB30" s="360">
        <v>13.906894519689705810350639850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5.6" customHeight="1">
      <c r="A31" s="92"/>
      <c r="B31" s="344">
        <v>22</v>
      </c>
      <c r="C31" s="351" t="s">
        <v>49</v>
      </c>
      <c r="D31" s="327">
        <v>19.892473118279569892473118280</v>
      </c>
      <c r="E31" s="171">
        <v>33.874340585026476415777049120</v>
      </c>
      <c r="F31" s="328">
        <v>51.596023024594453165881737310</v>
      </c>
      <c r="G31" s="327">
        <v>2.1505376344086021505376344100</v>
      </c>
      <c r="H31" s="171">
        <v>2.9455948334805631665893086200</v>
      </c>
      <c r="I31" s="328">
        <v>6.5934065934065934065934065900</v>
      </c>
      <c r="J31" s="171">
        <v>1.6129032258064516129032258100</v>
      </c>
      <c r="K31" s="171">
        <v>4.9848527951209530511511376600</v>
      </c>
      <c r="L31" s="328">
        <v>0.3139717425431711145996860300</v>
      </c>
      <c r="M31" s="327">
        <v>23.655913978494623655913978490</v>
      </c>
      <c r="N31" s="171">
        <v>41.804788213627992633517495400</v>
      </c>
      <c r="O31" s="328">
        <v>58.503401360544217687074829930</v>
      </c>
      <c r="P31" s="4"/>
      <c r="Q31" s="327">
        <v>-9.756097561024033313503840760</v>
      </c>
      <c r="R31" s="171">
        <v>25.929903195179615176036098160</v>
      </c>
      <c r="S31" s="328">
        <v>7.2108823133337338001165887700</v>
      </c>
      <c r="T31" s="327">
        <v>0</v>
      </c>
      <c r="U31" s="171">
        <v>-61.977686233170653158353131380</v>
      </c>
      <c r="V31" s="328">
        <v>38.871997569094037782562427090</v>
      </c>
      <c r="W31" s="171">
        <v>0.0000000004000000000016002200</v>
      </c>
      <c r="X31" s="171">
        <v>15.821817320196538710114058550</v>
      </c>
      <c r="Y31" s="328">
        <v>-3.0100334526595899368384312900</v>
      </c>
      <c r="Z31" s="327">
        <v>-0.0000000000227272727272675800</v>
      </c>
      <c r="AA31" s="171">
        <v>7.328605200928880170346900</v>
      </c>
      <c r="AB31" s="328">
        <v>9.974424552356538745821962400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5.6" customHeight="1">
      <c r="A32" s="92"/>
      <c r="B32" s="346">
        <v>23</v>
      </c>
      <c r="C32" s="352" t="s">
        <v>47</v>
      </c>
      <c r="D32" s="359">
        <v>37.634408602150537634408602150</v>
      </c>
      <c r="E32" s="170">
        <v>44.945497984172017321188591910</v>
      </c>
      <c r="F32" s="360">
        <v>67.413907413907413907413907410</v>
      </c>
      <c r="G32" s="359">
        <v>15.591397849462365591397849460</v>
      </c>
      <c r="H32" s="170">
        <v>1.3936588522223881339903439400</v>
      </c>
      <c r="I32" s="360">
        <v>11.026091026091026091026091030</v>
      </c>
      <c r="J32" s="170">
        <v>1.6129032258064516129032258100</v>
      </c>
      <c r="K32" s="170">
        <v>5.2262206958339555024637897600</v>
      </c>
      <c r="L32" s="360">
        <v>0.2901602901602901602901602900</v>
      </c>
      <c r="M32" s="359">
        <v>54.838709677419354838709677420</v>
      </c>
      <c r="N32" s="170">
        <v>51.565377532228360957642725600</v>
      </c>
      <c r="O32" s="360">
        <v>78.730158730158730158730158730</v>
      </c>
      <c r="P32" s="4"/>
      <c r="Q32" s="359">
        <v>40.000000000039200000000010970</v>
      </c>
      <c r="R32" s="170">
        <v>19.118489671851731165265377130</v>
      </c>
      <c r="S32" s="360">
        <v>7.266488674663764768872031100</v>
      </c>
      <c r="T32" s="359">
        <v>0</v>
      </c>
      <c r="U32" s="170">
        <v>-83.44721533134283864367967803</v>
      </c>
      <c r="V32" s="360">
        <v>-4.2908308002829513367611219900</v>
      </c>
      <c r="W32" s="170">
        <v>0.0000000004000000000016002200</v>
      </c>
      <c r="X32" s="170">
        <v>11.731296513966661770466152160</v>
      </c>
      <c r="Y32" s="360">
        <v>3.265156259727310253022295600</v>
      </c>
      <c r="Z32" s="359">
        <v>92.45283018877365610537562481</v>
      </c>
      <c r="AA32" s="170">
        <v>1.4492753622548834278513320700</v>
      </c>
      <c r="AB32" s="360">
        <v>5.4678007290365730686269155500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5.6" customHeight="1">
      <c r="A33" s="92"/>
      <c r="B33" s="344">
        <v>24</v>
      </c>
      <c r="C33" s="351" t="s">
        <v>48</v>
      </c>
      <c r="D33" s="327">
        <v>38.709677419354838709677419350</v>
      </c>
      <c r="E33" s="171">
        <v>55.010945481079954133222141150</v>
      </c>
      <c r="F33" s="328">
        <v>74.761029733466337655973819150</v>
      </c>
      <c r="G33" s="327">
        <v>17.204301075268817204301075270</v>
      </c>
      <c r="H33" s="171">
        <v>1.0445116230584801417700406500</v>
      </c>
      <c r="I33" s="328">
        <v>10.130729248700582768939990550</v>
      </c>
      <c r="J33" s="171">
        <v>1.075268817204301075268817200</v>
      </c>
      <c r="K33" s="171">
        <v>5.4546718093053962959102123100</v>
      </c>
      <c r="L33" s="328">
        <v>0.1876060971981589401655553800</v>
      </c>
      <c r="M33" s="327">
        <v>56.989247311827956989247311830</v>
      </c>
      <c r="N33" s="171">
        <v>61.510128913443830570902394110</v>
      </c>
      <c r="O33" s="328">
        <v>85.07936507936507936507936508</v>
      </c>
      <c r="P33" s="4"/>
      <c r="Q33" s="327">
        <v>99.99999999976666666666693886</v>
      </c>
      <c r="R33" s="171">
        <v>13.647342291480206094122467660</v>
      </c>
      <c r="S33" s="328">
        <v>13.906278158195132789439390860</v>
      </c>
      <c r="T33" s="327">
        <v>0</v>
      </c>
      <c r="U33" s="171">
        <v>-87.57846721304961780447204874</v>
      </c>
      <c r="V33" s="328">
        <v>-35.512936195084505923894227230</v>
      </c>
      <c r="W33" s="171">
        <v>-33.333333333066666666665600270</v>
      </c>
      <c r="X33" s="171">
        <v>23.407423296956806240377031580</v>
      </c>
      <c r="Y33" s="328">
        <v>-35.114867893521698828784620500</v>
      </c>
      <c r="Z33" s="327">
        <v>171.79487179466272189349128510</v>
      </c>
      <c r="AA33" s="171">
        <v>0.4511278195836146757872244100</v>
      </c>
      <c r="AB33" s="328">
        <v>4.2222222222534888888888982700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15.6" customHeight="1">
      <c r="A34" s="92"/>
      <c r="B34" s="346">
        <v>25</v>
      </c>
      <c r="C34" s="352" t="s">
        <v>50</v>
      </c>
      <c r="D34" s="359">
        <v>38.709677419354838709677419350</v>
      </c>
      <c r="E34" s="170">
        <v>56.747978656676662399147641840</v>
      </c>
      <c r="F34" s="360">
        <v>73.033972931474533012008988950</v>
      </c>
      <c r="G34" s="359">
        <v>17.204301075268817204301075270</v>
      </c>
      <c r="H34" s="170">
        <v>9.569266989165084247699406270</v>
      </c>
      <c r="I34" s="360">
        <v>10.312884496100383352145043370</v>
      </c>
      <c r="J34" s="170">
        <v>1.6129032258064516129032258100</v>
      </c>
      <c r="K34" s="170">
        <v>5.2297156801251041818822336600</v>
      </c>
      <c r="L34" s="360">
        <v>0.2812604862572831823312284600</v>
      </c>
      <c r="M34" s="359">
        <v>57.526881720430107526881720430</v>
      </c>
      <c r="N34" s="170">
        <v>71.546961325966850828729281770</v>
      </c>
      <c r="O34" s="360">
        <v>83.62811791383219954648526077</v>
      </c>
      <c r="P34" s="4"/>
      <c r="Q34" s="359">
        <v>71.428571428497959183673500850</v>
      </c>
      <c r="R34" s="170">
        <v>31.198559752872255027164363480</v>
      </c>
      <c r="S34" s="360">
        <v>6.3827387660177693307841400600</v>
      </c>
      <c r="T34" s="359">
        <v>0</v>
      </c>
      <c r="U34" s="170">
        <v>13.017346629477964253136971190</v>
      </c>
      <c r="V34" s="360">
        <v>11.981830279959390026696482300</v>
      </c>
      <c r="W34" s="170">
        <v>0.0000000004000000000016002200</v>
      </c>
      <c r="X34" s="170">
        <v>28.162985233929574981713119390</v>
      </c>
      <c r="Y34" s="360">
        <v>0.7836472432086260980990077700</v>
      </c>
      <c r="Z34" s="359">
        <v>137.77777777774607407407407830</v>
      </c>
      <c r="AA34" s="170">
        <v>28.217821782122360552886996200</v>
      </c>
      <c r="AB34" s="360">
        <v>7.0226349390063613081558064600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5.6" customHeight="1">
      <c r="A35" s="92"/>
      <c r="B35" s="344">
        <v>26</v>
      </c>
      <c r="C35" s="351" t="s">
        <v>51</v>
      </c>
      <c r="D35" s="327">
        <v>34.408602150537634408602150540</v>
      </c>
      <c r="E35" s="171">
        <v>40.576400526410467615341646070</v>
      </c>
      <c r="F35" s="328">
        <v>62.888846046740783582888846050</v>
      </c>
      <c r="G35" s="327">
        <v>3.7634408602150537634408602200</v>
      </c>
      <c r="H35" s="171">
        <v>16.858389903522973651073176730</v>
      </c>
      <c r="I35" s="328">
        <v>11.829573934837092731829573930</v>
      </c>
      <c r="J35" s="171">
        <v>1.075268817204301075268817200</v>
      </c>
      <c r="K35" s="171">
        <v>5.9295026557218734910671173300</v>
      </c>
      <c r="L35" s="328">
        <v>0.2022149390570443202022149400</v>
      </c>
      <c r="M35" s="327">
        <v>39.247311827956989247311827960</v>
      </c>
      <c r="N35" s="171">
        <v>63.364293085655314757481940140</v>
      </c>
      <c r="O35" s="328">
        <v>74.920634920634920634920634920</v>
      </c>
      <c r="P35" s="4"/>
      <c r="Q35" s="327">
        <v>120.68965517188109393579201117</v>
      </c>
      <c r="R35" s="171">
        <v>1.6500668430318139196593402600</v>
      </c>
      <c r="S35" s="328">
        <v>7.0629372959188195812985172100</v>
      </c>
      <c r="T35" s="327">
        <v>0</v>
      </c>
      <c r="U35" s="171">
        <v>260.15223857882332201514374720</v>
      </c>
      <c r="V35" s="328">
        <v>113.81458124719360040529963216</v>
      </c>
      <c r="W35" s="171">
        <v>-33.333333333066666666665600270</v>
      </c>
      <c r="X35" s="171">
        <v>20.007170605295927425956806640</v>
      </c>
      <c r="Y35" s="328">
        <v>-42.739114998803896532313926340</v>
      </c>
      <c r="Z35" s="327">
        <v>128.12499999958652343750074944</v>
      </c>
      <c r="AA35" s="171">
        <v>27.906361135630539439702190470</v>
      </c>
      <c r="AB35" s="328">
        <v>15.929824561468185410895696280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5.6" customHeight="1">
      <c r="A36" s="92"/>
      <c r="B36" s="346">
        <v>27</v>
      </c>
      <c r="C36" s="352" t="s">
        <v>52</v>
      </c>
      <c r="D36" s="359">
        <v>59.677419354838709677419354840</v>
      </c>
      <c r="E36" s="170">
        <v>45.606672333191670208244793880</v>
      </c>
      <c r="F36" s="360">
        <v>64.48995523267855151428252800</v>
      </c>
      <c r="G36" s="359">
        <v>3.2258064516129032258064516100</v>
      </c>
      <c r="H36" s="170">
        <v>19.642477688057798555036124100</v>
      </c>
      <c r="I36" s="360">
        <v>11.660214437062881358632445950</v>
      </c>
      <c r="J36" s="170">
        <v>2.6881720430107526881720430100</v>
      </c>
      <c r="K36" s="170">
        <v>5.1928389290267743306417339600</v>
      </c>
      <c r="L36" s="360">
        <v>0.4484697860408800522550940800</v>
      </c>
      <c r="M36" s="359">
        <v>65.591397849462365591397849460</v>
      </c>
      <c r="N36" s="170">
        <v>70.441988950276243093922651930</v>
      </c>
      <c r="O36" s="360">
        <v>76.598639455782312925170068030</v>
      </c>
      <c r="P36" s="4"/>
      <c r="Q36" s="359">
        <v>49.999999999845945945946104170</v>
      </c>
      <c r="R36" s="170">
        <v>-14.966597198240605119394675920</v>
      </c>
      <c r="S36" s="360">
        <v>-1.3209256194728103598293544900</v>
      </c>
      <c r="T36" s="359">
        <v>-66.666666666533333333332800030</v>
      </c>
      <c r="U36" s="170">
        <v>141.42463053079923850520573629</v>
      </c>
      <c r="V36" s="360">
        <v>82.55559143369553346341169728</v>
      </c>
      <c r="W36" s="170">
        <v>66.666666667333333333335999950</v>
      </c>
      <c r="X36" s="170">
        <v>27.649804648468562887809929600</v>
      </c>
      <c r="Y36" s="360">
        <v>61.491484729807587294556503240</v>
      </c>
      <c r="Z36" s="359">
        <v>28.421052631589761772853186500</v>
      </c>
      <c r="AA36" s="170">
        <v>6.9930069930048980390239131900</v>
      </c>
      <c r="AB36" s="360">
        <v>6.3602015112894679237860977100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5.6" customHeight="1">
      <c r="A37" s="92"/>
      <c r="B37" s="348">
        <v>28</v>
      </c>
      <c r="C37" s="353" t="s">
        <v>53</v>
      </c>
      <c r="D37" s="329">
        <v>53.225806451612903225806451610</v>
      </c>
      <c r="E37" s="330">
        <v>41.492646651081477849477429200</v>
      </c>
      <c r="F37" s="332">
        <v>60.674710676516708664080887310</v>
      </c>
      <c r="G37" s="329">
        <v>3.2258064516129032258064516100</v>
      </c>
      <c r="H37" s="330">
        <v>25.577658894502280866116223480</v>
      </c>
      <c r="I37" s="332">
        <v>11.749414472910951148263772430</v>
      </c>
      <c r="J37" s="330">
        <v>1.075268817204301075268817200</v>
      </c>
      <c r="K37" s="330">
        <v>4.6608178429981934022700673900</v>
      </c>
      <c r="L37" s="332">
        <v>0.1835846011392336116916214400</v>
      </c>
      <c r="M37" s="329">
        <v>57.526881720430107526881720430</v>
      </c>
      <c r="N37" s="330">
        <v>71.731123388581952117863720070</v>
      </c>
      <c r="O37" s="332">
        <v>72.607709750566893424036281180</v>
      </c>
      <c r="P37" s="4"/>
      <c r="Q37" s="329">
        <v>47.761194030031588327021829700</v>
      </c>
      <c r="R37" s="330">
        <v>-10.124487166200814338128567090</v>
      </c>
      <c r="S37" s="332">
        <v>-6.4354654242879233951515761100</v>
      </c>
      <c r="T37" s="329">
        <v>0</v>
      </c>
      <c r="U37" s="330">
        <v>301.90442933994706444149679079</v>
      </c>
      <c r="V37" s="332">
        <v>114.55996463116613253987319357</v>
      </c>
      <c r="W37" s="330">
        <v>-33.333333333066666666665600270</v>
      </c>
      <c r="X37" s="330">
        <v>13.708399365819188422721451510</v>
      </c>
      <c r="Y37" s="332">
        <v>-36.302510504775358548235821970</v>
      </c>
      <c r="Z37" s="329">
        <v>52.857142856941959183673733420</v>
      </c>
      <c r="AA37" s="330">
        <v>26.666666666764292682926904510</v>
      </c>
      <c r="AB37" s="332">
        <v>2.825947334558417885291520500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1" customHeight="1">
      <c r="B38" s="54"/>
      <c r="C38"/>
      <c r="D38" s="88"/>
      <c r="E38" s="88"/>
      <c r="F38" s="88"/>
      <c r="G38" s="88"/>
      <c r="H38" s="88"/>
      <c r="I38" s="88"/>
      <c r="J38" s="88"/>
      <c r="K38" s="88"/>
      <c r="L38" s="88"/>
      <c r="M38" s="88"/>
      <c r="N38" s="88"/>
      <c r="O38" s="88"/>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15.6" customHeight="1">
      <c r="A39" s="54"/>
      <c r="B39" s="53"/>
      <c r="C39" s="53" t="s">
        <v>14</v>
      </c>
      <c r="D39" s="354">
        <v>21.774193548387096774193548390</v>
      </c>
      <c r="E39" s="355">
        <v>28.552942087245351084495268050</v>
      </c>
      <c r="F39" s="356">
        <v>50.305212338618109730884870440</v>
      </c>
      <c r="G39" s="354">
        <v>1.6129032258064516129032258100</v>
      </c>
      <c r="H39" s="355">
        <v>5.3048176349569480553232356200</v>
      </c>
      <c r="I39" s="356">
        <v>4.8814322419635278639150838600</v>
      </c>
      <c r="J39" s="355">
        <v>1.4784946236559139784946236600</v>
      </c>
      <c r="K39" s="355">
        <v>5.1155367787185111732570027800</v>
      </c>
      <c r="L39" s="356">
        <v>0.2782080271281129720934697400</v>
      </c>
      <c r="M39" s="354">
        <v>24.865591397849462365591397850</v>
      </c>
      <c r="N39" s="355">
        <v>38.973296500920810313075506440</v>
      </c>
      <c r="O39" s="356">
        <v>55.464852607709750566893424040</v>
      </c>
      <c r="P39" s="4"/>
      <c r="Q39" s="354">
        <v>-6.5384615383551360946744350700</v>
      </c>
      <c r="R39" s="355">
        <v>18.010000698134829930960022280</v>
      </c>
      <c r="S39" s="356">
        <v>12.762051862987694844581279390</v>
      </c>
      <c r="T39" s="354">
        <v>0</v>
      </c>
      <c r="U39" s="355">
        <v>6.0320149832852184401092267800</v>
      </c>
      <c r="V39" s="356">
        <v>34.875309503566165722674084090</v>
      </c>
      <c r="W39" s="355">
        <v>17.857142860745918367457089830</v>
      </c>
      <c r="X39" s="355">
        <v>4.024428464390556338239561300</v>
      </c>
      <c r="Y39" s="356">
        <v>53.154311789163902285027251240</v>
      </c>
      <c r="Z39" s="354">
        <v>10.778443113968804905160088420</v>
      </c>
      <c r="AA39" s="355">
        <v>14.237516869254916487731539890</v>
      </c>
      <c r="AB39" s="356">
        <v>14.566744730675400621952624230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15.6" customHeight="1">
      <c r="A40" s="54"/>
      <c r="C40" s="53" t="s">
        <v>15</v>
      </c>
      <c r="D40" s="327">
        <v>31.451612903225806451612903230</v>
      </c>
      <c r="E40" s="171">
        <v>41.90608132141291121556731700</v>
      </c>
      <c r="F40" s="328">
        <v>66.569595866390675384527691100</v>
      </c>
      <c r="G40" s="327">
        <v>4.7043010752688172043010752700</v>
      </c>
      <c r="H40" s="171">
        <v>5.8658425564217361543473131500</v>
      </c>
      <c r="I40" s="328">
        <v>9.988434405464528471243656570</v>
      </c>
      <c r="J40" s="171">
        <v>1.3440860215053763440860215100</v>
      </c>
      <c r="K40" s="171">
        <v>5.059567834872534950527358800</v>
      </c>
      <c r="L40" s="328">
        <v>0.2333529480994446703057498300</v>
      </c>
      <c r="M40" s="327">
        <v>37.500</v>
      </c>
      <c r="N40" s="171">
        <v>52.831491712707182320441988950</v>
      </c>
      <c r="O40" s="328">
        <v>76.791383219954648526077097510</v>
      </c>
      <c r="P40" s="4"/>
      <c r="Q40" s="327">
        <v>14.705882352981660899653993540</v>
      </c>
      <c r="R40" s="171">
        <v>10.943623592109489804559499230</v>
      </c>
      <c r="S40" s="328">
        <v>5.5990937645519505731058949600</v>
      </c>
      <c r="T40" s="327">
        <v>0</v>
      </c>
      <c r="U40" s="171">
        <v>6.2881293087332135320687558900</v>
      </c>
      <c r="V40" s="328">
        <v>34.291532295233294902418753510</v>
      </c>
      <c r="W40" s="171">
        <v>-9.090909093619834710662971890</v>
      </c>
      <c r="X40" s="171">
        <v>-1.6298810290391525179965630300</v>
      </c>
      <c r="Y40" s="328">
        <v>-9.956865998247361650947169530</v>
      </c>
      <c r="Z40" s="327">
        <v>29.767441860310602487831444120</v>
      </c>
      <c r="AA40" s="171">
        <v>9.077946767996965765010374400</v>
      </c>
      <c r="AB40" s="328">
        <v>8.559063952628883748363990410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15.6" customHeight="1">
      <c r="A41" s="54"/>
      <c r="B41" s="22"/>
      <c r="C41" s="53" t="s">
        <v>16</v>
      </c>
      <c r="D41" s="359">
        <v>31.362007168458781362007168460</v>
      </c>
      <c r="E41" s="170">
        <v>53.845645886307739281161908210</v>
      </c>
      <c r="F41" s="360">
        <v>74.548829369582667950051652550</v>
      </c>
      <c r="G41" s="359">
        <v>6.6308243727598566308243727600</v>
      </c>
      <c r="H41" s="170">
        <v>4.5051643684623149336135944300</v>
      </c>
      <c r="I41" s="360">
        <v>10.709260566004767539063977840</v>
      </c>
      <c r="J41" s="170">
        <v>1.075268817204301075268817200</v>
      </c>
      <c r="K41" s="170">
        <v>4.9548987691710139251876649500</v>
      </c>
      <c r="L41" s="360">
        <v>0.13873546123796133628119500</v>
      </c>
      <c r="M41" s="359">
        <v>39.068100358422939068100358420</v>
      </c>
      <c r="N41" s="170">
        <v>63.305709023941068139963167590</v>
      </c>
      <c r="O41" s="360">
        <v>85.39682539682539682539682540</v>
      </c>
      <c r="P41" s="4"/>
      <c r="Q41" s="359">
        <v>-0.7092198582303908254111409200</v>
      </c>
      <c r="R41" s="170">
        <v>8.534669340539405092485442670</v>
      </c>
      <c r="S41" s="360">
        <v>6.4870143427159113234017198800</v>
      </c>
      <c r="T41" s="359">
        <v>0</v>
      </c>
      <c r="U41" s="170">
        <v>-30.930127115147872368193964940</v>
      </c>
      <c r="V41" s="360">
        <v>22.209661820090775861002707080</v>
      </c>
      <c r="W41" s="170">
        <v>-19.999999999679999999998720320</v>
      </c>
      <c r="X41" s="170">
        <v>13.562470682349990402820932780</v>
      </c>
      <c r="Y41" s="360">
        <v>-40.150662114101183297480045960</v>
      </c>
      <c r="Z41" s="359">
        <v>18.639455782247068166041963520</v>
      </c>
      <c r="AA41" s="170">
        <v>4.6423135463552851970003845500</v>
      </c>
      <c r="AB41" s="360">
        <v>8.094144661303566014755332490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15.6" customHeight="1">
      <c r="A42" s="54"/>
      <c r="B42" s="22"/>
      <c r="C42" s="53" t="s">
        <v>17</v>
      </c>
      <c r="D42" s="327">
        <v>29.704301075268817204301075270</v>
      </c>
      <c r="E42" s="171">
        <v>52.281926425537727808522348800</v>
      </c>
      <c r="F42" s="328">
        <v>72.546572565149656978345846900</v>
      </c>
      <c r="G42" s="327">
        <v>4.7043010752688172043010752700</v>
      </c>
      <c r="H42" s="171">
        <v>10.406502179637708417095864030</v>
      </c>
      <c r="I42" s="328">
        <v>9.052178484853202260866158020</v>
      </c>
      <c r="J42" s="171">
        <v>1.4784946236559139784946236600</v>
      </c>
      <c r="K42" s="171">
        <v>4.8069673432591862421534262100</v>
      </c>
      <c r="L42" s="328">
        <v>0.2606593808361430283616912200</v>
      </c>
      <c r="M42" s="327">
        <v>35.887096774193548387096774190</v>
      </c>
      <c r="N42" s="171">
        <v>67.495395948434622467771639040</v>
      </c>
      <c r="O42" s="328">
        <v>81.85941043083900226757369615</v>
      </c>
      <c r="P42" s="4"/>
      <c r="Q42" s="327">
        <v>27.500000000145153846154011410</v>
      </c>
      <c r="R42" s="171">
        <v>8.903977730339956730611633100</v>
      </c>
      <c r="S42" s="328">
        <v>5.2951004270124286108230876500</v>
      </c>
      <c r="T42" s="327">
        <v>337.50000000175000000000700011</v>
      </c>
      <c r="U42" s="171">
        <v>-19.888643940809649705490626960</v>
      </c>
      <c r="V42" s="328">
        <v>24.260164354326308363023128720</v>
      </c>
      <c r="W42" s="171">
        <v>3.1249999980148437500382145400</v>
      </c>
      <c r="X42" s="171">
        <v>17.792968685245233145398111180</v>
      </c>
      <c r="Y42" s="328">
        <v>38.144489076424630093371597560</v>
      </c>
      <c r="Z42" s="327">
        <v>30.243902438836330755502948500</v>
      </c>
      <c r="AA42" s="171">
        <v>3.7141846480549848728636134600</v>
      </c>
      <c r="AB42" s="328">
        <v>7.1852731590997021710552489400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5.6" customHeight="1">
      <c r="A43" s="54"/>
      <c r="B43" s="22"/>
      <c r="C43" s="53" t="s">
        <v>18</v>
      </c>
      <c r="D43" s="359">
        <v>29.301075268817204301075268820</v>
      </c>
      <c r="E43" s="170">
        <v>44.322696889014542359734640740</v>
      </c>
      <c r="F43" s="360">
        <v>63.416060602871639501555807470</v>
      </c>
      <c r="G43" s="359">
        <v>6.9892473118279569892473118300</v>
      </c>
      <c r="H43" s="170">
        <v>14.783291721508338945156104900</v>
      </c>
      <c r="I43" s="360">
        <v>13.227039016490789196769186160</v>
      </c>
      <c r="J43" s="170">
        <v>1.3440860215053763440860215100</v>
      </c>
      <c r="K43" s="170">
        <v>5.376889449104575377113256900</v>
      </c>
      <c r="L43" s="360">
        <v>0.2503244169187504399970018300</v>
      </c>
      <c r="M43" s="359">
        <v>37.634408602150537634408602150</v>
      </c>
      <c r="N43" s="170">
        <v>64.482878059627456682004002530</v>
      </c>
      <c r="O43" s="360">
        <v>76.893424036281179138321995460</v>
      </c>
      <c r="P43" s="4"/>
      <c r="Q43" s="359">
        <v>7.9207920792421135182825321700</v>
      </c>
      <c r="R43" s="170">
        <v>5.7341680940976669095534057600</v>
      </c>
      <c r="S43" s="360">
        <v>4.7341298287226180374892257500</v>
      </c>
      <c r="T43" s="359">
        <v>44.444444445022222222224533380</v>
      </c>
      <c r="U43" s="170">
        <v>-1.2995493344463731307547292100</v>
      </c>
      <c r="V43" s="360">
        <v>55.103948643913910942673292790</v>
      </c>
      <c r="W43" s="170">
        <v>11.111111106962962963117827540</v>
      </c>
      <c r="X43" s="170">
        <v>21.400842889934071680694851680</v>
      </c>
      <c r="Y43" s="360">
        <v>8.379626212439117312324131940</v>
      </c>
      <c r="Z43" s="359">
        <v>13.360323886580930682358371010</v>
      </c>
      <c r="AA43" s="170">
        <v>5.1477561152976337185650444600</v>
      </c>
      <c r="AB43" s="360">
        <v>10.943890070303055795067814730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ht="15.6" customHeight="1">
      <c r="A44" s="54"/>
      <c r="B44" s="22"/>
      <c r="C44" s="53" t="s">
        <v>19</v>
      </c>
      <c r="D44" s="327">
        <v>57.258064516129032258064516130</v>
      </c>
      <c r="E44" s="171">
        <v>50.551251338050352520973822440</v>
      </c>
      <c r="F44" s="328">
        <v>68.104868116326011873172544340</v>
      </c>
      <c r="G44" s="327">
        <v>5.5107526881720430107526881700</v>
      </c>
      <c r="H44" s="171">
        <v>17.645621021670014100335980330</v>
      </c>
      <c r="I44" s="328">
        <v>12.962045560690188909618925240</v>
      </c>
      <c r="J44" s="171">
        <v>1.8817204301075268817204301100</v>
      </c>
      <c r="K44" s="171">
        <v>5.1226488189168341153384476900</v>
      </c>
      <c r="L44" s="328">
        <v>0.3276441461130509178888025300</v>
      </c>
      <c r="M44" s="327">
        <v>64.650537634408602150537634410</v>
      </c>
      <c r="N44" s="171">
        <v>73.319521178637200736648250460</v>
      </c>
      <c r="O44" s="328">
        <v>81.39455782312925170068027211</v>
      </c>
      <c r="P44" s="4"/>
      <c r="Q44" s="327">
        <v>38.762214983763978397648799890</v>
      </c>
      <c r="R44" s="171">
        <v>-3.371772564548717879619216900</v>
      </c>
      <c r="S44" s="328">
        <v>4.3250257196237358681210758900</v>
      </c>
      <c r="T44" s="327">
        <v>-28.070175438778208679593262100</v>
      </c>
      <c r="U44" s="171">
        <v>23.570437420341681362048151260</v>
      </c>
      <c r="V44" s="328">
        <v>36.159656420411765352397603860</v>
      </c>
      <c r="W44" s="171">
        <v>55.555555549748148148364958230</v>
      </c>
      <c r="X44" s="171">
        <v>24.238938557516971538065152980</v>
      </c>
      <c r="Y44" s="328">
        <v>55.896186824978822904779255450</v>
      </c>
      <c r="Z44" s="327">
        <v>28.954423592366071775115306400</v>
      </c>
      <c r="AA44" s="171">
        <v>3.6783854166650466918945312700</v>
      </c>
      <c r="AB44" s="328">
        <v>8.509673518714560694531164640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ht="15.6" customHeight="1">
      <c r="A45" s="54"/>
      <c r="B45" s="22"/>
      <c r="C45" s="53" t="s">
        <v>20</v>
      </c>
      <c r="D45" s="364">
        <v>48.790322580645161290322580650</v>
      </c>
      <c r="E45" s="365">
        <v>47.096095979149406346717913180</v>
      </c>
      <c r="F45" s="366">
        <v>67.276631752866351609123907880</v>
      </c>
      <c r="G45" s="364">
        <v>5.2419354838709677419354838700</v>
      </c>
      <c r="H45" s="365">
        <v>18.554011428586866754437973020</v>
      </c>
      <c r="I45" s="366">
        <v>11.17404888985850613356084500</v>
      </c>
      <c r="J45" s="365">
        <v>1.2096774193548387096774193500</v>
      </c>
      <c r="K45" s="365">
        <v>4.2393953546946661253634508100</v>
      </c>
      <c r="L45" s="366">
        <v>0.2114508765495186745488072100</v>
      </c>
      <c r="M45" s="364">
        <v>55.241935483870967741935483870</v>
      </c>
      <c r="N45" s="365">
        <v>69.889502762430939226519337020</v>
      </c>
      <c r="O45" s="366">
        <v>78.662131519274376417233560090</v>
      </c>
      <c r="P45" s="4"/>
      <c r="Q45" s="364">
        <v>25.172413792961873959572098310</v>
      </c>
      <c r="R45" s="365">
        <v>-5.1557559957011726209450171500</v>
      </c>
      <c r="S45" s="366">
        <v>5.0962738196248572982064360200</v>
      </c>
      <c r="T45" s="364">
        <v>-45.833333333116666666665800010</v>
      </c>
      <c r="U45" s="365">
        <v>62.793898825642372967233236470</v>
      </c>
      <c r="V45" s="366">
        <v>27.166758290580965373836120620</v>
      </c>
      <c r="W45" s="365">
        <v>-9.999999999639999999998560360</v>
      </c>
      <c r="X45" s="365">
        <v>3.5555109092302666318280932800</v>
      </c>
      <c r="Y45" s="366">
        <v>-10.905953466229276325583569080</v>
      </c>
      <c r="Z45" s="364">
        <v>10.483870967741935483870967740</v>
      </c>
      <c r="AA45" s="365">
        <v>7.2791519434498572338273686400</v>
      </c>
      <c r="AB45" s="366">
        <v>7.6994722136490851281480119900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ht="20.25" customHeight="1">
      <c r="B46" s="54"/>
      <c r="C46"/>
      <c r="D46" s="88"/>
      <c r="E46" s="88"/>
      <c r="F46" s="88"/>
      <c r="G46" s="88"/>
      <c r="H46" s="88"/>
      <c r="I46" s="88"/>
      <c r="J46" s="88"/>
      <c r="K46" s="88"/>
      <c r="L46" s="88"/>
      <c r="M46" s="88"/>
      <c r="N46" s="88"/>
      <c r="O46" s="88"/>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ht="15.6" customHeight="1">
      <c r="A47" s="22"/>
      <c r="B47" s="22"/>
      <c r="C47" s="53" t="s">
        <v>72</v>
      </c>
      <c r="D47" s="354">
        <v>40.322580645161290322580645160</v>
      </c>
      <c r="E47" s="355">
        <v>45.464926031091246563199899020</v>
      </c>
      <c r="F47" s="356">
        <v>64.979777865625540214647244880</v>
      </c>
      <c r="G47" s="354">
        <v>8.909370199692780337941628260</v>
      </c>
      <c r="H47" s="355">
        <v>11.004508397715652680324946260</v>
      </c>
      <c r="I47" s="356">
        <v>10.471759172729930122490046260</v>
      </c>
      <c r="J47" s="355">
        <v>1.5360983102918586789554531500</v>
      </c>
      <c r="K47" s="355">
        <v>5.2398029154474643221980417200</v>
      </c>
      <c r="L47" s="356">
        <v>0.2724668489137230545050800900</v>
      </c>
      <c r="M47" s="354">
        <v>50.768049155145929339477726570</v>
      </c>
      <c r="N47" s="355">
        <v>61.70923734425436356572288700</v>
      </c>
      <c r="O47" s="356">
        <v>75.724003887269193391642371230</v>
      </c>
      <c r="P47" s="4"/>
      <c r="Q47" s="354">
        <v>54.867256637447724958885303850</v>
      </c>
      <c r="R47" s="355">
        <v>7.5155212551714732314395243900</v>
      </c>
      <c r="S47" s="356">
        <v>4.7578095487125439872180587100</v>
      </c>
      <c r="T47" s="354">
        <v>544.44444442704444444491424414</v>
      </c>
      <c r="U47" s="355">
        <v>47.503497148934137544185108960</v>
      </c>
      <c r="V47" s="356">
        <v>25.124988290185585864109659510</v>
      </c>
      <c r="W47" s="355">
        <v>-4.7619047615238095238079999400</v>
      </c>
      <c r="X47" s="355">
        <v>19.904454733889402218816831120</v>
      </c>
      <c r="Y47" s="356">
        <v>-8.829336631994012153609885170</v>
      </c>
      <c r="Z47" s="354">
        <v>74.867724867822016460905403750</v>
      </c>
      <c r="AA47" s="355">
        <v>14.028590736656485974451183970</v>
      </c>
      <c r="AB47" s="356">
        <v>7.1114369501708729150721152900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ht="15.6" customHeight="1">
      <c r="A48" s="22"/>
      <c r="B48" s="22"/>
      <c r="C48" s="53" t="s">
        <v>61</v>
      </c>
      <c r="D48" s="327">
        <v>35.822381521306252489048187970</v>
      </c>
      <c r="E48" s="171">
        <v>45.508091418102575802453316920</v>
      </c>
      <c r="F48" s="328">
        <v>66.109681515972159003951760100</v>
      </c>
      <c r="G48" s="327">
        <v>4.9980087614496216646754281200</v>
      </c>
      <c r="H48" s="171">
        <v>11.009321558749132480044295070</v>
      </c>
      <c r="I48" s="328">
        <v>10.284919880760787196433976100</v>
      </c>
      <c r="J48" s="171">
        <v>1.4137793707686180804460374400</v>
      </c>
      <c r="K48" s="171">
        <v>4.9537006212481888441343725900</v>
      </c>
      <c r="L48" s="328">
        <v>0.2429107509832831484966739100</v>
      </c>
      <c r="M48" s="327">
        <v>42.234169653524492234169653520</v>
      </c>
      <c r="N48" s="171">
        <v>61.471113598099897126631984580</v>
      </c>
      <c r="O48" s="328">
        <v>76.637512147716229348882410110</v>
      </c>
      <c r="P48" s="4"/>
      <c r="Q48" s="327">
        <v>15.645552094067157825756889690</v>
      </c>
      <c r="R48" s="171">
        <v>4.9689409262517648690380278800</v>
      </c>
      <c r="S48" s="328">
        <v>6.0414264440096692249550951200</v>
      </c>
      <c r="T48" s="327">
        <v>41.347195147700159213284324330</v>
      </c>
      <c r="U48" s="171">
        <v>9.01938016887140732074440800</v>
      </c>
      <c r="V48" s="328">
        <v>33.472586109293920279777047830</v>
      </c>
      <c r="W48" s="171">
        <v>6.8287037053729021991001556600</v>
      </c>
      <c r="X48" s="171">
        <v>11.315047597369290503005975730</v>
      </c>
      <c r="Y48" s="328">
        <v>10.430078726325398631586986200</v>
      </c>
      <c r="Z48" s="327">
        <v>20.589668615827321547655893540</v>
      </c>
      <c r="AA48" s="171">
        <v>6.1630954900014850668987497700</v>
      </c>
      <c r="AB48" s="328">
        <v>9.063249124167669557942800190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ht="15.6" customHeight="1">
      <c r="A49" s="54"/>
      <c r="B49" s="22"/>
      <c r="C49" s="53" t="s">
        <v>31</v>
      </c>
      <c r="D49" s="364">
        <v>35.822381521306252489048187970</v>
      </c>
      <c r="E49" s="365">
        <v>45.508091418102575802453316920</v>
      </c>
      <c r="F49" s="366">
        <v>66.109681515972159003951760100</v>
      </c>
      <c r="G49" s="364">
        <v>4.9980087614496216646754281200</v>
      </c>
      <c r="H49" s="365">
        <v>11.009321558749132480044295070</v>
      </c>
      <c r="I49" s="366">
        <v>10.284919880760787196433976100</v>
      </c>
      <c r="J49" s="365">
        <v>1.4137793707686180804460374400</v>
      </c>
      <c r="K49" s="365">
        <v>4.9537006212481888441343725900</v>
      </c>
      <c r="L49" s="366">
        <v>0.2429107509832831484966739100</v>
      </c>
      <c r="M49" s="364">
        <v>42.234169653524492234169653520</v>
      </c>
      <c r="N49" s="365">
        <v>61.471113598099897126631984580</v>
      </c>
      <c r="O49" s="366">
        <v>76.637512147716229348882410110</v>
      </c>
      <c r="P49" s="4"/>
      <c r="Q49" s="364">
        <v>14.046765659510616494421849010</v>
      </c>
      <c r="R49" s="365">
        <v>6.0614084842250605114780887100</v>
      </c>
      <c r="S49" s="366">
        <v>6.417150004747319544545050100</v>
      </c>
      <c r="T49" s="364">
        <v>34.279835392593668038428984490</v>
      </c>
      <c r="U49" s="365">
        <v>8.928271504204738096469544650</v>
      </c>
      <c r="V49" s="366">
        <v>33.774778520525216509175140750</v>
      </c>
      <c r="W49" s="365">
        <v>6.8287037053729021991001556600</v>
      </c>
      <c r="X49" s="365">
        <v>10.076867495740573827307621760</v>
      </c>
      <c r="Y49" s="366">
        <v>10.719580722695481367233168430</v>
      </c>
      <c r="Z49" s="364">
        <v>18.638379479849501180572301600</v>
      </c>
      <c r="AA49" s="365">
        <v>6.8793883179479885252070416100</v>
      </c>
      <c r="AB49" s="366">
        <v>9.434049540976981252595840660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row>
  </sheetData>
  <mergeCells count="12">
    <mergeCell ref="D8:F8"/>
    <mergeCell ref="M8:O8"/>
    <mergeCell ref="D52:AB52"/>
    <mergeCell ref="R4:AA4"/>
    <mergeCell ref="J8:L8"/>
    <mergeCell ref="G8:I8"/>
    <mergeCell ref="Q7:AB7"/>
    <mergeCell ref="D7:O7"/>
    <mergeCell ref="Q8:S8"/>
    <mergeCell ref="T8:V8"/>
    <mergeCell ref="W8:Y8"/>
    <mergeCell ref="Z8:AB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4"/>
</worksheet>
</file>

<file path=xl/worksheets/sheet3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A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127</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row>
    <row r="4" ht="17.1" customHeight="1">
      <c r="A4" t="s">
        <v>143</v>
      </c>
      <c r="B4" s="442"/>
      <c r="C4" s="211"/>
      <c r="D4" s="212"/>
      <c r="E4" s="212"/>
      <c r="F4" s="212"/>
      <c r="G4" s="212"/>
      <c r="H4" s="212"/>
      <c r="I4" s="212"/>
      <c r="J4" s="212"/>
      <c r="K4" s="212"/>
      <c r="L4" s="212"/>
      <c r="M4" s="212"/>
      <c r="N4" s="212"/>
      <c r="O4" s="212"/>
      <c r="P4" s="212"/>
      <c r="Q4" s="212"/>
      <c r="R4" s="675" t="s">
        <v>146</v>
      </c>
      <c r="S4" s="675"/>
      <c r="T4" s="675"/>
      <c r="U4" s="675"/>
      <c r="V4" s="675"/>
      <c r="W4" s="675"/>
      <c r="X4" s="675"/>
      <c r="Y4" s="675"/>
      <c r="Z4" s="675"/>
      <c r="AA4" s="675"/>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row>
    <row r="7" ht="15.75">
      <c r="D7" s="621" t="s">
        <v>12</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row>
    <row r="8" ht="15.75">
      <c r="D8" s="676" t="s">
        <v>21</v>
      </c>
      <c r="E8" s="676"/>
      <c r="F8" s="676"/>
      <c r="G8" s="676" t="s">
        <v>24</v>
      </c>
      <c r="H8" s="676"/>
      <c r="I8" s="676"/>
      <c r="J8" s="676" t="s">
        <v>25</v>
      </c>
      <c r="K8" s="676"/>
      <c r="L8" s="676"/>
      <c r="M8" s="676" t="s">
        <v>23</v>
      </c>
      <c r="N8" s="676"/>
      <c r="O8" s="676"/>
      <c r="Q8" s="676" t="s">
        <v>21</v>
      </c>
      <c r="R8" s="676"/>
      <c r="S8" s="676"/>
      <c r="T8" s="676" t="s">
        <v>24</v>
      </c>
      <c r="U8" s="676"/>
      <c r="V8" s="676"/>
      <c r="W8" s="676" t="s">
        <v>25</v>
      </c>
      <c r="X8" s="676"/>
      <c r="Y8" s="676"/>
      <c r="Z8" s="676" t="s">
        <v>23</v>
      </c>
      <c r="AA8" s="676"/>
      <c r="AB8" s="676"/>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row>
    <row r="10" ht="15.6" customHeight="1">
      <c r="A10" s="92" t="s">
        <v>145</v>
      </c>
      <c r="B10" s="667">
        <v>1</v>
      </c>
      <c r="C10" s="677" t="s">
        <v>49</v>
      </c>
      <c r="D10" s="678">
        <v>107.96969696969696969696969697</v>
      </c>
      <c r="E10" s="679">
        <v>115.84536924396201253068868465</v>
      </c>
      <c r="F10" s="680">
        <v>112.45928302515495832570179142</v>
      </c>
      <c r="G10" s="678">
        <v>109.28571428571428571428571429</v>
      </c>
      <c r="H10" s="679">
        <v>134.06636220302985401099327563</v>
      </c>
      <c r="I10" s="680">
        <v>118.78119162106454023217822039</v>
      </c>
      <c r="J10" s="678">
        <v>98.33333333333333333333333333</v>
      </c>
      <c r="K10" s="679">
        <v>130.12338318846446942274718996</v>
      </c>
      <c r="L10" s="680">
        <v>93.08844785179904194649873117</v>
      </c>
      <c r="M10" s="678">
        <v>107.51162790697674418604651163</v>
      </c>
      <c r="N10" s="679">
        <v>119.65571823204419889502762432</v>
      </c>
      <c r="O10" s="680">
        <v>112.77113237639553429027113238</v>
      </c>
      <c r="P10" s="4"/>
      <c r="Q10" s="669">
        <v>-11.463963124479729645781306300</v>
      </c>
      <c r="R10" s="670">
        <v>-12.701672851271279467897396770</v>
      </c>
      <c r="S10" s="671">
        <v>-5.8269956924327092224165107600</v>
      </c>
      <c r="T10" s="669">
        <v>0</v>
      </c>
      <c r="U10" s="670">
        <v>-18.247569914737157364721065140</v>
      </c>
      <c r="V10" s="671">
        <v>4.4069431142112854567795653600</v>
      </c>
      <c r="W10" s="669">
        <v>-2.1558872305140961857379767900</v>
      </c>
      <c r="X10" s="670">
        <v>16.900442438745000686412629710</v>
      </c>
      <c r="Y10" s="671">
        <v>-3.7930570966050147744918681300</v>
      </c>
      <c r="Z10" s="669">
        <v>-11.094932622721866607493086220</v>
      </c>
      <c r="AA10" s="670">
        <v>-8.452296230783923117771584700</v>
      </c>
      <c r="AB10" s="671">
        <v>-5.3611766636704408794970282800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row>
    <row r="11" ht="15.6" customHeight="1">
      <c r="A11" s="92"/>
      <c r="B11" s="344">
        <v>2</v>
      </c>
      <c r="C11" s="345" t="s">
        <v>47</v>
      </c>
      <c r="D11" s="370">
        <v>110.97222222222222222222222222</v>
      </c>
      <c r="E11" s="172">
        <v>139.70363185550482638352397568</v>
      </c>
      <c r="F11" s="371">
        <v>133.67643294929727645290568196</v>
      </c>
      <c r="G11" s="370">
        <v>109</v>
      </c>
      <c r="H11" s="172">
        <v>142.88169905883554343417379728</v>
      </c>
      <c r="I11" s="371">
        <v>131.29917668559122023074189897</v>
      </c>
      <c r="J11" s="370">
        <v>98</v>
      </c>
      <c r="K11" s="172">
        <v>131.75257516110670786591043602</v>
      </c>
      <c r="L11" s="371">
        <v>91.47073748991121872477804681</v>
      </c>
      <c r="M11" s="370">
        <v>110.11363636363636363636363636</v>
      </c>
      <c r="N11" s="172">
        <v>139.3487406015037593984962406</v>
      </c>
      <c r="O11" s="371">
        <v>133.37167070217917675544794189</v>
      </c>
      <c r="P11" s="4"/>
      <c r="Q11" s="327">
        <v>20.013217976404705641200527020</v>
      </c>
      <c r="R11" s="171">
        <v>-6.5004440128473389429325217900</v>
      </c>
      <c r="S11" s="328">
        <v>5.9164921882923088256537170900</v>
      </c>
      <c r="T11" s="327">
        <v>0</v>
      </c>
      <c r="U11" s="171">
        <v>-3.3941379490104683862478395700</v>
      </c>
      <c r="V11" s="328">
        <v>-12.242930907209548607273799630</v>
      </c>
      <c r="W11" s="327">
        <v>19.028340081019849530397174030</v>
      </c>
      <c r="X11" s="171">
        <v>14.828731405744242746304451330</v>
      </c>
      <c r="Y11" s="328">
        <v>14.695649659404362955433031480</v>
      </c>
      <c r="Z11" s="327">
        <v>19.709388971719171159679522290</v>
      </c>
      <c r="AA11" s="171">
        <v>-3.6155019620251057444761910400</v>
      </c>
      <c r="AB11" s="328">
        <v>4.8196004927250649472416237900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row>
    <row r="12" ht="15.6" customHeight="1">
      <c r="A12" s="92"/>
      <c r="B12" s="346">
        <v>3</v>
      </c>
      <c r="C12" s="347" t="s">
        <v>48</v>
      </c>
      <c r="D12" s="378">
        <v>121.33333333333333333333333333</v>
      </c>
      <c r="E12" s="173">
        <v>141.34759292920383304560342024</v>
      </c>
      <c r="F12" s="379">
        <v>142.66807394338465356122086143</v>
      </c>
      <c r="G12" s="378">
        <v>107.4</v>
      </c>
      <c r="H12" s="173">
        <v>156.7313786277452139615570613</v>
      </c>
      <c r="I12" s="379">
        <v>126.15795056678879190005550885</v>
      </c>
      <c r="J12" s="378">
        <v>96.66666666666666666666666667</v>
      </c>
      <c r="K12" s="173">
        <v>132.79751573050099572168248156</v>
      </c>
      <c r="L12" s="379">
        <v>89.15831516711892181813550137</v>
      </c>
      <c r="M12" s="378">
        <v>118.6226415094339622641509434</v>
      </c>
      <c r="N12" s="173">
        <v>142.07052785923753665689149559</v>
      </c>
      <c r="O12" s="379">
        <v>140.62555803571428571428571429</v>
      </c>
      <c r="P12" s="4"/>
      <c r="Q12" s="359">
        <v>12.076633595578760076306829750</v>
      </c>
      <c r="R12" s="170">
        <v>0.4187524353675704553589385400</v>
      </c>
      <c r="S12" s="360">
        <v>4.2513203973870356748331289600</v>
      </c>
      <c r="T12" s="359">
        <v>0</v>
      </c>
      <c r="U12" s="170">
        <v>13.869319567823781864909417700</v>
      </c>
      <c r="V12" s="360">
        <v>-12.547650905900342055333268670</v>
      </c>
      <c r="W12" s="359">
        <v>3.9426523297491039426523297500</v>
      </c>
      <c r="X12" s="170">
        <v>16.682722831240468527920164230</v>
      </c>
      <c r="Y12" s="360">
        <v>-0.8673537740658546037030718800</v>
      </c>
      <c r="Z12" s="359">
        <v>9.946166893125523667415468010</v>
      </c>
      <c r="AA12" s="170">
        <v>2.9061702860914876381764544500</v>
      </c>
      <c r="AB12" s="360">
        <v>2.4994305610001300389037615800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row>
    <row r="13" ht="15.6" customHeight="1">
      <c r="A13" s="92"/>
      <c r="B13" s="344">
        <v>4</v>
      </c>
      <c r="C13" s="345" t="s">
        <v>50</v>
      </c>
      <c r="D13" s="370">
        <v>126.97619047619047619047619048</v>
      </c>
      <c r="E13" s="172">
        <v>143.85092436568845573111742307</v>
      </c>
      <c r="F13" s="371">
        <v>143.05481621751155575823325547</v>
      </c>
      <c r="G13" s="370">
        <v>138.66666666666666666666666667</v>
      </c>
      <c r="H13" s="172">
        <v>160.96962558723796855708572843</v>
      </c>
      <c r="I13" s="371">
        <v>130.81025634997731067947243887</v>
      </c>
      <c r="J13" s="370">
        <v>102.5</v>
      </c>
      <c r="K13" s="172">
        <v>138.05284819842208755667131221</v>
      </c>
      <c r="L13" s="371">
        <v>93.4536586203265858516697344</v>
      </c>
      <c r="M13" s="370">
        <v>126.70212765957446808510638298</v>
      </c>
      <c r="N13" s="172">
        <v>146.09846925972396486825595983</v>
      </c>
      <c r="O13" s="371">
        <v>141.43362350380848748639825898</v>
      </c>
      <c r="P13" s="4"/>
      <c r="Q13" s="327"/>
      <c r="R13" s="171">
        <v>-3.7109656298459216104146830900</v>
      </c>
      <c r="S13" s="328">
        <v>5.9242532201602825657047834800</v>
      </c>
      <c r="T13" s="327"/>
      <c r="U13" s="171">
        <v>9.180625208755243993184829070</v>
      </c>
      <c r="V13" s="328">
        <v>4.9898383282547128334218627600</v>
      </c>
      <c r="W13" s="327"/>
      <c r="X13" s="171">
        <v>16.141328069389315100579805620</v>
      </c>
      <c r="Y13" s="328">
        <v>0</v>
      </c>
      <c r="Z13" s="327">
        <v>9.349600838074929954723685780</v>
      </c>
      <c r="AA13" s="171">
        <v>-0.5560233597934293955666952300</v>
      </c>
      <c r="AB13" s="328">
        <v>5.6527706025664408561811405600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row>
    <row r="14" ht="15.6" customHeight="1">
      <c r="A14" s="92"/>
      <c r="B14" s="346">
        <v>5</v>
      </c>
      <c r="C14" s="347" t="s">
        <v>51</v>
      </c>
      <c r="D14" s="378">
        <v>118.39344262295081967213114754</v>
      </c>
      <c r="E14" s="173">
        <v>131.82382414668081941010668806</v>
      </c>
      <c r="F14" s="379">
        <v>132.69298117975140881593420562</v>
      </c>
      <c r="G14" s="378">
        <v>129.125</v>
      </c>
      <c r="H14" s="173">
        <v>159.28015628436007249568627727</v>
      </c>
      <c r="I14" s="379">
        <v>133.38495902233693007094358494</v>
      </c>
      <c r="J14" s="378">
        <v>98.5</v>
      </c>
      <c r="K14" s="173">
        <v>122.87177182263843547225408791</v>
      </c>
      <c r="L14" s="379">
        <v>95.5769594657327235998083677</v>
      </c>
      <c r="M14" s="378">
        <v>120.06329113924050632911392405</v>
      </c>
      <c r="N14" s="173">
        <v>136.370306258322237017310253</v>
      </c>
      <c r="O14" s="379">
        <v>132.69723277265328269126424308</v>
      </c>
      <c r="P14" s="4"/>
      <c r="Q14" s="359">
        <v>5.3678022423231735308582137300</v>
      </c>
      <c r="R14" s="170">
        <v>-11.776078667332928545393513280</v>
      </c>
      <c r="S14" s="360">
        <v>1.3468505617495448254483080900</v>
      </c>
      <c r="T14" s="359">
        <v>40.607985480994776038287112440</v>
      </c>
      <c r="U14" s="170">
        <v>14.134326746637330000939112030</v>
      </c>
      <c r="V14" s="360">
        <v>14.555711901475118981105372240</v>
      </c>
      <c r="W14" s="359">
        <v>7.0652173913043478260869565200</v>
      </c>
      <c r="X14" s="170">
        <v>4.3226475042468333553533509200</v>
      </c>
      <c r="Y14" s="360">
        <v>7.500939310703219698661170400</v>
      </c>
      <c r="Z14" s="359">
        <v>14.273436997971841862418718370</v>
      </c>
      <c r="AA14" s="170">
        <v>-5.4519818669872395894509897800</v>
      </c>
      <c r="AB14" s="360">
        <v>3.6076108498993969869382471500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row>
    <row r="15" ht="15.6" customHeight="1">
      <c r="A15" s="92"/>
      <c r="B15" s="344">
        <v>6</v>
      </c>
      <c r="C15" s="345" t="s">
        <v>52</v>
      </c>
      <c r="D15" s="370">
        <v>105.9375</v>
      </c>
      <c r="E15" s="172">
        <v>130.5159767935666266486942941</v>
      </c>
      <c r="F15" s="371">
        <v>129.44854126661471012804340782</v>
      </c>
      <c r="G15" s="370">
        <v>129.11428571428571428571428571</v>
      </c>
      <c r="H15" s="172">
        <v>160.46431689332756183303268861</v>
      </c>
      <c r="I15" s="371">
        <v>135.25143110988715568057386025</v>
      </c>
      <c r="J15" s="370">
        <v>96</v>
      </c>
      <c r="K15" s="172">
        <v>126.91202781691802768645517619</v>
      </c>
      <c r="L15" s="371">
        <v>95.6705077010838562464346834</v>
      </c>
      <c r="M15" s="370">
        <v>111.14666666666666666666666667</v>
      </c>
      <c r="N15" s="172">
        <v>134.85673100120627261761158022</v>
      </c>
      <c r="O15" s="371">
        <v>130.31111111111111111111111111</v>
      </c>
      <c r="P15" s="4"/>
      <c r="Q15" s="327">
        <v>-11.279433183602178671298003080</v>
      </c>
      <c r="R15" s="171">
        <v>-17.656983086352776828198718530</v>
      </c>
      <c r="S15" s="328">
        <v>-4.523576683520947802068800500</v>
      </c>
      <c r="T15" s="327">
        <v>43.586270328993516321173863300</v>
      </c>
      <c r="U15" s="171">
        <v>13.219264232666637727705194390</v>
      </c>
      <c r="V15" s="328">
        <v>12.156837396774759930535858620</v>
      </c>
      <c r="W15" s="327">
        <v>7.8651685393258426966292134800</v>
      </c>
      <c r="X15" s="171">
        <v>6.1953958274506758754260331300</v>
      </c>
      <c r="Y15" s="328">
        <v>6.7342264952493643473838546300</v>
      </c>
      <c r="Z15" s="327">
        <v>2.2038314176245210727969348700</v>
      </c>
      <c r="AA15" s="171">
        <v>-11.216966007162069130635761650</v>
      </c>
      <c r="AB15" s="328">
        <v>-2.0178883861959161306492176700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row>
    <row r="16" ht="15.6" customHeight="1">
      <c r="A16" s="92"/>
      <c r="B16" s="346">
        <v>7</v>
      </c>
      <c r="C16" s="347" t="s">
        <v>53</v>
      </c>
      <c r="D16" s="378">
        <v>112.48484848484848484848484848</v>
      </c>
      <c r="E16" s="173">
        <v>127.4824984210658176374879838</v>
      </c>
      <c r="F16" s="379">
        <v>125.45080336969209421420158419</v>
      </c>
      <c r="G16" s="378">
        <v>125.66666666666666666666666667</v>
      </c>
      <c r="H16" s="173">
        <v>169.49406099437116909215832052</v>
      </c>
      <c r="I16" s="379">
        <v>138.44941661191609756926351207</v>
      </c>
      <c r="J16" s="378">
        <v>91</v>
      </c>
      <c r="K16" s="173">
        <v>115.08372732643215638128070724</v>
      </c>
      <c r="L16" s="379">
        <v>87.95749951769332657990372954</v>
      </c>
      <c r="M16" s="378">
        <v>115.41791044776119402985074627</v>
      </c>
      <c r="N16" s="173">
        <v>133.64530640668523676880222841</v>
      </c>
      <c r="O16" s="379">
        <v>127.22729744426318651441000544</v>
      </c>
      <c r="P16" s="4"/>
      <c r="Q16" s="359">
        <v>-1.8625676772991344469763342700</v>
      </c>
      <c r="R16" s="170">
        <v>-9.895666305689641224293290080</v>
      </c>
      <c r="S16" s="360">
        <v>-7.996669575513028657206079950</v>
      </c>
      <c r="T16" s="359">
        <v>31.942867953143523057716145380</v>
      </c>
      <c r="U16" s="170">
        <v>18.751926674172115155797395320</v>
      </c>
      <c r="V16" s="360">
        <v>12.84186144295584044016271400</v>
      </c>
      <c r="W16" s="359">
        <v>-1.086956521739130434782608700</v>
      </c>
      <c r="X16" s="170">
        <v>-5.0299501710326221423918275500</v>
      </c>
      <c r="Y16" s="360">
        <v>-6.5140728356194832088218951600</v>
      </c>
      <c r="Z16" s="359">
        <v>7.1751658724869415409615647400</v>
      </c>
      <c r="AA16" s="170">
        <v>-4.933208295741201052023546100</v>
      </c>
      <c r="AB16" s="360">
        <v>-5.0056607972963112741613639100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row>
    <row r="17" ht="15.6" customHeight="1">
      <c r="A17" s="92"/>
      <c r="B17" s="344">
        <v>8</v>
      </c>
      <c r="C17" s="345" t="s">
        <v>49</v>
      </c>
      <c r="D17" s="370">
        <v>88.17391304347826086956521739</v>
      </c>
      <c r="E17" s="172">
        <v>115.32994722853166208803759907</v>
      </c>
      <c r="F17" s="371">
        <v>112.695319902893809037688127</v>
      </c>
      <c r="G17" s="370">
        <v>127</v>
      </c>
      <c r="H17" s="172">
        <v>161.48784768504854069738249772</v>
      </c>
      <c r="I17" s="371">
        <v>124.87397416282811135910894497</v>
      </c>
      <c r="J17" s="370">
        <v>86.5</v>
      </c>
      <c r="K17" s="172">
        <v>119.3145121347537118275936302</v>
      </c>
      <c r="L17" s="371">
        <v>83.92046720425480089155953949</v>
      </c>
      <c r="M17" s="370">
        <v>88.89795918367346938775510204</v>
      </c>
      <c r="N17" s="172">
        <v>120.17969121140142517814726841</v>
      </c>
      <c r="O17" s="371">
        <v>114.20164609053497942386831276</v>
      </c>
      <c r="P17" s="4"/>
      <c r="Q17" s="327"/>
      <c r="R17" s="171">
        <v>-16.649526623826921323844500580</v>
      </c>
      <c r="S17" s="328">
        <v>-5.511467867407167709270612600</v>
      </c>
      <c r="T17" s="327"/>
      <c r="U17" s="171">
        <v>44.076630964092769329210429810</v>
      </c>
      <c r="V17" s="328">
        <v>8.378078055734189022195900250</v>
      </c>
      <c r="W17" s="327"/>
      <c r="X17" s="171">
        <v>-1.2824409618324659165397255300</v>
      </c>
      <c r="Y17" s="328">
        <v>0</v>
      </c>
      <c r="Z17" s="327">
        <v>-4.0669505212501888079904473700</v>
      </c>
      <c r="AA17" s="171">
        <v>-7.8486641626245689794540169900</v>
      </c>
      <c r="AB17" s="328">
        <v>-3.8613611354648872268847094100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row>
    <row r="18" ht="15.6" customHeight="1">
      <c r="A18" s="92"/>
      <c r="B18" s="346">
        <v>9</v>
      </c>
      <c r="C18" s="347" t="s">
        <v>47</v>
      </c>
      <c r="D18" s="378">
        <v>108.11627906976744186046511628</v>
      </c>
      <c r="E18" s="173">
        <v>139.16315914870977366938634902</v>
      </c>
      <c r="F18" s="379">
        <v>129.74371942561058913841162465</v>
      </c>
      <c r="G18" s="378">
        <v>0</v>
      </c>
      <c r="H18" s="173">
        <v>146.82598519983066412671291836</v>
      </c>
      <c r="I18" s="379">
        <v>131.36797873205046310731612724</v>
      </c>
      <c r="J18" s="378">
        <v>98</v>
      </c>
      <c r="K18" s="173">
        <v>121.34627555596701028078037776</v>
      </c>
      <c r="L18" s="379">
        <v>93.59685201208195732602914413</v>
      </c>
      <c r="M18" s="378">
        <v>107.25531914893617021276595745</v>
      </c>
      <c r="N18" s="173">
        <v>137.74974311926605504587155962</v>
      </c>
      <c r="O18" s="379">
        <v>129.91736028537455410225921522</v>
      </c>
      <c r="P18" s="4"/>
      <c r="Q18" s="359">
        <v>3.9039565085617917292613961500</v>
      </c>
      <c r="R18" s="170">
        <v>-0.9306791685951929780387153700</v>
      </c>
      <c r="S18" s="360">
        <v>-2.9048488274195074003904503700</v>
      </c>
      <c r="T18" s="359">
        <v>0</v>
      </c>
      <c r="U18" s="170">
        <v>40.316812761057903080883982620</v>
      </c>
      <c r="V18" s="360">
        <v>8.226984270834925344526963550</v>
      </c>
      <c r="W18" s="359">
        <v>1.5544041450777202072538860100</v>
      </c>
      <c r="X18" s="170">
        <v>9.226238996386734805077517800</v>
      </c>
      <c r="Y18" s="360">
        <v>2.7524999318924630333427025200</v>
      </c>
      <c r="Z18" s="359">
        <v>3.4617226516736491690180703200</v>
      </c>
      <c r="AA18" s="170">
        <v>3.1907556360915216071099257500</v>
      </c>
      <c r="AB18" s="360">
        <v>-1.7367399830884786841105807100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row>
    <row r="19" ht="15.6" customHeight="1">
      <c r="A19" s="92"/>
      <c r="B19" s="344">
        <v>10</v>
      </c>
      <c r="C19" s="345" t="s">
        <v>48</v>
      </c>
      <c r="D19" s="370"/>
      <c r="E19" s="172">
        <v>146.43350958365596114152185722</v>
      </c>
      <c r="F19" s="371">
        <v>142.76728472470541128601427965</v>
      </c>
      <c r="G19" s="370"/>
      <c r="H19" s="172">
        <v>136.67902357598026826804832887</v>
      </c>
      <c r="I19" s="371">
        <v>125.99843595516600656615273697</v>
      </c>
      <c r="J19" s="370"/>
      <c r="K19" s="172">
        <v>124.31073727703174021904704254</v>
      </c>
      <c r="L19" s="371">
        <v>0</v>
      </c>
      <c r="M19" s="370"/>
      <c r="N19" s="172">
        <v>143.9077151335311572700296736</v>
      </c>
      <c r="O19" s="371">
        <v>139.28843264897346019028542814</v>
      </c>
      <c r="P19" s="4"/>
      <c r="Q19" s="327"/>
      <c r="R19" s="171">
        <v>-0.6293087965397261999066860700</v>
      </c>
      <c r="S19" s="328">
        <v>0.6216015227712614699536475100</v>
      </c>
      <c r="T19" s="327"/>
      <c r="U19" s="171">
        <v>2.1604679875588698287186012100</v>
      </c>
      <c r="V19" s="328">
        <v>10.368723121411271560254095480</v>
      </c>
      <c r="W19" s="327"/>
      <c r="X19" s="171">
        <v>0.5885647377692577493744041700</v>
      </c>
      <c r="Y19" s="328">
        <v>-100</v>
      </c>
      <c r="Z19" s="327"/>
      <c r="AA19" s="171">
        <v>-0.6487509271517496900739000300</v>
      </c>
      <c r="AB19" s="328">
        <v>-0.0344841857209785752246756200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row>
    <row r="20" ht="15.6" customHeight="1">
      <c r="A20" s="92"/>
      <c r="B20" s="346">
        <v>11</v>
      </c>
      <c r="C20" s="347" t="s">
        <v>50</v>
      </c>
      <c r="D20" s="378">
        <v>116.36</v>
      </c>
      <c r="E20" s="173">
        <v>139.54340331173873133412633142</v>
      </c>
      <c r="F20" s="379">
        <v>139.21050548635912195032450758</v>
      </c>
      <c r="G20" s="378">
        <v>0</v>
      </c>
      <c r="H20" s="173">
        <v>126.04096006731844724424296022</v>
      </c>
      <c r="I20" s="379">
        <v>122.06672238568247288329735954</v>
      </c>
      <c r="J20" s="378">
        <v>98</v>
      </c>
      <c r="K20" s="173">
        <v>126.48801408241772618932628377</v>
      </c>
      <c r="L20" s="379">
        <v>92.54206621816368530992801218</v>
      </c>
      <c r="M20" s="378">
        <v>115.000000000</v>
      </c>
      <c r="N20" s="173">
        <v>136.00625172890733056708160443</v>
      </c>
      <c r="O20" s="379">
        <v>137.10981697171381031613976705</v>
      </c>
      <c r="P20" s="4"/>
      <c r="Q20" s="359">
        <v>15.091047425777040967183340640</v>
      </c>
      <c r="R20" s="170">
        <v>-1.8458066018593499371759896200</v>
      </c>
      <c r="S20" s="360">
        <v>3.1747121735337071856110429400</v>
      </c>
      <c r="T20" s="359">
        <v>0</v>
      </c>
      <c r="U20" s="170">
        <v>-9.285082364415698814978255390</v>
      </c>
      <c r="V20" s="360">
        <v>6.0545165146215053118295639400</v>
      </c>
      <c r="W20" s="359">
        <v>6.5217391304347826086956521700</v>
      </c>
      <c r="X20" s="170">
        <v>5.2040487867168864167078349100</v>
      </c>
      <c r="Y20" s="360">
        <v>3.1049833018393306869743908800</v>
      </c>
      <c r="Z20" s="359">
        <v>14.247637509047747348555205510</v>
      </c>
      <c r="AA20" s="170">
        <v>-3.0341438473086109445591038700</v>
      </c>
      <c r="AB20" s="360">
        <v>2.4902643374147740270902545400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row>
    <row r="21" ht="15.6" customHeight="1">
      <c r="A21" s="92"/>
      <c r="B21" s="344">
        <v>12</v>
      </c>
      <c r="C21" s="345" t="s">
        <v>51</v>
      </c>
      <c r="D21" s="370">
        <v>118.36842105263157894736842105</v>
      </c>
      <c r="E21" s="172">
        <v>138.02296531152144566218997413</v>
      </c>
      <c r="F21" s="371">
        <v>124.9794344746233543469144695</v>
      </c>
      <c r="G21" s="370">
        <v>113</v>
      </c>
      <c r="H21" s="172">
        <v>124.88535157300582749647453081</v>
      </c>
      <c r="I21" s="371">
        <v>120.86103098257223380136500385</v>
      </c>
      <c r="J21" s="370">
        <v>98</v>
      </c>
      <c r="K21" s="172">
        <v>124.11675680698958062670141074</v>
      </c>
      <c r="L21" s="371">
        <v>90.72143377333747289022773009</v>
      </c>
      <c r="M21" s="370">
        <v>115.02816901408450704225352113</v>
      </c>
      <c r="N21" s="172">
        <v>132.9863262411347517730496454</v>
      </c>
      <c r="O21" s="371">
        <v>123.97232472324723247232472325</v>
      </c>
      <c r="P21" s="4"/>
      <c r="Q21" s="327">
        <v>20.211666607235790513032507570</v>
      </c>
      <c r="R21" s="171">
        <v>5.7737245726570599661081225700</v>
      </c>
      <c r="S21" s="328">
        <v>1.4452606869047462546982732800</v>
      </c>
      <c r="T21" s="327">
        <v>0</v>
      </c>
      <c r="U21" s="171">
        <v>-9.528672386707876205096715820</v>
      </c>
      <c r="V21" s="328">
        <v>2.739604108639312920307610200</v>
      </c>
      <c r="W21" s="327">
        <v>4.2553191489361702127659574500</v>
      </c>
      <c r="X21" s="171">
        <v>5.661687020015582035802884600</v>
      </c>
      <c r="Y21" s="328">
        <v>0.3676654480962238810130852300</v>
      </c>
      <c r="Z21" s="327">
        <v>16.906336385465640444616808060</v>
      </c>
      <c r="AA21" s="171">
        <v>0.9352186750906707646664025200</v>
      </c>
      <c r="AB21" s="328">
        <v>1.1378137897234732253363111300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row>
    <row r="22" ht="15.6" customHeight="1">
      <c r="A22" s="92"/>
      <c r="B22" s="346">
        <v>13</v>
      </c>
      <c r="C22" s="347" t="s">
        <v>52</v>
      </c>
      <c r="D22" s="378">
        <v>110.37878787878787878787878788</v>
      </c>
      <c r="E22" s="173">
        <v>141.53978729533083183361486402</v>
      </c>
      <c r="F22" s="379">
        <v>118.34559479498514148070536036</v>
      </c>
      <c r="G22" s="378">
        <v>0</v>
      </c>
      <c r="H22" s="173">
        <v>133.98047857301168053701459576</v>
      </c>
      <c r="I22" s="379">
        <v>127.62998358291460748084017465</v>
      </c>
      <c r="J22" s="378">
        <v>98</v>
      </c>
      <c r="K22" s="173">
        <v>114.77141549470152663090286652</v>
      </c>
      <c r="L22" s="379">
        <v>92.17721036543832762505123725</v>
      </c>
      <c r="M22" s="378">
        <v>110.01470588235294117647058824</v>
      </c>
      <c r="N22" s="173">
        <v>136.69892663043478260869565218</v>
      </c>
      <c r="O22" s="379">
        <v>119.70068879148403256105197245</v>
      </c>
      <c r="P22" s="4"/>
      <c r="Q22" s="359">
        <v>-1.7432274333782369066028601900</v>
      </c>
      <c r="R22" s="170">
        <v>7.285004724791218365952909400</v>
      </c>
      <c r="S22" s="360">
        <v>-4.1456571240976342482326417600</v>
      </c>
      <c r="T22" s="359">
        <v>0</v>
      </c>
      <c r="U22" s="170">
        <v>-0.0965247518699290935983699400</v>
      </c>
      <c r="V22" s="360">
        <v>2.993055473493573238763079900</v>
      </c>
      <c r="W22" s="359">
        <v>3.5211267605269291807181243200</v>
      </c>
      <c r="X22" s="170">
        <v>-4.7982145802706846308564148500</v>
      </c>
      <c r="Y22" s="360">
        <v>-4.0668403073481763883195153700</v>
      </c>
      <c r="Z22" s="359">
        <v>-1.5624106090444894994597412300</v>
      </c>
      <c r="AA22" s="170">
        <v>3.8298734100582834959939205600</v>
      </c>
      <c r="AB22" s="360">
        <v>-3.0056812320848938002982153400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row>
    <row r="23" ht="15.6" customHeight="1">
      <c r="A23" s="92"/>
      <c r="B23" s="344">
        <v>14</v>
      </c>
      <c r="C23" s="345" t="s">
        <v>53</v>
      </c>
      <c r="D23" s="370">
        <v>90.21428571428571428571428571</v>
      </c>
      <c r="E23" s="172">
        <v>138.96765372477547850413548669</v>
      </c>
      <c r="F23" s="371">
        <v>121.56588598022460933771251059</v>
      </c>
      <c r="G23" s="370">
        <v>0</v>
      </c>
      <c r="H23" s="172">
        <v>129.77934095558830264567474993</v>
      </c>
      <c r="I23" s="371">
        <v>142.01210835654845602196843832</v>
      </c>
      <c r="J23" s="370">
        <v>98</v>
      </c>
      <c r="K23" s="172">
        <v>126.71247852020843713091151846</v>
      </c>
      <c r="L23" s="371">
        <v>95.51669888302215147422488099</v>
      </c>
      <c r="M23" s="370">
        <v>90.96774193548387096774193548</v>
      </c>
      <c r="N23" s="172">
        <v>135.2623338257016248153618907</v>
      </c>
      <c r="O23" s="371">
        <v>123.47092651757188498402555911</v>
      </c>
      <c r="P23" s="4"/>
      <c r="Q23" s="327">
        <v>-22.409842598146956372849646960</v>
      </c>
      <c r="R23" s="171">
        <v>2.4397971750205947237778305400</v>
      </c>
      <c r="S23" s="328">
        <v>0.1058511111443089881984811200</v>
      </c>
      <c r="T23" s="327">
        <v>0</v>
      </c>
      <c r="U23" s="171">
        <v>-3.7319529210327539738079136400</v>
      </c>
      <c r="V23" s="328">
        <v>12.266536526850549341598021050</v>
      </c>
      <c r="W23" s="327">
        <v>8.287292817679558011049723760</v>
      </c>
      <c r="X23" s="171">
        <v>4.2194043775860569676144769500</v>
      </c>
      <c r="Y23" s="328">
        <v>4.9023385393815407380598274200</v>
      </c>
      <c r="Z23" s="327">
        <v>-21.302807204390940428242144490</v>
      </c>
      <c r="AA23" s="171">
        <v>0.5251873052154322729305047600</v>
      </c>
      <c r="AB23" s="328">
        <v>1.4754859562752696635107179800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row>
    <row r="24" ht="15.6" customHeight="1">
      <c r="A24" s="92"/>
      <c r="B24" s="346">
        <v>15</v>
      </c>
      <c r="C24" s="347" t="s">
        <v>49</v>
      </c>
      <c r="D24" s="378">
        <v>98.65217391304347826086956522</v>
      </c>
      <c r="E24" s="173">
        <v>129.62040608996380194868986247</v>
      </c>
      <c r="F24" s="379">
        <v>115.20954780032362600070183873</v>
      </c>
      <c r="G24" s="378">
        <v>0</v>
      </c>
      <c r="H24" s="173">
        <v>133.31801870282635997962853354</v>
      </c>
      <c r="I24" s="379">
        <v>133.48497207998480615197038795</v>
      </c>
      <c r="J24" s="378">
        <v>108.33333333333333333333333333</v>
      </c>
      <c r="K24" s="173">
        <v>125.74747299304903065215145538</v>
      </c>
      <c r="L24" s="379">
        <v>100.27611953697155449980743864</v>
      </c>
      <c r="M24" s="378">
        <v>99.2448979591836734693877551</v>
      </c>
      <c r="N24" s="173">
        <v>130.14013157894736842105263158</v>
      </c>
      <c r="O24" s="379">
        <v>115.8120035304501323918799647</v>
      </c>
      <c r="P24" s="4"/>
      <c r="Q24" s="359">
        <v>-3.8974846572833017454096399100</v>
      </c>
      <c r="R24" s="170">
        <v>-0.6381617427521800013756314500</v>
      </c>
      <c r="S24" s="360">
        <v>2.3589110679083162916833605600</v>
      </c>
      <c r="T24" s="359">
        <v>0</v>
      </c>
      <c r="U24" s="170">
        <v>-17.080622000575386728365003600</v>
      </c>
      <c r="V24" s="360">
        <v>7.4152433521945793370204709300</v>
      </c>
      <c r="W24" s="359">
        <v>12.847222222222222222222222220</v>
      </c>
      <c r="X24" s="170">
        <v>5.1898236006269443999157574700</v>
      </c>
      <c r="Y24" s="360">
        <v>7.8793196654829644655080428100</v>
      </c>
      <c r="Z24" s="359">
        <v>-3.0737304496247290092218663100</v>
      </c>
      <c r="AA24" s="170">
        <v>-0.9314885482156040479441327300</v>
      </c>
      <c r="AB24" s="360">
        <v>2.338745118064935568919108200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row>
    <row r="25" ht="15.6" customHeight="1">
      <c r="A25" s="92"/>
      <c r="B25" s="344">
        <v>16</v>
      </c>
      <c r="C25" s="345" t="s">
        <v>47</v>
      </c>
      <c r="D25" s="370">
        <v>96.65882352941176470588235294</v>
      </c>
      <c r="E25" s="172">
        <v>139.40014974739854545859172138</v>
      </c>
      <c r="F25" s="371">
        <v>132.91434256301165015268450408</v>
      </c>
      <c r="G25" s="370">
        <v>0</v>
      </c>
      <c r="H25" s="172">
        <v>138.31525114102875667052120606</v>
      </c>
      <c r="I25" s="371">
        <v>140.81181990731178199314293336</v>
      </c>
      <c r="J25" s="370">
        <v>98</v>
      </c>
      <c r="K25" s="172">
        <v>120.67684870590391036285789079</v>
      </c>
      <c r="L25" s="371">
        <v>93.78072834922303769761188366</v>
      </c>
      <c r="M25" s="370">
        <v>96.67441860465116279069767442</v>
      </c>
      <c r="N25" s="172">
        <v>137.66876899696048632218844984</v>
      </c>
      <c r="O25" s="371">
        <v>133.49735760422783323546682325</v>
      </c>
      <c r="P25" s="4"/>
      <c r="Q25" s="327">
        <v>-10.689691340923400631775104510</v>
      </c>
      <c r="R25" s="171">
        <v>-3.1067359142878836091038735800</v>
      </c>
      <c r="S25" s="328">
        <v>2.2846325541589896292188069400</v>
      </c>
      <c r="T25" s="327">
        <v>0</v>
      </c>
      <c r="U25" s="171">
        <v>-12.510671791852204150682465560</v>
      </c>
      <c r="V25" s="328">
        <v>22.192368552818820571286711990</v>
      </c>
      <c r="W25" s="327">
        <v>10.943396226456959772160927150</v>
      </c>
      <c r="X25" s="171">
        <v>1.2322449351923585928979761800</v>
      </c>
      <c r="Y25" s="328">
        <v>10.024449367898458958373014470</v>
      </c>
      <c r="Z25" s="327">
        <v>-9.846672112513633291892909660</v>
      </c>
      <c r="AA25" s="171">
        <v>-3.4464899139871484181203192500</v>
      </c>
      <c r="AB25" s="328">
        <v>4.1005481187918668030055456600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row>
    <row r="26" ht="15.6" customHeight="1">
      <c r="A26" s="92"/>
      <c r="B26" s="346">
        <v>17</v>
      </c>
      <c r="C26" s="347" t="s">
        <v>48</v>
      </c>
      <c r="D26" s="378">
        <v>93.74137931034482758620689655</v>
      </c>
      <c r="E26" s="173">
        <v>143.05839940669044878742143657</v>
      </c>
      <c r="F26" s="379">
        <v>144.41804178960024581770490523</v>
      </c>
      <c r="G26" s="378">
        <v>0</v>
      </c>
      <c r="H26" s="173">
        <v>139.70581082271156358865161958</v>
      </c>
      <c r="I26" s="379">
        <v>129.02380369405116752103566456</v>
      </c>
      <c r="J26" s="378">
        <v>99</v>
      </c>
      <c r="K26" s="173">
        <v>127.14295593381197809246162387</v>
      </c>
      <c r="L26" s="379">
        <v>93.08669702456686769117133648</v>
      </c>
      <c r="M26" s="378">
        <v>93.83050847457627118644067797</v>
      </c>
      <c r="N26" s="173">
        <v>141.4679063360881542699724518</v>
      </c>
      <c r="O26" s="379">
        <v>143.49758971612212104981253348</v>
      </c>
      <c r="P26" s="4"/>
      <c r="Q26" s="359">
        <v>-23.350184755541698913804586580</v>
      </c>
      <c r="R26" s="170">
        <v>-1.548613157494063600135491400</v>
      </c>
      <c r="S26" s="360">
        <v>5.3366153442033834351771134300</v>
      </c>
      <c r="T26" s="359">
        <v>0</v>
      </c>
      <c r="U26" s="170">
        <v>5.0211551558028483792023835500</v>
      </c>
      <c r="V26" s="360">
        <v>13.020376923594609668764933130</v>
      </c>
      <c r="W26" s="359">
        <v>-2.4630541871921182266009852200</v>
      </c>
      <c r="X26" s="170">
        <v>13.551304855234487860115428230</v>
      </c>
      <c r="Y26" s="360">
        <v>-2.6069967670755577580058217100</v>
      </c>
      <c r="Z26" s="359">
        <v>-22.832450515762080784706473080</v>
      </c>
      <c r="AA26" s="170">
        <v>-0.4733207317321638109392448300</v>
      </c>
      <c r="AB26" s="360">
        <v>6.5183758552848876584506644600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row>
    <row r="27" ht="15.6" customHeight="1">
      <c r="A27" s="92"/>
      <c r="B27" s="344">
        <v>18</v>
      </c>
      <c r="C27" s="345" t="s">
        <v>50</v>
      </c>
      <c r="D27" s="370">
        <v>98.31578947368421052631578947</v>
      </c>
      <c r="E27" s="172">
        <v>137.26944325544420662873720284</v>
      </c>
      <c r="F27" s="371">
        <v>139.72588157158024462672054189</v>
      </c>
      <c r="G27" s="370">
        <v>0</v>
      </c>
      <c r="H27" s="172">
        <v>142.89285478153497050626140632</v>
      </c>
      <c r="I27" s="371">
        <v>112.44443703052500386907476975</v>
      </c>
      <c r="J27" s="370">
        <v>100</v>
      </c>
      <c r="K27" s="172">
        <v>123.24638753591067681811588027</v>
      </c>
      <c r="L27" s="371">
        <v>94.52565978443256904198536931</v>
      </c>
      <c r="M27" s="370">
        <v>98.37288135593220338983050847</v>
      </c>
      <c r="N27" s="172">
        <v>136.92388976377952755905511812</v>
      </c>
      <c r="O27" s="371">
        <v>137.31412103746397694524495677</v>
      </c>
      <c r="P27" s="4"/>
      <c r="Q27" s="327">
        <v>-11.443498452040057807662530050</v>
      </c>
      <c r="R27" s="171">
        <v>-8.662201761081684695275182640</v>
      </c>
      <c r="S27" s="328">
        <v>3.4478925824232811147712941600</v>
      </c>
      <c r="T27" s="327">
        <v>-100</v>
      </c>
      <c r="U27" s="171">
        <v>14.157410357607779509680671290</v>
      </c>
      <c r="V27" s="328">
        <v>3.3018639748059445289750785500</v>
      </c>
      <c r="W27" s="327">
        <v>7.9136690647093835722788815200</v>
      </c>
      <c r="X27" s="171">
        <v>3.7762937700781013984981988500</v>
      </c>
      <c r="Y27" s="328">
        <v>8.409650869875801086828926480</v>
      </c>
      <c r="Z27" s="327">
        <v>-10.331178396270263081681255580</v>
      </c>
      <c r="AA27" s="171">
        <v>-3.7801164058900878387525330100</v>
      </c>
      <c r="AB27" s="328">
        <v>3.7576857493198388132691757600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row>
    <row r="28" ht="15.6" customHeight="1">
      <c r="A28" s="92"/>
      <c r="B28" s="346">
        <v>19</v>
      </c>
      <c r="C28" s="347" t="s">
        <v>51</v>
      </c>
      <c r="D28" s="378">
        <v>96.47272727272727272727272727</v>
      </c>
      <c r="E28" s="173">
        <v>129.17553931772538438504748822</v>
      </c>
      <c r="F28" s="379">
        <v>130.80004713259376180481786672</v>
      </c>
      <c r="G28" s="378">
        <v>0</v>
      </c>
      <c r="H28" s="173">
        <v>144.71748484579410115192272519</v>
      </c>
      <c r="I28" s="379">
        <v>122.27975431177196475774390485</v>
      </c>
      <c r="J28" s="378">
        <v>98.5</v>
      </c>
      <c r="K28" s="173">
        <v>123.28873813337733184800528338</v>
      </c>
      <c r="L28" s="379">
        <v>94.25588663830829480208431794</v>
      </c>
      <c r="M28" s="378">
        <v>96.54385964912280701754385965</v>
      </c>
      <c r="N28" s="173">
        <v>131.20566210045662100456621004</v>
      </c>
      <c r="O28" s="379">
        <v>129.11438892233594220349187237</v>
      </c>
      <c r="P28" s="4"/>
      <c r="Q28" s="359">
        <v>-13.328977458354024095274554560</v>
      </c>
      <c r="R28" s="170">
        <v>-12.278806882420282797283711220</v>
      </c>
      <c r="S28" s="360">
        <v>4.3930625531673013505378214200</v>
      </c>
      <c r="T28" s="359">
        <v>-100</v>
      </c>
      <c r="U28" s="170">
        <v>5.8932593577980296897230366700</v>
      </c>
      <c r="V28" s="360">
        <v>6.73040001783325558245953300</v>
      </c>
      <c r="W28" s="359">
        <v>1.5463917525773195876288659800</v>
      </c>
      <c r="X28" s="170">
        <v>2.5734078254174286695164101800</v>
      </c>
      <c r="Y28" s="360">
        <v>0.6534039324773979786659371700</v>
      </c>
      <c r="Z28" s="359">
        <v>-12.839511672395829466457793520</v>
      </c>
      <c r="AA28" s="170">
        <v>-8.198354619801275267969728840</v>
      </c>
      <c r="AB28" s="360">
        <v>4.14702309311075702952757800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row>
    <row r="29" ht="15.6" customHeight="1">
      <c r="A29" s="92"/>
      <c r="B29" s="344">
        <v>20</v>
      </c>
      <c r="C29" s="345" t="s">
        <v>52</v>
      </c>
      <c r="D29" s="370">
        <v>109.8978102189781021897810219</v>
      </c>
      <c r="E29" s="172">
        <v>136.99918881870827318960967001</v>
      </c>
      <c r="F29" s="371">
        <v>129.69440511707882749029621677</v>
      </c>
      <c r="G29" s="370">
        <v>0</v>
      </c>
      <c r="H29" s="172">
        <v>151.04104600098881497553178145</v>
      </c>
      <c r="I29" s="371">
        <v>147.1600498606851475294750125</v>
      </c>
      <c r="J29" s="370">
        <v>98</v>
      </c>
      <c r="K29" s="172">
        <v>118.93906967052141017194487806</v>
      </c>
      <c r="L29" s="371">
        <v>94.92354087465315958949470449</v>
      </c>
      <c r="M29" s="370">
        <v>109.56028368794326241134751773</v>
      </c>
      <c r="N29" s="172">
        <v>138.41991812865497076023391813</v>
      </c>
      <c r="O29" s="371">
        <v>132.35444330949948927477017365</v>
      </c>
      <c r="P29" s="4"/>
      <c r="Q29" s="327">
        <v>-21.050423693262857622283748640</v>
      </c>
      <c r="R29" s="171">
        <v>-4.5722811222399207936685984700</v>
      </c>
      <c r="S29" s="328">
        <v>-0.0403597032186859977244975300</v>
      </c>
      <c r="T29" s="327">
        <v>-100</v>
      </c>
      <c r="U29" s="171">
        <v>-1.4444080172298594362755688100</v>
      </c>
      <c r="V29" s="328">
        <v>25.904367703727337396666933390</v>
      </c>
      <c r="W29" s="327">
        <v>-4.3902439024390243902439024400</v>
      </c>
      <c r="X29" s="171">
        <v>-1.3008264346686247864895392300</v>
      </c>
      <c r="Y29" s="328">
        <v>-6.7653422486207485659137315700</v>
      </c>
      <c r="Z29" s="327">
        <v>-20.608490081200534484530784250</v>
      </c>
      <c r="AA29" s="171">
        <v>-4.1448126048784091144034316400</v>
      </c>
      <c r="AB29" s="328">
        <v>3.4499821579899614702606977100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row>
    <row r="30" ht="15.6" customHeight="1">
      <c r="A30" s="92"/>
      <c r="B30" s="346">
        <v>21</v>
      </c>
      <c r="C30" s="347" t="s">
        <v>53</v>
      </c>
      <c r="D30" s="378">
        <v>106.72992700729927007299270073</v>
      </c>
      <c r="E30" s="173">
        <v>137.94867112807705854884811262</v>
      </c>
      <c r="F30" s="379">
        <v>131.02583235613834717405097967</v>
      </c>
      <c r="G30" s="378">
        <v>0</v>
      </c>
      <c r="H30" s="173">
        <v>144.3070334575895137747352802</v>
      </c>
      <c r="I30" s="379">
        <v>126.16497552067316338969413276</v>
      </c>
      <c r="J30" s="378">
        <v>98.5</v>
      </c>
      <c r="K30" s="173">
        <v>130.40112336515572682974211501</v>
      </c>
      <c r="L30" s="379">
        <v>95.37365888765574382345432523</v>
      </c>
      <c r="M30" s="378">
        <v>106.61151079136690647482014388</v>
      </c>
      <c r="N30" s="173">
        <v>139.00614849187935034802784223</v>
      </c>
      <c r="O30" s="379">
        <v>130.17330574236937403000517331</v>
      </c>
      <c r="P30" s="4"/>
      <c r="Q30" s="359">
        <v>-4.7490353939587007758701821700</v>
      </c>
      <c r="R30" s="170">
        <v>5.5317617598172844069607464700</v>
      </c>
      <c r="S30" s="360">
        <v>5.6415066257629847461454206600</v>
      </c>
      <c r="T30" s="359">
        <v>-100</v>
      </c>
      <c r="U30" s="170">
        <v>-11.460108007727815111068341940</v>
      </c>
      <c r="V30" s="360">
        <v>7.915301871808222224528395900</v>
      </c>
      <c r="W30" s="359">
        <v>7.0652173913043478260869565200</v>
      </c>
      <c r="X30" s="170">
        <v>7.6980479955368793052860362300</v>
      </c>
      <c r="Y30" s="360">
        <v>2.2377257905676790378892745400</v>
      </c>
      <c r="Z30" s="359">
        <v>-6.6857673598539111817766793200</v>
      </c>
      <c r="AA30" s="170">
        <v>2.2863117504477164153135535100</v>
      </c>
      <c r="AB30" s="360">
        <v>6.0000479101806697389680834200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row>
    <row r="31" ht="15.6" customHeight="1">
      <c r="A31" s="92"/>
      <c r="B31" s="344">
        <v>22</v>
      </c>
      <c r="C31" s="345" t="s">
        <v>49</v>
      </c>
      <c r="D31" s="370">
        <v>86.97297297297297297297297297</v>
      </c>
      <c r="E31" s="172">
        <v>134.52317138883421005431682955</v>
      </c>
      <c r="F31" s="371">
        <v>119.71049372868093382257978744</v>
      </c>
      <c r="G31" s="370">
        <v>97.5</v>
      </c>
      <c r="H31" s="172">
        <v>163.25281773537679505307559333</v>
      </c>
      <c r="I31" s="371">
        <v>107.32554544914095475893228702</v>
      </c>
      <c r="J31" s="370">
        <v>91</v>
      </c>
      <c r="K31" s="172">
        <v>121.46229555981796321386680773</v>
      </c>
      <c r="L31" s="371">
        <v>84.18352059925093632958801498</v>
      </c>
      <c r="M31" s="370">
        <v>88.20454545454545454545454545</v>
      </c>
      <c r="N31" s="172">
        <v>134.99008810572687224669603523</v>
      </c>
      <c r="O31" s="371">
        <v>118.12403100775193798449612403</v>
      </c>
      <c r="P31" s="4"/>
      <c r="Q31" s="327">
        <v>-35.142017244595283306240205340</v>
      </c>
      <c r="R31" s="171">
        <v>9.074699282479713891266015040</v>
      </c>
      <c r="S31" s="328">
        <v>2.1985575009969718771603564200</v>
      </c>
      <c r="T31" s="327">
        <v>0</v>
      </c>
      <c r="U31" s="171">
        <v>0.8495265391693222568726686400</v>
      </c>
      <c r="V31" s="328">
        <v>7.6950684001646361402947987500</v>
      </c>
      <c r="W31" s="327">
        <v>-24.793388429752066115702479340</v>
      </c>
      <c r="X31" s="171">
        <v>1.694459255094566674254652400</v>
      </c>
      <c r="Y31" s="328">
        <v>-27.013996904356350564343975150</v>
      </c>
      <c r="Z31" s="327">
        <v>-33.782630950327173735181821250</v>
      </c>
      <c r="AA31" s="171">
        <v>3.3869844483780306738405392700</v>
      </c>
      <c r="AB31" s="328">
        <v>2.2149268367369020326490219900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row>
    <row r="32" ht="15.6" customHeight="1">
      <c r="A32" s="92"/>
      <c r="B32" s="346">
        <v>23</v>
      </c>
      <c r="C32" s="347" t="s">
        <v>47</v>
      </c>
      <c r="D32" s="378">
        <v>97.18571428571428571428571429</v>
      </c>
      <c r="E32" s="173">
        <v>144.44160951172603195792669007</v>
      </c>
      <c r="F32" s="379">
        <v>134.2094575444218613000854188</v>
      </c>
      <c r="G32" s="378">
        <v>102.89655172413793103448275862</v>
      </c>
      <c r="H32" s="173">
        <v>112.89484585232328944851504087</v>
      </c>
      <c r="I32" s="379">
        <v>110.5699816993484118626496826</v>
      </c>
      <c r="J32" s="378">
        <v>96</v>
      </c>
      <c r="K32" s="173">
        <v>119.67157549567943845175026406</v>
      </c>
      <c r="L32" s="379">
        <v>90.5611345395651114672083615</v>
      </c>
      <c r="M32" s="378">
        <v>98.77450980392156862745098039</v>
      </c>
      <c r="N32" s="173">
        <v>141.07851785714285714285714285</v>
      </c>
      <c r="O32" s="379">
        <v>130.73790322580645161290322581</v>
      </c>
      <c r="P32" s="4"/>
      <c r="Q32" s="359">
        <v>6.306841266368722067693846300</v>
      </c>
      <c r="R32" s="170">
        <v>-4.5965875589318140284728378500</v>
      </c>
      <c r="S32" s="360">
        <v>0.6882773461146921617593833600</v>
      </c>
      <c r="T32" s="359">
        <v>0</v>
      </c>
      <c r="U32" s="170">
        <v>-24.138771015999249596465741450</v>
      </c>
      <c r="V32" s="360">
        <v>-12.285650114379069436022788440</v>
      </c>
      <c r="W32" s="359">
        <v>28.00</v>
      </c>
      <c r="X32" s="170">
        <v>2.7573315549255255860924972900</v>
      </c>
      <c r="Y32" s="360">
        <v>28.380139263744459570598267900</v>
      </c>
      <c r="Z32" s="359">
        <v>9.154483311299355138403182830</v>
      </c>
      <c r="AA32" s="170">
        <v>-4.5202907656743841643115945200</v>
      </c>
      <c r="AB32" s="360">
        <v>-0.9105277339517407362556927900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row>
    <row r="33" ht="15.6" customHeight="1">
      <c r="A33" s="92"/>
      <c r="B33" s="344">
        <v>24</v>
      </c>
      <c r="C33" s="345" t="s">
        <v>48</v>
      </c>
      <c r="D33" s="370">
        <v>98.22222222222222222222222222</v>
      </c>
      <c r="E33" s="172">
        <v>146.19641371125030923708506896</v>
      </c>
      <c r="F33" s="371">
        <v>145.26799971777356831564479622</v>
      </c>
      <c r="G33" s="370">
        <v>102.8125</v>
      </c>
      <c r="H33" s="172">
        <v>153.23952004230880620712312709</v>
      </c>
      <c r="I33" s="371">
        <v>114.36374838645857134108202683</v>
      </c>
      <c r="J33" s="370">
        <v>96</v>
      </c>
      <c r="K33" s="172">
        <v>120.55773790562592504542158884</v>
      </c>
      <c r="L33" s="371">
        <v>89.59674650678573882910219542</v>
      </c>
      <c r="M33" s="370">
        <v>99.56603773584905660377358491</v>
      </c>
      <c r="N33" s="172">
        <v>144.04239520958083832335329341</v>
      </c>
      <c r="O33" s="371">
        <v>141.46535181236673773987206823</v>
      </c>
      <c r="P33" s="4"/>
      <c r="Q33" s="327">
        <v>-20.717488789244778700557018410</v>
      </c>
      <c r="R33" s="171">
        <v>-5.042947267921802016689929500</v>
      </c>
      <c r="S33" s="328">
        <v>5.2331524675230153459088124900</v>
      </c>
      <c r="T33" s="327">
        <v>0</v>
      </c>
      <c r="U33" s="171">
        <v>10.956772393560166481294554740</v>
      </c>
      <c r="V33" s="328">
        <v>-10.953305652638815923003050110</v>
      </c>
      <c r="W33" s="327">
        <v>-11.384615384588118343195257880</v>
      </c>
      <c r="X33" s="171">
        <v>0.7527029192179701022684697700</v>
      </c>
      <c r="Y33" s="328">
        <v>-11.552156677108944771261875610</v>
      </c>
      <c r="Z33" s="327">
        <v>-18.848997456669662266357370900</v>
      </c>
      <c r="AA33" s="171">
        <v>-3.5262939726882847072279276700</v>
      </c>
      <c r="AB33" s="328">
        <v>3.9697990168994687838500471300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row>
    <row r="34" ht="15.6" customHeight="1">
      <c r="A34" s="92"/>
      <c r="B34" s="346">
        <v>25</v>
      </c>
      <c r="C34" s="347" t="s">
        <v>50</v>
      </c>
      <c r="D34" s="378">
        <v>94.65277777777777777777777778</v>
      </c>
      <c r="E34" s="173">
        <v>143.38603778887184868031071851</v>
      </c>
      <c r="F34" s="379">
        <v>144.44717411391140125504737413</v>
      </c>
      <c r="G34" s="378">
        <v>106.4375</v>
      </c>
      <c r="H34" s="173">
        <v>174.24800580930720697582612564</v>
      </c>
      <c r="I34" s="379">
        <v>111.16538551690287251034039868</v>
      </c>
      <c r="J34" s="378">
        <v>99.33333333333333333333333333</v>
      </c>
      <c r="K34" s="173">
        <v>122.9838533698684613191658648</v>
      </c>
      <c r="L34" s="379">
        <v>93.27807651779235552370240795</v>
      </c>
      <c r="M34" s="378">
        <v>98.30841121495327102803738318</v>
      </c>
      <c r="N34" s="173">
        <v>146.02247104247104247104247105</v>
      </c>
      <c r="O34" s="379">
        <v>140.17082429501084598698481562</v>
      </c>
      <c r="P34" s="4"/>
      <c r="Q34" s="359">
        <v>-17.299424450467962095646548570</v>
      </c>
      <c r="R34" s="170">
        <v>-0.3970461068429663425022113900</v>
      </c>
      <c r="S34" s="360">
        <v>5.7789158493942677185410418800</v>
      </c>
      <c r="T34" s="359">
        <v>0</v>
      </c>
      <c r="U34" s="170">
        <v>55.992995931925464674833573650</v>
      </c>
      <c r="V34" s="360">
        <v>-4.8351078115658379539032851900</v>
      </c>
      <c r="W34" s="359">
        <v>8.759124087630933986893295960</v>
      </c>
      <c r="X34" s="170">
        <v>0.4881171723856742766290391700</v>
      </c>
      <c r="Y34" s="360">
        <v>6.5313887520665345147516435800</v>
      </c>
      <c r="Z34" s="359">
        <v>-12.932916656694892114182271820</v>
      </c>
      <c r="AA34" s="170">
        <v>6.2090461497177291185998630500</v>
      </c>
      <c r="AB34" s="360">
        <v>4.5629744605801120984480290400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row>
    <row r="35" ht="15.6" customHeight="1">
      <c r="A35" s="92"/>
      <c r="B35" s="344">
        <v>26</v>
      </c>
      <c r="C35" s="345" t="s">
        <v>51</v>
      </c>
      <c r="D35" s="370">
        <v>96.890625</v>
      </c>
      <c r="E35" s="172">
        <v>148.43125925568668561108929443</v>
      </c>
      <c r="F35" s="371">
        <v>130.42966649403133083819290987</v>
      </c>
      <c r="G35" s="370">
        <v>124.42857142857142857142857143</v>
      </c>
      <c r="H35" s="172">
        <v>177.7709783189494784207762529</v>
      </c>
      <c r="I35" s="371">
        <v>123.16730113080314621783530375</v>
      </c>
      <c r="J35" s="370">
        <v>104</v>
      </c>
      <c r="K35" s="172">
        <v>121.09902214344545006515966221</v>
      </c>
      <c r="L35" s="371">
        <v>98.92407393792822991278019643</v>
      </c>
      <c r="M35" s="370">
        <v>99.72602739726027397260273973</v>
      </c>
      <c r="N35" s="172">
        <v>153.67954397394136807817589578</v>
      </c>
      <c r="O35" s="371">
        <v>129.1979418886198547215496368</v>
      </c>
      <c r="P35" s="4"/>
      <c r="Q35" s="327">
        <v>-6.1827003339211410015579562100</v>
      </c>
      <c r="R35" s="171">
        <v>16.234296238319514063570576560</v>
      </c>
      <c r="S35" s="328">
        <v>6.8499069421570843735824103700</v>
      </c>
      <c r="T35" s="327">
        <v>0</v>
      </c>
      <c r="U35" s="171">
        <v>35.246145916823695377569508160</v>
      </c>
      <c r="V35" s="328">
        <v>17.102422261678392942360335620</v>
      </c>
      <c r="W35" s="327">
        <v>27.346938775458225739275323170</v>
      </c>
      <c r="X35" s="171">
        <v>2.0697228667869304003915168100</v>
      </c>
      <c r="Y35" s="328">
        <v>27.149140814248905078130875710</v>
      </c>
      <c r="Z35" s="327">
        <v>-1.5051581261626923727380348300</v>
      </c>
      <c r="AA35" s="171">
        <v>20.864390246486163599996187490</v>
      </c>
      <c r="AB35" s="328">
        <v>7.3247759681434054054467233100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row>
    <row r="36" ht="15.6" customHeight="1">
      <c r="A36" s="92"/>
      <c r="B36" s="346">
        <v>27</v>
      </c>
      <c r="C36" s="347" t="s">
        <v>52</v>
      </c>
      <c r="D36" s="378">
        <v>111.58558558558558558558558559</v>
      </c>
      <c r="E36" s="173">
        <v>137.77625944940028717361429028</v>
      </c>
      <c r="F36" s="379">
        <v>122.23945679668091664730017866</v>
      </c>
      <c r="G36" s="378">
        <v>122.66666666666666666666666667</v>
      </c>
      <c r="H36" s="173">
        <v>149.31724353781205672367321144</v>
      </c>
      <c r="I36" s="379">
        <v>120.02758209812895037318629353</v>
      </c>
      <c r="J36" s="378">
        <v>101</v>
      </c>
      <c r="K36" s="173">
        <v>122.22821276641615162360404317</v>
      </c>
      <c r="L36" s="379">
        <v>96.47763409540453739822075506</v>
      </c>
      <c r="M36" s="378">
        <v>111.69672131147540983606557377</v>
      </c>
      <c r="N36" s="173">
        <v>139.84824836601307189542483661</v>
      </c>
      <c r="O36" s="379">
        <v>121.75192421551213735938425104</v>
      </c>
      <c r="P36" s="4"/>
      <c r="Q36" s="359">
        <v>4.0752877909576788100179584800</v>
      </c>
      <c r="R36" s="170">
        <v>11.739345553955568810683652180</v>
      </c>
      <c r="S36" s="360">
        <v>-1.3855935538102334928106753600</v>
      </c>
      <c r="T36" s="359">
        <v>-6.4010173802776088114013471400</v>
      </c>
      <c r="U36" s="170">
        <v>-0.2803192306834654543606821400</v>
      </c>
      <c r="V36" s="360">
        <v>4.320390375134585415357181700</v>
      </c>
      <c r="W36" s="359">
        <v>7.4468085106382978723404255300</v>
      </c>
      <c r="X36" s="170">
        <v>0.4967174677137901464342416200</v>
      </c>
      <c r="Y36" s="360">
        <v>1.1889711783401389392153157600</v>
      </c>
      <c r="Z36" s="359">
        <v>0.3422082703419271990749350300</v>
      </c>
      <c r="AA36" s="170">
        <v>10.582870585768144215974433380</v>
      </c>
      <c r="AB36" s="360">
        <v>-1.060790802024321715602191800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row>
    <row r="37" ht="15.6" customHeight="1">
      <c r="A37" s="92"/>
      <c r="B37" s="348">
        <v>28</v>
      </c>
      <c r="C37" s="349" t="s">
        <v>53</v>
      </c>
      <c r="D37" s="380">
        <v>98.71717171717171717171717172</v>
      </c>
      <c r="E37" s="383">
        <v>133.71886879856863902622309225</v>
      </c>
      <c r="F37" s="381">
        <v>121.36564944602321119428000474</v>
      </c>
      <c r="G37" s="380">
        <v>119</v>
      </c>
      <c r="H37" s="383">
        <v>138.64225430449241810319255261</v>
      </c>
      <c r="I37" s="381">
        <v>121.91693887648431706854955161</v>
      </c>
      <c r="J37" s="380">
        <v>98</v>
      </c>
      <c r="K37" s="383">
        <v>125.09906374460933152076716272</v>
      </c>
      <c r="L37" s="381">
        <v>96.11149329227119616062629307</v>
      </c>
      <c r="M37" s="380">
        <v>99.84112149532710280373831776</v>
      </c>
      <c r="N37" s="383">
        <v>134.91435173299101412066752247</v>
      </c>
      <c r="O37" s="381">
        <v>121.39100562148657089319175515</v>
      </c>
      <c r="P37" s="4"/>
      <c r="Q37" s="329">
        <v>-5.8364108050695116124291790600</v>
      </c>
      <c r="R37" s="330">
        <v>11.093948466175264771998161090</v>
      </c>
      <c r="S37" s="332">
        <v>-0.6477119373706062104530830800</v>
      </c>
      <c r="T37" s="329">
        <v>0</v>
      </c>
      <c r="U37" s="330">
        <v>-1.1731393038412348820418692200</v>
      </c>
      <c r="V37" s="332">
        <v>9.480071876351513649879187810</v>
      </c>
      <c r="W37" s="329">
        <v>1.0309278350515463917525773200</v>
      </c>
      <c r="X37" s="330">
        <v>3.2570134332558886351944465800</v>
      </c>
      <c r="Y37" s="332">
        <v>-2.23527773402849617226419600</v>
      </c>
      <c r="Z37" s="329">
        <v>-4.4582569422707150203461074100</v>
      </c>
      <c r="AA37" s="330">
        <v>9.989176790200001697678788800</v>
      </c>
      <c r="AB37" s="332">
        <v>0.1392347015196532088110756800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row>
    <row r="39" ht="15.6" customHeight="1">
      <c r="A39" s="54"/>
      <c r="B39" s="53"/>
      <c r="C39" s="53" t="s">
        <v>14</v>
      </c>
      <c r="D39" s="374">
        <v>94.90740740740740740740740741</v>
      </c>
      <c r="E39" s="382">
        <v>124.29717586952761742202614249</v>
      </c>
      <c r="F39" s="375">
        <v>115.0459775907032510559001346</v>
      </c>
      <c r="G39" s="374">
        <v>106.83333333333333333333333333</v>
      </c>
      <c r="H39" s="382">
        <v>142.37461815046920364178168554</v>
      </c>
      <c r="I39" s="375">
        <v>118.65122539435138677312840523</v>
      </c>
      <c r="J39" s="374">
        <v>96.90909090909090909090909091</v>
      </c>
      <c r="K39" s="382">
        <v>124.02497739485703608453154637</v>
      </c>
      <c r="L39" s="375">
        <v>90.91461416365797352278702412</v>
      </c>
      <c r="M39" s="374">
        <v>95.800000000</v>
      </c>
      <c r="N39" s="382">
        <v>126.72204370939161252215002954</v>
      </c>
      <c r="O39" s="375">
        <v>115.24223221586263286999182339</v>
      </c>
      <c r="P39" s="4"/>
      <c r="Q39" s="354">
        <v>-19.914559503036725246280713160</v>
      </c>
      <c r="R39" s="355">
        <v>-4.8921161552855507442387942600</v>
      </c>
      <c r="S39" s="356">
        <v>-1.5858709173016065534947568800</v>
      </c>
      <c r="T39" s="354">
        <v>0</v>
      </c>
      <c r="U39" s="355">
        <v>-1.615996200199064955653997300</v>
      </c>
      <c r="V39" s="356">
        <v>6.023259683635750943757215700</v>
      </c>
      <c r="W39" s="354">
        <v>-10.269360269360269360269360270</v>
      </c>
      <c r="X39" s="355">
        <v>6.0692411123733351451358855700</v>
      </c>
      <c r="Y39" s="356">
        <v>-12.526510135695094684998357940</v>
      </c>
      <c r="Z39" s="354">
        <v>-15.539013831697650311331098110</v>
      </c>
      <c r="AA39" s="355">
        <v>-3.0905173220491183496581164400</v>
      </c>
      <c r="AB39" s="356">
        <v>-1.0611322212397101871632171200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row>
    <row r="40" ht="15.6" customHeight="1">
      <c r="A40" s="54"/>
      <c r="C40" s="53" t="s">
        <v>15</v>
      </c>
      <c r="D40" s="370">
        <v>101.12393162393162393162393162</v>
      </c>
      <c r="E40" s="172">
        <v>140.76312452687279783871716017</v>
      </c>
      <c r="F40" s="371">
        <v>132.72935738605999778323192084</v>
      </c>
      <c r="G40" s="370">
        <v>103.94285714285714285714285714</v>
      </c>
      <c r="H40" s="172">
        <v>139.28015597526599528049783979</v>
      </c>
      <c r="I40" s="371">
        <v>127.07096333479911584212231477</v>
      </c>
      <c r="J40" s="370">
        <v>97.4</v>
      </c>
      <c r="K40" s="172">
        <v>123.12640690806670443547635488</v>
      </c>
      <c r="L40" s="371">
        <v>92.25627436334219003259970144</v>
      </c>
      <c r="M40" s="370">
        <v>101.34408602150537634408602151</v>
      </c>
      <c r="N40" s="172">
        <v>138.90943790849673202614379084</v>
      </c>
      <c r="O40" s="371">
        <v>131.87036763620256902406614499</v>
      </c>
      <c r="P40" s="4"/>
      <c r="Q40" s="327">
        <v>2.439577173920449268024433700</v>
      </c>
      <c r="R40" s="171">
        <v>-3.7831634202103872062261343700</v>
      </c>
      <c r="S40" s="328">
        <v>1.5412917310070727415786333600</v>
      </c>
      <c r="T40" s="327">
        <v>0</v>
      </c>
      <c r="U40" s="171">
        <v>-1.0101522630185577643646868800</v>
      </c>
      <c r="V40" s="328">
        <v>1.7044625344750067606629424400</v>
      </c>
      <c r="W40" s="327">
        <v>15.204301075206879408024082320</v>
      </c>
      <c r="X40" s="171">
        <v>6.9581304122150780647149220800</v>
      </c>
      <c r="Y40" s="328">
        <v>13.960308390767366023833411330</v>
      </c>
      <c r="Z40" s="327">
        <v>3.4221496802154585151210520400</v>
      </c>
      <c r="AA40" s="171">
        <v>-2.4162275987333610226340571400</v>
      </c>
      <c r="AB40" s="328">
        <v>1.4970594374681307498722227500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row>
    <row r="41" ht="15.6" customHeight="1">
      <c r="A41" s="54"/>
      <c r="B41" s="22"/>
      <c r="C41" s="53" t="s">
        <v>16</v>
      </c>
      <c r="D41" s="378">
        <v>102.68</v>
      </c>
      <c r="E41" s="173">
        <v>144.25542213987092005871060237</v>
      </c>
      <c r="F41" s="379">
        <v>143.81227180759739231696708328</v>
      </c>
      <c r="G41" s="378">
        <v>103.43243243243243243243243243</v>
      </c>
      <c r="H41" s="173">
        <v>144.66124684169840536682546649</v>
      </c>
      <c r="I41" s="379">
        <v>123.61624314302768514898005828</v>
      </c>
      <c r="J41" s="378">
        <v>96.83333333333333333333333333</v>
      </c>
      <c r="K41" s="173">
        <v>125.81137020629534295032850474</v>
      </c>
      <c r="L41" s="379">
        <v>89.97848341509384238473329042</v>
      </c>
      <c r="M41" s="378">
        <v>102.64678899082568807339449541</v>
      </c>
      <c r="N41" s="173">
        <v>142.84069818181818181818181818</v>
      </c>
      <c r="O41" s="379">
        <v>141.19211364843335103558151885</v>
      </c>
      <c r="P41" s="4"/>
      <c r="Q41" s="359">
        <v>-10.75267226394451092884595800</v>
      </c>
      <c r="R41" s="170">
        <v>-1.7676507931110259330339035900</v>
      </c>
      <c r="S41" s="360">
        <v>3.8698545537139575941206066100</v>
      </c>
      <c r="T41" s="359">
        <v>0</v>
      </c>
      <c r="U41" s="170">
        <v>6.1916553060230136959963057400</v>
      </c>
      <c r="V41" s="360">
        <v>-0.7690263470835351946327034600</v>
      </c>
      <c r="W41" s="359">
        <v>-2.3857526881720430107526881800</v>
      </c>
      <c r="X41" s="170">
        <v>7.3434437220768695839223262500</v>
      </c>
      <c r="Y41" s="360">
        <v>-4.7364484669286552328288227700</v>
      </c>
      <c r="Z41" s="359">
        <v>-10.276987039345051798169124630</v>
      </c>
      <c r="AA41" s="170">
        <v>-0.5062835299126404739240445600</v>
      </c>
      <c r="AB41" s="360">
        <v>3.2214813950641965552682837100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row>
    <row r="42" ht="15.6" customHeight="1">
      <c r="A42" s="54"/>
      <c r="B42" s="22"/>
      <c r="C42" s="53" t="s">
        <v>17</v>
      </c>
      <c r="D42" s="370">
        <v>106.65158371040723981900452489</v>
      </c>
      <c r="E42" s="172">
        <v>141.33280935903873750867801647</v>
      </c>
      <c r="F42" s="371">
        <v>141.62170879287095722959137676</v>
      </c>
      <c r="G42" s="370">
        <v>109.2</v>
      </c>
      <c r="H42" s="172">
        <v>149.89352947313469958367049816</v>
      </c>
      <c r="I42" s="371">
        <v>119.68022882429780151928783791</v>
      </c>
      <c r="J42" s="370">
        <v>99.54545454545454545454545455</v>
      </c>
      <c r="K42" s="172">
        <v>126.58952971599601160271977464</v>
      </c>
      <c r="L42" s="371">
        <v>93.27002280235781211370515524</v>
      </c>
      <c r="M42" s="370">
        <v>106.69662921348314606741573034</v>
      </c>
      <c r="N42" s="172">
        <v>141.60270463847203274215552524</v>
      </c>
      <c r="O42" s="371">
        <v>139.04141274238227146814404432</v>
      </c>
      <c r="P42" s="4"/>
      <c r="Q42" s="327">
        <v>-2.2924180242508553108588218200</v>
      </c>
      <c r="R42" s="171">
        <v>-3.4783878601431221803892004900</v>
      </c>
      <c r="S42" s="328">
        <v>4.5956908020049888357517398200</v>
      </c>
      <c r="T42" s="327">
        <v>1.4241486067797448456325759300</v>
      </c>
      <c r="U42" s="171">
        <v>13.807588446312834481735049890</v>
      </c>
      <c r="V42" s="328">
        <v>2.5640617351707657653399129400</v>
      </c>
      <c r="W42" s="327">
        <v>8.201581027667984189723320160</v>
      </c>
      <c r="X42" s="171">
        <v>5.4297511143373493643681950200</v>
      </c>
      <c r="Y42" s="328">
        <v>6.0495021143464707659362866300</v>
      </c>
      <c r="Z42" s="327">
        <v>-3.3843854023729017504068082200</v>
      </c>
      <c r="AA42" s="171">
        <v>-0.1641408655324318231676946500</v>
      </c>
      <c r="AB42" s="328">
        <v>4.1530715743241546442958546800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row>
    <row r="43" ht="15.6" customHeight="1">
      <c r="A43" s="54"/>
      <c r="B43" s="22"/>
      <c r="C43" s="53" t="s">
        <v>18</v>
      </c>
      <c r="D43" s="378">
        <v>106.54587155963302752293577982</v>
      </c>
      <c r="E43" s="173">
        <v>136.35877781626368570998859043</v>
      </c>
      <c r="F43" s="379">
        <v>129.89718519146250951515467333</v>
      </c>
      <c r="G43" s="378">
        <v>119.5</v>
      </c>
      <c r="H43" s="173">
        <v>150.89247672684254599960655831</v>
      </c>
      <c r="I43" s="379">
        <v>124.63478562328051918968998065</v>
      </c>
      <c r="J43" s="378">
        <v>99.4</v>
      </c>
      <c r="K43" s="173">
        <v>122.79203764617074988390703202</v>
      </c>
      <c r="L43" s="379">
        <v>94.14023401027167634806301077</v>
      </c>
      <c r="M43" s="378">
        <v>108.69642857142857142857142857</v>
      </c>
      <c r="N43" s="173">
        <v>138.55950230280282105779720083</v>
      </c>
      <c r="O43" s="379">
        <v>128.87555293423768799764081392</v>
      </c>
      <c r="P43" s="4"/>
      <c r="Q43" s="359">
        <v>-0.0916068375588851362885373500</v>
      </c>
      <c r="R43" s="170">
        <v>-1.8632155105019071233624432300</v>
      </c>
      <c r="S43" s="360">
        <v>3.6847108396862710395408591100</v>
      </c>
      <c r="T43" s="359">
        <v>25.386184785718269339651078630</v>
      </c>
      <c r="U43" s="170">
        <v>9.737165505303525495729513070</v>
      </c>
      <c r="V43" s="360">
        <v>8.924283892611612028515146100</v>
      </c>
      <c r="W43" s="359">
        <v>9.901719901773907479067210770</v>
      </c>
      <c r="X43" s="170">
        <v>3.6530752854123738669884257900</v>
      </c>
      <c r="Y43" s="360">
        <v>9.064942832333023371103403020</v>
      </c>
      <c r="Z43" s="359">
        <v>4.114545535124864907767761300</v>
      </c>
      <c r="AA43" s="170">
        <v>1.0530266162992957088438544500</v>
      </c>
      <c r="AB43" s="360">
        <v>4.087064441658157961781045300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row>
    <row r="44" ht="15.6" customHeight="1">
      <c r="A44" s="54"/>
      <c r="B44" s="22"/>
      <c r="C44" s="53" t="s">
        <v>19</v>
      </c>
      <c r="D44" s="370">
        <v>109.37089201877934272300469484</v>
      </c>
      <c r="E44" s="172">
        <v>136.10656503419810940438957282</v>
      </c>
      <c r="F44" s="371">
        <v>125.31740021702618969667159046</v>
      </c>
      <c r="G44" s="370">
        <v>128.17073170731707317073170732</v>
      </c>
      <c r="H44" s="172">
        <v>146.13384725198236850106316532</v>
      </c>
      <c r="I44" s="371">
        <v>133.46851937167150192952509626</v>
      </c>
      <c r="J44" s="370">
        <v>98.64285714285714285714285714</v>
      </c>
      <c r="K44" s="172">
        <v>120.62086424941198571838165221</v>
      </c>
      <c r="L44" s="371">
        <v>95.23239724458370712443532374</v>
      </c>
      <c r="M44" s="370">
        <v>110.66112266112266112266112266</v>
      </c>
      <c r="N44" s="172">
        <v>137.43785871271585557299843014</v>
      </c>
      <c r="O44" s="371">
        <v>126.49435854575846218136230673</v>
      </c>
      <c r="P44" s="4"/>
      <c r="Q44" s="327">
        <v>-8.287498703187848280263113480</v>
      </c>
      <c r="R44" s="171">
        <v>-2.1842833566554887016839106100</v>
      </c>
      <c r="S44" s="328">
        <v>-2.2537489904409617325094739600</v>
      </c>
      <c r="T44" s="327">
        <v>23.930987401451840523882780240</v>
      </c>
      <c r="U44" s="171">
        <v>1.1874184525631658378378612300</v>
      </c>
      <c r="V44" s="328">
        <v>11.825658444624738418584460600</v>
      </c>
      <c r="W44" s="327">
        <v>3.2308970099187630379355859500</v>
      </c>
      <c r="X44" s="171">
        <v>0.0626763688229797282378597800</v>
      </c>
      <c r="Y44" s="328">
        <v>-1.2741461932181937948016552600</v>
      </c>
      <c r="Z44" s="327">
        <v>-4.8180631080082462287792734500</v>
      </c>
      <c r="AA44" s="171">
        <v>-1.2135099556273336889601930600</v>
      </c>
      <c r="AB44" s="328">
        <v>-0.3937566709410810226158389700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row>
    <row r="45" ht="15.6" customHeight="1">
      <c r="A45" s="54"/>
      <c r="B45" s="22"/>
      <c r="C45" s="53" t="s">
        <v>20</v>
      </c>
      <c r="D45" s="384">
        <v>104.84022038567493112947658402</v>
      </c>
      <c r="E45" s="385">
        <v>134.38560568876341742456175747</v>
      </c>
      <c r="F45" s="386">
        <v>125.13194708218571537718918328</v>
      </c>
      <c r="G45" s="384">
        <v>124.64102564102564102564102564</v>
      </c>
      <c r="H45" s="385">
        <v>142.20671344494781973646897851</v>
      </c>
      <c r="I45" s="386">
        <v>130.80454107128867436249514984</v>
      </c>
      <c r="J45" s="384">
        <v>96.55555555555555555555555556</v>
      </c>
      <c r="K45" s="385">
        <v>124.3568214254546515507842014</v>
      </c>
      <c r="L45" s="386">
        <v>93.97477876848983701100388052</v>
      </c>
      <c r="M45" s="384">
        <v>106.54014598540145985401459854</v>
      </c>
      <c r="N45" s="385">
        <v>135.85359354413702239789196311</v>
      </c>
      <c r="O45" s="386">
        <v>125.85399250504468146439896224</v>
      </c>
      <c r="P45" s="4"/>
      <c r="Q45" s="364">
        <v>-6.467532419093486352515087600</v>
      </c>
      <c r="R45" s="365">
        <v>1.6747057140473560508814078400</v>
      </c>
      <c r="S45" s="366">
        <v>-0.7436986904216703250553710200</v>
      </c>
      <c r="T45" s="364">
        <v>15.631411495310797577248632740</v>
      </c>
      <c r="U45" s="365">
        <v>-2.9087020373848192269146007900</v>
      </c>
      <c r="V45" s="366">
        <v>9.538883103533506697203622210</v>
      </c>
      <c r="W45" s="364">
        <v>3.6003814973772055317119694800</v>
      </c>
      <c r="X45" s="365">
        <v>2.5684749722459412696676539600</v>
      </c>
      <c r="Y45" s="366">
        <v>-0.5657608381968871909345551900</v>
      </c>
      <c r="Z45" s="364">
        <v>-3.8012225865449572424247417200</v>
      </c>
      <c r="AA45" s="365">
        <v>1.3937651928934913624037240700</v>
      </c>
      <c r="AB45" s="366">
        <v>0.5494610357173538626722815100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row>
    <row r="47" ht="15.6" customHeight="1">
      <c r="A47" s="22"/>
      <c r="B47" s="22"/>
      <c r="C47" s="53" t="s">
        <v>72</v>
      </c>
      <c r="D47" s="374">
        <v>99.55809523809523809523809524</v>
      </c>
      <c r="E47" s="382">
        <v>141.65653522096080633128104064</v>
      </c>
      <c r="F47" s="375">
        <v>132.0932264038392849525497264</v>
      </c>
      <c r="G47" s="374">
        <v>106.81896551724137931034482759</v>
      </c>
      <c r="H47" s="382">
        <v>155.0239573963960695233923332</v>
      </c>
      <c r="I47" s="375">
        <v>116.24239114844434150806980983</v>
      </c>
      <c r="J47" s="374">
        <v>98</v>
      </c>
      <c r="K47" s="382">
        <v>121.80140644374439015362028896</v>
      </c>
      <c r="L47" s="375">
        <v>92.62916895970153730747076297</v>
      </c>
      <c r="M47" s="374">
        <v>100.78517397881996974281391831</v>
      </c>
      <c r="N47" s="382">
        <v>142.35440396452832131211157067</v>
      </c>
      <c r="O47" s="375">
        <v>129.75924024640657084188911704</v>
      </c>
      <c r="P47" s="4"/>
      <c r="Q47" s="354">
        <v>-9.490213506095569820527858950</v>
      </c>
      <c r="R47" s="355">
        <v>4.8894877112951611755160376300</v>
      </c>
      <c r="S47" s="356">
        <v>3.0777854934325486185177175700</v>
      </c>
      <c r="T47" s="354">
        <v>-18.493370949144011252488340450</v>
      </c>
      <c r="U47" s="355">
        <v>10.290752879801057459067125740</v>
      </c>
      <c r="V47" s="356">
        <v>-1.9515754927939573409525598900</v>
      </c>
      <c r="W47" s="354">
        <v>2.6433915211867687390003803700</v>
      </c>
      <c r="X47" s="355">
        <v>1.6706952883478144441268341300</v>
      </c>
      <c r="Y47" s="356">
        <v>0.314419545043943262177108800</v>
      </c>
      <c r="Z47" s="354">
        <v>-8.537690528889999586679729810</v>
      </c>
      <c r="AA47" s="355">
        <v>5.7763926058288830090809651300</v>
      </c>
      <c r="AB47" s="356">
        <v>2.2837098652349648352259205200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row>
    <row r="48" ht="15.6" customHeight="1">
      <c r="A48" s="22"/>
      <c r="B48" s="22"/>
      <c r="C48" s="53" t="s">
        <v>61</v>
      </c>
      <c r="D48" s="370">
        <v>104.75430794886047804335742079</v>
      </c>
      <c r="E48" s="172">
        <v>137.67643416495642713267789324</v>
      </c>
      <c r="F48" s="371">
        <v>131.40307226853556065658122343</v>
      </c>
      <c r="G48" s="370">
        <v>115.13545816733067729083665339</v>
      </c>
      <c r="H48" s="172">
        <v>145.74236416565664590688725862</v>
      </c>
      <c r="I48" s="371">
        <v>126.34064371354452635040161575</v>
      </c>
      <c r="J48" s="370">
        <v>98.02816901408450704225352113</v>
      </c>
      <c r="K48" s="172">
        <v>123.85114191707025381495592419</v>
      </c>
      <c r="L48" s="371">
        <v>93.07083669179416221702489574</v>
      </c>
      <c r="M48" s="370">
        <v>105.75860443187175860443187176</v>
      </c>
      <c r="N48" s="172">
        <v>138.00689927387885172155639033</v>
      </c>
      <c r="O48" s="371">
        <v>130.60218530729562938540874123</v>
      </c>
      <c r="P48" s="4"/>
      <c r="Q48" s="327">
        <v>-6.2760835529286787196081123100</v>
      </c>
      <c r="R48" s="171">
        <v>-2.0826925157298480173746016400</v>
      </c>
      <c r="S48" s="328">
        <v>1.4905861508388899775818396600</v>
      </c>
      <c r="T48" s="327">
        <v>11.025564465160346714403417970</v>
      </c>
      <c r="U48" s="171">
        <v>4.1591577543557830643324650800</v>
      </c>
      <c r="V48" s="328">
        <v>5.8632046083732394675039161200</v>
      </c>
      <c r="W48" s="327">
        <v>4.2159936362360207758176968800</v>
      </c>
      <c r="X48" s="171">
        <v>4.653887228013324521243198400</v>
      </c>
      <c r="Y48" s="328">
        <v>1.6447855948079949340961718800</v>
      </c>
      <c r="Z48" s="327">
        <v>-4.042334734274472459256734900</v>
      </c>
      <c r="AA48" s="171">
        <v>-0.5534405943015788199873152200</v>
      </c>
      <c r="AB48" s="328">
        <v>1.8390960040965440614300957400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row>
    <row r="49" ht="15.6" customHeight="1">
      <c r="A49" s="54"/>
      <c r="B49" s="22"/>
      <c r="C49" s="53" t="s">
        <v>31</v>
      </c>
      <c r="D49" s="384">
        <v>104.75430794886047804335742079</v>
      </c>
      <c r="E49" s="385">
        <v>137.67643416495642713267789324</v>
      </c>
      <c r="F49" s="386">
        <v>131.40307226853556065658122343</v>
      </c>
      <c r="G49" s="384">
        <v>115.13545816733067729083665339</v>
      </c>
      <c r="H49" s="385">
        <v>145.74236416565664590688725862</v>
      </c>
      <c r="I49" s="386">
        <v>126.34064371354452635040161575</v>
      </c>
      <c r="J49" s="384">
        <v>98.02816901408450704225352113</v>
      </c>
      <c r="K49" s="385">
        <v>123.85114191707025381495592419</v>
      </c>
      <c r="L49" s="386">
        <v>93.07083669179416221702489574</v>
      </c>
      <c r="M49" s="384">
        <v>105.75860443187175860443187176</v>
      </c>
      <c r="N49" s="385">
        <v>138.00689927387885172155639033</v>
      </c>
      <c r="O49" s="386">
        <v>130.60218530729562938540874123</v>
      </c>
      <c r="P49" s="4"/>
      <c r="Q49" s="364">
        <v>-6.292007482485775481334859900</v>
      </c>
      <c r="R49" s="365">
        <v>-2.4957260143104082773948859600</v>
      </c>
      <c r="S49" s="366">
        <v>1.3866890337684477243863539300</v>
      </c>
      <c r="T49" s="364">
        <v>11.721738383345467241401239750</v>
      </c>
      <c r="U49" s="365">
        <v>3.7282254099838337780340517200</v>
      </c>
      <c r="V49" s="366">
        <v>5.7972534495095373513355001900</v>
      </c>
      <c r="W49" s="364">
        <v>4.6855133806342140948477449100</v>
      </c>
      <c r="X49" s="365">
        <v>5.0079107714021818055382369600</v>
      </c>
      <c r="Y49" s="366">
        <v>2.170246929079476483896320800</v>
      </c>
      <c r="Z49" s="364">
        <v>-3.9763498713536873654639636300</v>
      </c>
      <c r="AA49" s="365">
        <v>-0.8986811298257731182839642900</v>
      </c>
      <c r="AB49" s="366">
        <v>1.7414839621002336152334429800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row>
    <row r="52" ht="24.7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8"/>
</worksheet>
</file>

<file path=xl/worksheets/sheet3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131</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2"/>
      <c r="C4" s="211"/>
      <c r="D4" s="212"/>
      <c r="E4" s="212"/>
      <c r="F4" s="212"/>
      <c r="G4" s="212"/>
      <c r="H4" s="212"/>
      <c r="I4" s="212"/>
      <c r="J4" s="212"/>
      <c r="K4" s="212"/>
      <c r="L4" s="212"/>
      <c r="M4" s="212"/>
      <c r="N4" s="212"/>
      <c r="O4" s="212"/>
      <c r="P4" s="212"/>
      <c r="Q4" s="212"/>
      <c r="R4" s="675" t="s">
        <v>146</v>
      </c>
      <c r="S4" s="675"/>
      <c r="T4" s="675"/>
      <c r="U4" s="675"/>
      <c r="V4" s="675"/>
      <c r="W4" s="675"/>
      <c r="X4" s="675"/>
      <c r="Y4" s="675"/>
      <c r="Z4" s="675"/>
      <c r="AA4" s="675"/>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13</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145</v>
      </c>
      <c r="B10" s="667">
        <v>1</v>
      </c>
      <c r="C10" s="677" t="s">
        <v>49</v>
      </c>
      <c r="D10" s="678">
        <v>19.155913978494623655913978495</v>
      </c>
      <c r="E10" s="679">
        <v>29.341957323440796483280766002</v>
      </c>
      <c r="F10" s="680">
        <v>59.466343549882400314550923506</v>
      </c>
      <c r="G10" s="678">
        <v>4.1129032258064516129032258065</v>
      </c>
      <c r="H10" s="679">
        <v>4.3247213613880598068062346973</v>
      </c>
      <c r="I10" s="680">
        <v>4.3954907457575928549247946435</v>
      </c>
      <c r="J10" s="678">
        <v>1.5860215053763440860215053763</v>
      </c>
      <c r="K10" s="679">
        <v>6.2185607258525433415888740714</v>
      </c>
      <c r="L10" s="680">
        <v>0.2719525524325691888009258431</v>
      </c>
      <c r="M10" s="678">
        <v>24.854838709677419354838709677</v>
      </c>
      <c r="N10" s="679">
        <v>39.88523941068139963167587477</v>
      </c>
      <c r="O10" s="680">
        <v>64.133786848072562358276643991</v>
      </c>
      <c r="P10" s="4"/>
      <c r="Q10" s="669">
        <v>-26.957769577659839821030418940</v>
      </c>
      <c r="R10" s="670">
        <v>4.028698947657228311802382900</v>
      </c>
      <c r="S10" s="671">
        <v>22.228145406453819275376534150</v>
      </c>
      <c r="T10" s="669">
        <v>0</v>
      </c>
      <c r="U10" s="670">
        <v>-3.223386201820568813839731200</v>
      </c>
      <c r="V10" s="671">
        <v>235.07540768529391952183130056</v>
      </c>
      <c r="W10" s="669">
        <v>46.766169152914531818531113640</v>
      </c>
      <c r="X10" s="670">
        <v>-18.645497713038421527655923190</v>
      </c>
      <c r="Y10" s="671">
        <v>46.254250763034225658036183730</v>
      </c>
      <c r="Z10" s="669">
        <v>-8.978145304182986195546861550</v>
      </c>
      <c r="AA10" s="670">
        <v>-1.0738245837222658249713947800</v>
      </c>
      <c r="AB10" s="671">
        <v>27.884789292935905419822210690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2</v>
      </c>
      <c r="C11" s="345" t="s">
        <v>47</v>
      </c>
      <c r="D11" s="370">
        <v>21.478494623655913978494623656</v>
      </c>
      <c r="E11" s="172">
        <v>53.490808683185607832712721412</v>
      </c>
      <c r="F11" s="371">
        <v>91.38952060869699353664368242</v>
      </c>
      <c r="G11" s="370">
        <v>3.5161290322580645161290322581</v>
      </c>
      <c r="H11" s="172">
        <v>8.688862324172281475364502971</v>
      </c>
      <c r="I11" s="371">
        <v>8.366843714810187113394110478</v>
      </c>
      <c r="J11" s="370">
        <v>1.0537634408602150537634408602</v>
      </c>
      <c r="K11" s="172">
        <v>6.0832479613345600473555564666</v>
      </c>
      <c r="L11" s="371">
        <v>0.1665381708238851095993953137</v>
      </c>
      <c r="M11" s="370">
        <v>26.048387096774193548387096774</v>
      </c>
      <c r="N11" s="172">
        <v>68.262918968692449355432780847</v>
      </c>
      <c r="O11" s="371">
        <v>99.92290249433106575963718821</v>
      </c>
      <c r="P11" s="4"/>
      <c r="Q11" s="327">
        <v>-27.992069214017002561118123580</v>
      </c>
      <c r="R11" s="171">
        <v>-1.7119702806245329540735126400</v>
      </c>
      <c r="S11" s="328">
        <v>13.659176334085021990280289160</v>
      </c>
      <c r="T11" s="327">
        <v>0</v>
      </c>
      <c r="U11" s="171">
        <v>-8.231137162606358931649143480</v>
      </c>
      <c r="V11" s="328">
        <v>59.574229752874326650552432010</v>
      </c>
      <c r="W11" s="327">
        <v>-20.647773276525102853576602860</v>
      </c>
      <c r="X11" s="171">
        <v>-19.941163005500606671651945310</v>
      </c>
      <c r="Y11" s="328">
        <v>-22.535468214831528854570146860</v>
      </c>
      <c r="Z11" s="327">
        <v>-16.393442622965247033197072430</v>
      </c>
      <c r="AA11" s="171">
        <v>-4.5129367667940930433907643900</v>
      </c>
      <c r="AB11" s="328">
        <v>16.372298396480795662727506910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3</v>
      </c>
      <c r="C12" s="347" t="s">
        <v>48</v>
      </c>
      <c r="D12" s="378">
        <v>29.354838709677419354838709677</v>
      </c>
      <c r="E12" s="173">
        <v>75.41942325653013701179562011</v>
      </c>
      <c r="F12" s="379">
        <v>102.47304886490952844739905846</v>
      </c>
      <c r="G12" s="378">
        <v>2.8870967741935483870967741935</v>
      </c>
      <c r="H12" s="173">
        <v>8.259537165253041449737813686</v>
      </c>
      <c r="I12" s="379">
        <v>11.570240205213766084482877492</v>
      </c>
      <c r="J12" s="378">
        <v>1.5591397849462365591397849462</v>
      </c>
      <c r="K12" s="173">
        <v>5.5402845137600996231811150053</v>
      </c>
      <c r="L12" s="379">
        <v>0.2428787303302202073470889955</v>
      </c>
      <c r="M12" s="378">
        <v>33.801075268817204301075268817</v>
      </c>
      <c r="N12" s="173">
        <v>89.2192449355432780847145488</v>
      </c>
      <c r="O12" s="379">
        <v>114.28616780045351473922902494</v>
      </c>
      <c r="P12" s="4"/>
      <c r="Q12" s="359">
        <v>-37.735203557958545769750647270</v>
      </c>
      <c r="R12" s="170">
        <v>14.394766926402012365335362410</v>
      </c>
      <c r="S12" s="360">
        <v>4.9695102558134561286890844300</v>
      </c>
      <c r="T12" s="359">
        <v>0</v>
      </c>
      <c r="U12" s="170">
        <v>-27.789220325114683302770345400</v>
      </c>
      <c r="V12" s="360">
        <v>71.408939482254152641073018160</v>
      </c>
      <c r="W12" s="359">
        <v>55.913978494623655913978494620</v>
      </c>
      <c r="X12" s="170">
        <v>-4.0296474636123832714917063300</v>
      </c>
      <c r="Y12" s="360">
        <v>52.941182034698226782170621190</v>
      </c>
      <c r="Z12" s="359">
        <v>-29.793411501921287808856289160</v>
      </c>
      <c r="AA12" s="170">
        <v>7.3119390445473736769874829100</v>
      </c>
      <c r="AB12" s="360">
        <v>9.332725931708568713320783160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4</v>
      </c>
      <c r="C13" s="345" t="s">
        <v>50</v>
      </c>
      <c r="D13" s="370">
        <v>28.672043010752688172043010753</v>
      </c>
      <c r="E13" s="172">
        <v>85.53726293997272262963860328</v>
      </c>
      <c r="F13" s="371">
        <v>104.27234613651874907071856887</v>
      </c>
      <c r="G13" s="370">
        <v>2.2365591397849462365591397849</v>
      </c>
      <c r="H13" s="172">
        <v>17.257428588003644566081647835</v>
      </c>
      <c r="I13" s="371">
        <v>13.446415926318300577151265312</v>
      </c>
      <c r="J13" s="370">
        <v>1.1021505376344086021505376344</v>
      </c>
      <c r="K13" s="172">
        <v>4.4249033154858795814436531201</v>
      </c>
      <c r="L13" s="371">
        <v>0.1746619734441294904521612843</v>
      </c>
      <c r="M13" s="370">
        <v>32.016129032258064516129032258</v>
      </c>
      <c r="N13" s="172">
        <v>107.21959484346224677716390424</v>
      </c>
      <c r="O13" s="371">
        <v>117.89342403628117913832199546</v>
      </c>
      <c r="P13" s="4"/>
      <c r="Q13" s="327"/>
      <c r="R13" s="171">
        <v>24.983457157787242118477935620</v>
      </c>
      <c r="S13" s="328">
        <v>19.281384281627851968037022660</v>
      </c>
      <c r="T13" s="327"/>
      <c r="U13" s="171">
        <v>-6.5307743371069815744793161300</v>
      </c>
      <c r="V13" s="328">
        <v>30.210846552176635806957814610</v>
      </c>
      <c r="W13" s="327"/>
      <c r="X13" s="171">
        <v>-13.051520880724640190168153980</v>
      </c>
      <c r="Y13" s="328">
        <v>0</v>
      </c>
      <c r="Z13" s="327">
        <v>-15.747028862478777589134125640</v>
      </c>
      <c r="AA13" s="171">
        <v>16.554190268034352432693706600</v>
      </c>
      <c r="AB13" s="328">
        <v>20.614777868040683262093219780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5</v>
      </c>
      <c r="C14" s="347" t="s">
        <v>51</v>
      </c>
      <c r="D14" s="378">
        <v>38.827956989247311827956989247</v>
      </c>
      <c r="E14" s="173">
        <v>67.347325491167471149112903413</v>
      </c>
      <c r="F14" s="379">
        <v>94.46689762648113810572803584</v>
      </c>
      <c r="G14" s="378">
        <v>11.10752688172043010752688172</v>
      </c>
      <c r="H14" s="173">
        <v>20.829037531294890837380658437</v>
      </c>
      <c r="I14" s="379">
        <v>16.237354930751837653237494304</v>
      </c>
      <c r="J14" s="378">
        <v>1.0591397849462365591397849462</v>
      </c>
      <c r="K14" s="173">
        <v>6.1275964618838626912228285709</v>
      </c>
      <c r="L14" s="379">
        <v>0.2077655833565934020322022849</v>
      </c>
      <c r="M14" s="378">
        <v>50.994623655913978494623655914</v>
      </c>
      <c r="N14" s="173">
        <v>94.30395948434622467771639042</v>
      </c>
      <c r="O14" s="379">
        <v>110.91201814058956916099773243</v>
      </c>
      <c r="P14" s="4"/>
      <c r="Q14" s="359">
        <v>10.817860978984859159796162950</v>
      </c>
      <c r="R14" s="170">
        <v>18.997250856067226826121695320</v>
      </c>
      <c r="S14" s="360">
        <v>27.998169282017506567202283830</v>
      </c>
      <c r="T14" s="359">
        <v>-25.009074410217779256326520670</v>
      </c>
      <c r="U14" s="170">
        <v>-12.235004785421411730594344170</v>
      </c>
      <c r="V14" s="360">
        <v>5.6573212811833214834430932600</v>
      </c>
      <c r="W14" s="359">
        <v>7.065217394330103969839763800</v>
      </c>
      <c r="X14" s="170">
        <v>17.780905317386396900418052890</v>
      </c>
      <c r="Y14" s="360">
        <v>27.479272287829757013391637650</v>
      </c>
      <c r="Z14" s="359">
        <v>0.3066835871786277560188074300</v>
      </c>
      <c r="AA14" s="170">
        <v>10.257083257654867213204340880</v>
      </c>
      <c r="AB14" s="360">
        <v>24.153983612732269971743261010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6</v>
      </c>
      <c r="C15" s="345" t="s">
        <v>52</v>
      </c>
      <c r="D15" s="370">
        <v>63.790322580645161290322580645</v>
      </c>
      <c r="E15" s="172">
        <v>77.977351525184998973874021667</v>
      </c>
      <c r="F15" s="371">
        <v>94.00275831001729461512690263</v>
      </c>
      <c r="G15" s="370">
        <v>24.295698924731182795698924731</v>
      </c>
      <c r="H15" s="172">
        <v>18.706365010391403973407033694</v>
      </c>
      <c r="I15" s="371">
        <v>20.058338636842833729803006961</v>
      </c>
      <c r="J15" s="370">
        <v>1.5483870967741935483870967742</v>
      </c>
      <c r="K15" s="172">
        <v>6.2594050113849230195697733623</v>
      </c>
      <c r="L15" s="371">
        <v>0.2935515792169691607390246458</v>
      </c>
      <c r="M15" s="370">
        <v>89.63440860215053763440860215</v>
      </c>
      <c r="N15" s="172">
        <v>102.94312154696132596685082873</v>
      </c>
      <c r="O15" s="371">
        <v>114.35464852607709750566893424</v>
      </c>
      <c r="P15" s="4"/>
      <c r="Q15" s="327">
        <v>44.010195412165949645999582780</v>
      </c>
      <c r="R15" s="171">
        <v>-0.7019702814892200615935301500</v>
      </c>
      <c r="S15" s="328">
        <v>6.4901313350465099204875371400</v>
      </c>
      <c r="T15" s="327">
        <v>32.250512145412014451319789080</v>
      </c>
      <c r="U15" s="171">
        <v>-30.825847461228564271759951510</v>
      </c>
      <c r="V15" s="328">
        <v>25.447098475961557865553457410</v>
      </c>
      <c r="W15" s="327">
        <v>223.59550558816311072109058980</v>
      </c>
      <c r="X15" s="171">
        <v>27.138655789001542712420306070</v>
      </c>
      <c r="Y15" s="328">
        <v>258.14577137088262254884412335</v>
      </c>
      <c r="Z15" s="327">
        <v>41.949765857862595914568158610</v>
      </c>
      <c r="AA15" s="171">
        <v>-6.8340061011910288503426589100</v>
      </c>
      <c r="AB15" s="328">
        <v>9.592708654729038690759180070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7</v>
      </c>
      <c r="C16" s="347" t="s">
        <v>53</v>
      </c>
      <c r="D16" s="378">
        <v>59.870967741935483870967741935</v>
      </c>
      <c r="E16" s="173">
        <v>65.168048261608800666198932308</v>
      </c>
      <c r="F16" s="379">
        <v>89.43421880333133392652227349</v>
      </c>
      <c r="G16" s="378">
        <v>22.295698924731182795698924731</v>
      </c>
      <c r="H16" s="173">
        <v>18.484059280280761619588718517</v>
      </c>
      <c r="I16" s="379">
        <v>16.513675055646997620611136222</v>
      </c>
      <c r="J16" s="378">
        <v>0.9784946236559139784946236559</v>
      </c>
      <c r="K16" s="173">
        <v>4.7063915373001246387059035025</v>
      </c>
      <c r="L16" s="379">
        <v>0.1614031931758634642044587719</v>
      </c>
      <c r="M16" s="378">
        <v>83.15053763440860215053763441</v>
      </c>
      <c r="N16" s="173">
        <v>88.35849907918968692449355433</v>
      </c>
      <c r="O16" s="379">
        <v>106.10929705215419501133786848</v>
      </c>
      <c r="P16" s="4"/>
      <c r="Q16" s="359">
        <v>36.839518309301390531638536630</v>
      </c>
      <c r="R16" s="170">
        <v>-10.160949462550307406371980490</v>
      </c>
      <c r="S16" s="360">
        <v>0.6749984848010034844691655100</v>
      </c>
      <c r="T16" s="359">
        <v>17.678774120564932726586884360</v>
      </c>
      <c r="U16" s="170">
        <v>-13.832236391308835519808222920</v>
      </c>
      <c r="V16" s="360">
        <v>0.465315220038331577436927800</v>
      </c>
      <c r="W16" s="359">
        <v>-1.0869565189437618146658019700</v>
      </c>
      <c r="X16" s="170">
        <v>-4.1134690782221268592558093600</v>
      </c>
      <c r="Y16" s="360">
        <v>-6.5236701307244698064140601100</v>
      </c>
      <c r="Z16" s="359">
        <v>30.558838426495113766406634330</v>
      </c>
      <c r="AA16" s="170">
        <v>-10.657125073738492653393902900</v>
      </c>
      <c r="AB16" s="360">
        <v>0.6305240747934960166849304900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8</v>
      </c>
      <c r="C17" s="345" t="s">
        <v>49</v>
      </c>
      <c r="D17" s="370">
        <v>21.806451612903225806451612903</v>
      </c>
      <c r="E17" s="172">
        <v>34.311511346224471741597206817</v>
      </c>
      <c r="F17" s="371">
        <v>53.660271555359707431099725955</v>
      </c>
      <c r="G17" s="370">
        <v>0.6827956989247311827956989247</v>
      </c>
      <c r="H17" s="172">
        <v>5.8234942717380132454150525966</v>
      </c>
      <c r="I17" s="371">
        <v>9.099623006319661619668874983</v>
      </c>
      <c r="J17" s="370">
        <v>0.9301075268817204301075268817</v>
      </c>
      <c r="K17" s="172">
        <v>6.4539906987962627109619578974</v>
      </c>
      <c r="L17" s="371">
        <v>0.1675430800439869583016938455</v>
      </c>
      <c r="M17" s="370">
        <v>23.41935483870967741935483871</v>
      </c>
      <c r="N17" s="172">
        <v>46.588996316758747697974217311</v>
      </c>
      <c r="O17" s="371">
        <v>62.927437641723356009070294785</v>
      </c>
      <c r="P17" s="4"/>
      <c r="Q17" s="327"/>
      <c r="R17" s="171">
        <v>17.655149464094151709672334340</v>
      </c>
      <c r="S17" s="328">
        <v>9.707416710003599904863295630</v>
      </c>
      <c r="T17" s="327"/>
      <c r="U17" s="171">
        <v>-25.320608108794090140830700970</v>
      </c>
      <c r="V17" s="328">
        <v>43.056671558372159388536999010</v>
      </c>
      <c r="W17" s="327"/>
      <c r="X17" s="171">
        <v>27.296936310902448258959501980</v>
      </c>
      <c r="Y17" s="328">
        <v>0</v>
      </c>
      <c r="Z17" s="327">
        <v>56.690647482431478701931652140</v>
      </c>
      <c r="AA17" s="171">
        <v>10.844892535765879254644811770</v>
      </c>
      <c r="AB17" s="328">
        <v>13.848388129048013108170669450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9</v>
      </c>
      <c r="C18" s="347" t="s">
        <v>47</v>
      </c>
      <c r="D18" s="378">
        <v>24.994623655913978494623655914</v>
      </c>
      <c r="E18" s="173">
        <v>57.212713464701071554829240385</v>
      </c>
      <c r="F18" s="379">
        <v>77.203845760589977499265153156</v>
      </c>
      <c r="G18" s="378">
        <v>0</v>
      </c>
      <c r="H18" s="173">
        <v>5.226968195066688307649288755</v>
      </c>
      <c r="I18" s="379">
        <v>21.551641122839493569806561088</v>
      </c>
      <c r="J18" s="378">
        <v>2.1075268817204301075268817204</v>
      </c>
      <c r="K18" s="173">
        <v>6.688872668040711592401765517</v>
      </c>
      <c r="L18" s="379">
        <v>0.3470074476362885681164943706</v>
      </c>
      <c r="M18" s="378">
        <v>27.102150537634408602150537634</v>
      </c>
      <c r="N18" s="173">
        <v>69.128554327808471454880294659</v>
      </c>
      <c r="O18" s="379">
        <v>99.10249433106575963718820862</v>
      </c>
      <c r="P18" s="4"/>
      <c r="Q18" s="359">
        <v>20.753246753146386911789592610</v>
      </c>
      <c r="R18" s="170">
        <v>16.015924537191606988559840320</v>
      </c>
      <c r="S18" s="360">
        <v>-4.0834801947968757581221070200</v>
      </c>
      <c r="T18" s="359">
        <v>0</v>
      </c>
      <c r="U18" s="170">
        <v>10.984262583121596905787543360</v>
      </c>
      <c r="V18" s="360">
        <v>150.33906690563116061246689335</v>
      </c>
      <c r="W18" s="359">
        <v>103.10880829057639131251932931</v>
      </c>
      <c r="X18" s="170">
        <v>17.048611396186596098658553990</v>
      </c>
      <c r="Y18" s="360">
        <v>90.67798202106033779487048465</v>
      </c>
      <c r="Z18" s="359">
        <v>24.684640118637369034792929840</v>
      </c>
      <c r="AA18" s="170">
        <v>15.718028439628553305761347570</v>
      </c>
      <c r="AB18" s="360">
        <v>10.999867930422264440238278310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10</v>
      </c>
      <c r="C19" s="345" t="s">
        <v>48</v>
      </c>
      <c r="D19" s="370"/>
      <c r="E19" s="172">
        <v>76.566792126640072978275763361</v>
      </c>
      <c r="F19" s="371">
        <v>102.47544094252887869271255263</v>
      </c>
      <c r="G19" s="370"/>
      <c r="H19" s="172">
        <v>6.5740596652774671390253263887</v>
      </c>
      <c r="I19" s="371">
        <v>23.673765406677470513636653716</v>
      </c>
      <c r="J19" s="370"/>
      <c r="K19" s="172">
        <v>6.1720395524655169729383209332</v>
      </c>
      <c r="L19" s="371">
        <v>0</v>
      </c>
      <c r="M19" s="370"/>
      <c r="N19" s="172">
        <v>89.31289134438305709023941068</v>
      </c>
      <c r="O19" s="371">
        <v>126.14920634920634920634920635</v>
      </c>
      <c r="P19" s="4"/>
      <c r="Q19" s="327"/>
      <c r="R19" s="171">
        <v>6.1399103742479745860038378200</v>
      </c>
      <c r="S19" s="328">
        <v>3.1676392667615362512370568200</v>
      </c>
      <c r="T19" s="327"/>
      <c r="U19" s="171">
        <v>54.930024512655813056600425020</v>
      </c>
      <c r="V19" s="328">
        <v>216.78718444758227563482029936</v>
      </c>
      <c r="W19" s="327"/>
      <c r="X19" s="171">
        <v>20.724716178655443546329891360</v>
      </c>
      <c r="Y19" s="328">
        <v>-100</v>
      </c>
      <c r="Z19" s="327"/>
      <c r="AA19" s="171">
        <v>9.595322217898466604225302830</v>
      </c>
      <c r="AB19" s="328">
        <v>17.846006541333355329076067490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11</v>
      </c>
      <c r="C20" s="347" t="s">
        <v>50</v>
      </c>
      <c r="D20" s="378">
        <v>31.279569892473118279569892473</v>
      </c>
      <c r="E20" s="173">
        <v>68.30454122396774027402876282</v>
      </c>
      <c r="F20" s="379">
        <v>100.79861952183035933219837883</v>
      </c>
      <c r="G20" s="378">
        <v>0</v>
      </c>
      <c r="H20" s="173">
        <v>15.140815207140119064441007029</v>
      </c>
      <c r="I20" s="379">
        <v>10.960705407935573817580585272</v>
      </c>
      <c r="J20" s="378">
        <v>2.1075268817204301075268817204</v>
      </c>
      <c r="K20" s="173">
        <v>7.1002420955956397407199170773</v>
      </c>
      <c r="L20" s="379">
        <v>0.3536002403020940611053896327</v>
      </c>
      <c r="M20" s="378">
        <v>33.387096774193548387096774194</v>
      </c>
      <c r="N20" s="173">
        <v>90.54559852670349907918968692</v>
      </c>
      <c r="O20" s="379">
        <v>112.11292517006802721088435374</v>
      </c>
      <c r="P20" s="4"/>
      <c r="Q20" s="359">
        <v>47.552624904775001673929677910</v>
      </c>
      <c r="R20" s="170">
        <v>-8.600870043879691710604788370</v>
      </c>
      <c r="S20" s="360">
        <v>5.2411383660278278154628581800</v>
      </c>
      <c r="T20" s="359">
        <v>0</v>
      </c>
      <c r="U20" s="170">
        <v>-14.189437354565620483053864610</v>
      </c>
      <c r="V20" s="360">
        <v>142.09919934011686850936793559</v>
      </c>
      <c r="W20" s="359">
        <v>113.04347826689035916841211884</v>
      </c>
      <c r="X20" s="170">
        <v>41.834067912988947987591761090</v>
      </c>
      <c r="Y20" s="360">
        <v>115.33490773498561955390710830</v>
      </c>
      <c r="Z20" s="359">
        <v>50.472498182772218317510429960</v>
      </c>
      <c r="AA20" s="170">
        <v>-7.0208037156699334157613799500</v>
      </c>
      <c r="AB20" s="360">
        <v>11.588132005015874144381228950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12</v>
      </c>
      <c r="C21" s="345" t="s">
        <v>51</v>
      </c>
      <c r="D21" s="370">
        <v>24.182795698924731182795698925</v>
      </c>
      <c r="E21" s="172">
        <v>55.677078138074456853572210948</v>
      </c>
      <c r="F21" s="371">
        <v>73.110190089368694908331966594</v>
      </c>
      <c r="G21" s="370">
        <v>17.618279569892473118279569892</v>
      </c>
      <c r="H21" s="172">
        <v>24.087600875347600370477703944</v>
      </c>
      <c r="I21" s="371">
        <v>17.963124490918187193258826497</v>
      </c>
      <c r="J21" s="370">
        <v>2.1075268817204301075268817204</v>
      </c>
      <c r="K21" s="172">
        <v>6.566223380684756772266843855</v>
      </c>
      <c r="L21" s="371">
        <v>0.3457330387607369460282545287</v>
      </c>
      <c r="M21" s="370">
        <v>43.908602150537634408602150538</v>
      </c>
      <c r="N21" s="172">
        <v>86.33090239410681399631675875</v>
      </c>
      <c r="O21" s="371">
        <v>91.41904761904761904761904762</v>
      </c>
      <c r="P21" s="4"/>
      <c r="Q21" s="327">
        <v>-23.865944482022143643288703790</v>
      </c>
      <c r="R21" s="171">
        <v>3.0161245556279421716256064100</v>
      </c>
      <c r="S21" s="328">
        <v>-5.418531972583770709261717500</v>
      </c>
      <c r="T21" s="327">
        <v>0</v>
      </c>
      <c r="U21" s="171">
        <v>-6.2416483337762710098544652800</v>
      </c>
      <c r="V21" s="328">
        <v>109.86777459818178759453152560</v>
      </c>
      <c r="W21" s="327">
        <v>317.02127658421004979660695606</v>
      </c>
      <c r="X21" s="171">
        <v>23.713342838560329990626096460</v>
      </c>
      <c r="Y21" s="328">
        <v>304.78816881908015590605367123</v>
      </c>
      <c r="Z21" s="327">
        <v>36.071309563483374585456963790</v>
      </c>
      <c r="AA21" s="171">
        <v>1.5111685677119016376875634700</v>
      </c>
      <c r="AB21" s="328">
        <v>6.3713358486538562534667199800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13</v>
      </c>
      <c r="C22" s="347" t="s">
        <v>52</v>
      </c>
      <c r="D22" s="378">
        <v>39.166666666666666666666666667</v>
      </c>
      <c r="E22" s="173">
        <v>53.431953674011075417188198337</v>
      </c>
      <c r="F22" s="379">
        <v>72.345204475476489741459794735</v>
      </c>
      <c r="G22" s="378">
        <v>0</v>
      </c>
      <c r="H22" s="173">
        <v>33.168544393363754941827079566</v>
      </c>
      <c r="I22" s="379">
        <v>14.174585225692835295208082307</v>
      </c>
      <c r="J22" s="378">
        <v>1.0537634408602150537634408602</v>
      </c>
      <c r="K22" s="173">
        <v>6.0426050633802340977066373811</v>
      </c>
      <c r="L22" s="379">
        <v>0.1749948793295411764840503988</v>
      </c>
      <c r="M22" s="378">
        <v>40.220430107526881720430107527</v>
      </c>
      <c r="N22" s="173">
        <v>92.64310313075506445672191529</v>
      </c>
      <c r="O22" s="379">
        <v>86.69478458049886621315192744</v>
      </c>
      <c r="P22" s="4"/>
      <c r="Q22" s="359">
        <v>-27.135427085358780097687824590</v>
      </c>
      <c r="R22" s="170">
        <v>-18.452590719157564144142252660</v>
      </c>
      <c r="S22" s="360">
        <v>-8.789904741703754674347006870</v>
      </c>
      <c r="T22" s="359">
        <v>0</v>
      </c>
      <c r="U22" s="170">
        <v>84.85111726916119190713740946</v>
      </c>
      <c r="V22" s="360">
        <v>42.234386499235233830065600320</v>
      </c>
      <c r="W22" s="359">
        <v>-30.985915491596905375890643210</v>
      </c>
      <c r="X22" s="170">
        <v>20.070845127223907906062082720</v>
      </c>
      <c r="Y22" s="360">
        <v>-34.323871795530202812579775240</v>
      </c>
      <c r="Z22" s="359">
        <v>-27.241781754557847801130831620</v>
      </c>
      <c r="AA22" s="170">
        <v>4.6832696298343054150991863200</v>
      </c>
      <c r="AB22" s="360">
        <v>-3.1875455797678704401897979800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14</v>
      </c>
      <c r="C23" s="345" t="s">
        <v>53</v>
      </c>
      <c r="D23" s="370">
        <v>13.58064516129032258064516129</v>
      </c>
      <c r="E23" s="172">
        <v>53.600022439504614622828438261</v>
      </c>
      <c r="F23" s="371">
        <v>77.42593945717011162246155419</v>
      </c>
      <c r="G23" s="370">
        <v>0</v>
      </c>
      <c r="H23" s="172">
        <v>25.518784397135525280287268299</v>
      </c>
      <c r="I23" s="371">
        <v>9.925541446930838493325296514</v>
      </c>
      <c r="J23" s="370">
        <v>1.5806451612903225806451612903</v>
      </c>
      <c r="K23" s="172">
        <v>5.2021876384979816438456194063</v>
      </c>
      <c r="L23" s="371">
        <v>0.282079186601997730018137958</v>
      </c>
      <c r="M23" s="370">
        <v>15.161290322580645161290322581</v>
      </c>
      <c r="N23" s="172">
        <v>84.32099447513812154696132597</v>
      </c>
      <c r="O23" s="371">
        <v>87.63356009070294784580498866</v>
      </c>
      <c r="P23" s="4"/>
      <c r="Q23" s="327">
        <v>-70.641562064137780617752945610</v>
      </c>
      <c r="R23" s="171">
        <v>-9.153381397561068852152067070</v>
      </c>
      <c r="S23" s="328">
        <v>3.8585531442256395189056801200</v>
      </c>
      <c r="T23" s="327">
        <v>0</v>
      </c>
      <c r="U23" s="171">
        <v>75.338165766054572268587816790</v>
      </c>
      <c r="V23" s="328">
        <v>83.88158220997779888602575212</v>
      </c>
      <c r="W23" s="327">
        <v>62.430939221493849394252123990</v>
      </c>
      <c r="X23" s="171">
        <v>9.511769212322149702463376660</v>
      </c>
      <c r="Y23" s="328">
        <v>59.719765496710818510242872880</v>
      </c>
      <c r="Z23" s="327">
        <v>-67.899829254411658512709062910</v>
      </c>
      <c r="AA23" s="171">
        <v>7.6828351355007114579738008800</v>
      </c>
      <c r="AB23" s="328">
        <v>9.372682866098933206206879810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15</v>
      </c>
      <c r="C24" s="347" t="s">
        <v>49</v>
      </c>
      <c r="D24" s="378">
        <v>24.397849462365591397849462366</v>
      </c>
      <c r="E24" s="173">
        <v>32.739696656733034894054744622</v>
      </c>
      <c r="F24" s="379">
        <v>56.604024243821088222368293696</v>
      </c>
      <c r="G24" s="378">
        <v>0</v>
      </c>
      <c r="H24" s="173">
        <v>15.253873207544051981932529451</v>
      </c>
      <c r="I24" s="379">
        <v>2.5959933454082381783825844391</v>
      </c>
      <c r="J24" s="378">
        <v>1.747311827956989247311827957</v>
      </c>
      <c r="K24" s="173">
        <v>6.6509052738444600853386927781</v>
      </c>
      <c r="L24" s="379">
        <v>0.3079189187071815357570583733</v>
      </c>
      <c r="M24" s="378">
        <v>26.145161290322580645161290323</v>
      </c>
      <c r="N24" s="173">
        <v>54.644475138121546961325966851</v>
      </c>
      <c r="O24" s="379">
        <v>59.507936507936507936507936508</v>
      </c>
      <c r="P24" s="4"/>
      <c r="Q24" s="359">
        <v>-9.781312127276039982767394180</v>
      </c>
      <c r="R24" s="170">
        <v>-8.906135389307108350973994270</v>
      </c>
      <c r="S24" s="360">
        <v>3.5406850687039537756985399700</v>
      </c>
      <c r="T24" s="359">
        <v>0</v>
      </c>
      <c r="U24" s="170">
        <v>267.31974714094972550397035812</v>
      </c>
      <c r="V24" s="360">
        <v>-31.629841795323925355345250850</v>
      </c>
      <c r="W24" s="359">
        <v>69.270833335978190104207992550</v>
      </c>
      <c r="X24" s="170">
        <v>29.241929451144650027196991940</v>
      </c>
      <c r="Y24" s="360">
        <v>57.207956701038205899094376570</v>
      </c>
      <c r="Z24" s="359">
        <v>-6.8747606280975679449449402600</v>
      </c>
      <c r="AA24" s="170">
        <v>20.789415032185090474964594430</v>
      </c>
      <c r="AB24" s="360">
        <v>1.4433930172796410417079853100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16</v>
      </c>
      <c r="C25" s="345" t="s">
        <v>47</v>
      </c>
      <c r="D25" s="370">
        <v>44.172043010752688172043010753</v>
      </c>
      <c r="E25" s="172">
        <v>60.329714899887031644141905207</v>
      </c>
      <c r="F25" s="371">
        <v>94.36038141283910824603814128</v>
      </c>
      <c r="G25" s="370">
        <v>0</v>
      </c>
      <c r="H25" s="172">
        <v>17.190619115228204540624820058</v>
      </c>
      <c r="I25" s="371">
        <v>8.659567617001138354885333128</v>
      </c>
      <c r="J25" s="370">
        <v>0.5268817204301075268817204301</v>
      </c>
      <c r="K25" s="172">
        <v>5.8922350456582444782167001505</v>
      </c>
      <c r="L25" s="371">
        <v>0.0848128749216581609812874922</v>
      </c>
      <c r="M25" s="370">
        <v>44.698924731182795698924731183</v>
      </c>
      <c r="N25" s="172">
        <v>83.41256906077348066298342541</v>
      </c>
      <c r="O25" s="371">
        <v>103.1047619047619047619047619</v>
      </c>
      <c r="P25" s="4"/>
      <c r="Q25" s="327">
        <v>33.182039228266213544623885470</v>
      </c>
      <c r="R25" s="171">
        <v>0.2527993842212814747318181700</v>
      </c>
      <c r="S25" s="328">
        <v>11.087735912080250043295136090</v>
      </c>
      <c r="T25" s="327">
        <v>0</v>
      </c>
      <c r="U25" s="171">
        <v>294.94367866469533626265196600</v>
      </c>
      <c r="V25" s="328">
        <v>-1.567242925338887031769758900</v>
      </c>
      <c r="W25" s="327">
        <v>-63.018867924639943040227502060</v>
      </c>
      <c r="X25" s="171">
        <v>19.685723080997423880531879720</v>
      </c>
      <c r="Y25" s="328">
        <v>-65.242815446971540247937943600</v>
      </c>
      <c r="Z25" s="327">
        <v>29.219769971883037241249116990</v>
      </c>
      <c r="AA25" s="171">
        <v>20.098694965249066093933574260</v>
      </c>
      <c r="AB25" s="328">
        <v>9.704971191971577857773419260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17</v>
      </c>
      <c r="C26" s="347" t="s">
        <v>48</v>
      </c>
      <c r="D26" s="378">
        <v>29.231182795698924731182795699</v>
      </c>
      <c r="E26" s="173">
        <v>78.290810283772862882422233306</v>
      </c>
      <c r="F26" s="379">
        <v>115.28911821980997995278357576</v>
      </c>
      <c r="G26" s="378">
        <v>0</v>
      </c>
      <c r="H26" s="173">
        <v>9.634706362250596611927307618</v>
      </c>
      <c r="I26" s="379">
        <v>6.1236550007828093957316124621</v>
      </c>
      <c r="J26" s="378">
        <v>0.5322580645161290322580645161</v>
      </c>
      <c r="K26" s="173">
        <v>6.6469511256155828629248605445</v>
      </c>
      <c r="L26" s="379">
        <v>0.0883605662552832138430884177</v>
      </c>
      <c r="M26" s="378">
        <v>29.763440860215053763440860215</v>
      </c>
      <c r="N26" s="173">
        <v>94.57246777163904235727440147</v>
      </c>
      <c r="O26" s="379">
        <v>121.50113378684807256235827664</v>
      </c>
      <c r="P26" s="4"/>
      <c r="Q26" s="359">
        <v>-22.005451154875850710160668200</v>
      </c>
      <c r="R26" s="170">
        <v>-0.6827357035491498249680398300</v>
      </c>
      <c r="S26" s="360">
        <v>15.106191674788559638960791560</v>
      </c>
      <c r="T26" s="359">
        <v>0</v>
      </c>
      <c r="U26" s="170">
        <v>16.819230394542670552767220220</v>
      </c>
      <c r="V26" s="360">
        <v>-33.916567175031111059233398600</v>
      </c>
      <c r="W26" s="359">
        <v>-51.231527095277730592773674320</v>
      </c>
      <c r="X26" s="170">
        <v>55.269220900193043463367760960</v>
      </c>
      <c r="Y26" s="360">
        <v>-51.026397380655328546423213050</v>
      </c>
      <c r="Z26" s="359">
        <v>-22.832450515714751928039229180</v>
      </c>
      <c r="AA26" s="170">
        <v>3.5191535083086619353562699400</v>
      </c>
      <c r="AB26" s="360">
        <v>10.852735630862329931537352830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18</v>
      </c>
      <c r="C27" s="345" t="s">
        <v>50</v>
      </c>
      <c r="D27" s="370">
        <v>30.129032258064516129032258065</v>
      </c>
      <c r="E27" s="172">
        <v>60.355579331928737260793751703</v>
      </c>
      <c r="F27" s="371">
        <v>100.40030724871719538681149461</v>
      </c>
      <c r="G27" s="370">
        <v>0</v>
      </c>
      <c r="H27" s="172">
        <v>13.322192952698357056868294096</v>
      </c>
      <c r="I27" s="371">
        <v>7.4631925547678929517745765959</v>
      </c>
      <c r="J27" s="370">
        <v>1.0752688172043010752688172043</v>
      </c>
      <c r="K27" s="172">
        <v>6.3836181389456496970709192125</v>
      </c>
      <c r="L27" s="371">
        <v>0.1818516704378141557449945564</v>
      </c>
      <c r="M27" s="370">
        <v>31.204301075268817204301075269</v>
      </c>
      <c r="N27" s="172">
        <v>80.06139042357274401473296501</v>
      </c>
      <c r="O27" s="371">
        <v>108.04535147392290249433106576</v>
      </c>
      <c r="P27" s="4"/>
      <c r="Q27" s="327">
        <v>3.0147058822014489619379390500</v>
      </c>
      <c r="R27" s="171">
        <v>-20.315768060615977680347872980</v>
      </c>
      <c r="S27" s="328">
        <v>4.3587068987254344656627570300</v>
      </c>
      <c r="T27" s="327">
        <v>-100</v>
      </c>
      <c r="U27" s="171">
        <v>-41.748232614907637129104408780</v>
      </c>
      <c r="V27" s="328">
        <v>-11.051330320162976228469299340</v>
      </c>
      <c r="W27" s="327">
        <v>-28.057553956161689353546835940</v>
      </c>
      <c r="X27" s="171">
        <v>41.530137240294186766720893380</v>
      </c>
      <c r="Y27" s="328">
        <v>-28.749816605803189325758406110</v>
      </c>
      <c r="Z27" s="327">
        <v>-8.785164230829200789008492020</v>
      </c>
      <c r="AA27" s="171">
        <v>-22.363880454529791548134224880</v>
      </c>
      <c r="AB27" s="328">
        <v>3.0449826989133568204403911900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19</v>
      </c>
      <c r="C28" s="347" t="s">
        <v>51</v>
      </c>
      <c r="D28" s="378">
        <v>28.52688172043010752688172043</v>
      </c>
      <c r="E28" s="173">
        <v>58.499085201045359946687093761</v>
      </c>
      <c r="F28" s="379">
        <v>79.89991085321043576661304701</v>
      </c>
      <c r="G28" s="378">
        <v>0</v>
      </c>
      <c r="H28" s="173">
        <v>14.341537014394559858433636445</v>
      </c>
      <c r="I28" s="379">
        <v>17.171320517562042860322754926</v>
      </c>
      <c r="J28" s="378">
        <v>1.0591397849462365591397849462</v>
      </c>
      <c r="K28" s="173">
        <v>6.5351788895324558854870046034</v>
      </c>
      <c r="L28" s="379">
        <v>0.1890860895449816905245155238</v>
      </c>
      <c r="M28" s="378">
        <v>29.586021505376344086021505376</v>
      </c>
      <c r="N28" s="173">
        <v>79.37580110497237569060773481</v>
      </c>
      <c r="O28" s="379">
        <v>97.26031746031746031746031746</v>
      </c>
      <c r="P28" s="4"/>
      <c r="Q28" s="359">
        <v>-13.328977458284653299708665870</v>
      </c>
      <c r="R28" s="170">
        <v>-18.027445966196302677631913910</v>
      </c>
      <c r="S28" s="360">
        <v>-0.8973835001414697213706797600</v>
      </c>
      <c r="T28" s="359">
        <v>-100</v>
      </c>
      <c r="U28" s="170">
        <v>-46.495140261651325749430341740</v>
      </c>
      <c r="V28" s="360">
        <v>84.93524402039321063622087870</v>
      </c>
      <c r="W28" s="359">
        <v>-32.302405496885960250794899530</v>
      </c>
      <c r="X28" s="170">
        <v>41.605186051399467517091185110</v>
      </c>
      <c r="Y28" s="360">
        <v>-31.068328163816430784490519780</v>
      </c>
      <c r="Z28" s="359">
        <v>-22.372690083214395151375350160</v>
      </c>
      <c r="AA28" s="170">
        <v>-22.773775909355754475683848240</v>
      </c>
      <c r="AB28" s="360">
        <v>7.8480083277708200739778595300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20</v>
      </c>
      <c r="C29" s="345" t="s">
        <v>52</v>
      </c>
      <c r="D29" s="370">
        <v>80.94623655913978494623655914</v>
      </c>
      <c r="E29" s="172">
        <v>80.96981471288569075895905736</v>
      </c>
      <c r="F29" s="371">
        <v>96.20886682811378904636488054</v>
      </c>
      <c r="G29" s="370">
        <v>0</v>
      </c>
      <c r="H29" s="172">
        <v>21.940383831790978939815886158</v>
      </c>
      <c r="I29" s="371">
        <v>20.972603841739479551049841651</v>
      </c>
      <c r="J29" s="370">
        <v>2.1075268817204301075268817204</v>
      </c>
      <c r="K29" s="172">
        <v>6.0668088218058349052766218635</v>
      </c>
      <c r="L29" s="371">
        <v>0.3468740013485454615421939128</v>
      </c>
      <c r="M29" s="370">
        <v>83.05376344086021505376344086</v>
      </c>
      <c r="N29" s="172">
        <v>108.97700736648250460405156538</v>
      </c>
      <c r="O29" s="371">
        <v>117.5283446712018140589569161</v>
      </c>
      <c r="P29" s="4"/>
      <c r="Q29" s="327">
        <v>44.214559386882009952878024780</v>
      </c>
      <c r="R29" s="171">
        <v>-0.0315549722619778726131775800</v>
      </c>
      <c r="S29" s="328">
        <v>11.636583282587610352365771730</v>
      </c>
      <c r="T29" s="327">
        <v>-100</v>
      </c>
      <c r="U29" s="171">
        <v>-13.356193891195827411597199960</v>
      </c>
      <c r="V29" s="328">
        <v>72.688549217271349276186813640</v>
      </c>
      <c r="W29" s="327">
        <v>91.21951220109173111261944916</v>
      </c>
      <c r="X29" s="171">
        <v>21.875467465056716897018549060</v>
      </c>
      <c r="Y29" s="328">
        <v>75.424117541144158770716405250</v>
      </c>
      <c r="Z29" s="327">
        <v>43.515421776379338701572287590</v>
      </c>
      <c r="AA29" s="171">
        <v>-2.0834107254797772637545594500</v>
      </c>
      <c r="AB29" s="328">
        <v>19.290379897203460599526605860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21</v>
      </c>
      <c r="C30" s="347" t="s">
        <v>53</v>
      </c>
      <c r="D30" s="378">
        <v>78.612903225806451612903225806</v>
      </c>
      <c r="E30" s="173">
        <v>78.909926911838393965424922716</v>
      </c>
      <c r="F30" s="379">
        <v>96.23982205214316810170868581</v>
      </c>
      <c r="G30" s="378">
        <v>0</v>
      </c>
      <c r="H30" s="173">
        <v>26.07591289210581630918772606</v>
      </c>
      <c r="I30" s="379">
        <v>17.700910513981900871611044729</v>
      </c>
      <c r="J30" s="378">
        <v>1.0591397849462365591397849462</v>
      </c>
      <c r="K30" s="173">
        <v>5.348690582796121217100058407</v>
      </c>
      <c r="L30" s="379">
        <v>0.1749136923783323872244871495</v>
      </c>
      <c r="M30" s="378">
        <v>79.67204301075268817204301075</v>
      </c>
      <c r="N30" s="173">
        <v>110.33453038674033149171270718</v>
      </c>
      <c r="O30" s="379">
        <v>114.11564625850340136054421769</v>
      </c>
      <c r="P30" s="4"/>
      <c r="Q30" s="359">
        <v>67.299771167147592541197845250</v>
      </c>
      <c r="R30" s="170">
        <v>4.6291314989045658898131363500</v>
      </c>
      <c r="S30" s="360">
        <v>19.985157254336750480504185160</v>
      </c>
      <c r="T30" s="359">
        <v>-100</v>
      </c>
      <c r="U30" s="170">
        <v>19.398446339212400102346840510</v>
      </c>
      <c r="V30" s="360">
        <v>26.091921839289662113088298360</v>
      </c>
      <c r="W30" s="359">
        <v>-28.623188403779930686773490800</v>
      </c>
      <c r="X30" s="170">
        <v>2.2827515348729323262714008700</v>
      </c>
      <c r="Y30" s="360">
        <v>-33.894674866091984618334334420</v>
      </c>
      <c r="Z30" s="359">
        <v>11.816192560242551085828260800</v>
      </c>
      <c r="AA30" s="170">
        <v>7.6566553466717874110572744500</v>
      </c>
      <c r="AB30" s="360">
        <v>20.741362763952337219460225400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22</v>
      </c>
      <c r="C31" s="345" t="s">
        <v>49</v>
      </c>
      <c r="D31" s="370">
        <v>17.301075268817204301075268817</v>
      </c>
      <c r="E31" s="172">
        <v>45.56883724203259188896697646</v>
      </c>
      <c r="F31" s="371">
        <v>61.765853907105913526459272848</v>
      </c>
      <c r="G31" s="370">
        <v>2.0967741935483870967741935484</v>
      </c>
      <c r="H31" s="172">
        <v>4.8087665647246993986197934384</v>
      </c>
      <c r="I31" s="371">
        <v>7.0764095900532497643252057379</v>
      </c>
      <c r="J31" s="370">
        <v>1.4677419354838709677419354839</v>
      </c>
      <c r="K31" s="172">
        <v>6.0547166352316589886563240235</v>
      </c>
      <c r="L31" s="371">
        <v>0.2643124665596575708935259497</v>
      </c>
      <c r="M31" s="370">
        <v>20.865591397849462365591397849</v>
      </c>
      <c r="N31" s="172">
        <v>56.432320441988950276243093923</v>
      </c>
      <c r="O31" s="371">
        <v>69.106575963718820861678004535</v>
      </c>
      <c r="P31" s="4"/>
      <c r="Q31" s="327">
        <v>-41.469625318206009235674167280</v>
      </c>
      <c r="R31" s="171">
        <v>37.357663216629216723319575500</v>
      </c>
      <c r="S31" s="328">
        <v>9.567975208194143274285209280</v>
      </c>
      <c r="T31" s="327">
        <v>0</v>
      </c>
      <c r="U31" s="171">
        <v>-61.654676586985765089256587520</v>
      </c>
      <c r="V31" s="328">
        <v>49.558292768871079924013196190</v>
      </c>
      <c r="W31" s="327">
        <v>-24.793388428757598524677786430</v>
      </c>
      <c r="X31" s="171">
        <v>17.784370822113263299357445490</v>
      </c>
      <c r="Y31" s="328">
        <v>-29.210900009077350976450861290</v>
      </c>
      <c r="Z31" s="327">
        <v>-33.782630950408519078494774900</v>
      </c>
      <c r="AA31" s="171">
        <v>10.963808367810927824451201940</v>
      </c>
      <c r="AB31" s="328">
        <v>12.410277595345868498009832090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23</v>
      </c>
      <c r="C32" s="347" t="s">
        <v>47</v>
      </c>
      <c r="D32" s="378">
        <v>36.575268817204301075268817204</v>
      </c>
      <c r="E32" s="173">
        <v>64.9200006913984405246168937</v>
      </c>
      <c r="F32" s="379">
        <v>90.47583944970393220579370989</v>
      </c>
      <c r="G32" s="378">
        <v>16.043010752688172043010752688</v>
      </c>
      <c r="H32" s="173">
        <v>1.5733690129237231121190688092</v>
      </c>
      <c r="I32" s="379">
        <v>12.191546829702345073050317173</v>
      </c>
      <c r="J32" s="378">
        <v>1.5483870967741935483870967742</v>
      </c>
      <c r="K32" s="173">
        <v>6.254300645585755331956486848</v>
      </c>
      <c r="L32" s="379">
        <v>0.2627724507524528798861316679</v>
      </c>
      <c r="M32" s="378">
        <v>54.166666666666666666666666667</v>
      </c>
      <c r="N32" s="173">
        <v>72.747670349907918968692449355</v>
      </c>
      <c r="O32" s="379">
        <v>102.93015873015873015873015873</v>
      </c>
      <c r="P32" s="4"/>
      <c r="Q32" s="359">
        <v>48.829577772942258512845844190</v>
      </c>
      <c r="R32" s="170">
        <v>13.643103995089067002002495290</v>
      </c>
      <c r="S32" s="360">
        <v>8.004779616181554492066282390</v>
      </c>
      <c r="T32" s="359">
        <v>0</v>
      </c>
      <c r="U32" s="170">
        <v>-87.44285411921755168497968976</v>
      </c>
      <c r="V32" s="360">
        <v>-16.049324455141176714717244930</v>
      </c>
      <c r="W32" s="359">
        <v>27.999999995221333333511736890</v>
      </c>
      <c r="X32" s="170">
        <v>14.812098808443820189601233840</v>
      </c>
      <c r="Y32" s="360">
        <v>32.571951361787366340683181630</v>
      </c>
      <c r="Z32" s="359">
        <v>110.07089241000906197199414744</v>
      </c>
      <c r="AA32" s="170">
        <v>-3.1365268637034090146237648700</v>
      </c>
      <c r="AB32" s="360">
        <v>4.5074871530885899480709389200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24</v>
      </c>
      <c r="C33" s="345" t="s">
        <v>48</v>
      </c>
      <c r="D33" s="370">
        <v>38.021505376344086021505376344</v>
      </c>
      <c r="E33" s="172">
        <v>80.42402944199000645324146002</v>
      </c>
      <c r="F33" s="371">
        <v>108.60385246221649287883819288</v>
      </c>
      <c r="G33" s="370">
        <v>17.688172043010752688172043011</v>
      </c>
      <c r="H33" s="172">
        <v>1.6006045979609446869544185693</v>
      </c>
      <c r="I33" s="371">
        <v>11.585881707697299273363357956</v>
      </c>
      <c r="J33" s="370">
        <v>1.0322580645161290322580645161</v>
      </c>
      <c r="K33" s="172">
        <v>6.5760289434744632244450053919</v>
      </c>
      <c r="L33" s="371">
        <v>0.1680889593379085280705580118</v>
      </c>
      <c r="M33" s="370">
        <v>56.741935483870967741935483871</v>
      </c>
      <c r="N33" s="172">
        <v>88.60066298342541436464088398</v>
      </c>
      <c r="O33" s="371">
        <v>120.35782312925170068027210884</v>
      </c>
      <c r="P33" s="4"/>
      <c r="Q33" s="327">
        <v>58.565022421233131573126880790</v>
      </c>
      <c r="R33" s="171">
        <v>7.9161667484505654011900719600</v>
      </c>
      <c r="S33" s="328">
        <v>19.867167364210241103166571250</v>
      </c>
      <c r="T33" s="327">
        <v>0</v>
      </c>
      <c r="U33" s="171">
        <v>-86.21746813772332271584791623</v>
      </c>
      <c r="V33" s="328">
        <v>-42.576401399852058892409698440</v>
      </c>
      <c r="W33" s="327">
        <v>-40.923076924531124260319233870</v>
      </c>
      <c r="X33" s="171">
        <v>24.336314576304076530869204750</v>
      </c>
      <c r="Y33" s="328">
        <v>-42.610500026443572314354817360</v>
      </c>
      <c r="Z33" s="327">
        <v>120.56426332299464038285792835</v>
      </c>
      <c r="AA33" s="171">
        <v>-3.0910742462838357585429393700</v>
      </c>
      <c r="AB33" s="328">
        <v>8.359634975376842899776526920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25</v>
      </c>
      <c r="C34" s="347" t="s">
        <v>50</v>
      </c>
      <c r="D34" s="378">
        <v>36.639784946236559139784946237</v>
      </c>
      <c r="E34" s="173">
        <v>81.3686781210833304356402688</v>
      </c>
      <c r="F34" s="379">
        <v>105.49551004263394142401870586</v>
      </c>
      <c r="G34" s="378">
        <v>18.311827956989247311827956989</v>
      </c>
      <c r="H34" s="173">
        <v>16.674256899188492856257147189</v>
      </c>
      <c r="I34" s="379">
        <v>11.464357808002897338904368623</v>
      </c>
      <c r="J34" s="378">
        <v>1.6021505376344086021505376344</v>
      </c>
      <c r="K34" s="173">
        <v>6.4317058637060772605887718664</v>
      </c>
      <c r="L34" s="379">
        <v>0.2623543715853834592991477384</v>
      </c>
      <c r="M34" s="378">
        <v>56.55376344086021505376344086</v>
      </c>
      <c r="N34" s="173">
        <v>104.47464088397790055248618785</v>
      </c>
      <c r="O34" s="379">
        <v>117.22222222222222222222222222</v>
      </c>
      <c r="P34" s="4"/>
      <c r="Q34" s="359">
        <v>41.772415227822295072857878570</v>
      </c>
      <c r="R34" s="170">
        <v>30.677640979343777280080383050</v>
      </c>
      <c r="S34" s="360">
        <v>12.530507717599878916056142210</v>
      </c>
      <c r="T34" s="359">
        <v>0</v>
      </c>
      <c r="U34" s="170">
        <v>76.299144930991469878848713020</v>
      </c>
      <c r="V34" s="360">
        <v>6.5673880566725787669386399900</v>
      </c>
      <c r="W34" s="359">
        <v>8.759124085368426661028966460</v>
      </c>
      <c r="X34" s="170">
        <v>28.788570772034287937477322680</v>
      </c>
      <c r="Y34" s="360">
        <v>7.3662190687777035216127836400</v>
      </c>
      <c r="Z34" s="359">
        <v>107.02617594942878952777654548</v>
      </c>
      <c r="AA34" s="170">
        <v>36.178925508913195999070476060</v>
      </c>
      <c r="AB34" s="360">
        <v>11.906050438384807969144861540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26</v>
      </c>
      <c r="C35" s="345" t="s">
        <v>51</v>
      </c>
      <c r="D35" s="370">
        <v>33.338709677419354838709677419</v>
      </c>
      <c r="E35" s="172">
        <v>60.228062261982138235498396238</v>
      </c>
      <c r="F35" s="371">
        <v>82.0257121607088109864405185</v>
      </c>
      <c r="G35" s="370">
        <v>4.6827956989247311827956989247</v>
      </c>
      <c r="H35" s="172">
        <v>29.969324660315793381622423182</v>
      </c>
      <c r="I35" s="371">
        <v>14.570166950811800755593549716</v>
      </c>
      <c r="J35" s="370">
        <v>1.1182795698924731182795698925</v>
      </c>
      <c r="K35" s="172">
        <v>7.1805697340488176088853725343</v>
      </c>
      <c r="L35" s="371">
        <v>0.2000392558263270334761358641</v>
      </c>
      <c r="M35" s="370">
        <v>39.139784946236559139784946237</v>
      </c>
      <c r="N35" s="172">
        <v>97.37795665634674922600619195</v>
      </c>
      <c r="O35" s="371">
        <v>96.79591836734693877551020408</v>
      </c>
      <c r="P35" s="4"/>
      <c r="Q35" s="327">
        <v>107.04507512565111468474262675</v>
      </c>
      <c r="R35" s="171">
        <v>18.152239820853816996432874760</v>
      </c>
      <c r="S35" s="328">
        <v>14.396648870206885127212599080</v>
      </c>
      <c r="T35" s="327">
        <v>0</v>
      </c>
      <c r="U35" s="171">
        <v>387.09202211123048773190419091</v>
      </c>
      <c r="V35" s="328">
        <v>150.38205378819430075482363810</v>
      </c>
      <c r="W35" s="327">
        <v>-15.102040817920533111173736930</v>
      </c>
      <c r="X35" s="171">
        <v>22.490986457777020770776473950</v>
      </c>
      <c r="Y35" s="328">
        <v>-27.193276695293303756242011740</v>
      </c>
      <c r="Z35" s="327">
        <v>124.69135802481618655692736702</v>
      </c>
      <c r="AA35" s="171">
        <v>54.593243473268367194861744290</v>
      </c>
      <c r="AB35" s="328">
        <v>24.421424490835874594976663490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27</v>
      </c>
      <c r="C36" s="347" t="s">
        <v>52</v>
      </c>
      <c r="D36" s="378">
        <v>66.591397849462365591397849462</v>
      </c>
      <c r="E36" s="173">
        <v>62.835167200016014948229849232</v>
      </c>
      <c r="F36" s="379">
        <v>78.832170964848962092875735506</v>
      </c>
      <c r="G36" s="378">
        <v>3.9569892473118279569892473118</v>
      </c>
      <c r="H36" s="173">
        <v>29.329606246337658294506040122</v>
      </c>
      <c r="I36" s="379">
        <v>13.995473456263534352647811537</v>
      </c>
      <c r="J36" s="378">
        <v>2.7150537634408602150537634409</v>
      </c>
      <c r="K36" s="173">
        <v>6.3471142147881315454777386415</v>
      </c>
      <c r="L36" s="379">
        <v>0.4326730392049638719367704209</v>
      </c>
      <c r="M36" s="378">
        <v>73.263440860215053763440860215</v>
      </c>
      <c r="N36" s="173">
        <v>98.51188766114180478821362799</v>
      </c>
      <c r="O36" s="379">
        <v>93.26031746031746031746031746</v>
      </c>
      <c r="P36" s="4"/>
      <c r="Q36" s="359">
        <v>56.112931686393230031297404430</v>
      </c>
      <c r="R36" s="170">
        <v>-4.9842322071739822547807446100</v>
      </c>
      <c r="S36" s="360">
        <v>-2.6882165129945737973230389800</v>
      </c>
      <c r="T36" s="359">
        <v>-68.800339126687783620170734970</v>
      </c>
      <c r="U36" s="170">
        <v>140.74787086403218857206818940</v>
      </c>
      <c r="V36" s="360">
        <v>90.44270563480367452611622144</v>
      </c>
      <c r="W36" s="359">
        <v>79.078014179443941451774245590</v>
      </c>
      <c r="X36" s="170">
        <v>28.283863527168993846410537650</v>
      </c>
      <c r="Y36" s="360">
        <v>63.411571911187238574582152480</v>
      </c>
      <c r="Z36" s="359">
        <v>28.860520094511469107858444620</v>
      </c>
      <c r="AA36" s="170">
        <v>18.315938458918018369734401540</v>
      </c>
      <c r="AB36" s="360">
        <v>5.2319422767405798476081834600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28</v>
      </c>
      <c r="C37" s="349" t="s">
        <v>53</v>
      </c>
      <c r="D37" s="380">
        <v>52.543010752688172043010752688</v>
      </c>
      <c r="E37" s="383">
        <v>55.483497736413325595493053692</v>
      </c>
      <c r="F37" s="381">
        <v>73.638256662050087005839476476</v>
      </c>
      <c r="G37" s="380">
        <v>3.8387096774193548387096774194</v>
      </c>
      <c r="H37" s="383">
        <v>35.461442889651476336250557676</v>
      </c>
      <c r="I37" s="381">
        <v>14.324526461283646309085902636</v>
      </c>
      <c r="J37" s="380">
        <v>1.0537634408602150537634408602</v>
      </c>
      <c r="K37" s="383">
        <v>5.8306394844324356373171621091</v>
      </c>
      <c r="L37" s="381">
        <v>0.1764459016095773426709927675</v>
      </c>
      <c r="M37" s="380">
        <v>57.435483870967741935483870968</v>
      </c>
      <c r="N37" s="383">
        <v>96.77558011049723756906077348</v>
      </c>
      <c r="O37" s="381">
        <v>88.13922902494331065759637188</v>
      </c>
      <c r="P37" s="4"/>
      <c r="Q37" s="329">
        <v>39.137243735818562682582615600</v>
      </c>
      <c r="R37" s="330">
        <v>-0.1537440886438229991921150900</v>
      </c>
      <c r="S37" s="332">
        <v>-7.0414940839219376594136321600</v>
      </c>
      <c r="T37" s="329">
        <v>0</v>
      </c>
      <c r="U37" s="330">
        <v>297.18953051890889501481133666</v>
      </c>
      <c r="V37" s="332">
        <v>134.90040349370410804279080539</v>
      </c>
      <c r="W37" s="329">
        <v>-32.646048108576894462719798510</v>
      </c>
      <c r="X37" s="330">
        <v>17.411897207331290459224715190</v>
      </c>
      <c r="Y37" s="332">
        <v>-37.726326303453066695395561040</v>
      </c>
      <c r="Z37" s="329">
        <v>46.042378674133311405650358600</v>
      </c>
      <c r="AA37" s="330">
        <v>39.319623934292119097490357160</v>
      </c>
      <c r="AB37" s="332">
        <v>2.9691167354597269169836836700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20.665322580645161290322580645</v>
      </c>
      <c r="E39" s="382">
        <v>35.490500642107723751974923476</v>
      </c>
      <c r="F39" s="375">
        <v>57.874123314042277373619554001</v>
      </c>
      <c r="G39" s="374">
        <v>1.7231182795698924731182795699</v>
      </c>
      <c r="H39" s="382">
        <v>7.5527138513487061081934025458</v>
      </c>
      <c r="I39" s="375">
        <v>5.7918791718846856043253649509</v>
      </c>
      <c r="J39" s="374">
        <v>1.4327956989247311827956989247</v>
      </c>
      <c r="K39" s="382">
        <v>6.3445433334312312816364621924</v>
      </c>
      <c r="L39" s="375">
        <v>0.2529317544358488134383010029</v>
      </c>
      <c r="M39" s="374">
        <v>23.82123655913978494623655914</v>
      </c>
      <c r="N39" s="382">
        <v>49.387757826887661141804788214</v>
      </c>
      <c r="O39" s="375">
        <v>63.918934240362811791383219955</v>
      </c>
      <c r="P39" s="4"/>
      <c r="Q39" s="354">
        <v>-25.150915227790557448656663440</v>
      </c>
      <c r="R39" s="355">
        <v>12.236814389209954281768334220</v>
      </c>
      <c r="S39" s="356">
        <v>10.973791276582582584918788960</v>
      </c>
      <c r="T39" s="354">
        <v>0</v>
      </c>
      <c r="U39" s="355">
        <v>4.3185416509249584928003217300</v>
      </c>
      <c r="V39" s="356">
        <v>42.999199644007502145293216740</v>
      </c>
      <c r="W39" s="354">
        <v>5.7539682522056878307172067900</v>
      </c>
      <c r="X39" s="355">
        <v>10.337921842693183508985281630</v>
      </c>
      <c r="Y39" s="356">
        <v>33.969421452433930666758639460</v>
      </c>
      <c r="Z39" s="354">
        <v>-6.4354344843809402070174638600</v>
      </c>
      <c r="AA39" s="355">
        <v>10.706986621922784749898816360</v>
      </c>
      <c r="AB39" s="356">
        <v>13.351040087514877212825016510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31.805107526881720430107526882</v>
      </c>
      <c r="E40" s="172">
        <v>58.988309434793037889075190175</v>
      </c>
      <c r="F40" s="371">
        <v>88.35739680795750287193517169</v>
      </c>
      <c r="G40" s="370">
        <v>4.8897849462365591397849462366</v>
      </c>
      <c r="H40" s="172">
        <v>8.169954661847724358939420148</v>
      </c>
      <c r="I40" s="371">
        <v>12.692399821088291027784080467</v>
      </c>
      <c r="J40" s="370">
        <v>1.3091397849462365591397849462</v>
      </c>
      <c r="K40" s="172">
        <v>6.2296640801548178624826272454</v>
      </c>
      <c r="L40" s="371">
        <v>0.2152827360335711796458272111</v>
      </c>
      <c r="M40" s="370">
        <v>38.004032258064516129032258065</v>
      </c>
      <c r="N40" s="172">
        <v>73.387928176795580110497237569</v>
      </c>
      <c r="O40" s="371">
        <v>101.26507936507936507936507937</v>
      </c>
      <c r="P40" s="4"/>
      <c r="Q40" s="327">
        <v>17.504220875848541182634044440</v>
      </c>
      <c r="R40" s="171">
        <v>6.7464450073604828607899481900</v>
      </c>
      <c r="S40" s="328">
        <v>7.2266838646942534274428540300</v>
      </c>
      <c r="T40" s="327">
        <v>0</v>
      </c>
      <c r="U40" s="171">
        <v>5.2144573659390731946507571300</v>
      </c>
      <c r="V40" s="328">
        <v>36.580481150249310353238135090</v>
      </c>
      <c r="W40" s="327">
        <v>4.731182795698924731182795700</v>
      </c>
      <c r="X40" s="171">
        <v>5.2148401343846684968868710300</v>
      </c>
      <c r="Y40" s="328">
        <v>2.6134331834499455876770016500</v>
      </c>
      <c r="Z40" s="327">
        <v>34.208277956974110864134786230</v>
      </c>
      <c r="AA40" s="171">
        <v>6.4423753141022072831382793900</v>
      </c>
      <c r="AB40" s="328">
        <v>10.184257664656357287376630970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32.202508960573476702508960573</v>
      </c>
      <c r="E41" s="173">
        <v>77.675263777233269831433769199</v>
      </c>
      <c r="F41" s="379">
        <v>107.21036512236621999293334493</v>
      </c>
      <c r="G41" s="378">
        <v>6.8584229390681003584229390681</v>
      </c>
      <c r="H41" s="173">
        <v>6.5172269476855124719112165654</v>
      </c>
      <c r="I41" s="379">
        <v>13.238385580092836316803625406</v>
      </c>
      <c r="J41" s="378">
        <v>1.0412186379928315412186379928</v>
      </c>
      <c r="K41" s="173">
        <v>6.2338260338289156708723254687</v>
      </c>
      <c r="L41" s="379">
        <v>0.1248320639808529873151838562</v>
      </c>
      <c r="M41" s="378">
        <v>40.102150537634408602150537634</v>
      </c>
      <c r="N41" s="173">
        <v>90.42631675874769797421731123</v>
      </c>
      <c r="O41" s="379">
        <v>120.5735827664399092970521542</v>
      </c>
      <c r="P41" s="4"/>
      <c r="Q41" s="359">
        <v>-11.385632035012740191115793940</v>
      </c>
      <c r="R41" s="170">
        <v>6.6161553971430997554400050200</v>
      </c>
      <c r="S41" s="360">
        <v>10.607906916397299326898196540</v>
      </c>
      <c r="T41" s="359">
        <v>0</v>
      </c>
      <c r="U41" s="170">
        <v>-26.653558666214686408904872600</v>
      </c>
      <c r="V41" s="360">
        <v>21.269837322092801664582993180</v>
      </c>
      <c r="W41" s="359">
        <v>-21.908602148585349462316784280</v>
      </c>
      <c r="X41" s="170">
        <v>21.901866804651143915445264850</v>
      </c>
      <c r="Y41" s="360">
        <v>-42.985395151453492608104318840</v>
      </c>
      <c r="Z41" s="359">
        <v>6.446894287985879611462081100</v>
      </c>
      <c r="AA41" s="170">
        <v>4.112526747657124957228253500</v>
      </c>
      <c r="AB41" s="360">
        <v>11.576377420689363150186237440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31.680107526881720430107526882</v>
      </c>
      <c r="E42" s="172">
        <v>73.891515404238132650025346651</v>
      </c>
      <c r="F42" s="371">
        <v>102.74169573742506130343678704</v>
      </c>
      <c r="G42" s="370">
        <v>5.1370967741935483870967741935</v>
      </c>
      <c r="H42" s="172">
        <v>15.598673411757653385912024037</v>
      </c>
      <c r="I42" s="371">
        <v>10.83366792425616617135269895</v>
      </c>
      <c r="J42" s="370">
        <v>1.4717741935483870967741935484</v>
      </c>
      <c r="K42" s="172">
        <v>6.0851173534333115699558153191</v>
      </c>
      <c r="L42" s="371">
        <v>0.243117063942355291650423303</v>
      </c>
      <c r="M42" s="370">
        <v>38.290322580645161290322580645</v>
      </c>
      <c r="N42" s="172">
        <v>95.57530616942909760589318601</v>
      </c>
      <c r="O42" s="371">
        <v>113.8184807256235827664399093</v>
      </c>
      <c r="P42" s="4"/>
      <c r="Q42" s="327">
        <v>24.577167018937936074447275060</v>
      </c>
      <c r="R42" s="171">
        <v>5.1158749896896515221588491600</v>
      </c>
      <c r="S42" s="328">
        <v>10.134137672299679719582984110</v>
      </c>
      <c r="T42" s="327">
        <v>343.73065015095218012253044549</v>
      </c>
      <c r="U42" s="171">
        <v>-8.827197597398503889388230580</v>
      </c>
      <c r="V42" s="328">
        <v>27.446271679513748558447860840</v>
      </c>
      <c r="W42" s="327">
        <v>11.582880432296251033845572670</v>
      </c>
      <c r="X42" s="171">
        <v>24.188833714692322971305046900</v>
      </c>
      <c r="Y42" s="328">
        <v>46.501542872560228676691673030</v>
      </c>
      <c r="Z42" s="327">
        <v>25.835946817274405052087489620</v>
      </c>
      <c r="AA42" s="171">
        <v>3.543947287687913776776470100</v>
      </c>
      <c r="AB42" s="328">
        <v>11.636754270589763711740195250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31.219086021505376344086021505</v>
      </c>
      <c r="E43" s="173">
        <v>60.437887773067356546217651089</v>
      </c>
      <c r="F43" s="379">
        <v>82.37567768244226994177839199</v>
      </c>
      <c r="G43" s="378">
        <v>8.352150537634408602150537634</v>
      </c>
      <c r="H43" s="173">
        <v>22.306875020338211111978605502</v>
      </c>
      <c r="I43" s="379">
        <v>16.485491722510967115603156361</v>
      </c>
      <c r="J43" s="378">
        <v>1.3360215053763440860215053763</v>
      </c>
      <c r="K43" s="173">
        <v>6.6023921165374732394655123907</v>
      </c>
      <c r="L43" s="379">
        <v>0.2356559918721597680152770504</v>
      </c>
      <c r="M43" s="378">
        <v>40.907258064516129032258064516</v>
      </c>
      <c r="N43" s="173">
        <v>89.34715490994304089766176898</v>
      </c>
      <c r="O43" s="379">
        <v>99.0968253968253968253968254</v>
      </c>
      <c r="P43" s="4"/>
      <c r="Q43" s="359">
        <v>7.8219292543635006610945486400</v>
      </c>
      <c r="R43" s="170">
        <v>3.7641126742133399234408631800</v>
      </c>
      <c r="S43" s="360">
        <v>8.593279663247685139271628930</v>
      </c>
      <c r="T43" s="359">
        <v>81.11337802330851943052723537</v>
      </c>
      <c r="U43" s="170">
        <v>8.311076901617784029884864390</v>
      </c>
      <c r="V43" s="360">
        <v>68.945865349174016683618766410</v>
      </c>
      <c r="W43" s="359">
        <v>22.113022113622177012843352220</v>
      </c>
      <c r="X43" s="170">
        <v>25.835707076100002466904496990</v>
      </c>
      <c r="Y43" s="360">
        <v>18.204177361714485549035492510</v>
      </c>
      <c r="Z43" s="359">
        <v>18.024586031582272175306933680</v>
      </c>
      <c r="AA43" s="170">
        <v>6.2549899735499005822627197800</v>
      </c>
      <c r="AB43" s="360">
        <v>15.478238351533594063496960910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62.623655913978494623655913978</v>
      </c>
      <c r="E44" s="172">
        <v>68.803571778024445024562781648</v>
      </c>
      <c r="F44" s="371">
        <v>85.34725014461413387395682835</v>
      </c>
      <c r="G44" s="370">
        <v>7.0631720430107526881720430108</v>
      </c>
      <c r="H44" s="172">
        <v>25.786224870470949037389009885</v>
      </c>
      <c r="I44" s="371">
        <v>17.300250290134670732177185615</v>
      </c>
      <c r="J44" s="370">
        <v>1.8561827956989247311827956989</v>
      </c>
      <c r="K44" s="172">
        <v>6.1789832778397808920076928122</v>
      </c>
      <c r="L44" s="371">
        <v>0.3120233747750049176755098446</v>
      </c>
      <c r="M44" s="370">
        <v>71.543010752688172043010752688</v>
      </c>
      <c r="N44" s="172">
        <v>100.76877992633517495395948435</v>
      </c>
      <c r="O44" s="371">
        <v>102.95952380952380952380952381</v>
      </c>
      <c r="P44" s="4"/>
      <c r="Q44" s="327">
        <v>27.262298216469260741191675660</v>
      </c>
      <c r="R44" s="171">
        <v>-5.4824068543158594492058971900</v>
      </c>
      <c r="S44" s="328">
        <v>1.9738015057132788773899650700</v>
      </c>
      <c r="T44" s="327">
        <v>-10.856658185192799349083002250</v>
      </c>
      <c r="U44" s="171">
        <v>25.037735596056183811900585260</v>
      </c>
      <c r="V44" s="328">
        <v>52.261432328803513517071060220</v>
      </c>
      <c r="W44" s="327">
        <v>60.581395348090319091404231070</v>
      </c>
      <c r="X44" s="171">
        <v>24.316807011780891706406483400</v>
      </c>
      <c r="Y44" s="328">
        <v>53.909841493176327760030863620</v>
      </c>
      <c r="Z44" s="327">
        <v>22.741318083295586083773769150</v>
      </c>
      <c r="AA44" s="171">
        <v>2.4202378878575267313599657900</v>
      </c>
      <c r="AB44" s="328">
        <v>8.082409440702608006378188820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51.15188172043010752688172043</v>
      </c>
      <c r="E45" s="385">
        <v>63.290373837341283712486336745</v>
      </c>
      <c r="F45" s="386">
        <v>84.18455924367367516413299749</v>
      </c>
      <c r="G45" s="384">
        <v>6.5336021505376344086021505376</v>
      </c>
      <c r="H45" s="385">
        <v>26.385049864793394886328567638</v>
      </c>
      <c r="I45" s="386">
        <v>14.616163369460845823658345025</v>
      </c>
      <c r="J45" s="384">
        <v>1.1680107526881720430107526882</v>
      </c>
      <c r="K45" s="385">
        <v>5.2719773107566657842421858564</v>
      </c>
      <c r="L45" s="386">
        <v>0.1987104934414427310295191617</v>
      </c>
      <c r="M45" s="384">
        <v>58.854838709677419354838709677</v>
      </c>
      <c r="N45" s="385">
        <v>94.94740101289134438305709024</v>
      </c>
      <c r="O45" s="386">
        <v>98.99943310657596371882086168</v>
      </c>
      <c r="P45" s="4"/>
      <c r="Q45" s="364">
        <v>17.076847351134330783582138040</v>
      </c>
      <c r="R45" s="365">
        <v>-3.5673940219559884985115450700</v>
      </c>
      <c r="S45" s="366">
        <v>4.3146742075718143746618644300</v>
      </c>
      <c r="T45" s="364">
        <v>-37.366318773334580487702100630</v>
      </c>
      <c r="U45" s="365">
        <v>58.058709374044723690715172330</v>
      </c>
      <c r="V45" s="366">
        <v>39.297046710263393796747232800</v>
      </c>
      <c r="W45" s="364">
        <v>-6.7596566491591298420312147600</v>
      </c>
      <c r="X45" s="365">
        <v>6.2153082899131981358524777700</v>
      </c>
      <c r="Y45" s="366">
        <v>-11.410012706961733383401154820</v>
      </c>
      <c r="Z45" s="364">
        <v>6.2841331100269424015145998700</v>
      </c>
      <c r="AA45" s="365">
        <v>8.774371422522366217883618360</v>
      </c>
      <c r="AB45" s="366">
        <v>8.291238849010415442841929450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40.144393241167434715821812596</v>
      </c>
      <c r="E47" s="382">
        <v>64.404038956416549725955271163</v>
      </c>
      <c r="F47" s="375">
        <v>85.83388509275259144575223028</v>
      </c>
      <c r="G47" s="374">
        <v>9.516897081413210445468509985</v>
      </c>
      <c r="H47" s="382">
        <v>17.059624410157541152332778427</v>
      </c>
      <c r="I47" s="375">
        <v>12.172623257687824695281501911</v>
      </c>
      <c r="J47" s="374">
        <v>1.505376344086021505376344086</v>
      </c>
      <c r="K47" s="382">
        <v>6.3821536458953342281895516306</v>
      </c>
      <c r="L47" s="375">
        <v>0.25238377783946724089046606</v>
      </c>
      <c r="M47" s="374">
        <v>51.166666666666666666666666667</v>
      </c>
      <c r="N47" s="382">
        <v>87.84581701246942510647760122</v>
      </c>
      <c r="O47" s="375">
        <v>98.25889212827988338192419825</v>
      </c>
      <c r="P47" s="4"/>
      <c r="Q47" s="354">
        <v>40.170023331456249647632742030</v>
      </c>
      <c r="R47" s="355">
        <v>12.772479454726315603445335900</v>
      </c>
      <c r="S47" s="356">
        <v>7.982030214372836528232221030</v>
      </c>
      <c r="T47" s="354">
        <v>425.26494276924387062366705632</v>
      </c>
      <c r="U47" s="355">
        <v>62.682717530722908015313947230</v>
      </c>
      <c r="V47" s="356">
        <v>22.683079684015190644462992800</v>
      </c>
      <c r="W47" s="354">
        <v>-2.2443890294889210887558940300</v>
      </c>
      <c r="X47" s="355">
        <v>21.907692809826220755845574390</v>
      </c>
      <c r="Y47" s="356">
        <v>-8.542678252481556287870648790</v>
      </c>
      <c r="Z47" s="354">
        <v>59.938059683543190951113281840</v>
      </c>
      <c r="AA47" s="355">
        <v>20.615329820708164474665140040</v>
      </c>
      <c r="AB47" s="356">
        <v>9.557551402545535012765536510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37.525487853444842692154520112</v>
      </c>
      <c r="E48" s="172">
        <v>62.653917520972178486539428433</v>
      </c>
      <c r="F48" s="371">
        <v>86.8701525789315915031132965</v>
      </c>
      <c r="G48" s="370">
        <v>5.7544802867383512544802867384</v>
      </c>
      <c r="H48" s="172">
        <v>16.045245518320307337236035189</v>
      </c>
      <c r="I48" s="371">
        <v>12.99403398277549468452920811</v>
      </c>
      <c r="J48" s="370">
        <v>1.3859020310633213859020310633</v>
      </c>
      <c r="K48" s="172">
        <v>6.1352147865688851858089458978</v>
      </c>
      <c r="L48" s="371">
        <v>0.2260790683544622412528630614</v>
      </c>
      <c r="M48" s="370">
        <v>44.66626841895659099960175229</v>
      </c>
      <c r="N48" s="172">
        <v>84.83437782586137100958440951</v>
      </c>
      <c r="O48" s="371">
        <v>100.09026563006154842889536767</v>
      </c>
      <c r="P48" s="4"/>
      <c r="Q48" s="327">
        <v>8.387540619612159092300624810</v>
      </c>
      <c r="R48" s="171">
        <v>2.7827606496421422353357479200</v>
      </c>
      <c r="S48" s="328">
        <v>7.6220652607131921708672340100</v>
      </c>
      <c r="T48" s="327">
        <v>56.931521270545481898623910120</v>
      </c>
      <c r="U48" s="171">
        <v>13.553668173211863736141239820</v>
      </c>
      <c r="V48" s="328">
        <v>41.298356929184924941986954360</v>
      </c>
      <c r="W48" s="327">
        <v>11.332595051631522340354676800</v>
      </c>
      <c r="X48" s="171">
        <v>16.495524380992709311740254470</v>
      </c>
      <c r="Y48" s="328">
        <v>12.246416711247783363872081510</v>
      </c>
      <c r="Z48" s="327">
        <v>15.715030555741142695116670380</v>
      </c>
      <c r="AA48" s="171">
        <v>5.5755458233864407502842913200</v>
      </c>
      <c r="AB48" s="328">
        <v>11.069026980636261965260171490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37.525487853444842692154520112</v>
      </c>
      <c r="E49" s="385">
        <v>62.653917520972178486539428433</v>
      </c>
      <c r="F49" s="386">
        <v>86.8701525789315915031132965</v>
      </c>
      <c r="G49" s="384">
        <v>5.7544802867383512544802867384</v>
      </c>
      <c r="H49" s="385">
        <v>16.045245518320307337236035189</v>
      </c>
      <c r="I49" s="386">
        <v>12.99403398277549468452920811</v>
      </c>
      <c r="J49" s="384">
        <v>1.3859020310633213859020310633</v>
      </c>
      <c r="K49" s="385">
        <v>6.1352147865688851858089458978</v>
      </c>
      <c r="L49" s="386">
        <v>0.2260790683544622412528630614</v>
      </c>
      <c r="M49" s="384">
        <v>44.66626841895659099960175229</v>
      </c>
      <c r="N49" s="385">
        <v>84.83437782586137100958440951</v>
      </c>
      <c r="O49" s="386">
        <v>100.09026563006154842889536767</v>
      </c>
      <c r="P49" s="4"/>
      <c r="Q49" s="364">
        <v>6.8709346308685223083189582500</v>
      </c>
      <c r="R49" s="365">
        <v>3.4144063216592272524436212600</v>
      </c>
      <c r="S49" s="366">
        <v>7.8928249539636167566185352400</v>
      </c>
      <c r="T49" s="364">
        <v>50.019766397574542624170987130</v>
      </c>
      <c r="U49" s="365">
        <v>12.989363001068546485679995220</v>
      </c>
      <c r="V49" s="366">
        <v>41.530041482948174365334045270</v>
      </c>
      <c r="W49" s="364">
        <v>11.834176912621759209212194900</v>
      </c>
      <c r="X49" s="365">
        <v>15.589418800339806129282782710</v>
      </c>
      <c r="Y49" s="366">
        <v>13.122469010406347957185557630</v>
      </c>
      <c r="Z49" s="364">
        <v>13.920902430111374571276510960</v>
      </c>
      <c r="AA49" s="365">
        <v>5.9188834234312814629066791200</v>
      </c>
      <c r="AB49" s="366">
        <v>11.339825962723197677178793420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25" footer="0.25"/>
  <pageSetup scale="67" orientation="landscape" r:id="rId1"/>
  <headerFooter alignWithMargins="0">
    <oddHeader/>
    <oddFooter/>
  </headerFooter>
  <drawing r:id="rId42"/>
</worksheet>
</file>

<file path=xl/worksheets/sheet4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75" workbookViewId="0"/>
  </sheetViews>
  <sheetFormatPr defaultRowHeight="12.75"/>
  <cols>
    <col min="1" max="1" width="13.28515625" customWidth="1"/>
    <col min="2" max="2" width="3.85546875" customWidth="1"/>
    <col min="3" max="3" width="4.28515625" style="30" customWidth="1"/>
    <col min="4" max="15" width="8.7109375" customWidth="1"/>
    <col min="16" max="16" width="1.42578125" customWidth="1"/>
    <col min="17" max="25" width="8.7109375" customWidth="1"/>
    <col min="26" max="28" width="7.42578125" hidden="1" customWidth="1"/>
    <col min="29" max="29" width="2.28515625" customWidth="1"/>
    <col min="30" max="32" width="9.140625" customWidth="1"/>
  </cols>
  <sheetData>
    <row r="1" ht="23.25">
      <c r="A1" s="39" t="s">
        <v>133</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X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3"/>
      <c r="C4" s="211"/>
      <c r="D4" s="212"/>
      <c r="E4" s="212"/>
      <c r="F4" s="212"/>
      <c r="G4" s="212"/>
      <c r="H4" s="212"/>
      <c r="I4" s="212"/>
      <c r="J4" s="212"/>
      <c r="K4" s="212"/>
      <c r="L4" s="212"/>
      <c r="M4" s="212"/>
      <c r="N4" s="212"/>
      <c r="O4" s="212"/>
      <c r="P4" s="212"/>
      <c r="Q4" s="666" t="s">
        <v>146</v>
      </c>
      <c r="R4" s="666"/>
      <c r="S4" s="666"/>
      <c r="T4" s="666"/>
      <c r="U4" s="666"/>
      <c r="V4" s="666"/>
      <c r="W4" s="666"/>
      <c r="X4" s="666"/>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83</v>
      </c>
      <c r="E7" s="621"/>
      <c r="F7" s="621"/>
      <c r="G7" s="621"/>
      <c r="H7" s="621"/>
      <c r="I7" s="621"/>
      <c r="J7" s="621"/>
      <c r="K7" s="621"/>
      <c r="L7" s="621"/>
      <c r="M7" s="621"/>
      <c r="N7" s="621"/>
      <c r="O7" s="621"/>
      <c r="Q7" s="621" t="s">
        <v>62</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 customHeight="1">
      <c r="D8" s="681" t="s">
        <v>33</v>
      </c>
      <c r="E8" s="681"/>
      <c r="F8" s="681"/>
      <c r="G8" s="681" t="s">
        <v>30</v>
      </c>
      <c r="H8" s="681"/>
      <c r="I8" s="681"/>
      <c r="J8" s="681" t="s">
        <v>29</v>
      </c>
      <c r="K8" s="681"/>
      <c r="L8" s="681"/>
      <c r="M8" s="681" t="s">
        <v>94</v>
      </c>
      <c r="N8" s="681"/>
      <c r="O8" s="681"/>
      <c r="Q8" s="681" t="s">
        <v>33</v>
      </c>
      <c r="R8" s="681"/>
      <c r="S8" s="681"/>
      <c r="T8" s="681" t="s">
        <v>30</v>
      </c>
      <c r="U8" s="681"/>
      <c r="V8" s="681"/>
      <c r="W8" s="681" t="s">
        <v>29</v>
      </c>
      <c r="X8" s="681"/>
      <c r="Y8" s="681"/>
      <c r="Z8" s="682" t="s">
        <v>23</v>
      </c>
      <c r="AA8" s="682"/>
      <c r="AB8" s="682"/>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94" t="s">
        <v>63</v>
      </c>
      <c r="AA9" s="94" t="s">
        <v>26</v>
      </c>
      <c r="AB9" s="95"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145</v>
      </c>
      <c r="B10" s="667">
        <v>1</v>
      </c>
      <c r="C10" s="677" t="s">
        <v>49</v>
      </c>
      <c r="D10" s="678">
        <v>107.51162790697674418604651163</v>
      </c>
      <c r="E10" s="679">
        <v>119.65571823204419889502762432</v>
      </c>
      <c r="F10" s="680">
        <v>112.77113237639553429027113238</v>
      </c>
      <c r="G10" s="678"/>
      <c r="H10" s="679"/>
      <c r="I10" s="680"/>
      <c r="J10" s="678"/>
      <c r="K10" s="679"/>
      <c r="L10" s="680"/>
      <c r="M10" s="678"/>
      <c r="N10" s="679"/>
      <c r="O10" s="680"/>
      <c r="P10" s="4"/>
      <c r="Q10" s="669"/>
      <c r="R10" s="670"/>
      <c r="S10" s="671"/>
      <c r="T10" s="669"/>
      <c r="U10" s="670"/>
      <c r="V10" s="671"/>
      <c r="W10" s="669"/>
      <c r="X10" s="670"/>
      <c r="Y10" s="671"/>
      <c r="Z10" s="683"/>
      <c r="AA10" s="683"/>
      <c r="AB10" s="684"/>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2</v>
      </c>
      <c r="C11" s="345" t="s">
        <v>47</v>
      </c>
      <c r="D11" s="370">
        <v>110.11363636363636363636363636</v>
      </c>
      <c r="E11" s="172">
        <v>139.3487406015037593984962406</v>
      </c>
      <c r="F11" s="371">
        <v>133.37167070217917675544794189</v>
      </c>
      <c r="G11" s="370"/>
      <c r="H11" s="172"/>
      <c r="I11" s="371"/>
      <c r="J11" s="370"/>
      <c r="K11" s="172"/>
      <c r="L11" s="371"/>
      <c r="M11" s="370"/>
      <c r="N11" s="172"/>
      <c r="O11" s="371"/>
      <c r="P11" s="4"/>
      <c r="Q11" s="327"/>
      <c r="R11" s="171"/>
      <c r="S11" s="328"/>
      <c r="T11" s="327"/>
      <c r="U11" s="171"/>
      <c r="V11" s="328"/>
      <c r="W11" s="327"/>
      <c r="X11" s="171"/>
      <c r="Y11" s="328"/>
      <c r="Z11" s="36"/>
      <c r="AA11" s="36"/>
      <c r="AB11" s="32"/>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3</v>
      </c>
      <c r="C12" s="347" t="s">
        <v>48</v>
      </c>
      <c r="D12" s="378">
        <v>118.6226415094339622641509434</v>
      </c>
      <c r="E12" s="173">
        <v>142.07052785923753665689149559</v>
      </c>
      <c r="F12" s="379">
        <v>140.62555803571428571428571429</v>
      </c>
      <c r="G12" s="378"/>
      <c r="H12" s="173"/>
      <c r="I12" s="379"/>
      <c r="J12" s="378"/>
      <c r="K12" s="173"/>
      <c r="L12" s="379"/>
      <c r="M12" s="378"/>
      <c r="N12" s="173"/>
      <c r="O12" s="379"/>
      <c r="P12" s="4"/>
      <c r="Q12" s="359"/>
      <c r="R12" s="170"/>
      <c r="S12" s="360"/>
      <c r="T12" s="359"/>
      <c r="U12" s="170"/>
      <c r="V12" s="360"/>
      <c r="W12" s="359"/>
      <c r="X12" s="170"/>
      <c r="Y12" s="360"/>
      <c r="Z12" s="35"/>
      <c r="AA12" s="35"/>
      <c r="AB12" s="3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4</v>
      </c>
      <c r="C13" s="345" t="s">
        <v>50</v>
      </c>
      <c r="D13" s="370">
        <v>126.70212765957446808510638298</v>
      </c>
      <c r="E13" s="172">
        <v>146.09846925972396486825595983</v>
      </c>
      <c r="F13" s="371">
        <v>141.43362350380848748639825898</v>
      </c>
      <c r="G13" s="370"/>
      <c r="H13" s="172"/>
      <c r="I13" s="371"/>
      <c r="J13" s="370"/>
      <c r="K13" s="172"/>
      <c r="L13" s="371"/>
      <c r="M13" s="370"/>
      <c r="N13" s="172"/>
      <c r="O13" s="371"/>
      <c r="P13" s="4"/>
      <c r="Q13" s="327"/>
      <c r="R13" s="171"/>
      <c r="S13" s="328"/>
      <c r="T13" s="327"/>
      <c r="U13" s="171"/>
      <c r="V13" s="328"/>
      <c r="W13" s="327"/>
      <c r="X13" s="171"/>
      <c r="Y13" s="328"/>
      <c r="Z13" s="36"/>
      <c r="AA13" s="36"/>
      <c r="AB13" s="32"/>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5</v>
      </c>
      <c r="C14" s="347" t="s">
        <v>51</v>
      </c>
      <c r="D14" s="378">
        <v>120.06329113924050632911392405</v>
      </c>
      <c r="E14" s="173">
        <v>136.370306258322237017310253</v>
      </c>
      <c r="F14" s="379">
        <v>132.69723277265328269126424308</v>
      </c>
      <c r="G14" s="378"/>
      <c r="H14" s="173"/>
      <c r="I14" s="379"/>
      <c r="J14" s="378"/>
      <c r="K14" s="173"/>
      <c r="L14" s="379"/>
      <c r="M14" s="378"/>
      <c r="N14" s="173"/>
      <c r="O14" s="379"/>
      <c r="P14" s="4"/>
      <c r="Q14" s="359"/>
      <c r="R14" s="170"/>
      <c r="S14" s="360"/>
      <c r="T14" s="359"/>
      <c r="U14" s="170"/>
      <c r="V14" s="360"/>
      <c r="W14" s="359"/>
      <c r="X14" s="170"/>
      <c r="Y14" s="360"/>
      <c r="Z14" s="35"/>
      <c r="AA14" s="35"/>
      <c r="AB14" s="3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6</v>
      </c>
      <c r="C15" s="345" t="s">
        <v>52</v>
      </c>
      <c r="D15" s="370">
        <v>111.14666666666666666666666667</v>
      </c>
      <c r="E15" s="172">
        <v>134.85673100120627261761158022</v>
      </c>
      <c r="F15" s="371">
        <v>130.31111111111111111111111111</v>
      </c>
      <c r="G15" s="370"/>
      <c r="H15" s="172"/>
      <c r="I15" s="371"/>
      <c r="J15" s="370"/>
      <c r="K15" s="172"/>
      <c r="L15" s="371"/>
      <c r="M15" s="370"/>
      <c r="N15" s="172"/>
      <c r="O15" s="371"/>
      <c r="P15" s="4"/>
      <c r="Q15" s="327"/>
      <c r="R15" s="171"/>
      <c r="S15" s="328"/>
      <c r="T15" s="327"/>
      <c r="U15" s="171"/>
      <c r="V15" s="328"/>
      <c r="W15" s="327"/>
      <c r="X15" s="171"/>
      <c r="Y15" s="328"/>
      <c r="Z15" s="36"/>
      <c r="AA15" s="36"/>
      <c r="AB15" s="32"/>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7</v>
      </c>
      <c r="C16" s="347" t="s">
        <v>53</v>
      </c>
      <c r="D16" s="378">
        <v>115.41791044776119402985074627</v>
      </c>
      <c r="E16" s="173">
        <v>133.64530640668523676880222841</v>
      </c>
      <c r="F16" s="379">
        <v>127.22729744426318651441000544</v>
      </c>
      <c r="G16" s="378"/>
      <c r="H16" s="173"/>
      <c r="I16" s="379"/>
      <c r="J16" s="378"/>
      <c r="K16" s="173"/>
      <c r="L16" s="379"/>
      <c r="M16" s="378"/>
      <c r="N16" s="173"/>
      <c r="O16" s="379"/>
      <c r="P16" s="4"/>
      <c r="Q16" s="359"/>
      <c r="R16" s="170"/>
      <c r="S16" s="360"/>
      <c r="T16" s="359"/>
      <c r="U16" s="170"/>
      <c r="V16" s="360"/>
      <c r="W16" s="359"/>
      <c r="X16" s="170"/>
      <c r="Y16" s="360"/>
      <c r="Z16" s="35"/>
      <c r="AA16" s="35"/>
      <c r="AB16" s="3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8</v>
      </c>
      <c r="C17" s="345" t="s">
        <v>49</v>
      </c>
      <c r="D17" s="370">
        <v>88.89795918367346938775510204</v>
      </c>
      <c r="E17" s="172">
        <v>120.17969121140142517814726841</v>
      </c>
      <c r="F17" s="371">
        <v>114.20164609053497942386831276</v>
      </c>
      <c r="G17" s="370"/>
      <c r="H17" s="172"/>
      <c r="I17" s="371"/>
      <c r="J17" s="370"/>
      <c r="K17" s="172"/>
      <c r="L17" s="371"/>
      <c r="M17" s="370"/>
      <c r="N17" s="172"/>
      <c r="O17" s="371"/>
      <c r="P17" s="4"/>
      <c r="Q17" s="327"/>
      <c r="R17" s="171"/>
      <c r="S17" s="328"/>
      <c r="T17" s="327"/>
      <c r="U17" s="171"/>
      <c r="V17" s="328"/>
      <c r="W17" s="327"/>
      <c r="X17" s="171"/>
      <c r="Y17" s="328"/>
      <c r="Z17" s="36"/>
      <c r="AA17" s="36"/>
      <c r="AB17" s="32"/>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9</v>
      </c>
      <c r="C18" s="347" t="s">
        <v>47</v>
      </c>
      <c r="D18" s="378">
        <v>107.25531914893617021276595745</v>
      </c>
      <c r="E18" s="173">
        <v>137.74974311926605504587155962</v>
      </c>
      <c r="F18" s="379">
        <v>129.91736028537455410225921522</v>
      </c>
      <c r="G18" s="378"/>
      <c r="H18" s="173"/>
      <c r="I18" s="379"/>
      <c r="J18" s="378"/>
      <c r="K18" s="173"/>
      <c r="L18" s="379"/>
      <c r="M18" s="378"/>
      <c r="N18" s="173"/>
      <c r="O18" s="379"/>
      <c r="P18" s="4"/>
      <c r="Q18" s="359"/>
      <c r="R18" s="170"/>
      <c r="S18" s="360"/>
      <c r="T18" s="359"/>
      <c r="U18" s="170"/>
      <c r="V18" s="360"/>
      <c r="W18" s="359"/>
      <c r="X18" s="170"/>
      <c r="Y18" s="360"/>
      <c r="Z18" s="35"/>
      <c r="AA18" s="35"/>
      <c r="AB18" s="3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10</v>
      </c>
      <c r="C19" s="345" t="s">
        <v>48</v>
      </c>
      <c r="D19" s="370"/>
      <c r="E19" s="172">
        <v>143.9077151335311572700296736</v>
      </c>
      <c r="F19" s="371">
        <v>139.28843264897346019028542814</v>
      </c>
      <c r="G19" s="370"/>
      <c r="H19" s="172"/>
      <c r="I19" s="371"/>
      <c r="J19" s="370"/>
      <c r="K19" s="172"/>
      <c r="L19" s="371"/>
      <c r="M19" s="370"/>
      <c r="N19" s="172"/>
      <c r="O19" s="371"/>
      <c r="P19" s="4"/>
      <c r="Q19" s="327"/>
      <c r="R19" s="171"/>
      <c r="S19" s="328"/>
      <c r="T19" s="327"/>
      <c r="U19" s="171"/>
      <c r="V19" s="328"/>
      <c r="W19" s="327"/>
      <c r="X19" s="171"/>
      <c r="Y19" s="328"/>
      <c r="Z19" s="36"/>
      <c r="AA19" s="36"/>
      <c r="AB19" s="32"/>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11</v>
      </c>
      <c r="C20" s="347" t="s">
        <v>50</v>
      </c>
      <c r="D20" s="378">
        <v>115.000000000</v>
      </c>
      <c r="E20" s="173">
        <v>136.00625172890733056708160443</v>
      </c>
      <c r="F20" s="379">
        <v>137.10981697171381031613976705</v>
      </c>
      <c r="G20" s="378"/>
      <c r="H20" s="173"/>
      <c r="I20" s="379"/>
      <c r="J20" s="378"/>
      <c r="K20" s="173"/>
      <c r="L20" s="379"/>
      <c r="M20" s="378"/>
      <c r="N20" s="173"/>
      <c r="O20" s="379"/>
      <c r="P20" s="4"/>
      <c r="Q20" s="359"/>
      <c r="R20" s="170"/>
      <c r="S20" s="360"/>
      <c r="T20" s="359"/>
      <c r="U20" s="170"/>
      <c r="V20" s="360"/>
      <c r="W20" s="359"/>
      <c r="X20" s="170"/>
      <c r="Y20" s="360"/>
      <c r="Z20" s="35"/>
      <c r="AA20" s="35"/>
      <c r="AB20" s="3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12</v>
      </c>
      <c r="C21" s="345" t="s">
        <v>51</v>
      </c>
      <c r="D21" s="370">
        <v>115.02816901408450704225352113</v>
      </c>
      <c r="E21" s="172">
        <v>132.9863262411347517730496454</v>
      </c>
      <c r="F21" s="371">
        <v>123.97232472324723247232472325</v>
      </c>
      <c r="G21" s="370"/>
      <c r="H21" s="172"/>
      <c r="I21" s="371"/>
      <c r="J21" s="370"/>
      <c r="K21" s="172"/>
      <c r="L21" s="371"/>
      <c r="M21" s="370"/>
      <c r="N21" s="172"/>
      <c r="O21" s="371"/>
      <c r="P21" s="4"/>
      <c r="Q21" s="327"/>
      <c r="R21" s="171"/>
      <c r="S21" s="328"/>
      <c r="T21" s="327"/>
      <c r="U21" s="171"/>
      <c r="V21" s="328"/>
      <c r="W21" s="327"/>
      <c r="X21" s="171"/>
      <c r="Y21" s="328"/>
      <c r="Z21" s="36"/>
      <c r="AA21" s="36"/>
      <c r="AB21" s="32"/>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13</v>
      </c>
      <c r="C22" s="347" t="s">
        <v>52</v>
      </c>
      <c r="D22" s="378">
        <v>110.01470588235294117647058824</v>
      </c>
      <c r="E22" s="173">
        <v>136.69892663043478260869565218</v>
      </c>
      <c r="F22" s="379">
        <v>119.70068879148403256105197245</v>
      </c>
      <c r="G22" s="378"/>
      <c r="H22" s="173"/>
      <c r="I22" s="379"/>
      <c r="J22" s="378"/>
      <c r="K22" s="173"/>
      <c r="L22" s="379"/>
      <c r="M22" s="378"/>
      <c r="N22" s="173"/>
      <c r="O22" s="379"/>
      <c r="P22" s="4"/>
      <c r="Q22" s="359"/>
      <c r="R22" s="170"/>
      <c r="S22" s="360"/>
      <c r="T22" s="359"/>
      <c r="U22" s="170"/>
      <c r="V22" s="360"/>
      <c r="W22" s="359"/>
      <c r="X22" s="170"/>
      <c r="Y22" s="360"/>
      <c r="Z22" s="35"/>
      <c r="AA22" s="35"/>
      <c r="AB22" s="3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14</v>
      </c>
      <c r="C23" s="345" t="s">
        <v>53</v>
      </c>
      <c r="D23" s="370">
        <v>90.96774193548387096774193548</v>
      </c>
      <c r="E23" s="172">
        <v>135.2623338257016248153618907</v>
      </c>
      <c r="F23" s="371">
        <v>123.47092651757188498402555911</v>
      </c>
      <c r="G23" s="370"/>
      <c r="H23" s="172"/>
      <c r="I23" s="371"/>
      <c r="J23" s="370"/>
      <c r="K23" s="172"/>
      <c r="L23" s="371"/>
      <c r="M23" s="370"/>
      <c r="N23" s="172"/>
      <c r="O23" s="371"/>
      <c r="P23" s="4"/>
      <c r="Q23" s="327"/>
      <c r="R23" s="171"/>
      <c r="S23" s="328"/>
      <c r="T23" s="327"/>
      <c r="U23" s="171"/>
      <c r="V23" s="328"/>
      <c r="W23" s="327"/>
      <c r="X23" s="171"/>
      <c r="Y23" s="328"/>
      <c r="Z23" s="36"/>
      <c r="AA23" s="36"/>
      <c r="AB23" s="32"/>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15</v>
      </c>
      <c r="C24" s="347" t="s">
        <v>49</v>
      </c>
      <c r="D24" s="378">
        <v>99.2448979591836734693877551</v>
      </c>
      <c r="E24" s="173">
        <v>130.14013157894736842105263158</v>
      </c>
      <c r="F24" s="379">
        <v>115.8120035304501323918799647</v>
      </c>
      <c r="G24" s="378"/>
      <c r="H24" s="173"/>
      <c r="I24" s="379"/>
      <c r="J24" s="378"/>
      <c r="K24" s="173"/>
      <c r="L24" s="379"/>
      <c r="M24" s="378"/>
      <c r="N24" s="173"/>
      <c r="O24" s="379"/>
      <c r="P24" s="4"/>
      <c r="Q24" s="359"/>
      <c r="R24" s="170"/>
      <c r="S24" s="360"/>
      <c r="T24" s="359"/>
      <c r="U24" s="170"/>
      <c r="V24" s="360"/>
      <c r="W24" s="359"/>
      <c r="X24" s="170"/>
      <c r="Y24" s="360"/>
      <c r="Z24" s="35"/>
      <c r="AA24" s="35"/>
      <c r="AB24" s="3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16</v>
      </c>
      <c r="C25" s="345" t="s">
        <v>47</v>
      </c>
      <c r="D25" s="370">
        <v>96.67441860465116279069767442</v>
      </c>
      <c r="E25" s="172">
        <v>137.66876899696048632218844984</v>
      </c>
      <c r="F25" s="371">
        <v>133.49735760422783323546682325</v>
      </c>
      <c r="G25" s="370"/>
      <c r="H25" s="172"/>
      <c r="I25" s="371"/>
      <c r="J25" s="370"/>
      <c r="K25" s="172"/>
      <c r="L25" s="371"/>
      <c r="M25" s="370"/>
      <c r="N25" s="172"/>
      <c r="O25" s="371"/>
      <c r="P25" s="4"/>
      <c r="Q25" s="327"/>
      <c r="R25" s="171"/>
      <c r="S25" s="328"/>
      <c r="T25" s="327"/>
      <c r="U25" s="171"/>
      <c r="V25" s="328"/>
      <c r="W25" s="327"/>
      <c r="X25" s="171"/>
      <c r="Y25" s="328"/>
      <c r="Z25" s="36"/>
      <c r="AA25" s="36"/>
      <c r="AB25" s="32"/>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17</v>
      </c>
      <c r="C26" s="347" t="s">
        <v>48</v>
      </c>
      <c r="D26" s="378">
        <v>93.83050847457627118644067797</v>
      </c>
      <c r="E26" s="173">
        <v>141.4679063360881542699724518</v>
      </c>
      <c r="F26" s="379">
        <v>143.49758971612212104981253348</v>
      </c>
      <c r="G26" s="378"/>
      <c r="H26" s="173"/>
      <c r="I26" s="379"/>
      <c r="J26" s="378"/>
      <c r="K26" s="173"/>
      <c r="L26" s="379"/>
      <c r="M26" s="378"/>
      <c r="N26" s="173"/>
      <c r="O26" s="379"/>
      <c r="P26" s="4"/>
      <c r="Q26" s="359"/>
      <c r="R26" s="170"/>
      <c r="S26" s="360"/>
      <c r="T26" s="359"/>
      <c r="U26" s="170"/>
      <c r="V26" s="360"/>
      <c r="W26" s="359"/>
      <c r="X26" s="170"/>
      <c r="Y26" s="360"/>
      <c r="Z26" s="35"/>
      <c r="AA26" s="35"/>
      <c r="AB26" s="3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18</v>
      </c>
      <c r="C27" s="345" t="s">
        <v>50</v>
      </c>
      <c r="D27" s="370">
        <v>98.37288135593220338983050847</v>
      </c>
      <c r="E27" s="172">
        <v>136.92388976377952755905511812</v>
      </c>
      <c r="F27" s="371">
        <v>137.31412103746397694524495677</v>
      </c>
      <c r="G27" s="370"/>
      <c r="H27" s="172"/>
      <c r="I27" s="371"/>
      <c r="J27" s="370"/>
      <c r="K27" s="172"/>
      <c r="L27" s="371"/>
      <c r="M27" s="370"/>
      <c r="N27" s="172"/>
      <c r="O27" s="371"/>
      <c r="P27" s="4"/>
      <c r="Q27" s="327"/>
      <c r="R27" s="171"/>
      <c r="S27" s="328"/>
      <c r="T27" s="327"/>
      <c r="U27" s="171"/>
      <c r="V27" s="328"/>
      <c r="W27" s="327"/>
      <c r="X27" s="171"/>
      <c r="Y27" s="328"/>
      <c r="Z27" s="36"/>
      <c r="AA27" s="36"/>
      <c r="AB27" s="32"/>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19</v>
      </c>
      <c r="C28" s="347" t="s">
        <v>51</v>
      </c>
      <c r="D28" s="378">
        <v>96.54385964912280701754385965</v>
      </c>
      <c r="E28" s="173">
        <v>131.20566210045662100456621004</v>
      </c>
      <c r="F28" s="379">
        <v>129.11438892233594220349187237</v>
      </c>
      <c r="G28" s="378"/>
      <c r="H28" s="173"/>
      <c r="I28" s="379"/>
      <c r="J28" s="378"/>
      <c r="K28" s="173"/>
      <c r="L28" s="379"/>
      <c r="M28" s="378"/>
      <c r="N28" s="173"/>
      <c r="O28" s="379"/>
      <c r="P28" s="4"/>
      <c r="Q28" s="359"/>
      <c r="R28" s="170"/>
      <c r="S28" s="360"/>
      <c r="T28" s="359"/>
      <c r="U28" s="170"/>
      <c r="V28" s="360"/>
      <c r="W28" s="359"/>
      <c r="X28" s="170"/>
      <c r="Y28" s="360"/>
      <c r="Z28" s="35"/>
      <c r="AA28" s="35"/>
      <c r="AB28" s="3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20</v>
      </c>
      <c r="C29" s="345" t="s">
        <v>52</v>
      </c>
      <c r="D29" s="370">
        <v>109.56028368794326241134751773</v>
      </c>
      <c r="E29" s="172">
        <v>138.41991812865497076023391813</v>
      </c>
      <c r="F29" s="371">
        <v>132.35444330949948927477017365</v>
      </c>
      <c r="G29" s="370"/>
      <c r="H29" s="172"/>
      <c r="I29" s="371"/>
      <c r="J29" s="370"/>
      <c r="K29" s="172"/>
      <c r="L29" s="371"/>
      <c r="M29" s="370"/>
      <c r="N29" s="172"/>
      <c r="O29" s="371"/>
      <c r="P29" s="4"/>
      <c r="Q29" s="327"/>
      <c r="R29" s="171"/>
      <c r="S29" s="328"/>
      <c r="T29" s="327"/>
      <c r="U29" s="171"/>
      <c r="V29" s="328"/>
      <c r="W29" s="327"/>
      <c r="X29" s="171"/>
      <c r="Y29" s="328"/>
      <c r="Z29" s="36"/>
      <c r="AA29" s="36"/>
      <c r="AB29" s="32"/>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21</v>
      </c>
      <c r="C30" s="347" t="s">
        <v>53</v>
      </c>
      <c r="D30" s="378">
        <v>106.61151079136690647482014388</v>
      </c>
      <c r="E30" s="173">
        <v>139.00614849187935034802784223</v>
      </c>
      <c r="F30" s="379">
        <v>130.17330574236937403000517331</v>
      </c>
      <c r="G30" s="378"/>
      <c r="H30" s="173"/>
      <c r="I30" s="379"/>
      <c r="J30" s="378"/>
      <c r="K30" s="173"/>
      <c r="L30" s="379"/>
      <c r="M30" s="378"/>
      <c r="N30" s="173"/>
      <c r="O30" s="379"/>
      <c r="P30" s="4"/>
      <c r="Q30" s="359"/>
      <c r="R30" s="170"/>
      <c r="S30" s="360"/>
      <c r="T30" s="359"/>
      <c r="U30" s="170"/>
      <c r="V30" s="360"/>
      <c r="W30" s="359"/>
      <c r="X30" s="170"/>
      <c r="Y30" s="360"/>
      <c r="Z30" s="35"/>
      <c r="AA30" s="35"/>
      <c r="AB30" s="3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22</v>
      </c>
      <c r="C31" s="345" t="s">
        <v>49</v>
      </c>
      <c r="D31" s="370">
        <v>88.20454545454545454545454545</v>
      </c>
      <c r="E31" s="172">
        <v>134.99008810572687224669603523</v>
      </c>
      <c r="F31" s="371">
        <v>118.12403100775193798449612403</v>
      </c>
      <c r="G31" s="370"/>
      <c r="H31" s="172"/>
      <c r="I31" s="371"/>
      <c r="J31" s="370"/>
      <c r="K31" s="172"/>
      <c r="L31" s="371"/>
      <c r="M31" s="370"/>
      <c r="N31" s="172"/>
      <c r="O31" s="371"/>
      <c r="P31" s="4"/>
      <c r="Q31" s="327"/>
      <c r="R31" s="171"/>
      <c r="S31" s="328"/>
      <c r="T31" s="327"/>
      <c r="U31" s="171"/>
      <c r="V31" s="328"/>
      <c r="W31" s="327"/>
      <c r="X31" s="171"/>
      <c r="Y31" s="328"/>
      <c r="Z31" s="36"/>
      <c r="AA31" s="36"/>
      <c r="AB31" s="32"/>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23</v>
      </c>
      <c r="C32" s="347" t="s">
        <v>47</v>
      </c>
      <c r="D32" s="378">
        <v>98.77450980392156862745098039</v>
      </c>
      <c r="E32" s="173">
        <v>141.07851785714285714285714285</v>
      </c>
      <c r="F32" s="379">
        <v>130.73790322580645161290322581</v>
      </c>
      <c r="G32" s="378"/>
      <c r="H32" s="173"/>
      <c r="I32" s="379"/>
      <c r="J32" s="378"/>
      <c r="K32" s="173"/>
      <c r="L32" s="379"/>
      <c r="M32" s="378"/>
      <c r="N32" s="173"/>
      <c r="O32" s="379"/>
      <c r="P32" s="4"/>
      <c r="Q32" s="359"/>
      <c r="R32" s="170"/>
      <c r="S32" s="360"/>
      <c r="T32" s="359"/>
      <c r="U32" s="170"/>
      <c r="V32" s="360"/>
      <c r="W32" s="359"/>
      <c r="X32" s="170"/>
      <c r="Y32" s="360"/>
      <c r="Z32" s="35"/>
      <c r="AA32" s="35"/>
      <c r="AB32" s="3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24</v>
      </c>
      <c r="C33" s="345" t="s">
        <v>48</v>
      </c>
      <c r="D33" s="370">
        <v>99.56603773584905660377358491</v>
      </c>
      <c r="E33" s="172">
        <v>144.04239520958083832335329341</v>
      </c>
      <c r="F33" s="371">
        <v>141.46535181236673773987206823</v>
      </c>
      <c r="G33" s="370"/>
      <c r="H33" s="172"/>
      <c r="I33" s="371"/>
      <c r="J33" s="370"/>
      <c r="K33" s="172"/>
      <c r="L33" s="371"/>
      <c r="M33" s="370"/>
      <c r="N33" s="172"/>
      <c r="O33" s="371"/>
      <c r="P33" s="4"/>
      <c r="Q33" s="327"/>
      <c r="R33" s="171"/>
      <c r="S33" s="328"/>
      <c r="T33" s="327"/>
      <c r="U33" s="171"/>
      <c r="V33" s="328"/>
      <c r="W33" s="327"/>
      <c r="X33" s="171"/>
      <c r="Y33" s="328"/>
      <c r="Z33" s="36"/>
      <c r="AA33" s="36"/>
      <c r="AB33" s="32"/>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25</v>
      </c>
      <c r="C34" s="347" t="s">
        <v>50</v>
      </c>
      <c r="D34" s="378">
        <v>98.30841121495327102803738318</v>
      </c>
      <c r="E34" s="173">
        <v>146.02247104247104247104247105</v>
      </c>
      <c r="F34" s="379">
        <v>140.17082429501084598698481562</v>
      </c>
      <c r="G34" s="378"/>
      <c r="H34" s="173"/>
      <c r="I34" s="379"/>
      <c r="J34" s="378"/>
      <c r="K34" s="173"/>
      <c r="L34" s="379"/>
      <c r="M34" s="378"/>
      <c r="N34" s="173"/>
      <c r="O34" s="379"/>
      <c r="P34" s="4"/>
      <c r="Q34" s="359"/>
      <c r="R34" s="170"/>
      <c r="S34" s="360"/>
      <c r="T34" s="359"/>
      <c r="U34" s="170"/>
      <c r="V34" s="360"/>
      <c r="W34" s="359"/>
      <c r="X34" s="170"/>
      <c r="Y34" s="360"/>
      <c r="Z34" s="35"/>
      <c r="AA34" s="35"/>
      <c r="AB34" s="3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26</v>
      </c>
      <c r="C35" s="345" t="s">
        <v>51</v>
      </c>
      <c r="D35" s="370">
        <v>99.72602739726027397260273973</v>
      </c>
      <c r="E35" s="172">
        <v>153.67954397394136807817589578</v>
      </c>
      <c r="F35" s="371">
        <v>129.1979418886198547215496368</v>
      </c>
      <c r="G35" s="370"/>
      <c r="H35" s="172"/>
      <c r="I35" s="371"/>
      <c r="J35" s="370"/>
      <c r="K35" s="172"/>
      <c r="L35" s="371"/>
      <c r="M35" s="370"/>
      <c r="N35" s="172"/>
      <c r="O35" s="371"/>
      <c r="P35" s="4"/>
      <c r="Q35" s="327"/>
      <c r="R35" s="171"/>
      <c r="S35" s="328"/>
      <c r="T35" s="327"/>
      <c r="U35" s="171"/>
      <c r="V35" s="328"/>
      <c r="W35" s="327"/>
      <c r="X35" s="171"/>
      <c r="Y35" s="328"/>
      <c r="Z35" s="36"/>
      <c r="AA35" s="36"/>
      <c r="AB35" s="32"/>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27</v>
      </c>
      <c r="C36" s="347" t="s">
        <v>52</v>
      </c>
      <c r="D36" s="378">
        <v>111.69672131147540983606557377</v>
      </c>
      <c r="E36" s="173">
        <v>139.84824836601307189542483661</v>
      </c>
      <c r="F36" s="379">
        <v>121.75192421551213735938425104</v>
      </c>
      <c r="G36" s="378"/>
      <c r="H36" s="173"/>
      <c r="I36" s="379"/>
      <c r="J36" s="378"/>
      <c r="K36" s="173"/>
      <c r="L36" s="379"/>
      <c r="M36" s="378"/>
      <c r="N36" s="173"/>
      <c r="O36" s="379"/>
      <c r="P36" s="4"/>
      <c r="Q36" s="359"/>
      <c r="R36" s="170"/>
      <c r="S36" s="360"/>
      <c r="T36" s="359"/>
      <c r="U36" s="170"/>
      <c r="V36" s="360"/>
      <c r="W36" s="359"/>
      <c r="X36" s="170"/>
      <c r="Y36" s="360"/>
      <c r="Z36" s="35"/>
      <c r="AA36" s="35"/>
      <c r="AB36" s="3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28</v>
      </c>
      <c r="C37" s="349" t="s">
        <v>53</v>
      </c>
      <c r="D37" s="380">
        <v>99.84112149532710280373831776</v>
      </c>
      <c r="E37" s="383">
        <v>134.91435173299101412066752247</v>
      </c>
      <c r="F37" s="381">
        <v>121.39100562148657089319175515</v>
      </c>
      <c r="G37" s="380"/>
      <c r="H37" s="383"/>
      <c r="I37" s="381"/>
      <c r="J37" s="380"/>
      <c r="K37" s="383"/>
      <c r="L37" s="381"/>
      <c r="M37" s="380"/>
      <c r="N37" s="383"/>
      <c r="O37" s="381"/>
      <c r="P37" s="4"/>
      <c r="Q37" s="329"/>
      <c r="R37" s="330"/>
      <c r="S37" s="332"/>
      <c r="T37" s="329"/>
      <c r="U37" s="330"/>
      <c r="V37" s="332"/>
      <c r="W37" s="329"/>
      <c r="X37" s="330"/>
      <c r="Y37" s="332"/>
      <c r="Z37" s="37"/>
      <c r="AA37" s="37"/>
      <c r="AB37" s="33"/>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95.800000000</v>
      </c>
      <c r="E39" s="382">
        <v>126.72204370939161252215002954</v>
      </c>
      <c r="F39" s="375">
        <v>115.24223221586263286999182339</v>
      </c>
      <c r="G39" s="374"/>
      <c r="H39" s="382"/>
      <c r="I39" s="375"/>
      <c r="J39" s="374"/>
      <c r="K39" s="382"/>
      <c r="L39" s="375"/>
      <c r="M39" s="374"/>
      <c r="N39" s="382"/>
      <c r="O39" s="375"/>
      <c r="P39" s="4"/>
      <c r="Q39" s="354"/>
      <c r="R39" s="355"/>
      <c r="S39" s="356"/>
      <c r="T39" s="354"/>
      <c r="U39" s="355"/>
      <c r="V39" s="356"/>
      <c r="W39" s="354"/>
      <c r="X39" s="355"/>
      <c r="Y39" s="356"/>
      <c r="Z39" s="38"/>
      <c r="AA39" s="38"/>
      <c r="AB39" s="3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101.34408602150537634408602151</v>
      </c>
      <c r="E40" s="172">
        <v>138.90943790849673202614379084</v>
      </c>
      <c r="F40" s="371">
        <v>131.87036763620256902406614499</v>
      </c>
      <c r="G40" s="370"/>
      <c r="H40" s="172"/>
      <c r="I40" s="371"/>
      <c r="J40" s="370"/>
      <c r="K40" s="172"/>
      <c r="L40" s="371"/>
      <c r="M40" s="370"/>
      <c r="N40" s="172"/>
      <c r="O40" s="371"/>
      <c r="P40" s="4"/>
      <c r="Q40" s="327"/>
      <c r="R40" s="171"/>
      <c r="S40" s="328"/>
      <c r="T40" s="327"/>
      <c r="U40" s="171"/>
      <c r="V40" s="328"/>
      <c r="W40" s="327"/>
      <c r="X40" s="171"/>
      <c r="Y40" s="328"/>
      <c r="Z40" s="36"/>
      <c r="AA40" s="36"/>
      <c r="AB40" s="32"/>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102.64678899082568807339449541</v>
      </c>
      <c r="E41" s="173">
        <v>142.84069818181818181818181818</v>
      </c>
      <c r="F41" s="379">
        <v>141.19211364843335103558151885</v>
      </c>
      <c r="G41" s="378"/>
      <c r="H41" s="173"/>
      <c r="I41" s="379"/>
      <c r="J41" s="378"/>
      <c r="K41" s="173"/>
      <c r="L41" s="379"/>
      <c r="M41" s="378"/>
      <c r="N41" s="173"/>
      <c r="O41" s="379"/>
      <c r="P41" s="4"/>
      <c r="Q41" s="359"/>
      <c r="R41" s="170"/>
      <c r="S41" s="360"/>
      <c r="T41" s="359"/>
      <c r="U41" s="170"/>
      <c r="V41" s="360"/>
      <c r="W41" s="359"/>
      <c r="X41" s="170"/>
      <c r="Y41" s="360"/>
      <c r="Z41" s="35"/>
      <c r="AA41" s="35"/>
      <c r="AB41" s="3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106.69662921348314606741573034</v>
      </c>
      <c r="E42" s="172">
        <v>141.60270463847203274215552524</v>
      </c>
      <c r="F42" s="371">
        <v>139.04141274238227146814404432</v>
      </c>
      <c r="G42" s="370"/>
      <c r="H42" s="172"/>
      <c r="I42" s="371"/>
      <c r="J42" s="370"/>
      <c r="K42" s="172"/>
      <c r="L42" s="371"/>
      <c r="M42" s="370"/>
      <c r="N42" s="172"/>
      <c r="O42" s="371"/>
      <c r="P42" s="4"/>
      <c r="Q42" s="327"/>
      <c r="R42" s="171"/>
      <c r="S42" s="328"/>
      <c r="T42" s="327"/>
      <c r="U42" s="171"/>
      <c r="V42" s="328"/>
      <c r="W42" s="327"/>
      <c r="X42" s="171"/>
      <c r="Y42" s="328"/>
      <c r="Z42" s="36"/>
      <c r="AA42" s="36"/>
      <c r="AB42" s="32"/>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108.69642857142857142857142857</v>
      </c>
      <c r="E43" s="173">
        <v>138.55950230280282105779720083</v>
      </c>
      <c r="F43" s="379">
        <v>128.87555293423768799764081392</v>
      </c>
      <c r="G43" s="378"/>
      <c r="H43" s="173"/>
      <c r="I43" s="379"/>
      <c r="J43" s="378"/>
      <c r="K43" s="173"/>
      <c r="L43" s="379"/>
      <c r="M43" s="378"/>
      <c r="N43" s="173"/>
      <c r="O43" s="379"/>
      <c r="P43" s="4"/>
      <c r="Q43" s="359"/>
      <c r="R43" s="170"/>
      <c r="S43" s="360"/>
      <c r="T43" s="359"/>
      <c r="U43" s="170"/>
      <c r="V43" s="360"/>
      <c r="W43" s="359"/>
      <c r="X43" s="170"/>
      <c r="Y43" s="360"/>
      <c r="Z43" s="35"/>
      <c r="AA43" s="35"/>
      <c r="AB43" s="31"/>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110.66112266112266112266112266</v>
      </c>
      <c r="E44" s="172">
        <v>137.43785871271585557299843014</v>
      </c>
      <c r="F44" s="371">
        <v>126.49435854575846218136230673</v>
      </c>
      <c r="G44" s="370"/>
      <c r="H44" s="172"/>
      <c r="I44" s="371"/>
      <c r="J44" s="370"/>
      <c r="K44" s="172"/>
      <c r="L44" s="371"/>
      <c r="M44" s="370"/>
      <c r="N44" s="172"/>
      <c r="O44" s="371"/>
      <c r="P44" s="4"/>
      <c r="Q44" s="327"/>
      <c r="R44" s="171"/>
      <c r="S44" s="328"/>
      <c r="T44" s="327"/>
      <c r="U44" s="171"/>
      <c r="V44" s="328"/>
      <c r="W44" s="327"/>
      <c r="X44" s="171"/>
      <c r="Y44" s="328"/>
      <c r="Z44" s="36"/>
      <c r="AA44" s="36"/>
      <c r="AB44" s="32"/>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106.54014598540145985401459854</v>
      </c>
      <c r="E45" s="385">
        <v>135.85359354413702239789196311</v>
      </c>
      <c r="F45" s="386">
        <v>125.85399250504468146439896224</v>
      </c>
      <c r="G45" s="384"/>
      <c r="H45" s="385"/>
      <c r="I45" s="386"/>
      <c r="J45" s="384"/>
      <c r="K45" s="385"/>
      <c r="L45" s="386"/>
      <c r="M45" s="384"/>
      <c r="N45" s="385"/>
      <c r="O45" s="386"/>
      <c r="P45" s="4"/>
      <c r="Q45" s="364"/>
      <c r="R45" s="365"/>
      <c r="S45" s="366"/>
      <c r="T45" s="364"/>
      <c r="U45" s="365"/>
      <c r="V45" s="366"/>
      <c r="W45" s="364"/>
      <c r="X45" s="365"/>
      <c r="Y45" s="366"/>
      <c r="Z45" s="56"/>
      <c r="AA45" s="56"/>
      <c r="AB45" s="55"/>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100.78517397881996974281391831</v>
      </c>
      <c r="E47" s="382">
        <v>142.35440396452832131211157067</v>
      </c>
      <c r="F47" s="375">
        <v>129.75924024640657084188911704</v>
      </c>
      <c r="G47" s="374"/>
      <c r="H47" s="382"/>
      <c r="I47" s="375"/>
      <c r="J47" s="374"/>
      <c r="K47" s="382"/>
      <c r="L47" s="375"/>
      <c r="M47" s="374"/>
      <c r="N47" s="382"/>
      <c r="O47" s="375"/>
      <c r="P47" s="4"/>
      <c r="Q47" s="354"/>
      <c r="R47" s="355"/>
      <c r="S47" s="356"/>
      <c r="T47" s="354"/>
      <c r="U47" s="355"/>
      <c r="V47" s="356"/>
      <c r="W47" s="354"/>
      <c r="X47" s="355"/>
      <c r="Y47" s="356"/>
      <c r="Z47" s="38"/>
      <c r="AA47" s="38"/>
      <c r="AB47" s="3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105.75860443187175860443187176</v>
      </c>
      <c r="E48" s="172">
        <v>138.00689927387885172155639033</v>
      </c>
      <c r="F48" s="371">
        <v>130.60218530729562938540874123</v>
      </c>
      <c r="G48" s="370"/>
      <c r="H48" s="172"/>
      <c r="I48" s="371"/>
      <c r="J48" s="370"/>
      <c r="K48" s="172"/>
      <c r="L48" s="371"/>
      <c r="M48" s="370"/>
      <c r="N48" s="172"/>
      <c r="O48" s="371"/>
      <c r="P48" s="4"/>
      <c r="Q48" s="327"/>
      <c r="R48" s="171"/>
      <c r="S48" s="328"/>
      <c r="T48" s="327"/>
      <c r="U48" s="171"/>
      <c r="V48" s="328"/>
      <c r="W48" s="327"/>
      <c r="X48" s="171"/>
      <c r="Y48" s="328"/>
      <c r="Z48" s="36"/>
      <c r="AA48" s="36"/>
      <c r="AB48" s="32"/>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105.75860443187175860443187176</v>
      </c>
      <c r="E49" s="385">
        <v>138.00689927387885172155639033</v>
      </c>
      <c r="F49" s="386">
        <v>130.60218530729562938540874123</v>
      </c>
      <c r="G49" s="384"/>
      <c r="H49" s="385"/>
      <c r="I49" s="386"/>
      <c r="J49" s="384"/>
      <c r="K49" s="385"/>
      <c r="L49" s="386"/>
      <c r="M49" s="384"/>
      <c r="N49" s="385"/>
      <c r="O49" s="386"/>
      <c r="P49" s="4"/>
      <c r="Q49" s="364"/>
      <c r="R49" s="365"/>
      <c r="S49" s="366"/>
      <c r="T49" s="364"/>
      <c r="U49" s="365"/>
      <c r="V49" s="366"/>
      <c r="W49" s="364"/>
      <c r="X49" s="365"/>
      <c r="Y49" s="366"/>
      <c r="Z49" s="56"/>
      <c r="AA49" s="56"/>
      <c r="AB49" s="55"/>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15">
      <c r="D51" s="6" t="s">
        <v>95</v>
      </c>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9.95" customHeight="1">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s="100" customFormat="1" ht="24.95" customHeight="1">
      <c r="D53" s="655" t="s">
        <v>114</v>
      </c>
      <c r="E53" s="655"/>
      <c r="F53" s="655"/>
      <c r="G53" s="655"/>
      <c r="H53" s="655"/>
      <c r="I53" s="655"/>
      <c r="J53" s="655"/>
      <c r="K53" s="655"/>
      <c r="L53" s="655"/>
      <c r="M53" s="655"/>
      <c r="N53" s="655"/>
      <c r="O53" s="655"/>
      <c r="P53" s="655"/>
      <c r="Q53" s="655"/>
      <c r="R53" s="655"/>
      <c r="S53" s="655"/>
      <c r="T53" s="655"/>
      <c r="U53" s="655"/>
      <c r="V53" s="655"/>
      <c r="W53" s="655"/>
      <c r="X53" s="655"/>
      <c r="Y53" s="655"/>
      <c r="Z53" s="426"/>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Z8:AB8"/>
    <mergeCell ref="D53:Y53"/>
    <mergeCell ref="Q4:X4"/>
    <mergeCell ref="D7:O7"/>
    <mergeCell ref="Q7:AB7"/>
    <mergeCell ref="D8:F8"/>
    <mergeCell ref="G8:I8"/>
    <mergeCell ref="J8:L8"/>
    <mergeCell ref="M8:O8"/>
    <mergeCell ref="Q8:S8"/>
    <mergeCell ref="T8:V8"/>
    <mergeCell ref="W8:Y8"/>
  </mergeCells>
  <phoneticPr fontId="0" type="noConversion"/>
  <printOptions horizontalCentered="1" verticalCentered="1"/>
  <pageMargins left="0.25" right="0.25" top="0.25" bottom="0.25" header="0.25" footer="0.28"/>
  <pageSetup scale="65" orientation="landscape" r:id="rId1"/>
  <headerFooter alignWithMargins="0">
    <oddHeader/>
    <oddFooter/>
  </headerFooter>
  <drawing r:id="rId46"/>
</worksheet>
</file>

<file path=xl/worksheets/sheet4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F148"/>
  <sheetViews>
    <sheetView showGridLines="0" zoomScale="80" workbookViewId="0"/>
  </sheetViews>
  <sheetFormatPr defaultRowHeight="12.75"/>
  <cols>
    <col min="1" max="1" width="1" customWidth="1"/>
    <col min="2" max="2" width="1.28515625" style="21" customWidth="1"/>
    <col min="3" max="3" width="8.28515625" customWidth="1"/>
    <col min="4" max="4" width="51.5703125" customWidth="1"/>
    <col min="5" max="5" width="23.7109375" customWidth="1"/>
    <col min="6" max="6" width="11.7109375" customWidth="1"/>
    <col min="7" max="7" width="14.7109375" customWidth="1"/>
    <col min="8" max="8" width="7.7109375" customWidth="1"/>
    <col min="9" max="38" width="2.7109375" customWidth="1"/>
    <col min="39" max="69" width="2.42578125" customWidth="1"/>
  </cols>
  <sheetData>
    <row r="1" ht="23.25" customHeight="1">
      <c r="B1" s="5" t="s">
        <v>134</v>
      </c>
      <c r="D1" s="5"/>
      <c r="E1" s="5"/>
      <c r="F1" s="5"/>
      <c r="G1" s="5"/>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row>
    <row r="2" ht="15" customHeight="1">
      <c r="C2" s="99" t="s">
        <v>141</v>
      </c>
      <c r="D2" s="100"/>
      <c r="E2" s="100"/>
      <c r="F2" s="100"/>
      <c r="G2" s="100"/>
      <c r="AS2" s="244"/>
      <c r="AT2" s="244"/>
      <c r="AU2" s="244"/>
      <c r="AV2" s="244"/>
      <c r="AW2" s="244"/>
      <c r="AX2" s="244"/>
      <c r="AY2" s="244"/>
      <c r="AZ2" s="244"/>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row>
    <row r="3" ht="15" customHeight="1">
      <c r="C3" s="99" t="s">
        <v>142</v>
      </c>
      <c r="D3" s="100"/>
      <c r="E3" s="100"/>
      <c r="F3" s="100"/>
      <c r="G3" s="100"/>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row>
    <row r="4" ht="15" customHeight="1">
      <c r="C4" s="0" t="s">
        <v>161</v>
      </c>
      <c r="D4" s="100"/>
      <c r="E4" s="100"/>
      <c r="F4" s="100"/>
      <c r="G4" s="100"/>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row>
    <row r="5" ht="21" customHeight="1">
      <c r="B5" s="101" t="s">
        <v>7</v>
      </c>
      <c r="D5" s="102"/>
      <c r="H5" s="685" t="s">
        <v>199</v>
      </c>
      <c r="I5" s="685"/>
      <c r="J5" s="685"/>
      <c r="K5" s="685"/>
      <c r="L5" s="685"/>
      <c r="M5" s="685"/>
      <c r="N5" s="685"/>
      <c r="O5" s="685"/>
      <c r="P5" s="685"/>
      <c r="Q5" s="685"/>
      <c r="R5" s="685"/>
      <c r="S5" s="685"/>
      <c r="T5" s="685"/>
      <c r="U5" s="685"/>
      <c r="V5" s="685"/>
      <c r="AB5" s="685" t="s">
        <v>201</v>
      </c>
      <c r="AC5" s="685"/>
      <c r="AD5" s="685"/>
      <c r="AE5" s="685"/>
      <c r="AF5" s="685"/>
      <c r="AG5" s="685"/>
      <c r="AH5" s="685"/>
      <c r="AI5" s="685"/>
      <c r="AJ5" s="685"/>
      <c r="AK5" s="685"/>
      <c r="AL5" s="685"/>
      <c r="AM5" s="685"/>
      <c r="AN5" s="685"/>
      <c r="AO5" s="685"/>
      <c r="AP5" s="685"/>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row>
    <row r="6" ht="12.75" customHeight="1">
      <c r="C6" s="30" t="s">
        <v>203</v>
      </c>
      <c r="D6" s="104" t="s">
        <v>204</v>
      </c>
      <c r="I6" s="686" t="s">
        <v>0</v>
      </c>
      <c r="J6" s="686"/>
      <c r="K6" s="686" t="s">
        <v>1</v>
      </c>
      <c r="L6" s="686"/>
      <c r="M6" s="686" t="s">
        <v>2</v>
      </c>
      <c r="N6" s="686"/>
      <c r="O6" s="686" t="s">
        <v>3</v>
      </c>
      <c r="P6" s="686"/>
      <c r="Q6" s="686" t="s">
        <v>4</v>
      </c>
      <c r="R6" s="686"/>
      <c r="S6" s="686" t="s">
        <v>5</v>
      </c>
      <c r="T6" s="686"/>
      <c r="U6" s="686" t="s">
        <v>6</v>
      </c>
      <c r="V6" s="686"/>
      <c r="AC6" s="686" t="s">
        <v>0</v>
      </c>
      <c r="AD6" s="686"/>
      <c r="AE6" s="686" t="s">
        <v>1</v>
      </c>
      <c r="AF6" s="686"/>
      <c r="AG6" s="686" t="s">
        <v>2</v>
      </c>
      <c r="AH6" s="686"/>
      <c r="AI6" s="686" t="s">
        <v>3</v>
      </c>
      <c r="AJ6" s="686"/>
      <c r="AK6" s="686" t="s">
        <v>4</v>
      </c>
      <c r="AL6" s="686"/>
      <c r="AM6" s="686" t="s">
        <v>5</v>
      </c>
      <c r="AN6" s="686"/>
      <c r="AO6" s="686" t="s">
        <v>6</v>
      </c>
      <c r="AP6" s="686"/>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row>
    <row r="7" ht="12.75" customHeight="1">
      <c r="C7" s="105" t="s">
        <v>205</v>
      </c>
      <c r="D7" s="104" t="s">
        <v>206</v>
      </c>
      <c r="E7" s="104"/>
      <c r="F7" s="104"/>
      <c r="G7" s="104"/>
      <c r="H7" s="97" t="s">
        <v>200</v>
      </c>
      <c r="I7" s="687">
        <v>18</v>
      </c>
      <c r="J7" s="687"/>
      <c r="K7" s="688">
        <v>19</v>
      </c>
      <c r="L7" s="688"/>
      <c r="M7" s="688">
        <v>20</v>
      </c>
      <c r="N7" s="688"/>
      <c r="O7" s="688">
        <v>21</v>
      </c>
      <c r="P7" s="688"/>
      <c r="Q7" s="688">
        <v>22</v>
      </c>
      <c r="R7" s="688"/>
      <c r="S7" s="688">
        <v>23</v>
      </c>
      <c r="T7" s="688"/>
      <c r="U7" s="689">
        <v>24</v>
      </c>
      <c r="V7" s="689"/>
      <c r="Y7" s="3"/>
      <c r="AB7" s="97" t="s">
        <v>200</v>
      </c>
      <c r="AC7" s="687">
        <v>19</v>
      </c>
      <c r="AD7" s="687"/>
      <c r="AE7" s="688">
        <v>20</v>
      </c>
      <c r="AF7" s="688"/>
      <c r="AG7" s="688">
        <v>21</v>
      </c>
      <c r="AH7" s="688"/>
      <c r="AI7" s="688">
        <v>22</v>
      </c>
      <c r="AJ7" s="688"/>
      <c r="AK7" s="688">
        <v>23</v>
      </c>
      <c r="AL7" s="688"/>
      <c r="AM7" s="688">
        <v>24</v>
      </c>
      <c r="AN7" s="688"/>
      <c r="AO7" s="689">
        <v>25</v>
      </c>
      <c r="AP7" s="689"/>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row>
    <row r="8" ht="12.75" customHeight="1">
      <c r="C8" t="s">
        <v>207</v>
      </c>
      <c r="D8" t="s">
        <v>208</v>
      </c>
      <c r="H8" s="97" t="s">
        <v>200</v>
      </c>
      <c r="I8" s="690">
        <v>25</v>
      </c>
      <c r="J8" s="690"/>
      <c r="K8" s="691">
        <v>26</v>
      </c>
      <c r="L8" s="691"/>
      <c r="M8" s="691">
        <v>27</v>
      </c>
      <c r="N8" s="691"/>
      <c r="O8" s="691">
        <v>28</v>
      </c>
      <c r="P8" s="691"/>
      <c r="Q8" s="691">
        <v>29</v>
      </c>
      <c r="R8" s="691"/>
      <c r="S8" s="691">
        <v>30</v>
      </c>
      <c r="T8" s="691"/>
      <c r="U8" s="692">
        <v>31</v>
      </c>
      <c r="V8" s="692"/>
      <c r="Y8" s="3"/>
      <c r="AB8" s="97" t="s">
        <v>202</v>
      </c>
      <c r="AC8" s="690">
        <v>26</v>
      </c>
      <c r="AD8" s="690"/>
      <c r="AE8" s="691">
        <v>27</v>
      </c>
      <c r="AF8" s="691"/>
      <c r="AG8" s="691">
        <v>28</v>
      </c>
      <c r="AH8" s="691"/>
      <c r="AI8" s="691">
        <v>29</v>
      </c>
      <c r="AJ8" s="691"/>
      <c r="AK8" s="691">
        <v>30</v>
      </c>
      <c r="AL8" s="691"/>
      <c r="AM8" s="691">
        <v>31</v>
      </c>
      <c r="AN8" s="691"/>
      <c r="AO8" s="692">
        <v>1</v>
      </c>
      <c r="AP8" s="692"/>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row>
    <row r="9" ht="12.75" customHeight="1">
      <c r="H9" s="97" t="s">
        <v>145</v>
      </c>
      <c r="I9" s="693">
        <v>1</v>
      </c>
      <c r="J9" s="693"/>
      <c r="K9" s="694">
        <v>2</v>
      </c>
      <c r="L9" s="694"/>
      <c r="M9" s="694">
        <v>3</v>
      </c>
      <c r="N9" s="694"/>
      <c r="O9" s="694">
        <v>4</v>
      </c>
      <c r="P9" s="694"/>
      <c r="Q9" s="694">
        <v>5</v>
      </c>
      <c r="R9" s="694"/>
      <c r="S9" s="694">
        <v>6</v>
      </c>
      <c r="T9" s="694"/>
      <c r="U9" s="695">
        <v>7</v>
      </c>
      <c r="V9" s="695"/>
      <c r="Y9" s="3"/>
      <c r="AB9" s="97" t="s">
        <v>145</v>
      </c>
      <c r="AC9" s="693">
        <v>2</v>
      </c>
      <c r="AD9" s="693"/>
      <c r="AE9" s="694">
        <v>3</v>
      </c>
      <c r="AF9" s="694"/>
      <c r="AG9" s="694">
        <v>4</v>
      </c>
      <c r="AH9" s="694"/>
      <c r="AI9" s="694">
        <v>5</v>
      </c>
      <c r="AJ9" s="694"/>
      <c r="AK9" s="694">
        <v>6</v>
      </c>
      <c r="AL9" s="694"/>
      <c r="AM9" s="694">
        <v>7</v>
      </c>
      <c r="AN9" s="694"/>
      <c r="AO9" s="695">
        <v>8</v>
      </c>
      <c r="AP9" s="695"/>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row>
    <row r="10" ht="12.75" customHeight="1">
      <c r="H10" s="97" t="s">
        <v>145</v>
      </c>
      <c r="I10" s="690">
        <v>8</v>
      </c>
      <c r="J10" s="690"/>
      <c r="K10" s="691">
        <v>9</v>
      </c>
      <c r="L10" s="691"/>
      <c r="M10" s="691">
        <v>10</v>
      </c>
      <c r="N10" s="691"/>
      <c r="O10" s="691">
        <v>11</v>
      </c>
      <c r="P10" s="691"/>
      <c r="Q10" s="691">
        <v>12</v>
      </c>
      <c r="R10" s="691"/>
      <c r="S10" s="691">
        <v>13</v>
      </c>
      <c r="T10" s="691"/>
      <c r="U10" s="692">
        <v>14</v>
      </c>
      <c r="V10" s="692"/>
      <c r="Y10" s="3"/>
      <c r="AB10" s="97" t="s">
        <v>145</v>
      </c>
      <c r="AC10" s="690">
        <v>9</v>
      </c>
      <c r="AD10" s="690"/>
      <c r="AE10" s="691">
        <v>10</v>
      </c>
      <c r="AF10" s="691"/>
      <c r="AG10" s="691">
        <v>11</v>
      </c>
      <c r="AH10" s="691"/>
      <c r="AI10" s="691">
        <v>12</v>
      </c>
      <c r="AJ10" s="691"/>
      <c r="AK10" s="691">
        <v>13</v>
      </c>
      <c r="AL10" s="691"/>
      <c r="AM10" s="691">
        <v>14</v>
      </c>
      <c r="AN10" s="691"/>
      <c r="AO10" s="692">
        <v>15</v>
      </c>
      <c r="AP10" s="692"/>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row>
    <row r="11" ht="12.75" customHeight="1">
      <c r="A11" s="101"/>
      <c r="H11" s="97" t="s">
        <v>145</v>
      </c>
      <c r="I11" s="693">
        <v>15</v>
      </c>
      <c r="J11" s="693"/>
      <c r="K11" s="694">
        <v>16</v>
      </c>
      <c r="L11" s="694"/>
      <c r="M11" s="694">
        <v>17</v>
      </c>
      <c r="N11" s="694"/>
      <c r="O11" s="694">
        <v>18</v>
      </c>
      <c r="P11" s="694"/>
      <c r="Q11" s="694">
        <v>19</v>
      </c>
      <c r="R11" s="694"/>
      <c r="S11" s="694">
        <v>20</v>
      </c>
      <c r="T11" s="694"/>
      <c r="U11" s="695">
        <v>21</v>
      </c>
      <c r="V11" s="695"/>
      <c r="Y11" s="3"/>
      <c r="AB11" s="97" t="s">
        <v>145</v>
      </c>
      <c r="AC11" s="693">
        <v>16</v>
      </c>
      <c r="AD11" s="693"/>
      <c r="AE11" s="694">
        <v>17</v>
      </c>
      <c r="AF11" s="694"/>
      <c r="AG11" s="694">
        <v>18</v>
      </c>
      <c r="AH11" s="694"/>
      <c r="AI11" s="694">
        <v>19</v>
      </c>
      <c r="AJ11" s="694"/>
      <c r="AK11" s="694">
        <v>20</v>
      </c>
      <c r="AL11" s="694"/>
      <c r="AM11" s="694">
        <v>21</v>
      </c>
      <c r="AN11" s="694"/>
      <c r="AO11" s="695">
        <v>22</v>
      </c>
      <c r="AP11" s="695"/>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row>
    <row r="12" ht="12.75" customHeight="1">
      <c r="C12" s="30"/>
      <c r="D12" s="106"/>
      <c r="E12" s="106"/>
      <c r="F12" s="106"/>
      <c r="G12" s="106"/>
      <c r="H12" s="97" t="s">
        <v>145</v>
      </c>
      <c r="I12" s="696">
        <v>22</v>
      </c>
      <c r="J12" s="696"/>
      <c r="K12" s="697">
        <v>23</v>
      </c>
      <c r="L12" s="697"/>
      <c r="M12" s="697">
        <v>24</v>
      </c>
      <c r="N12" s="697"/>
      <c r="O12" s="697">
        <v>25</v>
      </c>
      <c r="P12" s="697"/>
      <c r="Q12" s="697">
        <v>26</v>
      </c>
      <c r="R12" s="697"/>
      <c r="S12" s="697">
        <v>27</v>
      </c>
      <c r="T12" s="697"/>
      <c r="U12" s="698">
        <v>28</v>
      </c>
      <c r="V12" s="698"/>
      <c r="Y12" s="3"/>
      <c r="AB12" s="97" t="s">
        <v>145</v>
      </c>
      <c r="AC12" s="696">
        <v>23</v>
      </c>
      <c r="AD12" s="696"/>
      <c r="AE12" s="697">
        <v>24</v>
      </c>
      <c r="AF12" s="697"/>
      <c r="AG12" s="697">
        <v>25</v>
      </c>
      <c r="AH12" s="697"/>
      <c r="AI12" s="697">
        <v>26</v>
      </c>
      <c r="AJ12" s="697"/>
      <c r="AK12" s="697">
        <v>27</v>
      </c>
      <c r="AL12" s="697"/>
      <c r="AM12" s="697">
        <v>28</v>
      </c>
      <c r="AN12" s="697"/>
      <c r="AO12" s="698">
        <v>29</v>
      </c>
      <c r="AP12" s="698"/>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row>
    <row r="13" ht="12.75" customHeight="1">
      <c r="A13" s="101"/>
      <c r="B13" s="101" t="s">
        <v>8</v>
      </c>
      <c r="H13" s="97"/>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row>
    <row r="14" ht="12.75" customHeight="1">
      <c r="C14" s="30" t="s">
        <v>209</v>
      </c>
      <c r="D14" s="106" t="s">
        <v>204</v>
      </c>
      <c r="H14" s="97"/>
      <c r="O14" s="699"/>
      <c r="P14" s="699"/>
      <c r="Q14" s="699"/>
      <c r="R14" s="699"/>
      <c r="S14" s="699"/>
      <c r="T14" s="699"/>
      <c r="U14" s="699"/>
      <c r="W14" s="699"/>
      <c r="X14" s="699"/>
      <c r="Y14" s="699"/>
      <c r="Z14" s="699"/>
      <c r="AA14" s="699"/>
      <c r="AB14" s="699"/>
      <c r="AC14" s="699"/>
      <c r="AE14" s="699"/>
      <c r="AF14" s="699"/>
      <c r="AG14" s="699"/>
      <c r="AH14" s="699"/>
      <c r="AI14" s="699"/>
      <c r="AJ14" s="699"/>
      <c r="AK14" s="699"/>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row>
    <row r="15" ht="12.75" customHeight="1">
      <c r="C15" s="30" t="s">
        <v>210</v>
      </c>
      <c r="D15" s="104" t="s">
        <v>206</v>
      </c>
      <c r="H15" s="97"/>
      <c r="O15" s="21"/>
      <c r="P15" s="21"/>
      <c r="Q15" s="21"/>
      <c r="R15" s="21"/>
      <c r="S15" s="21"/>
      <c r="T15" s="21"/>
      <c r="U15" s="21"/>
      <c r="W15" s="21"/>
      <c r="X15" s="21"/>
      <c r="Y15" s="21"/>
      <c r="Z15" s="21"/>
      <c r="AA15" s="21"/>
      <c r="AB15" s="21"/>
      <c r="AC15" s="21"/>
      <c r="AE15" s="21"/>
      <c r="AF15" s="21"/>
      <c r="AG15" s="21"/>
      <c r="AH15" s="21"/>
      <c r="AI15" s="21"/>
      <c r="AJ15" s="21"/>
      <c r="AK15" s="21"/>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row>
    <row r="16" ht="12.75" customHeight="1">
      <c r="C16" s="105" t="s">
        <v>211</v>
      </c>
      <c r="D16" s="104" t="s">
        <v>208</v>
      </c>
      <c r="H16" s="97"/>
      <c r="O16" s="21"/>
      <c r="P16" s="21"/>
      <c r="Q16" s="21"/>
      <c r="R16" s="21"/>
      <c r="S16" s="21"/>
      <c r="T16" s="21"/>
      <c r="U16" s="21"/>
      <c r="W16" s="21"/>
      <c r="X16" s="21"/>
      <c r="Y16" s="21"/>
      <c r="Z16" s="21"/>
      <c r="AA16" s="21"/>
      <c r="AB16" s="21"/>
      <c r="AC16" s="21"/>
      <c r="AE16" s="21"/>
      <c r="AF16" s="21"/>
      <c r="AG16" s="21"/>
      <c r="AH16" s="21"/>
      <c r="AI16" s="21"/>
      <c r="AJ16" s="21"/>
      <c r="AK16" s="21"/>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row>
    <row r="17" ht="12.75" customHeight="1">
      <c r="C17" s="105" t="s">
        <v>212</v>
      </c>
      <c r="D17" s="104" t="s">
        <v>213</v>
      </c>
      <c r="H17" s="97"/>
      <c r="O17" s="21"/>
      <c r="P17" s="21"/>
      <c r="Q17" s="21"/>
      <c r="R17" s="21"/>
      <c r="S17" s="21"/>
      <c r="T17" s="21"/>
      <c r="U17" s="21"/>
      <c r="W17" s="21"/>
      <c r="X17" s="21"/>
      <c r="Y17" s="21"/>
      <c r="Z17" s="21"/>
      <c r="AA17" s="21"/>
      <c r="AB17" s="21"/>
      <c r="AC17" s="21"/>
      <c r="AE17" s="21"/>
      <c r="AF17" s="21"/>
      <c r="AG17" s="21"/>
      <c r="AH17" s="21"/>
      <c r="AI17" s="21"/>
      <c r="AJ17" s="21"/>
      <c r="AK17" s="21"/>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row>
    <row r="18" ht="12.75" customHeight="1">
      <c r="C18" s="105" t="s">
        <v>214</v>
      </c>
      <c r="D18" s="104" t="s">
        <v>215</v>
      </c>
      <c r="H18" s="97"/>
      <c r="O18" s="21"/>
      <c r="P18" s="21"/>
      <c r="Q18" s="21"/>
      <c r="R18" s="21"/>
      <c r="S18" s="21"/>
      <c r="T18" s="21"/>
      <c r="U18" s="21"/>
      <c r="W18" s="21"/>
      <c r="X18" s="21"/>
      <c r="Y18" s="21"/>
      <c r="Z18" s="21"/>
      <c r="AA18" s="21"/>
      <c r="AB18" s="21"/>
      <c r="AC18" s="21"/>
      <c r="AE18" s="21"/>
      <c r="AF18" s="21"/>
      <c r="AG18" s="21"/>
      <c r="AH18" s="21"/>
      <c r="AI18" s="21"/>
      <c r="AJ18" s="21"/>
      <c r="AK18" s="21"/>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row>
    <row r="19" ht="12.75" customHeight="1">
      <c r="C19" s="105" t="s">
        <v>216</v>
      </c>
      <c r="D19" s="104" t="s">
        <v>217</v>
      </c>
      <c r="H19" s="97"/>
      <c r="O19" s="21"/>
      <c r="P19" s="21"/>
      <c r="Q19" s="645" t="s">
        <v>90</v>
      </c>
      <c r="R19" s="645"/>
      <c r="S19" s="645"/>
      <c r="T19" s="645"/>
      <c r="U19" s="645"/>
      <c r="V19" s="645"/>
      <c r="W19" s="645"/>
      <c r="X19" s="21"/>
      <c r="Y19" s="21"/>
      <c r="Z19" s="645" t="s">
        <v>84</v>
      </c>
      <c r="AA19" s="645"/>
      <c r="AB19" s="645"/>
      <c r="AC19" s="645"/>
      <c r="AD19" s="645"/>
      <c r="AE19" s="645"/>
      <c r="AF19" s="645"/>
      <c r="AG19" s="21"/>
      <c r="AH19" s="21"/>
      <c r="AI19" s="645" t="s">
        <v>85</v>
      </c>
      <c r="AJ19" s="645"/>
      <c r="AK19" s="645"/>
      <c r="AL19" s="645"/>
      <c r="AM19" s="645"/>
      <c r="AN19" s="645"/>
      <c r="AO19" s="645"/>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row>
    <row r="20" ht="15" customHeight="1">
      <c r="Q20" s="645"/>
      <c r="R20" s="645"/>
      <c r="S20" s="645"/>
      <c r="T20" s="645"/>
      <c r="U20" s="645"/>
      <c r="V20" s="645"/>
      <c r="W20" s="645"/>
      <c r="X20" s="107"/>
      <c r="Y20" s="107"/>
      <c r="Z20" s="645"/>
      <c r="AA20" s="645"/>
      <c r="AB20" s="645"/>
      <c r="AC20" s="645"/>
      <c r="AD20" s="645"/>
      <c r="AE20" s="645"/>
      <c r="AF20" s="645"/>
      <c r="AG20" s="107"/>
      <c r="AH20" s="6"/>
      <c r="AI20" s="645"/>
      <c r="AJ20" s="645"/>
      <c r="AK20" s="645"/>
      <c r="AL20" s="645"/>
      <c r="AM20" s="645"/>
      <c r="AN20" s="645"/>
      <c r="AO20" s="645"/>
      <c r="AS20" s="244"/>
      <c r="AT20" s="244"/>
      <c r="AU20" s="244"/>
      <c r="AV20" s="700"/>
      <c r="AW20" s="700"/>
      <c r="AX20" s="700"/>
      <c r="AY20" s="700"/>
      <c r="AZ20" s="700"/>
      <c r="BA20" s="700"/>
      <c r="BB20" s="700"/>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row>
    <row r="21" s="0" customFormat="1" ht="60" customHeight="1">
      <c r="B21" s="110"/>
      <c r="C21" s="101" t="s">
        <v>34</v>
      </c>
      <c r="D21" s="101" t="s">
        <v>35</v>
      </c>
      <c r="E21" s="111" t="s">
        <v>36</v>
      </c>
      <c r="F21" s="111" t="s">
        <v>74</v>
      </c>
      <c r="G21" s="111" t="s">
        <v>73</v>
      </c>
      <c r="H21" s="111" t="s">
        <v>70</v>
      </c>
      <c r="I21" s="111" t="s">
        <v>71</v>
      </c>
      <c r="Q21" s="119">
        <v>45830</v>
      </c>
      <c r="R21" s="119">
        <v>45831</v>
      </c>
      <c r="S21" s="119">
        <v>45832</v>
      </c>
      <c r="T21" s="119">
        <v>45833</v>
      </c>
      <c r="U21" s="119">
        <v>45834</v>
      </c>
      <c r="V21" s="119">
        <v>45835</v>
      </c>
      <c r="W21" s="119">
        <v>45836</v>
      </c>
      <c r="X21" s="120"/>
      <c r="Y21" s="120"/>
      <c r="Z21" s="119">
        <v>45830</v>
      </c>
      <c r="AA21" s="119">
        <v>45831</v>
      </c>
      <c r="AB21" s="119">
        <v>45832</v>
      </c>
      <c r="AC21" s="119">
        <v>45833</v>
      </c>
      <c r="AD21" s="119">
        <v>45834</v>
      </c>
      <c r="AE21" s="119">
        <v>45835</v>
      </c>
      <c r="AF21" s="119">
        <v>45836</v>
      </c>
      <c r="AG21" s="120"/>
      <c r="AH21" s="120"/>
      <c r="AI21" s="119">
        <v>45830</v>
      </c>
      <c r="AJ21" s="119">
        <v>45831</v>
      </c>
      <c r="AK21" s="119">
        <v>45832</v>
      </c>
      <c r="AL21" s="119">
        <v>45833</v>
      </c>
      <c r="AM21" s="119">
        <v>45834</v>
      </c>
      <c r="AN21" s="119">
        <v>45835</v>
      </c>
      <c r="AO21" s="119">
        <v>45836</v>
      </c>
      <c r="AP21" s="112"/>
      <c r="AQ21" s="112"/>
      <c r="AR21" s="112"/>
      <c r="AS21" s="270"/>
      <c r="AT21" s="270"/>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row>
    <row r="22" ht="18" customHeight="1">
      <c r="C22" s="701">
        <v>60180</v>
      </c>
      <c r="D22" s="701" t="s">
        <v>162</v>
      </c>
      <c r="E22" s="701" t="s">
        <v>163</v>
      </c>
      <c r="F22" s="701" t="s">
        <v>164</v>
      </c>
      <c r="G22" s="701" t="s">
        <v>165</v>
      </c>
      <c r="H22" s="702">
        <v>186</v>
      </c>
      <c r="I22" s="702" t="s">
        <v>166</v>
      </c>
      <c r="J22" s="702"/>
      <c r="K22" s="702"/>
      <c r="L22" s="702"/>
      <c r="M22" s="702"/>
      <c r="N22" s="702"/>
      <c r="O22" s="113"/>
      <c r="Q22" s="703" t="s">
        <v>167</v>
      </c>
      <c r="R22" s="704" t="s">
        <v>167</v>
      </c>
      <c r="S22" s="704" t="s">
        <v>167</v>
      </c>
      <c r="T22" s="704" t="s">
        <v>167</v>
      </c>
      <c r="U22" s="704" t="s">
        <v>167</v>
      </c>
      <c r="V22" s="704" t="s">
        <v>167</v>
      </c>
      <c r="W22" s="705" t="s">
        <v>167</v>
      </c>
      <c r="Z22" s="703" t="s">
        <v>167</v>
      </c>
      <c r="AA22" s="704" t="s">
        <v>167</v>
      </c>
      <c r="AB22" s="704" t="s">
        <v>167</v>
      </c>
      <c r="AC22" s="704" t="s">
        <v>167</v>
      </c>
      <c r="AD22" s="704" t="s">
        <v>167</v>
      </c>
      <c r="AE22" s="704" t="s">
        <v>167</v>
      </c>
      <c r="AF22" s="705" t="s">
        <v>167</v>
      </c>
      <c r="AI22" s="703" t="s">
        <v>168</v>
      </c>
      <c r="AJ22" s="704" t="s">
        <v>168</v>
      </c>
      <c r="AK22" s="704" t="s">
        <v>168</v>
      </c>
      <c r="AL22" s="704" t="s">
        <v>168</v>
      </c>
      <c r="AM22" s="704" t="s">
        <v>168</v>
      </c>
      <c r="AN22" s="704" t="s">
        <v>168</v>
      </c>
      <c r="AO22" s="705" t="s">
        <v>168</v>
      </c>
      <c r="AP22" s="213"/>
      <c r="AQ22" s="213"/>
      <c r="AR22" s="213"/>
      <c r="AS22" s="271"/>
      <c r="AT22" s="271"/>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row>
    <row r="23" ht="18" customHeight="1">
      <c r="C23" s="706">
        <v>7790</v>
      </c>
      <c r="D23" s="706" t="s">
        <v>169</v>
      </c>
      <c r="E23" s="706" t="s">
        <v>163</v>
      </c>
      <c r="F23" s="706" t="s">
        <v>170</v>
      </c>
      <c r="G23" s="706" t="s">
        <v>171</v>
      </c>
      <c r="H23" s="707">
        <v>276</v>
      </c>
      <c r="I23" s="707" t="s">
        <v>172</v>
      </c>
      <c r="J23" s="707"/>
      <c r="K23" s="707"/>
      <c r="L23" s="707"/>
      <c r="M23" s="707"/>
      <c r="N23" s="707"/>
      <c r="O23" s="113"/>
      <c r="Q23" s="708" t="s">
        <v>167</v>
      </c>
      <c r="R23" s="709" t="s">
        <v>167</v>
      </c>
      <c r="S23" s="709" t="s">
        <v>167</v>
      </c>
      <c r="T23" s="709" t="s">
        <v>167</v>
      </c>
      <c r="U23" s="709" t="s">
        <v>167</v>
      </c>
      <c r="V23" s="709" t="s">
        <v>167</v>
      </c>
      <c r="W23" s="710" t="s">
        <v>167</v>
      </c>
      <c r="Z23" s="708" t="s">
        <v>167</v>
      </c>
      <c r="AA23" s="709" t="s">
        <v>167</v>
      </c>
      <c r="AB23" s="709" t="s">
        <v>167</v>
      </c>
      <c r="AC23" s="709" t="s">
        <v>167</v>
      </c>
      <c r="AD23" s="709" t="s">
        <v>167</v>
      </c>
      <c r="AE23" s="709" t="s">
        <v>167</v>
      </c>
      <c r="AF23" s="710" t="s">
        <v>167</v>
      </c>
      <c r="AI23" s="708" t="s">
        <v>168</v>
      </c>
      <c r="AJ23" s="709" t="s">
        <v>168</v>
      </c>
      <c r="AK23" s="709" t="s">
        <v>168</v>
      </c>
      <c r="AL23" s="709" t="s">
        <v>168</v>
      </c>
      <c r="AM23" s="709" t="s">
        <v>168</v>
      </c>
      <c r="AN23" s="709" t="s">
        <v>168</v>
      </c>
      <c r="AO23" s="710" t="s">
        <v>168</v>
      </c>
      <c r="AP23" s="213"/>
      <c r="AQ23" s="213"/>
      <c r="AR23" s="213"/>
      <c r="AS23" s="271"/>
      <c r="AT23" s="271"/>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row>
    <row r="24" ht="18" customHeight="1">
      <c r="C24" s="701">
        <v>27821</v>
      </c>
      <c r="D24" s="701" t="s">
        <v>173</v>
      </c>
      <c r="E24" s="701" t="s">
        <v>163</v>
      </c>
      <c r="F24" s="701" t="s">
        <v>174</v>
      </c>
      <c r="G24" s="701" t="s">
        <v>175</v>
      </c>
      <c r="H24" s="702">
        <v>108</v>
      </c>
      <c r="I24" s="702" t="s">
        <v>176</v>
      </c>
      <c r="J24" s="702"/>
      <c r="K24" s="702"/>
      <c r="L24" s="702"/>
      <c r="M24" s="702"/>
      <c r="N24" s="702"/>
      <c r="O24" s="113"/>
      <c r="Q24" s="703" t="s">
        <v>167</v>
      </c>
      <c r="R24" s="704" t="s">
        <v>167</v>
      </c>
      <c r="S24" s="704" t="s">
        <v>167</v>
      </c>
      <c r="T24" s="704" t="s">
        <v>167</v>
      </c>
      <c r="U24" s="704" t="s">
        <v>167</v>
      </c>
      <c r="V24" s="704" t="s">
        <v>167</v>
      </c>
      <c r="W24" s="705" t="s">
        <v>167</v>
      </c>
      <c r="Z24" s="703" t="s">
        <v>168</v>
      </c>
      <c r="AA24" s="704" t="s">
        <v>168</v>
      </c>
      <c r="AB24" s="704" t="s">
        <v>168</v>
      </c>
      <c r="AC24" s="704" t="s">
        <v>168</v>
      </c>
      <c r="AD24" s="704" t="s">
        <v>168</v>
      </c>
      <c r="AE24" s="704" t="s">
        <v>168</v>
      </c>
      <c r="AF24" s="705" t="s">
        <v>168</v>
      </c>
      <c r="AI24" s="703" t="s">
        <v>168</v>
      </c>
      <c r="AJ24" s="704" t="s">
        <v>168</v>
      </c>
      <c r="AK24" s="704" t="s">
        <v>168</v>
      </c>
      <c r="AL24" s="704" t="s">
        <v>168</v>
      </c>
      <c r="AM24" s="704" t="s">
        <v>168</v>
      </c>
      <c r="AN24" s="704" t="s">
        <v>168</v>
      </c>
      <c r="AO24" s="705" t="s">
        <v>168</v>
      </c>
      <c r="AP24" s="213"/>
      <c r="AQ24" s="213"/>
      <c r="AR24" s="213"/>
      <c r="AS24" s="271"/>
      <c r="AT24" s="271"/>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row>
    <row r="25" ht="18" customHeight="1">
      <c r="C25" s="706">
        <v>31502</v>
      </c>
      <c r="D25" s="706" t="s">
        <v>177</v>
      </c>
      <c r="E25" s="706" t="s">
        <v>163</v>
      </c>
      <c r="F25" s="706" t="s">
        <v>170</v>
      </c>
      <c r="G25" s="706" t="s">
        <v>178</v>
      </c>
      <c r="H25" s="707">
        <v>117</v>
      </c>
      <c r="I25" s="707" t="s">
        <v>179</v>
      </c>
      <c r="J25" s="707"/>
      <c r="K25" s="707"/>
      <c r="L25" s="707"/>
      <c r="M25" s="707"/>
      <c r="N25" s="707"/>
      <c r="O25" s="113"/>
      <c r="Q25" s="708" t="s">
        <v>167</v>
      </c>
      <c r="R25" s="709" t="s">
        <v>167</v>
      </c>
      <c r="S25" s="709" t="s">
        <v>167</v>
      </c>
      <c r="T25" s="709" t="s">
        <v>167</v>
      </c>
      <c r="U25" s="709" t="s">
        <v>180</v>
      </c>
      <c r="V25" s="709" t="s">
        <v>167</v>
      </c>
      <c r="W25" s="710" t="s">
        <v>167</v>
      </c>
      <c r="Z25" s="708" t="s">
        <v>168</v>
      </c>
      <c r="AA25" s="709" t="s">
        <v>168</v>
      </c>
      <c r="AB25" s="709" t="s">
        <v>168</v>
      </c>
      <c r="AC25" s="709" t="s">
        <v>168</v>
      </c>
      <c r="AD25" s="709" t="s">
        <v>168</v>
      </c>
      <c r="AE25" s="709" t="s">
        <v>168</v>
      </c>
      <c r="AF25" s="710" t="s">
        <v>168</v>
      </c>
      <c r="AI25" s="708" t="s">
        <v>168</v>
      </c>
      <c r="AJ25" s="709" t="s">
        <v>168</v>
      </c>
      <c r="AK25" s="709" t="s">
        <v>168</v>
      </c>
      <c r="AL25" s="709" t="s">
        <v>168</v>
      </c>
      <c r="AM25" s="709" t="s">
        <v>168</v>
      </c>
      <c r="AN25" s="709" t="s">
        <v>168</v>
      </c>
      <c r="AO25" s="710" t="s">
        <v>168</v>
      </c>
      <c r="AP25" s="213"/>
      <c r="AQ25" s="213"/>
      <c r="AR25" s="213"/>
      <c r="AS25" s="271"/>
      <c r="AT25" s="271"/>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row>
    <row r="26" ht="18" customHeight="1">
      <c r="C26" s="701">
        <v>33288</v>
      </c>
      <c r="D26" s="701" t="s">
        <v>181</v>
      </c>
      <c r="E26" s="701" t="s">
        <v>163</v>
      </c>
      <c r="F26" s="701" t="s">
        <v>174</v>
      </c>
      <c r="G26" s="701" t="s">
        <v>182</v>
      </c>
      <c r="H26" s="702">
        <v>111</v>
      </c>
      <c r="I26" s="702" t="s">
        <v>183</v>
      </c>
      <c r="J26" s="702"/>
      <c r="K26" s="702"/>
      <c r="L26" s="702"/>
      <c r="M26" s="702"/>
      <c r="N26" s="702"/>
      <c r="O26" s="113"/>
      <c r="Q26" s="703" t="s">
        <v>167</v>
      </c>
      <c r="R26" s="704" t="s">
        <v>167</v>
      </c>
      <c r="S26" s="704" t="s">
        <v>167</v>
      </c>
      <c r="T26" s="704" t="s">
        <v>167</v>
      </c>
      <c r="U26" s="704" t="s">
        <v>167</v>
      </c>
      <c r="V26" s="704" t="s">
        <v>167</v>
      </c>
      <c r="W26" s="705" t="s">
        <v>167</v>
      </c>
      <c r="Z26" s="703" t="s">
        <v>167</v>
      </c>
      <c r="AA26" s="704" t="s">
        <v>167</v>
      </c>
      <c r="AB26" s="704" t="s">
        <v>167</v>
      </c>
      <c r="AC26" s="704" t="s">
        <v>167</v>
      </c>
      <c r="AD26" s="704" t="s">
        <v>167</v>
      </c>
      <c r="AE26" s="704" t="s">
        <v>167</v>
      </c>
      <c r="AF26" s="705" t="s">
        <v>167</v>
      </c>
      <c r="AI26" s="703" t="s">
        <v>168</v>
      </c>
      <c r="AJ26" s="704" t="s">
        <v>168</v>
      </c>
      <c r="AK26" s="704" t="s">
        <v>168</v>
      </c>
      <c r="AL26" s="704" t="s">
        <v>168</v>
      </c>
      <c r="AM26" s="704" t="s">
        <v>168</v>
      </c>
      <c r="AN26" s="704" t="s">
        <v>168</v>
      </c>
      <c r="AO26" s="705" t="s">
        <v>168</v>
      </c>
      <c r="AP26" s="213"/>
      <c r="AQ26" s="213"/>
      <c r="AR26" s="213"/>
      <c r="AS26" s="271"/>
      <c r="AT26" s="271"/>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row>
    <row r="27" ht="18" customHeight="1">
      <c r="C27" s="706">
        <v>57305</v>
      </c>
      <c r="D27" s="706" t="s">
        <v>184</v>
      </c>
      <c r="E27" s="706" t="s">
        <v>185</v>
      </c>
      <c r="F27" s="706" t="s">
        <v>186</v>
      </c>
      <c r="G27" s="706" t="s">
        <v>187</v>
      </c>
      <c r="H27" s="707">
        <v>145</v>
      </c>
      <c r="I27" s="707" t="s">
        <v>188</v>
      </c>
      <c r="J27" s="707"/>
      <c r="K27" s="707"/>
      <c r="L27" s="707"/>
      <c r="M27" s="707"/>
      <c r="N27" s="707"/>
      <c r="O27" s="113"/>
      <c r="Q27" s="708" t="s">
        <v>167</v>
      </c>
      <c r="R27" s="709" t="s">
        <v>167</v>
      </c>
      <c r="S27" s="709" t="s">
        <v>167</v>
      </c>
      <c r="T27" s="709" t="s">
        <v>167</v>
      </c>
      <c r="U27" s="709" t="s">
        <v>167</v>
      </c>
      <c r="V27" s="709" t="s">
        <v>167</v>
      </c>
      <c r="W27" s="710" t="s">
        <v>167</v>
      </c>
      <c r="Z27" s="708" t="s">
        <v>167</v>
      </c>
      <c r="AA27" s="709" t="s">
        <v>167</v>
      </c>
      <c r="AB27" s="709" t="s">
        <v>167</v>
      </c>
      <c r="AC27" s="709" t="s">
        <v>167</v>
      </c>
      <c r="AD27" s="709" t="s">
        <v>167</v>
      </c>
      <c r="AE27" s="709" t="s">
        <v>167</v>
      </c>
      <c r="AF27" s="710" t="s">
        <v>167</v>
      </c>
      <c r="AI27" s="708" t="s">
        <v>168</v>
      </c>
      <c r="AJ27" s="709" t="s">
        <v>168</v>
      </c>
      <c r="AK27" s="709" t="s">
        <v>168</v>
      </c>
      <c r="AL27" s="709" t="s">
        <v>168</v>
      </c>
      <c r="AM27" s="709" t="s">
        <v>168</v>
      </c>
      <c r="AN27" s="709" t="s">
        <v>168</v>
      </c>
      <c r="AO27" s="710" t="s">
        <v>168</v>
      </c>
      <c r="AP27" s="213"/>
      <c r="AQ27" s="213"/>
      <c r="AR27" s="213"/>
      <c r="AS27" s="271"/>
      <c r="AT27" s="271"/>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row>
    <row r="28" ht="18" customHeight="1">
      <c r="C28" s="701">
        <v>58062</v>
      </c>
      <c r="D28" s="701" t="s">
        <v>189</v>
      </c>
      <c r="E28" s="701" t="s">
        <v>185</v>
      </c>
      <c r="F28" s="701" t="s">
        <v>190</v>
      </c>
      <c r="G28" s="701" t="s">
        <v>191</v>
      </c>
      <c r="H28" s="702">
        <v>126</v>
      </c>
      <c r="I28" s="702" t="s">
        <v>192</v>
      </c>
      <c r="J28" s="702"/>
      <c r="K28" s="702"/>
      <c r="L28" s="702"/>
      <c r="M28" s="702"/>
      <c r="N28" s="702"/>
      <c r="O28" s="113"/>
      <c r="Q28" s="703" t="s">
        <v>167</v>
      </c>
      <c r="R28" s="704" t="s">
        <v>167</v>
      </c>
      <c r="S28" s="704" t="s">
        <v>167</v>
      </c>
      <c r="T28" s="704" t="s">
        <v>167</v>
      </c>
      <c r="U28" s="704" t="s">
        <v>167</v>
      </c>
      <c r="V28" s="704" t="s">
        <v>167</v>
      </c>
      <c r="W28" s="705" t="s">
        <v>167</v>
      </c>
      <c r="Z28" s="703" t="s">
        <v>167</v>
      </c>
      <c r="AA28" s="704" t="s">
        <v>167</v>
      </c>
      <c r="AB28" s="704" t="s">
        <v>167</v>
      </c>
      <c r="AC28" s="704" t="s">
        <v>167</v>
      </c>
      <c r="AD28" s="704" t="s">
        <v>193</v>
      </c>
      <c r="AE28" s="704" t="s">
        <v>167</v>
      </c>
      <c r="AF28" s="705" t="s">
        <v>167</v>
      </c>
      <c r="AI28" s="703" t="s">
        <v>167</v>
      </c>
      <c r="AJ28" s="704" t="s">
        <v>167</v>
      </c>
      <c r="AK28" s="704" t="s">
        <v>167</v>
      </c>
      <c r="AL28" s="704" t="s">
        <v>167</v>
      </c>
      <c r="AM28" s="704" t="s">
        <v>167</v>
      </c>
      <c r="AN28" s="704" t="s">
        <v>167</v>
      </c>
      <c r="AO28" s="705" t="s">
        <v>167</v>
      </c>
      <c r="AP28" s="213"/>
      <c r="AQ28" s="213"/>
      <c r="AR28" s="213"/>
      <c r="AS28" s="271"/>
      <c r="AT28" s="271"/>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row>
    <row r="29" ht="18" customHeight="1">
      <c r="C29" s="706">
        <v>66136</v>
      </c>
      <c r="D29" s="706" t="s">
        <v>194</v>
      </c>
      <c r="E29" s="706" t="s">
        <v>163</v>
      </c>
      <c r="F29" s="706" t="s">
        <v>195</v>
      </c>
      <c r="G29" s="706" t="s">
        <v>196</v>
      </c>
      <c r="H29" s="707">
        <v>203</v>
      </c>
      <c r="I29" s="707" t="s">
        <v>197</v>
      </c>
      <c r="J29" s="707"/>
      <c r="K29" s="707"/>
      <c r="L29" s="707"/>
      <c r="M29" s="707"/>
      <c r="N29" s="707"/>
      <c r="O29" s="113"/>
      <c r="Q29" s="708" t="s">
        <v>167</v>
      </c>
      <c r="R29" s="709" t="s">
        <v>167</v>
      </c>
      <c r="S29" s="709" t="s">
        <v>167</v>
      </c>
      <c r="T29" s="709" t="s">
        <v>167</v>
      </c>
      <c r="U29" s="709" t="s">
        <v>167</v>
      </c>
      <c r="V29" s="709" t="s">
        <v>167</v>
      </c>
      <c r="W29" s="710" t="s">
        <v>167</v>
      </c>
      <c r="Z29" s="708" t="s">
        <v>167</v>
      </c>
      <c r="AA29" s="709" t="s">
        <v>167</v>
      </c>
      <c r="AB29" s="709" t="s">
        <v>167</v>
      </c>
      <c r="AC29" s="709" t="s">
        <v>167</v>
      </c>
      <c r="AD29" s="709" t="s">
        <v>167</v>
      </c>
      <c r="AE29" s="709" t="s">
        <v>167</v>
      </c>
      <c r="AF29" s="710" t="s">
        <v>167</v>
      </c>
      <c r="AI29" s="708" t="s">
        <v>167</v>
      </c>
      <c r="AJ29" s="709" t="s">
        <v>167</v>
      </c>
      <c r="AK29" s="709" t="s">
        <v>167</v>
      </c>
      <c r="AL29" s="709" t="s">
        <v>167</v>
      </c>
      <c r="AM29" s="709" t="s">
        <v>167</v>
      </c>
      <c r="AN29" s="709" t="s">
        <v>167</v>
      </c>
      <c r="AO29" s="710" t="s">
        <v>167</v>
      </c>
      <c r="AP29" s="213"/>
      <c r="AQ29" s="213"/>
      <c r="AR29" s="213"/>
      <c r="AS29" s="271"/>
      <c r="AT29" s="271"/>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row>
    <row r="30" ht="18" customHeight="1">
      <c r="C30" s="114"/>
      <c r="D30" s="118"/>
      <c r="E30" s="118"/>
      <c r="F30" s="118"/>
      <c r="G30" s="118"/>
      <c r="H30" s="702">
        <v>1272</v>
      </c>
      <c r="I30" s="711"/>
      <c r="J30" s="711"/>
      <c r="K30" s="711"/>
      <c r="L30" s="711"/>
      <c r="M30" s="711"/>
      <c r="N30" s="711"/>
      <c r="O30" s="113"/>
      <c r="AP30" s="213"/>
      <c r="AQ30" s="213"/>
      <c r="AR30" s="213"/>
      <c r="AS30" s="271"/>
      <c r="AT30" s="271"/>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row>
    <row r="31" ht="18" customHeight="1">
      <c r="C31" s="114"/>
      <c r="D31" s="118"/>
      <c r="E31" s="118"/>
      <c r="F31" s="118"/>
      <c r="G31" s="118"/>
      <c r="H31" s="118"/>
      <c r="I31" s="711"/>
      <c r="J31" s="711"/>
      <c r="K31" s="711"/>
      <c r="L31" s="711"/>
      <c r="M31" s="711"/>
      <c r="N31" s="711"/>
      <c r="O31" s="113"/>
      <c r="P31" t="s">
        <v>198</v>
      </c>
      <c r="AP31" s="213"/>
      <c r="AQ31" s="213"/>
      <c r="AR31" s="213"/>
      <c r="AS31" s="271"/>
      <c r="AT31" s="271"/>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row>
    <row r="32" ht="18" customHeight="1">
      <c r="C32" s="114"/>
      <c r="D32" s="118"/>
      <c r="E32" s="118"/>
      <c r="F32" s="118"/>
      <c r="G32" s="118"/>
      <c r="H32" s="118"/>
      <c r="I32" s="711"/>
      <c r="J32" s="711"/>
      <c r="K32" s="711"/>
      <c r="L32" s="711"/>
      <c r="M32" s="711"/>
      <c r="N32" s="711"/>
      <c r="O32" s="113"/>
      <c r="AP32" s="213"/>
      <c r="AQ32" s="213"/>
      <c r="AR32" s="213"/>
      <c r="AS32" s="271"/>
      <c r="AT32" s="271"/>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row>
    <row r="33" ht="18" customHeight="1">
      <c r="C33" s="114"/>
      <c r="D33" s="118"/>
      <c r="E33" s="118"/>
      <c r="F33" s="118"/>
      <c r="G33" s="118"/>
      <c r="H33" s="118"/>
      <c r="I33" s="711"/>
      <c r="J33" s="711"/>
      <c r="K33" s="711"/>
      <c r="L33" s="711"/>
      <c r="M33" s="711"/>
      <c r="N33" s="711"/>
      <c r="O33" s="113"/>
      <c r="AP33" s="213"/>
      <c r="AQ33" s="213"/>
      <c r="AR33" s="213"/>
      <c r="AS33" s="271"/>
      <c r="AT33" s="271"/>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row>
    <row r="34" ht="18" customHeight="1">
      <c r="C34" s="114"/>
      <c r="D34" s="118"/>
      <c r="E34" s="118"/>
      <c r="F34" s="118"/>
      <c r="G34" s="118"/>
      <c r="H34" s="118"/>
      <c r="I34" s="711"/>
      <c r="J34" s="711"/>
      <c r="K34" s="711"/>
      <c r="L34" s="711"/>
      <c r="M34" s="711"/>
      <c r="N34" s="711"/>
      <c r="O34" s="113"/>
      <c r="AP34" s="213"/>
      <c r="AQ34" s="213"/>
      <c r="AR34" s="213"/>
      <c r="AS34" s="271"/>
      <c r="AT34" s="271"/>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row>
    <row r="35" ht="18" customHeight="1">
      <c r="C35" s="114"/>
      <c r="D35" s="118"/>
      <c r="E35" s="118"/>
      <c r="F35" s="118"/>
      <c r="G35" s="118"/>
      <c r="H35" s="118"/>
      <c r="I35" s="711"/>
      <c r="J35" s="711"/>
      <c r="K35" s="711"/>
      <c r="L35" s="711"/>
      <c r="M35" s="711"/>
      <c r="N35" s="711"/>
      <c r="O35" s="113"/>
      <c r="AP35" s="213"/>
      <c r="AQ35" s="213"/>
      <c r="AR35" s="213"/>
      <c r="AS35" s="271"/>
      <c r="AT35" s="271"/>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row>
    <row r="36" ht="18" customHeight="1">
      <c r="C36" s="114"/>
      <c r="D36" s="118"/>
      <c r="E36" s="118"/>
      <c r="F36" s="118"/>
      <c r="G36" s="118"/>
      <c r="H36" s="118"/>
      <c r="I36" s="711"/>
      <c r="J36" s="711"/>
      <c r="K36" s="711"/>
      <c r="L36" s="711"/>
      <c r="M36" s="711"/>
      <c r="N36" s="711"/>
      <c r="O36" s="113"/>
      <c r="AP36" s="213"/>
      <c r="AQ36" s="213"/>
      <c r="AR36" s="213"/>
      <c r="AS36" s="271"/>
      <c r="AT36" s="271"/>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row>
    <row r="37" ht="18" customHeight="1">
      <c r="C37" s="114"/>
      <c r="D37" s="118"/>
      <c r="E37" s="118"/>
      <c r="F37" s="118"/>
      <c r="G37" s="118"/>
      <c r="H37" s="118"/>
      <c r="I37" s="711"/>
      <c r="J37" s="711"/>
      <c r="K37" s="711"/>
      <c r="L37" s="711"/>
      <c r="M37" s="711"/>
      <c r="N37" s="711"/>
      <c r="O37" s="113"/>
      <c r="AP37" s="213"/>
      <c r="AQ37" s="213"/>
      <c r="AR37" s="213"/>
      <c r="AS37" s="271"/>
      <c r="AT37" s="271"/>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row>
    <row r="38" ht="18" customHeight="1">
      <c r="C38" s="114"/>
      <c r="D38" s="118"/>
      <c r="E38" s="118"/>
      <c r="F38" s="118"/>
      <c r="G38" s="118"/>
      <c r="H38" s="118"/>
      <c r="I38" s="711"/>
      <c r="J38" s="711"/>
      <c r="K38" s="711"/>
      <c r="L38" s="711"/>
      <c r="M38" s="711"/>
      <c r="N38" s="711"/>
      <c r="O38" s="113"/>
      <c r="AP38" s="213"/>
      <c r="AQ38" s="213"/>
      <c r="AR38" s="213"/>
      <c r="AS38" s="271"/>
      <c r="AT38" s="271"/>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row>
    <row r="39" ht="18" customHeight="1">
      <c r="C39" s="114"/>
      <c r="D39" s="118"/>
      <c r="E39" s="118"/>
      <c r="F39" s="118"/>
      <c r="G39" s="118"/>
      <c r="H39" s="118"/>
      <c r="I39" s="711"/>
      <c r="J39" s="711"/>
      <c r="K39" s="711"/>
      <c r="L39" s="711"/>
      <c r="M39" s="711"/>
      <c r="N39" s="711"/>
      <c r="O39" s="113"/>
      <c r="AP39" s="213"/>
      <c r="AQ39" s="213"/>
      <c r="AR39" s="213"/>
      <c r="AS39" s="271"/>
      <c r="AT39" s="271"/>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row>
    <row r="40" ht="18" customHeight="1">
      <c r="C40" s="114"/>
      <c r="D40" s="118"/>
      <c r="E40" s="118"/>
      <c r="F40" s="118"/>
      <c r="G40" s="118"/>
      <c r="H40" s="118"/>
      <c r="I40" s="711"/>
      <c r="J40" s="711"/>
      <c r="K40" s="711"/>
      <c r="L40" s="711"/>
      <c r="M40" s="711"/>
      <c r="N40" s="711"/>
      <c r="O40" s="113"/>
      <c r="AP40" s="213"/>
      <c r="AQ40" s="213"/>
      <c r="AR40" s="213"/>
      <c r="AS40" s="271"/>
      <c r="AT40" s="271"/>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row>
    <row r="41" ht="18" customHeight="1">
      <c r="C41" s="114"/>
      <c r="D41" s="118"/>
      <c r="E41" s="118"/>
      <c r="F41" s="118"/>
      <c r="G41" s="118"/>
      <c r="H41" s="118"/>
      <c r="I41" s="711"/>
      <c r="J41" s="711"/>
      <c r="K41" s="711"/>
      <c r="L41" s="711"/>
      <c r="M41" s="711"/>
      <c r="N41" s="711"/>
      <c r="O41" s="113"/>
      <c r="AP41" s="213"/>
      <c r="AQ41" s="213"/>
      <c r="AR41" s="213"/>
      <c r="AS41" s="271"/>
      <c r="AT41" s="271"/>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row>
    <row r="42" ht="0" hidden="1" customHeight="1">
      <c r="C42" s="114"/>
      <c r="D42" s="118"/>
      <c r="E42" s="118"/>
      <c r="F42" s="118"/>
      <c r="G42" s="118"/>
      <c r="H42" s="118"/>
      <c r="I42" s="711"/>
      <c r="J42" s="711"/>
      <c r="K42" s="711"/>
      <c r="L42" s="711"/>
      <c r="M42" s="711"/>
      <c r="N42" s="711"/>
      <c r="O42" s="113"/>
      <c r="AP42" s="213"/>
      <c r="AQ42" s="213"/>
      <c r="AR42" s="213"/>
      <c r="AS42" s="271"/>
      <c r="AT42" s="271"/>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row>
    <row r="43" ht="0" hidden="1" customHeight="1">
      <c r="C43" s="114"/>
      <c r="D43" s="118"/>
      <c r="E43" s="118"/>
      <c r="F43" s="118"/>
      <c r="G43" s="118"/>
      <c r="H43" s="118"/>
      <c r="I43" s="711"/>
      <c r="J43" s="711"/>
      <c r="K43" s="711"/>
      <c r="L43" s="711"/>
      <c r="M43" s="711"/>
      <c r="N43" s="711"/>
      <c r="O43" s="113"/>
      <c r="AP43" s="213"/>
      <c r="AQ43" s="213"/>
      <c r="AR43" s="213"/>
      <c r="AS43" s="271"/>
      <c r="AT43" s="271"/>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row>
    <row r="44" ht="0" hidden="1" customHeight="1">
      <c r="C44" s="114"/>
      <c r="D44" s="118"/>
      <c r="E44" s="118"/>
      <c r="F44" s="118"/>
      <c r="G44" s="118"/>
      <c r="H44" s="118"/>
      <c r="I44" s="711"/>
      <c r="J44" s="711"/>
      <c r="K44" s="711"/>
      <c r="L44" s="711"/>
      <c r="M44" s="711"/>
      <c r="N44" s="711"/>
      <c r="O44" s="113"/>
      <c r="AP44" s="213"/>
      <c r="AQ44" s="213"/>
      <c r="AR44" s="213"/>
      <c r="AS44" s="271"/>
      <c r="AT44" s="271"/>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row>
    <row r="45" ht="0" hidden="1" customHeight="1">
      <c r="C45" s="114"/>
      <c r="D45" s="118"/>
      <c r="E45" s="118"/>
      <c r="F45" s="118"/>
      <c r="G45" s="118"/>
      <c r="H45" s="118"/>
      <c r="I45" s="711"/>
      <c r="J45" s="711"/>
      <c r="K45" s="711"/>
      <c r="L45" s="711"/>
      <c r="M45" s="711"/>
      <c r="N45" s="711"/>
      <c r="O45" s="113"/>
      <c r="AP45" s="213"/>
      <c r="AQ45" s="213"/>
      <c r="AR45" s="213"/>
      <c r="AS45" s="271"/>
      <c r="AT45" s="271"/>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row>
    <row r="46" ht="0" hidden="1" customHeight="1">
      <c r="C46" s="114"/>
      <c r="D46" s="118"/>
      <c r="E46" s="118"/>
      <c r="F46" s="118"/>
      <c r="G46" s="118"/>
      <c r="H46" s="118"/>
      <c r="I46" s="711"/>
      <c r="J46" s="711"/>
      <c r="K46" s="711"/>
      <c r="L46" s="711"/>
      <c r="M46" s="711"/>
      <c r="N46" s="711"/>
      <c r="O46" s="113"/>
      <c r="AP46" s="213"/>
      <c r="AQ46" s="213"/>
      <c r="AR46" s="213"/>
      <c r="AS46" s="271"/>
      <c r="AT46" s="271"/>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row>
    <row r="47" ht="0" hidden="1" customHeight="1">
      <c r="C47" s="114"/>
      <c r="D47" s="118"/>
      <c r="E47" s="118"/>
      <c r="F47" s="118"/>
      <c r="G47" s="118"/>
      <c r="H47" s="118"/>
      <c r="I47" s="711"/>
      <c r="J47" s="711"/>
      <c r="K47" s="711"/>
      <c r="L47" s="711"/>
      <c r="M47" s="711"/>
      <c r="N47" s="711"/>
      <c r="O47" s="113"/>
      <c r="AP47" s="213"/>
      <c r="AQ47" s="213"/>
      <c r="AR47" s="213"/>
      <c r="AS47" s="271"/>
      <c r="AT47" s="271"/>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row>
    <row r="48" ht="0" hidden="1" customHeight="1">
      <c r="C48" s="114"/>
      <c r="D48" s="118"/>
      <c r="E48" s="118"/>
      <c r="F48" s="118"/>
      <c r="G48" s="118"/>
      <c r="H48" s="118"/>
      <c r="I48" s="711"/>
      <c r="J48" s="711"/>
      <c r="K48" s="711"/>
      <c r="L48" s="711"/>
      <c r="M48" s="711"/>
      <c r="N48" s="711"/>
      <c r="O48" s="113"/>
      <c r="AP48" s="213"/>
      <c r="AQ48" s="213"/>
      <c r="AR48" s="213"/>
      <c r="AS48" s="271"/>
      <c r="AT48" s="271"/>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row>
    <row r="49" ht="0" hidden="1" customHeight="1">
      <c r="C49" s="114"/>
      <c r="D49" s="118"/>
      <c r="E49" s="118"/>
      <c r="F49" s="118"/>
      <c r="G49" s="118"/>
      <c r="H49" s="118"/>
      <c r="I49" s="711"/>
      <c r="J49" s="711"/>
      <c r="K49" s="711"/>
      <c r="L49" s="711"/>
      <c r="M49" s="711"/>
      <c r="N49" s="711"/>
      <c r="O49" s="113"/>
      <c r="AP49" s="213"/>
      <c r="AQ49" s="213"/>
      <c r="AR49" s="213"/>
      <c r="AS49" s="271"/>
      <c r="AT49" s="271"/>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row>
    <row r="50" ht="0" hidden="1" customHeight="1">
      <c r="C50" s="114"/>
      <c r="D50" s="118"/>
      <c r="E50" s="118"/>
      <c r="F50" s="118"/>
      <c r="G50" s="118"/>
      <c r="H50" s="118"/>
      <c r="I50" s="711"/>
      <c r="J50" s="711"/>
      <c r="K50" s="711"/>
      <c r="L50" s="711"/>
      <c r="M50" s="711"/>
      <c r="N50" s="711"/>
      <c r="O50" s="113"/>
      <c r="AP50" s="213"/>
      <c r="AQ50" s="213"/>
      <c r="AR50" s="213"/>
      <c r="AS50" s="271"/>
      <c r="AT50" s="271"/>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row>
    <row r="51" ht="0" hidden="1" customHeight="1">
      <c r="C51" s="114"/>
      <c r="D51" s="118"/>
      <c r="E51" s="118"/>
      <c r="F51" s="118"/>
      <c r="G51" s="118"/>
      <c r="H51" s="118"/>
      <c r="I51" s="711"/>
      <c r="J51" s="711"/>
      <c r="K51" s="711"/>
      <c r="L51" s="711"/>
      <c r="M51" s="711"/>
      <c r="N51" s="711"/>
      <c r="O51" s="113"/>
      <c r="AP51" s="213"/>
      <c r="AQ51" s="213"/>
      <c r="AR51" s="213"/>
      <c r="AS51" s="271"/>
      <c r="AT51" s="271"/>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row>
    <row r="52" ht="0" hidden="1" customHeight="1">
      <c r="C52" s="114"/>
      <c r="D52" s="118"/>
      <c r="E52" s="118"/>
      <c r="F52" s="118"/>
      <c r="G52" s="118"/>
      <c r="H52" s="118"/>
      <c r="I52" s="711"/>
      <c r="J52" s="711"/>
      <c r="K52" s="711"/>
      <c r="L52" s="711"/>
      <c r="M52" s="711"/>
      <c r="N52" s="711"/>
      <c r="O52" s="113"/>
      <c r="AP52" s="213"/>
      <c r="AQ52" s="213"/>
      <c r="AR52" s="213"/>
      <c r="AS52" s="271"/>
      <c r="AT52" s="271"/>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row>
    <row r="53" ht="0" hidden="1" customHeight="1">
      <c r="C53" s="114"/>
      <c r="D53" s="118"/>
      <c r="E53" s="118"/>
      <c r="F53" s="118"/>
      <c r="G53" s="118"/>
      <c r="H53" s="118"/>
      <c r="I53" s="711"/>
      <c r="J53" s="711"/>
      <c r="K53" s="711"/>
      <c r="L53" s="711"/>
      <c r="M53" s="711"/>
      <c r="N53" s="711"/>
      <c r="O53" s="113"/>
      <c r="AP53" s="213"/>
      <c r="AQ53" s="213"/>
      <c r="AR53" s="213"/>
      <c r="AS53" s="271"/>
      <c r="AT53" s="271"/>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row>
    <row r="54" ht="0" hidden="1" customHeight="1">
      <c r="C54" s="114"/>
      <c r="D54" s="118"/>
      <c r="E54" s="118"/>
      <c r="F54" s="118"/>
      <c r="G54" s="118"/>
      <c r="H54" s="118"/>
      <c r="I54" s="711"/>
      <c r="J54" s="711"/>
      <c r="K54" s="711"/>
      <c r="L54" s="711"/>
      <c r="M54" s="711"/>
      <c r="N54" s="711"/>
      <c r="O54" s="113"/>
      <c r="AP54" s="213"/>
      <c r="AQ54" s="213"/>
      <c r="AR54" s="213"/>
      <c r="AS54" s="271"/>
      <c r="AT54" s="271"/>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row>
    <row r="55" ht="0" hidden="1" customHeight="1">
      <c r="C55" s="114"/>
      <c r="D55" s="118"/>
      <c r="E55" s="118"/>
      <c r="F55" s="118"/>
      <c r="G55" s="118"/>
      <c r="H55" s="118"/>
      <c r="I55" s="711"/>
      <c r="J55" s="711"/>
      <c r="K55" s="711"/>
      <c r="L55" s="711"/>
      <c r="M55" s="711"/>
      <c r="N55" s="711"/>
      <c r="O55" s="113"/>
      <c r="AP55" s="213"/>
      <c r="AQ55" s="213"/>
      <c r="AR55" s="213"/>
      <c r="AS55" s="271"/>
      <c r="AT55" s="271"/>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row>
    <row r="56" ht="0" hidden="1" customHeight="1">
      <c r="C56" s="114"/>
      <c r="D56" s="118"/>
      <c r="E56" s="118"/>
      <c r="F56" s="118"/>
      <c r="G56" s="118"/>
      <c r="H56" s="118"/>
      <c r="I56" s="711"/>
      <c r="J56" s="711"/>
      <c r="K56" s="711"/>
      <c r="L56" s="711"/>
      <c r="M56" s="711"/>
      <c r="N56" s="711"/>
      <c r="O56" s="113"/>
      <c r="AP56" s="213"/>
      <c r="AQ56" s="213"/>
      <c r="AR56" s="213"/>
      <c r="AS56" s="271"/>
      <c r="AT56" s="271"/>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row>
    <row r="57" ht="0" hidden="1" customHeight="1">
      <c r="C57" s="114"/>
      <c r="D57" s="118"/>
      <c r="E57" s="118"/>
      <c r="F57" s="118"/>
      <c r="G57" s="118"/>
      <c r="H57" s="118"/>
      <c r="I57" s="711"/>
      <c r="J57" s="711"/>
      <c r="K57" s="711"/>
      <c r="L57" s="711"/>
      <c r="M57" s="711"/>
      <c r="N57" s="711"/>
      <c r="O57" s="113"/>
      <c r="AP57" s="213"/>
      <c r="AQ57" s="213"/>
      <c r="AR57" s="213"/>
      <c r="AS57" s="271"/>
      <c r="AT57" s="271"/>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row>
    <row r="58" ht="0" hidden="1" customHeight="1">
      <c r="C58" s="114"/>
      <c r="D58" s="118"/>
      <c r="E58" s="118"/>
      <c r="F58" s="118"/>
      <c r="G58" s="118"/>
      <c r="H58" s="118"/>
      <c r="I58" s="711"/>
      <c r="J58" s="711"/>
      <c r="K58" s="711"/>
      <c r="L58" s="711"/>
      <c r="M58" s="711"/>
      <c r="N58" s="711"/>
      <c r="O58" s="113"/>
      <c r="AP58" s="213"/>
      <c r="AQ58" s="213"/>
      <c r="AR58" s="213"/>
      <c r="AS58" s="271"/>
      <c r="AT58" s="271"/>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row>
    <row r="59" ht="0" hidden="1" customHeight="1">
      <c r="C59" s="114"/>
      <c r="D59" s="118"/>
      <c r="E59" s="118"/>
      <c r="F59" s="118"/>
      <c r="G59" s="118"/>
      <c r="H59" s="118"/>
      <c r="I59" s="711"/>
      <c r="J59" s="711"/>
      <c r="K59" s="711"/>
      <c r="L59" s="711"/>
      <c r="M59" s="711"/>
      <c r="N59" s="711"/>
      <c r="O59" s="113"/>
      <c r="AP59" s="213"/>
      <c r="AQ59" s="213"/>
      <c r="AR59" s="213"/>
      <c r="AS59" s="271"/>
      <c r="AT59" s="271"/>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row>
    <row r="60" ht="0" hidden="1" customHeight="1">
      <c r="C60" s="114"/>
      <c r="D60" s="118"/>
      <c r="E60" s="118"/>
      <c r="F60" s="118"/>
      <c r="G60" s="118"/>
      <c r="H60" s="118"/>
      <c r="I60" s="711"/>
      <c r="J60" s="711"/>
      <c r="K60" s="711"/>
      <c r="L60" s="711"/>
      <c r="M60" s="711"/>
      <c r="N60" s="711"/>
      <c r="O60" s="113"/>
      <c r="AP60" s="213"/>
      <c r="AQ60" s="213"/>
      <c r="AR60" s="213"/>
      <c r="AS60" s="271"/>
      <c r="AT60" s="271"/>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row>
    <row r="61" ht="0" hidden="1" customHeight="1">
      <c r="C61" s="114"/>
      <c r="D61" s="118"/>
      <c r="E61" s="118"/>
      <c r="F61" s="118"/>
      <c r="G61" s="118"/>
      <c r="H61" s="118"/>
      <c r="I61" s="711"/>
      <c r="J61" s="711"/>
      <c r="K61" s="711"/>
      <c r="L61" s="711"/>
      <c r="M61" s="711"/>
      <c r="N61" s="711"/>
      <c r="O61" s="113"/>
      <c r="AP61" s="213"/>
      <c r="AQ61" s="213"/>
      <c r="AR61" s="213"/>
      <c r="AS61" s="271"/>
      <c r="AT61" s="271"/>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row>
    <row r="62" ht="0" hidden="1" customHeight="1">
      <c r="C62" s="114"/>
      <c r="D62" s="118"/>
      <c r="E62" s="118"/>
      <c r="F62" s="118"/>
      <c r="G62" s="118"/>
      <c r="H62" s="118"/>
      <c r="I62" s="711"/>
      <c r="J62" s="711"/>
      <c r="K62" s="711"/>
      <c r="L62" s="711"/>
      <c r="M62" s="711"/>
      <c r="N62" s="711"/>
      <c r="O62" s="113"/>
      <c r="AP62" s="213"/>
      <c r="AQ62" s="213"/>
      <c r="AR62" s="213"/>
      <c r="AS62" s="271"/>
      <c r="AT62" s="271"/>
      <c r="AU62" s="244"/>
      <c r="AV62" s="244"/>
      <c r="AW62" s="244"/>
      <c r="AX62" s="244"/>
      <c r="AY62" s="244"/>
      <c r="AZ62" s="244"/>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row>
    <row r="63" ht="0" hidden="1" customHeight="1">
      <c r="C63" s="114"/>
      <c r="D63" s="118"/>
      <c r="E63" s="118"/>
      <c r="F63" s="118"/>
      <c r="G63" s="118"/>
      <c r="H63" s="118"/>
      <c r="I63" s="711"/>
      <c r="J63" s="711"/>
      <c r="K63" s="711"/>
      <c r="L63" s="711"/>
      <c r="M63" s="711"/>
      <c r="N63" s="711"/>
      <c r="O63" s="113"/>
      <c r="AP63" s="213"/>
      <c r="AQ63" s="213"/>
      <c r="AR63" s="213"/>
      <c r="AS63" s="271"/>
      <c r="AT63" s="271"/>
      <c r="AU63" s="244"/>
      <c r="AV63" s="244"/>
      <c r="AW63" s="244"/>
      <c r="AX63" s="244"/>
      <c r="AY63" s="244"/>
      <c r="AZ63" s="244"/>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row>
    <row r="64" ht="0" hidden="1" customHeight="1">
      <c r="C64" s="114"/>
      <c r="D64" s="118"/>
      <c r="E64" s="118"/>
      <c r="F64" s="118"/>
      <c r="G64" s="118"/>
      <c r="H64" s="118"/>
      <c r="I64" s="711"/>
      <c r="J64" s="711"/>
      <c r="K64" s="711"/>
      <c r="L64" s="711"/>
      <c r="M64" s="711"/>
      <c r="N64" s="711"/>
      <c r="O64" s="113"/>
      <c r="AP64" s="213"/>
      <c r="AQ64" s="213"/>
      <c r="AR64" s="213"/>
      <c r="AS64" s="271"/>
      <c r="AT64" s="271"/>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row>
    <row r="65" ht="0" hidden="1" customHeight="1">
      <c r="C65" s="114"/>
      <c r="D65" s="118"/>
      <c r="E65" s="118"/>
      <c r="F65" s="118"/>
      <c r="G65" s="118"/>
      <c r="H65" s="118"/>
      <c r="I65" s="711"/>
      <c r="J65" s="711"/>
      <c r="K65" s="711"/>
      <c r="L65" s="711"/>
      <c r="M65" s="711"/>
      <c r="N65" s="711"/>
      <c r="O65" s="113"/>
      <c r="AP65" s="213"/>
      <c r="AQ65" s="213"/>
      <c r="AR65" s="213"/>
      <c r="AS65" s="271"/>
      <c r="AT65" s="271"/>
      <c r="AU65" s="244"/>
      <c r="AV65" s="244"/>
      <c r="AW65" s="244"/>
      <c r="AX65" s="244"/>
      <c r="AY65" s="244"/>
      <c r="AZ65" s="244"/>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row>
    <row r="66" ht="0" hidden="1" customHeight="1">
      <c r="C66" s="114"/>
      <c r="D66" s="118"/>
      <c r="E66" s="118"/>
      <c r="F66" s="118"/>
      <c r="G66" s="118"/>
      <c r="H66" s="118"/>
      <c r="I66" s="711"/>
      <c r="J66" s="711"/>
      <c r="K66" s="711"/>
      <c r="L66" s="711"/>
      <c r="M66" s="711"/>
      <c r="N66" s="711"/>
      <c r="O66" s="113"/>
      <c r="AP66" s="213"/>
      <c r="AQ66" s="213"/>
      <c r="AR66" s="213"/>
      <c r="AS66" s="271"/>
      <c r="AT66" s="271"/>
      <c r="AU66" s="244"/>
      <c r="AV66" s="244"/>
      <c r="AW66" s="244"/>
      <c r="AX66" s="244"/>
      <c r="AY66" s="244"/>
      <c r="AZ66" s="244"/>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row>
    <row r="67" ht="0" hidden="1" customHeight="1">
      <c r="C67" s="114"/>
      <c r="D67" s="118"/>
      <c r="E67" s="118"/>
      <c r="F67" s="118"/>
      <c r="G67" s="118"/>
      <c r="H67" s="118"/>
      <c r="I67" s="711"/>
      <c r="J67" s="711"/>
      <c r="K67" s="711"/>
      <c r="L67" s="711"/>
      <c r="M67" s="711"/>
      <c r="N67" s="711"/>
      <c r="O67" s="113"/>
      <c r="AP67" s="213"/>
      <c r="AQ67" s="213"/>
      <c r="AR67" s="213"/>
      <c r="AS67" s="271"/>
      <c r="AT67" s="271"/>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row>
    <row r="68" ht="0" hidden="1" customHeight="1">
      <c r="C68" s="114"/>
      <c r="D68" s="118"/>
      <c r="E68" s="118"/>
      <c r="F68" s="118"/>
      <c r="G68" s="118"/>
      <c r="H68" s="118"/>
      <c r="I68" s="711"/>
      <c r="J68" s="711"/>
      <c r="K68" s="711"/>
      <c r="L68" s="711"/>
      <c r="M68" s="711"/>
      <c r="N68" s="711"/>
      <c r="O68" s="113"/>
      <c r="AP68" s="213"/>
      <c r="AQ68" s="213"/>
      <c r="AR68" s="213"/>
      <c r="AS68" s="271"/>
      <c r="AT68" s="271"/>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row>
    <row r="69" ht="0" hidden="1" customHeight="1">
      <c r="C69" s="114"/>
      <c r="D69" s="118"/>
      <c r="E69" s="118"/>
      <c r="F69" s="118"/>
      <c r="G69" s="118"/>
      <c r="H69" s="118"/>
      <c r="I69" s="711"/>
      <c r="J69" s="711"/>
      <c r="K69" s="711"/>
      <c r="L69" s="711"/>
      <c r="M69" s="711"/>
      <c r="N69" s="711"/>
      <c r="O69" s="113"/>
      <c r="AP69" s="213"/>
      <c r="AQ69" s="213"/>
      <c r="AR69" s="213"/>
      <c r="AS69" s="271"/>
      <c r="AT69" s="271"/>
      <c r="AU69" s="244"/>
      <c r="AV69" s="244"/>
      <c r="AW69" s="244"/>
      <c r="AX69" s="244"/>
      <c r="AY69" s="244"/>
      <c r="AZ69" s="244"/>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row>
    <row r="70" ht="0" hidden="1" customHeight="1">
      <c r="C70" s="114"/>
      <c r="D70" s="118"/>
      <c r="E70" s="118"/>
      <c r="F70" s="118"/>
      <c r="G70" s="118"/>
      <c r="H70" s="118"/>
      <c r="I70" s="711"/>
      <c r="J70" s="711"/>
      <c r="K70" s="711"/>
      <c r="L70" s="711"/>
      <c r="M70" s="711"/>
      <c r="N70" s="711"/>
      <c r="O70" s="113"/>
      <c r="AP70" s="213"/>
      <c r="AQ70" s="213"/>
      <c r="AR70" s="213"/>
      <c r="AS70" s="271"/>
      <c r="AT70" s="271"/>
      <c r="AU70" s="244"/>
      <c r="AV70" s="244"/>
      <c r="AW70" s="244"/>
      <c r="AX70" s="244"/>
      <c r="AY70" s="244"/>
      <c r="AZ70" s="244"/>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row>
    <row r="71" ht="0" hidden="1" customHeight="1">
      <c r="C71" s="114"/>
      <c r="D71" s="118"/>
      <c r="E71" s="118"/>
      <c r="F71" s="118"/>
      <c r="G71" s="118"/>
      <c r="H71" s="118"/>
      <c r="I71" s="711"/>
      <c r="J71" s="711"/>
      <c r="K71" s="711"/>
      <c r="L71" s="711"/>
      <c r="M71" s="711"/>
      <c r="N71" s="711"/>
      <c r="O71" s="113"/>
      <c r="AP71" s="213"/>
      <c r="AQ71" s="213"/>
      <c r="AR71" s="213"/>
      <c r="AS71" s="271"/>
      <c r="AT71" s="271"/>
      <c r="AU71" s="244"/>
      <c r="AV71" s="244"/>
      <c r="AW71" s="244"/>
      <c r="AX71" s="244"/>
      <c r="AY71" s="244"/>
      <c r="AZ71" s="244"/>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row>
    <row r="72" ht="0" hidden="1" customHeight="1">
      <c r="C72" s="114"/>
      <c r="D72" s="118"/>
      <c r="E72" s="118"/>
      <c r="F72" s="118"/>
      <c r="G72" s="118"/>
      <c r="H72" s="118"/>
      <c r="I72" s="711"/>
      <c r="J72" s="711"/>
      <c r="K72" s="711"/>
      <c r="L72" s="711"/>
      <c r="M72" s="711"/>
      <c r="N72" s="711"/>
      <c r="O72" s="113"/>
      <c r="AP72" s="213"/>
      <c r="AQ72" s="213"/>
      <c r="AR72" s="213"/>
      <c r="AS72" s="271"/>
      <c r="AT72" s="271"/>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row>
    <row r="73" ht="0" hidden="1" customHeight="1">
      <c r="C73" s="114"/>
      <c r="D73" s="118"/>
      <c r="E73" s="118"/>
      <c r="F73" s="118"/>
      <c r="G73" s="118"/>
      <c r="H73" s="118"/>
      <c r="I73" s="711"/>
      <c r="J73" s="711"/>
      <c r="K73" s="711"/>
      <c r="L73" s="711"/>
      <c r="M73" s="711"/>
      <c r="N73" s="711"/>
      <c r="O73" s="113"/>
      <c r="AP73" s="213"/>
      <c r="AQ73" s="213"/>
      <c r="AR73" s="213"/>
      <c r="AS73" s="271"/>
      <c r="AT73" s="271"/>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row>
    <row r="74" ht="0" hidden="1" customHeight="1">
      <c r="C74" s="114"/>
      <c r="D74" s="118"/>
      <c r="E74" s="118"/>
      <c r="F74" s="118"/>
      <c r="G74" s="118"/>
      <c r="H74" s="118"/>
      <c r="I74" s="711"/>
      <c r="J74" s="711"/>
      <c r="K74" s="711"/>
      <c r="L74" s="711"/>
      <c r="M74" s="711"/>
      <c r="N74" s="711"/>
      <c r="O74" s="113"/>
      <c r="AP74" s="213"/>
      <c r="AQ74" s="213"/>
      <c r="AR74" s="213"/>
      <c r="AS74" s="271"/>
      <c r="AT74" s="271"/>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row>
    <row r="75" ht="0" hidden="1" customHeight="1">
      <c r="C75" s="114"/>
      <c r="D75" s="118"/>
      <c r="E75" s="118"/>
      <c r="F75" s="118"/>
      <c r="G75" s="118"/>
      <c r="H75" s="118"/>
      <c r="I75" s="711"/>
      <c r="J75" s="711"/>
      <c r="K75" s="711"/>
      <c r="L75" s="711"/>
      <c r="M75" s="711"/>
      <c r="N75" s="711"/>
      <c r="O75" s="113"/>
      <c r="AP75" s="213"/>
      <c r="AQ75" s="213"/>
      <c r="AR75" s="213"/>
      <c r="AS75" s="271"/>
      <c r="AT75" s="271"/>
      <c r="AU75" s="244"/>
      <c r="AV75" s="244"/>
      <c r="AW75" s="244"/>
      <c r="AX75" s="244"/>
      <c r="AY75" s="244"/>
      <c r="AZ75" s="244"/>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row>
    <row r="76" ht="0" hidden="1" customHeight="1">
      <c r="C76" s="114"/>
      <c r="D76" s="118"/>
      <c r="E76" s="118"/>
      <c r="F76" s="118"/>
      <c r="G76" s="118"/>
      <c r="H76" s="118"/>
      <c r="I76" s="711"/>
      <c r="J76" s="711"/>
      <c r="K76" s="711"/>
      <c r="L76" s="711"/>
      <c r="M76" s="711"/>
      <c r="N76" s="711"/>
      <c r="O76" s="113"/>
      <c r="AP76" s="213"/>
      <c r="AQ76" s="213"/>
      <c r="AR76" s="213"/>
      <c r="AS76" s="271"/>
      <c r="AT76" s="271"/>
      <c r="AU76" s="244"/>
      <c r="AV76" s="244"/>
      <c r="AW76" s="244"/>
      <c r="AX76" s="244"/>
      <c r="AY76" s="244"/>
      <c r="AZ76" s="244"/>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row>
    <row r="77" ht="0" hidden="1" customHeight="1">
      <c r="C77" s="114"/>
      <c r="D77" s="118"/>
      <c r="E77" s="118"/>
      <c r="F77" s="118"/>
      <c r="G77" s="118"/>
      <c r="H77" s="118"/>
      <c r="I77" s="711"/>
      <c r="J77" s="711"/>
      <c r="K77" s="711"/>
      <c r="L77" s="711"/>
      <c r="M77" s="711"/>
      <c r="N77" s="711"/>
      <c r="O77" s="113"/>
      <c r="AP77" s="213"/>
      <c r="AQ77" s="213"/>
      <c r="AR77" s="213"/>
      <c r="AS77" s="271"/>
      <c r="AT77" s="271"/>
      <c r="AU77" s="244"/>
      <c r="AV77" s="244"/>
      <c r="AW77" s="244"/>
      <c r="AX77" s="244"/>
      <c r="AY77" s="244"/>
      <c r="AZ77" s="244"/>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row>
    <row r="78" ht="0" hidden="1" customHeight="1">
      <c r="C78" s="114"/>
      <c r="D78" s="118"/>
      <c r="E78" s="118"/>
      <c r="F78" s="118"/>
      <c r="G78" s="118"/>
      <c r="H78" s="118"/>
      <c r="I78" s="711"/>
      <c r="J78" s="711"/>
      <c r="K78" s="711"/>
      <c r="L78" s="711"/>
      <c r="M78" s="711"/>
      <c r="N78" s="711"/>
      <c r="O78" s="113"/>
      <c r="AP78" s="213"/>
      <c r="AQ78" s="213"/>
      <c r="AR78" s="213"/>
      <c r="AS78" s="271"/>
      <c r="AT78" s="271"/>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row>
    <row r="79" ht="0" hidden="1" customHeight="1">
      <c r="C79" s="114"/>
      <c r="D79" s="118"/>
      <c r="E79" s="118"/>
      <c r="F79" s="118"/>
      <c r="G79" s="118"/>
      <c r="H79" s="118"/>
      <c r="I79" s="711"/>
      <c r="J79" s="711"/>
      <c r="K79" s="711"/>
      <c r="L79" s="711"/>
      <c r="M79" s="711"/>
      <c r="N79" s="711"/>
      <c r="O79" s="113"/>
      <c r="AP79" s="213"/>
      <c r="AQ79" s="213"/>
      <c r="AR79" s="213"/>
      <c r="AS79" s="271"/>
      <c r="AT79" s="271"/>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row>
    <row r="80" ht="0" hidden="1" customHeight="1">
      <c r="C80" s="114"/>
      <c r="D80" s="118"/>
      <c r="E80" s="118"/>
      <c r="F80" s="118"/>
      <c r="G80" s="118"/>
      <c r="H80" s="118"/>
      <c r="I80" s="711"/>
      <c r="J80" s="711"/>
      <c r="K80" s="711"/>
      <c r="L80" s="711"/>
      <c r="M80" s="711"/>
      <c r="N80" s="711"/>
      <c r="O80" s="113"/>
      <c r="AP80" s="213"/>
      <c r="AQ80" s="213"/>
      <c r="AR80" s="213"/>
      <c r="AS80" s="271"/>
      <c r="AT80" s="271"/>
      <c r="AU80" s="24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row>
    <row r="81" ht="0" hidden="1" customHeight="1">
      <c r="C81" s="114"/>
      <c r="D81" s="118"/>
      <c r="E81" s="118"/>
      <c r="F81" s="118"/>
      <c r="G81" s="118"/>
      <c r="H81" s="118"/>
      <c r="I81" s="711"/>
      <c r="J81" s="711"/>
      <c r="K81" s="711"/>
      <c r="L81" s="711"/>
      <c r="M81" s="711"/>
      <c r="N81" s="711"/>
      <c r="O81" s="113"/>
      <c r="AP81" s="213"/>
      <c r="AQ81" s="213"/>
      <c r="AR81" s="213"/>
      <c r="AS81" s="271"/>
      <c r="AT81" s="271"/>
      <c r="AU81" s="244"/>
      <c r="AV81" s="244"/>
      <c r="AW81" s="244"/>
      <c r="AX81" s="244"/>
      <c r="AY81" s="244"/>
      <c r="AZ81" s="244"/>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row>
    <row r="82" ht="0" hidden="1" customHeight="1">
      <c r="C82" s="114"/>
      <c r="D82" s="118"/>
      <c r="E82" s="118"/>
      <c r="F82" s="118"/>
      <c r="G82" s="118"/>
      <c r="H82" s="118"/>
      <c r="I82" s="711"/>
      <c r="J82" s="711"/>
      <c r="K82" s="711"/>
      <c r="L82" s="711"/>
      <c r="M82" s="711"/>
      <c r="N82" s="711"/>
      <c r="O82" s="113"/>
      <c r="AP82" s="213"/>
      <c r="AQ82" s="213"/>
      <c r="AR82" s="213"/>
      <c r="AS82" s="271"/>
      <c r="AT82" s="271"/>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row>
    <row r="83" ht="0" hidden="1" customHeight="1">
      <c r="C83" s="114"/>
      <c r="D83" s="118"/>
      <c r="E83" s="118"/>
      <c r="F83" s="118"/>
      <c r="G83" s="118"/>
      <c r="H83" s="118"/>
      <c r="I83" s="711"/>
      <c r="J83" s="711"/>
      <c r="K83" s="711"/>
      <c r="L83" s="711"/>
      <c r="M83" s="711"/>
      <c r="N83" s="711"/>
      <c r="O83" s="113"/>
      <c r="AP83" s="213"/>
      <c r="AQ83" s="213"/>
      <c r="AR83" s="213"/>
      <c r="AS83" s="271"/>
      <c r="AT83" s="271"/>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row>
    <row r="84" ht="0" hidden="1" customHeight="1">
      <c r="C84" s="114"/>
      <c r="D84" s="118"/>
      <c r="E84" s="118"/>
      <c r="F84" s="118"/>
      <c r="G84" s="118"/>
      <c r="H84" s="118"/>
      <c r="I84" s="711"/>
      <c r="J84" s="711"/>
      <c r="K84" s="711"/>
      <c r="L84" s="711"/>
      <c r="M84" s="711"/>
      <c r="N84" s="711"/>
      <c r="O84" s="113"/>
      <c r="AP84" s="213"/>
      <c r="AQ84" s="213"/>
      <c r="AR84" s="213"/>
      <c r="AS84" s="271"/>
      <c r="AT84" s="271"/>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row>
    <row r="85" ht="0" hidden="1" customHeight="1">
      <c r="C85" s="114"/>
      <c r="D85" s="118"/>
      <c r="E85" s="118"/>
      <c r="F85" s="118"/>
      <c r="G85" s="118"/>
      <c r="H85" s="118"/>
      <c r="I85" s="711"/>
      <c r="J85" s="711"/>
      <c r="K85" s="711"/>
      <c r="L85" s="711"/>
      <c r="M85" s="711"/>
      <c r="N85" s="711"/>
      <c r="O85" s="113"/>
      <c r="AP85" s="213"/>
      <c r="AQ85" s="213"/>
      <c r="AR85" s="213"/>
      <c r="AS85" s="271"/>
      <c r="AT85" s="271"/>
      <c r="AU85" s="244"/>
      <c r="AV85" s="244"/>
      <c r="AW85" s="244"/>
      <c r="AX85" s="244"/>
      <c r="AY85" s="244"/>
      <c r="AZ85" s="244"/>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row>
    <row r="86" ht="0" hidden="1" customHeight="1">
      <c r="C86" s="114"/>
      <c r="D86" s="118"/>
      <c r="E86" s="118"/>
      <c r="F86" s="118"/>
      <c r="G86" s="118"/>
      <c r="H86" s="118"/>
      <c r="I86" s="711"/>
      <c r="J86" s="711"/>
      <c r="K86" s="711"/>
      <c r="L86" s="711"/>
      <c r="M86" s="711"/>
      <c r="N86" s="711"/>
      <c r="O86" s="113"/>
      <c r="AP86" s="213"/>
      <c r="AQ86" s="213"/>
      <c r="AR86" s="213"/>
      <c r="AS86" s="271"/>
      <c r="AT86" s="271"/>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row>
    <row r="87" ht="0" hidden="1" customHeight="1">
      <c r="C87" s="114"/>
      <c r="D87" s="118"/>
      <c r="E87" s="118"/>
      <c r="F87" s="118"/>
      <c r="G87" s="118"/>
      <c r="H87" s="118"/>
      <c r="I87" s="711"/>
      <c r="J87" s="711"/>
      <c r="K87" s="711"/>
      <c r="L87" s="711"/>
      <c r="M87" s="711"/>
      <c r="N87" s="711"/>
      <c r="O87" s="113"/>
      <c r="AP87" s="213"/>
      <c r="AQ87" s="213"/>
      <c r="AR87" s="213"/>
      <c r="AS87" s="271"/>
      <c r="AT87" s="271"/>
      <c r="AU87" s="244"/>
      <c r="AV87" s="244"/>
      <c r="AW87" s="244"/>
      <c r="AX87" s="244"/>
      <c r="AY87" s="244"/>
      <c r="AZ87" s="244"/>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row>
    <row r="88" ht="0" hidden="1" customHeight="1">
      <c r="C88" s="114"/>
      <c r="D88" s="118"/>
      <c r="E88" s="118"/>
      <c r="F88" s="118"/>
      <c r="G88" s="118"/>
      <c r="H88" s="118"/>
      <c r="I88" s="711"/>
      <c r="J88" s="711"/>
      <c r="K88" s="711"/>
      <c r="L88" s="711"/>
      <c r="M88" s="711"/>
      <c r="N88" s="711"/>
      <c r="O88" s="113"/>
      <c r="AP88" s="213"/>
      <c r="AQ88" s="213"/>
      <c r="AR88" s="213"/>
      <c r="AS88" s="271"/>
      <c r="AT88" s="271"/>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row>
    <row r="89" ht="0" hidden="1" customHeight="1">
      <c r="C89" s="114"/>
      <c r="D89" s="118"/>
      <c r="E89" s="118"/>
      <c r="F89" s="118"/>
      <c r="G89" s="118"/>
      <c r="H89" s="118"/>
      <c r="I89" s="711"/>
      <c r="J89" s="711"/>
      <c r="K89" s="711"/>
      <c r="L89" s="711"/>
      <c r="M89" s="711"/>
      <c r="N89" s="711"/>
      <c r="O89" s="113"/>
      <c r="AP89" s="213"/>
      <c r="AQ89" s="213"/>
      <c r="AR89" s="213"/>
      <c r="AS89" s="271"/>
      <c r="AT89" s="271"/>
      <c r="AU89" s="244"/>
      <c r="AV89" s="244"/>
      <c r="AW89" s="244"/>
      <c r="AX89" s="244"/>
      <c r="AY89" s="244"/>
      <c r="AZ89" s="244"/>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row>
    <row r="90" ht="0" hidden="1" customHeight="1">
      <c r="C90" s="114"/>
      <c r="D90" s="118"/>
      <c r="E90" s="118"/>
      <c r="F90" s="118"/>
      <c r="G90" s="118"/>
      <c r="H90" s="118"/>
      <c r="I90" s="711"/>
      <c r="J90" s="711"/>
      <c r="K90" s="711"/>
      <c r="L90" s="711"/>
      <c r="M90" s="711"/>
      <c r="N90" s="711"/>
      <c r="O90" s="113"/>
      <c r="AP90" s="213"/>
      <c r="AQ90" s="213"/>
      <c r="AR90" s="213"/>
      <c r="AS90" s="271"/>
      <c r="AT90" s="271"/>
      <c r="AU90" s="244"/>
      <c r="AV90" s="244"/>
      <c r="AW90" s="244"/>
      <c r="AX90" s="244"/>
      <c r="AY90" s="244"/>
      <c r="AZ90" s="244"/>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row>
    <row r="91" ht="0" hidden="1" customHeight="1">
      <c r="C91" s="114"/>
      <c r="D91" s="118"/>
      <c r="E91" s="118"/>
      <c r="F91" s="118"/>
      <c r="G91" s="118"/>
      <c r="H91" s="118"/>
      <c r="I91" s="711"/>
      <c r="J91" s="711"/>
      <c r="K91" s="711"/>
      <c r="L91" s="711"/>
      <c r="M91" s="711"/>
      <c r="N91" s="711"/>
      <c r="O91" s="113"/>
      <c r="AP91" s="213"/>
      <c r="AQ91" s="213"/>
      <c r="AR91" s="213"/>
      <c r="AS91" s="271"/>
      <c r="AT91" s="271"/>
      <c r="AU91" s="244"/>
      <c r="AV91" s="244"/>
      <c r="AW91" s="244"/>
      <c r="AX91" s="244"/>
      <c r="AY91" s="244"/>
      <c r="AZ91" s="244"/>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row>
    <row r="92" ht="0" hidden="1" customHeight="1">
      <c r="C92" s="114"/>
      <c r="D92" s="118"/>
      <c r="E92" s="118"/>
      <c r="F92" s="118"/>
      <c r="G92" s="118"/>
      <c r="H92" s="118"/>
      <c r="I92" s="711"/>
      <c r="J92" s="711"/>
      <c r="K92" s="711"/>
      <c r="L92" s="711"/>
      <c r="M92" s="711"/>
      <c r="N92" s="711"/>
      <c r="O92" s="113"/>
      <c r="AP92" s="213"/>
      <c r="AQ92" s="213"/>
      <c r="AR92" s="213"/>
      <c r="AS92" s="271"/>
      <c r="AT92" s="271"/>
      <c r="AU92" s="244"/>
      <c r="AV92" s="244"/>
      <c r="AW92" s="244"/>
      <c r="AX92" s="244"/>
      <c r="AY92" s="244"/>
      <c r="AZ92" s="244"/>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row>
    <row r="93" ht="0" hidden="1" customHeight="1">
      <c r="C93" s="114"/>
      <c r="D93" s="118"/>
      <c r="E93" s="118"/>
      <c r="F93" s="118"/>
      <c r="G93" s="118"/>
      <c r="H93" s="118"/>
      <c r="I93" s="711"/>
      <c r="J93" s="711"/>
      <c r="K93" s="711"/>
      <c r="L93" s="711"/>
      <c r="M93" s="711"/>
      <c r="N93" s="711"/>
      <c r="O93" s="113"/>
      <c r="AP93" s="213"/>
      <c r="AQ93" s="213"/>
      <c r="AR93" s="213"/>
      <c r="AS93" s="271"/>
      <c r="AT93" s="271"/>
      <c r="AU93" s="244"/>
      <c r="AV93" s="244"/>
      <c r="AW93" s="244"/>
      <c r="AX93" s="244"/>
      <c r="AY93" s="244"/>
      <c r="AZ93" s="244"/>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row>
    <row r="94" ht="0" hidden="1" customHeight="1">
      <c r="C94" s="114"/>
      <c r="D94" s="118"/>
      <c r="E94" s="118"/>
      <c r="F94" s="118"/>
      <c r="G94" s="118"/>
      <c r="H94" s="118"/>
      <c r="I94" s="711"/>
      <c r="J94" s="711"/>
      <c r="K94" s="711"/>
      <c r="L94" s="711"/>
      <c r="M94" s="711"/>
      <c r="N94" s="711"/>
      <c r="O94" s="113"/>
      <c r="AP94" s="213"/>
      <c r="AQ94" s="213"/>
      <c r="AR94" s="213"/>
      <c r="AS94" s="271"/>
      <c r="AT94" s="271"/>
      <c r="AU94" s="244"/>
      <c r="AV94" s="244"/>
      <c r="AW94" s="244"/>
      <c r="AX94" s="244"/>
      <c r="AY94" s="244"/>
      <c r="AZ94" s="244"/>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row>
    <row r="95" ht="0" hidden="1" customHeight="1">
      <c r="C95" s="114"/>
      <c r="D95" s="118"/>
      <c r="E95" s="118"/>
      <c r="F95" s="118"/>
      <c r="G95" s="118"/>
      <c r="H95" s="118"/>
      <c r="I95" s="711"/>
      <c r="J95" s="711"/>
      <c r="K95" s="711"/>
      <c r="L95" s="711"/>
      <c r="M95" s="711"/>
      <c r="N95" s="711"/>
      <c r="O95" s="113"/>
      <c r="AP95" s="213"/>
      <c r="AQ95" s="213"/>
      <c r="AR95" s="213"/>
      <c r="AS95" s="271"/>
      <c r="AT95" s="271"/>
      <c r="AU95" s="244"/>
      <c r="AV95" s="244"/>
      <c r="AW95" s="244"/>
      <c r="AX95" s="244"/>
      <c r="AY95" s="244"/>
      <c r="AZ95" s="244"/>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row>
    <row r="96" ht="0" hidden="1" customHeight="1">
      <c r="C96" s="114"/>
      <c r="D96" s="118"/>
      <c r="E96" s="118"/>
      <c r="F96" s="118"/>
      <c r="G96" s="118"/>
      <c r="H96" s="118"/>
      <c r="I96" s="711"/>
      <c r="J96" s="711"/>
      <c r="K96" s="711"/>
      <c r="L96" s="711"/>
      <c r="M96" s="711"/>
      <c r="N96" s="711"/>
      <c r="O96" s="113"/>
      <c r="AP96" s="213"/>
      <c r="AQ96" s="213"/>
      <c r="AR96" s="213"/>
      <c r="AS96" s="271"/>
      <c r="AT96" s="271"/>
      <c r="AU96" s="244"/>
      <c r="AV96" s="244"/>
      <c r="AW96" s="244"/>
      <c r="AX96" s="244"/>
      <c r="AY96" s="244"/>
      <c r="AZ96" s="244"/>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row>
    <row r="97" ht="0" hidden="1" customHeight="1">
      <c r="C97" s="114"/>
      <c r="D97" s="118"/>
      <c r="E97" s="118"/>
      <c r="F97" s="118"/>
      <c r="G97" s="118"/>
      <c r="H97" s="118"/>
      <c r="I97" s="711"/>
      <c r="J97" s="711"/>
      <c r="K97" s="711"/>
      <c r="L97" s="711"/>
      <c r="M97" s="711"/>
      <c r="N97" s="711"/>
      <c r="O97" s="113"/>
      <c r="AP97" s="213"/>
      <c r="AQ97" s="213"/>
      <c r="AR97" s="213"/>
      <c r="AS97" s="271"/>
      <c r="AT97" s="271"/>
      <c r="AU97" s="244"/>
      <c r="AV97" s="244"/>
      <c r="AW97" s="244"/>
      <c r="AX97" s="244"/>
      <c r="AY97" s="244"/>
      <c r="AZ97" s="244"/>
      <c r="BA97" s="244"/>
      <c r="BB97" s="244"/>
      <c r="BC97" s="244"/>
      <c r="BD97" s="244"/>
      <c r="BE97" s="244"/>
      <c r="BF97" s="244"/>
      <c r="BG97" s="244"/>
      <c r="BH97" s="244"/>
      <c r="BI97" s="244"/>
      <c r="BJ97" s="244"/>
      <c r="BK97" s="244"/>
      <c r="BL97" s="244"/>
      <c r="BM97" s="244"/>
      <c r="BN97" s="244"/>
      <c r="BO97" s="244"/>
      <c r="BP97" s="244"/>
      <c r="BQ97" s="244"/>
      <c r="BR97" s="244"/>
      <c r="BS97" s="244"/>
      <c r="BT97" s="244"/>
      <c r="BU97" s="244"/>
      <c r="BV97" s="244"/>
      <c r="BW97" s="244"/>
      <c r="BX97" s="244"/>
      <c r="BY97" s="244"/>
      <c r="BZ97" s="244"/>
      <c r="CA97" s="244"/>
      <c r="CB97" s="244"/>
      <c r="CC97" s="244"/>
      <c r="CD97" s="244"/>
      <c r="CE97" s="244"/>
      <c r="CF97" s="244"/>
    </row>
    <row r="98" ht="0" hidden="1" customHeight="1">
      <c r="C98" s="114"/>
      <c r="D98" s="118"/>
      <c r="E98" s="118"/>
      <c r="F98" s="118"/>
      <c r="G98" s="118"/>
      <c r="H98" s="118"/>
      <c r="I98" s="711"/>
      <c r="J98" s="711"/>
      <c r="K98" s="711"/>
      <c r="L98" s="711"/>
      <c r="M98" s="711"/>
      <c r="N98" s="711"/>
      <c r="O98" s="113"/>
      <c r="AP98" s="213"/>
      <c r="AQ98" s="213"/>
      <c r="AR98" s="213"/>
      <c r="AS98" s="271"/>
      <c r="AT98" s="271"/>
      <c r="AU98" s="244"/>
      <c r="AV98" s="244"/>
      <c r="AW98" s="244"/>
      <c r="AX98" s="244"/>
      <c r="AY98" s="244"/>
      <c r="AZ98" s="244"/>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row>
    <row r="99" ht="0" hidden="1" customHeight="1">
      <c r="C99" s="114"/>
      <c r="D99" s="118"/>
      <c r="E99" s="118"/>
      <c r="F99" s="118"/>
      <c r="G99" s="118"/>
      <c r="H99" s="118"/>
      <c r="I99" s="711"/>
      <c r="J99" s="711"/>
      <c r="K99" s="711"/>
      <c r="L99" s="711"/>
      <c r="M99" s="711"/>
      <c r="N99" s="711"/>
      <c r="O99" s="113"/>
      <c r="AP99" s="213"/>
      <c r="AQ99" s="213"/>
      <c r="AR99" s="213"/>
      <c r="AS99" s="271"/>
      <c r="AT99" s="271"/>
      <c r="AU99" s="244"/>
      <c r="AV99" s="244"/>
      <c r="AW99" s="244"/>
      <c r="AX99" s="244"/>
      <c r="AY99" s="244"/>
      <c r="AZ99" s="244"/>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row>
    <row r="100" ht="0" hidden="1" customHeight="1">
      <c r="C100" s="114"/>
      <c r="D100" s="118"/>
      <c r="E100" s="118"/>
      <c r="F100" s="118"/>
      <c r="G100" s="118"/>
      <c r="H100" s="118"/>
      <c r="I100" s="711"/>
      <c r="J100" s="711"/>
      <c r="K100" s="711"/>
      <c r="L100" s="711"/>
      <c r="M100" s="711"/>
      <c r="N100" s="711"/>
      <c r="O100" s="113"/>
      <c r="AP100" s="213"/>
      <c r="AQ100" s="213"/>
      <c r="AR100" s="213"/>
      <c r="AS100" s="271"/>
      <c r="AT100" s="271"/>
      <c r="AU100" s="244"/>
      <c r="AV100" s="244"/>
      <c r="AW100" s="244"/>
      <c r="AX100" s="244"/>
      <c r="AY100" s="244"/>
      <c r="AZ100" s="244"/>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row>
    <row r="101" ht="0" hidden="1" customHeight="1">
      <c r="C101" s="114"/>
      <c r="D101" s="118"/>
      <c r="E101" s="118"/>
      <c r="F101" s="118"/>
      <c r="G101" s="118"/>
      <c r="H101" s="118"/>
      <c r="I101" s="118"/>
      <c r="J101" s="118"/>
      <c r="K101" s="118"/>
      <c r="L101" s="118"/>
      <c r="M101" s="118"/>
      <c r="N101" s="118"/>
      <c r="O101" s="113"/>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row>
    <row r="102" ht="18" customHeight="1">
      <c r="E102" s="115"/>
      <c r="F102" s="115"/>
      <c r="G102" s="115"/>
      <c r="Y102" s="121"/>
      <c r="AB102" s="0"/>
      <c r="AC102" s="0"/>
      <c r="AD102" s="0"/>
      <c r="AE102" s="100"/>
      <c r="AI102" s="0"/>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row>
    <row r="103" ht="39.95" customHeight="1">
      <c r="B103"/>
      <c r="C103" s="712" t="s">
        <v>114</v>
      </c>
      <c r="D103" s="712"/>
      <c r="E103" s="712"/>
      <c r="F103" s="712"/>
      <c r="G103" s="712"/>
      <c r="H103" s="712"/>
      <c r="I103" s="712"/>
      <c r="J103" s="712"/>
      <c r="K103" s="712"/>
      <c r="L103" s="712"/>
      <c r="M103" s="712"/>
      <c r="N103" s="712"/>
      <c r="O103" s="712"/>
      <c r="P103" s="712"/>
      <c r="Q103" s="712"/>
      <c r="R103" s="712"/>
      <c r="S103" s="712"/>
      <c r="T103" s="712"/>
      <c r="U103" s="712"/>
      <c r="V103" s="712"/>
      <c r="W103" s="712"/>
      <c r="X103" s="712"/>
      <c r="Y103" s="712"/>
      <c r="Z103" s="712"/>
      <c r="AA103" s="712"/>
      <c r="AB103" s="712"/>
      <c r="AC103" s="712"/>
      <c r="AD103" s="712"/>
      <c r="AE103" s="712"/>
      <c r="AF103" s="712"/>
      <c r="AG103" s="712"/>
      <c r="AH103" s="712"/>
      <c r="AI103" s="712"/>
      <c r="AJ103" s="712"/>
      <c r="AK103" s="712"/>
      <c r="AL103" s="712"/>
      <c r="AM103" s="712"/>
      <c r="AN103" s="712"/>
      <c r="AO103" s="712"/>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row>
    <row r="104" s="117" customFormat="1" ht="18" customHeight="1">
      <c r="E104" s="63"/>
      <c r="F104" s="63"/>
      <c r="G104" s="63"/>
      <c r="H104"/>
      <c r="I104"/>
      <c r="J104"/>
      <c r="K104"/>
      <c r="L104"/>
      <c r="M104"/>
      <c r="N104"/>
      <c r="O104"/>
      <c r="P104"/>
      <c r="Q104"/>
      <c r="R104"/>
      <c r="S104"/>
      <c r="T104"/>
      <c r="U104"/>
      <c r="V104"/>
      <c r="W104"/>
      <c r="X104"/>
      <c r="Y104"/>
      <c r="Z104"/>
      <c r="AS104" s="247"/>
      <c r="AT104" s="247"/>
      <c r="AU104" s="247"/>
      <c r="AV104" s="247"/>
      <c r="AW104" s="247"/>
      <c r="AX104" s="247"/>
      <c r="AY104" s="247"/>
      <c r="AZ104" s="247"/>
      <c r="BA104" s="247"/>
      <c r="BB104" s="247"/>
      <c r="BC104" s="247"/>
      <c r="BD104" s="247"/>
      <c r="BE104" s="247"/>
      <c r="BF104" s="247"/>
      <c r="BG104" s="247"/>
      <c r="BH104" s="247"/>
      <c r="BI104" s="247"/>
      <c r="BJ104" s="247"/>
      <c r="BK104" s="247"/>
      <c r="BL104" s="247"/>
      <c r="BM104" s="247"/>
      <c r="BN104" s="247"/>
      <c r="BO104" s="247"/>
      <c r="BP104" s="247"/>
      <c r="BQ104" s="247"/>
      <c r="BR104" s="247"/>
      <c r="BS104" s="247"/>
      <c r="BT104" s="247"/>
      <c r="BU104" s="247"/>
      <c r="BV104" s="247"/>
      <c r="BW104" s="247"/>
      <c r="BX104" s="247"/>
      <c r="BY104" s="247"/>
      <c r="BZ104" s="247"/>
      <c r="CA104" s="247"/>
      <c r="CB104" s="247"/>
      <c r="CC104" s="247"/>
      <c r="CD104" s="247"/>
      <c r="CE104" s="247"/>
      <c r="CF104" s="247"/>
    </row>
    <row r="105" ht="12.75" customHeight="1">
      <c r="A105" s="713"/>
      <c r="B105" s="713"/>
      <c r="C105" s="713"/>
      <c r="D105" s="713"/>
      <c r="E105" s="713"/>
      <c r="F105" s="713"/>
      <c r="G105" s="713"/>
      <c r="H105" s="713"/>
      <c r="I105" s="713"/>
      <c r="J105" s="713"/>
      <c r="K105" s="713"/>
      <c r="L105" s="713"/>
      <c r="M105" s="713"/>
      <c r="N105" s="713"/>
      <c r="O105" s="713"/>
      <c r="P105" s="713"/>
      <c r="Q105" s="713"/>
      <c r="R105" s="713"/>
      <c r="S105" s="713"/>
      <c r="T105" s="713"/>
      <c r="U105" s="713"/>
      <c r="V105" s="713"/>
      <c r="W105" s="713"/>
      <c r="X105" s="713"/>
      <c r="Y105" s="713"/>
      <c r="Z105" s="713"/>
      <c r="AA105" s="713"/>
      <c r="AB105" s="713"/>
      <c r="AC105" s="713"/>
      <c r="AD105" s="713"/>
      <c r="AE105" s="713"/>
      <c r="AF105" s="713"/>
      <c r="AG105" s="713"/>
      <c r="AH105" s="713"/>
      <c r="AI105" s="713"/>
      <c r="AJ105" s="713"/>
      <c r="AK105" s="713"/>
      <c r="AL105" s="713"/>
      <c r="AM105" s="713"/>
      <c r="AN105" s="713"/>
      <c r="AO105" s="713"/>
      <c r="AP105" s="713"/>
      <c r="AQ105" s="713"/>
      <c r="AR105" s="713"/>
      <c r="AS105" s="713"/>
      <c r="AT105" s="713"/>
      <c r="AU105" s="713"/>
      <c r="AV105" s="713"/>
      <c r="AW105" s="713"/>
      <c r="AX105" s="713"/>
      <c r="AY105" s="713"/>
      <c r="AZ105" s="713"/>
      <c r="BA105" s="713"/>
      <c r="BB105" s="713"/>
      <c r="BC105" s="713"/>
      <c r="BD105" s="713"/>
      <c r="BE105" s="713"/>
      <c r="BF105" s="713"/>
      <c r="BG105" s="713"/>
      <c r="BH105" s="713"/>
      <c r="BI105" s="713"/>
      <c r="BJ105" s="713"/>
      <c r="BK105" s="713"/>
      <c r="BL105" s="713"/>
      <c r="BM105" s="713"/>
      <c r="BN105" s="713"/>
      <c r="BO105" s="713"/>
      <c r="BP105" s="713"/>
      <c r="BQ105" s="713"/>
      <c r="BR105" s="244"/>
      <c r="BS105" s="244"/>
      <c r="BT105" s="244"/>
      <c r="BU105" s="244"/>
      <c r="BV105" s="244"/>
      <c r="BW105" s="244"/>
      <c r="BX105" s="244"/>
      <c r="BY105" s="244"/>
      <c r="BZ105" s="244"/>
      <c r="CA105" s="244"/>
      <c r="CB105" s="244"/>
      <c r="CC105" s="244"/>
      <c r="CD105" s="244"/>
      <c r="CE105" s="244"/>
      <c r="CF105" s="244"/>
    </row>
    <row r="106" ht="12.75" customHeight="1">
      <c r="A106" s="713"/>
      <c r="B106" s="713"/>
      <c r="C106" s="713"/>
      <c r="D106" s="713"/>
      <c r="E106" s="713"/>
      <c r="F106" s="713"/>
      <c r="G106" s="713"/>
      <c r="H106" s="713"/>
      <c r="I106" s="713"/>
      <c r="J106" s="713"/>
      <c r="K106" s="713"/>
      <c r="L106" s="713"/>
      <c r="M106" s="713"/>
      <c r="N106" s="713"/>
      <c r="O106" s="713"/>
      <c r="P106" s="713"/>
      <c r="Q106" s="713"/>
      <c r="R106" s="713"/>
      <c r="S106" s="713"/>
      <c r="T106" s="713"/>
      <c r="U106" s="713"/>
      <c r="V106" s="713"/>
      <c r="W106" s="713"/>
      <c r="X106" s="713"/>
      <c r="Y106" s="713"/>
      <c r="Z106" s="713"/>
      <c r="AA106" s="713"/>
      <c r="AB106" s="713"/>
      <c r="AC106" s="713"/>
      <c r="AD106" s="713"/>
      <c r="AE106" s="713"/>
      <c r="AF106" s="713"/>
      <c r="AG106" s="713"/>
      <c r="AH106" s="713"/>
      <c r="AI106" s="713"/>
      <c r="AJ106" s="713"/>
      <c r="AK106" s="713"/>
      <c r="AL106" s="713"/>
      <c r="AM106" s="713"/>
      <c r="AN106" s="713"/>
      <c r="AO106" s="713"/>
      <c r="AP106" s="713"/>
      <c r="AQ106" s="713"/>
      <c r="AR106" s="713"/>
      <c r="AS106" s="713"/>
      <c r="AT106" s="713"/>
      <c r="AU106" s="713"/>
      <c r="AV106" s="713"/>
      <c r="AW106" s="713"/>
      <c r="AX106" s="713"/>
      <c r="AY106" s="713"/>
      <c r="AZ106" s="713"/>
      <c r="BA106" s="713"/>
      <c r="BB106" s="713"/>
      <c r="BC106" s="713"/>
      <c r="BD106" s="713"/>
      <c r="BE106" s="713"/>
      <c r="BF106" s="713"/>
      <c r="BG106" s="713"/>
      <c r="BH106" s="713"/>
      <c r="BI106" s="713"/>
      <c r="BJ106" s="713"/>
      <c r="BK106" s="713"/>
      <c r="BL106" s="713"/>
      <c r="BM106" s="713"/>
      <c r="BN106" s="713"/>
      <c r="BO106" s="713"/>
      <c r="BP106" s="713"/>
      <c r="BQ106" s="713"/>
      <c r="BR106" s="244"/>
      <c r="BS106" s="244"/>
      <c r="BT106" s="244"/>
      <c r="BU106" s="244"/>
      <c r="BV106" s="244"/>
      <c r="BW106" s="244"/>
      <c r="BX106" s="244"/>
      <c r="BY106" s="244"/>
      <c r="BZ106" s="244"/>
      <c r="CA106" s="244"/>
      <c r="CB106" s="244"/>
      <c r="CC106" s="244"/>
      <c r="CD106" s="244"/>
      <c r="CE106" s="244"/>
      <c r="CF106" s="244"/>
    </row>
    <row r="107" ht="12.75" customHeight="1">
      <c r="A107" s="713"/>
      <c r="B107" s="713"/>
      <c r="C107" s="713"/>
      <c r="D107" s="713"/>
      <c r="E107" s="713"/>
      <c r="F107" s="713"/>
      <c r="G107" s="713"/>
      <c r="H107" s="713"/>
      <c r="I107" s="713"/>
      <c r="J107" s="713"/>
      <c r="K107" s="713"/>
      <c r="L107" s="713"/>
      <c r="M107" s="713"/>
      <c r="N107" s="713"/>
      <c r="O107" s="713"/>
      <c r="P107" s="713"/>
      <c r="Q107" s="713"/>
      <c r="R107" s="713"/>
      <c r="S107" s="713"/>
      <c r="T107" s="713"/>
      <c r="U107" s="713"/>
      <c r="V107" s="713"/>
      <c r="W107" s="713"/>
      <c r="X107" s="713"/>
      <c r="Y107" s="713"/>
      <c r="Z107" s="713"/>
      <c r="AA107" s="713"/>
      <c r="AB107" s="713"/>
      <c r="AC107" s="713"/>
      <c r="AD107" s="713"/>
      <c r="AE107" s="713"/>
      <c r="AF107" s="713"/>
      <c r="AG107" s="713"/>
      <c r="AH107" s="713"/>
      <c r="AI107" s="713"/>
      <c r="AJ107" s="713"/>
      <c r="AK107" s="713"/>
      <c r="AL107" s="713"/>
      <c r="AM107" s="713"/>
      <c r="AN107" s="713"/>
      <c r="AO107" s="713"/>
      <c r="AP107" s="713"/>
      <c r="AQ107" s="713"/>
      <c r="AR107" s="713"/>
      <c r="AS107" s="713"/>
      <c r="AT107" s="713"/>
      <c r="AU107" s="713"/>
      <c r="AV107" s="713"/>
      <c r="AW107" s="713"/>
      <c r="AX107" s="713"/>
      <c r="AY107" s="713"/>
      <c r="AZ107" s="713"/>
      <c r="BA107" s="713"/>
      <c r="BB107" s="713"/>
      <c r="BC107" s="713"/>
      <c r="BD107" s="713"/>
      <c r="BE107" s="713"/>
      <c r="BF107" s="713"/>
      <c r="BG107" s="713"/>
      <c r="BH107" s="713"/>
      <c r="BI107" s="713"/>
      <c r="BJ107" s="713"/>
      <c r="BK107" s="713"/>
      <c r="BL107" s="713"/>
      <c r="BM107" s="713"/>
      <c r="BN107" s="713"/>
      <c r="BO107" s="713"/>
      <c r="BP107" s="713"/>
      <c r="BQ107" s="713"/>
      <c r="BR107" s="244"/>
      <c r="BS107" s="244"/>
      <c r="BT107" s="244"/>
      <c r="BU107" s="244"/>
      <c r="BV107" s="244"/>
      <c r="BW107" s="244"/>
      <c r="BX107" s="244"/>
      <c r="BY107" s="244"/>
      <c r="BZ107" s="244"/>
      <c r="CA107" s="244"/>
      <c r="CB107" s="244"/>
      <c r="CC107" s="244"/>
      <c r="CD107" s="244"/>
      <c r="CE107" s="244"/>
      <c r="CF107" s="244"/>
    </row>
    <row r="108" ht="12.75" customHeight="1">
      <c r="A108" s="713"/>
      <c r="B108" s="713"/>
      <c r="C108" s="713"/>
      <c r="D108" s="713"/>
      <c r="E108" s="713"/>
      <c r="F108" s="713"/>
      <c r="G108" s="713"/>
      <c r="H108" s="713"/>
      <c r="I108" s="713"/>
      <c r="J108" s="713"/>
      <c r="K108" s="713"/>
      <c r="L108" s="713"/>
      <c r="M108" s="713"/>
      <c r="N108" s="713"/>
      <c r="O108" s="713"/>
      <c r="P108" s="713"/>
      <c r="Q108" s="713"/>
      <c r="R108" s="713"/>
      <c r="S108" s="713"/>
      <c r="T108" s="713"/>
      <c r="U108" s="713"/>
      <c r="V108" s="713"/>
      <c r="W108" s="713"/>
      <c r="X108" s="713"/>
      <c r="Y108" s="713"/>
      <c r="Z108" s="713"/>
      <c r="AA108" s="713"/>
      <c r="AB108" s="713"/>
      <c r="AC108" s="713"/>
      <c r="AD108" s="713"/>
      <c r="AE108" s="713"/>
      <c r="AF108" s="713"/>
      <c r="AG108" s="713"/>
      <c r="AH108" s="713"/>
      <c r="AI108" s="713"/>
      <c r="AJ108" s="713"/>
      <c r="AK108" s="713"/>
      <c r="AL108" s="713"/>
      <c r="AM108" s="713"/>
      <c r="AN108" s="713"/>
      <c r="AO108" s="713"/>
      <c r="AP108" s="713"/>
      <c r="AQ108" s="713"/>
      <c r="AR108" s="713"/>
      <c r="AS108" s="713"/>
      <c r="AT108" s="713"/>
      <c r="AU108" s="713"/>
      <c r="AV108" s="713"/>
      <c r="AW108" s="713"/>
      <c r="AX108" s="713"/>
      <c r="AY108" s="713"/>
      <c r="AZ108" s="713"/>
      <c r="BA108" s="713"/>
      <c r="BB108" s="713"/>
      <c r="BC108" s="713"/>
      <c r="BD108" s="713"/>
      <c r="BE108" s="713"/>
      <c r="BF108" s="713"/>
      <c r="BG108" s="713"/>
      <c r="BH108" s="713"/>
      <c r="BI108" s="713"/>
      <c r="BJ108" s="713"/>
      <c r="BK108" s="713"/>
      <c r="BL108" s="713"/>
      <c r="BM108" s="713"/>
      <c r="BN108" s="713"/>
      <c r="BO108" s="713"/>
      <c r="BP108" s="713"/>
      <c r="BQ108" s="713"/>
      <c r="BR108" s="244"/>
      <c r="BS108" s="244"/>
      <c r="BT108" s="244"/>
      <c r="BU108" s="244"/>
      <c r="BV108" s="244"/>
      <c r="BW108" s="244"/>
      <c r="BX108" s="244"/>
      <c r="BY108" s="244"/>
      <c r="BZ108" s="244"/>
      <c r="CA108" s="244"/>
      <c r="CB108" s="244"/>
      <c r="CC108" s="244"/>
      <c r="CD108" s="244"/>
      <c r="CE108" s="244"/>
      <c r="CF108" s="244"/>
    </row>
    <row r="109" ht="12.75" customHeight="1">
      <c r="A109" s="713"/>
      <c r="B109" s="713"/>
      <c r="C109" s="713"/>
      <c r="D109" s="713"/>
      <c r="E109" s="713"/>
      <c r="F109" s="713"/>
      <c r="G109" s="713"/>
      <c r="H109" s="713"/>
      <c r="I109" s="713"/>
      <c r="J109" s="713"/>
      <c r="K109" s="713"/>
      <c r="L109" s="713"/>
      <c r="M109" s="713"/>
      <c r="N109" s="713"/>
      <c r="O109" s="713"/>
      <c r="P109" s="713"/>
      <c r="Q109" s="713"/>
      <c r="R109" s="713"/>
      <c r="S109" s="713"/>
      <c r="T109" s="713"/>
      <c r="U109" s="713"/>
      <c r="V109" s="713"/>
      <c r="W109" s="713"/>
      <c r="X109" s="713"/>
      <c r="Y109" s="713"/>
      <c r="Z109" s="713"/>
      <c r="AA109" s="713"/>
      <c r="AB109" s="713"/>
      <c r="AC109" s="713"/>
      <c r="AD109" s="713"/>
      <c r="AE109" s="713"/>
      <c r="AF109" s="713"/>
      <c r="AG109" s="713"/>
      <c r="AH109" s="713"/>
      <c r="AI109" s="713"/>
      <c r="AJ109" s="713"/>
      <c r="AK109" s="713"/>
      <c r="AL109" s="713"/>
      <c r="AM109" s="713"/>
      <c r="AN109" s="713"/>
      <c r="AO109" s="713"/>
      <c r="AP109" s="713"/>
      <c r="AQ109" s="713"/>
      <c r="AR109" s="713"/>
      <c r="AS109" s="713"/>
      <c r="AT109" s="713"/>
      <c r="AU109" s="713"/>
      <c r="AV109" s="713"/>
      <c r="AW109" s="713"/>
      <c r="AX109" s="713"/>
      <c r="AY109" s="713"/>
      <c r="AZ109" s="713"/>
      <c r="BA109" s="713"/>
      <c r="BB109" s="713"/>
      <c r="BC109" s="713"/>
      <c r="BD109" s="713"/>
      <c r="BE109" s="713"/>
      <c r="BF109" s="713"/>
      <c r="BG109" s="713"/>
      <c r="BH109" s="713"/>
      <c r="BI109" s="713"/>
      <c r="BJ109" s="713"/>
      <c r="BK109" s="713"/>
      <c r="BL109" s="713"/>
      <c r="BM109" s="713"/>
      <c r="BN109" s="713"/>
      <c r="BO109" s="713"/>
      <c r="BP109" s="713"/>
      <c r="BQ109" s="713"/>
      <c r="BR109" s="244"/>
      <c r="BS109" s="244"/>
      <c r="BT109" s="244"/>
      <c r="BU109" s="244"/>
      <c r="BV109" s="244"/>
      <c r="BW109" s="244"/>
      <c r="BX109" s="244"/>
      <c r="BY109" s="244"/>
      <c r="BZ109" s="244"/>
      <c r="CA109" s="244"/>
      <c r="CB109" s="244"/>
      <c r="CC109" s="244"/>
      <c r="CD109" s="244"/>
      <c r="CE109" s="244"/>
      <c r="CF109" s="244"/>
    </row>
    <row r="110" ht="12.75" customHeight="1">
      <c r="A110" s="713"/>
      <c r="B110" s="713"/>
      <c r="C110" s="713"/>
      <c r="D110" s="713"/>
      <c r="E110" s="713"/>
      <c r="F110" s="713"/>
      <c r="G110" s="713"/>
      <c r="H110" s="713"/>
      <c r="I110" s="713"/>
      <c r="J110" s="713"/>
      <c r="K110" s="713"/>
      <c r="L110" s="713"/>
      <c r="M110" s="713"/>
      <c r="N110" s="713"/>
      <c r="O110" s="713"/>
      <c r="P110" s="713"/>
      <c r="Q110" s="713"/>
      <c r="R110" s="713"/>
      <c r="S110" s="713"/>
      <c r="T110" s="713"/>
      <c r="U110" s="713"/>
      <c r="V110" s="713"/>
      <c r="W110" s="713"/>
      <c r="X110" s="713"/>
      <c r="Y110" s="713"/>
      <c r="Z110" s="713"/>
      <c r="AA110" s="713"/>
      <c r="AB110" s="713"/>
      <c r="AC110" s="713"/>
      <c r="AD110" s="713"/>
      <c r="AE110" s="713"/>
      <c r="AF110" s="713"/>
      <c r="AG110" s="713"/>
      <c r="AH110" s="713"/>
      <c r="AI110" s="713"/>
      <c r="AJ110" s="713"/>
      <c r="AK110" s="713"/>
      <c r="AL110" s="713"/>
      <c r="AM110" s="713"/>
      <c r="AN110" s="713"/>
      <c r="AO110" s="713"/>
      <c r="AP110" s="713"/>
      <c r="AQ110" s="713"/>
      <c r="AR110" s="713"/>
      <c r="AS110" s="713"/>
      <c r="AT110" s="713"/>
      <c r="AU110" s="713"/>
      <c r="AV110" s="713"/>
      <c r="AW110" s="713"/>
      <c r="AX110" s="713"/>
      <c r="AY110" s="713"/>
      <c r="AZ110" s="713"/>
      <c r="BA110" s="713"/>
      <c r="BB110" s="713"/>
      <c r="BC110" s="713"/>
      <c r="BD110" s="713"/>
      <c r="BE110" s="713"/>
      <c r="BF110" s="713"/>
      <c r="BG110" s="713"/>
      <c r="BH110" s="713"/>
      <c r="BI110" s="713"/>
      <c r="BJ110" s="713"/>
      <c r="BK110" s="713"/>
      <c r="BL110" s="713"/>
      <c r="BM110" s="713"/>
      <c r="BN110" s="713"/>
      <c r="BO110" s="713"/>
      <c r="BP110" s="713"/>
      <c r="BQ110" s="713"/>
      <c r="BR110" s="244"/>
      <c r="BS110" s="244"/>
      <c r="BT110" s="244"/>
      <c r="BU110" s="244"/>
      <c r="BV110" s="244"/>
      <c r="BW110" s="244"/>
      <c r="BX110" s="244"/>
      <c r="BY110" s="244"/>
      <c r="BZ110" s="244"/>
      <c r="CA110" s="244"/>
      <c r="CB110" s="244"/>
      <c r="CC110" s="244"/>
      <c r="CD110" s="244"/>
      <c r="CE110" s="244"/>
      <c r="CF110" s="244"/>
    </row>
    <row r="111" ht="12.75" customHeight="1">
      <c r="A111" s="713"/>
      <c r="B111" s="713"/>
      <c r="C111" s="713"/>
      <c r="D111" s="713"/>
      <c r="E111" s="713"/>
      <c r="F111" s="713"/>
      <c r="G111" s="713"/>
      <c r="H111" s="713"/>
      <c r="I111" s="713"/>
      <c r="J111" s="713"/>
      <c r="K111" s="713"/>
      <c r="L111" s="713"/>
      <c r="M111" s="713"/>
      <c r="N111" s="713"/>
      <c r="O111" s="713"/>
      <c r="P111" s="713"/>
      <c r="Q111" s="713"/>
      <c r="R111" s="713"/>
      <c r="S111" s="713"/>
      <c r="T111" s="713"/>
      <c r="U111" s="713"/>
      <c r="V111" s="713"/>
      <c r="W111" s="713"/>
      <c r="X111" s="713"/>
      <c r="Y111" s="713"/>
      <c r="Z111" s="713"/>
      <c r="AA111" s="713"/>
      <c r="AB111" s="713"/>
      <c r="AC111" s="713"/>
      <c r="AD111" s="713"/>
      <c r="AE111" s="713"/>
      <c r="AF111" s="713"/>
      <c r="AG111" s="713"/>
      <c r="AH111" s="713"/>
      <c r="AI111" s="713"/>
      <c r="AJ111" s="713"/>
      <c r="AK111" s="713"/>
      <c r="AL111" s="713"/>
      <c r="AM111" s="713"/>
      <c r="AN111" s="713"/>
      <c r="AO111" s="713"/>
      <c r="AP111" s="713"/>
      <c r="AQ111" s="713"/>
      <c r="AR111" s="713"/>
      <c r="AS111" s="713"/>
      <c r="AT111" s="713"/>
      <c r="AU111" s="713"/>
      <c r="AV111" s="713"/>
      <c r="AW111" s="713"/>
      <c r="AX111" s="713"/>
      <c r="AY111" s="713"/>
      <c r="AZ111" s="713"/>
      <c r="BA111" s="713"/>
      <c r="BB111" s="713"/>
      <c r="BC111" s="713"/>
      <c r="BD111" s="713"/>
      <c r="BE111" s="713"/>
      <c r="BF111" s="713"/>
      <c r="BG111" s="713"/>
      <c r="BH111" s="713"/>
      <c r="BI111" s="713"/>
      <c r="BJ111" s="713"/>
      <c r="BK111" s="713"/>
      <c r="BL111" s="713"/>
      <c r="BM111" s="713"/>
      <c r="BN111" s="713"/>
      <c r="BO111" s="713"/>
      <c r="BP111" s="713"/>
      <c r="BQ111" s="713"/>
      <c r="BR111" s="244"/>
      <c r="BS111" s="244"/>
      <c r="BT111" s="244"/>
      <c r="BU111" s="244"/>
      <c r="BV111" s="244"/>
      <c r="BW111" s="244"/>
      <c r="BX111" s="244"/>
      <c r="BY111" s="244"/>
      <c r="BZ111" s="244"/>
      <c r="CA111" s="244"/>
      <c r="CB111" s="244"/>
      <c r="CC111" s="244"/>
      <c r="CD111" s="244"/>
      <c r="CE111" s="244"/>
      <c r="CF111" s="244"/>
    </row>
    <row r="112" ht="12.75" customHeight="1">
      <c r="A112" s="713"/>
      <c r="B112" s="713"/>
      <c r="C112" s="713"/>
      <c r="D112" s="713"/>
      <c r="E112" s="713"/>
      <c r="F112" s="713"/>
      <c r="G112" s="713"/>
      <c r="H112" s="713"/>
      <c r="I112" s="713"/>
      <c r="J112" s="713"/>
      <c r="K112" s="713"/>
      <c r="L112" s="713"/>
      <c r="M112" s="713"/>
      <c r="N112" s="713"/>
      <c r="O112" s="713"/>
      <c r="P112" s="713"/>
      <c r="Q112" s="713"/>
      <c r="R112" s="713"/>
      <c r="S112" s="713"/>
      <c r="T112" s="713"/>
      <c r="U112" s="713"/>
      <c r="V112" s="713"/>
      <c r="W112" s="713"/>
      <c r="X112" s="713"/>
      <c r="Y112" s="713"/>
      <c r="Z112" s="713"/>
      <c r="AA112" s="713"/>
      <c r="AB112" s="713"/>
      <c r="AC112" s="713"/>
      <c r="AD112" s="713"/>
      <c r="AE112" s="713"/>
      <c r="AF112" s="713"/>
      <c r="AG112" s="713"/>
      <c r="AH112" s="713"/>
      <c r="AI112" s="713"/>
      <c r="AJ112" s="713"/>
      <c r="AK112" s="713"/>
      <c r="AL112" s="713"/>
      <c r="AM112" s="713"/>
      <c r="AN112" s="713"/>
      <c r="AO112" s="713"/>
      <c r="AP112" s="713"/>
      <c r="AQ112" s="713"/>
      <c r="AR112" s="713"/>
      <c r="AS112" s="713"/>
      <c r="AT112" s="713"/>
      <c r="AU112" s="713"/>
      <c r="AV112" s="713"/>
      <c r="AW112" s="713"/>
      <c r="AX112" s="713"/>
      <c r="AY112" s="713"/>
      <c r="AZ112" s="713"/>
      <c r="BA112" s="713"/>
      <c r="BB112" s="713"/>
      <c r="BC112" s="713"/>
      <c r="BD112" s="713"/>
      <c r="BE112" s="713"/>
      <c r="BF112" s="713"/>
      <c r="BG112" s="713"/>
      <c r="BH112" s="713"/>
      <c r="BI112" s="713"/>
      <c r="BJ112" s="713"/>
      <c r="BK112" s="713"/>
      <c r="BL112" s="713"/>
      <c r="BM112" s="713"/>
      <c r="BN112" s="713"/>
      <c r="BO112" s="713"/>
      <c r="BP112" s="713"/>
      <c r="BQ112" s="713"/>
      <c r="BR112" s="244"/>
      <c r="BS112" s="244"/>
      <c r="BT112" s="244"/>
      <c r="BU112" s="244"/>
      <c r="BV112" s="244"/>
      <c r="BW112" s="244"/>
      <c r="BX112" s="244"/>
      <c r="BY112" s="244"/>
      <c r="BZ112" s="244"/>
      <c r="CA112" s="244"/>
      <c r="CB112" s="244"/>
      <c r="CC112" s="244"/>
      <c r="CD112" s="244"/>
      <c r="CE112" s="244"/>
      <c r="CF112" s="244"/>
    </row>
    <row r="113" ht="12.75" customHeight="1">
      <c r="A113" s="713"/>
      <c r="B113" s="713"/>
      <c r="C113" s="713"/>
      <c r="D113" s="713"/>
      <c r="E113" s="713"/>
      <c r="F113" s="713"/>
      <c r="G113" s="713"/>
      <c r="H113" s="713"/>
      <c r="I113" s="713"/>
      <c r="J113" s="713"/>
      <c r="K113" s="713"/>
      <c r="L113" s="713"/>
      <c r="M113" s="713"/>
      <c r="N113" s="713"/>
      <c r="O113" s="713"/>
      <c r="P113" s="713"/>
      <c r="Q113" s="713"/>
      <c r="R113" s="713"/>
      <c r="S113" s="713"/>
      <c r="T113" s="713"/>
      <c r="U113" s="713"/>
      <c r="V113" s="713"/>
      <c r="W113" s="713"/>
      <c r="X113" s="713"/>
      <c r="Y113" s="713"/>
      <c r="Z113" s="713"/>
      <c r="AA113" s="713"/>
      <c r="AB113" s="713"/>
      <c r="AC113" s="713"/>
      <c r="AD113" s="713"/>
      <c r="AE113" s="713"/>
      <c r="AF113" s="713"/>
      <c r="AG113" s="713"/>
      <c r="AH113" s="713"/>
      <c r="AI113" s="713"/>
      <c r="AJ113" s="713"/>
      <c r="AK113" s="713"/>
      <c r="AL113" s="713"/>
      <c r="AM113" s="713"/>
      <c r="AN113" s="713"/>
      <c r="AO113" s="713"/>
      <c r="AP113" s="713"/>
      <c r="AQ113" s="713"/>
      <c r="AR113" s="713"/>
      <c r="AS113" s="713"/>
      <c r="AT113" s="713"/>
      <c r="AU113" s="713"/>
      <c r="AV113" s="713"/>
      <c r="AW113" s="713"/>
      <c r="AX113" s="713"/>
      <c r="AY113" s="713"/>
      <c r="AZ113" s="713"/>
      <c r="BA113" s="713"/>
      <c r="BB113" s="713"/>
      <c r="BC113" s="713"/>
      <c r="BD113" s="713"/>
      <c r="BE113" s="713"/>
      <c r="BF113" s="713"/>
      <c r="BG113" s="713"/>
      <c r="BH113" s="713"/>
      <c r="BI113" s="713"/>
      <c r="BJ113" s="713"/>
      <c r="BK113" s="713"/>
      <c r="BL113" s="713"/>
      <c r="BM113" s="713"/>
      <c r="BN113" s="713"/>
      <c r="BO113" s="713"/>
      <c r="BP113" s="713"/>
      <c r="BQ113" s="713"/>
      <c r="BR113" s="244"/>
      <c r="BS113" s="244"/>
      <c r="BT113" s="244"/>
      <c r="BU113" s="244"/>
      <c r="BV113" s="244"/>
      <c r="BW113" s="244"/>
      <c r="BX113" s="244"/>
      <c r="BY113" s="244"/>
      <c r="BZ113" s="244"/>
      <c r="CA113" s="244"/>
      <c r="CB113" s="244"/>
      <c r="CC113" s="244"/>
      <c r="CD113" s="244"/>
      <c r="CE113" s="244"/>
      <c r="CF113" s="244"/>
    </row>
    <row r="114">
      <c r="A114" s="713"/>
      <c r="B114" s="713"/>
      <c r="C114" s="713"/>
      <c r="D114" s="713"/>
      <c r="E114" s="713"/>
      <c r="F114" s="713"/>
      <c r="G114" s="713"/>
      <c r="H114" s="713"/>
      <c r="I114" s="713"/>
      <c r="J114" s="713"/>
      <c r="K114" s="713"/>
      <c r="L114" s="713"/>
      <c r="M114" s="713"/>
      <c r="N114" s="713"/>
      <c r="O114" s="713"/>
      <c r="P114" s="713"/>
      <c r="Q114" s="713"/>
      <c r="R114" s="713"/>
      <c r="S114" s="713"/>
      <c r="T114" s="713"/>
      <c r="U114" s="713"/>
      <c r="V114" s="713"/>
      <c r="W114" s="713"/>
      <c r="X114" s="713"/>
      <c r="Y114" s="713"/>
      <c r="Z114" s="713"/>
      <c r="AA114" s="713"/>
      <c r="AB114" s="713"/>
      <c r="AC114" s="713"/>
      <c r="AD114" s="713"/>
      <c r="AE114" s="713"/>
      <c r="AF114" s="713"/>
      <c r="AG114" s="713"/>
      <c r="AH114" s="713"/>
      <c r="AI114" s="713"/>
      <c r="AJ114" s="713"/>
      <c r="AK114" s="713"/>
      <c r="AL114" s="713"/>
      <c r="AM114" s="713"/>
      <c r="AN114" s="713"/>
      <c r="AO114" s="713"/>
      <c r="AP114" s="713"/>
      <c r="AQ114" s="713"/>
      <c r="AR114" s="713"/>
      <c r="AS114" s="713"/>
      <c r="AT114" s="713"/>
      <c r="AU114" s="713"/>
      <c r="AV114" s="713"/>
      <c r="AW114" s="713"/>
      <c r="AX114" s="713"/>
      <c r="AY114" s="713"/>
      <c r="AZ114" s="713"/>
      <c r="BA114" s="713"/>
      <c r="BB114" s="713"/>
      <c r="BC114" s="713"/>
      <c r="BD114" s="713"/>
      <c r="BE114" s="713"/>
      <c r="BF114" s="713"/>
      <c r="BG114" s="713"/>
      <c r="BH114" s="713"/>
      <c r="BI114" s="713"/>
      <c r="BJ114" s="713"/>
      <c r="BK114" s="713"/>
      <c r="BL114" s="713"/>
      <c r="BM114" s="713"/>
      <c r="BN114" s="713"/>
      <c r="BO114" s="713"/>
      <c r="BP114" s="713"/>
      <c r="BQ114" s="713"/>
      <c r="BR114" s="244"/>
      <c r="BS114" s="244"/>
      <c r="BT114" s="244"/>
      <c r="BU114" s="244"/>
      <c r="BV114" s="244"/>
      <c r="BW114" s="244"/>
      <c r="BX114" s="244"/>
      <c r="BY114" s="244"/>
      <c r="BZ114" s="244"/>
      <c r="CA114" s="244"/>
      <c r="CB114" s="244"/>
      <c r="CC114" s="244"/>
      <c r="CD114" s="244"/>
      <c r="CE114" s="244"/>
      <c r="CF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row>
  </sheetData>
  <mergeCells count="187">
    <mergeCell ref="I94:N94"/>
    <mergeCell ref="I95:N95"/>
    <mergeCell ref="I96:N96"/>
    <mergeCell ref="I97:N97"/>
    <mergeCell ref="C103:AO103"/>
    <mergeCell ref="I98:N98"/>
    <mergeCell ref="I99:N99"/>
    <mergeCell ref="I100:N100"/>
    <mergeCell ref="I88:N88"/>
    <mergeCell ref="I89:N89"/>
    <mergeCell ref="I90:N90"/>
    <mergeCell ref="I91:N91"/>
    <mergeCell ref="I92:N92"/>
    <mergeCell ref="I93:N93"/>
    <mergeCell ref="I82:N82"/>
    <mergeCell ref="I83:N83"/>
    <mergeCell ref="I84:N84"/>
    <mergeCell ref="I85:N85"/>
    <mergeCell ref="I86:N86"/>
    <mergeCell ref="I87:N87"/>
    <mergeCell ref="I76:N76"/>
    <mergeCell ref="I77:N77"/>
    <mergeCell ref="I78:N78"/>
    <mergeCell ref="I79:N79"/>
    <mergeCell ref="I80:N80"/>
    <mergeCell ref="I81:N81"/>
    <mergeCell ref="I70:N70"/>
    <mergeCell ref="I71:N71"/>
    <mergeCell ref="I72:N72"/>
    <mergeCell ref="I73:N73"/>
    <mergeCell ref="I74:N74"/>
    <mergeCell ref="I75:N75"/>
    <mergeCell ref="I64:N64"/>
    <mergeCell ref="I65:N65"/>
    <mergeCell ref="I66:N66"/>
    <mergeCell ref="I67:N67"/>
    <mergeCell ref="I68:N68"/>
    <mergeCell ref="I69:N69"/>
    <mergeCell ref="I58:N58"/>
    <mergeCell ref="I59:N59"/>
    <mergeCell ref="I60:N60"/>
    <mergeCell ref="I61:N61"/>
    <mergeCell ref="I62:N62"/>
    <mergeCell ref="I63:N63"/>
    <mergeCell ref="I52:N52"/>
    <mergeCell ref="I53:N53"/>
    <mergeCell ref="I54:N54"/>
    <mergeCell ref="I55:N55"/>
    <mergeCell ref="I56:N56"/>
    <mergeCell ref="I57:N57"/>
    <mergeCell ref="I46:N46"/>
    <mergeCell ref="I47:N47"/>
    <mergeCell ref="I48:N48"/>
    <mergeCell ref="I49:N49"/>
    <mergeCell ref="I50:N50"/>
    <mergeCell ref="I51:N51"/>
    <mergeCell ref="I40:N40"/>
    <mergeCell ref="I41:N41"/>
    <mergeCell ref="I42:N42"/>
    <mergeCell ref="I43:N43"/>
    <mergeCell ref="I44:N44"/>
    <mergeCell ref="I45:N45"/>
    <mergeCell ref="I34:N34"/>
    <mergeCell ref="I35:N35"/>
    <mergeCell ref="I36:N36"/>
    <mergeCell ref="I37:N37"/>
    <mergeCell ref="I38:N38"/>
    <mergeCell ref="I39:N39"/>
    <mergeCell ref="I28:N28"/>
    <mergeCell ref="I29:N29"/>
    <mergeCell ref="I30:N30"/>
    <mergeCell ref="I31:N31"/>
    <mergeCell ref="I32:N32"/>
    <mergeCell ref="I33:N33"/>
    <mergeCell ref="I24:N24"/>
    <mergeCell ref="I25:N25"/>
    <mergeCell ref="I22:N22"/>
    <mergeCell ref="I23:N23"/>
    <mergeCell ref="I26:N26"/>
    <mergeCell ref="I27:N27"/>
    <mergeCell ref="S6:T6"/>
    <mergeCell ref="U6:V6"/>
    <mergeCell ref="AV20:BB20"/>
    <mergeCell ref="Q19:W20"/>
    <mergeCell ref="Z19:AF20"/>
    <mergeCell ref="AI19:AO20"/>
    <mergeCell ref="AM7:AN7"/>
    <mergeCell ref="Q7:R7"/>
    <mergeCell ref="S7:T7"/>
    <mergeCell ref="U7:V7"/>
    <mergeCell ref="I7:J7"/>
    <mergeCell ref="K7:L7"/>
    <mergeCell ref="M7:N7"/>
    <mergeCell ref="O7:P7"/>
    <mergeCell ref="AI7:AJ7"/>
    <mergeCell ref="AK7:AL7"/>
    <mergeCell ref="AG9:AH9"/>
    <mergeCell ref="AI9:AJ9"/>
    <mergeCell ref="H5:V5"/>
    <mergeCell ref="I6:J6"/>
    <mergeCell ref="K6:L6"/>
    <mergeCell ref="M6:N6"/>
    <mergeCell ref="O6:P6"/>
    <mergeCell ref="Q6:R6"/>
    <mergeCell ref="AC7:AD7"/>
    <mergeCell ref="AE7:AF7"/>
    <mergeCell ref="AG7:AH7"/>
    <mergeCell ref="AB5:AP5"/>
    <mergeCell ref="AC6:AD6"/>
    <mergeCell ref="AE6:AF6"/>
    <mergeCell ref="AG6:AH6"/>
    <mergeCell ref="AI6:AJ6"/>
    <mergeCell ref="AK6:AL6"/>
    <mergeCell ref="AM6:AN6"/>
    <mergeCell ref="AO6:AP6"/>
    <mergeCell ref="AO7:AP7"/>
    <mergeCell ref="AE8:AF8"/>
    <mergeCell ref="AG11:AH11"/>
    <mergeCell ref="AI11:AJ11"/>
    <mergeCell ref="AG10:AH10"/>
    <mergeCell ref="AI10:AJ10"/>
    <mergeCell ref="AK10:AL10"/>
    <mergeCell ref="AM10:AN10"/>
    <mergeCell ref="AK12:AL12"/>
    <mergeCell ref="AM12:AN12"/>
    <mergeCell ref="AM9:AN9"/>
    <mergeCell ref="AI8:AJ8"/>
    <mergeCell ref="AK8:AL8"/>
    <mergeCell ref="AM8:AN8"/>
    <mergeCell ref="AC8:AD8"/>
    <mergeCell ref="AG8:AH8"/>
    <mergeCell ref="AM11:AN11"/>
    <mergeCell ref="AO11:AP11"/>
    <mergeCell ref="I12:J12"/>
    <mergeCell ref="AE11:AF11"/>
    <mergeCell ref="K12:L12"/>
    <mergeCell ref="M12:N12"/>
    <mergeCell ref="O12:P12"/>
    <mergeCell ref="U9:V9"/>
    <mergeCell ref="AC9:AD9"/>
    <mergeCell ref="AE9:AF9"/>
    <mergeCell ref="U11:V11"/>
    <mergeCell ref="AC11:AD11"/>
    <mergeCell ref="AK11:AL11"/>
    <mergeCell ref="I11:J11"/>
    <mergeCell ref="K11:L11"/>
    <mergeCell ref="M11:N11"/>
    <mergeCell ref="O11:P11"/>
    <mergeCell ref="Q11:R11"/>
    <mergeCell ref="S11:T11"/>
    <mergeCell ref="AO12:AP12"/>
    <mergeCell ref="AO10:AP10"/>
    <mergeCell ref="AK9:AL9"/>
    <mergeCell ref="AO8:AP8"/>
    <mergeCell ref="I9:J9"/>
    <mergeCell ref="K9:L9"/>
    <mergeCell ref="M9:N9"/>
    <mergeCell ref="O9:P9"/>
    <mergeCell ref="Q9:R9"/>
    <mergeCell ref="S9:T9"/>
    <mergeCell ref="AO9:AP9"/>
    <mergeCell ref="I10:J10"/>
    <mergeCell ref="K10:L10"/>
    <mergeCell ref="M10:N10"/>
    <mergeCell ref="O10:P10"/>
    <mergeCell ref="Q10:R10"/>
    <mergeCell ref="S10:T10"/>
    <mergeCell ref="I8:J8"/>
    <mergeCell ref="K8:L8"/>
    <mergeCell ref="M8:N8"/>
    <mergeCell ref="O8:P8"/>
    <mergeCell ref="Q8:R8"/>
    <mergeCell ref="S8:T8"/>
    <mergeCell ref="U10:V10"/>
    <mergeCell ref="AC10:AD10"/>
    <mergeCell ref="AE10:AF10"/>
    <mergeCell ref="U8:V8"/>
    <mergeCell ref="O14:U14"/>
    <mergeCell ref="W14:AC14"/>
    <mergeCell ref="AE14:AK14"/>
    <mergeCell ref="S12:T12"/>
    <mergeCell ref="U12:V12"/>
    <mergeCell ref="AC12:AD12"/>
    <mergeCell ref="AE12:AF12"/>
    <mergeCell ref="AG12:AH12"/>
    <mergeCell ref="AI12:AJ12"/>
    <mergeCell ref="Q12:R12"/>
  </mergeCells>
  <phoneticPr fontId="0" type="noConversion"/>
  <printOptions horizontalCentered="1" verticalCentered="1"/>
  <pageMargins left="0.25" right="0.25" top="0.25" bottom="0.25" header="0.17" footer="0.32"/>
  <pageSetup scale="56" orientation="landscape" r:id="rId1"/>
  <headerFooter alignWithMargins="0">
    <oddHeader/>
    <oddFooter/>
  </headerFooter>
  <drawing r:id="rId5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29363530</Manager>
  <Company>131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634</cp:category>
  <dcterms:created xsi:type="dcterms:W3CDTF">2003-06-11T18:24:11Z</dcterms:created>
  <dc:creator>STR, Inc.</dc:creator>
  <cp:keywords>60180</cp:keywords>
  <cp:lastModifiedBy>Jim Hawkins</cp:lastModifiedBy>
  <cp:lastPrinted>2016-02-16T16:32:42Z</cp:lastPrinted>
  <dcterms:modified xsi:type="dcterms:W3CDTF">2023-04-05T19:50:13Z</dcterms:modified>
  <dc:subject>60180</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