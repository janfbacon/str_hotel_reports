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worksheets/sheet26.xml" ContentType="application/vnd.openxmlformats-officedocument.spreadsheetml.worksheet+xml"/>
  <Override PartName="/xl/printerSettings/printerSettings27.bin" ContentType="application/vnd.openxmlformats-officedocument.spreadsheetml.printerSettings"/>
  <Override PartName="/xl/drawings/drawing28.xml" ContentType="application/vnd.openxmlformats-officedocument.drawing+xml"/>
  <Override PartName="/xl/worksheets/sheet30.xml" ContentType="application/vnd.openxmlformats-officedocument.spreadsheetml.worksheet+xml"/>
  <Override PartName="/xl/printerSettings/printerSettings31.bin" ContentType="application/vnd.openxmlformats-officedocument.spreadsheetml.printerSettings"/>
  <Override PartName="/xl/drawings/drawing32.xml" ContentType="application/vnd.openxmlformats-officedocument.drawing+xml"/>
  <Override PartName="/xl/worksheets/sheet34.xml" ContentType="application/vnd.openxmlformats-officedocument.spreadsheetml.worksheet+xml"/>
  <Override PartName="/xl/printerSettings/printerSettings35.bin" ContentType="application/vnd.openxmlformats-officedocument.spreadsheetml.printerSettings"/>
  <Override PartName="/xl/drawings/drawing36.xml" ContentType="application/vnd.openxmlformats-officedocument.drawing+xml"/>
  <Override PartName="/xl/worksheets/sheet38.xml" ContentType="application/vnd.openxmlformats-officedocument.spreadsheetml.worksheet+xml"/>
  <Override PartName="/xl/printerSettings/printerSettings39.bin" ContentType="application/vnd.openxmlformats-officedocument.spreadsheetml.printerSettings"/>
  <Override PartName="/xl/drawings/drawing40.xml" ContentType="application/vnd.openxmlformats-officedocument.drawing+xml"/>
  <Override PartName="/xl/worksheets/sheet42.xml" ContentType="application/vnd.openxmlformats-officedocument.spreadsheetml.worksheet+xml"/>
  <Override PartName="/xl/printerSettings/printerSettings43.bin" ContentType="application/vnd.openxmlformats-officedocument.spreadsheetml.printerSettings"/>
  <Override PartName="/xl/drawings/drawing44.xml" ContentType="application/vnd.openxmlformats-officedocument.drawing+xml"/>
  <Override PartName="/xl/worksheets/sheet46.xml" ContentType="application/vnd.openxmlformats-officedocument.spreadsheetml.worksheet+xml"/>
  <Override PartName="/xl/printerSettings/printerSettings47.bin" ContentType="application/vnd.openxmlformats-officedocument.spreadsheetml.printerSettings"/>
  <Override PartName="/xl/drawings/drawing48.xml" ContentType="application/vnd.openxmlformats-officedocument.drawing+xml"/>
  <Override PartName="/xl/charts/chart49.xml" ContentType="application/vnd.openxmlformats-officedocument.drawingml.chart+xml"/>
  <Override PartName="/xl/drawings/drawing50.xml" ContentType="application/vnd.openxmlformats-officedocument.drawing+xml"/>
  <Override PartName="/xl/charts/chart51.xml" ContentType="application/vnd.openxmlformats-officedocument.drawingml.chart+xml"/>
  <Override PartName="/xl/drawings/drawing52.xml" ContentType="application/vnd.openxmlformats-officedocument.drawing+xml"/>
  <Override PartName="/xl/charts/chart53.xml" ContentType="application/vnd.openxmlformats-officedocument.drawingml.chart+xml"/>
  <Override PartName="/xl/drawings/drawing54.xml" ContentType="application/vnd.openxmlformats-officedocument.drawing+xml"/>
  <Override PartName="/xl/charts/chart55.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9"/>
    <sheet name="Glance" sheetId="19" r:id="rId8"/>
    <sheet name="Segmentation Glance" sheetId="20" r:id="rId7"/>
    <sheet name="Daily by Month" sheetId="21" r:id="rId6"/>
    <sheet name="Occ" sheetId="4" r:id="rId10"/>
    <sheet name="Segmentation Occ" sheetId="22" r:id="rId5"/>
    <sheet name="ADR" sheetId="6" r:id="rId11"/>
    <sheet name="Segmentation ADR" sheetId="23" r:id="rId4"/>
    <sheet name="RevPAR" sheetId="8" r:id="rId12"/>
    <sheet name="Segmentation RevPAR" sheetId="24" r:id="rId3"/>
    <sheet name="Additional Revenue" sheetId="25" r:id="rId2"/>
    <sheet name="Response" sheetId="26" r:id="rId1"/>
    <sheet name="Help" sheetId="18" r:id="rId13"/>
  </sheets>
  <definedNames>
    <definedName name="_xlnm.Print_Area" localSheetId="6">ADR!$A$1:$AI$61</definedName>
    <definedName name="_xlnm.Print_Area" localSheetId="12">Help!$A$1:$J$16</definedName>
    <definedName name="_xlnm.Print_Area" localSheetId="4">Occ!$A$1:$AI$58</definedName>
    <definedName name="_xlnm.Print_Area" localSheetId="8">RevPAR!$A$1:$AI$61</definedName>
    <definedName name="_xlnm.Print_Area" localSheetId="0">'Table of Contents'!$A$1:$H$48</definedName>
    <definedName name="_xlnm.Print_Area" localSheetId="1">Glance!$A$1:$AC$42</definedName>
    <definedName name="_xlnm.Print_Area" localSheetId="2">'Segmentation Glance'!$A$1:$T$42</definedName>
    <definedName name="_xlnm.Print_Area" localSheetId="3">'Daily by Month'!$A$1:$AL$63</definedName>
    <definedName name="_xlnm.Print_Area" localSheetId="5">'Segmentation Occ'!$A$1:$AB$54</definedName>
    <definedName name="_xlnm.Print_Area" localSheetId="7">'Segmentation ADR'!$A$1:$AC$54</definedName>
    <definedName name="_xlnm.Print_Area" localSheetId="9">'Segmentation RevPAR'!$A$1:$AC$54</definedName>
    <definedName name="_xlnm.Print_Area" localSheetId="10">'Additional Revenue'!$A$1:$AC$54</definedName>
    <definedName name="_xlnm.Print_Area" localSheetId="11">Response!$A$1:$AR$104</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<sst xmlns="http://schemas.openxmlformats.org/spreadsheetml/2006/main" xmlns:r="http://schemas.openxmlformats.org/officeDocument/2006/relationships" xmlns:xdr="http://schemas.openxmlformats.org/drawingml/2006/spreadsheetDrawing" xmlns:s="http://schemas.openxmlformats.org/officeDocument/2006/sharedTypes" xmlns:vt="http://schemas.openxmlformats.org/officeDocument/2006/docPropsVTypes" xmlns:a="http://schemas.openxmlformats.org/drawingml/2006/main" xmlns:cdr="http://schemas.openxmlformats.org/drawingml/2006/chartDrawing" count="969" uniqueCount="114">
  <si>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</si>
  <si>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</si>
  <si>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</si>
  <si>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</si>
  <si>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</si>
  <si>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</si>
  <si>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</si>
  <si>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</si>
  <si>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</si>
  <si>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</si>
  <si>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</si>
  <si>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</si>
  <si>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</si>
  <si>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</si>
  <si>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</si>
  <si>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</si>
  <si>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</si>
  <si>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</si>
  <si>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</si>
  <si>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</si>
  <si>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</si>
  <si>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</si>
  <si>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</si>
  <si>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</si>
  <si>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</si>
  <si>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</si>
  <si>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</si>
  <si>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</si>
  <si>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</si>
  <si>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</si>
  <si>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</si>
  <si>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</si>
  <si>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</si>
  <si>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</si>
  <si>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</si>
  <si>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</si>
  <si>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</si>
  <si>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</si>
  <si>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</si>
  <si>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</si>
  <si>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</si>
  <si>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</si>
  <si>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</si>
  <si>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</si>
  <si>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</si>
  <si>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</si>
  <si>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</si>
  <si>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</si>
  <si>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</si>
  <si>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</si>
  <si>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</si>
  <si>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</si>
  <si>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</si>
  <si>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</si>
  <si>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</si>
  <si>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</si>
  <si>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</si>
  <si>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</si>
  <si>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</si>
  <si>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</si>
  <si>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</si>
  <si>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</si>
  <si>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</si>
  <si>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</si>
  <si>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</si>
  <si>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</si>
  <si>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</si>
  <si>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</si>
  <si>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</si>
  <si>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</si>
  <si>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</si>
  <si>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</si>
  <si>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</si>
  <si>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</si>
  <si>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</si>
  <si>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</si>
  <si>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</si>
  <si>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</si>
  <si>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</si>
  <si>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</si>
  <si>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</si>
  <si>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</si>
  <si>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</si>
  <si>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</si>
  <si>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</si>
  <si>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</si>
  <si>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</si>
  <si>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</si>
  <si>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</si>
  <si>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</si>
  <si>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</si>
  <si>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</si>
  <si>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</si>
  <si>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</si>
  <si>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</si>
  <si>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</si>
  <si>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</si>
  <si>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</si>
  <si>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</si>
  <si>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</si>
  <si>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</si>
  <si>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</si>
  <si>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</si>
  <si>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</si>
  <si>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</si>
  <si>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</si>
  <si>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</si>
  <si>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</si>
  <si>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</si>
  <si>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</si>
  <si>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</si>
  <si>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</si>
  <si>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</si>
  <si>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</si>
  <si>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</si>
  <si>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</si>
  <si>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</si>
  <si>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Segmentation at a Glance - My Property vs. Competitive Set</t>
  </si>
  <si>
    <t>Segmentation at a Glance</t>
  </si>
  <si>
    <t>Tab 4 - Daily Data for the Month</t>
  </si>
  <si>
    <t>Daily Data for the Month</t>
  </si>
  <si>
    <t>Tab 5 - Occupancy Perspectives</t>
  </si>
  <si>
    <t>Occupancy Perspectives</t>
  </si>
  <si>
    <t>Tab 6 - Segmentation Occupancy Analysis</t>
  </si>
  <si>
    <t>Segmentation Occupancy Analysis</t>
  </si>
  <si>
    <t>Tab 7 - ADR Perspectives</t>
  </si>
  <si>
    <t>ADR Perspectives</t>
  </si>
  <si>
    <t>Tab 8 - Segmentation ADR Analysis</t>
  </si>
  <si>
    <t>Segmentation ADR Analysis</t>
  </si>
  <si>
    <t>Tab 9 - RevPAR Perspectives</t>
  </si>
  <si>
    <t>RevPAR Perspectives</t>
  </si>
  <si>
    <t>Tab 10 - Segmentation RevPAR Analysis</t>
  </si>
  <si>
    <t>Segmentation RevPAR Analysis</t>
  </si>
  <si>
    <t>Tab 11 - Additional Revenue</t>
  </si>
  <si>
    <t>Tab 12 - Response Report</t>
  </si>
  <si>
    <t>Response Report</t>
  </si>
  <si>
    <t>Help</t>
  </si>
  <si>
    <t>Weekly STAR Report : Hilton Garden Inn Jackson Downtown</t>
  </si>
  <si>
    <t>STR # 60180 / Created June 17, 2025</t>
  </si>
  <si>
    <t>For the Week of: June 08, 2025 - June 14, 2025</t>
  </si>
  <si>
    <t>Currency: US Dollar  /  Competitive Set Data Excludes Subject Property</t>
  </si>
  <si>
    <t>Hilton Garden Inn Jackson Downtown        235 W Capitol St        Jackson, MS 39201        Phone: (601) 353-5464</t>
  </si>
  <si>
    <t>STR # 60180        Chain ID: 000043085        Mgt Co: Desai Hotel Group        Owner: Desai Hotel Group</t>
  </si>
  <si>
    <t>For the Week of: June 08, 2025 - June 14, 2025        Date Created: June 17, 2025        Competitive Set Data Excludes Subject Property</t>
  </si>
  <si>
    <t>June 08, 2025 - June 14, 2025</t>
  </si>
  <si>
    <t>Jun</t>
  </si>
  <si>
    <t>Market Scale: Jackson, MS Upscale Chains</t>
  </si>
  <si>
    <t>Market Scale</t>
  </si>
  <si>
    <t>May</t>
  </si>
  <si>
    <t>6 of 8</t>
  </si>
  <si>
    <t>8 of 8</t>
  </si>
  <si>
    <t>7 of 8</t>
  </si>
  <si>
    <t>4 of 8</t>
  </si>
  <si>
    <t>5 of 8</t>
  </si>
  <si>
    <t>1 of 8</t>
  </si>
  <si>
    <t>3 of 8</t>
  </si>
  <si>
    <t>2 of 8</t>
  </si>
  <si>
    <t>Market Scale*: Jackson, MS Upscale Chains</t>
  </si>
  <si>
    <t>For the Week of: June 08, 2025 - June 14, 2025        Date Created: June 17, 2025</t>
  </si>
  <si>
    <t>Hilton Garden Inn Jackson Downtown</t>
  </si>
  <si>
    <t>Jackson, MS</t>
  </si>
  <si>
    <t>39201</t>
  </si>
  <si>
    <t>(601) 353-5464</t>
  </si>
  <si>
    <t>192312</t>
  </si>
  <si>
    <t>X</t>
  </si>
  <si>
    <t>L</t>
  </si>
  <si>
    <t>T</t>
  </si>
  <si>
    <t/>
  </si>
  <si>
    <t>Hilton Jackson</t>
  </si>
  <si>
    <t>39211</t>
  </si>
  <si>
    <t>(601) 957-2800</t>
  </si>
  <si>
    <t>198406</t>
  </si>
  <si>
    <t>Holiday Inn Express &amp; Suites Jackson Downtown Coliseum</t>
  </si>
  <si>
    <t>39202</t>
  </si>
  <si>
    <t>(601) 948-4466</t>
  </si>
  <si>
    <t>198905</t>
  </si>
  <si>
    <t>Courtyard Jackson Ridgeland</t>
  </si>
  <si>
    <t>(601) 956-9991</t>
  </si>
  <si>
    <t>199505</t>
  </si>
  <si>
    <t>Hampton Inn &amp; Suites Jackson Downtown-Coliseum</t>
  </si>
  <si>
    <t>(601) 352-1700</t>
  </si>
  <si>
    <t>199611</t>
  </si>
  <si>
    <t>Embassy Suites by Hilton Jackson North Ridgeland</t>
  </si>
  <si>
    <t>Ridgeland, MS</t>
  </si>
  <si>
    <t>39157</t>
  </si>
  <si>
    <t>(601) 607-7112</t>
  </si>
  <si>
    <t>200812</t>
  </si>
  <si>
    <t>Hyatt Place Jackson/Ridgeland</t>
  </si>
  <si>
    <t>39157-8719</t>
  </si>
  <si>
    <t>(601) 898-8815</t>
  </si>
  <si>
    <t>200810</t>
  </si>
  <si>
    <t>The Westin Jackson</t>
  </si>
  <si>
    <t>39201-4904</t>
  </si>
  <si>
    <t>(601) 968-8200</t>
  </si>
  <si>
    <t>201708</t>
  </si>
  <si>
    <t>Data received: X = Both years, T = This year only, L = Last year only, blank = No data</t>
  </si>
  <si>
    <t>2025 (This Year)</t>
  </si>
  <si>
    <t>2024 (Last Year)</t>
  </si>
  <si>
    <t>May/Jun</t>
  </si>
  <si>
    <t>May 11th</t>
  </si>
  <si>
    <t>- Mother's Day</t>
  </si>
  <si>
    <t>May 26th</t>
  </si>
  <si>
    <t>- Memorial Day</t>
  </si>
  <si>
    <t>May 12th</t>
  </si>
  <si>
    <t>May 27th</t>
  </si>
  <si>
    <t>June 16th</t>
  </si>
  <si>
    <t>- Father's Day</t>
  </si>
  <si>
    <t>June 19th</t>
  </si>
  <si>
    <t>- Juneteenth</t>
  </si>
  <si>
    <t>July 4th</t>
  </si>
  <si>
    <t>- Independence Day</t>
  </si>
  <si>
    <t>Sep 2nd</t>
  </si>
  <si>
    <t>- Labor Day</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</si>
</sst>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color rgb="FFFFFFFF"/>
    </font>
    <font>
      <color rgb="FFA0A0A0"/>
    </font>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A0A0A0"/>
      </patternFill>
    </fill>
    <fill>
      <patternFill patternType="solid">
        <fgColor rgb="FFEAEAEA"/>
      </patternFill>
    </fill>
  </fills>
  <borders count="71">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left style="thin">
        <color indexed="39"/>
      </left>
      <right>
        <color/>
      </right>
      <top style="thin">
        <color rgb="FFA0A0A0"/>
      </top>
      <bottom>
        <color/>
      </bottom>
      <diagonal>
        <color/>
      </diagonal>
    </border>
    <border>
      <left>
        <color/>
      </left>
      <right>
        <color/>
      </right>
      <top style="thin">
        <color rgb="FFA0A0A0"/>
      </top>
      <bottom>
        <color/>
      </bottom>
      <diagonal>
        <color/>
      </diagonal>
    </border>
    <border>
      <left>
        <color/>
      </left>
      <right style="thin">
        <color indexed="39"/>
      </right>
      <top style="thin">
        <color rgb="FFA0A0A0"/>
      </top>
      <bottom>
        <color/>
      </bottom>
      <diagonal>
        <color/>
      </diagonal>
    </border>
    <border diagonalUp="0" diagonalDown="0">
      <left style="thin">
        <color indexed="39"/>
      </left>
      <right style="thin">
        <color indexed="39"/>
      </right>
      <top style="thin">
        <color indexed="39"/>
      </top>
      <bottom>
        <color auto="1" indexed="64"/>
      </bottom>
      <diagonal>
        <color/>
      </diagonal>
    </border>
    <border diagonalUp="0" diagonalDown="0">
      <left style="thin">
        <color indexed="39"/>
      </left>
      <right style="thin">
        <color indexed="39"/>
      </right>
      <top>
        <color auto="1" indexed="64"/>
      </top>
      <bottom style="thin">
        <color indexed="39"/>
      </bottom>
      <diagonal>
        <color/>
      </diagonal>
    </border>
    <border diagonalUp="0" diagonalDown="0">
      <left>
        <color auto="1" indexed="64"/>
      </left>
      <right style="thin">
        <color indexed="55"/>
      </right>
      <top>
        <color auto="1" indexed="64"/>
      </top>
      <bottom style="thin">
        <color indexed="55"/>
      </bottom>
      <diagonal>
        <color/>
      </diagonal>
    </border>
    <border>
      <left>
        <color/>
      </left>
      <right style="thin">
        <color indexed="55"/>
      </right>
      <top style="thin">
        <color rgb="FFA0A0A0"/>
      </top>
      <bottom>
        <color/>
      </bottom>
      <diagonal>
        <color/>
      </diagonal>
    </border>
    <border diagonalUp="0" diagonalDown="0">
      <left style="thin">
        <color indexed="39"/>
      </left>
      <right>
        <color auto="1" indexed="64"/>
      </right>
      <top style="thin">
        <color indexed="39"/>
      </top>
      <bottom>
        <color auto="1" indexed="64"/>
      </bottom>
      <diagonal>
        <color/>
      </diagonal>
    </border>
    <border diagonalUp="0" diagonalDown="0">
      <left>
        <color auto="1" indexed="64"/>
      </left>
      <right>
        <color auto="1" indexed="64"/>
      </right>
      <top style="thin">
        <color indexed="39"/>
      </top>
      <bottom>
        <color auto="1" indexed="64"/>
      </bottom>
      <diagonal>
        <color/>
      </diagonal>
    </border>
    <border diagonalUp="0" diagonalDown="0">
      <left>
        <color auto="1" indexed="64"/>
      </left>
      <right style="thin">
        <color indexed="39"/>
      </right>
      <top style="thin">
        <color indexed="39"/>
      </top>
      <bottom>
        <color auto="1" indexed="64"/>
      </bottom>
      <diagonal>
        <color/>
      </diagonal>
    </border>
    <border diagonalUp="0" diagonalDown="0">
      <left style="thin">
        <color indexed="39"/>
      </left>
      <right>
        <color auto="1" indexed="64"/>
      </right>
      <top>
        <color auto="1" indexed="64"/>
      </top>
      <bottom>
        <color auto="1" indexed="64"/>
      </bottom>
      <diagonal>
        <color/>
      </diagonal>
    </border>
    <border diagonalUp="0" diagonalDown="0">
      <left>
        <color auto="1" indexed="64"/>
      </left>
      <right style="thin">
        <color indexed="39"/>
      </right>
      <top>
        <color auto="1" indexed="64"/>
      </top>
      <bottom>
        <color auto="1" indexed="64"/>
      </bottom>
      <diagonal>
        <color/>
      </diagonal>
    </border>
    <border diagonalUp="0" diagonalDown="0">
      <left style="thin">
        <color indexed="39"/>
      </left>
      <right>
        <color auto="1" indexed="64"/>
      </right>
      <top>
        <color auto="1" indexed="64"/>
      </top>
      <bottom style="thin">
        <color indexed="39"/>
      </bottom>
      <diagonal>
        <color/>
      </diagonal>
    </border>
    <border diagonalUp="0" diagonalDown="0">
      <left>
        <color auto="1" indexed="64"/>
      </left>
      <right>
        <color auto="1" indexed="64"/>
      </right>
      <top>
        <color auto="1" indexed="64"/>
      </top>
      <bottom style="thin">
        <color indexed="39"/>
      </bottom>
      <diagonal>
        <color/>
      </diagonal>
    </border>
    <border diagonalUp="0" diagonalDown="0">
      <left>
        <color auto="1" indexed="64"/>
      </left>
      <right style="thin">
        <color indexed="39"/>
      </right>
      <top>
        <color auto="1" indexed="64"/>
      </top>
      <bottom style="thin">
        <color indexed="39"/>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714">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32" fillId="3" borderId="47" applyFont="1" applyFill="1" applyBorder="1" applyAlignment="1">
      <alignment horizontal="center"/>
    </xf>
    <xf numFmtId="0" fontId="69" fillId="3" borderId="47" applyFont="1" applyFill="1" applyBorder="1" applyAlignment="1">
      <alignment horizontal="right"/>
    </xf>
    <xf numFmtId="0" fontId="32" fillId="3" borderId="47" applyFont="1" applyFill="1" applyBorder="1" applyAlignment="1">
      <alignment horizontal="right" vertical="center"/>
    </xf>
    <xf numFmtId="0" fontId="39" fillId="3" borderId="47" applyFont="1" applyFill="1" applyBorder="1" applyAlignment="1">
      <alignment horizontal="left" wrapText="1"/>
    </xf>
    <xf numFmtId="0" fontId="36" fillId="0" borderId="47" applyFont="1" applyFill="1" applyBorder="1" applyAlignment="1">
      <alignment horizontal="right"/>
    </xf>
    <xf numFmtId="0" fontId="37" fillId="0" borderId="47" applyFont="1" applyFill="1" applyBorder="1" applyAlignment="1">
      <alignment horizontal="center"/>
    </xf>
    <xf numFmtId="0" fontId="81" fillId="15" borderId="48" applyFont="1" applyFill="1" applyBorder="1"/>
    <xf numFmtId="0" fontId="39" fillId="0" borderId="47" applyFont="1" applyFill="1" applyBorder="1" applyAlignment="1">
      <alignment horizontal="left" wrapText="1"/>
    </xf>
    <xf numFmtId="0" fontId="51" fillId="0" borderId="49" applyFont="1" applyFill="1" applyBorder="1" applyAlignment="1">
      <alignment horizontal="left"/>
    </xf>
    <xf numFmtId="0" fontId="53" fillId="0" borderId="50" applyFont="1" applyFill="1" applyBorder="1" applyAlignment="1">
      <alignment horizontal="center"/>
    </xf>
    <xf numFmtId="166" fontId="69" fillId="13" borderId="49" applyNumberFormat="1" applyFont="1" applyFill="1" applyBorder="1" applyAlignment="1">
      <alignment horizontal="center"/>
    </xf>
    <xf numFmtId="166" fontId="69" fillId="10" borderId="50" applyNumberFormat="1" applyFont="1" applyFill="1" applyBorder="1" applyAlignment="1">
      <alignment horizontal="center"/>
    </xf>
    <xf numFmtId="166" fontId="69" fillId="13" borderId="51" applyNumberFormat="1" applyFont="1" applyFill="1" applyBorder="1" applyAlignment="1">
      <alignment horizontal="center"/>
    </xf>
    <xf numFmtId="166" fontId="69" fillId="10" borderId="51" applyNumberFormat="1" applyFont="1" applyFill="1" applyBorder="1" applyAlignment="1">
      <alignment horizontal="center"/>
    </xf>
    <xf numFmtId="1" fontId="69" fillId="13" borderId="49" applyNumberFormat="1" applyFont="1" applyFill="1" applyBorder="1" applyAlignment="1">
      <alignment horizontal="center"/>
    </xf>
    <xf numFmtId="1" fontId="69" fillId="10" borderId="51" applyNumberFormat="1" applyFont="1" applyFill="1" applyBorder="1" applyAlignment="1">
      <alignment horizontal="center"/>
    </xf>
    <xf numFmtId="0" fontId="82" fillId="16" borderId="0" applyFont="1" applyFill="1"/>
    <xf numFmtId="0" fontId="69" fillId="0" borderId="47" applyFont="1" applyFill="1" applyBorder="1" applyAlignment="1">
      <alignment horizontal="right" shrinkToFit="1"/>
    </xf>
    <xf numFmtId="0" fontId="42" fillId="0" borderId="52" applyFont="1" applyFill="1" applyBorder="1" applyAlignment="1">
      <alignment horizontal="center"/>
    </xf>
    <xf numFmtId="0" fontId="42" fillId="0" borderId="53" applyFont="1" applyFill="1" applyBorder="1" applyAlignment="1">
      <alignment horizontal="center"/>
    </xf>
    <xf numFmtId="166" fontId="69" fillId="0" borderId="52" applyNumberFormat="1" applyFont="1" applyFill="1" applyBorder="1" applyAlignment="1">
      <alignment horizontal="center"/>
    </xf>
    <xf numFmtId="166" fontId="69" fillId="0" borderId="53" applyNumberFormat="1" applyFont="1" applyFill="1" applyBorder="1" applyAlignment="1">
      <alignment horizontal="center"/>
    </xf>
    <xf numFmtId="166" fontId="69" fillId="0" borderId="54" applyNumberFormat="1" applyFont="1" applyFill="1" applyBorder="1" applyAlignment="1">
      <alignment horizontal="center"/>
    </xf>
    <xf numFmtId="2" fontId="69" fillId="13" borderId="49" applyNumberFormat="1" applyFont="1" applyFill="1" applyBorder="1" applyAlignment="1">
      <alignment horizontal="center"/>
    </xf>
    <xf numFmtId="2" fontId="69" fillId="10" borderId="50" applyNumberFormat="1" applyFont="1" applyFill="1" applyBorder="1" applyAlignment="1">
      <alignment horizontal="center"/>
    </xf>
    <xf numFmtId="2" fontId="69" fillId="13" borderId="51" applyNumberFormat="1" applyFont="1" applyFill="1" applyBorder="1" applyAlignment="1">
      <alignment horizontal="center"/>
    </xf>
    <xf numFmtId="0" fontId="53" fillId="0" borderId="51" applyFont="1" applyFill="1" applyBorder="1" applyAlignment="1">
      <alignment horizontal="center"/>
    </xf>
    <xf numFmtId="0" fontId="69" fillId="0" borderId="47" applyFont="1" applyFill="1" applyBorder="1" applyAlignment="1">
      <alignment horizontal="right" wrapText="1"/>
    </xf>
    <xf numFmtId="0" fontId="21" fillId="0" borderId="55" applyFont="1" applyFill="1" applyBorder="1" applyAlignment="1">
      <alignment horizontal="center"/>
    </xf>
    <xf numFmtId="0" fontId="42" fillId="0" borderId="54" applyFont="1" applyFill="1" applyBorder="1" applyAlignment="1">
      <alignment horizontal="center"/>
    </xf>
    <xf numFmtId="2" fontId="69" fillId="0" borderId="52" applyNumberFormat="1" applyFont="1" applyFill="1" applyBorder="1" applyAlignment="1">
      <alignment horizontal="center"/>
    </xf>
    <xf numFmtId="2" fontId="69" fillId="0" borderId="53" applyNumberFormat="1" applyFont="1" applyFill="1" applyBorder="1" applyAlignment="1">
      <alignment horizontal="center"/>
    </xf>
    <xf numFmtId="2" fontId="69" fillId="0" borderId="54" applyNumberFormat="1" applyFont="1" applyFill="1" applyBorder="1" applyAlignment="1">
      <alignment horizontal="center"/>
    </xf>
    <xf numFmtId="0" fontId="21" fillId="0" borderId="56" applyFont="1" applyFill="1" applyBorder="1" applyAlignment="1">
      <alignment horizontal="center"/>
    </xf>
    <xf numFmtId="0" fontId="21" fillId="0" borderId="57" applyFont="1" applyFill="1" applyBorder="1" applyAlignment="1">
      <alignment horizontal="center"/>
    </xf>
    <xf numFmtId="166" fontId="42" fillId="0" borderId="53" applyNumberFormat="1" applyFont="1" applyFill="1" applyBorder="1" applyAlignment="1">
      <alignment horizontal="center"/>
    </xf>
    <xf numFmtId="166" fontId="42" fillId="0" borderId="58" applyNumberFormat="1" applyFont="1" applyFill="1" applyBorder="1" applyAlignment="1">
      <alignment horizontal="center"/>
    </xf>
    <xf numFmtId="0" fontId="32" fillId="0" borderId="47" applyFont="1" applyFill="1" applyBorder="1" applyAlignment="1">
      <alignment horizontal="center"/>
    </xf>
    <xf numFmtId="0" fontId="33" fillId="0" borderId="47" applyFont="1" applyFill="1" applyBorder="1" applyAlignment="1">
      <alignment horizontal="center"/>
    </xf>
    <xf numFmtId="0" fontId="34" fillId="0" borderId="59" applyFont="1" applyFill="1" applyBorder="1" applyAlignment="1">
      <alignment horizontal="center"/>
    </xf>
    <xf numFmtId="0" fontId="34" fillId="0" borderId="60" applyFont="1" applyFill="1" applyBorder="1" applyAlignment="1">
      <alignment horizontal="center"/>
    </xf>
    <xf numFmtId="0" fontId="34" fillId="0" borderId="61" applyFont="1" applyFill="1" applyBorder="1" applyAlignment="1">
      <alignment horizontal="center"/>
    </xf>
    <xf numFmtId="0" fontId="34" fillId="6" borderId="62" applyFont="1" applyFill="1" applyBorder="1" applyAlignment="1">
      <alignment horizontal="center"/>
    </xf>
    <xf numFmtId="0" fontId="34" fillId="6" borderId="47" applyFont="1" applyFill="1" applyBorder="1" applyAlignment="1">
      <alignment horizontal="center"/>
    </xf>
    <xf numFmtId="0" fontId="34" fillId="6" borderId="63" applyFont="1" applyFill="1" applyBorder="1" applyAlignment="1">
      <alignment horizontal="center"/>
    </xf>
    <xf numFmtId="0" fontId="34" fillId="0" borderId="62" applyFont="1" applyFill="1" applyBorder="1" applyAlignment="1">
      <alignment horizontal="center"/>
    </xf>
    <xf numFmtId="0" fontId="34" fillId="0" borderId="47" applyFont="1" applyFill="1" applyBorder="1" applyAlignment="1">
      <alignment horizontal="center"/>
    </xf>
    <xf numFmtId="0" fontId="34" fillId="0" borderId="63" applyFont="1" applyFill="1" applyBorder="1" applyAlignment="1">
      <alignment horizontal="center"/>
    </xf>
    <xf numFmtId="0" fontId="34" fillId="6" borderId="64" applyFont="1" applyFill="1" applyBorder="1" applyAlignment="1">
      <alignment horizontal="center"/>
    </xf>
    <xf numFmtId="0" fontId="34" fillId="6" borderId="65" applyFont="1" applyFill="1" applyBorder="1" applyAlignment="1">
      <alignment horizontal="center"/>
    </xf>
    <xf numFmtId="0" fontId="34" fillId="6" borderId="66" applyFont="1" applyFill="1" applyBorder="1" applyAlignment="1">
      <alignment horizontal="center"/>
    </xf>
    <xf numFmtId="0" fontId="1" fillId="0" borderId="47" applyFont="1" applyFill="1" applyBorder="1" applyAlignment="1">
      <alignment horizontal="center"/>
    </xf>
    <xf numFmtId="0" fontId="37" fillId="11" borderId="47" applyFont="1" applyFill="1" applyBorder="1" applyAlignment="1">
      <alignment horizontal="center"/>
    </xf>
    <xf numFmtId="0" fontId="83" fillId="15" borderId="67" applyFont="1" applyFill="1" applyBorder="1" applyAlignment="1">
      <alignment horizontal="left"/>
    </xf>
    <xf numFmtId="0" fontId="83" fillId="15" borderId="67" applyFont="1" applyFill="1" applyBorder="1" applyAlignment="1">
      <alignment horizontal="right"/>
    </xf>
    <xf numFmtId="0" fontId="83" fillId="15" borderId="68" applyFont="1" applyFill="1" applyBorder="1"/>
    <xf numFmtId="0" fontId="83" fillId="15" borderId="69" applyFont="1" applyFill="1" applyBorder="1"/>
    <xf numFmtId="0" fontId="83" fillId="15" borderId="70" applyFont="1" applyFill="1" applyBorder="1"/>
    <xf numFmtId="0" fontId="83" fillId="17" borderId="67" applyFont="1" applyFill="1" applyBorder="1" applyAlignment="1">
      <alignment horizontal="left"/>
    </xf>
    <xf numFmtId="0" fontId="83" fillId="17" borderId="67" applyFont="1" applyFill="1" applyBorder="1" applyAlignment="1">
      <alignment horizontal="right"/>
    </xf>
    <xf numFmtId="0" fontId="83" fillId="17" borderId="68" applyFont="1" applyFill="1" applyBorder="1"/>
    <xf numFmtId="0" fontId="83" fillId="17" borderId="69" applyFont="1" applyFill="1" applyBorder="1"/>
    <xf numFmtId="0" fontId="83" fillId="17" borderId="70" applyFont="1" applyFill="1" applyBorder="1"/>
    <xf numFmtId="0" fontId="1" fillId="3" borderId="47" applyFont="1" applyFill="1" applyBorder="1"/>
    <xf numFmtId="0" fontId="1" fillId="0" borderId="47" applyFont="1" applyFill="1" applyBorder="1" applyAlignment="1">
      <alignment horizontal="left" wrapText="1"/>
    </xf>
    <xf numFmtId="0" fontId="83" fillId="16" borderId="70"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11" Type="http://schemas.openxmlformats.org/officeDocument/2006/relationships/worksheet" Target="worksheets/sheet8.xml" />
<Relationship Id="rId14" Type="http://schemas.openxmlformats.org/officeDocument/2006/relationships/styles" Target="/xl/styles.xml" />
<Relationship Id="rId15" Type="http://schemas.openxmlformats.org/officeDocument/2006/relationships/theme" Target="/xl/theme/theme1.xml" />
<Relationship Id="rId13" Type="http://schemas.openxmlformats.org/officeDocument/2006/relationships/worksheet" Target="worksheets/sheet16.xml" />
<Relationship Id="rId9" Type="http://schemas.openxmlformats.org/officeDocument/2006/relationships/worksheet" Target="worksheets/sheet1.xml" />
<Relationship Id="rId10" Type="http://schemas.openxmlformats.org/officeDocument/2006/relationships/worksheet" Target="worksheets/sheet6.xml" />
<Relationship Id="rId12" Type="http://schemas.openxmlformats.org/officeDocument/2006/relationships/worksheet" Target="worksheets/sheet10.xml" />
<Relationship Id="rId16" Type="http://schemas.openxmlformats.org/officeDocument/2006/relationships/sharedStrings" Target="/xl/sharedStrings.xml" />
<Relationship Id="rId8" Type="http://schemas.openxmlformats.org/officeDocument/2006/relationships/worksheet" Target="worksheets/sheet18.xml" />
<Relationship Id="rId7" Type="http://schemas.openxmlformats.org/officeDocument/2006/relationships/worksheet" Target="worksheets/sheet22.xml" />
<Relationship Id="rId6" Type="http://schemas.openxmlformats.org/officeDocument/2006/relationships/worksheet" Target="worksheets/sheet26.xml" />
<Relationship Id="rId5" Type="http://schemas.openxmlformats.org/officeDocument/2006/relationships/worksheet" Target="worksheets/sheet30.xml" />
<Relationship Id="rId4" Type="http://schemas.openxmlformats.org/officeDocument/2006/relationships/worksheet" Target="worksheets/sheet34.xml" />
<Relationship Id="rId3" Type="http://schemas.openxmlformats.org/officeDocument/2006/relationships/worksheet" Target="worksheets/sheet38.xml" />
<Relationship Id="rId2" Type="http://schemas.openxmlformats.org/officeDocument/2006/relationships/worksheet" Target="worksheets/sheet42.xml" />
<Relationship Id="rId1" Type="http://schemas.openxmlformats.org/officeDocument/2006/relationships/worksheet" Target="worksheets/sheet46.xml" />
</Relationships>
</file>

<file path=xl/charts/chart4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June</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Month'!$C$28:$AF$28</f>
              <numCache>
                <formatCode>General</formatCode>
                <ptCount val="30"/>
                <pt idx="0">
                  <v>69.3548387097468</v>
                </pt>
                <pt idx="0">
                  <v>48.2900800388234</v>
                </pt>
                <pt idx="0">
                  <v>45.3741367893651</v>
                </pt>
                <pt idx="0">
                  <v>34.4315376209255</v>
                </pt>
                <pt idx="0">
                  <v>61.419183024758</v>
                </pt>
                <pt idx="0">
                  <v>105.646134090765</v>
                </pt>
                <pt idx="0">
                  <v>108.967562224853</v>
                </pt>
                <pt idx="0">
                  <v>67.9564784307345</v>
                </pt>
                <pt idx="0">
                  <v>50.3521751997784</v>
                </pt>
                <pt idx="0">
                  <v>0</v>
                </pt>
                <pt idx="0">
                  <v>43.6086199972962</v>
                </pt>
                <pt idx="0">
                  <v>58.8011896591379</v>
                </pt>
                <pt idx="0">
                  <v>53.9446002804709</v>
                </pt>
                <pt idx="0">
                  <v>26.7355982274792</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Month'!$C$40:$AF$40</f>
              <numCache>
                <formatCode>General</formatCode>
                <ptCount val="30"/>
                <pt idx="0">
                  <v>89.8508065435894</v>
                </pt>
                <pt idx="0">
                  <v>79.0201876876174</v>
                </pt>
                <pt idx="0">
                  <v>83.4956013023305</v>
                </pt>
                <pt idx="0">
                  <v>86.7237886211886</v>
                </pt>
                <pt idx="0">
                  <v>88.0421071371855</v>
                </pt>
                <pt idx="0">
                  <v>82.4183308029895</v>
                </pt>
                <pt idx="0">
                  <v>86.3613646831184</v>
                </pt>
                <pt idx="0">
                  <v>73.9708666976844</v>
                </pt>
                <pt idx="0">
                  <v>77.8624458530179</v>
                </pt>
                <pt idx="0">
                  <v>0</v>
                </pt>
                <pt idx="0">
                  <v>84.5549366577857</v>
                </pt>
                <pt idx="0">
                  <v>86.4962378203772</v>
                </pt>
                <pt idx="0">
                  <v>80.4795681971998</v>
                </pt>
                <pt idx="0">
                  <v>67.2528259439214</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Month'!$C$52:$AF$52</f>
              <numCache>
                <formatCode>General</formatCode>
                <ptCount val="30"/>
                <pt idx="0">
                  <v>62.3158819575986</v>
                </pt>
                <pt idx="0">
                  <v>38.1589118811604</v>
                </pt>
                <pt idx="0">
                  <v>37.8854083480008</v>
                </pt>
                <pt idx="0">
                  <v>29.8603339053738</v>
                </pt>
                <pt idx="0">
                  <v>54.0747429214822</v>
                </pt>
                <pt idx="0">
                  <v>87.0717802755056</v>
                </pt>
                <pt idx="0">
                  <v>94.1058737992785</v>
                </pt>
                <pt idx="0">
                  <v>50.2679960724216</v>
                </pt>
                <pt idx="0">
                  <v>39.2054351507468</v>
                </pt>
                <pt idx="0">
                  <v>0</v>
                </pt>
                <pt idx="0">
                  <v>36.8732410160704</v>
                </pt>
                <pt idx="0">
                  <v>50.8608168487515</v>
                </pt>
                <pt idx="0">
                  <v>43.4143813714237</v>
                </pt>
                <pt idx="0">
                  <v>17.9804453409972</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Month'!$C$61:$AF$61</f>
              <numCache>
                <formatCode>General</formatCode>
                <ptCount val="30"/>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14"/>
          <min val="13"/>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Mar 23, 2025 to Jun 14,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55.4531490015361</v>
                </pt>
                <pt idx="0">
                  <v>37.173579109063</v>
                </pt>
                <pt idx="0">
                  <v>44.3164362519201</v>
                </pt>
                <pt idx="0">
                  <v>24.9615975422427</v>
                </pt>
                <pt idx="0">
                  <v>29.3394777265745</v>
                </pt>
                <pt idx="0">
                  <v>49.0015360983103</v>
                </pt>
                <pt idx="0">
                  <v>29.6466973886329</v>
                </pt>
                <pt idx="0">
                  <v>37.4807987711214</v>
                </pt>
                <pt idx="0">
                  <v>37.6344086021505</v>
                </pt>
                <pt idx="0">
                  <v>39.0168970814132</v>
                </pt>
                <pt idx="0">
                  <v>42.2427035330261</v>
                </pt>
                <pt idx="0">
                  <v>28.673835125448</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61.4180478821363</v>
                </pt>
                <pt idx="0">
                  <v>47.5881245825997</v>
                </pt>
                <pt idx="0">
                  <v>55.1960010523546</v>
                </pt>
                <pt idx="0">
                  <v>46.4088397790055</v>
                </pt>
                <pt idx="0">
                  <v>55.2617732175743</v>
                </pt>
                <pt idx="0">
                  <v>61.8521441725862</v>
                </pt>
                <pt idx="0">
                  <v>48.4477769008156</v>
                </pt>
                <pt idx="0">
                  <v>54.7355958958169</v>
                </pt>
                <pt idx="0">
                  <v>57.0902394106814</v>
                </pt>
                <pt idx="0">
                  <v>49.0397263877927</v>
                </pt>
                <pt idx="0">
                  <v>61.4443567482242</v>
                </pt>
                <pt idx="0">
                  <v>58.9450144698763</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72.5105280207321</v>
                </pt>
                <pt idx="0">
                  <v>65.3579527048915</v>
                </pt>
                <pt idx="0">
                  <v>68.3187560738581</v>
                </pt>
                <pt idx="0">
                  <v>63.1875607385811</v>
                </pt>
                <pt idx="0">
                  <v>68.0984774862326</v>
                </pt>
                <pt idx="0">
                  <v>77.4732750242954</v>
                </pt>
                <pt idx="0">
                  <v>69.322967282151</v>
                </pt>
                <pt idx="0">
                  <v>69.4201490119857</v>
                </pt>
                <pt idx="0">
                  <v>72.4327826368643</v>
                </pt>
                <pt idx="0">
                  <v>63.4467120181406</v>
                </pt>
                <pt idx="0">
                  <v>78.7366375121477</v>
                </pt>
                <pt idx="0">
                  <v>74.408811143505</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4"/>
          <min val="20"/>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3.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Mar 23, 2025 to Jun 14,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120.319944598338</v>
                </pt>
                <pt idx="0">
                  <v>121.119834710744</v>
                </pt>
                <pt idx="0">
                  <v>112.022530329289</v>
                </pt>
                <pt idx="0">
                  <v>107.32</v>
                </pt>
                <pt idx="0">
                  <v>108.034031413613</v>
                </pt>
                <pt idx="0">
                  <v>117.459247648903</v>
                </pt>
                <pt idx="0">
                  <v>109.282383419689</v>
                </pt>
                <pt idx="0">
                  <v>107.247950819672</v>
                </pt>
                <pt idx="0">
                  <v>102.773469387755</v>
                </pt>
                <pt idx="0">
                  <v>104.76968503937</v>
                </pt>
                <pt idx="0">
                  <v>115.150909090909</v>
                </pt>
                <pt idx="0">
                  <v>106.484375</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137.683506104091</v>
                </pt>
                <pt idx="0">
                  <v>135.898791378337</v>
                </pt>
                <pt idx="0">
                  <v>140.198481887512</v>
                </pt>
                <pt idx="0">
                  <v>133.37102324263</v>
                </pt>
                <pt idx="0">
                  <v>140.778202808855</v>
                </pt>
                <pt idx="0">
                  <v>148.032890259464</v>
                </pt>
                <pt idx="0">
                  <v>136.701365734456</v>
                </pt>
                <pt idx="0">
                  <v>133.522907954819</v>
                </pt>
                <pt idx="0">
                  <v>134.470783410138</v>
                </pt>
                <pt idx="0">
                  <v>127.382910407725</v>
                </pt>
                <pt idx="0">
                  <v>137.218826803682</v>
                </pt>
                <pt idx="0">
                  <v>135.446094621736</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132.940939957112</v>
                </pt>
                <pt idx="0">
                  <v>128.367268041237</v>
                </pt>
                <pt idx="0">
                  <v>129.874727358938</v>
                </pt>
                <pt idx="0">
                  <v>127.930585460884</v>
                </pt>
                <pt idx="0">
                  <v>130.904385881458</v>
                </pt>
                <pt idx="0">
                  <v>142.951580531862</v>
                </pt>
                <pt idx="0">
                  <v>132.489065420561</v>
                </pt>
                <pt idx="0">
                  <v>128.335697620159</v>
                </pt>
                <pt idx="0">
                  <v>127.839982110912</v>
                </pt>
                <pt idx="0">
                  <v>119.817931175329</v>
                </pt>
                <pt idx="0">
                  <v>132.015551715626</v>
                </pt>
                <pt idx="0">
                  <v>127.890030474532</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53"/>
          <min val="98"/>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Mar 23, 2025 to Jun 14,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66.721198156682</v>
                </pt>
                <pt idx="0">
                  <v>45.0245775729647</v>
                </pt>
                <pt idx="0">
                  <v>49.6443932411674</v>
                </pt>
                <pt idx="0">
                  <v>26.7887864823349</v>
                </pt>
                <pt idx="0">
                  <v>31.6966205837174</v>
                </pt>
                <pt idx="0">
                  <v>57.5568356374808</v>
                </pt>
                <pt idx="0">
                  <v>32.3986175115207</v>
                </pt>
                <pt idx="0">
                  <v>40.1973886328725</v>
                </pt>
                <pt idx="0">
                  <v>38.6781874039939</v>
                </pt>
                <pt idx="0">
                  <v>40.8778801843318</v>
                </pt>
                <pt idx="0">
                  <v>48.6428571428571</v>
                </pt>
                <pt idx="0">
                  <v>30.5331541218638</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84.5625217048145</v>
                </pt>
                <pt idx="0">
                  <v>64.6716861473701</v>
                </pt>
                <pt idx="0">
                  <v>77.3839555380163</v>
                </pt>
                <pt idx="0">
                  <v>61.8959444882926</v>
                </pt>
                <pt idx="0">
                  <v>77.7965311760063</v>
                </pt>
                <pt idx="0">
                  <v>91.56151670613</v>
                </pt>
                <pt idx="0">
                  <v>66.228772691397</v>
                </pt>
                <pt idx="0">
                  <v>73.084559326493</v>
                </pt>
                <pt idx="0">
                  <v>76.7696921862668</v>
                </pt>
                <pt idx="0">
                  <v>62.4682307287556</v>
                </pt>
                <pt idx="0">
                  <v>84.3132254669824</v>
                </pt>
                <pt idx="0">
                  <v>79.8387200736648</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96.3961775186265</v>
                </pt>
                <pt idx="0">
                  <v>83.898218334953</v>
                </pt>
                <pt idx="0">
                  <v>88.728798185941</v>
                </pt>
                <pt idx="0">
                  <v>80.8362163913184</v>
                </pt>
                <pt idx="0">
                  <v>89.1438937479754</v>
                </pt>
                <pt idx="0">
                  <v>110.749271137026</v>
                </pt>
                <pt idx="0">
                  <v>91.8453514739229</v>
                </pt>
                <pt idx="0">
                  <v>89.0908325234856</v>
                </pt>
                <pt idx="0">
                  <v>92.5980563654033</v>
                </pt>
                <pt idx="0">
                  <v>76.0205377389051</v>
                </pt>
                <pt idx="0">
                  <v>103.944606413994</v>
                </pt>
                <pt idx="0">
                  <v>95.1614512471655</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16"/>
          <min val="22"/>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8.xml.rels><?xml version="1.0" encoding="utf-8" standalone="yes" ?>
<Relationships xmlns="http://schemas.openxmlformats.org/package/2006/relationships">
<Relationship Id="rId54" Type="http://schemas.openxmlformats.org/officeDocument/2006/relationships/chart" Target="/xl/charts/chart49.xml" />
</Relationships>
</file>

<file path=xl/drawings/_rels/drawing50.xml.rels><?xml version="1.0" encoding="utf-8" standalone="yes" ?>
<Relationships xmlns="http://schemas.openxmlformats.org/package/2006/relationships">
<Relationship Id="rId56" Type="http://schemas.openxmlformats.org/officeDocument/2006/relationships/chart" Target="/xl/charts/chart51.xml" />
</Relationships>
</file>

<file path=xl/drawings/_rels/drawing52.xml.rels><?xml version="1.0" encoding="utf-8" standalone="yes" ?>
<Relationships xmlns="http://schemas.openxmlformats.org/package/2006/relationships">
<Relationship Id="rId58" Type="http://schemas.openxmlformats.org/officeDocument/2006/relationships/chart" Target="/xl/charts/chart53.xml" />
</Relationships>
</file>

<file path=xl/drawings/_rels/drawing54.xml.rels><?xml version="1.0" encoding="utf-8" standalone="yes" ?>
<Relationships xmlns="http://schemas.openxmlformats.org/package/2006/relationships">
<Relationship Id="rId60" Type="http://schemas.openxmlformats.org/officeDocument/2006/relationships/chart" Target="/xl/charts/chart55.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100584</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4"/>
        </a:graphicData>
      </a:graphic>
    </xdr:graphicFrame>
    <xdr:clientData/>
  </xdr:oneCellAnchor>
</xdr:wsDr>
</file>

<file path=xl/drawings/drawing3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6"/>
        </a:graphicData>
      </a:graphic>
    </xdr:graphicFrame>
    <xdr:clientData/>
  </xdr:oneCellAnchor>
</xdr:wsDr>
</file>

<file path=xl/drawings/drawing5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8"/>
        </a:graphicData>
      </a:graphic>
    </xdr:graphicFrame>
    <xdr:clientData/>
  </xdr:oneCellAnchor>
</xdr:wsDr>
</file>

<file path=xl/drawings/drawing5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60"/>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61" Type="http://schemas.openxmlformats.org/officeDocument/2006/relationships/hyperlink" Target="http://www.strglobal.com/" TargetMode="External" />
<Relationship Id="rId62"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55" Type="http://schemas.openxmlformats.org/officeDocument/2006/relationships/drawing" Target="../drawings/drawing50.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57" Type="http://schemas.openxmlformats.org/officeDocument/2006/relationships/drawing" Target="../drawings/drawing52.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59" Type="http://schemas.openxmlformats.org/officeDocument/2006/relationships/drawing" Target="../drawings/drawing54.xml"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63" Type="http://schemas.openxmlformats.org/officeDocument/2006/relationships/hyperlink" Target="http://www.str.com/data-insights/resources/glossary" TargetMode="External" />
<Relationship Id="rId64" Type="http://schemas.openxmlformats.org/officeDocument/2006/relationships/hyperlink" Target="http://www.hotelnewsnow.com/" TargetMode="External" />
<Relationship Id="rId65" Type="http://schemas.openxmlformats.org/officeDocument/2006/relationships/hyperlink" Target="http://www.hoteldataconference.com/" TargetMode="External" />
<Relationship Id="rId66" Type="http://schemas.openxmlformats.org/officeDocument/2006/relationships/hyperlink" Target="http://www.str.com/data-insights/resources/FAQ" TargetMode="External" />
<Relationship Id="rId67"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_rels/sheet26.xml.rels><?xml version="1.0" encoding="utf-8" standalone="yes" ?>
<Relationships xmlns="http://schemas.openxmlformats.org/package/2006/relationships">
<Relationship Id="rId1" Type="http://schemas.openxmlformats.org/officeDocument/2006/relationships/printerSettings" Target="../printerSettings/printerSettings27.bin" />
<Relationship Id="rId30" Type="http://schemas.openxmlformats.org/officeDocument/2006/relationships/drawing" Target="../drawings/drawing28.xml" />
</Relationships>
</file>

<file path=xl/worksheets/_rels/sheet30.xml.rels><?xml version="1.0" encoding="utf-8" standalone="yes" ?>
<Relationships xmlns="http://schemas.openxmlformats.org/package/2006/relationships">
<Relationship Id="rId1" Type="http://schemas.openxmlformats.org/officeDocument/2006/relationships/printerSettings" Target="../printerSettings/printerSettings31.bin" />
<Relationship Id="rId34" Type="http://schemas.openxmlformats.org/officeDocument/2006/relationships/drawing" Target="../drawings/drawing32.xml" />
</Relationships>
</file>

<file path=xl/worksheets/_rels/sheet34.xml.rels><?xml version="1.0" encoding="utf-8" standalone="yes" ?>
<Relationships xmlns="http://schemas.openxmlformats.org/package/2006/relationships">
<Relationship Id="rId1" Type="http://schemas.openxmlformats.org/officeDocument/2006/relationships/printerSettings" Target="../printerSettings/printerSettings35.bin" />
<Relationship Id="rId38" Type="http://schemas.openxmlformats.org/officeDocument/2006/relationships/drawing" Target="../drawings/drawing36.xml" />
</Relationships>
</file>

<file path=xl/worksheets/_rels/sheet38.xml.rels><?xml version="1.0" encoding="utf-8" standalone="yes" ?>
<Relationships xmlns="http://schemas.openxmlformats.org/package/2006/relationships">
<Relationship Id="rId1" Type="http://schemas.openxmlformats.org/officeDocument/2006/relationships/printerSettings" Target="../printerSettings/printerSettings39.bin" />
<Relationship Id="rId42" Type="http://schemas.openxmlformats.org/officeDocument/2006/relationships/drawing" Target="../drawings/drawing40.xml" />
</Relationships>
</file>

<file path=xl/worksheets/_rels/sheet42.xml.rels><?xml version="1.0" encoding="utf-8" standalone="yes" ?>
<Relationships xmlns="http://schemas.openxmlformats.org/package/2006/relationships">
<Relationship Id="rId1" Type="http://schemas.openxmlformats.org/officeDocument/2006/relationships/printerSettings" Target="../printerSettings/printerSettings43.bin" />
<Relationship Id="rId46" Type="http://schemas.openxmlformats.org/officeDocument/2006/relationships/drawing" Target="../drawings/drawing44.xml" />
</Relationships>
</file>

<file path=xl/worksheets/_rels/sheet46.xml.rels><?xml version="1.0" encoding="utf-8" standalone="yes" ?>
<Relationships xmlns="http://schemas.openxmlformats.org/package/2006/relationships">
<Relationship Id="rId1" Type="http://schemas.openxmlformats.org/officeDocument/2006/relationships/printerSettings" Target="../printerSettings/printerSettings47.bin" />
<Relationship Id="rId50" Type="http://schemas.openxmlformats.org/officeDocument/2006/relationships/drawing" Target="../drawings/drawing48.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138</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137</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139</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140</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HYPERLINK("#'Segmentation Glance'!A1", "Segmentation at a Glance")</f>
      </c>
      <c r="C9" s="421" t="str">
        <f>HYPERLINK("#'Segmentation Glance'!A1",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HYPERLINK("#'Daily by Month'!A1", "Daily Data for the Month")</f>
      </c>
      <c r="C10" s="421" t="str">
        <f>HYPERLINK("#'Daily by Month'!A1",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HYPERLINK("#'Occ'!A1", "Occupancy Perspectives")</f>
      </c>
      <c r="C11" s="421" t="str">
        <f>HYPERLINK("#'Occ'!A1",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HYPERLINK("#'Segmentation Occ'!A1", "Segmentation Occupancy Analysis")</f>
      </c>
      <c r="C12" s="421" t="str">
        <f>HYPERLINK("#'Segmentation Occ'!A1",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HYPERLINK("#'ADR'!A1", "ADR Perspectives")</f>
      </c>
      <c r="C13" s="421" t="str">
        <f>HYPERLINK("#'ADR'!A1",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HYPERLINK("#'Segmentation ADR'!A1", "Segmentation ADR Analysis")</f>
      </c>
      <c r="C14" s="421" t="str">
        <f>HYPERLINK("#'Segmentation ADR'!A1",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t="str">
        <f>HYPERLINK("#'RevPAR'!A1", "RevPAR Perspectives")</f>
      </c>
      <c r="C15" s="421" t="str">
        <f>HYPERLINK("#'RevPAR'!A1", "9")</f>
      </c>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t="str">
        <f>HYPERLINK("#'Segmentation RevPAR'!A1", "Segmentation RevPAR Analysis")</f>
      </c>
      <c r="C16" s="421" t="str">
        <f>HYPERLINK("#'Segmentation RevPAR'!A1", "10")</f>
      </c>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t="str">
        <f>HYPERLINK("#'Additional Revenue'!A1", "Additional Revenue")</f>
      </c>
      <c r="C17" s="421" t="str">
        <f>HYPERLINK("#'Additional Revenue'!A1", "11")</f>
      </c>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t="str">
        <f>HYPERLINK("#'Response'!A1", "Response Report")</f>
      </c>
      <c r="C18" s="421" t="str">
        <f>HYPERLINK("#'Response'!A1", "12")</f>
      </c>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t="str">
        <f>HYPERLINK("#'Help'!A1", "Help")</f>
      </c>
      <c r="C19" s="421" t="str">
        <f>HYPERLINK("#'Help'!A1", "13")</f>
      </c>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61" display="www.strglobal.com"/>
    <hyperlink ref="M8" r:id="rId62"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121</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141</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142</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143</v>
      </c>
      <c r="R4" s="618" t="s">
        <v>146</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309" t="s">
        <v>148</v>
      </c>
      <c r="D24" s="310"/>
      <c r="E24" s="310"/>
      <c r="F24" s="310"/>
      <c r="G24" s="310"/>
      <c r="H24" s="310"/>
      <c r="I24" s="310"/>
      <c r="J24" s="310"/>
      <c r="K24" s="310"/>
      <c r="L24" s="310"/>
      <c r="M24" s="310"/>
      <c r="N24" s="310"/>
      <c r="O24" s="310"/>
      <c r="P24" s="310"/>
      <c r="Q24" s="656" t="s">
        <v>145</v>
      </c>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18</v>
      </c>
      <c r="D25" s="42">
        <v>19</v>
      </c>
      <c r="E25" s="42">
        <v>20</v>
      </c>
      <c r="F25" s="42">
        <v>21</v>
      </c>
      <c r="G25" s="42">
        <v>22</v>
      </c>
      <c r="H25" s="42">
        <v>23</v>
      </c>
      <c r="I25" s="42">
        <v>24</v>
      </c>
      <c r="J25" s="42">
        <v>25</v>
      </c>
      <c r="K25" s="42">
        <v>26</v>
      </c>
      <c r="L25" s="42">
        <v>27</v>
      </c>
      <c r="M25" s="42">
        <v>28</v>
      </c>
      <c r="N25" s="42">
        <v>29</v>
      </c>
      <c r="O25" s="42">
        <v>30</v>
      </c>
      <c r="P25" s="42">
        <v>31</v>
      </c>
      <c r="Q25" s="657">
        <v>1</v>
      </c>
      <c r="R25" s="42">
        <v>2</v>
      </c>
      <c r="S25" s="42">
        <v>3</v>
      </c>
      <c r="T25" s="42">
        <v>4</v>
      </c>
      <c r="U25" s="42">
        <v>5</v>
      </c>
      <c r="V25" s="42">
        <v>6</v>
      </c>
      <c r="W25" s="42">
        <v>7</v>
      </c>
      <c r="X25" s="323">
        <v>8</v>
      </c>
      <c r="Y25" s="42">
        <v>9</v>
      </c>
      <c r="Z25" s="42">
        <v>10</v>
      </c>
      <c r="AA25" s="42">
        <v>11</v>
      </c>
      <c r="AB25" s="42">
        <v>12</v>
      </c>
      <c r="AC25" s="42">
        <v>13</v>
      </c>
      <c r="AD25" s="337">
        <v>14</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44">
        <v>21.505376344086021505376344090</v>
      </c>
      <c r="D26" s="445">
        <v>26.881720430107526881720430110</v>
      </c>
      <c r="E26" s="445">
        <v>46.236559139784946236559139780</v>
      </c>
      <c r="F26" s="445">
        <v>29.569892473118279569892473120</v>
      </c>
      <c r="G26" s="445">
        <v>31.182795698924731182795698920</v>
      </c>
      <c r="H26" s="445">
        <v>55.913978494623655913978494620</v>
      </c>
      <c r="I26" s="445">
        <v>52.150537634408602150537634410</v>
      </c>
      <c r="J26" s="445">
        <v>33.870967741935483870967741940</v>
      </c>
      <c r="K26" s="445">
        <v>22.043010752688172043010752690</v>
      </c>
      <c r="L26" s="445">
        <v>24.193548387096774193548387100</v>
      </c>
      <c r="M26" s="445">
        <v>34.946236559139784946236559140</v>
      </c>
      <c r="N26" s="445">
        <v>33.870967741935483870967741940</v>
      </c>
      <c r="O26" s="445">
        <v>54.838709677419354838709677420</v>
      </c>
      <c r="P26" s="445">
        <v>69.354838709677419354838709680</v>
      </c>
      <c r="Q26" s="658">
        <v>23.118279569892473118279569890</v>
      </c>
      <c r="R26" s="445">
        <v>23.655913978494623655913978490</v>
      </c>
      <c r="S26" s="445">
        <v>28.494623655913978494623655910</v>
      </c>
      <c r="T26" s="445">
        <v>25.268817204301075268817204300</v>
      </c>
      <c r="U26" s="445">
        <v>42.473118279569892473118279570</v>
      </c>
      <c r="V26" s="445">
        <v>80.64516129032258064516129032</v>
      </c>
      <c r="W26" s="445">
        <v>72.043010752688172043010752690</v>
      </c>
      <c r="X26" s="446">
        <v>26.344086021505376344086021510</v>
      </c>
      <c r="Y26" s="445">
        <v>25.268817204301075268817204300</v>
      </c>
      <c r="Z26" s="445"/>
      <c r="AA26" s="445">
        <v>29.032258064516129032258064520</v>
      </c>
      <c r="AB26" s="445">
        <v>38.172043010752688172043010750</v>
      </c>
      <c r="AC26" s="445">
        <v>36.559139784946236559139784950</v>
      </c>
      <c r="AD26" s="447">
        <v>16.666666666666666666666666670</v>
      </c>
      <c r="AE26" s="448"/>
      <c r="AF26" s="444">
        <v>28.673835125448028673835125450</v>
      </c>
      <c r="AG26" s="445">
        <v>37.196336121067303863002787730</v>
      </c>
      <c r="AH26" s="449">
        <v>35.980148883374689826302729530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44.106813996316758747697974220</v>
      </c>
      <c r="D27" s="81">
        <v>60.036832412523020257826887660</v>
      </c>
      <c r="E27" s="81">
        <v>61.602209944751381215469613260</v>
      </c>
      <c r="F27" s="81">
        <v>58.011049723756906077348066300</v>
      </c>
      <c r="G27" s="81">
        <v>56.077348066298342541436464090</v>
      </c>
      <c r="H27" s="81">
        <v>60.405156537753222836095764270</v>
      </c>
      <c r="I27" s="81">
        <v>59.392265193370165745856353590</v>
      </c>
      <c r="J27" s="81">
        <v>34.806629834254143646408839780</v>
      </c>
      <c r="K27" s="81">
        <v>26.979742173112338858195211790</v>
      </c>
      <c r="L27" s="81">
        <v>42.541436464088397790055248620</v>
      </c>
      <c r="M27" s="81">
        <v>55.248618784530386740331491710</v>
      </c>
      <c r="N27" s="81">
        <v>48.066298342541436464088397790</v>
      </c>
      <c r="O27" s="81">
        <v>70.626151012891344383057090240</v>
      </c>
      <c r="P27" s="81">
        <v>65.009208103130755064456721920</v>
      </c>
      <c r="Q27" s="659">
        <v>33.333333333333333333333333330</v>
      </c>
      <c r="R27" s="81">
        <v>48.987108655616942909760589320</v>
      </c>
      <c r="S27" s="81">
        <v>62.799263351749539594843462250</v>
      </c>
      <c r="T27" s="81">
        <v>73.388581952117863720073664830</v>
      </c>
      <c r="U27" s="81">
        <v>69.152854511970534069981583790</v>
      </c>
      <c r="V27" s="81">
        <v>76.335174953959484346224677720</v>
      </c>
      <c r="W27" s="81">
        <v>66.114180478821362799263351750</v>
      </c>
      <c r="X27" s="82">
        <v>38.766114180478821362799263350</v>
      </c>
      <c r="Y27" s="81">
        <v>50.184162062615101289134438310</v>
      </c>
      <c r="Z27" s="81">
        <v>62.062615101289134438305709020</v>
      </c>
      <c r="AA27" s="81">
        <v>66.574585635359116022099447510</v>
      </c>
      <c r="AB27" s="81">
        <v>64.917127071823204419889502760</v>
      </c>
      <c r="AC27" s="81">
        <v>67.771639042357274401473296500</v>
      </c>
      <c r="AD27" s="83">
        <v>62.338858195211786372007366480</v>
      </c>
      <c r="AE27" s="88"/>
      <c r="AF27" s="327">
        <v>58.945014469876348329387003420</v>
      </c>
      <c r="AG27" s="81">
        <v>56.629834254143646408839779010</v>
      </c>
      <c r="AH27" s="328">
        <v>60.194685609050249934227834780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147</v>
      </c>
      <c r="C28" s="450">
        <v>49.659863945578231292517006800</v>
      </c>
      <c r="D28" s="451">
        <v>73.469387755102040816326530610</v>
      </c>
      <c r="E28" s="451">
        <v>82.08616780045351473922902494</v>
      </c>
      <c r="F28" s="451">
        <v>78.458049886621315192743764170</v>
      </c>
      <c r="G28" s="451">
        <v>71.337868480725623582766439910</v>
      </c>
      <c r="H28" s="451">
        <v>74.965986394557823129251700680</v>
      </c>
      <c r="I28" s="451">
        <v>77.052154195011337868480725620</v>
      </c>
      <c r="J28" s="451">
        <v>51.746031746031746031746031750</v>
      </c>
      <c r="K28" s="451">
        <v>44.036281179138321995464852610</v>
      </c>
      <c r="L28" s="451">
        <v>67.392290249433106575963718820</v>
      </c>
      <c r="M28" s="451">
        <v>73.378684807256235827664399090</v>
      </c>
      <c r="N28" s="451">
        <v>62.811791383219954648526077100</v>
      </c>
      <c r="O28" s="451">
        <v>70.068027210884353741496598640</v>
      </c>
      <c r="P28" s="451">
        <v>74.693877551020408163265306120</v>
      </c>
      <c r="Q28" s="660">
        <v>56.870748299319727891156462590</v>
      </c>
      <c r="R28" s="451">
        <v>74.920634920634920634920634920</v>
      </c>
      <c r="S28" s="451">
        <v>81.26984126984126984126984127</v>
      </c>
      <c r="T28" s="451">
        <v>83.35600907029478458049886621</v>
      </c>
      <c r="U28" s="451">
        <v>83.58276643990929705215419501</v>
      </c>
      <c r="V28" s="451">
        <v>87.75510204081632653061224490</v>
      </c>
      <c r="W28" s="451">
        <v>83.40136054421768707482993197</v>
      </c>
      <c r="X28" s="452">
        <v>55.102040816326530612244897960</v>
      </c>
      <c r="Y28" s="451">
        <v>76.281179138321995464852607710</v>
      </c>
      <c r="Z28" s="451">
        <v>90.56689342403628117913832200</v>
      </c>
      <c r="AA28" s="451">
        <v>81.76870748299319727891156463</v>
      </c>
      <c r="AB28" s="451">
        <v>73.741496598639455782312925170</v>
      </c>
      <c r="AC28" s="451">
        <v>72.426303854875283446712018140</v>
      </c>
      <c r="AD28" s="453">
        <v>70.975056689342403628117913830</v>
      </c>
      <c r="AE28" s="448"/>
      <c r="AF28" s="450">
        <v>74.408811143505021056041464200</v>
      </c>
      <c r="AG28" s="451">
        <v>72.256235827664399092970521540</v>
      </c>
      <c r="AH28" s="454">
        <v>76.572724327826368642695173310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309" t="s">
        <v>148</v>
      </c>
      <c r="D31" s="310"/>
      <c r="E31" s="310"/>
      <c r="F31" s="310"/>
      <c r="G31" s="310"/>
      <c r="H31" s="310"/>
      <c r="I31" s="310"/>
      <c r="J31" s="310"/>
      <c r="K31" s="310"/>
      <c r="L31" s="310"/>
      <c r="M31" s="310"/>
      <c r="N31" s="310"/>
      <c r="O31" s="310"/>
      <c r="P31" s="310"/>
      <c r="Q31" s="656" t="s">
        <v>145</v>
      </c>
      <c r="R31" s="310"/>
      <c r="S31" s="311"/>
      <c r="T31" s="311"/>
      <c r="U31" s="311"/>
      <c r="V31" s="311"/>
      <c r="W31" s="311"/>
      <c r="X31" s="312"/>
      <c r="Y31" s="311"/>
      <c r="Z31" s="311"/>
      <c r="AA31" s="311"/>
      <c r="AB31" s="311"/>
      <c r="AC31" s="311"/>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322">
        <v>18</v>
      </c>
      <c r="D32" s="42">
        <v>19</v>
      </c>
      <c r="E32" s="42">
        <v>20</v>
      </c>
      <c r="F32" s="42">
        <v>21</v>
      </c>
      <c r="G32" s="42">
        <v>22</v>
      </c>
      <c r="H32" s="42">
        <v>23</v>
      </c>
      <c r="I32" s="42">
        <v>24</v>
      </c>
      <c r="J32" s="42">
        <v>25</v>
      </c>
      <c r="K32" s="42">
        <v>26</v>
      </c>
      <c r="L32" s="42">
        <v>27</v>
      </c>
      <c r="M32" s="42">
        <v>28</v>
      </c>
      <c r="N32" s="42">
        <v>29</v>
      </c>
      <c r="O32" s="42">
        <v>30</v>
      </c>
      <c r="P32" s="42">
        <v>31</v>
      </c>
      <c r="Q32" s="657">
        <v>1</v>
      </c>
      <c r="R32" s="42">
        <v>2</v>
      </c>
      <c r="S32" s="42">
        <v>3</v>
      </c>
      <c r="T32" s="42">
        <v>4</v>
      </c>
      <c r="U32" s="42">
        <v>5</v>
      </c>
      <c r="V32" s="42">
        <v>6</v>
      </c>
      <c r="W32" s="42">
        <v>7</v>
      </c>
      <c r="X32" s="323">
        <v>8</v>
      </c>
      <c r="Y32" s="42">
        <v>9</v>
      </c>
      <c r="Z32" s="42">
        <v>10</v>
      </c>
      <c r="AA32" s="42">
        <v>11</v>
      </c>
      <c r="AB32" s="42">
        <v>12</v>
      </c>
      <c r="AC32" s="42">
        <v>13</v>
      </c>
      <c r="AD32" s="337">
        <v>14</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444">
        <v>-45.945945946001460920379782270</v>
      </c>
      <c r="D33" s="445">
        <v>-29.577464788819678635191322080</v>
      </c>
      <c r="E33" s="445">
        <v>8.860759493593718955295680390</v>
      </c>
      <c r="F33" s="445">
        <v>-11.290322580556451612903137090</v>
      </c>
      <c r="G33" s="445">
        <v>1.7543859649872576177285870900</v>
      </c>
      <c r="H33" s="445">
        <v>16.853932584248655472793842930</v>
      </c>
      <c r="I33" s="445">
        <v>6.5934065933972225576621189300</v>
      </c>
      <c r="J33" s="445">
        <v>53.658536585283402736466433320</v>
      </c>
      <c r="K33" s="445">
        <v>46.428571428184438775511226850</v>
      </c>
      <c r="L33" s="445">
        <v>18.421052631472991689750787340</v>
      </c>
      <c r="M33" s="445">
        <v>14.035087719382271468144106240</v>
      </c>
      <c r="N33" s="445">
        <v>-16.000000000080639999999922570</v>
      </c>
      <c r="O33" s="445">
        <v>19.999999999954823529411781710</v>
      </c>
      <c r="P33" s="445">
        <v>29.000000000036120000000010120</v>
      </c>
      <c r="Q33" s="658">
        <v>2.3809523809085034013605630100</v>
      </c>
      <c r="R33" s="445">
        <v>-30.158730158656991685563037500</v>
      </c>
      <c r="S33" s="445">
        <v>-36.144578313283785745391188550</v>
      </c>
      <c r="T33" s="445">
        <v>-22.950819672057887664606218980</v>
      </c>
      <c r="U33" s="445">
        <v>-12.222222222233925925925924370</v>
      </c>
      <c r="V33" s="445">
        <v>38.888888888966049382716092250</v>
      </c>
      <c r="W33" s="445">
        <v>21.818181818257123966942195320</v>
      </c>
      <c r="X33" s="446">
        <v>63.333333332974000000000790560</v>
      </c>
      <c r="Y33" s="445">
        <v>20.512820512727810650887645270</v>
      </c>
      <c r="Z33" s="445"/>
      <c r="AA33" s="445">
        <v>31.707317073100059488399799990</v>
      </c>
      <c r="AB33" s="445">
        <v>16.393442623061488847084222390</v>
      </c>
      <c r="AC33" s="445">
        <v>-26.086956521742344045368619890</v>
      </c>
      <c r="AD33" s="447">
        <v>-59.210526315825969529085839910</v>
      </c>
      <c r="AE33" s="448"/>
      <c r="AF33" s="444">
        <v>-7.3614557486095310809950657600</v>
      </c>
      <c r="AG33" s="445">
        <v>1.5828623589010223504192230500</v>
      </c>
      <c r="AH33" s="449">
        <v>-4.7842401501449000137280648300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53.035143769773456909839074020</v>
      </c>
      <c r="D34" s="81">
        <v>12.998266897654923422111095640</v>
      </c>
      <c r="E34" s="81">
        <v>-2.0497803807403291395938140600</v>
      </c>
      <c r="F34" s="81">
        <v>7.8767123287863342090448523600</v>
      </c>
      <c r="G34" s="81">
        <v>4.8192771084081164589511291700</v>
      </c>
      <c r="H34" s="81">
        <v>-17.794486215510415135583309370</v>
      </c>
      <c r="I34" s="81">
        <v>-17.519181585672475650996526370</v>
      </c>
      <c r="J34" s="81">
        <v>13.173652694691423141740528620</v>
      </c>
      <c r="K34" s="81">
        <v>1.384083044914641826606527900</v>
      </c>
      <c r="L34" s="81">
        <v>5.2391799544802694049947991900</v>
      </c>
      <c r="M34" s="81">
        <v>19.999999999935680000000034470</v>
      </c>
      <c r="N34" s="81">
        <v>-2.4299065419776539435757951200</v>
      </c>
      <c r="O34" s="81">
        <v>15.861027190329526017469720130</v>
      </c>
      <c r="P34" s="81">
        <v>42.052313883152887546607765430</v>
      </c>
      <c r="Q34" s="659">
        <v>8.059701492640534640231776020</v>
      </c>
      <c r="R34" s="81">
        <v>-0.9310986965525919915107935300</v>
      </c>
      <c r="S34" s="81">
        <v>4.2813455658152484358780543100</v>
      </c>
      <c r="T34" s="81">
        <v>17.205882353005639705882388400</v>
      </c>
      <c r="U34" s="81">
        <v>16.614906832224618552525026090</v>
      </c>
      <c r="V34" s="81">
        <v>4.9367088607090177856113045300</v>
      </c>
      <c r="W34" s="81">
        <v>-6.0209424084187864915983476600</v>
      </c>
      <c r="X34" s="82">
        <v>20.285714285873750204081844050</v>
      </c>
      <c r="Y34" s="81">
        <v>12.139917695397106640247981400</v>
      </c>
      <c r="Z34" s="81">
        <v>10.310965630140925369855974750</v>
      </c>
      <c r="AA34" s="81">
        <v>-4.111405835553177395183248100</v>
      </c>
      <c r="AB34" s="81">
        <v>0.5706134094042177366346437600</v>
      </c>
      <c r="AC34" s="81">
        <v>0.8219178082371326702946175700</v>
      </c>
      <c r="AD34" s="83">
        <v>7.1202531645054358275917568700</v>
      </c>
      <c r="AE34" s="88"/>
      <c r="AF34" s="327">
        <v>5.0891181989535076045711624200</v>
      </c>
      <c r="AG34" s="81">
        <v>6.021425932769563892487413500</v>
      </c>
      <c r="AH34" s="328">
        <v>7.2541896166904007382620993600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147</v>
      </c>
      <c r="C35" s="450">
        <v>-7.0458404075065865139325526100</v>
      </c>
      <c r="D35" s="451">
        <v>6.5789473684392832409972330300</v>
      </c>
      <c r="E35" s="451">
        <v>4.7453703703376374421296398500</v>
      </c>
      <c r="F35" s="451">
        <v>4.2796865581609708456367649700</v>
      </c>
      <c r="G35" s="451">
        <v>1.7464424320933243407432955600</v>
      </c>
      <c r="H35" s="451">
        <v>-5.1090700344477989259742089200</v>
      </c>
      <c r="I35" s="451">
        <v>3.2199270959868304398600976400</v>
      </c>
      <c r="J35" s="451">
        <v>20.358649789061910818244948100</v>
      </c>
      <c r="K35" s="451">
        <v>21.375000000073583593750044620</v>
      </c>
      <c r="L35" s="451">
        <v>11.561561561572868476584693950</v>
      </c>
      <c r="M35" s="451">
        <v>14.427157001386103603288200040</v>
      </c>
      <c r="N35" s="451">
        <v>1.1687363037956917788813801500</v>
      </c>
      <c r="O35" s="451">
        <v>7.2916666666331380208333438100</v>
      </c>
      <c r="P35" s="451">
        <v>16.808510638284203259393392270</v>
      </c>
      <c r="Q35" s="660">
        <v>35.129310344678332388897311120</v>
      </c>
      <c r="R35" s="451">
        <v>11.021505376309391801075279660</v>
      </c>
      <c r="S35" s="451">
        <v>6.6666666666333333333333437500</v>
      </c>
      <c r="T35" s="451">
        <v>14.161490683187623548474225690</v>
      </c>
      <c r="U35" s="451">
        <v>19.830949284826729780962911680</v>
      </c>
      <c r="V35" s="451">
        <v>11.849710982689346453272753760</v>
      </c>
      <c r="W35" s="451">
        <v>5.9331797234467746580942761700</v>
      </c>
      <c r="X35" s="452">
        <v>18.421052631573753462603878350</v>
      </c>
      <c r="Y35" s="451">
        <v>12.961719274684028521672926370</v>
      </c>
      <c r="Z35" s="451">
        <v>17.886658795744833491076917280</v>
      </c>
      <c r="AA35" s="451">
        <v>8.876811594241360467863907730</v>
      </c>
      <c r="AB35" s="451">
        <v>5.174644243219164258136426300</v>
      </c>
      <c r="AC35" s="451">
        <v>-0.1874999999394886718749633200</v>
      </c>
      <c r="AD35" s="453">
        <v>7.7823691459309082086834293600</v>
      </c>
      <c r="AE35" s="448"/>
      <c r="AF35" s="450">
        <v>9.767753034439796314331840770</v>
      </c>
      <c r="AG35" s="451">
        <v>9.060017112771042759330351540</v>
      </c>
      <c r="AH35" s="454">
        <v>11.864085940140854837806190230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309" t="s">
        <v>148</v>
      </c>
      <c r="D38" s="310"/>
      <c r="E38" s="310"/>
      <c r="F38" s="310"/>
      <c r="G38" s="310"/>
      <c r="H38" s="310"/>
      <c r="I38" s="310"/>
      <c r="J38" s="310"/>
      <c r="K38" s="310"/>
      <c r="L38" s="310"/>
      <c r="M38" s="310"/>
      <c r="N38" s="310"/>
      <c r="O38" s="310"/>
      <c r="P38" s="310"/>
      <c r="Q38" s="656" t="s">
        <v>145</v>
      </c>
      <c r="R38" s="310"/>
      <c r="S38" s="311"/>
      <c r="T38" s="311"/>
      <c r="U38" s="311"/>
      <c r="V38" s="311"/>
      <c r="W38" s="311"/>
      <c r="X38" s="312"/>
      <c r="Y38" s="311"/>
      <c r="Z38" s="311"/>
      <c r="AA38" s="311"/>
      <c r="AB38" s="311"/>
      <c r="AC38" s="311"/>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313">
        <v>18</v>
      </c>
      <c r="D39" s="42">
        <v>19</v>
      </c>
      <c r="E39" s="42">
        <v>20</v>
      </c>
      <c r="F39" s="42">
        <v>21</v>
      </c>
      <c r="G39" s="42">
        <v>22</v>
      </c>
      <c r="H39" s="42">
        <v>23</v>
      </c>
      <c r="I39" s="42">
        <v>24</v>
      </c>
      <c r="J39" s="42">
        <v>25</v>
      </c>
      <c r="K39" s="42">
        <v>26</v>
      </c>
      <c r="L39" s="42">
        <v>27</v>
      </c>
      <c r="M39" s="42">
        <v>28</v>
      </c>
      <c r="N39" s="42">
        <v>29</v>
      </c>
      <c r="O39" s="42">
        <v>30</v>
      </c>
      <c r="P39" s="42">
        <v>31</v>
      </c>
      <c r="Q39" s="657">
        <v>1</v>
      </c>
      <c r="R39" s="42">
        <v>2</v>
      </c>
      <c r="S39" s="42">
        <v>3</v>
      </c>
      <c r="T39" s="42">
        <v>4</v>
      </c>
      <c r="U39" s="42">
        <v>5</v>
      </c>
      <c r="V39" s="42">
        <v>6</v>
      </c>
      <c r="W39" s="42">
        <v>7</v>
      </c>
      <c r="X39" s="323">
        <v>8</v>
      </c>
      <c r="Y39" s="42">
        <v>9</v>
      </c>
      <c r="Z39" s="42">
        <v>10</v>
      </c>
      <c r="AA39" s="42">
        <v>11</v>
      </c>
      <c r="AB39" s="42">
        <v>12</v>
      </c>
      <c r="AC39" s="42">
        <v>13</v>
      </c>
      <c r="AD39" s="337">
        <v>14</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444">
        <v>48.757492087027752021708870010</v>
      </c>
      <c r="D40" s="445">
        <v>44.775380961822036869308040810</v>
      </c>
      <c r="E40" s="445">
        <v>75.056656540757581013826167110</v>
      </c>
      <c r="F40" s="445">
        <v>50.972862263146978275181068290</v>
      </c>
      <c r="G40" s="445">
        <v>55.606758832563640628665259250</v>
      </c>
      <c r="H40" s="445">
        <v>92.56490951999126120204952682</v>
      </c>
      <c r="I40" s="445">
        <v>87.80695173789037594282293719</v>
      </c>
      <c r="J40" s="445">
        <v>97.31182795686104284007526706</v>
      </c>
      <c r="K40" s="445">
        <v>81.70208081034233077658110339</v>
      </c>
      <c r="L40" s="445">
        <v>56.870548806017166850744567590</v>
      </c>
      <c r="M40" s="445">
        <v>63.252688172077799731182814830</v>
      </c>
      <c r="N40" s="445">
        <v>70.467185762018478385946122720</v>
      </c>
      <c r="O40" s="445">
        <v>77.646465071277862564696231500</v>
      </c>
      <c r="P40" s="445">
        <v>106.68463858179222392158804152</v>
      </c>
      <c r="Q40" s="658">
        <v>69.354838709746774193548456440</v>
      </c>
      <c r="R40" s="445">
        <v>48.290080038823395986935571700</v>
      </c>
      <c r="S40" s="445">
        <v>45.374136789365090807557138910</v>
      </c>
      <c r="T40" s="445">
        <v>34.431537620925530063028787230</v>
      </c>
      <c r="U40" s="445">
        <v>61.419183024757988132141849610</v>
      </c>
      <c r="V40" s="445">
        <v>105.64613409076458176314261143</v>
      </c>
      <c r="W40" s="445">
        <v>108.96756222485325252527276236</v>
      </c>
      <c r="X40" s="446">
        <v>67.956478430734462516955701740</v>
      </c>
      <c r="Y40" s="445">
        <v>50.352175199778395410400454180</v>
      </c>
      <c r="Z40" s="445"/>
      <c r="AA40" s="445">
        <v>43.608619997296201800488877670</v>
      </c>
      <c r="AB40" s="445">
        <v>58.801189659137925183876329690</v>
      </c>
      <c r="AC40" s="445">
        <v>53.944600280470900283553896680</v>
      </c>
      <c r="AD40" s="447">
        <v>26.735598227479205548852462840</v>
      </c>
      <c r="AE40" s="448"/>
      <c r="AF40" s="444">
        <v>48.645055707111905862158722710</v>
      </c>
      <c r="AG40" s="445">
        <v>65.683286223593863207952863360</v>
      </c>
      <c r="AH40" s="449">
        <v>59.772965867829617723479287210</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147</v>
      </c>
      <c r="C41" s="329">
        <v>43.305346884647388906712518700</v>
      </c>
      <c r="D41" s="330">
        <v>36.589008363202927950351785510</v>
      </c>
      <c r="E41" s="330">
        <v>56.326857957551420675252161880</v>
      </c>
      <c r="F41" s="330">
        <v>37.688793585689896060461374270</v>
      </c>
      <c r="G41" s="330">
        <v>43.711420544280819587204090770</v>
      </c>
      <c r="H41" s="330">
        <v>74.585797084437868420468271880</v>
      </c>
      <c r="I41" s="330">
        <v>67.682128006996991332511614550</v>
      </c>
      <c r="J41" s="330">
        <v>65.456164654700754820983489490</v>
      </c>
      <c r="K41" s="330">
        <v>50.056476529062530460871027310</v>
      </c>
      <c r="L41" s="330">
        <v>35.899578865124221930919067450</v>
      </c>
      <c r="M41" s="330">
        <v>47.624506559244294287776231250</v>
      </c>
      <c r="N41" s="330">
        <v>53.924537090968569481446857150</v>
      </c>
      <c r="O41" s="330">
        <v>78.264954588144126867328109380</v>
      </c>
      <c r="P41" s="330">
        <v>92.85210646926563031289042160</v>
      </c>
      <c r="Q41" s="661">
        <v>40.65056335855708630053223600</v>
      </c>
      <c r="R41" s="330">
        <v>31.574630945886778224648096480</v>
      </c>
      <c r="S41" s="330">
        <v>35.061743951630708017656889080</v>
      </c>
      <c r="T41" s="330">
        <v>30.314331847377793699444769880</v>
      </c>
      <c r="U41" s="330">
        <v>50.815640698026060829934292890</v>
      </c>
      <c r="V41" s="330">
        <v>91.89797449364050314904307790</v>
      </c>
      <c r="W41" s="330">
        <v>86.38109772143072756005985191</v>
      </c>
      <c r="X41" s="331">
        <v>47.809637594606850598109071960</v>
      </c>
      <c r="Y41" s="330">
        <v>33.125887000891758039796294880</v>
      </c>
      <c r="Z41" s="330"/>
      <c r="AA41" s="330">
        <v>35.505340561426921084328795470</v>
      </c>
      <c r="AB41" s="330">
        <v>51.764670872542873728790867780</v>
      </c>
      <c r="AC41" s="330">
        <v>50.477710222779549944165191580</v>
      </c>
      <c r="AD41" s="338">
        <v>23.482428115030003878777989180</v>
      </c>
      <c r="AE41" s="88"/>
      <c r="AF41" s="329">
        <v>38.535537236510247072007266590</v>
      </c>
      <c r="AG41" s="330">
        <v>51.478375111823627486871718440</v>
      </c>
      <c r="AH41" s="332">
        <v>46.988205263988457523005928020</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309" t="s">
        <v>148</v>
      </c>
      <c r="D44" s="310"/>
      <c r="E44" s="310"/>
      <c r="F44" s="310"/>
      <c r="G44" s="310"/>
      <c r="H44" s="310"/>
      <c r="I44" s="310"/>
      <c r="J44" s="310"/>
      <c r="K44" s="310"/>
      <c r="L44" s="310"/>
      <c r="M44" s="310"/>
      <c r="N44" s="310"/>
      <c r="O44" s="310"/>
      <c r="P44" s="310"/>
      <c r="Q44" s="656" t="s">
        <v>145</v>
      </c>
      <c r="R44" s="310"/>
      <c r="S44" s="311"/>
      <c r="T44" s="311"/>
      <c r="U44" s="311"/>
      <c r="V44" s="311"/>
      <c r="W44" s="311"/>
      <c r="X44" s="312"/>
      <c r="Y44" s="311"/>
      <c r="Z44" s="311"/>
      <c r="AA44" s="311"/>
      <c r="AB44" s="311"/>
      <c r="AC44" s="311"/>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322">
        <v>18</v>
      </c>
      <c r="D45" s="42">
        <v>19</v>
      </c>
      <c r="E45" s="42">
        <v>20</v>
      </c>
      <c r="F45" s="42">
        <v>21</v>
      </c>
      <c r="G45" s="42">
        <v>22</v>
      </c>
      <c r="H45" s="42">
        <v>23</v>
      </c>
      <c r="I45" s="42">
        <v>24</v>
      </c>
      <c r="J45" s="42">
        <v>25</v>
      </c>
      <c r="K45" s="42">
        <v>26</v>
      </c>
      <c r="L45" s="42">
        <v>27</v>
      </c>
      <c r="M45" s="42">
        <v>28</v>
      </c>
      <c r="N45" s="42">
        <v>29</v>
      </c>
      <c r="O45" s="42">
        <v>30</v>
      </c>
      <c r="P45" s="42">
        <v>31</v>
      </c>
      <c r="Q45" s="657">
        <v>1</v>
      </c>
      <c r="R45" s="42">
        <v>2</v>
      </c>
      <c r="S45" s="42">
        <v>3</v>
      </c>
      <c r="T45" s="42">
        <v>4</v>
      </c>
      <c r="U45" s="42">
        <v>5</v>
      </c>
      <c r="V45" s="42">
        <v>6</v>
      </c>
      <c r="W45" s="42">
        <v>7</v>
      </c>
      <c r="X45" s="323">
        <v>8</v>
      </c>
      <c r="Y45" s="42">
        <v>9</v>
      </c>
      <c r="Z45" s="42">
        <v>10</v>
      </c>
      <c r="AA45" s="42">
        <v>11</v>
      </c>
      <c r="AB45" s="42">
        <v>12</v>
      </c>
      <c r="AC45" s="42">
        <v>13</v>
      </c>
      <c r="AD45" s="337">
        <v>14</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444">
        <v>-64.678666139986342054093001730</v>
      </c>
      <c r="D46" s="445">
        <v>-37.678216538420033066755573080</v>
      </c>
      <c r="E46" s="445">
        <v>11.138862083953847612421404480</v>
      </c>
      <c r="F46" s="445">
        <v>-17.767537122485985909601655100</v>
      </c>
      <c r="G46" s="445">
        <v>-2.9239766081219743130742209500</v>
      </c>
      <c r="H46" s="445">
        <v>42.148533844672953983787117280</v>
      </c>
      <c r="I46" s="445">
        <v>29.234176676010967881145029780</v>
      </c>
      <c r="J46" s="445">
        <v>35.772357723260850630035209080</v>
      </c>
      <c r="K46" s="445">
        <v>44.429546562840276670973324840</v>
      </c>
      <c r="L46" s="445">
        <v>12.525632262431752324202312820</v>
      </c>
      <c r="M46" s="445">
        <v>-4.9707602337507258572829557200</v>
      </c>
      <c r="N46" s="445">
        <v>-13.908045977046073181609379690</v>
      </c>
      <c r="O46" s="445">
        <v>3.5723598435521982161393331900</v>
      </c>
      <c r="P46" s="445">
        <v>-9.188385268983122675747250950</v>
      </c>
      <c r="Q46" s="658">
        <v>-5.2551960010376232099016861800</v>
      </c>
      <c r="R46" s="445">
        <v>-29.502327246592786391704083990</v>
      </c>
      <c r="S46" s="445">
        <v>-38.76620852914575111277594500</v>
      </c>
      <c r="T46" s="445">
        <v>-34.261678013902715143500058690</v>
      </c>
      <c r="U46" s="445">
        <v>-24.728510134600059537480722410</v>
      </c>
      <c r="V46" s="445">
        <v>32.354912210160678928953332770</v>
      </c>
      <c r="W46" s="445">
        <v>29.622689288458239866700782060</v>
      </c>
      <c r="X46" s="446">
        <v>35.787806808862729101576726130</v>
      </c>
      <c r="Y46" s="445">
        <v>7.4664784756902413925288390100</v>
      </c>
      <c r="Z46" s="445"/>
      <c r="AA46" s="445">
        <v>37.354518773388892697933587930</v>
      </c>
      <c r="AB46" s="445">
        <v>15.733054295971783372134979470</v>
      </c>
      <c r="AC46" s="445">
        <v>-26.689508506708788911463172090</v>
      </c>
      <c r="AD46" s="447">
        <v>-61.921791184007000087394995710</v>
      </c>
      <c r="AE46" s="448"/>
      <c r="AF46" s="444">
        <v>-11.847633856776037145253227860</v>
      </c>
      <c r="AG46" s="445">
        <v>-4.1864779073875411933734458800</v>
      </c>
      <c r="AH46" s="449">
        <v>-11.224204676631495813543901860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147</v>
      </c>
      <c r="C47" s="329">
        <v>-41.848698013066429290741406750</v>
      </c>
      <c r="D47" s="330">
        <v>-33.924534863520828237038901480</v>
      </c>
      <c r="E47" s="330">
        <v>3.9289460800728637071888513800</v>
      </c>
      <c r="F47" s="330">
        <v>-14.931008763816019854515830170</v>
      </c>
      <c r="G47" s="330">
        <v>0.0078071848225645625790873600</v>
      </c>
      <c r="H47" s="330">
        <v>23.145523630720996437790763240</v>
      </c>
      <c r="I47" s="330">
        <v>3.2682444101051823444236655900</v>
      </c>
      <c r="J47" s="330">
        <v>27.667215322394933027762260950</v>
      </c>
      <c r="K47" s="330">
        <v>20.641459467432666367486488060</v>
      </c>
      <c r="L47" s="330">
        <v>6.1486151449558217086235362700</v>
      </c>
      <c r="M47" s="330">
        <v>-0.3426365667706802314968717600</v>
      </c>
      <c r="N47" s="330">
        <v>-16.970397111844354136816668550</v>
      </c>
      <c r="O47" s="330">
        <v>11.844660194187591931786392120</v>
      </c>
      <c r="P47" s="330">
        <v>10.437158469975709583835334060</v>
      </c>
      <c r="Q47" s="661">
        <v>-24.234829497914301564002639810</v>
      </c>
      <c r="R47" s="330">
        <v>-37.092124985600129496583745600</v>
      </c>
      <c r="S47" s="330">
        <v>-40.135542168647596057030928240</v>
      </c>
      <c r="T47" s="330">
        <v>-32.508607003266022211878299610</v>
      </c>
      <c r="U47" s="330">
        <v>-26.748658588049069405497534790</v>
      </c>
      <c r="V47" s="330">
        <v>24.174562159124184728987580920</v>
      </c>
      <c r="W47" s="330">
        <v>14.995303771855132335298683730</v>
      </c>
      <c r="X47" s="331">
        <v>37.925925926104251742112659540</v>
      </c>
      <c r="Y47" s="330">
        <v>6.6846550201031873893286916800</v>
      </c>
      <c r="Z47" s="330"/>
      <c r="AA47" s="330">
        <v>20.969116513078190787899349200</v>
      </c>
      <c r="AB47" s="330">
        <v>10.666827979899902893691583630</v>
      </c>
      <c r="AC47" s="330">
        <v>-25.948109226623736592677974920</v>
      </c>
      <c r="AD47" s="338">
        <v>-62.155708760691877670250132750</v>
      </c>
      <c r="AE47" s="88"/>
      <c r="AF47" s="329">
        <v>-15.604955289255629971552195600</v>
      </c>
      <c r="AG47" s="330">
        <v>-6.8559999822532073142803574500</v>
      </c>
      <c r="AH47" s="332">
        <v>-14.882637220223693964526273350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309" t="s">
        <v>148</v>
      </c>
      <c r="D50" s="310"/>
      <c r="E50" s="310"/>
      <c r="F50" s="310"/>
      <c r="G50" s="310"/>
      <c r="H50" s="310"/>
      <c r="I50" s="310"/>
      <c r="J50" s="310"/>
      <c r="K50" s="310"/>
      <c r="L50" s="310"/>
      <c r="M50" s="310"/>
      <c r="N50" s="310"/>
      <c r="O50" s="310"/>
      <c r="P50" s="310"/>
      <c r="Q50" s="656" t="s">
        <v>145</v>
      </c>
      <c r="R50" s="310"/>
      <c r="S50" s="311"/>
      <c r="T50" s="311"/>
      <c r="U50" s="311"/>
      <c r="V50" s="311"/>
      <c r="W50" s="311"/>
      <c r="X50" s="312"/>
      <c r="Y50" s="311"/>
      <c r="Z50" s="311"/>
      <c r="AA50" s="311"/>
      <c r="AB50" s="311"/>
      <c r="AC50" s="311"/>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322">
        <v>18</v>
      </c>
      <c r="D51" s="42">
        <v>19</v>
      </c>
      <c r="E51" s="42">
        <v>20</v>
      </c>
      <c r="F51" s="42">
        <v>21</v>
      </c>
      <c r="G51" s="42">
        <v>22</v>
      </c>
      <c r="H51" s="42">
        <v>23</v>
      </c>
      <c r="I51" s="42">
        <v>24</v>
      </c>
      <c r="J51" s="42">
        <v>25</v>
      </c>
      <c r="K51" s="42">
        <v>26</v>
      </c>
      <c r="L51" s="42">
        <v>27</v>
      </c>
      <c r="M51" s="42">
        <v>28</v>
      </c>
      <c r="N51" s="42">
        <v>29</v>
      </c>
      <c r="O51" s="42">
        <v>30</v>
      </c>
      <c r="P51" s="42">
        <v>31</v>
      </c>
      <c r="Q51" s="657">
        <v>1</v>
      </c>
      <c r="R51" s="42">
        <v>2</v>
      </c>
      <c r="S51" s="42">
        <v>3</v>
      </c>
      <c r="T51" s="42">
        <v>4</v>
      </c>
      <c r="U51" s="42">
        <v>5</v>
      </c>
      <c r="V51" s="42">
        <v>6</v>
      </c>
      <c r="W51" s="42">
        <v>7</v>
      </c>
      <c r="X51" s="323">
        <v>8</v>
      </c>
      <c r="Y51" s="42">
        <v>9</v>
      </c>
      <c r="Z51" s="42">
        <v>10</v>
      </c>
      <c r="AA51" s="42">
        <v>11</v>
      </c>
      <c r="AB51" s="42">
        <v>12</v>
      </c>
      <c r="AC51" s="42">
        <v>13</v>
      </c>
      <c r="AD51" s="337">
        <v>14</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455" t="s">
        <v>149</v>
      </c>
      <c r="D52" s="456" t="s">
        <v>151</v>
      </c>
      <c r="E52" s="456" t="s">
        <v>149</v>
      </c>
      <c r="F52" s="456" t="s">
        <v>150</v>
      </c>
      <c r="G52" s="456" t="s">
        <v>150</v>
      </c>
      <c r="H52" s="456" t="s">
        <v>152</v>
      </c>
      <c r="I52" s="456" t="s">
        <v>153</v>
      </c>
      <c r="J52" s="456" t="s">
        <v>152</v>
      </c>
      <c r="K52" s="456" t="s">
        <v>153</v>
      </c>
      <c r="L52" s="456" t="s">
        <v>149</v>
      </c>
      <c r="M52" s="456" t="s">
        <v>151</v>
      </c>
      <c r="N52" s="456" t="s">
        <v>151</v>
      </c>
      <c r="O52" s="456" t="s">
        <v>153</v>
      </c>
      <c r="P52" s="456" t="s">
        <v>152</v>
      </c>
      <c r="Q52" s="662" t="s">
        <v>151</v>
      </c>
      <c r="R52" s="456" t="s">
        <v>151</v>
      </c>
      <c r="S52" s="456" t="s">
        <v>150</v>
      </c>
      <c r="T52" s="456" t="s">
        <v>150</v>
      </c>
      <c r="U52" s="456" t="s">
        <v>151</v>
      </c>
      <c r="V52" s="456" t="s">
        <v>155</v>
      </c>
      <c r="W52" s="456" t="s">
        <v>152</v>
      </c>
      <c r="X52" s="457" t="s">
        <v>150</v>
      </c>
      <c r="Y52" s="456" t="s">
        <v>151</v>
      </c>
      <c r="Z52" s="456"/>
      <c r="AA52" s="456" t="s">
        <v>151</v>
      </c>
      <c r="AB52" s="456" t="s">
        <v>151</v>
      </c>
      <c r="AC52" s="456" t="s">
        <v>151</v>
      </c>
      <c r="AD52" s="458" t="s">
        <v>150</v>
      </c>
      <c r="AE52" s="459"/>
      <c r="AF52" s="455" t="s">
        <v>151</v>
      </c>
      <c r="AG52" s="456" t="s">
        <v>151</v>
      </c>
      <c r="AH52" s="460" t="s">
        <v>151</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150</v>
      </c>
      <c r="D53" s="334" t="s">
        <v>151</v>
      </c>
      <c r="E53" s="334" t="s">
        <v>152</v>
      </c>
      <c r="F53" s="334" t="s">
        <v>151</v>
      </c>
      <c r="G53" s="334" t="s">
        <v>153</v>
      </c>
      <c r="H53" s="334" t="s">
        <v>154</v>
      </c>
      <c r="I53" s="334" t="s">
        <v>155</v>
      </c>
      <c r="J53" s="334" t="s">
        <v>155</v>
      </c>
      <c r="K53" s="334" t="s">
        <v>155</v>
      </c>
      <c r="L53" s="334" t="s">
        <v>152</v>
      </c>
      <c r="M53" s="334" t="s">
        <v>153</v>
      </c>
      <c r="N53" s="334" t="s">
        <v>151</v>
      </c>
      <c r="O53" s="334" t="s">
        <v>153</v>
      </c>
      <c r="P53" s="334" t="s">
        <v>152</v>
      </c>
      <c r="Q53" s="663" t="s">
        <v>149</v>
      </c>
      <c r="R53" s="334" t="s">
        <v>151</v>
      </c>
      <c r="S53" s="334" t="s">
        <v>150</v>
      </c>
      <c r="T53" s="334" t="s">
        <v>150</v>
      </c>
      <c r="U53" s="334" t="s">
        <v>150</v>
      </c>
      <c r="V53" s="334" t="s">
        <v>154</v>
      </c>
      <c r="W53" s="334" t="s">
        <v>155</v>
      </c>
      <c r="X53" s="60" t="s">
        <v>156</v>
      </c>
      <c r="Y53" s="61" t="s">
        <v>155</v>
      </c>
      <c r="Z53" s="61"/>
      <c r="AA53" s="61" t="s">
        <v>156</v>
      </c>
      <c r="AB53" s="61" t="s">
        <v>155</v>
      </c>
      <c r="AC53" s="61" t="s">
        <v>151</v>
      </c>
      <c r="AD53" s="62" t="s">
        <v>150</v>
      </c>
      <c r="AE53" s="59"/>
      <c r="AF53" s="333" t="s">
        <v>149</v>
      </c>
      <c r="AG53" s="334" t="s">
        <v>153</v>
      </c>
      <c r="AH53" s="335" t="s">
        <v>149</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664"/>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664"/>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664"/>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664"/>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664"/>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664"/>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4" t="n">
        <v>45745</v>
      </c>
      <c r="C72" s="664">
        <v>45752</v>
      </c>
      <c r="D72" s="664">
        <v>45759</v>
      </c>
      <c r="E72" s="664">
        <v>45766</v>
      </c>
      <c r="F72" s="664">
        <v>45773</v>
      </c>
      <c r="G72" s="664">
        <v>45780</v>
      </c>
      <c r="H72" s="664">
        <v>45787</v>
      </c>
      <c r="I72" s="664">
        <v>45794</v>
      </c>
      <c r="J72" s="664">
        <v>45801</v>
      </c>
      <c r="K72" s="664">
        <v>45808</v>
      </c>
      <c r="L72" s="664">
        <v>45815</v>
      </c>
      <c r="M72" s="664">
        <v>45822</v>
      </c>
      <c r="N72" s="664"/>
      <c r="O72" s="664"/>
      <c r="P72" s="664"/>
      <c r="Q72" s="664"/>
      <c r="R72" s="664"/>
      <c r="S72" s="664"/>
      <c r="T72" s="664"/>
      <c r="U72" s="664"/>
      <c r="V72" s="664"/>
      <c r="W72" s="664"/>
      <c r="X72" s="664"/>
      <c r="Y72" s="664"/>
      <c r="Z72" s="664"/>
      <c r="AA72" s="664"/>
      <c r="AB72" s="664"/>
      <c r="AC72" s="664"/>
      <c r="AD72" s="664"/>
      <c r="AE72" s="664"/>
      <c r="AF72" s="664"/>
      <c r="AG72" s="664"/>
      <c r="AH72" s="664"/>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4">
        <v>55.453149001536098310291858680</v>
      </c>
      <c r="C73" s="664">
        <v>37.173579109062980030721966210</v>
      </c>
      <c r="D73" s="664">
        <v>44.316436251920122887864823350</v>
      </c>
      <c r="E73" s="664">
        <v>24.961597542242703533026113670</v>
      </c>
      <c r="F73" s="664">
        <v>29.339477726574500768049155150</v>
      </c>
      <c r="G73" s="664">
        <v>49.001536098310291858678955450</v>
      </c>
      <c r="H73" s="664">
        <v>29.646697388632872503840245780</v>
      </c>
      <c r="I73" s="664">
        <v>37.480798771121351766513056840</v>
      </c>
      <c r="J73" s="664">
        <v>37.634408602150537634408602150</v>
      </c>
      <c r="K73" s="664">
        <v>39.016897081413210445468509980</v>
      </c>
      <c r="L73" s="664">
        <v>42.242703533026113671274961600</v>
      </c>
      <c r="M73" s="664">
        <v>28.673835125448028673835125450</v>
      </c>
      <c r="N73" s="664"/>
      <c r="O73" s="664"/>
      <c r="P73" s="664"/>
      <c r="Q73" s="664"/>
      <c r="R73" s="664"/>
      <c r="S73" s="664"/>
      <c r="T73" s="664"/>
      <c r="U73" s="664"/>
      <c r="V73" s="664"/>
      <c r="W73" s="664"/>
      <c r="X73" s="664"/>
      <c r="Y73" s="664"/>
      <c r="Z73" s="664"/>
      <c r="AA73" s="664"/>
      <c r="AB73" s="664"/>
      <c r="AC73" s="664"/>
      <c r="AD73" s="664"/>
      <c r="AE73" s="664"/>
      <c r="AF73" s="664"/>
      <c r="AG73" s="664"/>
      <c r="AH73" s="664"/>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4">
        <v>61.418047882136279926335174950</v>
      </c>
      <c r="C74" s="664">
        <v>47.588124582599720721267682590</v>
      </c>
      <c r="D74" s="664">
        <v>55.196001052354643514864509340</v>
      </c>
      <c r="E74" s="664">
        <v>46.408839779005524861878453040</v>
      </c>
      <c r="F74" s="664">
        <v>55.261773217574322546698237310</v>
      </c>
      <c r="G74" s="664">
        <v>61.852144172586161536437779530</v>
      </c>
      <c r="H74" s="664">
        <v>48.447776900815574848724019990</v>
      </c>
      <c r="I74" s="664">
        <v>54.735595895816890292028413580</v>
      </c>
      <c r="J74" s="664">
        <v>57.090239410681399631675874770</v>
      </c>
      <c r="K74" s="664">
        <v>49.039726387792686135227571690</v>
      </c>
      <c r="L74" s="664">
        <v>61.444356748224151539068666140</v>
      </c>
      <c r="M74" s="664">
        <v>58.945014469876348329387003420</v>
      </c>
      <c r="N74" s="664"/>
      <c r="O74" s="664"/>
      <c r="P74" s="664"/>
      <c r="Q74" s="664"/>
      <c r="R74" s="664"/>
      <c r="S74" s="664"/>
      <c r="T74" s="664"/>
      <c r="U74" s="664"/>
      <c r="V74" s="664"/>
      <c r="W74" s="664"/>
      <c r="X74" s="664"/>
      <c r="Y74" s="664"/>
      <c r="Z74" s="664"/>
      <c r="AA74" s="664"/>
      <c r="AB74" s="664"/>
      <c r="AC74" s="664"/>
      <c r="AD74" s="664"/>
      <c r="AE74" s="664"/>
      <c r="AF74" s="664"/>
      <c r="AG74" s="664"/>
      <c r="AH74" s="664"/>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147</v>
      </c>
      <c r="B75" s="664">
        <v>72.510528020732102364755425980</v>
      </c>
      <c r="C75" s="664">
        <v>65.357952704891480401684483320</v>
      </c>
      <c r="D75" s="664">
        <v>68.318756073858114674441205050</v>
      </c>
      <c r="E75" s="664">
        <v>63.187560738581146744412050530</v>
      </c>
      <c r="F75" s="664">
        <v>68.098477486232588273404599940</v>
      </c>
      <c r="G75" s="664">
        <v>77.473275024295432458697764820</v>
      </c>
      <c r="H75" s="664">
        <v>69.322967282150955620343375450</v>
      </c>
      <c r="I75" s="664">
        <v>69.420149011985746679624230640</v>
      </c>
      <c r="J75" s="664">
        <v>72.432782636864269517330741820</v>
      </c>
      <c r="K75" s="664">
        <v>63.446712018140589569160997730</v>
      </c>
      <c r="L75" s="664">
        <v>78.736637512147716229348882410</v>
      </c>
      <c r="M75" s="664">
        <v>74.408811143505021056041464200</v>
      </c>
      <c r="N75" s="664"/>
      <c r="O75" s="664"/>
      <c r="P75" s="664"/>
      <c r="Q75" s="664"/>
      <c r="R75" s="664"/>
      <c r="S75" s="664"/>
      <c r="T75" s="664"/>
      <c r="U75" s="664"/>
      <c r="V75" s="664"/>
      <c r="W75" s="664"/>
      <c r="X75" s="664"/>
      <c r="Y75" s="664"/>
      <c r="Z75" s="664"/>
      <c r="AA75" s="664"/>
      <c r="AB75" s="664"/>
      <c r="AC75" s="664"/>
      <c r="AD75" s="664"/>
      <c r="AE75" s="664"/>
      <c r="AF75" s="664"/>
      <c r="AG75" s="664"/>
      <c r="AH75" s="66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66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66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66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66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66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66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66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66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66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66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66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66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66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66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66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66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66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66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66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4"/>
      <c r="C95" s="664"/>
      <c r="D95" s="664"/>
      <c r="E95" s="664"/>
      <c r="F95" s="664"/>
      <c r="G95" s="664"/>
      <c r="H95" s="664"/>
      <c r="I95" s="664"/>
      <c r="J95" s="664"/>
      <c r="K95" s="664"/>
      <c r="L95" s="664"/>
      <c r="M95" s="664"/>
      <c r="N95" s="664"/>
      <c r="O95" s="664"/>
      <c r="P95" s="664"/>
      <c r="Q95" s="664"/>
      <c r="R95" s="664"/>
      <c r="S95" s="664"/>
      <c r="T95" s="664"/>
      <c r="U95" s="664"/>
      <c r="V95" s="664"/>
      <c r="W95" s="664"/>
      <c r="X95" s="664"/>
      <c r="Y95" s="664"/>
      <c r="Z95" s="664"/>
      <c r="AA95" s="664"/>
      <c r="AB95" s="664"/>
      <c r="AC95" s="664"/>
      <c r="AD95" s="664"/>
      <c r="AE95" s="664"/>
      <c r="AF95" s="664"/>
      <c r="AG95" s="664"/>
      <c r="AH95" s="66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55"/>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125</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141</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142</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143</v>
      </c>
      <c r="R4" s="618" t="s">
        <v>146</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309" t="s">
        <v>148</v>
      </c>
      <c r="D24" s="310"/>
      <c r="E24" s="310"/>
      <c r="F24" s="310"/>
      <c r="G24" s="310"/>
      <c r="H24" s="310"/>
      <c r="I24" s="310"/>
      <c r="J24" s="310"/>
      <c r="K24" s="310"/>
      <c r="L24" s="310"/>
      <c r="M24" s="310"/>
      <c r="N24" s="310"/>
      <c r="O24" s="310"/>
      <c r="P24" s="310"/>
      <c r="Q24" s="656" t="s">
        <v>145</v>
      </c>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18</v>
      </c>
      <c r="D25" s="42">
        <v>19</v>
      </c>
      <c r="E25" s="42">
        <v>20</v>
      </c>
      <c r="F25" s="42">
        <v>21</v>
      </c>
      <c r="G25" s="42">
        <v>22</v>
      </c>
      <c r="H25" s="42">
        <v>23</v>
      </c>
      <c r="I25" s="42">
        <v>24</v>
      </c>
      <c r="J25" s="42">
        <v>25</v>
      </c>
      <c r="K25" s="42">
        <v>26</v>
      </c>
      <c r="L25" s="42">
        <v>27</v>
      </c>
      <c r="M25" s="42">
        <v>28</v>
      </c>
      <c r="N25" s="42">
        <v>29</v>
      </c>
      <c r="O25" s="42">
        <v>30</v>
      </c>
      <c r="P25" s="42">
        <v>31</v>
      </c>
      <c r="Q25" s="657">
        <v>1</v>
      </c>
      <c r="R25" s="42">
        <v>2</v>
      </c>
      <c r="S25" s="42">
        <v>3</v>
      </c>
      <c r="T25" s="42">
        <v>4</v>
      </c>
      <c r="U25" s="42">
        <v>5</v>
      </c>
      <c r="V25" s="42">
        <v>6</v>
      </c>
      <c r="W25" s="42">
        <v>7</v>
      </c>
      <c r="X25" s="323">
        <v>8</v>
      </c>
      <c r="Y25" s="42">
        <v>9</v>
      </c>
      <c r="Z25" s="42">
        <v>10</v>
      </c>
      <c r="AA25" s="42">
        <v>11</v>
      </c>
      <c r="AB25" s="42">
        <v>12</v>
      </c>
      <c r="AC25" s="42">
        <v>13</v>
      </c>
      <c r="AD25" s="337">
        <v>14</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61">
        <v>101.100000000</v>
      </c>
      <c r="D26" s="462">
        <v>110.540000000</v>
      </c>
      <c r="E26" s="462">
        <v>103.81395348837209302325581395</v>
      </c>
      <c r="F26" s="462">
        <v>95.34545454545454545454545455</v>
      </c>
      <c r="G26" s="462">
        <v>105.34482758620689655172413793</v>
      </c>
      <c r="H26" s="462">
        <v>102.69230769230769230769230769</v>
      </c>
      <c r="I26" s="462">
        <v>101.29896907216494845360824742</v>
      </c>
      <c r="J26" s="462">
        <v>93.000000000</v>
      </c>
      <c r="K26" s="462">
        <v>101.36585365853658536585365854</v>
      </c>
      <c r="L26" s="462">
        <v>100.08888888888888888888888889</v>
      </c>
      <c r="M26" s="462">
        <v>101.400000000</v>
      </c>
      <c r="N26" s="462">
        <v>103.84126984126984126984126984</v>
      </c>
      <c r="O26" s="462">
        <v>109.32352941176470588235294118</v>
      </c>
      <c r="P26" s="462">
        <v>111.78294573643410852713178295</v>
      </c>
      <c r="Q26" s="671">
        <v>107.51162790697674418604651163</v>
      </c>
      <c r="R26" s="462">
        <v>110.11363636363636363636363636</v>
      </c>
      <c r="S26" s="462">
        <v>118.6226415094339622641509434</v>
      </c>
      <c r="T26" s="462">
        <v>126.70212765957446808510638298</v>
      </c>
      <c r="U26" s="462">
        <v>120.06329113924050632911392405</v>
      </c>
      <c r="V26" s="462">
        <v>111.14666666666666666666666667</v>
      </c>
      <c r="W26" s="462">
        <v>115.41791044776119402985074627</v>
      </c>
      <c r="X26" s="463">
        <v>88.89795918367346938775510204</v>
      </c>
      <c r="Y26" s="462">
        <v>107.25531914893617021276595745</v>
      </c>
      <c r="Z26" s="462"/>
      <c r="AA26" s="462">
        <v>115.000000000</v>
      </c>
      <c r="AB26" s="462">
        <v>115.02816901408450704225352113</v>
      </c>
      <c r="AC26" s="462">
        <v>110.01470588235294117647058824</v>
      </c>
      <c r="AD26" s="464">
        <v>90.96774193548387096774193548</v>
      </c>
      <c r="AE26" s="465"/>
      <c r="AF26" s="461">
        <v>106.484375000</v>
      </c>
      <c r="AG26" s="462">
        <v>107.59635974304068522483940043</v>
      </c>
      <c r="AH26" s="466">
        <v>111.96321839080459770114942529</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126.09125260960334029227557411</v>
      </c>
      <c r="D27" s="85">
        <v>134.30076687116564417177914109</v>
      </c>
      <c r="E27" s="85">
        <v>140.03094170403587443946188341</v>
      </c>
      <c r="F27" s="85">
        <v>144.14039682539682539682539682</v>
      </c>
      <c r="G27" s="85">
        <v>127.81241379310344827586206896</v>
      </c>
      <c r="H27" s="85">
        <v>131.70539634146341463414634145</v>
      </c>
      <c r="I27" s="85">
        <v>134.7530852713178294573643411</v>
      </c>
      <c r="J27" s="85">
        <v>114.0255291005291005291005291</v>
      </c>
      <c r="K27" s="85">
        <v>116.38122866894197952218430033</v>
      </c>
      <c r="L27" s="85">
        <v>136.00714285714285714285714285</v>
      </c>
      <c r="M27" s="85">
        <v>141.47133333333333333333333334</v>
      </c>
      <c r="N27" s="85">
        <v>128.63390804597701149425287356</v>
      </c>
      <c r="O27" s="85">
        <v>123.29809647979139504563233377</v>
      </c>
      <c r="P27" s="85">
        <v>124.99645892351274787535410765</v>
      </c>
      <c r="Q27" s="672">
        <v>119.65571823204419889502762432</v>
      </c>
      <c r="R27" s="85">
        <v>139.3487406015037593984962406</v>
      </c>
      <c r="S27" s="85">
        <v>142.07052785923753665689149559</v>
      </c>
      <c r="T27" s="85">
        <v>146.09846925972396486825595983</v>
      </c>
      <c r="U27" s="85">
        <v>136.370306258322237017310253</v>
      </c>
      <c r="V27" s="85">
        <v>134.85673100120627261761158022</v>
      </c>
      <c r="W27" s="85">
        <v>133.64530640668523676880222841</v>
      </c>
      <c r="X27" s="86">
        <v>120.17969121140142517814726841</v>
      </c>
      <c r="Y27" s="85">
        <v>137.74974311926605504587155962</v>
      </c>
      <c r="Z27" s="85">
        <v>143.9077151335311572700296736</v>
      </c>
      <c r="AA27" s="85">
        <v>136.00625172890733056708160443</v>
      </c>
      <c r="AB27" s="85">
        <v>132.9863262411347517730496454</v>
      </c>
      <c r="AC27" s="85">
        <v>136.69892663043478260869565218</v>
      </c>
      <c r="AD27" s="87">
        <v>135.2623338257016248153618907</v>
      </c>
      <c r="AE27" s="169"/>
      <c r="AF27" s="370">
        <v>135.44609462173621959384066057</v>
      </c>
      <c r="AG27" s="85">
        <v>133.93552729384436701509872242</v>
      </c>
      <c r="AH27" s="371">
        <v>136.35086210664335664335664336</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147</v>
      </c>
      <c r="C28" s="467">
        <v>114.66757990867579908675799087</v>
      </c>
      <c r="D28" s="468">
        <v>125.79814814814814814814814815</v>
      </c>
      <c r="E28" s="468">
        <v>136.3149171270718232044198895</v>
      </c>
      <c r="F28" s="468">
        <v>136.86763005780346820809248555</v>
      </c>
      <c r="G28" s="468">
        <v>124.17037507946598855689764781</v>
      </c>
      <c r="H28" s="468">
        <v>125.60435571687840290381125227</v>
      </c>
      <c r="I28" s="468">
        <v>125.62801648028251912889935256</v>
      </c>
      <c r="J28" s="468">
        <v>109.0148992112182296231375986</v>
      </c>
      <c r="K28" s="468">
        <v>109.6766220391349124613800206</v>
      </c>
      <c r="L28" s="468">
        <v>124.94212651413189771197846568</v>
      </c>
      <c r="M28" s="468">
        <v>127.85970333745364647713226205</v>
      </c>
      <c r="N28" s="468">
        <v>119.07653429602888086642599278</v>
      </c>
      <c r="O28" s="468">
        <v>120.17152103559870550161812298</v>
      </c>
      <c r="P28" s="468">
        <v>121.04918032786885245901639344</v>
      </c>
      <c r="Q28" s="673">
        <v>112.77113237639553429027113238</v>
      </c>
      <c r="R28" s="468">
        <v>133.37167070217917675544794189</v>
      </c>
      <c r="S28" s="468">
        <v>140.62555803571428571428571429</v>
      </c>
      <c r="T28" s="468">
        <v>141.43362350380848748639825898</v>
      </c>
      <c r="U28" s="468">
        <v>132.69723277265328269126424308</v>
      </c>
      <c r="V28" s="468">
        <v>130.31111111111111111111111111</v>
      </c>
      <c r="W28" s="468">
        <v>127.22729744426318651441000544</v>
      </c>
      <c r="X28" s="469">
        <v>114.20164609053497942386831276</v>
      </c>
      <c r="Y28" s="468">
        <v>129.91736028537455410225921522</v>
      </c>
      <c r="Z28" s="468">
        <v>139.65898848272408612919379069</v>
      </c>
      <c r="AA28" s="468">
        <v>138.03050471436494731003882418</v>
      </c>
      <c r="AB28" s="468">
        <v>124.64883148831488314883148831</v>
      </c>
      <c r="AC28" s="468">
        <v>120.38948027551659361302442079</v>
      </c>
      <c r="AD28" s="470">
        <v>120.65942492012779552715654952</v>
      </c>
      <c r="AE28" s="465"/>
      <c r="AF28" s="467">
        <v>127.89003047453199825859817153</v>
      </c>
      <c r="AG28" s="468">
        <v>127.22938288762861177736432718</v>
      </c>
      <c r="AH28" s="471">
        <v>130.01108384804128944919197902</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309" t="s">
        <v>148</v>
      </c>
      <c r="D33" s="310"/>
      <c r="E33" s="310"/>
      <c r="F33" s="310"/>
      <c r="G33" s="310"/>
      <c r="H33" s="310"/>
      <c r="I33" s="310"/>
      <c r="J33" s="310"/>
      <c r="K33" s="310"/>
      <c r="L33" s="310"/>
      <c r="M33" s="310"/>
      <c r="N33" s="310"/>
      <c r="O33" s="310"/>
      <c r="P33" s="310"/>
      <c r="Q33" s="656" t="s">
        <v>145</v>
      </c>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322">
        <v>18</v>
      </c>
      <c r="D34" s="42">
        <v>19</v>
      </c>
      <c r="E34" s="42">
        <v>20</v>
      </c>
      <c r="F34" s="42">
        <v>21</v>
      </c>
      <c r="G34" s="42">
        <v>22</v>
      </c>
      <c r="H34" s="42">
        <v>23</v>
      </c>
      <c r="I34" s="42">
        <v>24</v>
      </c>
      <c r="J34" s="42">
        <v>25</v>
      </c>
      <c r="K34" s="42">
        <v>26</v>
      </c>
      <c r="L34" s="42">
        <v>27</v>
      </c>
      <c r="M34" s="42">
        <v>28</v>
      </c>
      <c r="N34" s="42">
        <v>29</v>
      </c>
      <c r="O34" s="42">
        <v>30</v>
      </c>
      <c r="P34" s="42">
        <v>31</v>
      </c>
      <c r="Q34" s="657">
        <v>1</v>
      </c>
      <c r="R34" s="42">
        <v>2</v>
      </c>
      <c r="S34" s="42">
        <v>3</v>
      </c>
      <c r="T34" s="42">
        <v>4</v>
      </c>
      <c r="U34" s="42">
        <v>5</v>
      </c>
      <c r="V34" s="42">
        <v>6</v>
      </c>
      <c r="W34" s="42">
        <v>7</v>
      </c>
      <c r="X34" s="323">
        <v>8</v>
      </c>
      <c r="Y34" s="42">
        <v>9</v>
      </c>
      <c r="Z34" s="42">
        <v>10</v>
      </c>
      <c r="AA34" s="42">
        <v>11</v>
      </c>
      <c r="AB34" s="42">
        <v>12</v>
      </c>
      <c r="AC34" s="42">
        <v>13</v>
      </c>
      <c r="AD34" s="337">
        <v>14</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444">
        <v>-8.918918918918918918918918920</v>
      </c>
      <c r="D35" s="445">
        <v>13.023329493097323444368643200</v>
      </c>
      <c r="E35" s="445">
        <v>-16.347385499996006553822835030</v>
      </c>
      <c r="F35" s="445">
        <v>-15.767766004303030012627147500</v>
      </c>
      <c r="G35" s="445">
        <v>-1.6275364938343580029581230600</v>
      </c>
      <c r="H35" s="445">
        <v>-6.9475118650458306820571627400</v>
      </c>
      <c r="I35" s="445">
        <v>-20.655825567488788070338885200</v>
      </c>
      <c r="J35" s="445">
        <v>-20.363408521318227429475942690</v>
      </c>
      <c r="K35" s="445">
        <v>8.911891881807202048309934640</v>
      </c>
      <c r="L35" s="445">
        <v>-11.508195026114453369757328830</v>
      </c>
      <c r="M35" s="445">
        <v>-0.6907216494896551174407479600</v>
      </c>
      <c r="N35" s="445">
        <v>1.4603340032920998812925082800</v>
      </c>
      <c r="O35" s="445">
        <v>-1.7706131078587529444104116600</v>
      </c>
      <c r="P35" s="445">
        <v>6.6529393535293469393490916400</v>
      </c>
      <c r="Q35" s="658">
        <v>-11.094932622721866607493086220</v>
      </c>
      <c r="R35" s="445">
        <v>19.709388971719171159679522290</v>
      </c>
      <c r="S35" s="445">
        <v>9.946166893125523667415468010</v>
      </c>
      <c r="T35" s="445">
        <v>9.349600838074929954723685780</v>
      </c>
      <c r="U35" s="445">
        <v>14.273436997971841862418718370</v>
      </c>
      <c r="V35" s="445">
        <v>2.2038314176245210727969348700</v>
      </c>
      <c r="W35" s="445">
        <v>7.1751658724869415409615647400</v>
      </c>
      <c r="X35" s="446">
        <v>-4.0669505212501888079904473700</v>
      </c>
      <c r="Y35" s="445">
        <v>3.4617226516736491690180703200</v>
      </c>
      <c r="Z35" s="445"/>
      <c r="AA35" s="445">
        <v>14.247637509047747348555205510</v>
      </c>
      <c r="AB35" s="445">
        <v>16.906336385465640444616808060</v>
      </c>
      <c r="AC35" s="445">
        <v>-1.5624106090444894994597412300</v>
      </c>
      <c r="AD35" s="447">
        <v>-21.302807204390940428242144490</v>
      </c>
      <c r="AE35" s="448"/>
      <c r="AF35" s="444">
        <v>-0.5118859252411862395909043400</v>
      </c>
      <c r="AG35" s="445">
        <v>-1.2250179173813876422787916900</v>
      </c>
      <c r="AH35" s="449">
        <v>5.1518572323050357473715528800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-2.2559322919107493827568079400</v>
      </c>
      <c r="D36" s="81">
        <v>-1.0203141451232988473905872300</v>
      </c>
      <c r="E36" s="81">
        <v>0.024057345433545035490729300</v>
      </c>
      <c r="F36" s="81">
        <v>5.123660301428236943310609700</v>
      </c>
      <c r="G36" s="81">
        <v>4.4582907715086663479334500400</v>
      </c>
      <c r="H36" s="81">
        <v>-5.0641847468310402292294242600</v>
      </c>
      <c r="I36" s="81">
        <v>-8.682114946948657750734997020</v>
      </c>
      <c r="J36" s="81">
        <v>-6.3431987876173855611242846300</v>
      </c>
      <c r="K36" s="81">
        <v>-3.2842604239519019552607658900</v>
      </c>
      <c r="L36" s="81">
        <v>2.340481423173735435968388700</v>
      </c>
      <c r="M36" s="81">
        <v>6.0248507657020022547274431900</v>
      </c>
      <c r="N36" s="81">
        <v>0.5488334240889239790611874100</v>
      </c>
      <c r="O36" s="81">
        <v>-10.577723075041629792889082870</v>
      </c>
      <c r="P36" s="81">
        <v>-7.988007539226518863051332880</v>
      </c>
      <c r="Q36" s="659">
        <v>-8.452296230783923117771584700</v>
      </c>
      <c r="R36" s="81">
        <v>-3.6155019620251057444761910400</v>
      </c>
      <c r="S36" s="81">
        <v>2.9061702860914876381764544500</v>
      </c>
      <c r="T36" s="81">
        <v>-0.5560233597934293955666952300</v>
      </c>
      <c r="U36" s="81">
        <v>-5.4519818669872395894509897800</v>
      </c>
      <c r="V36" s="81">
        <v>-11.216966007162069130635761650</v>
      </c>
      <c r="W36" s="81">
        <v>-4.933208295741201052023546100</v>
      </c>
      <c r="X36" s="82">
        <v>-7.8486641626245689794540169900</v>
      </c>
      <c r="Y36" s="81">
        <v>3.1907556360915216071099257500</v>
      </c>
      <c r="Z36" s="81">
        <v>-0.6487509271517496900739000300</v>
      </c>
      <c r="AA36" s="81">
        <v>-3.0341438473086109445591038700</v>
      </c>
      <c r="AB36" s="81">
        <v>0.9352186750906707646664025200</v>
      </c>
      <c r="AC36" s="81">
        <v>3.8298734100582834959939205600</v>
      </c>
      <c r="AD36" s="83">
        <v>0.5251873052154322729305047600</v>
      </c>
      <c r="AE36" s="88"/>
      <c r="AF36" s="327">
        <v>-0.129197022778651580438116800</v>
      </c>
      <c r="AG36" s="81">
        <v>-2.4266196634307325515971231200</v>
      </c>
      <c r="AH36" s="328">
        <v>-2.4471959374356274157881125900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147</v>
      </c>
      <c r="C37" s="450">
        <v>-3.360107936022786478506456600</v>
      </c>
      <c r="D37" s="451">
        <v>0.2407211304366399417173141700</v>
      </c>
      <c r="E37" s="451">
        <v>-0.5034227707434812519941589300</v>
      </c>
      <c r="F37" s="451">
        <v>3.8749631808448394410236010600</v>
      </c>
      <c r="G37" s="451">
        <v>-2.619868984802194903400911600</v>
      </c>
      <c r="H37" s="451">
        <v>-8.106596812806512000550446210</v>
      </c>
      <c r="I37" s="451">
        <v>-7.745559737397102244405682400</v>
      </c>
      <c r="J37" s="451">
        <v>-3.3208684588552237339367119800</v>
      </c>
      <c r="K37" s="451">
        <v>-4.3159711323919236097405462700</v>
      </c>
      <c r="L37" s="451">
        <v>-1.5831386654283258657000648100</v>
      </c>
      <c r="M37" s="451">
        <v>0.4704832640234263374943330700</v>
      </c>
      <c r="N37" s="451">
        <v>0.1257749484215143579865675400</v>
      </c>
      <c r="O37" s="451">
        <v>-2.3629699036433222291615571600</v>
      </c>
      <c r="P37" s="451">
        <v>-2.5863991060709879271796982600</v>
      </c>
      <c r="Q37" s="660">
        <v>-5.3611766636704408794970282800</v>
      </c>
      <c r="R37" s="451">
        <v>4.8196004927250649472416237900</v>
      </c>
      <c r="S37" s="451">
        <v>2.4994305610001300389037615800</v>
      </c>
      <c r="T37" s="451">
        <v>5.6527706025664408561811405600</v>
      </c>
      <c r="U37" s="451">
        <v>3.6076108498993969869382471500</v>
      </c>
      <c r="V37" s="451">
        <v>-2.0178883861959161306492176700</v>
      </c>
      <c r="W37" s="451">
        <v>-5.0056607972963112741613639100</v>
      </c>
      <c r="X37" s="452">
        <v>-3.8613611354648872268847094100</v>
      </c>
      <c r="Y37" s="451">
        <v>-1.7367399830884786841105807100</v>
      </c>
      <c r="Z37" s="451">
        <v>0.2314589680240610454754769600</v>
      </c>
      <c r="AA37" s="451">
        <v>3.1784829653777872057567667700</v>
      </c>
      <c r="AB37" s="451">
        <v>1.6897145093852228150647547700</v>
      </c>
      <c r="AC37" s="451">
        <v>-2.4475485977501064637999993600</v>
      </c>
      <c r="AD37" s="453">
        <v>-0.8351672388870801880637994900</v>
      </c>
      <c r="AE37" s="448"/>
      <c r="AF37" s="450">
        <v>-0.1370656476094307773397717500</v>
      </c>
      <c r="AG37" s="451">
        <v>-0.9379124412733108681229144500</v>
      </c>
      <c r="AH37" s="454">
        <v>0.1195784665274581705252284100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309" t="s">
        <v>148</v>
      </c>
      <c r="D40" s="310"/>
      <c r="E40" s="310"/>
      <c r="F40" s="310"/>
      <c r="G40" s="310"/>
      <c r="H40" s="310"/>
      <c r="I40" s="310"/>
      <c r="J40" s="310"/>
      <c r="K40" s="310"/>
      <c r="L40" s="310"/>
      <c r="M40" s="310"/>
      <c r="N40" s="310"/>
      <c r="O40" s="310"/>
      <c r="P40" s="310"/>
      <c r="Q40" s="656" t="s">
        <v>145</v>
      </c>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313">
        <v>18</v>
      </c>
      <c r="D41" s="314">
        <v>19</v>
      </c>
      <c r="E41" s="314">
        <v>20</v>
      </c>
      <c r="F41" s="314">
        <v>21</v>
      </c>
      <c r="G41" s="314">
        <v>22</v>
      </c>
      <c r="H41" s="314">
        <v>23</v>
      </c>
      <c r="I41" s="314">
        <v>24</v>
      </c>
      <c r="J41" s="314">
        <v>25</v>
      </c>
      <c r="K41" s="314">
        <v>26</v>
      </c>
      <c r="L41" s="314">
        <v>27</v>
      </c>
      <c r="M41" s="314">
        <v>28</v>
      </c>
      <c r="N41" s="314">
        <v>29</v>
      </c>
      <c r="O41" s="314">
        <v>30</v>
      </c>
      <c r="P41" s="314">
        <v>31</v>
      </c>
      <c r="Q41" s="674">
        <v>1</v>
      </c>
      <c r="R41" s="314">
        <v>2</v>
      </c>
      <c r="S41" s="314">
        <v>3</v>
      </c>
      <c r="T41" s="314">
        <v>4</v>
      </c>
      <c r="U41" s="314">
        <v>5</v>
      </c>
      <c r="V41" s="314">
        <v>6</v>
      </c>
      <c r="W41" s="314">
        <v>7</v>
      </c>
      <c r="X41" s="315">
        <v>8</v>
      </c>
      <c r="Y41" s="314">
        <v>9</v>
      </c>
      <c r="Z41" s="314">
        <v>10</v>
      </c>
      <c r="AA41" s="314">
        <v>11</v>
      </c>
      <c r="AB41" s="314">
        <v>12</v>
      </c>
      <c r="AC41" s="314">
        <v>13</v>
      </c>
      <c r="AD41" s="373">
        <v>14</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444">
        <v>80.18002669306714257945721630</v>
      </c>
      <c r="D42" s="445">
        <v>82.30779508951906438129318720</v>
      </c>
      <c r="E42" s="445">
        <v>74.136438864930260958645401660</v>
      </c>
      <c r="F42" s="445">
        <v>66.147628732386733485472980360</v>
      </c>
      <c r="G42" s="445">
        <v>82.42143658810547843381971708</v>
      </c>
      <c r="H42" s="445">
        <v>77.971222550392671305662628420</v>
      </c>
      <c r="I42" s="445">
        <v>75.173766053829877920470457970</v>
      </c>
      <c r="J42" s="445">
        <v>81.56068271170354655819043445</v>
      </c>
      <c r="K42" s="445">
        <v>87.09811265777098502348122647</v>
      </c>
      <c r="L42" s="445">
        <v>73.590906173251719441283753730</v>
      </c>
      <c r="M42" s="445">
        <v>71.675298175854631397214949230</v>
      </c>
      <c r="N42" s="445">
        <v>80.72620308180000863552498605</v>
      </c>
      <c r="O42" s="445">
        <v>88.66603178231161443954642665</v>
      </c>
      <c r="P42" s="445">
        <v>89.42888998547327597977702638</v>
      </c>
      <c r="Q42" s="658">
        <v>89.85080654358939453684872486</v>
      </c>
      <c r="R42" s="445">
        <v>79.020187687617365392284984800</v>
      </c>
      <c r="S42" s="445">
        <v>83.49560130233046568098363024</v>
      </c>
      <c r="T42" s="445">
        <v>86.72378862118862384237546450</v>
      </c>
      <c r="U42" s="445">
        <v>88.04210713718552746648798060</v>
      </c>
      <c r="V42" s="445">
        <v>82.41833080298946790948891758</v>
      </c>
      <c r="W42" s="445">
        <v>86.36136468311840586724998004</v>
      </c>
      <c r="X42" s="446">
        <v>73.970866697684434210144714150</v>
      </c>
      <c r="Y42" s="445">
        <v>77.862445853017869013458442330</v>
      </c>
      <c r="Z42" s="445"/>
      <c r="AA42" s="445">
        <v>84.55493665778572684971651560</v>
      </c>
      <c r="AB42" s="445">
        <v>86.49623782037716994852851592</v>
      </c>
      <c r="AC42" s="445">
        <v>80.47956819719983993240941579</v>
      </c>
      <c r="AD42" s="447">
        <v>67.252825943921348117500948380</v>
      </c>
      <c r="AE42" s="448"/>
      <c r="AF42" s="444">
        <v>78.617530684373084789918365500</v>
      </c>
      <c r="AG42" s="445">
        <v>80.33444293463532784910818114</v>
      </c>
      <c r="AH42" s="449">
        <v>82.11405242401109119292080609</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147</v>
      </c>
      <c r="C43" s="329">
        <v>88.16790245376879405695219954</v>
      </c>
      <c r="D43" s="330">
        <v>87.87092785329650151071213009</v>
      </c>
      <c r="E43" s="330">
        <v>76.157441662511509778642703510</v>
      </c>
      <c r="F43" s="330">
        <v>69.662530508630567228026807140</v>
      </c>
      <c r="G43" s="330">
        <v>84.83893804682472836576234781</v>
      </c>
      <c r="H43" s="330">
        <v>81.75855614734107212079084492</v>
      </c>
      <c r="I43" s="330">
        <v>80.63405911375657045338950472</v>
      </c>
      <c r="J43" s="330">
        <v>85.30943996914262406019454092</v>
      </c>
      <c r="K43" s="330">
        <v>92.42247962596750639539241420</v>
      </c>
      <c r="L43" s="330">
        <v>80.10820023748645950523604871</v>
      </c>
      <c r="M43" s="330">
        <v>79.30567438620074766368922086</v>
      </c>
      <c r="N43" s="330">
        <v>87.20548549317164724500059264</v>
      </c>
      <c r="O43" s="330">
        <v>90.97290977899693056313236969</v>
      </c>
      <c r="P43" s="330">
        <v>92.34506622319509837346692921</v>
      </c>
      <c r="Q43" s="661">
        <v>95.33612516023300101565841851</v>
      </c>
      <c r="R43" s="330">
        <v>82.56148834598051630521568101</v>
      </c>
      <c r="S43" s="330">
        <v>84.35354367043275815752243894</v>
      </c>
      <c r="T43" s="330">
        <v>89.58416288908151313490266724</v>
      </c>
      <c r="U43" s="330">
        <v>90.47912200618346778125279094</v>
      </c>
      <c r="V43" s="330">
        <v>85.29331514325420304528847666</v>
      </c>
      <c r="W43" s="330">
        <v>90.71788269203081570549897959</v>
      </c>
      <c r="X43" s="331">
        <v>77.842975322111886829760618740</v>
      </c>
      <c r="Y43" s="330">
        <v>82.55657204958576250567914192</v>
      </c>
      <c r="Z43" s="330"/>
      <c r="AA43" s="330">
        <v>83.31491668305307007809582972</v>
      </c>
      <c r="AB43" s="330">
        <v>92.28178687329409590689097663</v>
      </c>
      <c r="AC43" s="330">
        <v>91.38232479332466289484857146</v>
      </c>
      <c r="AD43" s="338">
        <v>75.392156058859226006398138450</v>
      </c>
      <c r="AE43" s="88"/>
      <c r="AF43" s="329">
        <v>83.26245181498484763659598638</v>
      </c>
      <c r="AG43" s="330">
        <v>84.56879794669444723859421619</v>
      </c>
      <c r="AH43" s="332">
        <v>86.11821013791737719130458032</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309" t="s">
        <v>148</v>
      </c>
      <c r="D46" s="310"/>
      <c r="E46" s="310"/>
      <c r="F46" s="310"/>
      <c r="G46" s="310"/>
      <c r="H46" s="310"/>
      <c r="I46" s="310"/>
      <c r="J46" s="310"/>
      <c r="K46" s="310"/>
      <c r="L46" s="310"/>
      <c r="M46" s="310"/>
      <c r="N46" s="310"/>
      <c r="O46" s="310"/>
      <c r="P46" s="310"/>
      <c r="Q46" s="656" t="s">
        <v>145</v>
      </c>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322">
        <v>18</v>
      </c>
      <c r="D47" s="42">
        <v>19</v>
      </c>
      <c r="E47" s="42">
        <v>20</v>
      </c>
      <c r="F47" s="42">
        <v>21</v>
      </c>
      <c r="G47" s="42">
        <v>22</v>
      </c>
      <c r="H47" s="42">
        <v>23</v>
      </c>
      <c r="I47" s="42">
        <v>24</v>
      </c>
      <c r="J47" s="42">
        <v>25</v>
      </c>
      <c r="K47" s="42">
        <v>26</v>
      </c>
      <c r="L47" s="42">
        <v>27</v>
      </c>
      <c r="M47" s="42">
        <v>28</v>
      </c>
      <c r="N47" s="42">
        <v>29</v>
      </c>
      <c r="O47" s="42">
        <v>30</v>
      </c>
      <c r="P47" s="42">
        <v>31</v>
      </c>
      <c r="Q47" s="657">
        <v>1</v>
      </c>
      <c r="R47" s="42">
        <v>2</v>
      </c>
      <c r="S47" s="42">
        <v>3</v>
      </c>
      <c r="T47" s="42">
        <v>4</v>
      </c>
      <c r="U47" s="42">
        <v>5</v>
      </c>
      <c r="V47" s="42">
        <v>6</v>
      </c>
      <c r="W47" s="42">
        <v>7</v>
      </c>
      <c r="X47" s="323">
        <v>8</v>
      </c>
      <c r="Y47" s="42">
        <v>9</v>
      </c>
      <c r="Z47" s="42">
        <v>10</v>
      </c>
      <c r="AA47" s="42">
        <v>11</v>
      </c>
      <c r="AB47" s="42">
        <v>12</v>
      </c>
      <c r="AC47" s="42">
        <v>13</v>
      </c>
      <c r="AD47" s="337">
        <v>14</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444">
        <v>-6.8167683044962350241490682900</v>
      </c>
      <c r="D48" s="445">
        <v>14.188409992307880386057550830</v>
      </c>
      <c r="E48" s="445">
        <v>-16.367505258107822132244361070</v>
      </c>
      <c r="F48" s="445">
        <v>-19.873191483063844674640510620</v>
      </c>
      <c r="G48" s="445">
        <v>-5.8260835214287643009141881800</v>
      </c>
      <c r="H48" s="445">
        <v>-1.98378990401846324974859800</v>
      </c>
      <c r="I48" s="445">
        <v>-13.112119946259300340248851940</v>
      </c>
      <c r="J48" s="445">
        <v>-14.969772138421683009887008510</v>
      </c>
      <c r="K48" s="445">
        <v>12.610307649163920568643436210</v>
      </c>
      <c r="L48" s="445">
        <v>-13.531963360582643840446136280</v>
      </c>
      <c r="M48" s="445">
        <v>-6.3339607333998380592158427300</v>
      </c>
      <c r="N48" s="445">
        <v>0.9065252656084383183575506900</v>
      </c>
      <c r="O48" s="445">
        <v>9.848899256463391230117807390</v>
      </c>
      <c r="P48" s="445">
        <v>15.911998535471512859832197970</v>
      </c>
      <c r="Q48" s="658">
        <v>-2.8866222560496789017434359600</v>
      </c>
      <c r="R48" s="445">
        <v>24.199836497099225862788225630</v>
      </c>
      <c r="S48" s="445">
        <v>6.8411802592170912942448937700</v>
      </c>
      <c r="T48" s="445">
        <v>9.961009738836791686071186320</v>
      </c>
      <c r="U48" s="445">
        <v>20.862858105922990631394552650</v>
      </c>
      <c r="V48" s="445">
        <v>15.116398732129897670800054100</v>
      </c>
      <c r="W48" s="445">
        <v>12.736702218661771005245518760</v>
      </c>
      <c r="X48" s="446">
        <v>4.103807727811884506888533800</v>
      </c>
      <c r="Y48" s="445">
        <v>0.2625884595047578422977624500</v>
      </c>
      <c r="Z48" s="445"/>
      <c r="AA48" s="445">
        <v>17.822542946630380227478563180</v>
      </c>
      <c r="AB48" s="445">
        <v>15.823136780328634885346557750</v>
      </c>
      <c r="AC48" s="445">
        <v>-5.1933839867268176365984793100</v>
      </c>
      <c r="AD48" s="447">
        <v>-21.713955571428750842251135700</v>
      </c>
      <c r="AE48" s="448"/>
      <c r="AF48" s="444">
        <v>-0.3831839647274500978785792300</v>
      </c>
      <c r="AG48" s="445">
        <v>1.2314852082769857352217834600</v>
      </c>
      <c r="AH48" s="449">
        <v>7.789681949993470464374218800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147</v>
      </c>
      <c r="C49" s="329">
        <v>-5.7520873256542784923789459200</v>
      </c>
      <c r="D49" s="330">
        <v>12.751911816477992486871270470</v>
      </c>
      <c r="E49" s="330">
        <v>-15.924128417763381999447361440</v>
      </c>
      <c r="F49" s="330">
        <v>-18.909974630696150547919045590</v>
      </c>
      <c r="G49" s="330">
        <v>1.0190297348591449730291753200</v>
      </c>
      <c r="H49" s="330">
        <v>1.2613364044601549222650740400</v>
      </c>
      <c r="I49" s="330">
        <v>-13.994194526977526228658726810</v>
      </c>
      <c r="J49" s="330">
        <v>-17.627940787997194448092348590</v>
      </c>
      <c r="K49" s="330">
        <v>13.824525545914094986730965500</v>
      </c>
      <c r="L49" s="330">
        <v>-10.084711324930669251961195830</v>
      </c>
      <c r="M49" s="330">
        <v>-1.1557672221841519257506542600</v>
      </c>
      <c r="N49" s="330">
        <v>1.3328826225233939140961555700</v>
      </c>
      <c r="O49" s="330">
        <v>0.6066927631859355930270564100</v>
      </c>
      <c r="P49" s="330">
        <v>9.484649345408045077229148950</v>
      </c>
      <c r="Q49" s="661">
        <v>-6.058566407464874043811125700</v>
      </c>
      <c r="R49" s="330">
        <v>14.205156677635977256821588970</v>
      </c>
      <c r="S49" s="330">
        <v>7.2651489783252190321000594700</v>
      </c>
      <c r="T49" s="330">
        <v>3.49903766316295570636239600</v>
      </c>
      <c r="U49" s="330">
        <v>10.294442715684024295485913160</v>
      </c>
      <c r="V49" s="330">
        <v>4.3086638309026895066153764100</v>
      </c>
      <c r="W49" s="330">
        <v>12.822686880104368220522615670</v>
      </c>
      <c r="X49" s="331">
        <v>-0.2138467822143249155780159100</v>
      </c>
      <c r="Y49" s="330">
        <v>5.2903421216644883714963575600</v>
      </c>
      <c r="Z49" s="330"/>
      <c r="AA49" s="330">
        <v>10.728161749998166429179553470</v>
      </c>
      <c r="AB49" s="330">
        <v>14.963776769000520581264546850</v>
      </c>
      <c r="AC49" s="330">
        <v>0.9073457160459904005135374100</v>
      </c>
      <c r="AD49" s="338">
        <v>-20.640018639241896443558800120</v>
      </c>
      <c r="AE49" s="88"/>
      <c r="AF49" s="329">
        <v>-0.3753347326356935305768407900</v>
      </c>
      <c r="AG49" s="330">
        <v>-0.2898237693311666555123477400</v>
      </c>
      <c r="AH49" s="332">
        <v>5.0262684310883314123195456400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309" t="s">
        <v>148</v>
      </c>
      <c r="D52" s="310"/>
      <c r="E52" s="310"/>
      <c r="F52" s="310"/>
      <c r="G52" s="310"/>
      <c r="H52" s="310"/>
      <c r="I52" s="310"/>
      <c r="J52" s="310"/>
      <c r="K52" s="310"/>
      <c r="L52" s="310"/>
      <c r="M52" s="310"/>
      <c r="N52" s="310"/>
      <c r="O52" s="310"/>
      <c r="P52" s="310"/>
      <c r="Q52" s="656" t="s">
        <v>145</v>
      </c>
      <c r="R52" s="310"/>
      <c r="S52" s="311"/>
      <c r="T52" s="311"/>
      <c r="U52" s="311"/>
      <c r="V52" s="311"/>
      <c r="W52" s="311"/>
      <c r="X52" s="312"/>
      <c r="Y52" s="311"/>
      <c r="Z52" s="311"/>
      <c r="AA52" s="311"/>
      <c r="AB52" s="311"/>
      <c r="AC52" s="311"/>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322">
        <v>18</v>
      </c>
      <c r="D53" s="42">
        <v>19</v>
      </c>
      <c r="E53" s="42">
        <v>20</v>
      </c>
      <c r="F53" s="42">
        <v>21</v>
      </c>
      <c r="G53" s="42">
        <v>22</v>
      </c>
      <c r="H53" s="42">
        <v>23</v>
      </c>
      <c r="I53" s="42">
        <v>24</v>
      </c>
      <c r="J53" s="42">
        <v>25</v>
      </c>
      <c r="K53" s="42">
        <v>26</v>
      </c>
      <c r="L53" s="42">
        <v>27</v>
      </c>
      <c r="M53" s="42">
        <v>28</v>
      </c>
      <c r="N53" s="42">
        <v>29</v>
      </c>
      <c r="O53" s="42">
        <v>30</v>
      </c>
      <c r="P53" s="42">
        <v>31</v>
      </c>
      <c r="Q53" s="657">
        <v>1</v>
      </c>
      <c r="R53" s="42">
        <v>2</v>
      </c>
      <c r="S53" s="42">
        <v>3</v>
      </c>
      <c r="T53" s="42">
        <v>4</v>
      </c>
      <c r="U53" s="42">
        <v>5</v>
      </c>
      <c r="V53" s="42">
        <v>6</v>
      </c>
      <c r="W53" s="42">
        <v>7</v>
      </c>
      <c r="X53" s="323">
        <v>8</v>
      </c>
      <c r="Y53" s="42">
        <v>9</v>
      </c>
      <c r="Z53" s="42">
        <v>10</v>
      </c>
      <c r="AA53" s="42">
        <v>11</v>
      </c>
      <c r="AB53" s="42">
        <v>12</v>
      </c>
      <c r="AC53" s="42">
        <v>13</v>
      </c>
      <c r="AD53" s="337">
        <v>14</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149</v>
      </c>
      <c r="D54" s="456" t="s">
        <v>153</v>
      </c>
      <c r="E54" s="456" t="s">
        <v>149</v>
      </c>
      <c r="F54" s="456" t="s">
        <v>151</v>
      </c>
      <c r="G54" s="456" t="s">
        <v>153</v>
      </c>
      <c r="H54" s="456" t="s">
        <v>153</v>
      </c>
      <c r="I54" s="456" t="s">
        <v>149</v>
      </c>
      <c r="J54" s="456" t="s">
        <v>153</v>
      </c>
      <c r="K54" s="456" t="s">
        <v>153</v>
      </c>
      <c r="L54" s="456" t="s">
        <v>151</v>
      </c>
      <c r="M54" s="456" t="s">
        <v>151</v>
      </c>
      <c r="N54" s="456" t="s">
        <v>151</v>
      </c>
      <c r="O54" s="456" t="s">
        <v>152</v>
      </c>
      <c r="P54" s="456" t="s">
        <v>152</v>
      </c>
      <c r="Q54" s="662" t="s">
        <v>152</v>
      </c>
      <c r="R54" s="456" t="s">
        <v>152</v>
      </c>
      <c r="S54" s="456" t="s">
        <v>152</v>
      </c>
      <c r="T54" s="456" t="s">
        <v>152</v>
      </c>
      <c r="U54" s="456" t="s">
        <v>152</v>
      </c>
      <c r="V54" s="456" t="s">
        <v>149</v>
      </c>
      <c r="W54" s="456" t="s">
        <v>152</v>
      </c>
      <c r="X54" s="457" t="s">
        <v>149</v>
      </c>
      <c r="Y54" s="456" t="s">
        <v>153</v>
      </c>
      <c r="Z54" s="456"/>
      <c r="AA54" s="456" t="s">
        <v>149</v>
      </c>
      <c r="AB54" s="456" t="s">
        <v>149</v>
      </c>
      <c r="AC54" s="456" t="s">
        <v>151</v>
      </c>
      <c r="AD54" s="458" t="s">
        <v>151</v>
      </c>
      <c r="AE54" s="459"/>
      <c r="AF54" s="455" t="s">
        <v>149</v>
      </c>
      <c r="AG54" s="456" t="s">
        <v>149</v>
      </c>
      <c r="AH54" s="460" t="s">
        <v>149</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149</v>
      </c>
      <c r="D55" s="334" t="s">
        <v>156</v>
      </c>
      <c r="E55" s="334" t="s">
        <v>150</v>
      </c>
      <c r="F55" s="334" t="s">
        <v>150</v>
      </c>
      <c r="G55" s="334" t="s">
        <v>151</v>
      </c>
      <c r="H55" s="334" t="s">
        <v>152</v>
      </c>
      <c r="I55" s="334" t="s">
        <v>151</v>
      </c>
      <c r="J55" s="334" t="s">
        <v>151</v>
      </c>
      <c r="K55" s="334" t="s">
        <v>155</v>
      </c>
      <c r="L55" s="334" t="s">
        <v>151</v>
      </c>
      <c r="M55" s="334" t="s">
        <v>153</v>
      </c>
      <c r="N55" s="334" t="s">
        <v>152</v>
      </c>
      <c r="O55" s="334" t="s">
        <v>155</v>
      </c>
      <c r="P55" s="334" t="s">
        <v>152</v>
      </c>
      <c r="Q55" s="663" t="s">
        <v>151</v>
      </c>
      <c r="R55" s="334" t="s">
        <v>154</v>
      </c>
      <c r="S55" s="334" t="s">
        <v>155</v>
      </c>
      <c r="T55" s="334" t="s">
        <v>155</v>
      </c>
      <c r="U55" s="334" t="s">
        <v>154</v>
      </c>
      <c r="V55" s="334" t="s">
        <v>155</v>
      </c>
      <c r="W55" s="334" t="s">
        <v>156</v>
      </c>
      <c r="X55" s="60" t="s">
        <v>152</v>
      </c>
      <c r="Y55" s="61" t="s">
        <v>153</v>
      </c>
      <c r="Z55" s="61"/>
      <c r="AA55" s="61" t="s">
        <v>154</v>
      </c>
      <c r="AB55" s="61" t="s">
        <v>154</v>
      </c>
      <c r="AC55" s="61" t="s">
        <v>149</v>
      </c>
      <c r="AD55" s="62" t="s">
        <v>150</v>
      </c>
      <c r="AE55" s="59"/>
      <c r="AF55" s="333" t="s">
        <v>151</v>
      </c>
      <c r="AG55" s="334" t="s">
        <v>149</v>
      </c>
      <c r="AH55" s="335" t="s">
        <v>156</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66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66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664"/>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664"/>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664"/>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664"/>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4" t="n">
        <v>45745</v>
      </c>
      <c r="C72" s="664">
        <v>45752</v>
      </c>
      <c r="D72" s="664">
        <v>45759</v>
      </c>
      <c r="E72" s="664">
        <v>45766</v>
      </c>
      <c r="F72" s="664">
        <v>45773</v>
      </c>
      <c r="G72" s="664">
        <v>45780</v>
      </c>
      <c r="H72" s="664">
        <v>45787</v>
      </c>
      <c r="I72" s="664">
        <v>45794</v>
      </c>
      <c r="J72" s="664">
        <v>45801</v>
      </c>
      <c r="K72" s="664">
        <v>45808</v>
      </c>
      <c r="L72" s="664">
        <v>45815</v>
      </c>
      <c r="M72" s="664">
        <v>45822</v>
      </c>
      <c r="N72" s="664"/>
      <c r="O72" s="664"/>
      <c r="P72" s="664"/>
      <c r="Q72" s="664"/>
      <c r="R72" s="664"/>
      <c r="S72" s="664"/>
      <c r="T72" s="664"/>
      <c r="U72" s="664"/>
      <c r="V72" s="664"/>
      <c r="W72" s="664"/>
      <c r="X72" s="664"/>
      <c r="Y72" s="664"/>
      <c r="Z72" s="664"/>
      <c r="AA72" s="664"/>
      <c r="AB72" s="664"/>
      <c r="AC72" s="664"/>
      <c r="AD72" s="664"/>
      <c r="AE72" s="664"/>
      <c r="AF72" s="664"/>
      <c r="AG72" s="664"/>
      <c r="AH72" s="664"/>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4">
        <v>120.31994459833795013850415512</v>
      </c>
      <c r="C73" s="664">
        <v>121.11983471074380165289256198</v>
      </c>
      <c r="D73" s="664">
        <v>112.02253032928942807625649913</v>
      </c>
      <c r="E73" s="664">
        <v>107.320000000</v>
      </c>
      <c r="F73" s="664">
        <v>108.03403141361256544502617801</v>
      </c>
      <c r="G73" s="664">
        <v>117.45924764890282131661442006</v>
      </c>
      <c r="H73" s="664">
        <v>109.28238341968911917098445596</v>
      </c>
      <c r="I73" s="664">
        <v>107.24795081967213114754098361</v>
      </c>
      <c r="J73" s="664">
        <v>102.77346938775510204081632653</v>
      </c>
      <c r="K73" s="664">
        <v>104.76968503937007874015748031</v>
      </c>
      <c r="L73" s="664">
        <v>115.15090909090909090909090909</v>
      </c>
      <c r="M73" s="664">
        <v>106.484375000</v>
      </c>
      <c r="N73" s="664"/>
      <c r="O73" s="664"/>
      <c r="P73" s="664"/>
      <c r="Q73" s="664"/>
      <c r="R73" s="664"/>
      <c r="S73" s="664"/>
      <c r="T73" s="664"/>
      <c r="U73" s="664"/>
      <c r="V73" s="664"/>
      <c r="W73" s="664"/>
      <c r="X73" s="664"/>
      <c r="Y73" s="664"/>
      <c r="Z73" s="664"/>
      <c r="AA73" s="664"/>
      <c r="AB73" s="664"/>
      <c r="AC73" s="664"/>
      <c r="AD73" s="664"/>
      <c r="AE73" s="664"/>
      <c r="AF73" s="664"/>
      <c r="AG73" s="664"/>
      <c r="AH73" s="664"/>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4">
        <v>137.68350610409081173698864853</v>
      </c>
      <c r="C74" s="664">
        <v>135.89879137833663339389114563</v>
      </c>
      <c r="D74" s="664">
        <v>140.1984818875119161105815062</v>
      </c>
      <c r="E74" s="664">
        <v>133.37102324263038548752834467</v>
      </c>
      <c r="F74" s="664">
        <v>140.77820280885503451559152582</v>
      </c>
      <c r="G74" s="664">
        <v>148.03289025946405784772437261</v>
      </c>
      <c r="H74" s="664">
        <v>136.70136573445560684224816725</v>
      </c>
      <c r="I74" s="664">
        <v>133.52290795481855323239605864</v>
      </c>
      <c r="J74" s="664">
        <v>134.47078341013824884792626728</v>
      </c>
      <c r="K74" s="664">
        <v>127.38291040772532188841201716</v>
      </c>
      <c r="L74" s="664">
        <v>137.21882680368229501177478056</v>
      </c>
      <c r="M74" s="664">
        <v>135.44609462173621959384066057</v>
      </c>
      <c r="N74" s="664"/>
      <c r="O74" s="664"/>
      <c r="P74" s="664"/>
      <c r="Q74" s="664"/>
      <c r="R74" s="664"/>
      <c r="S74" s="664"/>
      <c r="T74" s="664"/>
      <c r="U74" s="664"/>
      <c r="V74" s="664"/>
      <c r="W74" s="664"/>
      <c r="X74" s="664"/>
      <c r="Y74" s="664"/>
      <c r="Z74" s="664"/>
      <c r="AA74" s="664"/>
      <c r="AB74" s="664"/>
      <c r="AC74" s="664"/>
      <c r="AD74" s="664"/>
      <c r="AE74" s="664"/>
      <c r="AF74" s="664"/>
      <c r="AG74" s="664"/>
      <c r="AH74" s="664"/>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147</v>
      </c>
      <c r="B75" s="664">
        <v>132.94093995711222301644031451</v>
      </c>
      <c r="C75" s="664">
        <v>128.36726804123711340206185567</v>
      </c>
      <c r="D75" s="664">
        <v>129.87472735893788525367472736</v>
      </c>
      <c r="E75" s="664">
        <v>127.93058546088383061622065006</v>
      </c>
      <c r="F75" s="664">
        <v>130.90438588145752069260774427</v>
      </c>
      <c r="G75" s="664">
        <v>142.95158053186151530356246864</v>
      </c>
      <c r="H75" s="664">
        <v>132.48906542056074766355140187</v>
      </c>
      <c r="I75" s="664">
        <v>128.33569762015865608959402706</v>
      </c>
      <c r="J75" s="664">
        <v>127.83998211091234347048300537</v>
      </c>
      <c r="K75" s="664">
        <v>119.81793117532931685898090473</v>
      </c>
      <c r="L75" s="664">
        <v>132.01555171562577141446556406</v>
      </c>
      <c r="M75" s="664">
        <v>127.89003047453199825859817153</v>
      </c>
      <c r="N75" s="664"/>
      <c r="O75" s="664"/>
      <c r="P75" s="664"/>
      <c r="Q75" s="664"/>
      <c r="R75" s="664"/>
      <c r="S75" s="664"/>
      <c r="T75" s="664"/>
      <c r="U75" s="664"/>
      <c r="V75" s="664"/>
      <c r="W75" s="664"/>
      <c r="X75" s="664"/>
      <c r="Y75" s="664"/>
      <c r="Z75" s="664"/>
      <c r="AA75" s="664"/>
      <c r="AB75" s="664"/>
      <c r="AC75" s="664"/>
      <c r="AD75" s="664"/>
      <c r="AE75" s="664"/>
      <c r="AF75" s="664"/>
      <c r="AG75" s="664"/>
      <c r="AH75" s="664"/>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664"/>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66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66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66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66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66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66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66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66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66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66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66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66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66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66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66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66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66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66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4"/>
      <c r="C95" s="664"/>
      <c r="D95" s="664"/>
      <c r="E95" s="664"/>
      <c r="F95" s="664"/>
      <c r="G95" s="664"/>
      <c r="H95" s="664"/>
      <c r="I95" s="664"/>
      <c r="J95" s="664"/>
      <c r="K95" s="664"/>
      <c r="L95" s="664"/>
      <c r="M95" s="664"/>
      <c r="N95" s="664"/>
      <c r="O95" s="664"/>
      <c r="P95" s="664"/>
      <c r="Q95" s="664"/>
      <c r="R95" s="664"/>
      <c r="S95" s="664"/>
      <c r="T95" s="664"/>
      <c r="U95" s="664"/>
      <c r="V95" s="664"/>
      <c r="W95" s="664"/>
      <c r="X95" s="664"/>
      <c r="Y95" s="664"/>
      <c r="Z95" s="664"/>
      <c r="AA95" s="664"/>
      <c r="AB95" s="664"/>
      <c r="AC95" s="664"/>
      <c r="AD95" s="664"/>
      <c r="AE95" s="664"/>
      <c r="AF95" s="664"/>
      <c r="AG95" s="664"/>
      <c r="AH95" s="66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57"/>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141</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142</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143</v>
      </c>
      <c r="R4" s="618" t="s">
        <v>157</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309" t="s">
        <v>148</v>
      </c>
      <c r="D24" s="310"/>
      <c r="E24" s="310"/>
      <c r="F24" s="310"/>
      <c r="G24" s="310"/>
      <c r="H24" s="310"/>
      <c r="I24" s="310"/>
      <c r="J24" s="310"/>
      <c r="K24" s="310"/>
      <c r="L24" s="310"/>
      <c r="M24" s="310"/>
      <c r="N24" s="310"/>
      <c r="O24" s="310"/>
      <c r="P24" s="310"/>
      <c r="Q24" s="656" t="s">
        <v>145</v>
      </c>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313">
        <v>18</v>
      </c>
      <c r="D25" s="314">
        <v>19</v>
      </c>
      <c r="E25" s="314">
        <v>20</v>
      </c>
      <c r="F25" s="314">
        <v>21</v>
      </c>
      <c r="G25" s="314">
        <v>22</v>
      </c>
      <c r="H25" s="314">
        <v>23</v>
      </c>
      <c r="I25" s="314">
        <v>24</v>
      </c>
      <c r="J25" s="314">
        <v>25</v>
      </c>
      <c r="K25" s="314">
        <v>26</v>
      </c>
      <c r="L25" s="314">
        <v>27</v>
      </c>
      <c r="M25" s="314">
        <v>28</v>
      </c>
      <c r="N25" s="314">
        <v>29</v>
      </c>
      <c r="O25" s="314">
        <v>30</v>
      </c>
      <c r="P25" s="314">
        <v>31</v>
      </c>
      <c r="Q25" s="674">
        <v>1</v>
      </c>
      <c r="R25" s="314">
        <v>2</v>
      </c>
      <c r="S25" s="314">
        <v>3</v>
      </c>
      <c r="T25" s="314">
        <v>4</v>
      </c>
      <c r="U25" s="314">
        <v>5</v>
      </c>
      <c r="V25" s="314">
        <v>6</v>
      </c>
      <c r="W25" s="314">
        <v>7</v>
      </c>
      <c r="X25" s="315">
        <v>8</v>
      </c>
      <c r="Y25" s="314">
        <v>9</v>
      </c>
      <c r="Z25" s="314">
        <v>10</v>
      </c>
      <c r="AA25" s="314">
        <v>11</v>
      </c>
      <c r="AB25" s="314">
        <v>12</v>
      </c>
      <c r="AC25" s="314">
        <v>13</v>
      </c>
      <c r="AD25" s="373">
        <v>14</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461">
        <v>21.741935483870967741935483871</v>
      </c>
      <c r="D26" s="462">
        <v>29.715053763440860215053763441</v>
      </c>
      <c r="E26" s="462">
        <v>48.000000000</v>
      </c>
      <c r="F26" s="462">
        <v>28.193548387096774193548387097</v>
      </c>
      <c r="G26" s="462">
        <v>32.849462365591397849462365591</v>
      </c>
      <c r="H26" s="462">
        <v>57.41935483870967741935483871</v>
      </c>
      <c r="I26" s="462">
        <v>52.827956989247311827956989247</v>
      </c>
      <c r="J26" s="462">
        <v>31.500000000</v>
      </c>
      <c r="K26" s="462">
        <v>22.344086021505376344086021505</v>
      </c>
      <c r="L26" s="462">
        <v>24.215053763440860215053763441</v>
      </c>
      <c r="M26" s="462">
        <v>35.435483870967741935483870968</v>
      </c>
      <c r="N26" s="462">
        <v>35.172043010752688172043010753</v>
      </c>
      <c r="O26" s="462">
        <v>59.951612903225806451612903226</v>
      </c>
      <c r="P26" s="462">
        <v>77.52688172043010752688172043</v>
      </c>
      <c r="Q26" s="671">
        <v>24.854838709677419354838709677</v>
      </c>
      <c r="R26" s="462">
        <v>26.048387096774193548387096774</v>
      </c>
      <c r="S26" s="462">
        <v>33.801075268817204301075268817</v>
      </c>
      <c r="T26" s="462">
        <v>32.016129032258064516129032258</v>
      </c>
      <c r="U26" s="462">
        <v>50.994623655913978494623655914</v>
      </c>
      <c r="V26" s="462">
        <v>89.63440860215053763440860215</v>
      </c>
      <c r="W26" s="462">
        <v>83.15053763440860215053763441</v>
      </c>
      <c r="X26" s="463">
        <v>23.41935483870967741935483871</v>
      </c>
      <c r="Y26" s="462">
        <v>27.102150537634408602150537634</v>
      </c>
      <c r="Z26" s="462"/>
      <c r="AA26" s="462">
        <v>33.387096774193548387096774194</v>
      </c>
      <c r="AB26" s="462">
        <v>43.908602150537634408602150538</v>
      </c>
      <c r="AC26" s="462">
        <v>40.220430107526881720430107527</v>
      </c>
      <c r="AD26" s="464">
        <v>15.161290322580645161290322581</v>
      </c>
      <c r="AE26" s="465"/>
      <c r="AF26" s="461">
        <v>30.533154121863799283154121864</v>
      </c>
      <c r="AG26" s="462">
        <v>40.021903624054161688570290721</v>
      </c>
      <c r="AH26" s="466">
        <v>40.284532671629445822994210091</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55.614834254143646408839779006</v>
      </c>
      <c r="D27" s="85">
        <v>80.62992633517495395948434622</v>
      </c>
      <c r="E27" s="85">
        <v>86.26215469613259668508287293</v>
      </c>
      <c r="F27" s="85">
        <v>83.61735727440147329650092081</v>
      </c>
      <c r="G27" s="85">
        <v>71.673812154696132596685082873</v>
      </c>
      <c r="H27" s="85">
        <v>79.5568508287292817679558011</v>
      </c>
      <c r="I27" s="85">
        <v>80.03290976058931860036832413</v>
      </c>
      <c r="J27" s="85">
        <v>39.688443830570902394106813996</v>
      </c>
      <c r="K27" s="85">
        <v>31.399355432780847145488029466</v>
      </c>
      <c r="L27" s="85">
        <v>57.859392265193370165745856354</v>
      </c>
      <c r="M27" s="85">
        <v>78.160957642725598526703499079</v>
      </c>
      <c r="N27" s="85">
        <v>61.829558011049723756906077348</v>
      </c>
      <c r="O27" s="85">
        <v>87.08069981583793738489871087</v>
      </c>
      <c r="P27" s="85">
        <v>81.25920810313075506445672192</v>
      </c>
      <c r="Q27" s="672">
        <v>39.88523941068139963167587477</v>
      </c>
      <c r="R27" s="85">
        <v>68.262918968692449355432780847</v>
      </c>
      <c r="S27" s="85">
        <v>89.2192449355432780847145488</v>
      </c>
      <c r="T27" s="85">
        <v>107.21959484346224677716390424</v>
      </c>
      <c r="U27" s="85">
        <v>94.30395948434622467771639042</v>
      </c>
      <c r="V27" s="85">
        <v>102.94312154696132596685082873</v>
      </c>
      <c r="W27" s="85">
        <v>88.35849907918968692449355433</v>
      </c>
      <c r="X27" s="86">
        <v>46.588996316758747697974217311</v>
      </c>
      <c r="Y27" s="85">
        <v>69.128554327808471454880294659</v>
      </c>
      <c r="Z27" s="85">
        <v>89.31289134438305709023941068</v>
      </c>
      <c r="AA27" s="85">
        <v>90.54559852670349907918968692</v>
      </c>
      <c r="AB27" s="85">
        <v>86.33090239410681399631675875</v>
      </c>
      <c r="AC27" s="85">
        <v>92.64310313075506445672191529</v>
      </c>
      <c r="AD27" s="87">
        <v>84.32099447513812154696132597</v>
      </c>
      <c r="AE27" s="169"/>
      <c r="AF27" s="370">
        <v>79.83872007366482504604051565</v>
      </c>
      <c r="AG27" s="85">
        <v>75.847467113917390160484083136</v>
      </c>
      <c r="AH27" s="371">
        <v>82.07597277032359905288082084</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147</v>
      </c>
      <c r="C28" s="467">
        <v>56.943764172335600907029478458</v>
      </c>
      <c r="D28" s="468">
        <v>92.42312925170068027210884354</v>
      </c>
      <c r="E28" s="468">
        <v>111.89569160997732426303854875</v>
      </c>
      <c r="F28" s="468">
        <v>107.38367346938775510204081633</v>
      </c>
      <c r="G28" s="468">
        <v>88.58049886621315192743764172</v>
      </c>
      <c r="H28" s="468">
        <v>94.16054421768707482993197279</v>
      </c>
      <c r="I28" s="468">
        <v>96.79909297052154195011337868</v>
      </c>
      <c r="J28" s="468">
        <v>56.410884353741496598639455782</v>
      </c>
      <c r="K28" s="468">
        <v>48.297505668934240362811791383</v>
      </c>
      <c r="L28" s="468">
        <v>84.20136054421768707482993197</v>
      </c>
      <c r="M28" s="468">
        <v>93.82176870748299319727891156</v>
      </c>
      <c r="N28" s="468">
        <v>74.794104308390022675736961451</v>
      </c>
      <c r="O28" s="468">
        <v>84.20181405895691609977324263</v>
      </c>
      <c r="P28" s="468">
        <v>90.41632653061224489795918367</v>
      </c>
      <c r="Q28" s="673">
        <v>64.133786848072562358276643991</v>
      </c>
      <c r="R28" s="468">
        <v>99.92290249433106575963718821</v>
      </c>
      <c r="S28" s="468">
        <v>114.28616780045351473922902494</v>
      </c>
      <c r="T28" s="468">
        <v>117.89342403628117913832199546</v>
      </c>
      <c r="U28" s="468">
        <v>110.91201814058956916099773243</v>
      </c>
      <c r="V28" s="468">
        <v>114.35464852607709750566893424</v>
      </c>
      <c r="W28" s="468">
        <v>106.10929705215419501133786848</v>
      </c>
      <c r="X28" s="469">
        <v>62.927437641723356009070294785</v>
      </c>
      <c r="Y28" s="468">
        <v>99.10249433106575963718820862</v>
      </c>
      <c r="Z28" s="468">
        <v>126.48480725623582766439909297</v>
      </c>
      <c r="AA28" s="468">
        <v>112.86575963718820861678004535</v>
      </c>
      <c r="AB28" s="468">
        <v>91.91791383219954648526077098</v>
      </c>
      <c r="AC28" s="468">
        <v>87.19365079365079365079365079</v>
      </c>
      <c r="AD28" s="470">
        <v>85.63809523809523809523809524</v>
      </c>
      <c r="AE28" s="465"/>
      <c r="AF28" s="467">
        <v>95.1614512471655328798185941</v>
      </c>
      <c r="AG28" s="468">
        <v>91.9311629413670229996760609</v>
      </c>
      <c r="AH28" s="471">
        <v>99.55302883057985098801425332</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309" t="s">
        <v>148</v>
      </c>
      <c r="D33" s="310"/>
      <c r="E33" s="310"/>
      <c r="F33" s="310"/>
      <c r="G33" s="310"/>
      <c r="H33" s="310"/>
      <c r="I33" s="310"/>
      <c r="J33" s="310"/>
      <c r="K33" s="310"/>
      <c r="L33" s="310"/>
      <c r="M33" s="310"/>
      <c r="N33" s="310"/>
      <c r="O33" s="310"/>
      <c r="P33" s="310"/>
      <c r="Q33" s="656" t="s">
        <v>145</v>
      </c>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313">
        <v>18</v>
      </c>
      <c r="D34" s="314">
        <v>19</v>
      </c>
      <c r="E34" s="314">
        <v>20</v>
      </c>
      <c r="F34" s="314">
        <v>21</v>
      </c>
      <c r="G34" s="314">
        <v>22</v>
      </c>
      <c r="H34" s="314">
        <v>23</v>
      </c>
      <c r="I34" s="314">
        <v>24</v>
      </c>
      <c r="J34" s="314">
        <v>25</v>
      </c>
      <c r="K34" s="314">
        <v>26</v>
      </c>
      <c r="L34" s="314">
        <v>27</v>
      </c>
      <c r="M34" s="314">
        <v>28</v>
      </c>
      <c r="N34" s="314">
        <v>29</v>
      </c>
      <c r="O34" s="314">
        <v>30</v>
      </c>
      <c r="P34" s="314">
        <v>31</v>
      </c>
      <c r="Q34" s="674">
        <v>1</v>
      </c>
      <c r="R34" s="314">
        <v>2</v>
      </c>
      <c r="S34" s="314">
        <v>3</v>
      </c>
      <c r="T34" s="314">
        <v>4</v>
      </c>
      <c r="U34" s="314">
        <v>5</v>
      </c>
      <c r="V34" s="314">
        <v>6</v>
      </c>
      <c r="W34" s="314">
        <v>7</v>
      </c>
      <c r="X34" s="315">
        <v>8</v>
      </c>
      <c r="Y34" s="314">
        <v>9</v>
      </c>
      <c r="Z34" s="314">
        <v>10</v>
      </c>
      <c r="AA34" s="314">
        <v>11</v>
      </c>
      <c r="AB34" s="314">
        <v>12</v>
      </c>
      <c r="AC34" s="314">
        <v>13</v>
      </c>
      <c r="AD34" s="373">
        <v>14</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444">
        <v>-50.766983199437209503345754330</v>
      </c>
      <c r="D35" s="445">
        <v>-20.406105990712344161454841090</v>
      </c>
      <c r="E35" s="445">
        <v>-8.935128519049871982909014800</v>
      </c>
      <c r="F35" s="445">
        <v>-25.277856939301075011201501820</v>
      </c>
      <c r="G35" s="445">
        <v>0.0982961991381959104659181300</v>
      </c>
      <c r="H35" s="445">
        <v>8.735491753213728496747294670</v>
      </c>
      <c r="I35" s="445">
        <v>-15.424341538994132403458805500</v>
      </c>
      <c r="J35" s="445">
        <v>22.368421052493569449940796730</v>
      </c>
      <c r="K35" s="445">
        <v>59.478127397993366745023190520</v>
      </c>
      <c r="L35" s="445">
        <v>4.7929269428567271108382632800</v>
      </c>
      <c r="M35" s="445">
        <v>13.247422680575821022425573350</v>
      </c>
      <c r="N35" s="445">
        <v>-14.773319437204657981225565520</v>
      </c>
      <c r="O35" s="445">
        <v>17.875264270528377188473615970</v>
      </c>
      <c r="P35" s="445">
        <v>37.582291766031854625815699750</v>
      </c>
      <c r="Q35" s="658">
        <v>-8.978145304182986195546861550</v>
      </c>
      <c r="R35" s="445">
        <v>-16.393442622965247033197072430</v>
      </c>
      <c r="S35" s="445">
        <v>-29.793411501921287808856289160</v>
      </c>
      <c r="T35" s="445">
        <v>-15.747028862478777589134125640</v>
      </c>
      <c r="U35" s="445">
        <v>0.3066835871786277560188074300</v>
      </c>
      <c r="V35" s="445">
        <v>41.949765857862595914568158610</v>
      </c>
      <c r="W35" s="445">
        <v>30.558838426495113766406634330</v>
      </c>
      <c r="X35" s="446">
        <v>56.690647482431478701931652140</v>
      </c>
      <c r="Y35" s="445">
        <v>24.684640118637369034792929840</v>
      </c>
      <c r="Z35" s="445"/>
      <c r="AA35" s="445">
        <v>50.472498182772218317510429960</v>
      </c>
      <c r="AB35" s="445">
        <v>36.071309563483374585456963790</v>
      </c>
      <c r="AC35" s="445">
        <v>-27.241781754557847801130831620</v>
      </c>
      <c r="AD35" s="447">
        <v>-67.899829254411658512709062910</v>
      </c>
      <c r="AE35" s="448"/>
      <c r="AF35" s="444">
        <v>-7.8356594180366144078504205900</v>
      </c>
      <c r="AG35" s="445">
        <v>0.3384540940442004374356244600</v>
      </c>
      <c r="AH35" s="449">
        <v>0.1211398600805265882836825600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49.582774543674111557308708800</v>
      </c>
      <c r="D36" s="81">
        <v>11.845329596800932883426263270</v>
      </c>
      <c r="E36" s="81">
        <v>-2.026216157966986414637602700</v>
      </c>
      <c r="F36" s="81">
        <v>13.403948612790271345272755180</v>
      </c>
      <c r="G36" s="81">
        <v>9.492425266562871683554186400</v>
      </c>
      <c r="H36" s="81">
        <v>-21.957525305722294532977450110</v>
      </c>
      <c r="I36" s="81">
        <v>-24.680261049611739282370433400</v>
      </c>
      <c r="J36" s="81">
        <v>5.9948229289599361634576200600</v>
      </c>
      <c r="K36" s="81">
        <v>-1.9456342706332807393339383200</v>
      </c>
      <c r="L36" s="81">
        <v>7.7022834112919366876737615700</v>
      </c>
      <c r="M36" s="81">
        <v>27.229820918807313304417192510</v>
      </c>
      <c r="N36" s="81">
        <v>-1.8944092572963963069300761200</v>
      </c>
      <c r="O36" s="81">
        <v>3.605568582193976948523396500</v>
      </c>
      <c r="P36" s="81">
        <v>30.705164340770890830284493330</v>
      </c>
      <c r="Q36" s="659">
        <v>-1.0738245837222658249713947800</v>
      </c>
      <c r="R36" s="81">
        <v>-4.5129367667940930433907643900</v>
      </c>
      <c r="S36" s="81">
        <v>7.3119390445473736769874829100</v>
      </c>
      <c r="T36" s="81">
        <v>16.554190268034352432693706600</v>
      </c>
      <c r="U36" s="81">
        <v>10.257083257654867213204340880</v>
      </c>
      <c r="V36" s="81">
        <v>-6.8340061011910288503426589100</v>
      </c>
      <c r="W36" s="81">
        <v>-10.657125073738492653393902900</v>
      </c>
      <c r="X36" s="82">
        <v>10.844892535765879254644811770</v>
      </c>
      <c r="Y36" s="81">
        <v>15.718028439628553305761347570</v>
      </c>
      <c r="Z36" s="81">
        <v>9.595322217898466604225302830</v>
      </c>
      <c r="AA36" s="81">
        <v>-7.0208037156699334157613799500</v>
      </c>
      <c r="AB36" s="81">
        <v>1.5111685677119016376875634700</v>
      </c>
      <c r="AC36" s="81">
        <v>4.6832696298343054150991863200</v>
      </c>
      <c r="AD36" s="83">
        <v>7.6828351355007114579738008800</v>
      </c>
      <c r="AE36" s="88"/>
      <c r="AF36" s="327">
        <v>4.9533461868199523485446630700</v>
      </c>
      <c r="AG36" s="81">
        <v>3.4486891636293047200847658200</v>
      </c>
      <c r="AH36" s="328">
        <v>4.6294694457255821627691721400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147</v>
      </c>
      <c r="C37" s="450">
        <v>-10.169200500752486423472089630</v>
      </c>
      <c r="D37" s="451">
        <v>6.8355054153435885232890399100</v>
      </c>
      <c r="E37" s="451">
        <v>4.2180583246390085690280265600</v>
      </c>
      <c r="F37" s="451">
        <v>8.320486017382400669511952710</v>
      </c>
      <c r="G37" s="451">
        <v>-0.9191810563523029592406154600</v>
      </c>
      <c r="H37" s="451">
        <v>-12.801495138677523315179233160</v>
      </c>
      <c r="I37" s="451">
        <v>-4.7750340181674476866965189200</v>
      </c>
      <c r="J37" s="451">
        <v>16.361697350758050972431084500</v>
      </c>
      <c r="K37" s="451">
        <v>16.136490037954183484300262850</v>
      </c>
      <c r="L37" s="451">
        <v>9.795387344806666552426836270</v>
      </c>
      <c r="M37" s="451">
        <v>14.965517624697808531192349860</v>
      </c>
      <c r="N37" s="451">
        <v>1.2959812297925075781458397900</v>
      </c>
      <c r="O37" s="451">
        <v>4.7563968741495246858783229700</v>
      </c>
      <c r="P37" s="451">
        <v>13.787376363294161357205343310</v>
      </c>
      <c r="Q37" s="660">
        <v>27.884789292935905419822210690</v>
      </c>
      <c r="R37" s="451">
        <v>16.372298396480795662727506910</v>
      </c>
      <c r="S37" s="451">
        <v>9.332725931708568713320783160</v>
      </c>
      <c r="T37" s="451">
        <v>20.614777868040683262093219780</v>
      </c>
      <c r="U37" s="451">
        <v>24.153983612732269971743261010</v>
      </c>
      <c r="V37" s="451">
        <v>9.592708654729038690759180070</v>
      </c>
      <c r="W37" s="451">
        <v>0.6305240747934960166849304900</v>
      </c>
      <c r="X37" s="452">
        <v>13.848388129048013108170669450</v>
      </c>
      <c r="Y37" s="451">
        <v>10.999867930422264440238278310</v>
      </c>
      <c r="Z37" s="451">
        <v>18.159518039579274687944614930</v>
      </c>
      <c r="AA37" s="451">
        <v>12.337442503939159101966401170</v>
      </c>
      <c r="AB37" s="451">
        <v>6.9517954671335552393671034100</v>
      </c>
      <c r="AC37" s="451">
        <v>-2.6304594441224213314977398200</v>
      </c>
      <c r="AD37" s="453">
        <v>6.8822061096050020451812201400</v>
      </c>
      <c r="AE37" s="448"/>
      <c r="AF37" s="450">
        <v>9.617299152977274252064268350</v>
      </c>
      <c r="AG37" s="451">
        <v>8.037129643874481212128399510</v>
      </c>
      <c r="AH37" s="454">
        <v>11.997851298666406710608186650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309" t="s">
        <v>148</v>
      </c>
      <c r="D40" s="310"/>
      <c r="E40" s="310"/>
      <c r="F40" s="310"/>
      <c r="G40" s="310"/>
      <c r="H40" s="310"/>
      <c r="I40" s="310"/>
      <c r="J40" s="310"/>
      <c r="K40" s="310"/>
      <c r="L40" s="310"/>
      <c r="M40" s="310"/>
      <c r="N40" s="310"/>
      <c r="O40" s="310"/>
      <c r="P40" s="310"/>
      <c r="Q40" s="656" t="s">
        <v>145</v>
      </c>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313">
        <v>18</v>
      </c>
      <c r="D41" s="314">
        <v>19</v>
      </c>
      <c r="E41" s="314">
        <v>20</v>
      </c>
      <c r="F41" s="314">
        <v>21</v>
      </c>
      <c r="G41" s="314">
        <v>22</v>
      </c>
      <c r="H41" s="314">
        <v>23</v>
      </c>
      <c r="I41" s="314">
        <v>24</v>
      </c>
      <c r="J41" s="314">
        <v>25</v>
      </c>
      <c r="K41" s="314">
        <v>26</v>
      </c>
      <c r="L41" s="314">
        <v>27</v>
      </c>
      <c r="M41" s="314">
        <v>28</v>
      </c>
      <c r="N41" s="314">
        <v>29</v>
      </c>
      <c r="O41" s="314">
        <v>30</v>
      </c>
      <c r="P41" s="314">
        <v>31</v>
      </c>
      <c r="Q41" s="674">
        <v>1</v>
      </c>
      <c r="R41" s="314">
        <v>2</v>
      </c>
      <c r="S41" s="314">
        <v>3</v>
      </c>
      <c r="T41" s="314">
        <v>4</v>
      </c>
      <c r="U41" s="314">
        <v>5</v>
      </c>
      <c r="V41" s="314">
        <v>6</v>
      </c>
      <c r="W41" s="314">
        <v>7</v>
      </c>
      <c r="X41" s="315">
        <v>8</v>
      </c>
      <c r="Y41" s="314">
        <v>9</v>
      </c>
      <c r="Z41" s="314">
        <v>10</v>
      </c>
      <c r="AA41" s="314">
        <v>11</v>
      </c>
      <c r="AB41" s="314">
        <v>12</v>
      </c>
      <c r="AC41" s="314">
        <v>13</v>
      </c>
      <c r="AD41" s="373">
        <v>14</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444">
        <v>39.093770170263742474346528200</v>
      </c>
      <c r="D42" s="445">
        <v>36.853628812591861283918137810</v>
      </c>
      <c r="E42" s="445">
        <v>55.644332290450112022680039050</v>
      </c>
      <c r="F42" s="445">
        <v>33.717339684123709028871756280</v>
      </c>
      <c r="G42" s="445">
        <v>45.831889469879828408677734400</v>
      </c>
      <c r="H42" s="445">
        <v>72.173991605504502735514320310</v>
      </c>
      <c r="I42" s="445">
        <v>66.007792478456633679047994470</v>
      </c>
      <c r="J42" s="445">
        <v>79.36819124088038312122130313</v>
      </c>
      <c r="K42" s="445">
        <v>71.160970387833433220341381300</v>
      </c>
      <c r="L42" s="445">
        <v>41.851552212042849929560485920</v>
      </c>
      <c r="M42" s="445">
        <v>45.336552851559528318608973100</v>
      </c>
      <c r="N42" s="445">
        <v>56.885483484283172441200148620</v>
      </c>
      <c r="O42" s="445">
        <v>68.846039397983951693887787130</v>
      </c>
      <c r="P42" s="445">
        <v>95.40688806869198863968780023</v>
      </c>
      <c r="Q42" s="658">
        <v>62.315881957598629796304184370</v>
      </c>
      <c r="R42" s="445">
        <v>38.158911881160448130251091430</v>
      </c>
      <c r="S42" s="445">
        <v>37.885408348000807096648026320</v>
      </c>
      <c r="T42" s="445">
        <v>29.860333905373814439458619350</v>
      </c>
      <c r="U42" s="445">
        <v>54.074742921482223801320203370</v>
      </c>
      <c r="V42" s="445">
        <v>87.07178027550563531816057623</v>
      </c>
      <c r="W42" s="445">
        <v>94.10587379927849396978672893</v>
      </c>
      <c r="X42" s="446">
        <v>50.267996072421620465749347920</v>
      </c>
      <c r="Y42" s="445">
        <v>39.205435150746813217013745010</v>
      </c>
      <c r="Z42" s="445"/>
      <c r="AA42" s="445">
        <v>36.873241016070364851369320600</v>
      </c>
      <c r="AB42" s="445">
        <v>50.860816848751511026344246450</v>
      </c>
      <c r="AC42" s="445">
        <v>43.414381371423699923574351810</v>
      </c>
      <c r="AD42" s="447">
        <v>17.980445340997224660578014790</v>
      </c>
      <c r="AE42" s="448"/>
      <c r="AF42" s="444">
        <v>38.243541596957352430245065460</v>
      </c>
      <c r="AG42" s="445">
        <v>52.766302088840150204859655550</v>
      </c>
      <c r="AH42" s="449">
        <v>49.082004528134939349570873530</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147</v>
      </c>
      <c r="C43" s="329">
        <v>38.181415998570779368216739270</v>
      </c>
      <c r="D43" s="330">
        <v>32.151101141053705986324684460</v>
      </c>
      <c r="E43" s="330">
        <v>42.897093989372411726585868680</v>
      </c>
      <c r="F43" s="330">
        <v>26.254967329955232157814649670</v>
      </c>
      <c r="G43" s="330">
        <v>37.084304994951764645972277360</v>
      </c>
      <c r="H43" s="330">
        <v>60.980270787258438009335650360</v>
      </c>
      <c r="I43" s="330">
        <v>54.574847106622054531451545040</v>
      </c>
      <c r="J43" s="330">
        <v>55.840287492202574134593415140</v>
      </c>
      <c r="K43" s="330">
        <v>46.263436821527835537024799930</v>
      </c>
      <c r="L43" s="330">
        <v>28.758506521672651990551211180</v>
      </c>
      <c r="M43" s="330">
        <v>37.768936099938469533444732160</v>
      </c>
      <c r="N43" s="330">
        <v>47.025154370091942133138544200</v>
      </c>
      <c r="O43" s="330">
        <v>71.199906526025510093236058160</v>
      </c>
      <c r="P43" s="330">
        <v>85.74433920868521431140430689</v>
      </c>
      <c r="Q43" s="661">
        <v>38.754671961825310681952021020</v>
      </c>
      <c r="R43" s="330">
        <v>26.068485248674694179906908070</v>
      </c>
      <c r="S43" s="330">
        <v>29.575823495824072231771996170</v>
      </c>
      <c r="T43" s="330">
        <v>27.156840420887369802192628670</v>
      </c>
      <c r="U43" s="330">
        <v>45.977545545397568600541263670</v>
      </c>
      <c r="V43" s="330">
        <v>78.382828995091195848229816420</v>
      </c>
      <c r="W43" s="330">
        <v>78.363102898988259659533662600</v>
      </c>
      <c r="X43" s="331">
        <v>37.216444394345432725696736880</v>
      </c>
      <c r="Y43" s="330">
        <v>27.347596768943590562088487180</v>
      </c>
      <c r="Z43" s="330"/>
      <c r="AA43" s="330">
        <v>29.581244906793969144358124420</v>
      </c>
      <c r="AB43" s="330">
        <v>47.769363250230663353053468600</v>
      </c>
      <c r="AC43" s="330">
        <v>46.127705103997007018293032600</v>
      </c>
      <c r="AD43" s="338">
        <v>17.703908850877215551503886620</v>
      </c>
      <c r="AE43" s="88"/>
      <c r="AF43" s="329">
        <v>32.085633123173073729897501880</v>
      </c>
      <c r="AG43" s="330">
        <v>43.534643034555608207436554600</v>
      </c>
      <c r="AH43" s="332">
        <v>40.465401349242558665503893880</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309" t="s">
        <v>148</v>
      </c>
      <c r="D46" s="310"/>
      <c r="E46" s="310"/>
      <c r="F46" s="310"/>
      <c r="G46" s="310"/>
      <c r="H46" s="310"/>
      <c r="I46" s="310"/>
      <c r="J46" s="310"/>
      <c r="K46" s="310"/>
      <c r="L46" s="310"/>
      <c r="M46" s="310"/>
      <c r="N46" s="310"/>
      <c r="O46" s="310"/>
      <c r="P46" s="310"/>
      <c r="Q46" s="656" t="s">
        <v>145</v>
      </c>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313">
        <v>18</v>
      </c>
      <c r="D47" s="314">
        <v>19</v>
      </c>
      <c r="E47" s="314">
        <v>20</v>
      </c>
      <c r="F47" s="314">
        <v>21</v>
      </c>
      <c r="G47" s="314">
        <v>22</v>
      </c>
      <c r="H47" s="314">
        <v>23</v>
      </c>
      <c r="I47" s="314">
        <v>24</v>
      </c>
      <c r="J47" s="314">
        <v>25</v>
      </c>
      <c r="K47" s="314">
        <v>26</v>
      </c>
      <c r="L47" s="314">
        <v>27</v>
      </c>
      <c r="M47" s="314">
        <v>28</v>
      </c>
      <c r="N47" s="314">
        <v>29</v>
      </c>
      <c r="O47" s="314">
        <v>30</v>
      </c>
      <c r="P47" s="314">
        <v>31</v>
      </c>
      <c r="Q47" s="674">
        <v>1</v>
      </c>
      <c r="R47" s="314">
        <v>2</v>
      </c>
      <c r="S47" s="314">
        <v>3</v>
      </c>
      <c r="T47" s="314">
        <v>4</v>
      </c>
      <c r="U47" s="314">
        <v>5</v>
      </c>
      <c r="V47" s="314">
        <v>6</v>
      </c>
      <c r="W47" s="314">
        <v>7</v>
      </c>
      <c r="X47" s="315">
        <v>8</v>
      </c>
      <c r="Y47" s="314">
        <v>9</v>
      </c>
      <c r="Z47" s="314">
        <v>10</v>
      </c>
      <c r="AA47" s="314">
        <v>11</v>
      </c>
      <c r="AB47" s="314">
        <v>12</v>
      </c>
      <c r="AC47" s="314">
        <v>13</v>
      </c>
      <c r="AD47" s="373">
        <v>14</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444">
        <v>-67.086439631301892069917373400</v>
      </c>
      <c r="D48" s="445">
        <v>-28.835746386458958649586139350</v>
      </c>
      <c r="E48" s="445">
        <v>-7.0517970113746822154151395200</v>
      </c>
      <c r="F48" s="445">
        <v>-34.109751931248468383800701770</v>
      </c>
      <c r="G48" s="445">
        <v>-8.579706810381403813468747330</v>
      </c>
      <c r="H48" s="445">
        <v>39.328605582108673440915020810</v>
      </c>
      <c r="I48" s="445">
        <v>12.288836418648605447106766870</v>
      </c>
      <c r="J48" s="445">
        <v>15.44754514527247800737157600</v>
      </c>
      <c r="K48" s="445">
        <v>62.642556720446615390327655670</v>
      </c>
      <c r="L48" s="445">
        <v>-2.701295066669618390587563200</v>
      </c>
      <c r="M48" s="445">
        <v>-10.989874965914979279268675400</v>
      </c>
      <c r="N48" s="445">
        <v>-13.127600662010918590295748070</v>
      </c>
      <c r="O48" s="445">
        <v>13.773097222148831941948580340</v>
      </c>
      <c r="P48" s="445">
        <v>5.2615575367674361163720267700</v>
      </c>
      <c r="Q48" s="658">
        <v>-7.990120599717290199747844600</v>
      </c>
      <c r="R48" s="445">
        <v>-12.442005706289492297132922640</v>
      </c>
      <c r="S48" s="445">
        <v>-34.577094475062236944661636910</v>
      </c>
      <c r="T48" s="445">
        <v>-27.713477358780086863200452190</v>
      </c>
      <c r="U48" s="445">
        <v>-9.024726009873328217488014930</v>
      </c>
      <c r="V48" s="445">
        <v>52.362208481242963096874080180</v>
      </c>
      <c r="W48" s="445">
        <v>46.132345230981778462688336510</v>
      </c>
      <c r="X48" s="446">
        <v>41.360277318607930989014087420</v>
      </c>
      <c r="Y48" s="445">
        <v>7.7486730459873752013149760900</v>
      </c>
      <c r="Z48" s="445"/>
      <c r="AA48" s="445">
        <v>61.834586870775570691886938860</v>
      </c>
      <c r="AB48" s="445">
        <v>34.045653777156644001269268480</v>
      </c>
      <c r="AC48" s="445">
        <v>-30.496803832464039148473547310</v>
      </c>
      <c r="AD48" s="447">
        <v>-70.190076528707528590370058650</v>
      </c>
      <c r="AE48" s="448"/>
      <c r="AF48" s="444">
        <v>-12.185419588178270140122039340</v>
      </c>
      <c r="AG48" s="445">
        <v>-3.0065485554101345851879344500</v>
      </c>
      <c r="AH48" s="449">
        <v>-4.3088525723813059738230355400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147</v>
      </c>
      <c r="C49" s="329">
        <v>-45.193611684342888790872053090</v>
      </c>
      <c r="D49" s="330">
        <v>-25.498649817048060853609215710</v>
      </c>
      <c r="E49" s="330">
        <v>-12.620832756931152659606426750</v>
      </c>
      <c r="F49" s="330">
        <v>-31.017533425202947836449366750</v>
      </c>
      <c r="G49" s="330">
        <v>1.026916477395416504107028500</v>
      </c>
      <c r="H49" s="330">
        <v>24.698802950890195190138458350</v>
      </c>
      <c r="I49" s="330">
        <v>-11.183314597247258978969659940</v>
      </c>
      <c r="J49" s="330">
        <v>5.1621141997918330983230515200</v>
      </c>
      <c r="K49" s="330">
        <v>37.319568850593754568933923580</v>
      </c>
      <c r="L49" s="330">
        <v>-4.556166267918319629355077100</v>
      </c>
      <c r="M49" s="330">
        <v>-1.494443707866032428240502400</v>
      </c>
      <c r="N49" s="330">
        <v>-15.863709963569127775451995090</v>
      </c>
      <c r="O49" s="330">
        <v>12.523213653608635383051994930</v>
      </c>
      <c r="P49" s="330">
        <v>20.911735697967399135266778890</v>
      </c>
      <c r="Q49" s="661">
        <v>-28.825112666607523475391754260</v>
      </c>
      <c r="R49" s="330">
        <v>-28.155962777058877890934221560</v>
      </c>
      <c r="S49" s="330">
        <v>-35.786300122182230133522905440</v>
      </c>
      <c r="T49" s="330">
        <v>-30.147057742982646898422199890</v>
      </c>
      <c r="U49" s="330">
        <v>-19.207841207918220161302308060</v>
      </c>
      <c r="V49" s="330">
        <v>29.524826605850087639881132480</v>
      </c>
      <c r="W49" s="330">
        <v>29.740791501123104580996035400</v>
      </c>
      <c r="X49" s="331">
        <v>37.630975771488400805395711480</v>
      </c>
      <c r="Y49" s="330">
        <v>12.328638261628358440531047790</v>
      </c>
      <c r="Z49" s="330"/>
      <c r="AA49" s="330">
        <v>33.946878999969186275542145440</v>
      </c>
      <c r="AB49" s="330">
        <v>27.226765075841334139124603350</v>
      </c>
      <c r="AC49" s="330">
        <v>-25.276202568021605210422786860</v>
      </c>
      <c r="AD49" s="338">
        <v>-69.966777526415684376915689020</v>
      </c>
      <c r="AE49" s="88"/>
      <c r="AF49" s="329">
        <v>-15.921719204751518492043021970</v>
      </c>
      <c r="AG49" s="330">
        <v>-7.125953434087627059220005100</v>
      </c>
      <c r="AH49" s="332">
        <v>-10.604410085521035838579644610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309" t="s">
        <v>148</v>
      </c>
      <c r="D52" s="310"/>
      <c r="E52" s="310"/>
      <c r="F52" s="310"/>
      <c r="G52" s="310"/>
      <c r="H52" s="310"/>
      <c r="I52" s="310"/>
      <c r="J52" s="310"/>
      <c r="K52" s="310"/>
      <c r="L52" s="310"/>
      <c r="M52" s="310"/>
      <c r="N52" s="310"/>
      <c r="O52" s="310"/>
      <c r="P52" s="310"/>
      <c r="Q52" s="656" t="s">
        <v>145</v>
      </c>
      <c r="R52" s="310"/>
      <c r="S52" s="311"/>
      <c r="T52" s="311"/>
      <c r="U52" s="311"/>
      <c r="V52" s="311"/>
      <c r="W52" s="311"/>
      <c r="X52" s="312"/>
      <c r="Y52" s="311"/>
      <c r="Z52" s="311"/>
      <c r="AA52" s="311"/>
      <c r="AB52" s="311"/>
      <c r="AC52" s="311"/>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313">
        <v>18</v>
      </c>
      <c r="D53" s="314">
        <v>19</v>
      </c>
      <c r="E53" s="314">
        <v>20</v>
      </c>
      <c r="F53" s="314">
        <v>21</v>
      </c>
      <c r="G53" s="314">
        <v>22</v>
      </c>
      <c r="H53" s="314">
        <v>23</v>
      </c>
      <c r="I53" s="314">
        <v>24</v>
      </c>
      <c r="J53" s="314">
        <v>25</v>
      </c>
      <c r="K53" s="314">
        <v>26</v>
      </c>
      <c r="L53" s="314">
        <v>27</v>
      </c>
      <c r="M53" s="314">
        <v>28</v>
      </c>
      <c r="N53" s="314">
        <v>29</v>
      </c>
      <c r="O53" s="314">
        <v>30</v>
      </c>
      <c r="P53" s="314">
        <v>31</v>
      </c>
      <c r="Q53" s="674">
        <v>1</v>
      </c>
      <c r="R53" s="314">
        <v>2</v>
      </c>
      <c r="S53" s="314">
        <v>3</v>
      </c>
      <c r="T53" s="314">
        <v>4</v>
      </c>
      <c r="U53" s="314">
        <v>5</v>
      </c>
      <c r="V53" s="314">
        <v>6</v>
      </c>
      <c r="W53" s="314">
        <v>7</v>
      </c>
      <c r="X53" s="315">
        <v>8</v>
      </c>
      <c r="Y53" s="314">
        <v>9</v>
      </c>
      <c r="Z53" s="314">
        <v>10</v>
      </c>
      <c r="AA53" s="314">
        <v>11</v>
      </c>
      <c r="AB53" s="314">
        <v>12</v>
      </c>
      <c r="AC53" s="314">
        <v>13</v>
      </c>
      <c r="AD53" s="373">
        <v>14</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149</v>
      </c>
      <c r="D54" s="445" t="s">
        <v>151</v>
      </c>
      <c r="E54" s="445" t="s">
        <v>153</v>
      </c>
      <c r="F54" s="445" t="s">
        <v>150</v>
      </c>
      <c r="G54" s="445" t="s">
        <v>150</v>
      </c>
      <c r="H54" s="445" t="s">
        <v>153</v>
      </c>
      <c r="I54" s="445" t="s">
        <v>153</v>
      </c>
      <c r="J54" s="445" t="s">
        <v>153</v>
      </c>
      <c r="K54" s="445" t="s">
        <v>153</v>
      </c>
      <c r="L54" s="445" t="s">
        <v>150</v>
      </c>
      <c r="M54" s="445" t="s">
        <v>149</v>
      </c>
      <c r="N54" s="445" t="s">
        <v>149</v>
      </c>
      <c r="O54" s="445" t="s">
        <v>153</v>
      </c>
      <c r="P54" s="445" t="s">
        <v>152</v>
      </c>
      <c r="Q54" s="658" t="s">
        <v>151</v>
      </c>
      <c r="R54" s="445" t="s">
        <v>151</v>
      </c>
      <c r="S54" s="445" t="s">
        <v>150</v>
      </c>
      <c r="T54" s="445" t="s">
        <v>151</v>
      </c>
      <c r="U54" s="445" t="s">
        <v>149</v>
      </c>
      <c r="V54" s="445" t="s">
        <v>152</v>
      </c>
      <c r="W54" s="445" t="s">
        <v>152</v>
      </c>
      <c r="X54" s="446" t="s">
        <v>150</v>
      </c>
      <c r="Y54" s="445" t="s">
        <v>151</v>
      </c>
      <c r="Z54" s="445"/>
      <c r="AA54" s="445" t="s">
        <v>151</v>
      </c>
      <c r="AB54" s="445" t="s">
        <v>149</v>
      </c>
      <c r="AC54" s="445" t="s">
        <v>149</v>
      </c>
      <c r="AD54" s="447" t="s">
        <v>150</v>
      </c>
      <c r="AE54" s="448"/>
      <c r="AF54" s="444" t="s">
        <v>151</v>
      </c>
      <c r="AG54" s="445" t="s">
        <v>149</v>
      </c>
      <c r="AH54" s="449" t="s">
        <v>149</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150</v>
      </c>
      <c r="D55" s="330" t="s">
        <v>151</v>
      </c>
      <c r="E55" s="330" t="s">
        <v>153</v>
      </c>
      <c r="F55" s="330" t="s">
        <v>150</v>
      </c>
      <c r="G55" s="330" t="s">
        <v>153</v>
      </c>
      <c r="H55" s="330" t="s">
        <v>154</v>
      </c>
      <c r="I55" s="330" t="s">
        <v>152</v>
      </c>
      <c r="J55" s="330" t="s">
        <v>155</v>
      </c>
      <c r="K55" s="330" t="s">
        <v>156</v>
      </c>
      <c r="L55" s="330" t="s">
        <v>153</v>
      </c>
      <c r="M55" s="330" t="s">
        <v>153</v>
      </c>
      <c r="N55" s="330" t="s">
        <v>151</v>
      </c>
      <c r="O55" s="330" t="s">
        <v>156</v>
      </c>
      <c r="P55" s="330" t="s">
        <v>152</v>
      </c>
      <c r="Q55" s="661" t="s">
        <v>151</v>
      </c>
      <c r="R55" s="330" t="s">
        <v>153</v>
      </c>
      <c r="S55" s="330" t="s">
        <v>151</v>
      </c>
      <c r="T55" s="330" t="s">
        <v>149</v>
      </c>
      <c r="U55" s="330" t="s">
        <v>149</v>
      </c>
      <c r="V55" s="330" t="s">
        <v>154</v>
      </c>
      <c r="W55" s="330" t="s">
        <v>154</v>
      </c>
      <c r="X55" s="89" t="s">
        <v>156</v>
      </c>
      <c r="Y55" s="90" t="s">
        <v>152</v>
      </c>
      <c r="Z55" s="90"/>
      <c r="AA55" s="90" t="s">
        <v>156</v>
      </c>
      <c r="AB55" s="90" t="s">
        <v>155</v>
      </c>
      <c r="AC55" s="90" t="s">
        <v>151</v>
      </c>
      <c r="AD55" s="91" t="s">
        <v>150</v>
      </c>
      <c r="AE55" s="88"/>
      <c r="AF55" s="329" t="s">
        <v>151</v>
      </c>
      <c r="AG55" s="330" t="s">
        <v>153</v>
      </c>
      <c r="AH55" s="332" t="s">
        <v>149</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4"/>
      <c r="B65" s="664"/>
      <c r="C65" s="664"/>
      <c r="D65" s="664"/>
      <c r="E65" s="664"/>
      <c r="F65" s="664"/>
      <c r="G65" s="664"/>
      <c r="H65" s="664"/>
      <c r="I65" s="664"/>
      <c r="J65" s="664"/>
      <c r="K65" s="664"/>
      <c r="L65" s="664"/>
      <c r="M65" s="664"/>
      <c r="N65" s="664"/>
      <c r="O65" s="664"/>
      <c r="P65" s="664"/>
      <c r="Q65" s="664"/>
      <c r="R65" s="664"/>
      <c r="S65" s="664"/>
      <c r="T65" s="664"/>
      <c r="U65" s="664"/>
      <c r="V65" s="664"/>
      <c r="W65" s="664"/>
      <c r="X65" s="664"/>
      <c r="Y65" s="664"/>
      <c r="Z65" s="664"/>
      <c r="AA65" s="664"/>
      <c r="AB65" s="664"/>
      <c r="AC65" s="664"/>
      <c r="AD65" s="664"/>
      <c r="AE65" s="664"/>
      <c r="AF65" s="664"/>
      <c r="AG65" s="66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4"/>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4"/>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4"/>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64"/>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64"/>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64"/>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64"/>
      <c r="B72" s="664" t="n">
        <v>45745</v>
      </c>
      <c r="C72" s="664">
        <v>45752</v>
      </c>
      <c r="D72" s="664">
        <v>45759</v>
      </c>
      <c r="E72" s="664">
        <v>45766</v>
      </c>
      <c r="F72" s="664">
        <v>45773</v>
      </c>
      <c r="G72" s="664">
        <v>45780</v>
      </c>
      <c r="H72" s="664">
        <v>45787</v>
      </c>
      <c r="I72" s="664">
        <v>45794</v>
      </c>
      <c r="J72" s="664">
        <v>45801</v>
      </c>
      <c r="K72" s="664">
        <v>45808</v>
      </c>
      <c r="L72" s="664">
        <v>45815</v>
      </c>
      <c r="M72" s="664">
        <v>45822</v>
      </c>
      <c r="N72" s="664"/>
      <c r="O72" s="664"/>
      <c r="P72" s="664"/>
      <c r="Q72" s="664"/>
      <c r="R72" s="664"/>
      <c r="S72" s="664"/>
      <c r="T72" s="664"/>
      <c r="U72" s="664"/>
      <c r="V72" s="664"/>
      <c r="W72" s="664"/>
      <c r="X72" s="664"/>
      <c r="Y72" s="664"/>
      <c r="Z72" s="664"/>
      <c r="AA72" s="664"/>
      <c r="AB72" s="664"/>
      <c r="AC72" s="664"/>
      <c r="AD72" s="664"/>
      <c r="AE72" s="664"/>
      <c r="AF72" s="664"/>
      <c r="AG72" s="664"/>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64" t="s">
        <v>32</v>
      </c>
      <c r="B73" s="664">
        <v>66.721198156682027649769585253</v>
      </c>
      <c r="C73" s="664">
        <v>45.02457757296466973886328725</v>
      </c>
      <c r="D73" s="664">
        <v>49.644393241167434715821812596</v>
      </c>
      <c r="E73" s="664">
        <v>26.788786482334869431643625192</v>
      </c>
      <c r="F73" s="664">
        <v>31.696620583717357910906298003</v>
      </c>
      <c r="G73" s="664">
        <v>57.556835637480798771121351767</v>
      </c>
      <c r="H73" s="664">
        <v>32.398617511520737327188940092</v>
      </c>
      <c r="I73" s="664">
        <v>40.19738863287250384024577573</v>
      </c>
      <c r="J73" s="664">
        <v>38.678187403993855606758832565</v>
      </c>
      <c r="K73" s="664">
        <v>40.877880184331797235023041475</v>
      </c>
      <c r="L73" s="664">
        <v>48.642857142857142857142857143</v>
      </c>
      <c r="M73" s="664">
        <v>30.533154121863799283154121864</v>
      </c>
      <c r="N73" s="664"/>
      <c r="O73" s="664"/>
      <c r="P73" s="664"/>
      <c r="Q73" s="664"/>
      <c r="R73" s="664"/>
      <c r="S73" s="664"/>
      <c r="T73" s="664"/>
      <c r="U73" s="664"/>
      <c r="V73" s="664"/>
      <c r="W73" s="664"/>
      <c r="X73" s="664"/>
      <c r="Y73" s="664"/>
      <c r="Z73" s="664"/>
      <c r="AA73" s="664"/>
      <c r="AB73" s="664"/>
      <c r="AC73" s="664"/>
      <c r="AD73" s="664"/>
      <c r="AE73" s="664"/>
      <c r="AF73" s="664"/>
      <c r="AG73" s="664"/>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64" t="s">
        <v>26</v>
      </c>
      <c r="B74" s="664">
        <v>84.56252170481452249408050513</v>
      </c>
      <c r="C74" s="664">
        <v>64.671686147370125270677756865</v>
      </c>
      <c r="D74" s="664">
        <v>77.383955538016311496974480401</v>
      </c>
      <c r="E74" s="664">
        <v>61.895944488292554590897132334</v>
      </c>
      <c r="F74" s="664">
        <v>77.796531176006314127861089186</v>
      </c>
      <c r="G74" s="664">
        <v>91.56151670612996579847408577</v>
      </c>
      <c r="H74" s="664">
        <v>66.228772691397000789265982636</v>
      </c>
      <c r="I74" s="664">
        <v>73.084559326493028150486714023</v>
      </c>
      <c r="J74" s="664">
        <v>76.769692186266771902131018152</v>
      </c>
      <c r="K74" s="664">
        <v>62.468230728755590634043672719</v>
      </c>
      <c r="L74" s="664">
        <v>84.31322546698237305972112602</v>
      </c>
      <c r="M74" s="664">
        <v>79.83872007366482504604051565</v>
      </c>
      <c r="N74" s="664"/>
      <c r="O74" s="664"/>
      <c r="P74" s="664"/>
      <c r="Q74" s="664"/>
      <c r="R74" s="664"/>
      <c r="S74" s="664"/>
      <c r="T74" s="664"/>
      <c r="U74" s="664"/>
      <c r="V74" s="664"/>
      <c r="W74" s="664"/>
      <c r="X74" s="664"/>
      <c r="Y74" s="664"/>
      <c r="Z74" s="664"/>
      <c r="AA74" s="664"/>
      <c r="AB74" s="664"/>
      <c r="AC74" s="664"/>
      <c r="AD74" s="664"/>
      <c r="AE74" s="664"/>
      <c r="AF74" s="664"/>
      <c r="AG74" s="664"/>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64" t="s">
        <v>147</v>
      </c>
      <c r="B75" s="664">
        <v>96.39617751862649821833495303</v>
      </c>
      <c r="C75" s="664">
        <v>83.89821833495302883057985099</v>
      </c>
      <c r="D75" s="664">
        <v>88.72879818594104308390022676</v>
      </c>
      <c r="E75" s="664">
        <v>80.83621639131843213475866537</v>
      </c>
      <c r="F75" s="664">
        <v>89.14389374797538062844185293</v>
      </c>
      <c r="G75" s="664">
        <v>110.74927113702623906705539359</v>
      </c>
      <c r="H75" s="664">
        <v>91.84535147392290249433106576</v>
      </c>
      <c r="I75" s="664">
        <v>89.09083252348558471007450599</v>
      </c>
      <c r="J75" s="664">
        <v>92.5980563654033041788143829</v>
      </c>
      <c r="K75" s="664">
        <v>76.020537738905085843861354065</v>
      </c>
      <c r="L75" s="664">
        <v>103.94460641399416909620991254</v>
      </c>
      <c r="M75" s="664">
        <v>95.1614512471655328798185941</v>
      </c>
      <c r="N75" s="664"/>
      <c r="O75" s="664"/>
      <c r="P75" s="664"/>
      <c r="Q75" s="664"/>
      <c r="R75" s="664"/>
      <c r="S75" s="664"/>
      <c r="T75" s="664"/>
      <c r="U75" s="664"/>
      <c r="V75" s="664"/>
      <c r="W75" s="664"/>
      <c r="X75" s="664"/>
      <c r="Y75" s="664"/>
      <c r="Z75" s="664"/>
      <c r="AA75" s="664"/>
      <c r="AB75" s="664"/>
      <c r="AC75" s="664"/>
      <c r="AD75" s="664"/>
      <c r="AE75" s="664"/>
      <c r="AF75" s="664"/>
      <c r="AG75" s="664"/>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64"/>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64"/>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64"/>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4"/>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59"/>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63" display="For all STR definitions, please click here or visit www.str.com/data-insights/resources/glossary"/>
    <hyperlink ref="A14:I14" r:id="rId64" display="For the latest in industry news, visit HotelNewsNow.com."/>
    <hyperlink ref="A15:I15" r:id="rId65" display="To learn more about the Hotel Data Conference, visit HotelDataConference.com."/>
    <hyperlink ref="A9:F9" r:id="rId66" display="For all STR FAQs, please click here or visit www.str.com/data-insights/resources/FAQ"/>
    <hyperlink ref="A12:E12" r:id="rId67"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141</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142</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143</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144</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48" t="s">
        <v>40</v>
      </c>
      <c r="F8" s="648"/>
      <c r="G8" s="64"/>
      <c r="H8" s="648" t="s">
        <v>39</v>
      </c>
      <c r="I8" s="648"/>
      <c r="J8" s="1"/>
      <c r="K8" s="648" t="s">
        <v>41</v>
      </c>
      <c r="L8" s="648"/>
      <c r="M8" s="64"/>
      <c r="N8" s="648" t="s">
        <v>42</v>
      </c>
      <c r="O8" s="648"/>
      <c r="P8" s="64"/>
      <c r="Q8" s="648" t="s">
        <v>43</v>
      </c>
      <c r="R8" s="648"/>
      <c r="S8" s="64"/>
      <c r="T8" s="648" t="s">
        <v>44</v>
      </c>
      <c r="U8" s="648"/>
      <c r="V8" s="64"/>
      <c r="W8" s="648" t="s">
        <v>45</v>
      </c>
      <c r="X8" s="648"/>
      <c r="Y8" s="64"/>
      <c r="Z8" s="648" t="s">
        <v>23</v>
      </c>
      <c r="AA8" s="648"/>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49" t="s">
        <v>57</v>
      </c>
      <c r="F9" s="649"/>
      <c r="G9" s="65"/>
      <c r="H9" s="649" t="s">
        <v>57</v>
      </c>
      <c r="I9" s="649"/>
      <c r="J9" s="3"/>
      <c r="K9" s="649" t="s">
        <v>57</v>
      </c>
      <c r="L9" s="649"/>
      <c r="M9" s="79"/>
      <c r="N9" s="649" t="s">
        <v>57</v>
      </c>
      <c r="O9" s="649"/>
      <c r="P9" s="65"/>
      <c r="Q9" s="649" t="s">
        <v>57</v>
      </c>
      <c r="R9" s="649"/>
      <c r="S9" s="65"/>
      <c r="T9" s="649" t="s">
        <v>57</v>
      </c>
      <c r="U9" s="649"/>
      <c r="V9" s="65"/>
      <c r="W9" s="649" t="s">
        <v>57</v>
      </c>
      <c r="X9" s="649"/>
      <c r="Y9" s="1"/>
      <c r="Z9" s="649" t="s">
        <v>57</v>
      </c>
      <c r="AA9" s="649"/>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0" t="s">
        <v>28</v>
      </c>
      <c r="C10" s="1"/>
      <c r="D10" s="17" t="s">
        <v>32</v>
      </c>
      <c r="E10" s="67">
        <v>0.2634408602150537634408602151</v>
      </c>
      <c r="F10" s="73">
        <v>63.333333332974000000000790560</v>
      </c>
      <c r="G10" s="66"/>
      <c r="H10" s="67">
        <v>0.252688172043010752688172043</v>
      </c>
      <c r="I10" s="73">
        <v>20.512820512727810650887645270</v>
      </c>
      <c r="J10" s="66"/>
      <c r="K10" s="67"/>
      <c r="L10" s="73"/>
      <c r="M10" s="67"/>
      <c r="N10" s="67">
        <v>0.2903225806451612903225806452</v>
      </c>
      <c r="O10" s="73">
        <v>31.707317073100059488399799990</v>
      </c>
      <c r="P10" s="66"/>
      <c r="Q10" s="67">
        <v>0.3817204301075268817204301075</v>
      </c>
      <c r="R10" s="73">
        <v>16.393442623061488847084222390</v>
      </c>
      <c r="S10" s="66"/>
      <c r="T10" s="67">
        <v>0.3655913978494623655913978495</v>
      </c>
      <c r="U10" s="73">
        <v>-26.086956521742344045368619890</v>
      </c>
      <c r="V10" s="66"/>
      <c r="W10" s="67">
        <v>0.1666666666666666666666666667</v>
      </c>
      <c r="X10" s="73">
        <v>-59.210526315825969529085839910</v>
      </c>
      <c r="Y10" s="177"/>
      <c r="Z10" s="67">
        <v>0.2867383512544802867383512545</v>
      </c>
      <c r="AA10" s="73">
        <v>-7.3614557486095310809950657600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0"/>
      <c r="C11" s="15"/>
      <c r="D11" s="187" t="s">
        <v>26</v>
      </c>
      <c r="E11" s="180">
        <v>0.3876611418047882136279926335</v>
      </c>
      <c r="F11" s="81">
        <v>20.285714285873750204081844050</v>
      </c>
      <c r="G11" s="181"/>
      <c r="H11" s="180">
        <v>0.5018416206261510128913443831</v>
      </c>
      <c r="I11" s="81">
        <v>12.139917695397106640247981400</v>
      </c>
      <c r="J11" s="181"/>
      <c r="K11" s="180">
        <v>0.6206261510128913443830570902</v>
      </c>
      <c r="L11" s="81">
        <v>10.310965630140925369855974750</v>
      </c>
      <c r="M11" s="180"/>
      <c r="N11" s="180">
        <v>0.6657458563535911602209944751</v>
      </c>
      <c r="O11" s="81">
        <v>-4.111405835553177395183248100</v>
      </c>
      <c r="P11" s="181"/>
      <c r="Q11" s="180">
        <v>0.6491712707182320441988950276</v>
      </c>
      <c r="R11" s="81">
        <v>0.5706134094042177366346437600</v>
      </c>
      <c r="S11" s="182"/>
      <c r="T11" s="180">
        <v>0.677716390423572744014732965</v>
      </c>
      <c r="U11" s="81">
        <v>0.8219178082371326702946175700</v>
      </c>
      <c r="V11" s="181"/>
      <c r="W11" s="180">
        <v>0.6233885819521178637200736648</v>
      </c>
      <c r="X11" s="81">
        <v>7.1202531645054358275917568700</v>
      </c>
      <c r="Y11" s="183"/>
      <c r="Z11" s="180">
        <v>0.5894501446987634832938700342</v>
      </c>
      <c r="AA11" s="81">
        <v>5.0891181989535076045711624200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67.956478430734462516955701740</v>
      </c>
      <c r="F12" s="73">
        <v>35.787806808862729101576726130</v>
      </c>
      <c r="G12" s="68"/>
      <c r="H12" s="68">
        <v>50.352175199778395410400454180</v>
      </c>
      <c r="I12" s="73">
        <v>7.4664784756902413925288390100</v>
      </c>
      <c r="J12" s="68"/>
      <c r="K12" s="68"/>
      <c r="L12" s="73"/>
      <c r="M12" s="68"/>
      <c r="N12" s="68">
        <v>43.608619997296201800488877670</v>
      </c>
      <c r="O12" s="73">
        <v>37.354518773388892697933587930</v>
      </c>
      <c r="P12" s="68"/>
      <c r="Q12" s="68">
        <v>58.801189659137925183876329690</v>
      </c>
      <c r="R12" s="73">
        <v>15.733054295971783372134979470</v>
      </c>
      <c r="S12" s="68"/>
      <c r="T12" s="68">
        <v>53.944600280470900283553896680</v>
      </c>
      <c r="U12" s="73">
        <v>-26.689508506708788911463172090</v>
      </c>
      <c r="V12" s="68"/>
      <c r="W12" s="68">
        <v>26.735598227479205548852462840</v>
      </c>
      <c r="X12" s="73">
        <v>-61.921791184007000087394995710</v>
      </c>
      <c r="Y12" s="174"/>
      <c r="Z12" s="68">
        <v>48.645055707111905862158722710</v>
      </c>
      <c r="AA12" s="73">
        <v>-11.847633856776037145253227860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0" t="s">
        <v>12</v>
      </c>
      <c r="C14" s="1"/>
      <c r="D14" s="17" t="s">
        <v>32</v>
      </c>
      <c r="E14" s="237">
        <v>88.89795918367346938775510204</v>
      </c>
      <c r="F14" s="73">
        <v>-4.0669505212501888079904473700</v>
      </c>
      <c r="G14" s="70"/>
      <c r="H14" s="237">
        <v>107.25531914893617021276595745</v>
      </c>
      <c r="I14" s="73">
        <v>3.4617226516736491690180703200</v>
      </c>
      <c r="J14" s="70"/>
      <c r="K14" s="237"/>
      <c r="L14" s="73"/>
      <c r="M14" s="70"/>
      <c r="N14" s="237">
        <v>115.000000000</v>
      </c>
      <c r="O14" s="73">
        <v>14.247637509047747348555205510</v>
      </c>
      <c r="P14" s="70"/>
      <c r="Q14" s="237">
        <v>115.02816901408450704225352113</v>
      </c>
      <c r="R14" s="73">
        <v>16.906336385465640444616808060</v>
      </c>
      <c r="S14" s="70"/>
      <c r="T14" s="237">
        <v>110.01470588235294117647058824</v>
      </c>
      <c r="U14" s="73">
        <v>-1.5624106090444894994597412300</v>
      </c>
      <c r="V14" s="70"/>
      <c r="W14" s="237">
        <v>90.96774193548387096774193548</v>
      </c>
      <c r="X14" s="73">
        <v>-21.302807204390940428242144490</v>
      </c>
      <c r="Y14" s="178"/>
      <c r="Z14" s="237">
        <v>106.484375000</v>
      </c>
      <c r="AA14" s="73">
        <v>-0.5118859252411862395909043400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0"/>
      <c r="C15" s="15"/>
      <c r="D15" s="187" t="s">
        <v>26</v>
      </c>
      <c r="E15" s="238">
        <v>120.17969121140142517814726841</v>
      </c>
      <c r="F15" s="81">
        <v>-7.8486641626245689794540169900</v>
      </c>
      <c r="G15" s="184"/>
      <c r="H15" s="238">
        <v>137.74974311926605504587155962</v>
      </c>
      <c r="I15" s="81">
        <v>3.1907556360915216071099257500</v>
      </c>
      <c r="J15" s="184"/>
      <c r="K15" s="238">
        <v>143.9077151335311572700296736</v>
      </c>
      <c r="L15" s="81">
        <v>-0.6487509271517496900739000300</v>
      </c>
      <c r="M15" s="184"/>
      <c r="N15" s="238">
        <v>136.00625172890733056708160443</v>
      </c>
      <c r="O15" s="81">
        <v>-3.0341438473086109445591038700</v>
      </c>
      <c r="P15" s="184"/>
      <c r="Q15" s="238">
        <v>132.9863262411347517730496454</v>
      </c>
      <c r="R15" s="81">
        <v>0.9352186750906707646664025200</v>
      </c>
      <c r="S15" s="184"/>
      <c r="T15" s="238">
        <v>136.69892663043478260869565218</v>
      </c>
      <c r="U15" s="81">
        <v>3.8298734100582834959939205600</v>
      </c>
      <c r="V15" s="184"/>
      <c r="W15" s="238">
        <v>135.2623338257016248153618907</v>
      </c>
      <c r="X15" s="81">
        <v>0.5251873052154322729305047600</v>
      </c>
      <c r="Y15" s="186"/>
      <c r="Z15" s="238">
        <v>135.44609462173621959384066057</v>
      </c>
      <c r="AA15" s="81">
        <v>-0.129197022778651580438116800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73.970866697684434210144714150</v>
      </c>
      <c r="F16" s="73">
        <v>4.103807727811884506888533800</v>
      </c>
      <c r="G16" s="68"/>
      <c r="H16" s="68">
        <v>77.862445853017869013458442330</v>
      </c>
      <c r="I16" s="73">
        <v>0.2625884595047578422977624500</v>
      </c>
      <c r="J16" s="68"/>
      <c r="K16" s="68"/>
      <c r="L16" s="73"/>
      <c r="M16" s="68"/>
      <c r="N16" s="68">
        <v>84.55493665778572684971651560</v>
      </c>
      <c r="O16" s="73">
        <v>17.822542946630380227478563180</v>
      </c>
      <c r="P16" s="68"/>
      <c r="Q16" s="68">
        <v>86.49623782037716994852851592</v>
      </c>
      <c r="R16" s="73">
        <v>15.823136780328634885346557750</v>
      </c>
      <c r="S16" s="68"/>
      <c r="T16" s="68">
        <v>80.47956819719983993240941579</v>
      </c>
      <c r="U16" s="73">
        <v>-5.1933839867268176365984793100</v>
      </c>
      <c r="V16" s="68"/>
      <c r="W16" s="68">
        <v>67.252825943921348117500948380</v>
      </c>
      <c r="X16" s="73">
        <v>-21.713955571428750842251135700</v>
      </c>
      <c r="Y16" s="174"/>
      <c r="Z16" s="68">
        <v>78.617530684373084789918365500</v>
      </c>
      <c r="AA16" s="73">
        <v>-0.3831839647274500978785792300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0" t="s">
        <v>13</v>
      </c>
      <c r="C18" s="1"/>
      <c r="D18" s="17" t="s">
        <v>32</v>
      </c>
      <c r="E18" s="237">
        <v>23.41935483870967741935483871</v>
      </c>
      <c r="F18" s="73">
        <v>56.690647482431478701931652140</v>
      </c>
      <c r="G18" s="70"/>
      <c r="H18" s="237">
        <v>27.102150537634408602150537634</v>
      </c>
      <c r="I18" s="73">
        <v>24.684640118637369034792929840</v>
      </c>
      <c r="J18" s="70"/>
      <c r="K18" s="237"/>
      <c r="L18" s="73"/>
      <c r="M18" s="70"/>
      <c r="N18" s="237">
        <v>33.387096774193548387096774194</v>
      </c>
      <c r="O18" s="73">
        <v>50.472498182772218317510429960</v>
      </c>
      <c r="P18" s="70"/>
      <c r="Q18" s="237">
        <v>43.908602150537634408602150538</v>
      </c>
      <c r="R18" s="73">
        <v>36.071309563483374585456963790</v>
      </c>
      <c r="S18" s="70"/>
      <c r="T18" s="237">
        <v>40.220430107526881720430107527</v>
      </c>
      <c r="U18" s="73">
        <v>-27.241781754557847801130831620</v>
      </c>
      <c r="V18" s="70"/>
      <c r="W18" s="237">
        <v>15.161290322580645161290322581</v>
      </c>
      <c r="X18" s="73">
        <v>-67.899829254411658512709062910</v>
      </c>
      <c r="Y18" s="178"/>
      <c r="Z18" s="237">
        <v>30.533154121863799283154121864</v>
      </c>
      <c r="AA18" s="73">
        <v>-7.8356594180366144078504205900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0" t="s"/>
      <c r="C19" s="15"/>
      <c r="D19" s="187" t="s">
        <v>26</v>
      </c>
      <c r="E19" s="238">
        <v>46.588996316758747697974217311</v>
      </c>
      <c r="F19" s="81">
        <v>10.844892535765879254644811770</v>
      </c>
      <c r="G19" s="184"/>
      <c r="H19" s="238">
        <v>69.128554327808471454880294659</v>
      </c>
      <c r="I19" s="81">
        <v>15.718028439628553305761347570</v>
      </c>
      <c r="J19" s="184"/>
      <c r="K19" s="238">
        <v>89.31289134438305709023941068</v>
      </c>
      <c r="L19" s="81">
        <v>9.595322217898466604225302830</v>
      </c>
      <c r="M19" s="184"/>
      <c r="N19" s="238">
        <v>90.54559852670349907918968692</v>
      </c>
      <c r="O19" s="81">
        <v>-7.0208037156699334157613799500</v>
      </c>
      <c r="P19" s="184"/>
      <c r="Q19" s="238">
        <v>86.33090239410681399631675875</v>
      </c>
      <c r="R19" s="81">
        <v>1.5111685677119016376875634700</v>
      </c>
      <c r="S19" s="184"/>
      <c r="T19" s="238">
        <v>92.64310313075506445672191529</v>
      </c>
      <c r="U19" s="81">
        <v>4.6832696298343054150991863200</v>
      </c>
      <c r="V19" s="184"/>
      <c r="W19" s="238">
        <v>84.32099447513812154696132597</v>
      </c>
      <c r="X19" s="81">
        <v>7.6828351355007114579738008800</v>
      </c>
      <c r="Y19" s="186"/>
      <c r="Z19" s="238">
        <v>79.83872007366482504604051565</v>
      </c>
      <c r="AA19" s="81">
        <v>4.9533461868199523485446630700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50.267996072421620465749347920</v>
      </c>
      <c r="F20" s="73">
        <v>41.360277318607930989014087420</v>
      </c>
      <c r="G20" s="68"/>
      <c r="H20" s="68">
        <v>39.205435150746813217013745010</v>
      </c>
      <c r="I20" s="73">
        <v>7.7486730459873752013149760900</v>
      </c>
      <c r="J20" s="68"/>
      <c r="K20" s="68"/>
      <c r="L20" s="73"/>
      <c r="M20" s="68"/>
      <c r="N20" s="68">
        <v>36.873241016070364851369320600</v>
      </c>
      <c r="O20" s="73">
        <v>61.834586870775570691886938860</v>
      </c>
      <c r="P20" s="68"/>
      <c r="Q20" s="68">
        <v>50.860816848751511026344246450</v>
      </c>
      <c r="R20" s="73">
        <v>34.045653777156644001269268480</v>
      </c>
      <c r="S20" s="68"/>
      <c r="T20" s="68">
        <v>43.414381371423699923574351810</v>
      </c>
      <c r="U20" s="73">
        <v>-30.496803832464039148473547310</v>
      </c>
      <c r="V20" s="68"/>
      <c r="W20" s="68">
        <v>17.980445340997224660578014790</v>
      </c>
      <c r="X20" s="73">
        <v>-70.190076528707528590370058650</v>
      </c>
      <c r="Y20" s="174"/>
      <c r="Z20" s="68">
        <v>38.243541596957352430245065460</v>
      </c>
      <c r="AA20" s="73">
        <v>-12.185419588178270140122039340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48" t="s">
        <v>40</v>
      </c>
      <c r="F25" s="648"/>
      <c r="G25" s="64"/>
      <c r="H25" s="648" t="s">
        <v>39</v>
      </c>
      <c r="I25" s="648"/>
      <c r="J25" s="1"/>
      <c r="K25" s="648" t="s">
        <v>41</v>
      </c>
      <c r="L25" s="648"/>
      <c r="M25" s="64"/>
      <c r="N25" s="648" t="s">
        <v>42</v>
      </c>
      <c r="O25" s="648"/>
      <c r="P25" s="64"/>
      <c r="Q25" s="648" t="s">
        <v>43</v>
      </c>
      <c r="R25" s="648"/>
      <c r="S25" s="64"/>
      <c r="T25" s="648" t="s">
        <v>44</v>
      </c>
      <c r="U25" s="648"/>
      <c r="V25" s="64"/>
      <c r="W25" s="648" t="s">
        <v>45</v>
      </c>
      <c r="X25" s="648"/>
      <c r="Y25" s="64"/>
      <c r="Z25" s="648" t="s">
        <v>23</v>
      </c>
      <c r="AA25" s="648"/>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49" t="s">
        <v>57</v>
      </c>
      <c r="F26" s="649"/>
      <c r="G26" s="65"/>
      <c r="H26" s="649" t="s">
        <v>57</v>
      </c>
      <c r="I26" s="649"/>
      <c r="J26" s="3"/>
      <c r="K26" s="649" t="s">
        <v>57</v>
      </c>
      <c r="L26" s="649"/>
      <c r="M26" s="65"/>
      <c r="N26" s="649" t="s">
        <v>57</v>
      </c>
      <c r="O26" s="649"/>
      <c r="P26" s="65"/>
      <c r="Q26" s="649" t="s">
        <v>57</v>
      </c>
      <c r="R26" s="649"/>
      <c r="S26" s="65"/>
      <c r="T26" s="649" t="s">
        <v>57</v>
      </c>
      <c r="U26" s="649"/>
      <c r="V26" s="65"/>
      <c r="W26" s="649" t="s">
        <v>57</v>
      </c>
      <c r="X26" s="649"/>
      <c r="Y26" s="1"/>
      <c r="Z26" s="649" t="s">
        <v>57</v>
      </c>
      <c r="AA26" s="649"/>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0" t="s">
        <v>28</v>
      </c>
      <c r="C27" s="1"/>
      <c r="D27" s="17" t="s">
        <v>32</v>
      </c>
      <c r="E27" s="67">
        <v>0.2620967741935483870967741935</v>
      </c>
      <c r="F27" s="73">
        <v>4.2780748661049500986592159100</v>
      </c>
      <c r="G27" s="66"/>
      <c r="H27" s="67">
        <v>0.244623655913978494623655914</v>
      </c>
      <c r="I27" s="73">
        <v>-9.452736318548511175465735640</v>
      </c>
      <c r="J27" s="66"/>
      <c r="K27" s="67">
        <v>0.3297491039426523297491039427</v>
      </c>
      <c r="L27" s="73">
        <v>-7.0707070705972451790632310700</v>
      </c>
      <c r="M27" s="67"/>
      <c r="N27" s="67">
        <v>0.2970430107526881720430107527</v>
      </c>
      <c r="O27" s="73">
        <v>-0.0000000001049773755655006500</v>
      </c>
      <c r="P27" s="66"/>
      <c r="Q27" s="67">
        <v>0.364247311827956989247311828</v>
      </c>
      <c r="R27" s="73">
        <v>-4.2402826855069535142154350100</v>
      </c>
      <c r="S27" s="66"/>
      <c r="T27" s="67">
        <v>0.5698924731182795698924731183</v>
      </c>
      <c r="U27" s="73">
        <v>13.368983957221676341902828280</v>
      </c>
      <c r="V27" s="66"/>
      <c r="W27" s="67">
        <v>0.5255376344086021505376344086</v>
      </c>
      <c r="X27" s="73">
        <v>3.7135278513620499686905054600</v>
      </c>
      <c r="Y27" s="177"/>
      <c r="Z27" s="67">
        <v>0.3719633612106730386300278773</v>
      </c>
      <c r="AA27" s="73">
        <v>1.5828623589010223504192230500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0"/>
      <c r="C28" s="15"/>
      <c r="D28" s="187" t="s">
        <v>26</v>
      </c>
      <c r="E28" s="180">
        <v>0.3775322283609576427255985267</v>
      </c>
      <c r="F28" s="81">
        <v>23.123123123180802424045694310</v>
      </c>
      <c r="G28" s="181"/>
      <c r="H28" s="180">
        <v>0.4654696132596685082872928177</v>
      </c>
      <c r="I28" s="81">
        <v>7.0407623080768574351915136400</v>
      </c>
      <c r="J28" s="181"/>
      <c r="K28" s="180">
        <v>0.5725138121546961325966850829</v>
      </c>
      <c r="L28" s="81">
        <v>4.1893590280323898002885115500</v>
      </c>
      <c r="M28" s="180"/>
      <c r="N28" s="180">
        <v>0.6330570902394106813996316759</v>
      </c>
      <c r="O28" s="81">
        <v>9.213661636225120356625308430</v>
      </c>
      <c r="P28" s="181"/>
      <c r="Q28" s="180">
        <v>0.5955340699815837937384898711</v>
      </c>
      <c r="R28" s="81">
        <v>5.119869971501603643411815500</v>
      </c>
      <c r="S28" s="182"/>
      <c r="T28" s="180">
        <v>0.6878453038674033149171270718</v>
      </c>
      <c r="U28" s="81">
        <v>0.2684563758758034322778388800</v>
      </c>
      <c r="V28" s="181"/>
      <c r="W28" s="180">
        <v>0.6321362799263351749539594843</v>
      </c>
      <c r="X28" s="81">
        <v>2.6542056075174669438379060100</v>
      </c>
      <c r="Y28" s="183"/>
      <c r="Z28" s="180">
        <v>0.5662983425414364640883977901</v>
      </c>
      <c r="AA28" s="81">
        <v>6.021425932769563892487413500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69.423682140039417925198135610</v>
      </c>
      <c r="F29" s="73">
        <v>-15.305856267122788181723090970</v>
      </c>
      <c r="G29" s="68"/>
      <c r="H29" s="68">
        <v>52.554162279404836830283771550</v>
      </c>
      <c r="I29" s="73">
        <v>-15.408614691181452018258409420</v>
      </c>
      <c r="J29" s="68"/>
      <c r="K29" s="68">
        <v>57.596707178372394205683675570</v>
      </c>
      <c r="L29" s="73">
        <v>-10.807309118528000468657237510</v>
      </c>
      <c r="M29" s="68"/>
      <c r="N29" s="68">
        <v>46.921994134927800281098393520</v>
      </c>
      <c r="O29" s="73">
        <v>-8.436363636387442909923224800</v>
      </c>
      <c r="P29" s="68"/>
      <c r="Q29" s="68">
        <v>61.163135778103569068243311490</v>
      </c>
      <c r="R29" s="73">
        <v>-8.904265824923495190583941340</v>
      </c>
      <c r="S29" s="68"/>
      <c r="T29" s="68">
        <v>82.85183745740488674046710039</v>
      </c>
      <c r="U29" s="73">
        <v>13.065452541010034596183195340</v>
      </c>
      <c r="V29" s="68"/>
      <c r="W29" s="68">
        <v>83.13676197640852924944866639</v>
      </c>
      <c r="X29" s="73">
        <v>1.0319326302971831274745248200</v>
      </c>
      <c r="Y29" s="174"/>
      <c r="Z29" s="68">
        <v>65.683286223593863207952863360</v>
      </c>
      <c r="AA29" s="73">
        <v>-4.1864779073875411933734458800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0" t="s">
        <v>12</v>
      </c>
      <c r="C31" s="1"/>
      <c r="D31" s="17" t="s">
        <v>32</v>
      </c>
      <c r="E31" s="237">
        <v>96.83076923076923076923076923</v>
      </c>
      <c r="F31" s="73">
        <v>-13.199971975662026964617809840</v>
      </c>
      <c r="G31" s="70"/>
      <c r="H31" s="237">
        <v>107.52197802197802197802197802</v>
      </c>
      <c r="I31" s="73">
        <v>11.470587901869513312983109320</v>
      </c>
      <c r="J31" s="70"/>
      <c r="K31" s="237">
        <v>107.16847826086956521739130435</v>
      </c>
      <c r="L31" s="73">
        <v>-6.2293574808951542442985732600</v>
      </c>
      <c r="M31" s="70"/>
      <c r="N31" s="237">
        <v>108.59728506787330316742081448</v>
      </c>
      <c r="O31" s="73">
        <v>-0.1373111970657538910253819700</v>
      </c>
      <c r="P31" s="70"/>
      <c r="Q31" s="237">
        <v>111.82287822878228782287822878</v>
      </c>
      <c r="R31" s="73">
        <v>8.235428342390359599093982160</v>
      </c>
      <c r="S31" s="70"/>
      <c r="T31" s="237">
        <v>108.45283018867924528301886792</v>
      </c>
      <c r="U31" s="73">
        <v>-1.8098755947876999335462972100</v>
      </c>
      <c r="V31" s="70"/>
      <c r="W31" s="237">
        <v>108.7774936061381074168797954</v>
      </c>
      <c r="X31" s="73">
        <v>-4.0273459173443268050228574900</v>
      </c>
      <c r="Y31" s="178"/>
      <c r="Z31" s="237">
        <v>107.59635974304068522483940043</v>
      </c>
      <c r="AA31" s="73">
        <v>-1.2250179173813876422787916900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0"/>
      <c r="C32" s="15"/>
      <c r="D32" s="187" t="s">
        <v>26</v>
      </c>
      <c r="E32" s="238">
        <v>120.37218292682926829268292683</v>
      </c>
      <c r="F32" s="81">
        <v>-5.9461966426077301985922432600</v>
      </c>
      <c r="G32" s="184"/>
      <c r="H32" s="238">
        <v>133.96188921859545004945598417</v>
      </c>
      <c r="I32" s="81">
        <v>-0.9884336783002548582320860800</v>
      </c>
      <c r="J32" s="184"/>
      <c r="K32" s="238">
        <v>140.89340570969039002814636108</v>
      </c>
      <c r="L32" s="81">
        <v>1.0701250899939793124213522800</v>
      </c>
      <c r="M32" s="184"/>
      <c r="N32" s="238">
        <v>141.98699999999999999999999999</v>
      </c>
      <c r="O32" s="81">
        <v>1.4390486607007069093450539900</v>
      </c>
      <c r="P32" s="184"/>
      <c r="Q32" s="238">
        <v>131.87248550444530344027831465</v>
      </c>
      <c r="R32" s="81">
        <v>-0.0742760035533419530645730300</v>
      </c>
      <c r="S32" s="184"/>
      <c r="T32" s="238">
        <v>131.65161311914323962516733601</v>
      </c>
      <c r="U32" s="81">
        <v>-6.1637680357179880834595658300</v>
      </c>
      <c r="V32" s="184"/>
      <c r="W32" s="238">
        <v>132.08054260742898761835396942</v>
      </c>
      <c r="X32" s="81">
        <v>-5.8716017784799882368867885800</v>
      </c>
      <c r="Y32" s="186"/>
      <c r="Z32" s="238">
        <v>133.93552729384436701509872242</v>
      </c>
      <c r="AA32" s="81">
        <v>-2.4266196634307325515971231200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80.44281234781076405985612849</v>
      </c>
      <c r="F33" s="73">
        <v>-7.7123678937899040255984644700</v>
      </c>
      <c r="G33" s="68"/>
      <c r="H33" s="68">
        <v>80.26310964196904113577978443</v>
      </c>
      <c r="I33" s="73">
        <v>12.583400145053907427781181350</v>
      </c>
      <c r="J33" s="68"/>
      <c r="K33" s="68">
        <v>76.063516046792106297173899630</v>
      </c>
      <c r="L33" s="73">
        <v>-7.2221960390532256822503762700</v>
      </c>
      <c r="M33" s="68"/>
      <c r="N33" s="68">
        <v>76.483963368388164527330540460</v>
      </c>
      <c r="O33" s="73">
        <v>-1.553997083563524680225362600</v>
      </c>
      <c r="P33" s="68"/>
      <c r="Q33" s="68">
        <v>84.79621643671170078891317624</v>
      </c>
      <c r="R33" s="73">
        <v>8.315881050144116202294657960</v>
      </c>
      <c r="S33" s="68"/>
      <c r="T33" s="68">
        <v>82.37865653082903386440201731</v>
      </c>
      <c r="U33" s="73">
        <v>4.6398841363249591131582827900</v>
      </c>
      <c r="V33" s="68"/>
      <c r="W33" s="68">
        <v>82.35694028716360969555078757</v>
      </c>
      <c r="X33" s="73">
        <v>1.9592980396574523453820975600</v>
      </c>
      <c r="Y33" s="174"/>
      <c r="Z33" s="68">
        <v>80.33444293463532784910818114</v>
      </c>
      <c r="AA33" s="73">
        <v>1.2314852082769857352217834600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0" t="s">
        <v>13</v>
      </c>
      <c r="C35" s="1"/>
      <c r="D35" s="17" t="s">
        <v>32</v>
      </c>
      <c r="E35" s="237">
        <v>25.379032258064516129032258065</v>
      </c>
      <c r="F35" s="73">
        <v>-9.486601792742771880137686240</v>
      </c>
      <c r="G35" s="70"/>
      <c r="H35" s="237">
        <v>26.302419354838709677419354839</v>
      </c>
      <c r="I35" s="73">
        <v>0.9335671551202865024827799600</v>
      </c>
      <c r="J35" s="70"/>
      <c r="K35" s="237">
        <v>35.338709677419354838709677419</v>
      </c>
      <c r="L35" s="73">
        <v>-12.859604931810266329511415090</v>
      </c>
      <c r="M35" s="70"/>
      <c r="N35" s="237">
        <v>32.258064516129032258064516129</v>
      </c>
      <c r="O35" s="73">
        <v>-0.1373111969843113453365434300</v>
      </c>
      <c r="P35" s="70"/>
      <c r="Q35" s="237">
        <v>40.731182795698924731182795699</v>
      </c>
      <c r="R35" s="73">
        <v>3.6459402147209110728462055700</v>
      </c>
      <c r="S35" s="70"/>
      <c r="T35" s="237">
        <v>61.806451612903225806451612903</v>
      </c>
      <c r="U35" s="73">
        <v>11.317146384496121451803648100</v>
      </c>
      <c r="V35" s="70"/>
      <c r="W35" s="237">
        <v>57.166666666666666666666666667</v>
      </c>
      <c r="X35" s="73">
        <v>-0.4633746781691674723631713700</v>
      </c>
      <c r="Y35" s="178"/>
      <c r="Z35" s="237">
        <v>40.021903624054161688570290721</v>
      </c>
      <c r="AA35" s="73">
        <v>0.3384540940442004374356244600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0" t="s"/>
      <c r="C36" s="15"/>
      <c r="D36" s="187" t="s">
        <v>26</v>
      </c>
      <c r="E36" s="238">
        <v>45.444378453038674033149171271</v>
      </c>
      <c r="F36" s="81">
        <v>15.801980109755994655854258100</v>
      </c>
      <c r="G36" s="184"/>
      <c r="H36" s="238">
        <v>62.355188766114180478821362797</v>
      </c>
      <c r="I36" s="81">
        <v>5.9827353639487608926840219400</v>
      </c>
      <c r="J36" s="184"/>
      <c r="K36" s="238">
        <v>80.66342081031307550644567219</v>
      </c>
      <c r="L36" s="81">
        <v>5.3043155000498215800886653800</v>
      </c>
      <c r="M36" s="184"/>
      <c r="N36" s="238">
        <v>89.88587707182320441988950276</v>
      </c>
      <c r="O36" s="81">
        <v>10.785299371229541224373935570</v>
      </c>
      <c r="P36" s="184"/>
      <c r="Q36" s="238">
        <v>78.534558011049723756906077348</v>
      </c>
      <c r="R36" s="81">
        <v>5.0417911331526813407759947800</v>
      </c>
      <c r="S36" s="184"/>
      <c r="T36" s="238">
        <v>90.55594383057090239410681399</v>
      </c>
      <c r="U36" s="81">
        <v>-5.9118586881765511237596599300</v>
      </c>
      <c r="V36" s="184"/>
      <c r="W36" s="238">
        <v>83.49290285451197053406998159</v>
      </c>
      <c r="X36" s="81">
        <v>-3.3732405546534802668119115400</v>
      </c>
      <c r="Y36" s="186"/>
      <c r="Z36" s="238">
        <v>75.847467113917390160484083136</v>
      </c>
      <c r="AA36" s="81">
        <v>3.4486891636293047200847658200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55.846362348892738038021237200</v>
      </c>
      <c r="F37" s="73">
        <v>-21.837780216311947264700672780</v>
      </c>
      <c r="G37" s="68"/>
      <c r="H37" s="68">
        <v>42.181604891778106100020553230</v>
      </c>
      <c r="I37" s="73">
        <v>-4.7641421894474171441386542300</v>
      </c>
      <c r="J37" s="68"/>
      <c r="K37" s="68">
        <v>43.810080607078489456004564840</v>
      </c>
      <c r="L37" s="73">
        <v>-17.248980106411172820269334210</v>
      </c>
      <c r="M37" s="68"/>
      <c r="N37" s="68">
        <v>35.887800805861404989635943970</v>
      </c>
      <c r="O37" s="73">
        <v>-9.859259874979765150177691850</v>
      </c>
      <c r="P37" s="68"/>
      <c r="Q37" s="68">
        <v>51.864024993931820411913816910</v>
      </c>
      <c r="R37" s="73">
        <v>-1.3288529292278058134184005500</v>
      </c>
      <c r="S37" s="68"/>
      <c r="T37" s="68">
        <v>68.252230608431959427351728750</v>
      </c>
      <c r="U37" s="73">
        <v>18.311558537018359424628223180</v>
      </c>
      <c r="V37" s="68"/>
      <c r="W37" s="68">
        <v>68.468893417550598988279025580</v>
      </c>
      <c r="X37" s="73">
        <v>3.0114493057027676970455275100</v>
      </c>
      <c r="Y37" s="174"/>
      <c r="Z37" s="68">
        <v>52.766302088840150204859655550</v>
      </c>
      <c r="AA37" s="73">
        <v>-3.0065485554101345851879344500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1" t="s">
        <v>114</v>
      </c>
      <c r="C40" s="651"/>
      <c r="D40" s="651"/>
      <c r="E40" s="651"/>
      <c r="F40" s="651"/>
      <c r="G40" s="651"/>
      <c r="H40" s="651"/>
      <c r="I40" s="651"/>
      <c r="J40" s="651"/>
      <c r="K40" s="651"/>
      <c r="L40" s="651"/>
      <c r="M40" s="651"/>
      <c r="N40" s="651"/>
      <c r="O40" s="651"/>
      <c r="P40" s="651"/>
      <c r="Q40" s="651"/>
      <c r="R40" s="651"/>
      <c r="S40" s="651"/>
      <c r="T40" s="651"/>
      <c r="U40" s="651"/>
      <c r="V40" s="651"/>
      <c r="W40" s="651"/>
      <c r="X40" s="651"/>
      <c r="Y40" s="651"/>
      <c r="Z40" s="651"/>
      <c r="AA40" s="651"/>
      <c r="AB40" s="651"/>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AV84"/>
  <sheetViews>
    <sheetView showGridLines="0" workbookViewId="0"/>
  </sheetViews>
  <sheetFormatPr defaultRowHeight="12.75"/>
  <cols>
    <col min="1" max="1" width="2.7109375" customWidth="1"/>
    <col min="2" max="2" width="14.28515625" customWidth="1"/>
    <col min="3" max="3" width="4.42578125" customWidth="1"/>
    <col min="4" max="4" width="12.28515625" customWidth="1"/>
    <col min="5" max="5" width="8.7109375" customWidth="1"/>
    <col min="6" max="6" width="6.7109375" customWidth="1"/>
    <col min="7" max="7" width="4.7109375" customWidth="1"/>
    <col min="8" max="8" width="12.28515625" customWidth="1"/>
    <col min="9" max="9" width="8.7109375" customWidth="1"/>
    <col min="10" max="10" width="6.7109375" customWidth="1"/>
    <col min="11" max="11" width="4.7109375" customWidth="1"/>
    <col min="12" max="12" width="12.28515625" customWidth="1"/>
    <col min="13" max="13" width="8.7109375" customWidth="1"/>
    <col min="14" max="14" width="6.7109375" customWidth="1"/>
    <col min="15" max="15" width="3.7109375" customWidth="1"/>
    <col min="16" max="16" width="12.28515625" customWidth="1"/>
    <col min="17" max="17" width="8.7109375" customWidth="1"/>
    <col min="18" max="18" width="6.7109375" customWidth="1"/>
    <col min="19" max="19" width="4.7109375" customWidth="1"/>
    <col min="20" max="20" width="2.7109375" customWidth="1"/>
  </cols>
  <sheetData>
    <row r="1" ht="26.25" customHeight="1">
      <c r="B1" s="20" t="s">
        <v>117</v>
      </c>
      <c r="C1" s="11"/>
      <c r="D1" s="11"/>
      <c r="E1" s="11"/>
      <c r="F1" s="11"/>
      <c r="G1" s="11"/>
      <c r="H1" s="1"/>
      <c r="I1" s="1"/>
      <c r="J1" s="1"/>
      <c r="K1" s="1"/>
      <c r="L1" s="1"/>
      <c r="M1" s="1"/>
      <c r="N1" s="1"/>
      <c r="O1" s="1"/>
      <c r="P1" s="1"/>
      <c r="Q1" s="1"/>
      <c r="R1" s="1"/>
      <c r="S1" s="175"/>
      <c r="T1" s="1"/>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row>
    <row r="2" ht="14.25" customHeight="1">
      <c r="B2" s="10" t="s">
        <v>141</v>
      </c>
      <c r="C2" s="1"/>
      <c r="D2" s="1"/>
      <c r="E2" s="1"/>
      <c r="F2" s="1"/>
      <c r="G2" s="1"/>
      <c r="H2" s="1"/>
      <c r="I2" s="1"/>
      <c r="J2" s="1"/>
      <c r="K2" s="1"/>
      <c r="L2" s="1"/>
      <c r="M2" s="1"/>
      <c r="N2" s="1"/>
      <c r="O2" s="1"/>
      <c r="P2" s="1"/>
      <c r="Q2" s="1"/>
      <c r="R2" s="234"/>
      <c r="S2" s="175"/>
      <c r="T2" s="1"/>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row>
    <row r="3" ht="14.25" customHeight="1">
      <c r="B3" s="432" t="s">
        <v>142</v>
      </c>
      <c r="C3" s="1"/>
      <c r="D3" s="1"/>
      <c r="E3" s="1"/>
      <c r="F3" s="1"/>
      <c r="G3" s="1"/>
      <c r="H3" s="1"/>
      <c r="I3" s="1"/>
      <c r="J3" s="1"/>
      <c r="K3" s="1"/>
      <c r="L3" s="1"/>
      <c r="M3" s="1"/>
      <c r="N3" s="1"/>
      <c r="O3" s="1"/>
      <c r="P3" s="1"/>
      <c r="Q3" s="1"/>
      <c r="R3" s="1"/>
      <c r="S3" s="175"/>
      <c r="T3" s="1"/>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4"/>
      <c r="AV3" s="244"/>
    </row>
    <row r="4" ht="14.25" customHeight="1">
      <c r="B4" s="175" t="s">
        <v>143</v>
      </c>
      <c r="C4" s="1"/>
      <c r="D4" s="1"/>
      <c r="E4" s="1"/>
      <c r="F4" s="1"/>
      <c r="G4" s="1"/>
      <c r="H4" s="1"/>
      <c r="I4" s="1"/>
      <c r="J4" s="1"/>
      <c r="K4" s="1"/>
      <c r="L4" s="1"/>
      <c r="M4" s="1"/>
      <c r="N4" s="1"/>
      <c r="O4" s="1"/>
      <c r="P4" s="1"/>
      <c r="Q4" s="1"/>
      <c r="R4" s="1"/>
      <c r="S4" s="175"/>
      <c r="T4" s="1"/>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row>
    <row r="5" ht="14.25" customHeight="1">
      <c r="A5" s="13"/>
      <c r="B5" s="12"/>
      <c r="C5" s="1"/>
      <c r="D5" s="1"/>
      <c r="E5" s="1"/>
      <c r="F5" s="1"/>
      <c r="G5" s="1"/>
      <c r="H5" s="1"/>
      <c r="I5" s="1"/>
      <c r="J5" s="1"/>
      <c r="K5" s="1"/>
      <c r="L5" s="1"/>
      <c r="M5" s="1"/>
      <c r="N5" s="1"/>
      <c r="O5" s="1"/>
      <c r="P5" s="1"/>
      <c r="Q5" s="1"/>
      <c r="R5" s="1"/>
      <c r="S5" s="1"/>
      <c r="T5" s="1"/>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row>
    <row r="6" ht="15" customHeight="1">
      <c r="A6" s="13"/>
      <c r="B6" s="612" t="s">
        <v>144</v>
      </c>
      <c r="C6" s="612"/>
      <c r="D6" s="612"/>
      <c r="E6" s="612"/>
      <c r="F6" s="612"/>
      <c r="G6" s="612"/>
      <c r="H6" s="612"/>
      <c r="I6" s="612"/>
      <c r="J6" s="612"/>
      <c r="K6" s="612"/>
      <c r="L6" s="612"/>
      <c r="M6" s="612"/>
      <c r="N6" s="612"/>
      <c r="O6" s="612"/>
      <c r="P6" s="612"/>
      <c r="Q6" s="612"/>
      <c r="R6" s="612"/>
      <c r="S6" s="612"/>
      <c r="T6" s="1"/>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row>
    <row r="7" ht="14.25" customHeight="1">
      <c r="A7" s="13"/>
      <c r="B7" s="12"/>
      <c r="C7" s="1"/>
      <c r="D7" s="1"/>
      <c r="E7" s="1"/>
      <c r="F7" s="1"/>
      <c r="G7" s="1"/>
      <c r="H7" s="1"/>
      <c r="I7" s="1"/>
      <c r="J7" s="1"/>
      <c r="K7" s="1"/>
      <c r="L7" s="1"/>
      <c r="M7" s="1"/>
      <c r="N7" s="1"/>
      <c r="O7" s="1"/>
      <c r="P7" s="1"/>
      <c r="Q7" s="1"/>
      <c r="R7" s="1"/>
      <c r="S7" s="1"/>
      <c r="T7" s="1"/>
      <c r="U7" s="244"/>
      <c r="V7" s="244"/>
      <c r="W7" s="244"/>
      <c r="X7" s="244"/>
      <c r="Y7" s="244"/>
      <c r="Z7" s="244"/>
      <c r="AA7" s="244"/>
      <c r="AB7" s="244"/>
      <c r="AC7" s="244"/>
      <c r="AD7" s="244"/>
      <c r="AE7" s="244"/>
      <c r="AF7" s="244"/>
      <c r="AG7" s="244"/>
      <c r="AH7" s="244"/>
      <c r="AI7" s="244"/>
      <c r="AJ7" s="244"/>
      <c r="AK7" s="244"/>
      <c r="AL7" s="244"/>
      <c r="AM7" s="244"/>
      <c r="AN7" s="244"/>
      <c r="AO7" s="244"/>
      <c r="AP7" s="244"/>
      <c r="AQ7" s="244"/>
      <c r="AR7" s="244"/>
      <c r="AS7" s="244"/>
      <c r="AT7" s="244"/>
      <c r="AU7" s="244"/>
      <c r="AV7" s="244"/>
    </row>
    <row r="8" ht="15" customHeight="1">
      <c r="A8" s="1"/>
      <c r="B8" s="1"/>
      <c r="C8" s="14"/>
      <c r="D8" s="648" t="s">
        <v>21</v>
      </c>
      <c r="E8" s="648"/>
      <c r="F8" s="648"/>
      <c r="G8" s="1"/>
      <c r="H8" s="648" t="s">
        <v>24</v>
      </c>
      <c r="I8" s="648"/>
      <c r="J8" s="648"/>
      <c r="K8" s="1"/>
      <c r="L8" s="648" t="s">
        <v>25</v>
      </c>
      <c r="M8" s="648"/>
      <c r="N8" s="648"/>
      <c r="O8" s="1"/>
      <c r="P8" s="648" t="s">
        <v>23</v>
      </c>
      <c r="Q8" s="648"/>
      <c r="R8" s="648"/>
      <c r="S8" s="2"/>
      <c r="T8" s="1"/>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row>
    <row r="9" ht="15" customHeight="1">
      <c r="A9" s="1"/>
      <c r="B9" s="1"/>
      <c r="C9" s="1"/>
      <c r="D9" s="2"/>
      <c r="E9" s="2"/>
      <c r="F9" s="66" t="s">
        <v>57</v>
      </c>
      <c r="G9" s="65"/>
      <c r="H9" s="1"/>
      <c r="I9" s="1"/>
      <c r="J9" s="66" t="s">
        <v>57</v>
      </c>
      <c r="K9" s="1"/>
      <c r="L9" s="1"/>
      <c r="M9" s="1"/>
      <c r="N9" s="66" t="s">
        <v>57</v>
      </c>
      <c r="O9" s="1"/>
      <c r="P9" s="1"/>
      <c r="Q9" s="1"/>
      <c r="R9" s="66" t="s">
        <v>57</v>
      </c>
      <c r="S9" s="1"/>
      <c r="T9" s="1"/>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row>
    <row r="10" ht="15" customHeight="1">
      <c r="A10" s="1"/>
      <c r="B10" s="57" t="s">
        <v>28</v>
      </c>
      <c r="C10" s="58"/>
      <c r="D10" s="17" t="s">
        <v>32</v>
      </c>
      <c r="E10" s="19">
        <v>0.2428315412186379928315412186</v>
      </c>
      <c r="F10" s="73">
        <v>-24.722222222154472222222161260</v>
      </c>
      <c r="G10" s="66"/>
      <c r="H10" s="17" t="s">
        <v>32</v>
      </c>
      <c r="I10" s="19">
        <v>0.0268817204301075268817204301</v>
      </c>
      <c r="J10" s="73">
        <v>0</v>
      </c>
      <c r="K10" s="1"/>
      <c r="L10" s="17" t="s">
        <v>32</v>
      </c>
      <c r="M10" s="19">
        <v>0.0170250896057347670250896057</v>
      </c>
      <c r="N10" s="73">
        <v>46.153846150248520710147728420</v>
      </c>
      <c r="O10" s="1"/>
      <c r="P10" s="17" t="s">
        <v>32</v>
      </c>
      <c r="Q10" s="19">
        <v>0.2867383512544802867383512545</v>
      </c>
      <c r="R10" s="73">
        <v>-7.3614557486095310809950657600</v>
      </c>
      <c r="S10" s="19"/>
      <c r="T10" s="1"/>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row>
    <row r="11" ht="15" customHeight="1">
      <c r="A11" s="1"/>
      <c r="B11" s="57"/>
      <c r="C11" s="58"/>
      <c r="D11" s="187" t="s">
        <v>27</v>
      </c>
      <c r="E11" s="190">
        <v>0.4125124014393348850858919776</v>
      </c>
      <c r="F11" s="81">
        <v>-1.2042360576256437844146334900</v>
      </c>
      <c r="G11" s="181"/>
      <c r="H11" s="187" t="s">
        <v>27</v>
      </c>
      <c r="I11" s="190">
        <v>0.1252797507308363329567692863</v>
      </c>
      <c r="J11" s="81">
        <v>25.072519366747419409717641840</v>
      </c>
      <c r="K11" s="191"/>
      <c r="L11" s="187" t="s">
        <v>27</v>
      </c>
      <c r="M11" s="190">
        <v>0.0516579925285922652512087703</v>
      </c>
      <c r="N11" s="81">
        <v>19.582117690312704804696144110</v>
      </c>
      <c r="O11" s="191"/>
      <c r="P11" s="187" t="s">
        <v>27</v>
      </c>
      <c r="Q11" s="190">
        <v>0.5894501446987634832938700342</v>
      </c>
      <c r="R11" s="81">
        <v>5.0891181989535076045711624200</v>
      </c>
      <c r="S11" s="19"/>
      <c r="T11" s="1"/>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row>
    <row r="12" ht="15" customHeight="1">
      <c r="A12" s="1"/>
      <c r="B12" s="57"/>
      <c r="C12" s="58"/>
      <c r="D12" s="406" t="s">
        <v>91</v>
      </c>
      <c r="E12" s="74">
        <v>58.866482649139591321478457250</v>
      </c>
      <c r="F12" s="73">
        <v>-23.804650347422054546857871490</v>
      </c>
      <c r="G12" s="68"/>
      <c r="H12" s="406" t="s">
        <v>91</v>
      </c>
      <c r="I12" s="74">
        <v>21.457354658876845080973335720</v>
      </c>
      <c r="J12" s="73">
        <v>0</v>
      </c>
      <c r="K12" s="1"/>
      <c r="L12" s="406" t="s">
        <v>91</v>
      </c>
      <c r="M12" s="74">
        <v>32.957319423857100897157485240</v>
      </c>
      <c r="N12" s="73">
        <v>22.220486620784243845633796600</v>
      </c>
      <c r="O12" s="1"/>
      <c r="P12" s="406" t="s">
        <v>91</v>
      </c>
      <c r="Q12" s="74">
        <v>48.645055707111905862158722710</v>
      </c>
      <c r="R12" s="73">
        <v>-11.847633856776037145253227860</v>
      </c>
      <c r="S12" s="74"/>
      <c r="T12" s="1"/>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row>
    <row r="13" ht="15" customHeight="1">
      <c r="A13" s="1"/>
      <c r="B13" s="16"/>
      <c r="C13" s="1"/>
      <c r="D13" s="1"/>
      <c r="E13" s="3"/>
      <c r="F13" s="66"/>
      <c r="G13" s="3"/>
      <c r="H13" s="1"/>
      <c r="I13" s="1"/>
      <c r="J13" s="66"/>
      <c r="K13" s="1"/>
      <c r="L13" s="1"/>
      <c r="M13" s="1"/>
      <c r="N13" s="66"/>
      <c r="O13" s="1"/>
      <c r="P13" s="1"/>
      <c r="Q13" s="19"/>
      <c r="R13" s="66"/>
      <c r="S13" s="19"/>
      <c r="T13" s="1"/>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row>
    <row r="14" ht="15" customHeight="1">
      <c r="A14" s="1"/>
      <c r="B14" s="57" t="s">
        <v>12</v>
      </c>
      <c r="C14" s="58"/>
      <c r="D14" s="17" t="s">
        <v>32</v>
      </c>
      <c r="E14" s="239">
        <v>106.39114391143911439114391144</v>
      </c>
      <c r="F14" s="73">
        <v>-2.1440679404039099249448753100</v>
      </c>
      <c r="G14" s="70"/>
      <c r="H14" s="76" t="s">
        <v>32</v>
      </c>
      <c r="I14" s="239">
        <v>113.46666666666666666666666667</v>
      </c>
      <c r="J14" s="73">
        <v>0</v>
      </c>
      <c r="K14" s="77"/>
      <c r="L14" s="76" t="s">
        <v>32</v>
      </c>
      <c r="M14" s="239">
        <v>96.78947368421052631578947368</v>
      </c>
      <c r="N14" s="73">
        <v>3.646059134674146146913715500</v>
      </c>
      <c r="O14" s="77"/>
      <c r="P14" s="76" t="s">
        <v>32</v>
      </c>
      <c r="Q14" s="239">
        <v>106.484375000</v>
      </c>
      <c r="R14" s="73">
        <v>-0.5118859252411862395909043400</v>
      </c>
      <c r="S14" s="18"/>
      <c r="T14" s="1"/>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row>
    <row r="15" ht="15" customHeight="1">
      <c r="A15" s="1"/>
      <c r="B15" s="57"/>
      <c r="C15" s="58"/>
      <c r="D15" s="187" t="s">
        <v>27</v>
      </c>
      <c r="E15" s="240">
        <v>138.21389231332230974730612927</v>
      </c>
      <c r="F15" s="81">
        <v>0.0129209726514683717853331400</v>
      </c>
      <c r="G15" s="184"/>
      <c r="H15" s="189" t="s">
        <v>27</v>
      </c>
      <c r="I15" s="240">
        <v>131.7511595689411988472115725</v>
      </c>
      <c r="J15" s="81">
        <v>-0.2217515242778908259819880300</v>
      </c>
      <c r="K15" s="188"/>
      <c r="L15" s="189" t="s">
        <v>27</v>
      </c>
      <c r="M15" s="240">
        <v>122.30484973697036494268459714</v>
      </c>
      <c r="N15" s="81">
        <v>2.7512787161039218051490057600</v>
      </c>
      <c r="O15" s="188"/>
      <c r="P15" s="189" t="s">
        <v>27</v>
      </c>
      <c r="Q15" s="240">
        <v>135.44609462173621959384066057</v>
      </c>
      <c r="R15" s="81">
        <v>-0.129197022778651580438116800</v>
      </c>
      <c r="S15" s="18"/>
      <c r="T15" s="1"/>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row>
    <row r="16" ht="15" customHeight="1">
      <c r="A16" s="1"/>
      <c r="B16" s="57"/>
      <c r="C16" s="58"/>
      <c r="D16" s="406" t="s">
        <v>92</v>
      </c>
      <c r="E16" s="74">
        <v>76.975723735696677962882500540</v>
      </c>
      <c r="F16" s="73">
        <v>-2.1567102450834538440527184700</v>
      </c>
      <c r="G16" s="68"/>
      <c r="H16" s="406" t="s">
        <v>92</v>
      </c>
      <c r="I16" s="74">
        <v>86.12194916381638652128687821</v>
      </c>
      <c r="J16" s="73">
        <v>0</v>
      </c>
      <c r="K16" s="1"/>
      <c r="L16" s="406" t="s">
        <v>92</v>
      </c>
      <c r="M16" s="74">
        <v>79.137886921363436461412046680</v>
      </c>
      <c r="N16" s="73">
        <v>0.8708216868466628975917793900</v>
      </c>
      <c r="O16" s="1"/>
      <c r="P16" s="406" t="s">
        <v>92</v>
      </c>
      <c r="Q16" s="74">
        <v>78.617530684373084789918365500</v>
      </c>
      <c r="R16" s="73">
        <v>-0.3831839647274500978785792300</v>
      </c>
      <c r="S16" s="74"/>
      <c r="T16" s="1"/>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row>
    <row r="17" ht="15" customHeight="1">
      <c r="A17" s="1"/>
      <c r="B17" s="16"/>
      <c r="C17" s="1"/>
      <c r="D17" s="1"/>
      <c r="E17" s="3"/>
      <c r="F17" s="68"/>
      <c r="G17" s="3"/>
      <c r="H17" s="1"/>
      <c r="I17" s="1"/>
      <c r="J17" s="68"/>
      <c r="K17" s="1"/>
      <c r="L17" s="1"/>
      <c r="M17" s="1"/>
      <c r="N17" s="68"/>
      <c r="O17" s="1"/>
      <c r="P17" s="1"/>
      <c r="Q17" s="18"/>
      <c r="R17" s="68"/>
      <c r="S17" s="18"/>
      <c r="T17" s="1"/>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row>
    <row r="18" ht="15" customHeight="1">
      <c r="A18" s="1"/>
      <c r="B18" s="57" t="s">
        <v>13</v>
      </c>
      <c r="C18" s="58"/>
      <c r="D18" s="17" t="s">
        <v>32</v>
      </c>
      <c r="E18" s="239">
        <v>25.835125448028673835125448029</v>
      </c>
      <c r="F18" s="73">
        <v>-26.336228921790503594267021350</v>
      </c>
      <c r="G18" s="70"/>
      <c r="H18" s="76" t="s">
        <v>32</v>
      </c>
      <c r="I18" s="239">
        <v>3.0501792114695340501792114695</v>
      </c>
      <c r="J18" s="73">
        <v>0</v>
      </c>
      <c r="K18" s="77"/>
      <c r="L18" s="76" t="s">
        <v>32</v>
      </c>
      <c r="M18" s="239">
        <v>1.6478494623655913978494623656</v>
      </c>
      <c r="N18" s="73">
        <v>51.482701808248061468582669900</v>
      </c>
      <c r="O18" s="77"/>
      <c r="P18" s="76" t="s">
        <v>32</v>
      </c>
      <c r="Q18" s="239">
        <v>30.533154121863799283154121864</v>
      </c>
      <c r="R18" s="73">
        <v>-7.8356594180366144078504205900</v>
      </c>
      <c r="S18" s="18"/>
      <c r="T18" s="1"/>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row>
    <row r="19" ht="15" customHeight="1">
      <c r="A19" s="1"/>
      <c r="B19" s="57"/>
      <c r="C19" s="58"/>
      <c r="D19" s="187" t="s">
        <v>27</v>
      </c>
      <c r="E19" s="240">
        <v>57.014944630446214777474260132</v>
      </c>
      <c r="F19" s="81">
        <v>-1.191470683896927425008227800</v>
      </c>
      <c r="G19" s="184"/>
      <c r="H19" s="189" t="s">
        <v>27</v>
      </c>
      <c r="I19" s="240">
        <v>16.505752429295595478446103796</v>
      </c>
      <c r="J19" s="81">
        <v>24.795169148730188542773724970</v>
      </c>
      <c r="K19" s="188"/>
      <c r="L19" s="189" t="s">
        <v>27</v>
      </c>
      <c r="M19" s="240">
        <v>6.3180230139230147901201517239</v>
      </c>
      <c r="N19" s="81">
        <v>22.872155043871188641752844980</v>
      </c>
      <c r="O19" s="188"/>
      <c r="P19" s="189" t="s">
        <v>27</v>
      </c>
      <c r="Q19" s="240">
        <v>79.83872007366482504604051565</v>
      </c>
      <c r="R19" s="81">
        <v>4.9533461868199523485446630700</v>
      </c>
      <c r="S19" s="18"/>
      <c r="T19" s="1"/>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row>
    <row r="20" ht="15" customHeight="1">
      <c r="A20" s="1"/>
      <c r="B20" s="57"/>
      <c r="C20" s="58"/>
      <c r="D20" s="406" t="s">
        <v>93</v>
      </c>
      <c r="E20" s="74">
        <v>45.312901056916140393518757100</v>
      </c>
      <c r="F20" s="73">
        <v>-25.447963259690797384957930900</v>
      </c>
      <c r="G20" s="68"/>
      <c r="H20" s="406" t="s">
        <v>93</v>
      </c>
      <c r="I20" s="74">
        <v>18.479492071231135596754067020</v>
      </c>
      <c r="J20" s="73">
        <v>0</v>
      </c>
      <c r="K20" s="1"/>
      <c r="L20" s="406" t="s">
        <v>93</v>
      </c>
      <c r="M20" s="74">
        <v>26.081726178271770442584433040</v>
      </c>
      <c r="N20" s="73">
        <v>23.284809124217702709693282790</v>
      </c>
      <c r="O20" s="1"/>
      <c r="P20" s="406" t="s">
        <v>93</v>
      </c>
      <c r="Q20" s="74">
        <v>38.243541596957352430245065460</v>
      </c>
      <c r="R20" s="73">
        <v>-12.185419588178270140122039340</v>
      </c>
      <c r="S20" s="74"/>
      <c r="T20" s="1"/>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row>
    <row r="21" ht="15" customHeight="1">
      <c r="A21" s="1"/>
      <c r="B21" s="16"/>
      <c r="C21" s="1"/>
      <c r="D21" s="1"/>
      <c r="E21" s="1"/>
      <c r="F21" s="1"/>
      <c r="G21" s="1"/>
      <c r="H21" s="1"/>
      <c r="I21" s="1"/>
      <c r="J21" s="1"/>
      <c r="K21" s="1"/>
      <c r="L21" s="1"/>
      <c r="M21" s="1"/>
      <c r="N21" s="1"/>
      <c r="O21" s="1"/>
      <c r="P21" s="1"/>
      <c r="Q21" s="1"/>
      <c r="R21" s="1"/>
      <c r="S21" s="1"/>
      <c r="T21" s="1"/>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row>
    <row r="22" ht="15" customHeight="1">
      <c r="A22" s="1"/>
      <c r="T22" s="1"/>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row>
    <row r="23" ht="15" customHeight="1">
      <c r="A23" s="1"/>
      <c r="B23" s="612" t="s">
        <v>61</v>
      </c>
      <c r="C23" s="612"/>
      <c r="D23" s="612"/>
      <c r="E23" s="612"/>
      <c r="F23" s="612"/>
      <c r="G23" s="612"/>
      <c r="H23" s="612"/>
      <c r="I23" s="612"/>
      <c r="J23" s="612"/>
      <c r="K23" s="612"/>
      <c r="L23" s="612"/>
      <c r="M23" s="612"/>
      <c r="N23" s="612"/>
      <c r="O23" s="612"/>
      <c r="P23" s="612"/>
      <c r="Q23" s="612"/>
      <c r="R23" s="612"/>
      <c r="S23" s="612"/>
      <c r="T23" s="1"/>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row>
    <row r="24" ht="15" customHeight="1">
      <c r="A24" s="1"/>
      <c r="B24" s="16"/>
      <c r="C24" s="1"/>
      <c r="D24" s="1"/>
      <c r="E24" s="1"/>
      <c r="F24" s="1"/>
      <c r="G24" s="1"/>
      <c r="H24" s="1"/>
      <c r="I24" s="1"/>
      <c r="J24" s="1"/>
      <c r="K24" s="1"/>
      <c r="L24" s="1"/>
      <c r="M24" s="1"/>
      <c r="N24" s="1"/>
      <c r="O24" s="1"/>
      <c r="P24" s="1"/>
      <c r="Q24" s="1"/>
      <c r="R24" s="1"/>
      <c r="S24" s="1"/>
      <c r="T24" s="1"/>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row>
    <row r="25" ht="15" customHeight="1">
      <c r="A25" s="1"/>
      <c r="B25" s="1"/>
      <c r="C25" s="14"/>
      <c r="D25" s="648" t="s">
        <v>21</v>
      </c>
      <c r="E25" s="648"/>
      <c r="F25" s="648"/>
      <c r="G25" s="1"/>
      <c r="H25" s="648" t="s">
        <v>24</v>
      </c>
      <c r="I25" s="648"/>
      <c r="J25" s="648"/>
      <c r="K25" s="1"/>
      <c r="L25" s="648" t="s">
        <v>25</v>
      </c>
      <c r="M25" s="648"/>
      <c r="N25" s="648"/>
      <c r="O25" s="1"/>
      <c r="P25" s="648" t="s">
        <v>23</v>
      </c>
      <c r="Q25" s="648"/>
      <c r="R25" s="648"/>
      <c r="S25" s="2"/>
      <c r="T25" s="1"/>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row>
    <row r="26" ht="15" customHeight="1">
      <c r="A26" s="1"/>
      <c r="B26" s="16"/>
      <c r="C26" s="1"/>
      <c r="D26" s="1"/>
      <c r="E26" s="1"/>
      <c r="F26" s="66" t="s">
        <v>57</v>
      </c>
      <c r="G26" s="1"/>
      <c r="H26" s="1"/>
      <c r="I26" s="1"/>
      <c r="J26" s="66" t="s">
        <v>57</v>
      </c>
      <c r="K26" s="1"/>
      <c r="L26" s="1"/>
      <c r="M26" s="1"/>
      <c r="N26" s="66" t="s">
        <v>57</v>
      </c>
      <c r="O26" s="1"/>
      <c r="P26" s="1"/>
      <c r="Q26" s="1"/>
      <c r="R26" s="66" t="s">
        <v>57</v>
      </c>
      <c r="S26" s="1"/>
      <c r="T26" s="1"/>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row>
    <row r="27" ht="15" customHeight="1">
      <c r="A27" s="1"/>
      <c r="B27" s="57" t="s">
        <v>28</v>
      </c>
      <c r="C27" s="58"/>
      <c r="D27" s="17" t="s">
        <v>32</v>
      </c>
      <c r="E27" s="19">
        <v>0.3100358422939068100358422939</v>
      </c>
      <c r="F27" s="73">
        <v>-3.6418166238509946845888232700</v>
      </c>
      <c r="G27" s="1"/>
      <c r="H27" s="17" t="s">
        <v>32</v>
      </c>
      <c r="I27" s="19">
        <v>0.0469932297889287136598964556</v>
      </c>
      <c r="J27" s="73">
        <v>12.504583791955336259699101260</v>
      </c>
      <c r="K27" s="1"/>
      <c r="L27" s="17" t="s">
        <v>32</v>
      </c>
      <c r="M27" s="19">
        <v>0.0149342891278375149342891278</v>
      </c>
      <c r="N27" s="73">
        <v>24.521072798231602589523346410</v>
      </c>
      <c r="O27" s="1"/>
      <c r="P27" s="17" t="s">
        <v>32</v>
      </c>
      <c r="Q27" s="19">
        <v>0.3719633612106730386300278773</v>
      </c>
      <c r="R27" s="73">
        <v>1.5828623589010223504192230500</v>
      </c>
      <c r="S27" s="19"/>
      <c r="T27" s="1"/>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row>
    <row r="28" ht="15" customHeight="1">
      <c r="A28" s="1"/>
      <c r="B28" s="57"/>
      <c r="C28" s="58"/>
      <c r="D28" s="187" t="s">
        <v>27</v>
      </c>
      <c r="E28" s="190">
        <v>0.4260901497968964107908259648</v>
      </c>
      <c r="F28" s="81">
        <v>7.961331248480484634894931340</v>
      </c>
      <c r="G28" s="191"/>
      <c r="H28" s="187" t="s">
        <v>27</v>
      </c>
      <c r="I28" s="190">
        <v>0.0956659856874660608599482593</v>
      </c>
      <c r="J28" s="81">
        <v>13.163471735124764403319657710</v>
      </c>
      <c r="K28" s="191"/>
      <c r="L28" s="187" t="s">
        <v>27</v>
      </c>
      <c r="M28" s="190">
        <v>0.0445422070570739924376235659</v>
      </c>
      <c r="N28" s="81">
        <v>-18.908987927527102442335863750</v>
      </c>
      <c r="O28" s="191"/>
      <c r="P28" s="187" t="s">
        <v>27</v>
      </c>
      <c r="Q28" s="190">
        <v>0.5662983425414364640883977901</v>
      </c>
      <c r="R28" s="81">
        <v>6.021425932769563892487413500</v>
      </c>
      <c r="S28" s="19"/>
      <c r="T28" s="1"/>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row>
    <row r="29" ht="15" customHeight="1">
      <c r="A29" s="1"/>
      <c r="B29" s="57"/>
      <c r="C29" s="58"/>
      <c r="D29" s="406" t="s">
        <v>91</v>
      </c>
      <c r="E29" s="74">
        <v>72.762968691394447038818668160</v>
      </c>
      <c r="F29" s="73">
        <v>-10.747503516491779344633618160</v>
      </c>
      <c r="G29" s="75"/>
      <c r="H29" s="406" t="s">
        <v>91</v>
      </c>
      <c r="I29" s="74">
        <v>49.122192649204678297997261720</v>
      </c>
      <c r="J29" s="73">
        <v>-0.5822443699003864212061198600</v>
      </c>
      <c r="K29" s="75"/>
      <c r="L29" s="406" t="s">
        <v>91</v>
      </c>
      <c r="M29" s="74">
        <v>33.528399499212796572333817570</v>
      </c>
      <c r="N29" s="73">
        <v>53.557181757595189491755406010</v>
      </c>
      <c r="O29" s="75"/>
      <c r="P29" s="406" t="s">
        <v>91</v>
      </c>
      <c r="Q29" s="74">
        <v>65.683286223593863207952863360</v>
      </c>
      <c r="R29" s="73">
        <v>-4.1864779073875411933734458800</v>
      </c>
      <c r="S29" s="74"/>
      <c r="T29" s="1"/>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row>
    <row r="30" ht="15" customHeight="1">
      <c r="A30" s="1"/>
      <c r="B30" s="16"/>
      <c r="C30" s="1"/>
      <c r="D30" s="1"/>
      <c r="E30" s="1"/>
      <c r="F30" s="66"/>
      <c r="G30" s="1"/>
      <c r="H30" s="1"/>
      <c r="I30" s="1"/>
      <c r="J30" s="66"/>
      <c r="K30" s="1"/>
      <c r="L30" s="1"/>
      <c r="M30" s="1"/>
      <c r="N30" s="66"/>
      <c r="O30" s="1"/>
      <c r="P30" s="1"/>
      <c r="Q30" s="19"/>
      <c r="R30" s="66"/>
      <c r="S30" s="19"/>
      <c r="T30" s="1"/>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row>
    <row r="31" ht="15" customHeight="1">
      <c r="A31" s="1"/>
      <c r="B31" s="57" t="s">
        <v>12</v>
      </c>
      <c r="C31" s="58"/>
      <c r="D31" s="17" t="s">
        <v>32</v>
      </c>
      <c r="E31" s="239">
        <v>106.49132947976878612716763006</v>
      </c>
      <c r="F31" s="73">
        <v>-3.3568328489688843608288325800</v>
      </c>
      <c r="G31" s="77"/>
      <c r="H31" s="76" t="s">
        <v>32</v>
      </c>
      <c r="I31" s="239">
        <v>118.13135593220338983050847458</v>
      </c>
      <c r="J31" s="73">
        <v>14.525503447406647056341378700</v>
      </c>
      <c r="K31" s="77"/>
      <c r="L31" s="76" t="s">
        <v>32</v>
      </c>
      <c r="M31" s="239">
        <v>97.37333333333333333333333333</v>
      </c>
      <c r="N31" s="73">
        <v>1.0494423570288750716926752900</v>
      </c>
      <c r="O31" s="77"/>
      <c r="P31" s="76" t="s">
        <v>32</v>
      </c>
      <c r="Q31" s="239">
        <v>107.59635974304068522483940043</v>
      </c>
      <c r="R31" s="73">
        <v>-1.2250179173813876422787916900</v>
      </c>
      <c r="S31" s="18"/>
      <c r="T31" s="1"/>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row>
    <row r="32" ht="15" customHeight="1">
      <c r="A32" s="1"/>
      <c r="B32" s="57"/>
      <c r="C32" s="58"/>
      <c r="D32" s="187" t="s">
        <v>27</v>
      </c>
      <c r="E32" s="240">
        <v>133.94032907621247608979448204</v>
      </c>
      <c r="F32" s="81">
        <v>-4.3315561769289883546540825600</v>
      </c>
      <c r="G32" s="188"/>
      <c r="H32" s="189" t="s">
        <v>27</v>
      </c>
      <c r="I32" s="240">
        <v>136.44585961708695385621988303</v>
      </c>
      <c r="J32" s="81">
        <v>-1.5056823599962686449129057400</v>
      </c>
      <c r="K32" s="188"/>
      <c r="L32" s="189" t="s">
        <v>27</v>
      </c>
      <c r="M32" s="240">
        <v>128.49800130946090095737267822</v>
      </c>
      <c r="N32" s="81">
        <v>11.114640960825117884868723430</v>
      </c>
      <c r="O32" s="188"/>
      <c r="P32" s="189" t="s">
        <v>27</v>
      </c>
      <c r="Q32" s="240">
        <v>133.93552729384436701509872242</v>
      </c>
      <c r="R32" s="81">
        <v>-2.4266196634307325515971231200</v>
      </c>
      <c r="S32" s="18"/>
      <c r="T32" s="1"/>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row>
    <row r="33" ht="15" customHeight="1">
      <c r="A33" s="1"/>
      <c r="B33" s="57"/>
      <c r="C33" s="58"/>
      <c r="D33" s="406" t="s">
        <v>92</v>
      </c>
      <c r="E33" s="74">
        <v>79.50654609724364496750487495</v>
      </c>
      <c r="F33" s="73">
        <v>1.0188556321166132444644374400</v>
      </c>
      <c r="G33" s="75"/>
      <c r="H33" s="406" t="s">
        <v>92</v>
      </c>
      <c r="I33" s="74">
        <v>86.57745736199579384056824384</v>
      </c>
      <c r="J33" s="73">
        <v>16.276254500258121743279318820</v>
      </c>
      <c r="K33" s="75"/>
      <c r="L33" s="406" t="s">
        <v>92</v>
      </c>
      <c r="M33" s="74">
        <v>75.778091753193996657736266010</v>
      </c>
      <c r="N33" s="73">
        <v>-9.058390970682661026933482120</v>
      </c>
      <c r="O33" s="75"/>
      <c r="P33" s="406" t="s">
        <v>92</v>
      </c>
      <c r="Q33" s="74">
        <v>80.33444293463532784910818114</v>
      </c>
      <c r="R33" s="73">
        <v>1.2314852082769857352217834600</v>
      </c>
      <c r="S33" s="74"/>
      <c r="T33" s="1"/>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row>
    <row r="34" ht="15" customHeight="1">
      <c r="A34" s="1"/>
      <c r="B34" s="16"/>
      <c r="C34" s="1"/>
      <c r="D34" s="1"/>
      <c r="E34" s="1"/>
      <c r="F34" s="68"/>
      <c r="G34" s="1"/>
      <c r="H34" s="1"/>
      <c r="I34" s="1"/>
      <c r="J34" s="68"/>
      <c r="K34" s="1"/>
      <c r="L34" s="1"/>
      <c r="M34" s="1"/>
      <c r="N34" s="68"/>
      <c r="O34" s="1"/>
      <c r="P34" s="1"/>
      <c r="Q34" s="18"/>
      <c r="R34" s="68"/>
      <c r="S34" s="18"/>
      <c r="T34" s="1"/>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row>
    <row r="35" ht="15" customHeight="1">
      <c r="A35" s="1"/>
      <c r="B35" s="57" t="s">
        <v>13</v>
      </c>
      <c r="C35" s="58"/>
      <c r="D35" s="17" t="s">
        <v>32</v>
      </c>
      <c r="E35" s="239">
        <v>33.016129032258064516129032258</v>
      </c>
      <c r="F35" s="73">
        <v>-6.8763997760254060918002268100</v>
      </c>
      <c r="G35" s="77"/>
      <c r="H35" s="76" t="s">
        <v>32</v>
      </c>
      <c r="I35" s="239">
        <v>5.5513739545997610513739545998</v>
      </c>
      <c r="J35" s="73">
        <v>28.846440987442211356775674020</v>
      </c>
      <c r="K35" s="77"/>
      <c r="L35" s="76" t="s">
        <v>32</v>
      </c>
      <c r="M35" s="239">
        <v>1.4542015133412982875348466746</v>
      </c>
      <c r="N35" s="73">
        <v>25.827849681512088424761065050</v>
      </c>
      <c r="O35" s="77"/>
      <c r="P35" s="76" t="s">
        <v>32</v>
      </c>
      <c r="Q35" s="239">
        <v>40.021903624054161688570290721</v>
      </c>
      <c r="R35" s="73">
        <v>0.3384540940442004374356244600</v>
      </c>
      <c r="S35" s="18"/>
      <c r="T35" s="1"/>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244"/>
    </row>
    <row r="36" ht="15" customHeight="1">
      <c r="A36" s="1"/>
      <c r="B36" s="57"/>
      <c r="C36" s="58"/>
      <c r="D36" s="187" t="s">
        <v>27</v>
      </c>
      <c r="E36" s="240">
        <v>57.0706548799289737937352968</v>
      </c>
      <c r="F36" s="81">
        <v>3.2849255361951054210296232800</v>
      </c>
      <c r="G36" s="188"/>
      <c r="H36" s="189" t="s">
        <v>27</v>
      </c>
      <c r="I36" s="240">
        <v>13.053227653242243902913079802</v>
      </c>
      <c r="J36" s="81">
        <v>11.459589303463711203540341510</v>
      </c>
      <c r="K36" s="188"/>
      <c r="L36" s="189" t="s">
        <v>27</v>
      </c>
      <c r="M36" s="240">
        <v>5.7235845807461724638357065374</v>
      </c>
      <c r="N36" s="81">
        <v>-9.896013083383060341002679680</v>
      </c>
      <c r="O36" s="188"/>
      <c r="P36" s="189" t="s">
        <v>27</v>
      </c>
      <c r="Q36" s="240">
        <v>75.847467113917390160484083136</v>
      </c>
      <c r="R36" s="81">
        <v>3.4486891636293047200847658200</v>
      </c>
      <c r="S36" s="18"/>
      <c r="T36" s="1"/>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row>
    <row r="37" ht="15" customHeight="1">
      <c r="A37" s="1"/>
      <c r="B37" s="57"/>
      <c r="C37" s="58"/>
      <c r="D37" s="406" t="s">
        <v>93</v>
      </c>
      <c r="E37" s="74">
        <v>57.851323244384533054044773900</v>
      </c>
      <c r="F37" s="73">
        <v>-9.838149429343169990843973130</v>
      </c>
      <c r="G37" s="75"/>
      <c r="H37" s="406" t="s">
        <v>93</v>
      </c>
      <c r="I37" s="74">
        <v>42.528745396077124255926744860</v>
      </c>
      <c r="J37" s="73">
        <v>15.599242554523005796589132660</v>
      </c>
      <c r="K37" s="75"/>
      <c r="L37" s="406" t="s">
        <v>93</v>
      </c>
      <c r="M37" s="74">
        <v>25.407181336061395605032133650</v>
      </c>
      <c r="N37" s="73">
        <v>39.647371870145054282835237090</v>
      </c>
      <c r="O37" s="75"/>
      <c r="P37" s="406" t="s">
        <v>93</v>
      </c>
      <c r="Q37" s="74">
        <v>52.766302088840150204859655550</v>
      </c>
      <c r="R37" s="73">
        <v>-3.0065485554101345851879344500</v>
      </c>
      <c r="S37" s="74"/>
      <c r="T37" s="1"/>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row>
    <row r="38" ht="18" customHeight="1">
      <c r="A38" s="1"/>
      <c r="B38" s="1"/>
      <c r="C38" s="1"/>
      <c r="D38" s="1"/>
      <c r="E38" s="1"/>
      <c r="F38" s="1"/>
      <c r="G38" s="1"/>
      <c r="H38" s="1"/>
      <c r="I38" s="1"/>
      <c r="J38" s="1"/>
      <c r="K38" s="1"/>
      <c r="L38" s="1"/>
      <c r="M38" s="1"/>
      <c r="N38" s="1"/>
      <c r="O38" s="1"/>
      <c r="P38" s="1"/>
      <c r="Q38" s="1"/>
      <c r="R38" s="1"/>
      <c r="S38" s="1"/>
      <c r="T38" s="1"/>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row>
    <row r="39" ht="9" customHeight="1">
      <c r="A39" s="1"/>
      <c r="B39" s="1"/>
      <c r="C39" s="1"/>
      <c r="D39" s="1"/>
      <c r="E39" s="1"/>
      <c r="F39" s="1"/>
      <c r="G39" s="1"/>
      <c r="H39" s="1"/>
      <c r="I39" s="1"/>
      <c r="J39" s="1"/>
      <c r="K39" s="1"/>
      <c r="L39" s="1"/>
      <c r="M39" s="1"/>
      <c r="N39" s="1"/>
      <c r="O39" s="1"/>
      <c r="P39" s="1"/>
      <c r="Q39" s="1"/>
      <c r="R39" s="1"/>
      <c r="S39" s="1"/>
      <c r="T39" s="1"/>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row>
    <row r="40" ht="33.95" customHeight="1">
      <c r="A40" s="1"/>
      <c r="B40" s="651" t="s">
        <v>114</v>
      </c>
      <c r="C40" s="651"/>
      <c r="D40" s="651"/>
      <c r="E40" s="651"/>
      <c r="F40" s="651"/>
      <c r="G40" s="651"/>
      <c r="H40" s="651"/>
      <c r="I40" s="651"/>
      <c r="J40" s="651"/>
      <c r="K40" s="651"/>
      <c r="L40" s="651"/>
      <c r="M40" s="651"/>
      <c r="N40" s="651"/>
      <c r="O40" s="651"/>
      <c r="P40" s="651"/>
      <c r="Q40" s="651"/>
      <c r="R40" s="651"/>
      <c r="S40" s="651"/>
      <c r="T40" s="1"/>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row>
    <row r="41" ht="9" customHeight="1">
      <c r="A41" s="1"/>
      <c r="B41" s="1"/>
      <c r="C41" s="1"/>
      <c r="D41" s="1"/>
      <c r="E41" s="1"/>
      <c r="F41" s="1"/>
      <c r="G41" s="1"/>
      <c r="H41" s="1"/>
      <c r="I41" s="1"/>
      <c r="J41" s="1"/>
      <c r="K41" s="1"/>
      <c r="L41" s="1"/>
      <c r="M41" s="1"/>
      <c r="N41" s="1"/>
      <c r="O41" s="1"/>
      <c r="P41" s="1"/>
      <c r="Q41" s="80"/>
      <c r="R41" s="241"/>
      <c r="S41" s="1"/>
      <c r="T41" s="1"/>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row>
    <row r="42" ht="9" customHeight="1">
      <c r="A42" s="1"/>
      <c r="B42" s="1"/>
      <c r="C42" s="1"/>
      <c r="D42" s="1"/>
      <c r="E42" s="1"/>
      <c r="F42" s="1"/>
      <c r="G42" s="1"/>
      <c r="H42" s="1"/>
      <c r="I42" s="1"/>
      <c r="J42" s="1"/>
      <c r="K42" s="1"/>
      <c r="L42" s="1"/>
      <c r="M42" s="1"/>
      <c r="N42" s="1"/>
      <c r="O42" s="1"/>
      <c r="P42" s="1"/>
      <c r="Q42" s="1"/>
      <c r="R42" s="1"/>
      <c r="S42" s="1"/>
      <c r="T42" s="1"/>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sheetData>
  <mergeCells count="11">
    <mergeCell ref="B40:S40"/>
    <mergeCell ref="D25:F25"/>
    <mergeCell ref="H25:J25"/>
    <mergeCell ref="L25:N25"/>
    <mergeCell ref="P25:R25"/>
    <mergeCell ref="B6:S6"/>
    <mergeCell ref="B23:S23"/>
    <mergeCell ref="D8:F8"/>
    <mergeCell ref="H8:J8"/>
    <mergeCell ref="L8:N8"/>
    <mergeCell ref="P8:R8"/>
  </mergeCells>
  <phoneticPr fontId="0" type="noConversion"/>
  <printOptions horizontalCentered="1" verticalCentered="1"/>
  <pageMargins left="0.25" right="0.25" top="0.3" bottom="0.3" header="0" footer="0"/>
  <pageSetup scale="89" orientation="landscape" r:id="rId1"/>
  <headerFooter alignWithMargins="0">
    <oddHeader/>
    <oddFooter/>
  </headerFooter>
  <drawing r:id="rId26"/>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2" width="8.28515625" customWidth="1"/>
    <col min="33" max="33" width="0" customWidth="1"/>
    <col min="34" max="34" width="1.7109375" customWidth="1"/>
    <col min="35" max="37" width="8.28515625" customWidth="1"/>
    <col min="38" max="38" width="3.7109375" customWidth="1"/>
    <col min="39" max="40" width="9.28515625" customWidth="1"/>
  </cols>
  <sheetData>
    <row r="1" ht="36" customHeight="1">
      <c r="A1" s="6"/>
      <c r="B1" s="39" t="s">
        <v>119</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141</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142</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143</v>
      </c>
      <c r="T4" s="652"/>
      <c r="U4" s="652"/>
      <c r="V4" s="652"/>
      <c r="W4" s="652"/>
      <c r="X4" s="652"/>
      <c r="Y4" s="652"/>
      <c r="Z4" s="652"/>
      <c r="AA4" s="652"/>
      <c r="AB4" s="652"/>
      <c r="AC4" s="652"/>
      <c r="AD4" s="652"/>
      <c r="AE4" s="652"/>
      <c r="AF4" s="652"/>
      <c r="AG4" s="652"/>
      <c r="AH4" s="652"/>
      <c r="AI4" s="652"/>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144</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3"/>
      <c r="Y22" s="653"/>
      <c r="Z22" s="653"/>
      <c r="AA22" s="653"/>
      <c r="AB22" s="653"/>
      <c r="AC22" s="653"/>
      <c r="AD22" s="653"/>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0" t="s">
        <v>49</v>
      </c>
      <c r="Y23" s="50" t="s">
        <v>47</v>
      </c>
      <c r="Z23" s="50" t="s">
        <v>48</v>
      </c>
      <c r="AA23" s="50" t="s">
        <v>50</v>
      </c>
      <c r="AB23" s="50" t="s">
        <v>51</v>
      </c>
      <c r="AC23" s="50" t="s">
        <v>52</v>
      </c>
      <c r="AD23" s="50" t="s">
        <v>53</v>
      </c>
      <c r="AE23" s="50" t="s">
        <v>49</v>
      </c>
      <c r="AF23" s="50" t="s">
        <v>47</v>
      </c>
      <c r="AG23" s="50"/>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145</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23.118279569892473118279569890</v>
      </c>
      <c r="D26" s="287">
        <v>23.655913978494623655913978490</v>
      </c>
      <c r="E26" s="287">
        <v>28.494623655913978494623655910</v>
      </c>
      <c r="F26" s="287">
        <v>25.268817204301075268817204300</v>
      </c>
      <c r="G26" s="287">
        <v>42.473118279569892473118279570</v>
      </c>
      <c r="H26" s="287">
        <v>80.64516129032258064516129032</v>
      </c>
      <c r="I26" s="287">
        <v>72.043010752688172043010752690</v>
      </c>
      <c r="J26" s="287">
        <v>26.344086021505376344086021510</v>
      </c>
      <c r="K26" s="287">
        <v>25.268817204301075268817204300</v>
      </c>
      <c r="L26" s="287"/>
      <c r="M26" s="287">
        <v>29.032258064516129032258064520</v>
      </c>
      <c r="N26" s="287">
        <v>38.172043010752688172043010750</v>
      </c>
      <c r="O26" s="287">
        <v>36.559139784946236559139784950</v>
      </c>
      <c r="P26" s="287">
        <v>16.666666666666666666666666670</v>
      </c>
      <c r="Q26" s="287"/>
      <c r="R26" s="287"/>
      <c r="S26" s="287"/>
      <c r="T26" s="287"/>
      <c r="U26" s="287"/>
      <c r="V26" s="287"/>
      <c r="W26" s="287"/>
      <c r="X26" s="287"/>
      <c r="Y26" s="287"/>
      <c r="Z26" s="287"/>
      <c r="AA26" s="287"/>
      <c r="AB26" s="287"/>
      <c r="AC26" s="287"/>
      <c r="AD26" s="287"/>
      <c r="AE26" s="287"/>
      <c r="AF26" s="287"/>
      <c r="AG26" s="288"/>
      <c r="AH26" s="218"/>
      <c r="AI26" s="302">
        <v>35.980148883374689826302729530</v>
      </c>
      <c r="AJ26" s="302">
        <v>29.091995221027479091995221030</v>
      </c>
      <c r="AK26" s="302">
        <v>51.478494623655913978494623660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33.333333333333333333333333330</v>
      </c>
      <c r="D27" s="202">
        <v>48.987108655616942909760589320</v>
      </c>
      <c r="E27" s="202">
        <v>62.799263351749539594843462250</v>
      </c>
      <c r="F27" s="202">
        <v>73.388581952117863720073664830</v>
      </c>
      <c r="G27" s="202">
        <v>69.152854511970534069981583790</v>
      </c>
      <c r="H27" s="202">
        <v>76.335174953959484346224677720</v>
      </c>
      <c r="I27" s="202">
        <v>66.114180478821362799263351750</v>
      </c>
      <c r="J27" s="202">
        <v>38.766114180478821362799263350</v>
      </c>
      <c r="K27" s="202">
        <v>50.184162062615101289134438310</v>
      </c>
      <c r="L27" s="202">
        <v>62.062615101289134438305709020</v>
      </c>
      <c r="M27" s="202">
        <v>66.574585635359116022099447510</v>
      </c>
      <c r="N27" s="202">
        <v>64.917127071823204419889502760</v>
      </c>
      <c r="O27" s="202">
        <v>67.771639042357274401473296500</v>
      </c>
      <c r="P27" s="202">
        <v>62.338858195211786372007366480</v>
      </c>
      <c r="Q27" s="202"/>
      <c r="R27" s="202"/>
      <c r="S27" s="202"/>
      <c r="T27" s="202"/>
      <c r="U27" s="202"/>
      <c r="V27" s="202"/>
      <c r="W27" s="202"/>
      <c r="X27" s="202"/>
      <c r="Y27" s="202"/>
      <c r="Z27" s="202"/>
      <c r="AA27" s="202"/>
      <c r="AB27" s="202"/>
      <c r="AC27" s="202"/>
      <c r="AD27" s="202"/>
      <c r="AE27" s="202"/>
      <c r="AF27" s="202"/>
      <c r="AG27" s="290"/>
      <c r="AH27" s="218"/>
      <c r="AI27" s="303">
        <v>60.194685609050249934227834780</v>
      </c>
      <c r="AJ27" s="303">
        <v>57.016574585635359116022099450</v>
      </c>
      <c r="AK27" s="303">
        <v>68.139963167587476979742173110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69.354838709746774193548456440</v>
      </c>
      <c r="D28" s="292">
        <v>48.290080038823395986935571700</v>
      </c>
      <c r="E28" s="292">
        <v>45.374136789365090807557138910</v>
      </c>
      <c r="F28" s="292">
        <v>34.431537620925530063028787230</v>
      </c>
      <c r="G28" s="292">
        <v>61.419183024757988132141849610</v>
      </c>
      <c r="H28" s="292">
        <v>105.64613409076458176314261143</v>
      </c>
      <c r="I28" s="292">
        <v>108.96756222485325252527276236</v>
      </c>
      <c r="J28" s="292">
        <v>67.956478430734462516955701740</v>
      </c>
      <c r="K28" s="292">
        <v>50.352175199778395410400454180</v>
      </c>
      <c r="L28" s="292"/>
      <c r="M28" s="292">
        <v>43.608619997296201800488877670</v>
      </c>
      <c r="N28" s="292">
        <v>58.801189659137925183876329690</v>
      </c>
      <c r="O28" s="292">
        <v>53.944600280470900283553896680</v>
      </c>
      <c r="P28" s="292">
        <v>26.735598227479205548852462840</v>
      </c>
      <c r="Q28" s="292"/>
      <c r="R28" s="292"/>
      <c r="S28" s="292"/>
      <c r="T28" s="292"/>
      <c r="U28" s="292"/>
      <c r="V28" s="292"/>
      <c r="W28" s="292"/>
      <c r="X28" s="292"/>
      <c r="Y28" s="292"/>
      <c r="Z28" s="292"/>
      <c r="AA28" s="292"/>
      <c r="AB28" s="292"/>
      <c r="AC28" s="292"/>
      <c r="AD28" s="292"/>
      <c r="AE28" s="292"/>
      <c r="AF28" s="292"/>
      <c r="AG28" s="293"/>
      <c r="AH28" s="218"/>
      <c r="AI28" s="304">
        <v>59.772965867829617723479287210</v>
      </c>
      <c r="AJ28" s="304">
        <v>51.023751308229062361771915370</v>
      </c>
      <c r="AK28" s="304">
        <v>75.548169136864929769787226570</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2.3809523809085034013605630100</v>
      </c>
      <c r="D31" s="287">
        <v>-30.158730158656991685563037500</v>
      </c>
      <c r="E31" s="287">
        <v>-36.144578313283785745391188550</v>
      </c>
      <c r="F31" s="287">
        <v>-22.950819672057887664606218980</v>
      </c>
      <c r="G31" s="287">
        <v>-12.222222222233925925925924370</v>
      </c>
      <c r="H31" s="287">
        <v>38.888888888966049382716092250</v>
      </c>
      <c r="I31" s="287">
        <v>21.818181818257123966942195320</v>
      </c>
      <c r="J31" s="287">
        <v>63.333333332974000000000790560</v>
      </c>
      <c r="K31" s="287">
        <v>20.512820512727810650887645270</v>
      </c>
      <c r="L31" s="287"/>
      <c r="M31" s="287">
        <v>31.707317073100059488399799990</v>
      </c>
      <c r="N31" s="287">
        <v>16.393442623061488847084222390</v>
      </c>
      <c r="O31" s="287">
        <v>-26.086956521742344045368619890</v>
      </c>
      <c r="P31" s="287">
        <v>-59.210526315825969529085839910</v>
      </c>
      <c r="Q31" s="287"/>
      <c r="R31" s="287"/>
      <c r="S31" s="287"/>
      <c r="T31" s="287"/>
      <c r="U31" s="287"/>
      <c r="V31" s="287"/>
      <c r="W31" s="287"/>
      <c r="X31" s="287"/>
      <c r="Y31" s="287"/>
      <c r="Z31" s="287"/>
      <c r="AA31" s="287"/>
      <c r="AB31" s="287"/>
      <c r="AC31" s="287"/>
      <c r="AD31" s="287"/>
      <c r="AE31" s="287"/>
      <c r="AF31" s="287"/>
      <c r="AG31" s="288"/>
      <c r="AH31" s="218"/>
      <c r="AI31" s="302">
        <v>-4.7842401501449000137280648300</v>
      </c>
      <c r="AJ31" s="302">
        <v>-5.7297715835417990317283631700</v>
      </c>
      <c r="AK31" s="302">
        <v>-6.5853658536239048185603678800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8.059701492640534640231776020</v>
      </c>
      <c r="D32" s="202">
        <v>-0.9310986965525919915107935300</v>
      </c>
      <c r="E32" s="202">
        <v>4.2813455658152484358780543100</v>
      </c>
      <c r="F32" s="202">
        <v>17.205882353005639705882388400</v>
      </c>
      <c r="G32" s="202">
        <v>16.614906832224618552525026090</v>
      </c>
      <c r="H32" s="202">
        <v>4.9367088607090177856113045300</v>
      </c>
      <c r="I32" s="202">
        <v>-6.0209424084187864915983476600</v>
      </c>
      <c r="J32" s="202">
        <v>20.285714285873750204081844050</v>
      </c>
      <c r="K32" s="202">
        <v>12.139917695397106640247981400</v>
      </c>
      <c r="L32" s="202">
        <v>10.310965630140925369855974750</v>
      </c>
      <c r="M32" s="202">
        <v>-4.111405835553177395183248100</v>
      </c>
      <c r="N32" s="202">
        <v>0.5706134094042177366346437600</v>
      </c>
      <c r="O32" s="202">
        <v>0.8219178082371326702946175700</v>
      </c>
      <c r="P32" s="202">
        <v>7.1202531645054358275917568700</v>
      </c>
      <c r="Q32" s="202"/>
      <c r="R32" s="202"/>
      <c r="S32" s="202"/>
      <c r="T32" s="202"/>
      <c r="U32" s="202"/>
      <c r="V32" s="202"/>
      <c r="W32" s="202"/>
      <c r="X32" s="202"/>
      <c r="Y32" s="202"/>
      <c r="Z32" s="202"/>
      <c r="AA32" s="202"/>
      <c r="AB32" s="202"/>
      <c r="AC32" s="202"/>
      <c r="AD32" s="202"/>
      <c r="AE32" s="202"/>
      <c r="AF32" s="202"/>
      <c r="AG32" s="290"/>
      <c r="AH32" s="218"/>
      <c r="AI32" s="303">
        <v>7.2541896166904007382620993600</v>
      </c>
      <c r="AJ32" s="303">
        <v>7.6495132128019125233818415600</v>
      </c>
      <c r="AK32" s="303">
        <v>6.4365336209573872948157004800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-5.2551960010376232099016861800</v>
      </c>
      <c r="D33" s="292">
        <v>-29.502327246592786391704083990</v>
      </c>
      <c r="E33" s="292">
        <v>-38.76620852914575111277594500</v>
      </c>
      <c r="F33" s="292">
        <v>-34.261678013902715143500058690</v>
      </c>
      <c r="G33" s="292">
        <v>-24.728510134600059537480722410</v>
      </c>
      <c r="H33" s="292">
        <v>32.354912210160678928953332770</v>
      </c>
      <c r="I33" s="292">
        <v>29.622689288458239866700782060</v>
      </c>
      <c r="J33" s="292">
        <v>35.787806808862729101576726130</v>
      </c>
      <c r="K33" s="292">
        <v>7.4664784756902413925288390100</v>
      </c>
      <c r="L33" s="292"/>
      <c r="M33" s="292">
        <v>37.354518773388892697933587930</v>
      </c>
      <c r="N33" s="292">
        <v>15.733054295971783372134979470</v>
      </c>
      <c r="O33" s="292">
        <v>-26.689508506708788911463172090</v>
      </c>
      <c r="P33" s="292">
        <v>-61.921791184007000087394995710</v>
      </c>
      <c r="Q33" s="292"/>
      <c r="R33" s="292"/>
      <c r="S33" s="292"/>
      <c r="T33" s="292"/>
      <c r="U33" s="292"/>
      <c r="V33" s="292"/>
      <c r="W33" s="292"/>
      <c r="X33" s="292"/>
      <c r="Y33" s="292"/>
      <c r="Z33" s="292"/>
      <c r="AA33" s="292"/>
      <c r="AB33" s="292"/>
      <c r="AC33" s="292"/>
      <c r="AD33" s="292"/>
      <c r="AE33" s="292"/>
      <c r="AF33" s="292"/>
      <c r="AG33" s="293"/>
      <c r="AH33" s="218"/>
      <c r="AI33" s="304">
        <v>-11.224204676631495813543901860</v>
      </c>
      <c r="AJ33" s="304">
        <v>-12.428560424300612543054704970</v>
      </c>
      <c r="AK33" s="304">
        <v>-12.234426499609559426373453700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3"/>
      <c r="Y35" s="653"/>
      <c r="Z35" s="653"/>
      <c r="AA35" s="653"/>
      <c r="AB35" s="653"/>
      <c r="AC35" s="653"/>
      <c r="AD35" s="653"/>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145</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107.51162790697674418604651163</v>
      </c>
      <c r="D38" s="295">
        <v>110.11363636363636363636363636</v>
      </c>
      <c r="E38" s="295">
        <v>118.6226415094339622641509434</v>
      </c>
      <c r="F38" s="295">
        <v>126.70212765957446808510638298</v>
      </c>
      <c r="G38" s="295">
        <v>120.06329113924050632911392405</v>
      </c>
      <c r="H38" s="295">
        <v>111.14666666666666666666666667</v>
      </c>
      <c r="I38" s="295">
        <v>115.41791044776119402985074627</v>
      </c>
      <c r="J38" s="295">
        <v>88.89795918367346938775510204</v>
      </c>
      <c r="K38" s="295">
        <v>107.25531914893617021276595745</v>
      </c>
      <c r="L38" s="295"/>
      <c r="M38" s="295">
        <v>115.000000000</v>
      </c>
      <c r="N38" s="295">
        <v>115.02816901408450704225352113</v>
      </c>
      <c r="O38" s="295">
        <v>110.01470588235294117647058824</v>
      </c>
      <c r="P38" s="295">
        <v>90.96774193548387096774193548</v>
      </c>
      <c r="Q38" s="295"/>
      <c r="R38" s="295"/>
      <c r="S38" s="295"/>
      <c r="T38" s="295"/>
      <c r="U38" s="295"/>
      <c r="V38" s="295"/>
      <c r="W38" s="295"/>
      <c r="X38" s="295"/>
      <c r="Y38" s="295"/>
      <c r="Z38" s="295"/>
      <c r="AA38" s="295"/>
      <c r="AB38" s="295"/>
      <c r="AC38" s="295"/>
      <c r="AD38" s="295"/>
      <c r="AE38" s="295"/>
      <c r="AF38" s="295"/>
      <c r="AG38" s="296"/>
      <c r="AH38" s="218"/>
      <c r="AI38" s="305">
        <v>111.96321839080459770114942529</v>
      </c>
      <c r="AJ38" s="305">
        <v>112.87268993839835728952772074</v>
      </c>
      <c r="AK38" s="305">
        <v>110.80678851174934725848563969</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119.65571823204419889502762432</v>
      </c>
      <c r="D39" s="207">
        <v>139.3487406015037593984962406</v>
      </c>
      <c r="E39" s="207">
        <v>142.07052785923753665689149559</v>
      </c>
      <c r="F39" s="207">
        <v>146.09846925972396486825595983</v>
      </c>
      <c r="G39" s="207">
        <v>136.370306258322237017310253</v>
      </c>
      <c r="H39" s="207">
        <v>134.85673100120627261761158022</v>
      </c>
      <c r="I39" s="207">
        <v>133.64530640668523676880222841</v>
      </c>
      <c r="J39" s="207">
        <v>120.17969121140142517814726841</v>
      </c>
      <c r="K39" s="207">
        <v>137.74974311926605504587155962</v>
      </c>
      <c r="L39" s="207">
        <v>143.9077151335311572700296736</v>
      </c>
      <c r="M39" s="207">
        <v>136.00625172890733056708160443</v>
      </c>
      <c r="N39" s="207">
        <v>132.9863262411347517730496454</v>
      </c>
      <c r="O39" s="207">
        <v>136.69892663043478260869565218</v>
      </c>
      <c r="P39" s="207">
        <v>135.2623338257016248153618907</v>
      </c>
      <c r="Q39" s="207"/>
      <c r="R39" s="207"/>
      <c r="S39" s="207"/>
      <c r="T39" s="207"/>
      <c r="U39" s="207"/>
      <c r="V39" s="207"/>
      <c r="W39" s="207"/>
      <c r="X39" s="207"/>
      <c r="Y39" s="207"/>
      <c r="Z39" s="207"/>
      <c r="AA39" s="207"/>
      <c r="AB39" s="207"/>
      <c r="AC39" s="207"/>
      <c r="AD39" s="207"/>
      <c r="AE39" s="207"/>
      <c r="AF39" s="207"/>
      <c r="AG39" s="298"/>
      <c r="AH39" s="218"/>
      <c r="AI39" s="306">
        <v>136.35086210664335664335664336</v>
      </c>
      <c r="AJ39" s="306">
        <v>136.94226744186046511627906976</v>
      </c>
      <c r="AK39" s="306">
        <v>135.11370608108108108108108108</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89.85080654358939453684872486</v>
      </c>
      <c r="D40" s="292">
        <v>79.020187687617365392284984800</v>
      </c>
      <c r="E40" s="292">
        <v>83.49560130233046568098363024</v>
      </c>
      <c r="F40" s="292">
        <v>86.72378862118862384237546450</v>
      </c>
      <c r="G40" s="292">
        <v>88.04210713718552746648798060</v>
      </c>
      <c r="H40" s="292">
        <v>82.41833080298946790948891758</v>
      </c>
      <c r="I40" s="292">
        <v>86.36136468311840586724998004</v>
      </c>
      <c r="J40" s="292">
        <v>73.970866697684434210144714150</v>
      </c>
      <c r="K40" s="292">
        <v>77.862445853017869013458442330</v>
      </c>
      <c r="L40" s="292"/>
      <c r="M40" s="292">
        <v>84.55493665778572684971651560</v>
      </c>
      <c r="N40" s="292">
        <v>86.49623782037716994852851592</v>
      </c>
      <c r="O40" s="292">
        <v>80.47956819719983993240941579</v>
      </c>
      <c r="P40" s="292">
        <v>67.252825943921348117500948380</v>
      </c>
      <c r="Q40" s="292"/>
      <c r="R40" s="292"/>
      <c r="S40" s="292"/>
      <c r="T40" s="292"/>
      <c r="U40" s="292"/>
      <c r="V40" s="292"/>
      <c r="W40" s="292"/>
      <c r="X40" s="292"/>
      <c r="Y40" s="292"/>
      <c r="Z40" s="292"/>
      <c r="AA40" s="292"/>
      <c r="AB40" s="292"/>
      <c r="AC40" s="292"/>
      <c r="AD40" s="292"/>
      <c r="AE40" s="292"/>
      <c r="AF40" s="292"/>
      <c r="AG40" s="293"/>
      <c r="AH40" s="218"/>
      <c r="AI40" s="304">
        <v>82.11405242401109119292080609</v>
      </c>
      <c r="AJ40" s="304">
        <v>82.42355851620935427219018085</v>
      </c>
      <c r="AK40" s="304">
        <v>82.01002823891102088246236230</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-11.094932622721866607493086220</v>
      </c>
      <c r="D43" s="287">
        <v>19.709388971719171159679522290</v>
      </c>
      <c r="E43" s="287">
        <v>9.946166893125523667415468010</v>
      </c>
      <c r="F43" s="287">
        <v>9.349600838074929954723685780</v>
      </c>
      <c r="G43" s="287">
        <v>14.273436997971841862418718370</v>
      </c>
      <c r="H43" s="287">
        <v>2.2038314176245210727969348700</v>
      </c>
      <c r="I43" s="287">
        <v>7.1751658724869415409615647400</v>
      </c>
      <c r="J43" s="287">
        <v>-4.0669505212501888079904473700</v>
      </c>
      <c r="K43" s="287">
        <v>3.4617226516736491690180703200</v>
      </c>
      <c r="L43" s="287"/>
      <c r="M43" s="287">
        <v>14.247637509047747348555205510</v>
      </c>
      <c r="N43" s="287">
        <v>16.906336385465640444616808060</v>
      </c>
      <c r="O43" s="287">
        <v>-1.5624106090444894994597412300</v>
      </c>
      <c r="P43" s="287">
        <v>-21.302807204390940428242144490</v>
      </c>
      <c r="Q43" s="287"/>
      <c r="R43" s="287"/>
      <c r="S43" s="287"/>
      <c r="T43" s="287"/>
      <c r="U43" s="287"/>
      <c r="V43" s="287"/>
      <c r="W43" s="287"/>
      <c r="X43" s="287"/>
      <c r="Y43" s="287"/>
      <c r="Z43" s="287"/>
      <c r="AA43" s="287"/>
      <c r="AB43" s="287"/>
      <c r="AC43" s="287"/>
      <c r="AD43" s="287"/>
      <c r="AE43" s="287"/>
      <c r="AF43" s="287"/>
      <c r="AG43" s="288"/>
      <c r="AH43" s="218"/>
      <c r="AI43" s="302">
        <v>5.1518572323050357473715528800</v>
      </c>
      <c r="AJ43" s="302">
        <v>7.2309235760475815739690217500</v>
      </c>
      <c r="AK43" s="302">
        <v>2.4277027772196732712476045100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-8.452296230783923117771584700</v>
      </c>
      <c r="D44" s="202">
        <v>-3.6155019620251057444761910400</v>
      </c>
      <c r="E44" s="202">
        <v>2.9061702860914876381764544500</v>
      </c>
      <c r="F44" s="202">
        <v>-0.5560233597934293955666952300</v>
      </c>
      <c r="G44" s="202">
        <v>-5.4519818669872395894509897800</v>
      </c>
      <c r="H44" s="202">
        <v>-11.216966007162069130635761650</v>
      </c>
      <c r="I44" s="202">
        <v>-4.933208295741201052023546100</v>
      </c>
      <c r="J44" s="202">
        <v>-7.8486641626245689794540169900</v>
      </c>
      <c r="K44" s="202">
        <v>3.1907556360915216071099257500</v>
      </c>
      <c r="L44" s="202">
        <v>-0.6487509271517496900739000300</v>
      </c>
      <c r="M44" s="202">
        <v>-3.0341438473086109445591038700</v>
      </c>
      <c r="N44" s="202">
        <v>0.9352186750906707646664025200</v>
      </c>
      <c r="O44" s="202">
        <v>3.8298734100582834959939205600</v>
      </c>
      <c r="P44" s="202">
        <v>0.5251873052154322729305047600</v>
      </c>
      <c r="Q44" s="202"/>
      <c r="R44" s="202"/>
      <c r="S44" s="202"/>
      <c r="T44" s="202"/>
      <c r="U44" s="202"/>
      <c r="V44" s="202"/>
      <c r="W44" s="202"/>
      <c r="X44" s="202"/>
      <c r="Y44" s="202"/>
      <c r="Z44" s="202"/>
      <c r="AA44" s="202"/>
      <c r="AB44" s="202"/>
      <c r="AC44" s="202"/>
      <c r="AD44" s="202"/>
      <c r="AE44" s="202"/>
      <c r="AF44" s="202"/>
      <c r="AG44" s="290"/>
      <c r="AH44" s="218"/>
      <c r="AI44" s="303">
        <v>-2.4471959374356274157881125900</v>
      </c>
      <c r="AJ44" s="303">
        <v>-1.7402823547182186255227423800</v>
      </c>
      <c r="AK44" s="303">
        <v>-3.9063541205454572344213720700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-2.8866222560496789017434359600</v>
      </c>
      <c r="D45" s="292">
        <v>24.199836497099225862788225630</v>
      </c>
      <c r="E45" s="292">
        <v>6.8411802592170912942448937700</v>
      </c>
      <c r="F45" s="292">
        <v>9.961009738836791686071186320</v>
      </c>
      <c r="G45" s="292">
        <v>20.862858105922990631394552650</v>
      </c>
      <c r="H45" s="292">
        <v>15.116398732129897670800054100</v>
      </c>
      <c r="I45" s="292">
        <v>12.736702218661771005245518760</v>
      </c>
      <c r="J45" s="292">
        <v>4.103807727811884506888533800</v>
      </c>
      <c r="K45" s="292">
        <v>0.2625884595047578422977624500</v>
      </c>
      <c r="L45" s="292"/>
      <c r="M45" s="292">
        <v>17.822542946630380227478563180</v>
      </c>
      <c r="N45" s="292">
        <v>15.823136780328634885346557750</v>
      </c>
      <c r="O45" s="292">
        <v>-5.1933839867268176365984793100</v>
      </c>
      <c r="P45" s="292">
        <v>-21.713955571428750842251135700</v>
      </c>
      <c r="Q45" s="292"/>
      <c r="R45" s="292"/>
      <c r="S45" s="292"/>
      <c r="T45" s="292"/>
      <c r="U45" s="292"/>
      <c r="V45" s="292"/>
      <c r="W45" s="292"/>
      <c r="X45" s="292"/>
      <c r="Y45" s="292"/>
      <c r="Z45" s="292"/>
      <c r="AA45" s="292"/>
      <c r="AB45" s="292"/>
      <c r="AC45" s="292"/>
      <c r="AD45" s="292"/>
      <c r="AE45" s="292"/>
      <c r="AF45" s="292"/>
      <c r="AG45" s="293"/>
      <c r="AH45" s="218"/>
      <c r="AI45" s="304">
        <v>7.789681949993470464374218800</v>
      </c>
      <c r="AJ45" s="304">
        <v>9.130095369391588105873431190</v>
      </c>
      <c r="AK45" s="304">
        <v>6.5915460275743171503487694700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3"/>
      <c r="Y47" s="653"/>
      <c r="Z47" s="653"/>
      <c r="AA47" s="653"/>
      <c r="AB47" s="653"/>
      <c r="AC47" s="653"/>
      <c r="AD47" s="653"/>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145</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24.854838709677419354838709677</v>
      </c>
      <c r="D50" s="295">
        <v>26.048387096774193548387096774</v>
      </c>
      <c r="E50" s="295">
        <v>33.801075268817204301075268817</v>
      </c>
      <c r="F50" s="295">
        <v>32.016129032258064516129032258</v>
      </c>
      <c r="G50" s="295">
        <v>50.994623655913978494623655914</v>
      </c>
      <c r="H50" s="295">
        <v>89.63440860215053763440860215</v>
      </c>
      <c r="I50" s="295">
        <v>83.15053763440860215053763441</v>
      </c>
      <c r="J50" s="295">
        <v>23.41935483870967741935483871</v>
      </c>
      <c r="K50" s="295">
        <v>27.102150537634408602150537634</v>
      </c>
      <c r="L50" s="295"/>
      <c r="M50" s="295">
        <v>33.387096774193548387096774194</v>
      </c>
      <c r="N50" s="295">
        <v>43.908602150537634408602150538</v>
      </c>
      <c r="O50" s="295">
        <v>40.220430107526881720430107527</v>
      </c>
      <c r="P50" s="295">
        <v>15.161290322580645161290322581</v>
      </c>
      <c r="Q50" s="295"/>
      <c r="R50" s="295"/>
      <c r="S50" s="295"/>
      <c r="T50" s="295"/>
      <c r="U50" s="295"/>
      <c r="V50" s="295"/>
      <c r="W50" s="295"/>
      <c r="X50" s="295"/>
      <c r="Y50" s="295"/>
      <c r="Z50" s="295"/>
      <c r="AA50" s="295"/>
      <c r="AB50" s="295"/>
      <c r="AC50" s="295"/>
      <c r="AD50" s="295"/>
      <c r="AE50" s="295"/>
      <c r="AF50" s="295"/>
      <c r="AG50" s="296"/>
      <c r="AH50" s="218"/>
      <c r="AI50" s="305">
        <v>40.284532671629445822994210091</v>
      </c>
      <c r="AJ50" s="305">
        <v>32.836917562724014336917562724</v>
      </c>
      <c r="AK50" s="305">
        <v>57.041666666666666666666666667</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39.88523941068139963167587477</v>
      </c>
      <c r="D51" s="207">
        <v>68.262918968692449355432780847</v>
      </c>
      <c r="E51" s="207">
        <v>89.2192449355432780847145488</v>
      </c>
      <c r="F51" s="207">
        <v>107.21959484346224677716390424</v>
      </c>
      <c r="G51" s="207">
        <v>94.30395948434622467771639042</v>
      </c>
      <c r="H51" s="207">
        <v>102.94312154696132596685082873</v>
      </c>
      <c r="I51" s="207">
        <v>88.35849907918968692449355433</v>
      </c>
      <c r="J51" s="207">
        <v>46.588996316758747697974217311</v>
      </c>
      <c r="K51" s="207">
        <v>69.128554327808471454880294659</v>
      </c>
      <c r="L51" s="207">
        <v>89.31289134438305709023941068</v>
      </c>
      <c r="M51" s="207">
        <v>90.54559852670349907918968692</v>
      </c>
      <c r="N51" s="207">
        <v>86.33090239410681399631675875</v>
      </c>
      <c r="O51" s="207">
        <v>92.64310313075506445672191529</v>
      </c>
      <c r="P51" s="207">
        <v>84.32099447513812154696132597</v>
      </c>
      <c r="Q51" s="207"/>
      <c r="R51" s="207"/>
      <c r="S51" s="207"/>
      <c r="T51" s="207"/>
      <c r="U51" s="207"/>
      <c r="V51" s="207"/>
      <c r="W51" s="207"/>
      <c r="X51" s="207"/>
      <c r="Y51" s="207"/>
      <c r="Z51" s="207"/>
      <c r="AA51" s="207"/>
      <c r="AB51" s="207"/>
      <c r="AC51" s="207"/>
      <c r="AD51" s="207"/>
      <c r="AE51" s="207"/>
      <c r="AF51" s="207"/>
      <c r="AG51" s="298"/>
      <c r="AH51" s="218"/>
      <c r="AI51" s="306">
        <v>82.07597277032359905288082084</v>
      </c>
      <c r="AJ51" s="306">
        <v>78.07979005524861878453038674</v>
      </c>
      <c r="AK51" s="306">
        <v>92.06642955801104972375690608</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62.315881957598629796304184370</v>
      </c>
      <c r="D52" s="292">
        <v>38.158911881160448130251091430</v>
      </c>
      <c r="E52" s="292">
        <v>37.885408348000807096648026320</v>
      </c>
      <c r="F52" s="292">
        <v>29.860333905373814439458619350</v>
      </c>
      <c r="G52" s="292">
        <v>54.074742921482223801320203370</v>
      </c>
      <c r="H52" s="292">
        <v>87.07178027550563531816057623</v>
      </c>
      <c r="I52" s="292">
        <v>94.10587379927849396978672893</v>
      </c>
      <c r="J52" s="292">
        <v>50.267996072421620465749347920</v>
      </c>
      <c r="K52" s="292">
        <v>39.205435150746813217013745010</v>
      </c>
      <c r="L52" s="292"/>
      <c r="M52" s="292">
        <v>36.873241016070364851369320600</v>
      </c>
      <c r="N52" s="292">
        <v>50.860816848751511026344246450</v>
      </c>
      <c r="O52" s="292">
        <v>43.414381371423699923574351810</v>
      </c>
      <c r="P52" s="292">
        <v>17.980445340997224660578014790</v>
      </c>
      <c r="Q52" s="292"/>
      <c r="R52" s="292"/>
      <c r="S52" s="292"/>
      <c r="T52" s="292"/>
      <c r="U52" s="292"/>
      <c r="V52" s="292"/>
      <c r="W52" s="292"/>
      <c r="X52" s="292"/>
      <c r="Y52" s="292"/>
      <c r="Z52" s="292"/>
      <c r="AA52" s="292"/>
      <c r="AB52" s="292"/>
      <c r="AC52" s="292"/>
      <c r="AD52" s="292"/>
      <c r="AE52" s="292"/>
      <c r="AF52" s="292"/>
      <c r="AG52" s="293"/>
      <c r="AH52" s="218"/>
      <c r="AI52" s="304">
        <v>49.082004528134939349570873530</v>
      </c>
      <c r="AJ52" s="304">
        <v>42.055591516715564705912465960</v>
      </c>
      <c r="AK52" s="304">
        <v>61.957074843150687469246613860</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-8.978145304182986195546861550</v>
      </c>
      <c r="D55" s="287">
        <v>-16.393442622965247033197072430</v>
      </c>
      <c r="E55" s="287">
        <v>-29.793411501921287808856289160</v>
      </c>
      <c r="F55" s="287">
        <v>-15.747028862478777589134125640</v>
      </c>
      <c r="G55" s="287">
        <v>0.3066835871786277560188074300</v>
      </c>
      <c r="H55" s="287">
        <v>41.949765857862595914568158610</v>
      </c>
      <c r="I55" s="287">
        <v>30.558838426495113766406634330</v>
      </c>
      <c r="J55" s="287">
        <v>56.690647482431478701931652140</v>
      </c>
      <c r="K55" s="287">
        <v>24.684640118637369034792929840</v>
      </c>
      <c r="L55" s="287"/>
      <c r="M55" s="287">
        <v>50.472498182772218317510429960</v>
      </c>
      <c r="N55" s="287">
        <v>36.071309563483374585456963790</v>
      </c>
      <c r="O55" s="287">
        <v>-27.241781754557847801130831620</v>
      </c>
      <c r="P55" s="287">
        <v>-67.899829254411658512709062910</v>
      </c>
      <c r="Q55" s="287"/>
      <c r="R55" s="287"/>
      <c r="S55" s="287"/>
      <c r="T55" s="287"/>
      <c r="U55" s="287"/>
      <c r="V55" s="287"/>
      <c r="W55" s="287"/>
      <c r="X55" s="287"/>
      <c r="Y55" s="287"/>
      <c r="Z55" s="287"/>
      <c r="AA55" s="287"/>
      <c r="AB55" s="287"/>
      <c r="AC55" s="287"/>
      <c r="AD55" s="287"/>
      <c r="AE55" s="287"/>
      <c r="AF55" s="287"/>
      <c r="AG55" s="288"/>
      <c r="AH55" s="218"/>
      <c r="AI55" s="302">
        <v>0.1211398600805265882836825600</v>
      </c>
      <c r="AJ55" s="302">
        <v>1.0868365884566607070600179800</v>
      </c>
      <c r="AK55" s="302">
        <v>-4.3175361860594058107870087500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-1.0738245837222658249713947800</v>
      </c>
      <c r="D56" s="202">
        <v>-4.5129367667940930433907643900</v>
      </c>
      <c r="E56" s="202">
        <v>7.3119390445473736769874829100</v>
      </c>
      <c r="F56" s="202">
        <v>16.554190268034352432693706600</v>
      </c>
      <c r="G56" s="202">
        <v>10.257083257654867213204340880</v>
      </c>
      <c r="H56" s="202">
        <v>-6.8340061011910288503426589100</v>
      </c>
      <c r="I56" s="202">
        <v>-10.657125073738492653393902900</v>
      </c>
      <c r="J56" s="202">
        <v>10.844892535765879254644811770</v>
      </c>
      <c r="K56" s="202">
        <v>15.718028439628553305761347570</v>
      </c>
      <c r="L56" s="202">
        <v>9.595322217898466604225302830</v>
      </c>
      <c r="M56" s="202">
        <v>-7.0208037156699334157613799500</v>
      </c>
      <c r="N56" s="202">
        <v>1.5111685677119016376875634700</v>
      </c>
      <c r="O56" s="202">
        <v>4.6832696298343054150991863200</v>
      </c>
      <c r="P56" s="202">
        <v>7.6828351355007114579738008800</v>
      </c>
      <c r="Q56" s="202"/>
      <c r="R56" s="202"/>
      <c r="S56" s="202"/>
      <c r="T56" s="202"/>
      <c r="U56" s="202"/>
      <c r="V56" s="202"/>
      <c r="W56" s="202"/>
      <c r="X56" s="202"/>
      <c r="Y56" s="202"/>
      <c r="Z56" s="202"/>
      <c r="AA56" s="202"/>
      <c r="AB56" s="202"/>
      <c r="AC56" s="202"/>
      <c r="AD56" s="202"/>
      <c r="AE56" s="202"/>
      <c r="AF56" s="202"/>
      <c r="AG56" s="290"/>
      <c r="AH56" s="218"/>
      <c r="AI56" s="303">
        <v>4.6294694457255821627691721400</v>
      </c>
      <c r="AJ56" s="303">
        <v>5.7761077294413954493641943700</v>
      </c>
      <c r="AK56" s="303">
        <v>2.2787457040910491303352004800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-7.990120599717290199747844600</v>
      </c>
      <c r="D57" s="292">
        <v>-12.442005706289492297132922640</v>
      </c>
      <c r="E57" s="292">
        <v>-34.577094475062236944661636910</v>
      </c>
      <c r="F57" s="292">
        <v>-27.713477358780086863200452190</v>
      </c>
      <c r="G57" s="292">
        <v>-9.024726009873328217488014930</v>
      </c>
      <c r="H57" s="292">
        <v>52.362208481242963096874080180</v>
      </c>
      <c r="I57" s="292">
        <v>46.132345230981778462688336510</v>
      </c>
      <c r="J57" s="292">
        <v>41.360277318607930989014087420</v>
      </c>
      <c r="K57" s="292">
        <v>7.7486730459873752013149760900</v>
      </c>
      <c r="L57" s="292"/>
      <c r="M57" s="292">
        <v>61.834586870775570691886938860</v>
      </c>
      <c r="N57" s="292">
        <v>34.045653777156644001269268480</v>
      </c>
      <c r="O57" s="292">
        <v>-30.496803832464039148473547310</v>
      </c>
      <c r="P57" s="292">
        <v>-70.190076528707528590370058650</v>
      </c>
      <c r="Q57" s="292"/>
      <c r="R57" s="292"/>
      <c r="S57" s="292"/>
      <c r="T57" s="292"/>
      <c r="U57" s="292"/>
      <c r="V57" s="292"/>
      <c r="W57" s="292"/>
      <c r="X57" s="292"/>
      <c r="Y57" s="292"/>
      <c r="Z57" s="292"/>
      <c r="AA57" s="292"/>
      <c r="AB57" s="292"/>
      <c r="AC57" s="292"/>
      <c r="AD57" s="292"/>
      <c r="AE57" s="292"/>
      <c r="AF57" s="292"/>
      <c r="AG57" s="293"/>
      <c r="AH57" s="218"/>
      <c r="AI57" s="304">
        <v>-4.3088525723813059738230355400</v>
      </c>
      <c r="AJ57" s="304">
        <v>-4.4332044747676779618623530100</v>
      </c>
      <c r="AK57" s="304">
        <v>-6.4493183258556490467941392600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4" t="s">
        <v>82</v>
      </c>
      <c r="C60" s="654"/>
      <c r="D60" s="654"/>
      <c r="E60" s="654"/>
      <c r="F60" s="654"/>
      <c r="G60" s="654"/>
      <c r="H60" s="654"/>
      <c r="I60" s="654"/>
      <c r="J60" s="654"/>
      <c r="K60" s="654"/>
      <c r="L60" s="654"/>
      <c r="M60" s="654"/>
      <c r="N60" s="654"/>
      <c r="O60" s="654"/>
      <c r="P60" s="654"/>
      <c r="Q60" s="654"/>
      <c r="R60" s="654"/>
      <c r="S60" s="654"/>
      <c r="T60" s="654"/>
      <c r="U60" s="654"/>
      <c r="V60" s="654"/>
      <c r="W60" s="654"/>
      <c r="X60" s="654"/>
      <c r="Y60" s="654"/>
      <c r="Z60" s="654"/>
      <c r="AA60" s="654"/>
      <c r="AB60" s="654"/>
      <c r="AC60" s="654"/>
      <c r="AD60" s="654"/>
      <c r="AE60" s="654"/>
      <c r="AF60" s="654"/>
      <c r="AG60" s="654"/>
      <c r="AH60" s="654"/>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5" t="s">
        <v>114</v>
      </c>
      <c r="C62" s="655"/>
      <c r="D62" s="655"/>
      <c r="E62" s="655"/>
      <c r="F62" s="655"/>
      <c r="G62" s="655"/>
      <c r="H62" s="655"/>
      <c r="I62" s="655"/>
      <c r="J62" s="655"/>
      <c r="K62" s="655"/>
      <c r="L62" s="655"/>
      <c r="M62" s="655"/>
      <c r="N62" s="655"/>
      <c r="O62" s="655"/>
      <c r="P62" s="655"/>
      <c r="Q62" s="655"/>
      <c r="R62" s="655"/>
      <c r="S62" s="655"/>
      <c r="T62" s="655"/>
      <c r="U62" s="655"/>
      <c r="V62" s="655"/>
      <c r="W62" s="655"/>
      <c r="X62" s="655"/>
      <c r="Y62" s="655"/>
      <c r="Z62" s="655"/>
      <c r="AA62" s="655"/>
      <c r="AB62" s="655"/>
      <c r="AC62" s="655"/>
      <c r="AD62" s="655"/>
      <c r="AE62" s="655"/>
      <c r="AF62" s="655"/>
      <c r="AG62" s="655"/>
      <c r="AH62" s="655"/>
      <c r="AI62" s="655"/>
      <c r="AJ62" s="655"/>
      <c r="AK62" s="655"/>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30"/>
</worksheet>
</file>

<file path=xl/worksheets/sheet3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105"/>
  <sheetViews>
    <sheetView showGridLines="0" zoomScale="75"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123</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7.1" customHeight="1">
      <c r="A4" t="s">
        <v>143</v>
      </c>
      <c r="B4" s="442"/>
      <c r="C4" s="211"/>
      <c r="D4" s="212"/>
      <c r="E4" s="212"/>
      <c r="F4" s="212"/>
      <c r="G4" s="212"/>
      <c r="H4" s="212"/>
      <c r="I4" s="212"/>
      <c r="J4" s="212"/>
      <c r="K4" s="212"/>
      <c r="L4" s="212"/>
      <c r="M4" s="212"/>
      <c r="N4" s="212"/>
      <c r="O4" s="212"/>
      <c r="P4" s="212"/>
      <c r="Q4" s="212"/>
      <c r="R4" s="665" t="s">
        <v>146</v>
      </c>
      <c r="S4" s="665"/>
      <c r="T4" s="665"/>
      <c r="U4" s="665"/>
      <c r="V4" s="665"/>
      <c r="W4" s="665"/>
      <c r="X4" s="665"/>
      <c r="Y4" s="665"/>
      <c r="Z4" s="665"/>
      <c r="AA4" s="665"/>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row>
    <row r="7" ht="15.75">
      <c r="D7" s="621" t="s">
        <v>54</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27" customHeight="1">
      <c r="A9" s="92"/>
      <c r="D9" s="339" t="s">
        <v>63</v>
      </c>
      <c r="E9" s="340" t="s">
        <v>26</v>
      </c>
      <c r="F9" s="341" t="s">
        <v>147</v>
      </c>
      <c r="G9" s="339" t="s">
        <v>63</v>
      </c>
      <c r="H9" s="340" t="s">
        <v>26</v>
      </c>
      <c r="I9" s="341" t="s">
        <v>147</v>
      </c>
      <c r="J9" s="340" t="s">
        <v>63</v>
      </c>
      <c r="K9" s="340" t="s">
        <v>26</v>
      </c>
      <c r="L9" s="341" t="s">
        <v>147</v>
      </c>
      <c r="M9" s="339" t="s">
        <v>63</v>
      </c>
      <c r="N9" s="340" t="s">
        <v>26</v>
      </c>
      <c r="O9" s="341" t="s">
        <v>147</v>
      </c>
      <c r="P9" s="96"/>
      <c r="Q9" s="339" t="s">
        <v>63</v>
      </c>
      <c r="R9" s="340" t="s">
        <v>26</v>
      </c>
      <c r="S9" s="341" t="s">
        <v>147</v>
      </c>
      <c r="T9" s="339" t="s">
        <v>63</v>
      </c>
      <c r="U9" s="340" t="s">
        <v>26</v>
      </c>
      <c r="V9" s="341" t="s">
        <v>147</v>
      </c>
      <c r="W9" s="340"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5.6" customHeight="1">
      <c r="A10" s="92" t="s">
        <v>148</v>
      </c>
      <c r="B10" s="342">
        <v>18</v>
      </c>
      <c r="C10" s="350" t="s">
        <v>49</v>
      </c>
      <c r="D10" s="354">
        <v>19.892473118279569892473118280</v>
      </c>
      <c r="E10" s="355">
        <v>26.763843444366965259525469790</v>
      </c>
      <c r="F10" s="356">
        <v>46.159609218136593844586292670</v>
      </c>
      <c r="G10" s="354">
        <v>0</v>
      </c>
      <c r="H10" s="355">
        <v>13.060755600851079046648429260</v>
      </c>
      <c r="I10" s="356">
        <v>3.1721058467439839371872096900</v>
      </c>
      <c r="J10" s="355">
        <v>1.6129032258064516129032258100</v>
      </c>
      <c r="K10" s="355">
        <v>4.2822149510987144415240751700</v>
      </c>
      <c r="L10" s="356">
        <v>0.3281488806976535107435044500</v>
      </c>
      <c r="M10" s="354">
        <v>21.505376344086021505376344090</v>
      </c>
      <c r="N10" s="355">
        <v>44.106813996316758747697974220</v>
      </c>
      <c r="O10" s="356">
        <v>49.659863945578231292517006800</v>
      </c>
      <c r="P10" s="4"/>
      <c r="Q10" s="354">
        <v>-17.777777777788740740740739280</v>
      </c>
      <c r="R10" s="355">
        <v>27.325055809184621482336252510</v>
      </c>
      <c r="S10" s="356">
        <v>2.5021365840457660082490244600</v>
      </c>
      <c r="T10" s="354">
        <v>-100</v>
      </c>
      <c r="U10" s="355">
        <v>703.60784557369046322659476356</v>
      </c>
      <c r="V10" s="356">
        <v>-61.338124000206127845472958500</v>
      </c>
      <c r="W10" s="355">
        <v>50.000000000600000000002400330</v>
      </c>
      <c r="X10" s="355">
        <v>-30.663688906497803000293808100</v>
      </c>
      <c r="Y10" s="356">
        <v>75.978194229551511702679632510</v>
      </c>
      <c r="Z10" s="354">
        <v>-45.945945946001460920379782270</v>
      </c>
      <c r="AA10" s="355">
        <v>53.035143769773456909839074020</v>
      </c>
      <c r="AB10" s="356">
        <v>-7.0458404075065865139325526100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5.6" customHeight="1">
      <c r="A11" s="92"/>
      <c r="B11" s="344">
        <v>19</v>
      </c>
      <c r="C11" s="351" t="s">
        <v>47</v>
      </c>
      <c r="D11" s="327">
        <v>25.806451612903225806451612900</v>
      </c>
      <c r="E11" s="171">
        <v>37.725119110202975027359803740</v>
      </c>
      <c r="F11" s="328">
        <v>66.296914544181788810511011790</v>
      </c>
      <c r="G11" s="327">
        <v>0</v>
      </c>
      <c r="H11" s="171">
        <v>18.000271118296848084483106350</v>
      </c>
      <c r="I11" s="328">
        <v>6.9786225835980830326853696600</v>
      </c>
      <c r="J11" s="171">
        <v>1.075268817204301075268817200</v>
      </c>
      <c r="K11" s="171">
        <v>4.3114421840231971459839775700</v>
      </c>
      <c r="L11" s="328">
        <v>0.1938506273221689731301491600</v>
      </c>
      <c r="M11" s="327">
        <v>26.881720430107526881720430110</v>
      </c>
      <c r="N11" s="171">
        <v>60.036832412523020257826887660</v>
      </c>
      <c r="O11" s="328">
        <v>73.469387755102040816326530610</v>
      </c>
      <c r="P11" s="4"/>
      <c r="Q11" s="327">
        <v>-22.580645161212903225806374200</v>
      </c>
      <c r="R11" s="171">
        <v>-9.213411332349539040485782210</v>
      </c>
      <c r="S11" s="328">
        <v>5.0304663920150973269490410500</v>
      </c>
      <c r="T11" s="327">
        <v>-100</v>
      </c>
      <c r="U11" s="171">
        <v>216.61645940550179305873952457</v>
      </c>
      <c r="V11" s="328">
        <v>21.965203244868838542426732940</v>
      </c>
      <c r="W11" s="171">
        <v>100.00000000080000000000319920</v>
      </c>
      <c r="X11" s="171">
        <v>-26.824644322644312195297619480</v>
      </c>
      <c r="Y11" s="328">
        <v>113.43910561137561407451286018</v>
      </c>
      <c r="Z11" s="327">
        <v>-29.577464788819678635191322080</v>
      </c>
      <c r="AA11" s="171">
        <v>12.998266897654923422111095640</v>
      </c>
      <c r="AB11" s="328">
        <v>6.5789473684392832409972330300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5.6" customHeight="1">
      <c r="A12" s="92"/>
      <c r="B12" s="346">
        <v>20</v>
      </c>
      <c r="C12" s="352" t="s">
        <v>48</v>
      </c>
      <c r="D12" s="359">
        <v>27.956989247311827956989247310</v>
      </c>
      <c r="E12" s="170">
        <v>49.915265859488264566435484500</v>
      </c>
      <c r="F12" s="360">
        <v>69.342196543762101492042783630</v>
      </c>
      <c r="G12" s="359">
        <v>16.129032258064516129032258060</v>
      </c>
      <c r="H12" s="170">
        <v>7.6456643548450295834802711500</v>
      </c>
      <c r="I12" s="360">
        <v>12.369148572671077563445469510</v>
      </c>
      <c r="J12" s="170">
        <v>2.1505376344086021505376344100</v>
      </c>
      <c r="K12" s="170">
        <v>4.0412797304180870655538576100</v>
      </c>
      <c r="L12" s="360">
        <v>0.374822684020335683740771800</v>
      </c>
      <c r="M12" s="359">
        <v>46.236559139784946236559139780</v>
      </c>
      <c r="N12" s="170">
        <v>61.602209944751381215469613260</v>
      </c>
      <c r="O12" s="360">
        <v>82.08616780045351473922902494</v>
      </c>
      <c r="P12" s="4"/>
      <c r="Q12" s="359">
        <v>-22.388059701397549565604695510</v>
      </c>
      <c r="R12" s="170">
        <v>4.8784361412742089934236315700</v>
      </c>
      <c r="S12" s="360">
        <v>-4.7876822448848298053823873400</v>
      </c>
      <c r="T12" s="359">
        <v>233.33333333466666666667199991</v>
      </c>
      <c r="U12" s="170">
        <v>-4.0412032853724125694843838100</v>
      </c>
      <c r="V12" s="360">
        <v>135.09180819197533604412359094</v>
      </c>
      <c r="W12" s="170">
        <v>33.333333333866666666668800090</v>
      </c>
      <c r="X12" s="170">
        <v>-44.868393192297608449918586290</v>
      </c>
      <c r="Y12" s="360">
        <v>35.355889554786247444775234950</v>
      </c>
      <c r="Z12" s="359">
        <v>8.860759493593718955295680390</v>
      </c>
      <c r="AA12" s="170">
        <v>-2.0497803807403291395938140600</v>
      </c>
      <c r="AB12" s="360">
        <v>4.7453703703376374421296398500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15.6" customHeight="1">
      <c r="A13" s="92"/>
      <c r="B13" s="344">
        <v>21</v>
      </c>
      <c r="C13" s="351" t="s">
        <v>50</v>
      </c>
      <c r="D13" s="327">
        <v>28.494623655913978494623655910</v>
      </c>
      <c r="E13" s="171">
        <v>47.280682144796091080381949990</v>
      </c>
      <c r="F13" s="328">
        <v>64.017918005648066997760249290</v>
      </c>
      <c r="G13" s="327">
        <v>0</v>
      </c>
      <c r="H13" s="171">
        <v>6.5947050745696675502187589800</v>
      </c>
      <c r="I13" s="328">
        <v>14.247596789226938219050401350</v>
      </c>
      <c r="J13" s="171">
        <v>1.075268817204301075268817200</v>
      </c>
      <c r="K13" s="171">
        <v>4.1356625043911474467473573300</v>
      </c>
      <c r="L13" s="328">
        <v>0.1925350917463099759331135300</v>
      </c>
      <c r="M13" s="327">
        <v>29.569892473118279569892473120</v>
      </c>
      <c r="N13" s="171">
        <v>58.011049723756906077348066300</v>
      </c>
      <c r="O13" s="328">
        <v>78.458049886621315192743764170</v>
      </c>
      <c r="P13" s="4"/>
      <c r="Q13" s="327">
        <v>6.000000000029680000000008300</v>
      </c>
      <c r="R13" s="171">
        <v>6.9209974171323071081396320300</v>
      </c>
      <c r="S13" s="328">
        <v>-7.3016306175813666041438951600</v>
      </c>
      <c r="T13" s="327">
        <v>-100</v>
      </c>
      <c r="U13" s="171">
        <v>111.98234223021367565493157042</v>
      </c>
      <c r="V13" s="328">
        <v>141.44266077936732224815657694</v>
      </c>
      <c r="W13" s="171">
        <v>-33.333333333066666666665600270</v>
      </c>
      <c r="X13" s="171">
        <v>-35.822996332905496572909448350</v>
      </c>
      <c r="Y13" s="328">
        <v>-30.394908614762235332708225070</v>
      </c>
      <c r="Z13" s="327">
        <v>-11.290322580556451612903137090</v>
      </c>
      <c r="AA13" s="171">
        <v>7.8767123287863342090448523600</v>
      </c>
      <c r="AB13" s="328">
        <v>4.2796865581609708456367649700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5.6" customHeight="1">
      <c r="A14" s="92"/>
      <c r="B14" s="346">
        <v>22</v>
      </c>
      <c r="C14" s="352" t="s">
        <v>51</v>
      </c>
      <c r="D14" s="359">
        <v>29.569892473118279569892473120</v>
      </c>
      <c r="E14" s="170">
        <v>45.331987957786085287987560790</v>
      </c>
      <c r="F14" s="360">
        <v>61.769450949778818631277647670</v>
      </c>
      <c r="G14" s="359">
        <v>0</v>
      </c>
      <c r="H14" s="170">
        <v>6.6039192333564914370154718200</v>
      </c>
      <c r="I14" s="360">
        <v>9.249470279915244786439165830</v>
      </c>
      <c r="J14" s="170">
        <v>1.6129032258064516129032258100</v>
      </c>
      <c r="K14" s="170">
        <v>4.1414408751557658164334314800</v>
      </c>
      <c r="L14" s="360">
        <v>0.3189472510315601650496264100</v>
      </c>
      <c r="M14" s="359">
        <v>31.182795698924731182795698920</v>
      </c>
      <c r="N14" s="170">
        <v>56.077348066298342541436464090</v>
      </c>
      <c r="O14" s="360">
        <v>71.337868480725623582766439910</v>
      </c>
      <c r="P14" s="4"/>
      <c r="Q14" s="359">
        <v>1.8518518519084362139918009900</v>
      </c>
      <c r="R14" s="170">
        <v>-0.5565032776253800396824883200</v>
      </c>
      <c r="S14" s="360">
        <v>-4.8577931489006437861305052900</v>
      </c>
      <c r="T14" s="359">
        <v>0</v>
      </c>
      <c r="U14" s="170">
        <v>323.22240201159469524158555648</v>
      </c>
      <c r="V14" s="360">
        <v>88.49569486427887435996218621</v>
      </c>
      <c r="W14" s="170">
        <v>0.0000000004000000000016002200</v>
      </c>
      <c r="X14" s="170">
        <v>-34.811417115293905079320875390</v>
      </c>
      <c r="Y14" s="360">
        <v>12.664093467556444367960766820</v>
      </c>
      <c r="Z14" s="359">
        <v>1.7543859649872576177285870900</v>
      </c>
      <c r="AA14" s="170">
        <v>4.8192771084081164589511291700</v>
      </c>
      <c r="AB14" s="360">
        <v>1.7464424320933243407432955600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5.6" customHeight="1">
      <c r="A15" s="92"/>
      <c r="B15" s="344">
        <v>23</v>
      </c>
      <c r="C15" s="351" t="s">
        <v>52</v>
      </c>
      <c r="D15" s="327">
        <v>52.688172043010752688172043010</v>
      </c>
      <c r="E15" s="171">
        <v>48.541801469978265558376055610</v>
      </c>
      <c r="F15" s="328">
        <v>63.129251700680272108843537410</v>
      </c>
      <c r="G15" s="327">
        <v>1.6129032258064516129032258100</v>
      </c>
      <c r="H15" s="171">
        <v>7.8363446319247424219799910400</v>
      </c>
      <c r="I15" s="328">
        <v>11.516822945394373965802537230</v>
      </c>
      <c r="J15" s="171">
        <v>1.6129032258064516129032258100</v>
      </c>
      <c r="K15" s="171">
        <v>4.0270104358502148557397176200</v>
      </c>
      <c r="L15" s="328">
        <v>0.3199117484831770546056260300</v>
      </c>
      <c r="M15" s="327">
        <v>55.913978494623655913978494620</v>
      </c>
      <c r="N15" s="171">
        <v>60.405156537753222836095764270</v>
      </c>
      <c r="O15" s="328">
        <v>74.965986394557823129251700680</v>
      </c>
      <c r="P15" s="4"/>
      <c r="Q15" s="327">
        <v>22.499999999920375000000051750</v>
      </c>
      <c r="R15" s="171">
        <v>-17.454494157511326846045011330</v>
      </c>
      <c r="S15" s="328">
        <v>-15.018315018298675683291064770</v>
      </c>
      <c r="T15" s="327">
        <v>-57.142857142685714285713599910</v>
      </c>
      <c r="U15" s="171">
        <v>-10.339211391509170990030964700</v>
      </c>
      <c r="V15" s="328">
        <v>155.80635580433887162734906852</v>
      </c>
      <c r="W15" s="171">
        <v>50.000000000600000000002400330</v>
      </c>
      <c r="X15" s="171">
        <v>-32.143084985474041458333022430</v>
      </c>
      <c r="Y15" s="328">
        <v>49.220374232455331441886467370</v>
      </c>
      <c r="Z15" s="327">
        <v>16.853932584248655472793842930</v>
      </c>
      <c r="AA15" s="171">
        <v>-17.794486215510415135583309370</v>
      </c>
      <c r="AB15" s="328">
        <v>-5.1090700344477989259742089200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5.6" customHeight="1">
      <c r="A16" s="92"/>
      <c r="B16" s="346">
        <v>24</v>
      </c>
      <c r="C16" s="352" t="s">
        <v>53</v>
      </c>
      <c r="D16" s="359">
        <v>50.0</v>
      </c>
      <c r="E16" s="170">
        <v>50.938621607452514417066580630</v>
      </c>
      <c r="F16" s="360">
        <v>68.636528843215773306958717290</v>
      </c>
      <c r="G16" s="359">
        <v>0</v>
      </c>
      <c r="H16" s="170">
        <v>4.6603419768520385530507722700</v>
      </c>
      <c r="I16" s="360">
        <v>7.978450008845145623261124780</v>
      </c>
      <c r="J16" s="170">
        <v>2.1505376344086021505376344100</v>
      </c>
      <c r="K16" s="170">
        <v>3.7933016090656127757390006900</v>
      </c>
      <c r="L16" s="360">
        <v>0.4371753429504189382608835500</v>
      </c>
      <c r="M16" s="359">
        <v>52.150537634408602150537634410</v>
      </c>
      <c r="N16" s="170">
        <v>59.392265193370165745856353590</v>
      </c>
      <c r="O16" s="360">
        <v>77.052154195011337868480725620</v>
      </c>
      <c r="P16" s="4"/>
      <c r="Q16" s="359">
        <v>14.814814814746776406035705610</v>
      </c>
      <c r="R16" s="170">
        <v>-9.084910278476949494345225510</v>
      </c>
      <c r="S16" s="360">
        <v>-1.820093866401879692566103300</v>
      </c>
      <c r="T16" s="359">
        <v>-100</v>
      </c>
      <c r="U16" s="170">
        <v>-57.222930429009469663244238460</v>
      </c>
      <c r="V16" s="360">
        <v>76.352343527115577464746057960</v>
      </c>
      <c r="W16" s="170">
        <v>100.00000000080000000000320013</v>
      </c>
      <c r="X16" s="170">
        <v>-25.388832143327659778679203850</v>
      </c>
      <c r="Y16" s="360">
        <v>102.92598432808595778039100256</v>
      </c>
      <c r="Z16" s="359">
        <v>6.5934065933972225576621189300</v>
      </c>
      <c r="AA16" s="170">
        <v>-17.519181585672475650996526370</v>
      </c>
      <c r="AB16" s="360">
        <v>3.2199270959868304398600976400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15.6" customHeight="1">
      <c r="A17" s="92"/>
      <c r="B17" s="344">
        <v>25</v>
      </c>
      <c r="C17" s="351" t="s">
        <v>49</v>
      </c>
      <c r="D17" s="327">
        <v>32.795698924731182795698924730</v>
      </c>
      <c r="E17" s="171">
        <v>29.399774714370004827549214180</v>
      </c>
      <c r="F17" s="328">
        <v>47.217049451686323194703082970</v>
      </c>
      <c r="G17" s="327">
        <v>0</v>
      </c>
      <c r="H17" s="171">
        <v>0.9011425199806898031432709300</v>
      </c>
      <c r="I17" s="328">
        <v>4.3362596435222133546155892500</v>
      </c>
      <c r="J17" s="171">
        <v>1.075268817204301075268817200</v>
      </c>
      <c r="K17" s="171">
        <v>4.5057125999034490157163546600</v>
      </c>
      <c r="L17" s="328">
        <v>0.1927226508232094824273595200</v>
      </c>
      <c r="M17" s="327">
        <v>33.870967741935483870967741940</v>
      </c>
      <c r="N17" s="171">
        <v>34.806629834254143646408839780</v>
      </c>
      <c r="O17" s="328">
        <v>51.746031746031746031746031750</v>
      </c>
      <c r="P17" s="4"/>
      <c r="Q17" s="327">
        <v>60.526315789330055401662178370</v>
      </c>
      <c r="R17" s="171">
        <v>34.678216383065028955813455840</v>
      </c>
      <c r="S17" s="328">
        <v>16.853232130453148873528281870</v>
      </c>
      <c r="T17" s="327">
        <v>0</v>
      </c>
      <c r="U17" s="171">
        <v>-61.909191326430106591070305650</v>
      </c>
      <c r="V17" s="328">
        <v>91.63248709297926779927084756</v>
      </c>
      <c r="W17" s="171">
        <v>-33.333333333066666666665600270</v>
      </c>
      <c r="X17" s="171">
        <v>-31.311656489712634325703808880</v>
      </c>
      <c r="Y17" s="328">
        <v>-40.38100401551756112911573700</v>
      </c>
      <c r="Z17" s="327">
        <v>53.658536585283402736466433320</v>
      </c>
      <c r="AA17" s="171">
        <v>13.173652694691423141740528620</v>
      </c>
      <c r="AB17" s="328">
        <v>20.358649789061910818244948100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5.6" customHeight="1">
      <c r="A18" s="92"/>
      <c r="B18" s="346">
        <v>26</v>
      </c>
      <c r="C18" s="352" t="s">
        <v>47</v>
      </c>
      <c r="D18" s="359">
        <v>12.365591397849462365591397850</v>
      </c>
      <c r="E18" s="170">
        <v>21.723948243285259859845495210</v>
      </c>
      <c r="F18" s="360">
        <v>38.675342600808439317756087940</v>
      </c>
      <c r="G18" s="359">
        <v>8.064516129032258064516129030</v>
      </c>
      <c r="H18" s="170">
        <v>0.934363365302591821928838500</v>
      </c>
      <c r="I18" s="360">
        <v>5.0737454402050675342600808400</v>
      </c>
      <c r="J18" s="170">
        <v>1.6129032258064516129032258100</v>
      </c>
      <c r="K18" s="170">
        <v>4.3214305645244871764208780800</v>
      </c>
      <c r="L18" s="360">
        <v>0.2871931381248151434486838200</v>
      </c>
      <c r="M18" s="359">
        <v>22.043010752688172043010752690</v>
      </c>
      <c r="N18" s="170">
        <v>26.979742173112338858195211790</v>
      </c>
      <c r="O18" s="360">
        <v>44.036281179138321995464852610</v>
      </c>
      <c r="P18" s="4"/>
      <c r="Q18" s="359">
        <v>-11.538461538740532544377818320</v>
      </c>
      <c r="R18" s="170">
        <v>13.918544849314412441468253340</v>
      </c>
      <c r="S18" s="360">
        <v>12.887934462072198377324238890</v>
      </c>
      <c r="T18" s="359">
        <v>0</v>
      </c>
      <c r="U18" s="170">
        <v>-3.6387936080381962944413291700</v>
      </c>
      <c r="V18" s="360">
        <v>178.91330012576810974434330967</v>
      </c>
      <c r="W18" s="170">
        <v>50.000000000600000000002400330</v>
      </c>
      <c r="X18" s="170">
        <v>-34.245324324017334071305159640</v>
      </c>
      <c r="Y18" s="360">
        <v>42.087907579997003015731960630</v>
      </c>
      <c r="Z18" s="359">
        <v>46.428571428184438775511226850</v>
      </c>
      <c r="AA18" s="170">
        <v>1.384083044914641826606527900</v>
      </c>
      <c r="AB18" s="360">
        <v>21.375000000073583593750044620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5.6" customHeight="1">
      <c r="A19" s="92"/>
      <c r="B19" s="344">
        <v>27</v>
      </c>
      <c r="C19" s="351" t="s">
        <v>48</v>
      </c>
      <c r="D19" s="327">
        <v>22.580645161290322580645161290</v>
      </c>
      <c r="E19" s="171">
        <v>33.475228693053165474141834980</v>
      </c>
      <c r="F19" s="328">
        <v>61.523585728437480459043801360</v>
      </c>
      <c r="G19" s="327">
        <v>0</v>
      </c>
      <c r="H19" s="171">
        <v>4.8818041844035866316456842700</v>
      </c>
      <c r="I19" s="328">
        <v>5.5752692949458448110739215900</v>
      </c>
      <c r="J19" s="171">
        <v>1.6129032258064516129032258100</v>
      </c>
      <c r="K19" s="171">
        <v>4.1844035866316456842677293700</v>
      </c>
      <c r="L19" s="328">
        <v>0.2934352260497813058459958700</v>
      </c>
      <c r="M19" s="327">
        <v>24.193548387096774193548387100</v>
      </c>
      <c r="N19" s="171">
        <v>42.541436464088397790055248620</v>
      </c>
      <c r="O19" s="328">
        <v>67.392290249433106575963718820</v>
      </c>
      <c r="P19" s="4"/>
      <c r="Q19" s="327">
        <v>19.999999999842285714285921570</v>
      </c>
      <c r="R19" s="171">
        <v>4.8941334626878423815078575300</v>
      </c>
      <c r="S19" s="328">
        <v>6.8494611790642421877094826700</v>
      </c>
      <c r="T19" s="327">
        <v>0</v>
      </c>
      <c r="U19" s="171">
        <v>190.64416147135235495192586799</v>
      </c>
      <c r="V19" s="328">
        <v>120.76559578213254363330603613</v>
      </c>
      <c r="W19" s="171">
        <v>0.0000000004000000000016002200</v>
      </c>
      <c r="X19" s="171">
        <v>-38.740106481447981391865742170</v>
      </c>
      <c r="Y19" s="328">
        <v>-3.1729843111943352068226316100</v>
      </c>
      <c r="Z19" s="327">
        <v>18.421052631472991689750787340</v>
      </c>
      <c r="AA19" s="171">
        <v>5.2391799544802694049947991900</v>
      </c>
      <c r="AB19" s="328">
        <v>11.561561561572868476584693950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5.6" customHeight="1">
      <c r="A20" s="92"/>
      <c r="B20" s="346">
        <v>28</v>
      </c>
      <c r="C20" s="352" t="s">
        <v>50</v>
      </c>
      <c r="D20" s="359">
        <v>33.333333333333333333333333330</v>
      </c>
      <c r="E20" s="170">
        <v>39.415848271127891141398819740</v>
      </c>
      <c r="F20" s="360">
        <v>65.574466708430021381661181550</v>
      </c>
      <c r="G20" s="359">
        <v>0</v>
      </c>
      <c r="H20" s="170">
        <v>11.736179541403248485922120480</v>
      </c>
      <c r="I20" s="360">
        <v>7.5186979244789139174909047100</v>
      </c>
      <c r="J20" s="170">
        <v>1.6129032258064516129032258100</v>
      </c>
      <c r="K20" s="170">
        <v>4.0965909719992471130105514900</v>
      </c>
      <c r="L20" s="360">
        <v>0.2855201743473005285123128400</v>
      </c>
      <c r="M20" s="359">
        <v>34.946236559139784946236559140</v>
      </c>
      <c r="N20" s="170">
        <v>55.248618784530386740331491710</v>
      </c>
      <c r="O20" s="360">
        <v>73.378684807256235827664399090</v>
      </c>
      <c r="P20" s="4"/>
      <c r="Q20" s="359">
        <v>16.981132075529085083659693500</v>
      </c>
      <c r="R20" s="170">
        <v>12.899799599240567691232480680</v>
      </c>
      <c r="S20" s="360">
        <v>4.8556772412487525624100371100</v>
      </c>
      <c r="T20" s="359">
        <v>-100</v>
      </c>
      <c r="U20" s="170">
        <v>156.12367592207821914523482719</v>
      </c>
      <c r="V20" s="360">
        <v>436.20971434648292420508387947</v>
      </c>
      <c r="W20" s="170">
        <v>50.000000000600000000002400330</v>
      </c>
      <c r="X20" s="170">
        <v>-37.418837675506578561923459430</v>
      </c>
      <c r="Y20" s="360">
        <v>52.717956617669187273599840650</v>
      </c>
      <c r="Z20" s="359">
        <v>14.035087719382271468144106240</v>
      </c>
      <c r="AA20" s="170">
        <v>19.999999999935680000000034470</v>
      </c>
      <c r="AB20" s="360">
        <v>14.427157001386103603288200040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15.6" customHeight="1">
      <c r="A21" s="92"/>
      <c r="B21" s="344">
        <v>29</v>
      </c>
      <c r="C21" s="351" t="s">
        <v>51</v>
      </c>
      <c r="D21" s="327">
        <v>27.419354838709677419354838710</v>
      </c>
      <c r="E21" s="171">
        <v>33.968330930294871958455080190</v>
      </c>
      <c r="F21" s="328">
        <v>60.334985729307495869010064590</v>
      </c>
      <c r="G21" s="327">
        <v>4.8387096774193548387096774200</v>
      </c>
      <c r="H21" s="171">
        <v>9.990685567733785870133847120</v>
      </c>
      <c r="I21" s="328">
        <v>2.17958897544296372597409100</v>
      </c>
      <c r="J21" s="171">
        <v>1.6129032258064516129032258100</v>
      </c>
      <c r="K21" s="171">
        <v>4.1072818445127786354994704800</v>
      </c>
      <c r="L21" s="328">
        <v>0.297216678469495053541921500</v>
      </c>
      <c r="M21" s="327">
        <v>33.870967741935483870967741940</v>
      </c>
      <c r="N21" s="171">
        <v>48.066298342541436464088397790</v>
      </c>
      <c r="O21" s="328">
        <v>62.811791383219954648526077100</v>
      </c>
      <c r="P21" s="4"/>
      <c r="Q21" s="327">
        <v>-19.047619047534240362811702540</v>
      </c>
      <c r="R21" s="171">
        <v>9.786131890089997388643484520</v>
      </c>
      <c r="S21" s="328">
        <v>8.556537152136705056389789570</v>
      </c>
      <c r="T21" s="327">
        <v>0.0000000004000000000016000100</v>
      </c>
      <c r="U21" s="171">
        <v>-14.899150101807691349776517930</v>
      </c>
      <c r="V21" s="328">
        <v>-65.046763578382814644508726700</v>
      </c>
      <c r="W21" s="171">
        <v>0.0000000004000000000016002200</v>
      </c>
      <c r="X21" s="171">
        <v>-37.608469491058775999387680530</v>
      </c>
      <c r="Y21" s="328">
        <v>9.626059678949047157819933080</v>
      </c>
      <c r="Z21" s="327">
        <v>-16.000000000080639999999922570</v>
      </c>
      <c r="AA21" s="171">
        <v>-2.4299065419776539435757951200</v>
      </c>
      <c r="AB21" s="328">
        <v>1.1687363037956917788813801500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15.6" customHeight="1">
      <c r="A22" s="92"/>
      <c r="B22" s="346">
        <v>30</v>
      </c>
      <c r="C22" s="352" t="s">
        <v>52</v>
      </c>
      <c r="D22" s="359">
        <v>41.935483870967741935483870970</v>
      </c>
      <c r="E22" s="170">
        <v>49.084639095454075458938008090</v>
      </c>
      <c r="F22" s="360">
        <v>62.978358228968328461476574860</v>
      </c>
      <c r="G22" s="359">
        <v>11.827956989247311827956989250</v>
      </c>
      <c r="H22" s="170">
        <v>17.790502379575057917431679790</v>
      </c>
      <c r="I22" s="360">
        <v>6.9055217356324921558636595200</v>
      </c>
      <c r="J22" s="170">
        <v>1.075268817204301075268817200</v>
      </c>
      <c r="K22" s="170">
        <v>3.7510095378622110066874023600</v>
      </c>
      <c r="L22" s="360">
        <v>0.1841472462835331241563642500</v>
      </c>
      <c r="M22" s="359">
        <v>54.838709677419354838709677420</v>
      </c>
      <c r="N22" s="170">
        <v>70.626151012891344383057090240</v>
      </c>
      <c r="O22" s="360">
        <v>70.068027210884353741496598640</v>
      </c>
      <c r="P22" s="4"/>
      <c r="Q22" s="359">
        <v>3.9999999999001600000000958500</v>
      </c>
      <c r="R22" s="170">
        <v>33.964574315905921589998459490</v>
      </c>
      <c r="S22" s="360">
        <v>6.8254871894124924566579973600</v>
      </c>
      <c r="T22" s="359">
        <v>144.44444444542222222222613339</v>
      </c>
      <c r="U22" s="170">
        <v>-1.1246778213934815277340954400</v>
      </c>
      <c r="V22" s="360">
        <v>10.272550215267968053375384890</v>
      </c>
      <c r="W22" s="170">
        <v>100.00000000080000000000319920</v>
      </c>
      <c r="X22" s="170">
        <v>-40.693291900401956078669914250</v>
      </c>
      <c r="Y22" s="360">
        <v>105.84209376146320117751469810</v>
      </c>
      <c r="Z22" s="359">
        <v>19.999999999954823529411781710</v>
      </c>
      <c r="AA22" s="170">
        <v>15.861027190329526017469720130</v>
      </c>
      <c r="AB22" s="360">
        <v>7.2916666666331380208333438100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ht="15.6" customHeight="1">
      <c r="A23" s="92"/>
      <c r="B23" s="344">
        <v>31</v>
      </c>
      <c r="C23" s="351" t="s">
        <v>53</v>
      </c>
      <c r="D23" s="327">
        <v>56.451612903225806451612903230</v>
      </c>
      <c r="E23" s="171">
        <v>52.337921777944251958672784600</v>
      </c>
      <c r="F23" s="328">
        <v>67.420316441183214858977298780</v>
      </c>
      <c r="G23" s="327">
        <v>11.827956989247311827956989250</v>
      </c>
      <c r="H23" s="171">
        <v>8.594437681430845584792583580</v>
      </c>
      <c r="I23" s="328">
        <v>7.0870595429182909118703661200</v>
      </c>
      <c r="J23" s="171">
        <v>1.075268817204301075268817200</v>
      </c>
      <c r="K23" s="171">
        <v>4.0768486437556575209913537500</v>
      </c>
      <c r="L23" s="328">
        <v>0.1865015669189023924176412100</v>
      </c>
      <c r="M23" s="327">
        <v>69.354838709677419354838709680</v>
      </c>
      <c r="N23" s="171">
        <v>65.009208103130755064456721920</v>
      </c>
      <c r="O23" s="328">
        <v>74.693877551020408163265306120</v>
      </c>
      <c r="P23" s="4"/>
      <c r="Q23" s="327">
        <v>19.318181818154700413223146670</v>
      </c>
      <c r="R23" s="171">
        <v>55.475447121774286787794094270</v>
      </c>
      <c r="S23" s="328">
        <v>14.885469669937981673171711600</v>
      </c>
      <c r="T23" s="327">
        <v>144.44444444542222222222613339</v>
      </c>
      <c r="U23" s="171">
        <v>30.206595505119106001366552770</v>
      </c>
      <c r="V23" s="328">
        <v>42.063329929047348871763658340</v>
      </c>
      <c r="W23" s="171">
        <v>-33.333333333066666666665600270</v>
      </c>
      <c r="X23" s="171">
        <v>-25.882399481252276326710054760</v>
      </c>
      <c r="Y23" s="328">
        <v>-31.460674147879213481850247180</v>
      </c>
      <c r="Z23" s="327">
        <v>29.000000000036120000000010120</v>
      </c>
      <c r="AA23" s="171">
        <v>42.052313883152887546607765430</v>
      </c>
      <c r="AB23" s="328">
        <v>16.808510638284203259393392270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row>
    <row r="24" ht="15.6" customHeight="1">
      <c r="A24" s="92" t="s">
        <v>145</v>
      </c>
      <c r="B24" s="666">
        <v>1</v>
      </c>
      <c r="C24" s="667" t="s">
        <v>49</v>
      </c>
      <c r="D24" s="668">
        <v>17.741935483870967741935483870</v>
      </c>
      <c r="E24" s="669">
        <v>25.328554360812425328554360810</v>
      </c>
      <c r="F24" s="670">
        <v>52.878110148168856583729382160</v>
      </c>
      <c r="G24" s="668">
        <v>3.7634408602150537634408602200</v>
      </c>
      <c r="H24" s="669">
        <v>3.2258064516129032258064516100</v>
      </c>
      <c r="I24" s="670">
        <v>3.7004938961886124312738794100</v>
      </c>
      <c r="J24" s="669">
        <v>1.6129032258064516129032258100</v>
      </c>
      <c r="K24" s="669">
        <v>4.7789725209080047789725209100</v>
      </c>
      <c r="L24" s="670">
        <v>0.2921442549622588761532010100</v>
      </c>
      <c r="M24" s="668">
        <v>23.118279569892473118279569890</v>
      </c>
      <c r="N24" s="669">
        <v>33.333333333333333333333333330</v>
      </c>
      <c r="O24" s="670">
        <v>56.870748299319727891156462590</v>
      </c>
      <c r="P24" s="4"/>
      <c r="Q24" s="668">
        <v>-17.500000000053624999999965150</v>
      </c>
      <c r="R24" s="669">
        <v>19.164596098834593107270276300</v>
      </c>
      <c r="S24" s="670">
        <v>29.791065183788628556644517710</v>
      </c>
      <c r="T24" s="668">
        <v>0</v>
      </c>
      <c r="U24" s="669">
        <v>18.377660086638382047033973540</v>
      </c>
      <c r="V24" s="670">
        <v>220.93211205869776464760480925</v>
      </c>
      <c r="W24" s="669">
        <v>50.000000000600000000002400330</v>
      </c>
      <c r="X24" s="669">
        <v>-30.407019349459478036852358680</v>
      </c>
      <c r="Y24" s="670">
        <v>52.020474133067362201497016960</v>
      </c>
      <c r="Z24" s="668">
        <v>2.3809523809085034013605630100</v>
      </c>
      <c r="AA24" s="669">
        <v>8.059701492640534640231776020</v>
      </c>
      <c r="AB24" s="670">
        <v>35.129310344678332388897311120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5.6" customHeight="1">
      <c r="A25" s="92"/>
      <c r="B25" s="344">
        <v>2</v>
      </c>
      <c r="C25" s="351" t="s">
        <v>47</v>
      </c>
      <c r="D25" s="327">
        <v>19.354838709677419354838709680</v>
      </c>
      <c r="E25" s="171">
        <v>38.288774581401748481192184760</v>
      </c>
      <c r="F25" s="328">
        <v>68.366217284807807286543617040</v>
      </c>
      <c r="G25" s="327">
        <v>3.2258064516129032258064516100</v>
      </c>
      <c r="H25" s="171">
        <v>6.0811583158696894646599352300</v>
      </c>
      <c r="I25" s="328">
        <v>6.372350479276360199810989600</v>
      </c>
      <c r="J25" s="171">
        <v>1.075268817204301075268817200</v>
      </c>
      <c r="K25" s="171">
        <v>4.6171757583455049639084693400</v>
      </c>
      <c r="L25" s="328">
        <v>0.1820671565507531485660282700</v>
      </c>
      <c r="M25" s="327">
        <v>23.655913978494623655913978490</v>
      </c>
      <c r="N25" s="171">
        <v>48.987108655616942909760589320</v>
      </c>
      <c r="O25" s="328">
        <v>74.920634920634920634920634920</v>
      </c>
      <c r="P25" s="4"/>
      <c r="Q25" s="327">
        <v>-39.999999999945999999999951390</v>
      </c>
      <c r="R25" s="171">
        <v>5.1213866007559722679601418600</v>
      </c>
      <c r="S25" s="328">
        <v>7.3101780334972901321188207900</v>
      </c>
      <c r="T25" s="327">
        <v>0</v>
      </c>
      <c r="U25" s="171">
        <v>-5.0069417221807809553767223400</v>
      </c>
      <c r="V25" s="328">
        <v>81.83632544051079102520716077</v>
      </c>
      <c r="W25" s="171">
        <v>-33.333333333066666666665600270</v>
      </c>
      <c r="X25" s="171">
        <v>-30.279786240175562234319760870</v>
      </c>
      <c r="Y25" s="328">
        <v>-32.460793400101297272799634430</v>
      </c>
      <c r="Z25" s="327">
        <v>-30.158730158656991685563037500</v>
      </c>
      <c r="AA25" s="171">
        <v>-0.9310986965525919915107935300</v>
      </c>
      <c r="AB25" s="328">
        <v>11.021505376309391801075279660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5.6" customHeight="1">
      <c r="A26" s="93"/>
      <c r="B26" s="346">
        <v>3</v>
      </c>
      <c r="C26" s="352" t="s">
        <v>48</v>
      </c>
      <c r="D26" s="359">
        <v>24.193548387096774193548387100</v>
      </c>
      <c r="E26" s="170">
        <v>53.357416064598385040373990650</v>
      </c>
      <c r="F26" s="360">
        <v>71.826194909993792675356921170</v>
      </c>
      <c r="G26" s="359">
        <v>2.6881720430107526881720430100</v>
      </c>
      <c r="H26" s="170">
        <v>5.2698682532936676583085422900</v>
      </c>
      <c r="I26" s="360">
        <v>9.171233484082646093819278180</v>
      </c>
      <c r="J26" s="170">
        <v>1.6129032258064516129032258100</v>
      </c>
      <c r="K26" s="170">
        <v>4.1719790338574868961609293100</v>
      </c>
      <c r="L26" s="360">
        <v>0.2724128757648310720936419300</v>
      </c>
      <c r="M26" s="359">
        <v>28.494623655913978494623655910</v>
      </c>
      <c r="N26" s="170">
        <v>62.799263351749539594843462250</v>
      </c>
      <c r="O26" s="360">
        <v>81.26984126984126984126984127</v>
      </c>
      <c r="P26" s="4"/>
      <c r="Q26" s="359">
        <v>-44.444444444477366255144013410</v>
      </c>
      <c r="R26" s="170">
        <v>13.917733642603421501845241730</v>
      </c>
      <c r="S26" s="360">
        <v>0.6889024097900643515980561500</v>
      </c>
      <c r="T26" s="359">
        <v>0</v>
      </c>
      <c r="U26" s="170">
        <v>-36.584516401393458492617901290</v>
      </c>
      <c r="V26" s="360">
        <v>96.00267032169451604944090895</v>
      </c>
      <c r="W26" s="170">
        <v>50.000000000600000000002400330</v>
      </c>
      <c r="X26" s="170">
        <v>-17.751017281812632961625856740</v>
      </c>
      <c r="Y26" s="360">
        <v>54.279329571733122914000255870</v>
      </c>
      <c r="Z26" s="359">
        <v>-36.144578313283785745391188550</v>
      </c>
      <c r="AA26" s="170">
        <v>4.2813455658152484358780543100</v>
      </c>
      <c r="AB26" s="360">
        <v>6.6666666666333333333333437500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5.6" customHeight="1">
      <c r="A27" s="93"/>
      <c r="B27" s="344">
        <v>4</v>
      </c>
      <c r="C27" s="351" t="s">
        <v>50</v>
      </c>
      <c r="D27" s="327">
        <v>22.580645161290322580645161290</v>
      </c>
      <c r="E27" s="171">
        <v>59.462435376866582351505469400</v>
      </c>
      <c r="F27" s="328">
        <v>72.889783716177053781153717090</v>
      </c>
      <c r="G27" s="327">
        <v>1.6129032258064516129032258100</v>
      </c>
      <c r="H27" s="171">
        <v>10.720922363487097561516785370</v>
      </c>
      <c r="I27" s="328">
        <v>10.279328472794199892213985740</v>
      </c>
      <c r="J27" s="171">
        <v>1.075268817204301075268817200</v>
      </c>
      <c r="K27" s="171">
        <v>3.2052242117641838070514100600</v>
      </c>
      <c r="L27" s="328">
        <v>0.1868968813235309071311633800</v>
      </c>
      <c r="M27" s="327">
        <v>25.268817204301075268817204300</v>
      </c>
      <c r="N27" s="171">
        <v>73.388581952117863720073664830</v>
      </c>
      <c r="O27" s="328">
        <v>83.35600907029478458049886621</v>
      </c>
      <c r="P27" s="4"/>
      <c r="Q27" s="327"/>
      <c r="R27" s="171">
        <v>29.800301742944584982434463970</v>
      </c>
      <c r="S27" s="328">
        <v>12.610078103372629358473299230</v>
      </c>
      <c r="T27" s="327"/>
      <c r="U27" s="171">
        <v>-14.390281714911867723922980540</v>
      </c>
      <c r="V27" s="328">
        <v>24.022332660711293229474257640</v>
      </c>
      <c r="W27" s="171"/>
      <c r="X27" s="171">
        <v>-25.135625221119104038214736320</v>
      </c>
      <c r="Y27" s="328">
        <v>0</v>
      </c>
      <c r="Z27" s="327">
        <v>-22.950819672057887664606218980</v>
      </c>
      <c r="AA27" s="171">
        <v>17.205882353005639705882388400</v>
      </c>
      <c r="AB27" s="328">
        <v>14.161490683187623548474225690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5.6" customHeight="1">
      <c r="A28" s="92"/>
      <c r="B28" s="346">
        <v>5</v>
      </c>
      <c r="C28" s="352" t="s">
        <v>51</v>
      </c>
      <c r="D28" s="359">
        <v>32.795698924731182795698924730</v>
      </c>
      <c r="E28" s="170">
        <v>51.088887708362846484393445720</v>
      </c>
      <c r="F28" s="360">
        <v>71.192083248557333640001297440</v>
      </c>
      <c r="G28" s="359">
        <v>8.602150537634408602150537630</v>
      </c>
      <c r="H28" s="170">
        <v>13.076982103225197147849081550</v>
      </c>
      <c r="I28" s="360">
        <v>12.173302784486139492641443230</v>
      </c>
      <c r="J28" s="170">
        <v>1.075268817204301075268817200</v>
      </c>
      <c r="K28" s="170">
        <v>4.9869847003824904377390565200</v>
      </c>
      <c r="L28" s="360">
        <v>0.2173804068658239195114543400</v>
      </c>
      <c r="M28" s="359">
        <v>42.473118279569892473118279570</v>
      </c>
      <c r="N28" s="170">
        <v>69.152854511970534069981583790</v>
      </c>
      <c r="O28" s="360">
        <v>83.58276643990929705215419501</v>
      </c>
      <c r="P28" s="4"/>
      <c r="Q28" s="359">
        <v>5.172413793186860879904941300</v>
      </c>
      <c r="R28" s="170">
        <v>34.880935984885992723530790340</v>
      </c>
      <c r="S28" s="360">
        <v>26.297135601676236242549050810</v>
      </c>
      <c r="T28" s="359">
        <v>-46.666666666783999999999741890</v>
      </c>
      <c r="U28" s="170">
        <v>-23.103769289903065894232335730</v>
      </c>
      <c r="V28" s="360">
        <v>-7.7677406674952125178341571900</v>
      </c>
      <c r="W28" s="170">
        <v>0.000000000400000000001599600</v>
      </c>
      <c r="X28" s="170">
        <v>12.900609918933935943126810350</v>
      </c>
      <c r="Y28" s="360">
        <v>18.584333421216891992491700080</v>
      </c>
      <c r="Z28" s="359">
        <v>-12.222222222233925925925924370</v>
      </c>
      <c r="AA28" s="170">
        <v>16.614906832224618552525026090</v>
      </c>
      <c r="AB28" s="360">
        <v>19.830949284826729780962911680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5.6" customHeight="1">
      <c r="A29" s="92"/>
      <c r="B29" s="344">
        <v>6</v>
      </c>
      <c r="C29" s="351" t="s">
        <v>52</v>
      </c>
      <c r="D29" s="327">
        <v>60.215053763440860215053763440</v>
      </c>
      <c r="E29" s="171">
        <v>59.745445301703972329717699300</v>
      </c>
      <c r="F29" s="328">
        <v>72.617858332144046429760715470</v>
      </c>
      <c r="G29" s="327">
        <v>18.817204301075268817204301080</v>
      </c>
      <c r="H29" s="171">
        <v>11.657647863747116552140038890</v>
      </c>
      <c r="I29" s="328">
        <v>14.830407687550544693401836260</v>
      </c>
      <c r="J29" s="171">
        <v>1.6129032258064516129032258100</v>
      </c>
      <c r="K29" s="171">
        <v>4.9320817885083954643669395300</v>
      </c>
      <c r="L29" s="328">
        <v>0.3068360211217354074496931600</v>
      </c>
      <c r="M29" s="327">
        <v>80.64516129032258064516129032</v>
      </c>
      <c r="N29" s="171">
        <v>76.335174953959484346224677720</v>
      </c>
      <c r="O29" s="328">
        <v>87.75510204081632653061224490</v>
      </c>
      <c r="P29" s="4"/>
      <c r="Q29" s="327">
        <v>62.318840579921865154379608230</v>
      </c>
      <c r="R29" s="171">
        <v>20.590711198623273351325559710</v>
      </c>
      <c r="S29" s="328">
        <v>11.535526401236167326750078060</v>
      </c>
      <c r="T29" s="327">
        <v>-7.8947368421876731301938320600</v>
      </c>
      <c r="U29" s="171">
        <v>-38.902488893822505599987615130</v>
      </c>
      <c r="V29" s="328">
        <v>11.849710983011826760114991950</v>
      </c>
      <c r="W29" s="171">
        <v>200.00000000120000000000480066</v>
      </c>
      <c r="X29" s="171">
        <v>19.721438767883577456003018030</v>
      </c>
      <c r="Y29" s="328">
        <v>235.54913289589111898967479270</v>
      </c>
      <c r="Z29" s="327">
        <v>38.888888888966049382716092250</v>
      </c>
      <c r="AA29" s="171">
        <v>4.9367088607090177856113045300</v>
      </c>
      <c r="AB29" s="328">
        <v>11.849710982689346453272753760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15.6" customHeight="1">
      <c r="A30" s="92"/>
      <c r="B30" s="346">
        <v>7</v>
      </c>
      <c r="C30" s="352" t="s">
        <v>53</v>
      </c>
      <c r="D30" s="359">
        <v>53.225806451612903225806451610</v>
      </c>
      <c r="E30" s="170">
        <v>51.119211710428888762317024550</v>
      </c>
      <c r="F30" s="360">
        <v>71.290271884331290271884331290</v>
      </c>
      <c r="G30" s="359">
        <v>17.741935483870967741935483870</v>
      </c>
      <c r="H30" s="170">
        <v>10.905431831558162935960965240</v>
      </c>
      <c r="I30" s="360">
        <v>11.927587316554784730173697640</v>
      </c>
      <c r="J30" s="170">
        <v>1.075268817204301075268817200</v>
      </c>
      <c r="K30" s="170">
        <v>4.0895369368343111009853619600</v>
      </c>
      <c r="L30" s="360">
        <v>0.1835013433316120727719030400</v>
      </c>
      <c r="M30" s="359">
        <v>72.043010752688172043010752690</v>
      </c>
      <c r="N30" s="170">
        <v>66.114180478821362799263351750</v>
      </c>
      <c r="O30" s="360">
        <v>83.40136054421768707482993197</v>
      </c>
      <c r="P30" s="4"/>
      <c r="Q30" s="359">
        <v>39.436619718137036302321182260</v>
      </c>
      <c r="R30" s="170">
        <v>-0.2944177554443619947526776500</v>
      </c>
      <c r="S30" s="360">
        <v>9.425384950976323516433699220</v>
      </c>
      <c r="T30" s="359">
        <v>-10.810810810902410518626640770</v>
      </c>
      <c r="U30" s="170">
        <v>-27.438850028149697480717845960</v>
      </c>
      <c r="V30" s="360">
        <v>-10.968045071838812652874766020</v>
      </c>
      <c r="W30" s="170">
        <v>0.000000000400000000001599600</v>
      </c>
      <c r="X30" s="170">
        <v>0.9650211786789431829927615400</v>
      </c>
      <c r="Y30" s="360">
        <v>-0.0102659925620264149839191900</v>
      </c>
      <c r="Z30" s="359">
        <v>21.818181818257123966942195320</v>
      </c>
      <c r="AA30" s="170">
        <v>-6.0209424084187864915983476600</v>
      </c>
      <c r="AB30" s="360">
        <v>5.9331797234467746580942761700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5.6" customHeight="1">
      <c r="A31" s="92"/>
      <c r="B31" s="344">
        <v>8</v>
      </c>
      <c r="C31" s="351" t="s">
        <v>49</v>
      </c>
      <c r="D31" s="327">
        <v>24.731182795698924731182795700</v>
      </c>
      <c r="E31" s="171">
        <v>29.750738789669793138892457920</v>
      </c>
      <c r="F31" s="328">
        <v>47.615350488021295474711623780</v>
      </c>
      <c r="G31" s="327">
        <v>0.537634408602150537634408600</v>
      </c>
      <c r="H31" s="171">
        <v>3.6061501563236112895627221700</v>
      </c>
      <c r="I31" s="328">
        <v>7.2870452528837622005323868700</v>
      </c>
      <c r="J31" s="171">
        <v>1.075268817204301075268817200</v>
      </c>
      <c r="K31" s="171">
        <v>5.4092252344854169343440832600</v>
      </c>
      <c r="L31" s="328">
        <v>0.1996450754214729370008873100</v>
      </c>
      <c r="M31" s="327">
        <v>26.344086021505376344086021510</v>
      </c>
      <c r="N31" s="171">
        <v>38.766114180478821362799263350</v>
      </c>
      <c r="O31" s="328">
        <v>55.102040816326530612244897960</v>
      </c>
      <c r="P31" s="4"/>
      <c r="Q31" s="327"/>
      <c r="R31" s="171">
        <v>41.157146082826424357774587520</v>
      </c>
      <c r="S31" s="328">
        <v>16.106594349576449436034073150</v>
      </c>
      <c r="T31" s="327"/>
      <c r="U31" s="171">
        <v>-48.166894665062514605293990030</v>
      </c>
      <c r="V31" s="328">
        <v>31.997793396569551560537508540</v>
      </c>
      <c r="W31" s="171"/>
      <c r="X31" s="171">
        <v>28.950652298572426877703253840</v>
      </c>
      <c r="Y31" s="328">
        <v>0</v>
      </c>
      <c r="Z31" s="327">
        <v>63.333333332974000000000790560</v>
      </c>
      <c r="AA31" s="171">
        <v>20.285714285873750204081844050</v>
      </c>
      <c r="AB31" s="328">
        <v>18.421052631573753462603878350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5.6" customHeight="1">
      <c r="A32" s="92"/>
      <c r="B32" s="346">
        <v>9</v>
      </c>
      <c r="C32" s="352" t="s">
        <v>47</v>
      </c>
      <c r="D32" s="359">
        <v>23.118279569892473118279569890</v>
      </c>
      <c r="E32" s="170">
        <v>41.111968005529076113295489510</v>
      </c>
      <c r="F32" s="360">
        <v>59.504880931716550532728279650</v>
      </c>
      <c r="G32" s="359">
        <v>0</v>
      </c>
      <c r="H32" s="170">
        <v>3.5599748831603389930507267500</v>
      </c>
      <c r="I32" s="360">
        <v>16.405551284912506922574619160</v>
      </c>
      <c r="J32" s="170">
        <v>2.1505376344086021505376344100</v>
      </c>
      <c r="K32" s="170">
        <v>5.5122191739256861827882220600</v>
      </c>
      <c r="L32" s="360">
        <v>0.3707469216929380095497089100</v>
      </c>
      <c r="M32" s="359">
        <v>25.268817204301075268817204300</v>
      </c>
      <c r="N32" s="170">
        <v>50.184162062615101289134438310</v>
      </c>
      <c r="O32" s="360">
        <v>76.281179138321995464852607710</v>
      </c>
      <c r="P32" s="4"/>
      <c r="Q32" s="359">
        <v>16.216216216096859021183468080</v>
      </c>
      <c r="R32" s="170">
        <v>17.105803858910903715764458080</v>
      </c>
      <c r="S32" s="360">
        <v>-1.2138931275707329578735584600</v>
      </c>
      <c r="T32" s="359">
        <v>0</v>
      </c>
      <c r="U32" s="170">
        <v>-20.904515718451705465206984260</v>
      </c>
      <c r="V32" s="360">
        <v>131.30928815304023355857567474</v>
      </c>
      <c r="W32" s="170">
        <v>100.00000000080000000000320013</v>
      </c>
      <c r="X32" s="170">
        <v>7.1616238668115682119967301200</v>
      </c>
      <c r="Y32" s="360">
        <v>85.57016336393314026420310765</v>
      </c>
      <c r="Z32" s="359">
        <v>20.512820512727810650887645270</v>
      </c>
      <c r="AA32" s="170">
        <v>12.139917695397106640247981400</v>
      </c>
      <c r="AB32" s="360">
        <v>12.961719274684028521672926370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5.6" customHeight="1">
      <c r="A33" s="92"/>
      <c r="B33" s="344">
        <v>10</v>
      </c>
      <c r="C33" s="351" t="s">
        <v>48</v>
      </c>
      <c r="D33" s="327"/>
      <c r="E33" s="171">
        <v>52.287753222836095764272559850</v>
      </c>
      <c r="F33" s="328">
        <v>71.777957492243206528920814630</v>
      </c>
      <c r="G33" s="327"/>
      <c r="H33" s="171">
        <v>4.8098526703499079189686924500</v>
      </c>
      <c r="I33" s="328">
        <v>18.788935931793074650217507360</v>
      </c>
      <c r="J33" s="171"/>
      <c r="K33" s="171">
        <v>4.9650092081031307550644567200</v>
      </c>
      <c r="L33" s="328">
        <v>0</v>
      </c>
      <c r="M33" s="327"/>
      <c r="N33" s="171">
        <v>62.062615101289134438305709020</v>
      </c>
      <c r="O33" s="328">
        <v>90.56689342403628117913832200</v>
      </c>
      <c r="P33" s="4"/>
      <c r="Q33" s="327"/>
      <c r="R33" s="171">
        <v>6.8120882413546775295856965700</v>
      </c>
      <c r="S33" s="328">
        <v>2.5303093028158793564245052700</v>
      </c>
      <c r="T33" s="327"/>
      <c r="U33" s="171">
        <v>51.653597094760952215886597240</v>
      </c>
      <c r="V33" s="328">
        <v>187.02622943325793307640424154</v>
      </c>
      <c r="W33" s="171"/>
      <c r="X33" s="171">
        <v>20.018330604782702175987693930</v>
      </c>
      <c r="Y33" s="328">
        <v>-100</v>
      </c>
      <c r="Z33" s="327"/>
      <c r="AA33" s="171">
        <v>10.310965630140925369855974750</v>
      </c>
      <c r="AB33" s="328">
        <v>17.886658795744833491076917280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15.6" customHeight="1">
      <c r="A34" s="92"/>
      <c r="B34" s="346">
        <v>11</v>
      </c>
      <c r="C34" s="352" t="s">
        <v>50</v>
      </c>
      <c r="D34" s="359">
        <v>26.881720430107526881720430110</v>
      </c>
      <c r="E34" s="170">
        <v>48.948599219252233702589138470</v>
      </c>
      <c r="F34" s="360">
        <v>72.407336766482293852120287370</v>
      </c>
      <c r="G34" s="359">
        <v>0</v>
      </c>
      <c r="H34" s="170">
        <v>12.012614946009149096736325270</v>
      </c>
      <c r="I34" s="360">
        <v>8.979273952571682878758980230</v>
      </c>
      <c r="J34" s="170">
        <v>2.1505376344086021505376344100</v>
      </c>
      <c r="K34" s="170">
        <v>5.6133714700977332227739837700</v>
      </c>
      <c r="L34" s="360">
        <v>0.3820967639392205480322970300</v>
      </c>
      <c r="M34" s="359">
        <v>29.032258064516129032258064520</v>
      </c>
      <c r="N34" s="170">
        <v>66.574585635359116022099447510</v>
      </c>
      <c r="O34" s="360">
        <v>81.76870748299319727891156463</v>
      </c>
      <c r="P34" s="4"/>
      <c r="Q34" s="359">
        <v>28.205128205029585798816643920</v>
      </c>
      <c r="R34" s="170">
        <v>-6.88209357968583711443999700</v>
      </c>
      <c r="S34" s="360">
        <v>2.0028417322951047308998160100</v>
      </c>
      <c r="T34" s="359">
        <v>0</v>
      </c>
      <c r="U34" s="170">
        <v>-5.4063379185393722870085333800</v>
      </c>
      <c r="V34" s="360">
        <v>128.27806612569900259149867090</v>
      </c>
      <c r="W34" s="170">
        <v>100.00000000080000000000320013</v>
      </c>
      <c r="X34" s="170">
        <v>34.818069789900007873552761620</v>
      </c>
      <c r="Y34" s="360">
        <v>108.85014558843426615195991282</v>
      </c>
      <c r="Z34" s="359">
        <v>31.707317073100059488399799990</v>
      </c>
      <c r="AA34" s="170">
        <v>-4.111405835553177395183248100</v>
      </c>
      <c r="AB34" s="360">
        <v>8.876811594241360467863907730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5.6" customHeight="1">
      <c r="A35" s="92"/>
      <c r="B35" s="344">
        <v>12</v>
      </c>
      <c r="C35" s="351" t="s">
        <v>51</v>
      </c>
      <c r="D35" s="327">
        <v>20.430107526881720430107526880</v>
      </c>
      <c r="E35" s="171">
        <v>40.338995769587933476535752140</v>
      </c>
      <c r="F35" s="328">
        <v>58.497776371530524354444620230</v>
      </c>
      <c r="G35" s="327">
        <v>15.591397849462365591397849460</v>
      </c>
      <c r="H35" s="171">
        <v>19.287771201305705897250701160</v>
      </c>
      <c r="I35" s="328">
        <v>14.862627221431208142171597320</v>
      </c>
      <c r="J35" s="171">
        <v>2.1505376344086021505376344100</v>
      </c>
      <c r="K35" s="171">
        <v>5.2903601009295650461030494600</v>
      </c>
      <c r="L35" s="328">
        <v>0.3810930056777232856967076200</v>
      </c>
      <c r="M35" s="327">
        <v>38.172043010752688172043010750</v>
      </c>
      <c r="N35" s="171">
        <v>64.917127071823204419889502760</v>
      </c>
      <c r="O35" s="328">
        <v>73.741496598639455782312925170</v>
      </c>
      <c r="P35" s="4"/>
      <c r="Q35" s="327">
        <v>-36.666666666609666666666615370</v>
      </c>
      <c r="R35" s="171">
        <v>-2.6070747042608826718379311200</v>
      </c>
      <c r="S35" s="328">
        <v>-6.7660062313204145069399461300</v>
      </c>
      <c r="T35" s="327">
        <v>0</v>
      </c>
      <c r="U35" s="171">
        <v>3.6332218609991678236726909600</v>
      </c>
      <c r="V35" s="328">
        <v>104.27154301135260478128815609</v>
      </c>
      <c r="W35" s="171">
        <v>300.00000000160000000000640026</v>
      </c>
      <c r="X35" s="171">
        <v>17.084391065020712545399084080</v>
      </c>
      <c r="Y35" s="328">
        <v>303.30535416724829868843170042</v>
      </c>
      <c r="Z35" s="327">
        <v>16.393442623061488847084222390</v>
      </c>
      <c r="AA35" s="171">
        <v>0.5706134094042177366346437600</v>
      </c>
      <c r="AB35" s="328">
        <v>5.174644243219164258136426300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5.6" customHeight="1">
      <c r="A36" s="92"/>
      <c r="B36" s="346">
        <v>13</v>
      </c>
      <c r="C36" s="352" t="s">
        <v>52</v>
      </c>
      <c r="D36" s="359">
        <v>35.483870967741935483870967740</v>
      </c>
      <c r="E36" s="170">
        <v>37.750483235164299955861984990</v>
      </c>
      <c r="F36" s="360">
        <v>61.130458299527762175206474030</v>
      </c>
      <c r="G36" s="359">
        <v>0</v>
      </c>
      <c r="H36" s="170">
        <v>24.756251617125549822686939710</v>
      </c>
      <c r="I36" s="360">
        <v>11.105999411560167972824778670</v>
      </c>
      <c r="J36" s="170">
        <v>1.075268817204301075268817200</v>
      </c>
      <c r="K36" s="170">
        <v>5.2649041900674246229243717900</v>
      </c>
      <c r="L36" s="360">
        <v>0.1898461437873532986807654500</v>
      </c>
      <c r="M36" s="359">
        <v>36.559139784946236559139784950</v>
      </c>
      <c r="N36" s="170">
        <v>67.771639042357274401473296500</v>
      </c>
      <c r="O36" s="360">
        <v>72.426303854875283446712018140</v>
      </c>
      <c r="P36" s="4"/>
      <c r="Q36" s="359">
        <v>-25.842696629226814796111599680</v>
      </c>
      <c r="R36" s="170">
        <v>-23.989928051990623946291875160</v>
      </c>
      <c r="S36" s="360">
        <v>-4.8451092337760729194687784800</v>
      </c>
      <c r="T36" s="359">
        <v>0</v>
      </c>
      <c r="U36" s="170">
        <v>85.02971674459173483849719463</v>
      </c>
      <c r="V36" s="360">
        <v>38.100948501940317805338865690</v>
      </c>
      <c r="W36" s="170">
        <v>-33.333333333066666666665600270</v>
      </c>
      <c r="X36" s="170">
        <v>26.122471965751228954116245830</v>
      </c>
      <c r="Y36" s="360">
        <v>-31.539700747735619897098611110</v>
      </c>
      <c r="Z36" s="359">
        <v>-26.086956521742344045368619890</v>
      </c>
      <c r="AA36" s="170">
        <v>0.8219178082371326702946175700</v>
      </c>
      <c r="AB36" s="360">
        <v>-0.1874999999394886718749633200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5.6" customHeight="1">
      <c r="A37" s="92"/>
      <c r="B37" s="348">
        <v>14</v>
      </c>
      <c r="C37" s="353" t="s">
        <v>53</v>
      </c>
      <c r="D37" s="329">
        <v>15.053763440860215053763440860</v>
      </c>
      <c r="E37" s="330">
        <v>38.570142765494987408677001440</v>
      </c>
      <c r="F37" s="332">
        <v>63.690515503473696459628696600</v>
      </c>
      <c r="G37" s="329">
        <v>0</v>
      </c>
      <c r="H37" s="330">
        <v>19.663210037311170051482392890</v>
      </c>
      <c r="I37" s="332">
        <v>6.9892219486037595805774922100</v>
      </c>
      <c r="J37" s="330">
        <v>1.6129032258064516129032258100</v>
      </c>
      <c r="K37" s="330">
        <v>4.1055053924056289118479721400</v>
      </c>
      <c r="L37" s="332">
        <v>0.2953192372649475879117250200</v>
      </c>
      <c r="M37" s="329">
        <v>16.666666666666666666666666670</v>
      </c>
      <c r="N37" s="330">
        <v>62.338858195211786372007366480</v>
      </c>
      <c r="O37" s="332">
        <v>70.975056689342403628117913830</v>
      </c>
      <c r="P37" s="4"/>
      <c r="Q37" s="329">
        <v>-62.162162162201022644265847600</v>
      </c>
      <c r="R37" s="330">
        <v>-11.317065137031902121131373080</v>
      </c>
      <c r="S37" s="332">
        <v>3.7487339565421804446274076900</v>
      </c>
      <c r="T37" s="329">
        <v>0</v>
      </c>
      <c r="U37" s="330">
        <v>82.13537210576714814753644481</v>
      </c>
      <c r="V37" s="332">
        <v>63.790197773304370814194466270</v>
      </c>
      <c r="W37" s="330">
        <v>50.000000000600000000002400330</v>
      </c>
      <c r="X37" s="330">
        <v>5.0780992921217144812084897800</v>
      </c>
      <c r="Y37" s="332">
        <v>52.255676778376914602087316780</v>
      </c>
      <c r="Z37" s="329">
        <v>-59.210526315825969529085839910</v>
      </c>
      <c r="AA37" s="330">
        <v>7.1202531645054358275917568700</v>
      </c>
      <c r="AB37" s="332">
        <v>7.7823691459309082086834293600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1" customHeight="1">
      <c r="B38" s="54"/>
      <c r="C38"/>
      <c r="D38" s="88"/>
      <c r="E38" s="88"/>
      <c r="F38" s="88"/>
      <c r="G38" s="88"/>
      <c r="H38" s="88"/>
      <c r="I38" s="88"/>
      <c r="J38" s="88"/>
      <c r="K38" s="88"/>
      <c r="L38" s="88"/>
      <c r="M38" s="88"/>
      <c r="N38" s="88"/>
      <c r="O38" s="88"/>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15.6" customHeight="1">
      <c r="A39" s="54"/>
      <c r="B39" s="53"/>
      <c r="C39" s="53" t="s">
        <v>14</v>
      </c>
      <c r="D39" s="354">
        <v>23.790322580645161290322580650</v>
      </c>
      <c r="E39" s="355">
        <v>27.810727827304797138630375680</v>
      </c>
      <c r="F39" s="356">
        <v>48.467529826503267274432595390</v>
      </c>
      <c r="G39" s="354">
        <v>1.075268817204301075268817200</v>
      </c>
      <c r="H39" s="355">
        <v>5.1984636821920708412902184900</v>
      </c>
      <c r="I39" s="356">
        <v>4.6239761598346429809022663100</v>
      </c>
      <c r="J39" s="355">
        <v>1.3440860215053763440860215100</v>
      </c>
      <c r="K39" s="355">
        <v>4.744031326598896292639258500</v>
      </c>
      <c r="L39" s="356">
        <v>0.2531652154761487015812380700</v>
      </c>
      <c r="M39" s="354">
        <v>26.209677419354838709677419350</v>
      </c>
      <c r="N39" s="355">
        <v>37.753222836095764272559852670</v>
      </c>
      <c r="O39" s="356">
        <v>53.344671201814058956916099770</v>
      </c>
      <c r="P39" s="4"/>
      <c r="Q39" s="354">
        <v>7.926829268234770969660947220</v>
      </c>
      <c r="R39" s="355">
        <v>30.595674728051657715694466210</v>
      </c>
      <c r="S39" s="356">
        <v>15.957307707238911174691583280</v>
      </c>
      <c r="T39" s="354">
        <v>-77.777777777688888888888533420</v>
      </c>
      <c r="U39" s="355">
        <v>52.076506969366190088614996190</v>
      </c>
      <c r="V39" s="356">
        <v>7.9034266454528225100969258400</v>
      </c>
      <c r="W39" s="355">
        <v>7.1428571461326530613246271900</v>
      </c>
      <c r="X39" s="355">
        <v>-20.259964317174832623166872190</v>
      </c>
      <c r="Y39" s="356">
        <v>44.273673622165436439275259610</v>
      </c>
      <c r="Z39" s="354">
        <v>4.2780748661049500986592159100</v>
      </c>
      <c r="AA39" s="355">
        <v>23.123123123180802424045694310</v>
      </c>
      <c r="AB39" s="356">
        <v>15.318627450882032151095816300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15.6" customHeight="1">
      <c r="A40" s="54"/>
      <c r="C40" s="53" t="s">
        <v>15</v>
      </c>
      <c r="D40" s="327">
        <v>20.161290322580645161290322580</v>
      </c>
      <c r="E40" s="171">
        <v>34.712452485104764870423243300</v>
      </c>
      <c r="F40" s="328">
        <v>58.210838840378646486884749110</v>
      </c>
      <c r="G40" s="327">
        <v>2.8225806451612903225806451600</v>
      </c>
      <c r="H40" s="171">
        <v>7.1439419206573670910306517100</v>
      </c>
      <c r="I40" s="328">
        <v>8.707567446998004422332764820</v>
      </c>
      <c r="J40" s="171">
        <v>1.4784946236559139784946236600</v>
      </c>
      <c r="K40" s="171">
        <v>4.6905669202047188672753867600</v>
      </c>
      <c r="L40" s="328">
        <v>0.2584644609226688186736425400</v>
      </c>
      <c r="M40" s="327">
        <v>24.462365591397849462365591400</v>
      </c>
      <c r="N40" s="171">
        <v>46.546961325966850828729281770</v>
      </c>
      <c r="O40" s="328">
        <v>67.176870748299319727891156460</v>
      </c>
      <c r="P40" s="4"/>
      <c r="Q40" s="327">
        <v>-18.918918918757633308984339510</v>
      </c>
      <c r="R40" s="171">
        <v>5.0671292839908910805457014900</v>
      </c>
      <c r="S40" s="328">
        <v>5.2035081919814284372364333300</v>
      </c>
      <c r="T40" s="327">
        <v>162.50000000105000000000419988</v>
      </c>
      <c r="U40" s="171">
        <v>62.756365259655431357640369610</v>
      </c>
      <c r="V40" s="328">
        <v>92.03093033597022770817123465</v>
      </c>
      <c r="W40" s="171">
        <v>37.500000000550000000002200380</v>
      </c>
      <c r="X40" s="171">
        <v>-22.566773871228490388377296280</v>
      </c>
      <c r="Y40" s="328">
        <v>35.622320838099415655841807740</v>
      </c>
      <c r="Z40" s="327">
        <v>-9.452736318548511175465735640</v>
      </c>
      <c r="AA40" s="171">
        <v>7.0407623080768574351915136400</v>
      </c>
      <c r="AB40" s="328">
        <v>11.855767415524975239866522180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15.6" customHeight="1">
      <c r="A41" s="54"/>
      <c r="B41" s="22"/>
      <c r="C41" s="53" t="s">
        <v>16</v>
      </c>
      <c r="D41" s="359">
        <v>24.910394265232974910394265230</v>
      </c>
      <c r="E41" s="170">
        <v>47.258915959993977711305967500</v>
      </c>
      <c r="F41" s="360">
        <v>68.617483668609145288841080200</v>
      </c>
      <c r="G41" s="359">
        <v>6.2724014336917562724014336900</v>
      </c>
      <c r="H41" s="170">
        <v>5.6517973657230479481007975400</v>
      </c>
      <c r="I41" s="360">
        <v>11.476146820873160779639044160</v>
      </c>
      <c r="J41" s="170">
        <v>1.7921146953405017921146953400</v>
      </c>
      <c r="K41" s="170">
        <v>4.3406678897525876002617432500</v>
      </c>
      <c r="L41" s="360">
        <v>0.235167696458737015420102400</v>
      </c>
      <c r="M41" s="359">
        <v>32.974910394265232974910394270</v>
      </c>
      <c r="N41" s="170">
        <v>57.251381215469613259668508290</v>
      </c>
      <c r="O41" s="360">
        <v>80.32879818594104308390022676</v>
      </c>
      <c r="P41" s="4"/>
      <c r="Q41" s="359">
        <v>-24.043715846922314789930953470</v>
      </c>
      <c r="R41" s="170">
        <v>7.8365164672618595501602031300</v>
      </c>
      <c r="S41" s="360">
        <v>1.0008778899659997655721017700</v>
      </c>
      <c r="T41" s="359">
        <v>418.51851849916049382788319327</v>
      </c>
      <c r="U41" s="170">
        <v>6.9961558329467430867881037900</v>
      </c>
      <c r="V41" s="360">
        <v>141.45004728904595465437796870</v>
      </c>
      <c r="W41" s="170">
        <v>21.212121208506887052449370360</v>
      </c>
      <c r="X41" s="170">
        <v>-25.705523630229744025233866220</v>
      </c>
      <c r="Y41" s="360">
        <v>-8.609875468554333449201358140</v>
      </c>
      <c r="Z41" s="359">
        <v>-7.0707070705972451790632310700</v>
      </c>
      <c r="AA41" s="170">
        <v>4.1893590280323898002885115500</v>
      </c>
      <c r="AB41" s="360">
        <v>10.118122474337874087274737670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15.6" customHeight="1">
      <c r="A42" s="54"/>
      <c r="B42" s="22"/>
      <c r="C42" s="53" t="s">
        <v>17</v>
      </c>
      <c r="D42" s="327">
        <v>27.822580645161290322580645160</v>
      </c>
      <c r="E42" s="171">
        <v>48.776891253010699568968844400</v>
      </c>
      <c r="F42" s="328">
        <v>68.722376299184359003173858830</v>
      </c>
      <c r="G42" s="327">
        <v>0.4032258064516129032258064500</v>
      </c>
      <c r="H42" s="171">
        <v>10.266105481367290673598497530</v>
      </c>
      <c r="I42" s="328">
        <v>10.256224284767933726878568010</v>
      </c>
      <c r="J42" s="171">
        <v>1.4784946236559139784946236600</v>
      </c>
      <c r="K42" s="171">
        <v>4.2627122895630778973958256600</v>
      </c>
      <c r="L42" s="328">
        <v>0.2617622278390904899022216900</v>
      </c>
      <c r="M42" s="327">
        <v>29.704301075268817204301075270</v>
      </c>
      <c r="N42" s="171">
        <v>63.305709023941068139963167590</v>
      </c>
      <c r="O42" s="328">
        <v>79.24036281179138321995464853</v>
      </c>
      <c r="P42" s="4"/>
      <c r="Q42" s="327">
        <v>9.330985915643865304503283080</v>
      </c>
      <c r="R42" s="171">
        <v>9.913929631350707337886922860</v>
      </c>
      <c r="S42" s="328">
        <v>2.8349040844526437289714355500</v>
      </c>
      <c r="T42" s="327">
        <v>-79.54545454571859504131890549</v>
      </c>
      <c r="U42" s="171">
        <v>24.757490137693446697962124180</v>
      </c>
      <c r="V42" s="328">
        <v>110.11482070287907961449281272</v>
      </c>
      <c r="W42" s="171">
        <v>17.857142860745918367457089830</v>
      </c>
      <c r="X42" s="171">
        <v>-20.454101305483636845446866180</v>
      </c>
      <c r="Y42" s="328">
        <v>61.950915696898268787981034120</v>
      </c>
      <c r="Z42" s="327">
        <v>-0.0000000001049773755655006500</v>
      </c>
      <c r="AA42" s="171">
        <v>9.213661636225120356625308430</v>
      </c>
      <c r="AB42" s="328">
        <v>10.253983278149840973482249690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5.6" customHeight="1">
      <c r="A43" s="54"/>
      <c r="B43" s="22"/>
      <c r="C43" s="53" t="s">
        <v>18</v>
      </c>
      <c r="D43" s="359">
        <v>27.553763440860215053763440860</v>
      </c>
      <c r="E43" s="170">
        <v>42.682050591507934301842959710</v>
      </c>
      <c r="F43" s="360">
        <v>62.948574074793543123683407480</v>
      </c>
      <c r="G43" s="359">
        <v>7.2580645161290322580645161300</v>
      </c>
      <c r="H43" s="170">
        <v>12.239839526405295088062275410</v>
      </c>
      <c r="I43" s="360">
        <v>9.616247315318889036806574340</v>
      </c>
      <c r="J43" s="170">
        <v>1.6129032258064516129032258100</v>
      </c>
      <c r="K43" s="170">
        <v>4.6315168802451499839437519900</v>
      </c>
      <c r="L43" s="360">
        <v>0.3036593355111506059499274700</v>
      </c>
      <c r="M43" s="359">
        <v>36.424731182795698924731182800</v>
      </c>
      <c r="N43" s="170">
        <v>59.553406998158379373848987110</v>
      </c>
      <c r="O43" s="360">
        <v>72.868480725623582766439909300</v>
      </c>
      <c r="P43" s="4"/>
      <c r="Q43" s="359">
        <v>-12.765957446873843368039788100</v>
      </c>
      <c r="R43" s="170">
        <v>9.566192629163141271223898380</v>
      </c>
      <c r="S43" s="360">
        <v>5.0831658714548808653956964800</v>
      </c>
      <c r="T43" s="359">
        <v>38.461538460771597633140341940</v>
      </c>
      <c r="U43" s="170">
        <v>0.0849714215497085533864489600</v>
      </c>
      <c r="V43" s="360">
        <v>21.658551419744753543003281550</v>
      </c>
      <c r="W43" s="170">
        <v>33.333333328355555555741392890</v>
      </c>
      <c r="X43" s="170">
        <v>-15.296448401276729656551756470</v>
      </c>
      <c r="Y43" s="360">
        <v>45.986604144099544285192153180</v>
      </c>
      <c r="Z43" s="359">
        <v>-4.2402826855069535142154350100</v>
      </c>
      <c r="AA43" s="170">
        <v>5.119869971501603643411815500</v>
      </c>
      <c r="AB43" s="360">
        <v>7.1345224203608967889047409700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ht="15.6" customHeight="1">
      <c r="A44" s="54"/>
      <c r="B44" s="22"/>
      <c r="C44" s="53" t="s">
        <v>19</v>
      </c>
      <c r="D44" s="327">
        <v>47.580645161290322580645161290</v>
      </c>
      <c r="E44" s="171">
        <v>48.78059227557515332572343700</v>
      </c>
      <c r="F44" s="328">
        <v>64.963981640330102293821825440</v>
      </c>
      <c r="G44" s="327">
        <v>8.064516129032258064516129030</v>
      </c>
      <c r="H44" s="171">
        <v>15.510186623093116678559662360</v>
      </c>
      <c r="I44" s="328">
        <v>11.089687945034394696973202920</v>
      </c>
      <c r="J44" s="171">
        <v>1.3440860215053763440860215100</v>
      </c>
      <c r="K44" s="171">
        <v>4.4937514880720614874296078300</v>
      </c>
      <c r="L44" s="328">
        <v>0.2501852899189497212231122200</v>
      </c>
      <c r="M44" s="327">
        <v>56.989247311827956989247311830</v>
      </c>
      <c r="N44" s="171">
        <v>68.784530386740331491712707180</v>
      </c>
      <c r="O44" s="328">
        <v>76.303854875283446712018140590</v>
      </c>
      <c r="P44" s="4"/>
      <c r="Q44" s="327">
        <v>13.099041533595467954148782690</v>
      </c>
      <c r="R44" s="171">
        <v>0.2399892014508288746192580900</v>
      </c>
      <c r="S44" s="328">
        <v>-1.0414328933930004926781208800</v>
      </c>
      <c r="T44" s="327">
        <v>11.111111111555555555557333300</v>
      </c>
      <c r="U44" s="171">
        <v>4.8111982106651940337715509100</v>
      </c>
      <c r="V44" s="328">
        <v>38.337654714937348198950697880</v>
      </c>
      <c r="W44" s="171">
        <v>42.857142850122448979936840140</v>
      </c>
      <c r="X44" s="171">
        <v>-12.544833088093950030877899550</v>
      </c>
      <c r="Y44" s="328">
        <v>48.786847898832274001431086550</v>
      </c>
      <c r="Z44" s="327">
        <v>13.368983957221676341902828280</v>
      </c>
      <c r="AA44" s="171">
        <v>0.2684563758758034322778388800</v>
      </c>
      <c r="AB44" s="328">
        <v>3.3476658476452162214984737700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ht="15.6" customHeight="1">
      <c r="A45" s="54"/>
      <c r="B45" s="22"/>
      <c r="C45" s="53" t="s">
        <v>20</v>
      </c>
      <c r="D45" s="364">
        <v>43.682795698924731182795698920</v>
      </c>
      <c r="E45" s="365">
        <v>48.241474465330160636683347810</v>
      </c>
      <c r="F45" s="366">
        <v>67.759408168050993724362260990</v>
      </c>
      <c r="G45" s="364">
        <v>7.3924731182795698924731182800</v>
      </c>
      <c r="H45" s="365">
        <v>10.955855381788054281321678490</v>
      </c>
      <c r="I45" s="366">
        <v>8.495579704230495211470670190</v>
      </c>
      <c r="J45" s="365">
        <v>1.4784946236559139784946236600</v>
      </c>
      <c r="K45" s="365">
        <v>4.0162981455153025773909221300</v>
      </c>
      <c r="L45" s="366">
        <v>0.2756243726164702478405382100</v>
      </c>
      <c r="M45" s="364">
        <v>52.553763440860215053763440860</v>
      </c>
      <c r="N45" s="365">
        <v>63.213627992633517495395948430</v>
      </c>
      <c r="O45" s="366">
        <v>76.530612244897959183673469390</v>
      </c>
      <c r="P45" s="4"/>
      <c r="Q45" s="364">
        <v>3.5031847132993224877277533600</v>
      </c>
      <c r="R45" s="365">
        <v>4.6144917196100103756915290500</v>
      </c>
      <c r="S45" s="366">
        <v>6.234022970770645597886992900</v>
      </c>
      <c r="T45" s="364">
        <v>1.8518518522592592592608888900</v>
      </c>
      <c r="U45" s="365">
        <v>1.1613229964255828157156046400</v>
      </c>
      <c r="V45" s="366">
        <v>25.040874700664894237725286960</v>
      </c>
      <c r="W45" s="365">
        <v>22.222222217659259259429610210</v>
      </c>
      <c r="X45" s="365">
        <v>-13.358548459113505373818901850</v>
      </c>
      <c r="Y45" s="366">
        <v>27.452290711359882280407226110</v>
      </c>
      <c r="Z45" s="364">
        <v>3.7135278513620499686905054600</v>
      </c>
      <c r="AA45" s="365">
        <v>2.6542056075174669438379060100</v>
      </c>
      <c r="AB45" s="366">
        <v>8.10377962836816617495401700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ht="20.25" customHeight="1">
      <c r="B46" s="54"/>
      <c r="C46"/>
      <c r="D46" s="88"/>
      <c r="E46" s="88"/>
      <c r="F46" s="88"/>
      <c r="G46" s="88"/>
      <c r="H46" s="88"/>
      <c r="I46" s="88"/>
      <c r="J46" s="88"/>
      <c r="K46" s="88"/>
      <c r="L46" s="88"/>
      <c r="M46" s="88"/>
      <c r="N46" s="88"/>
      <c r="O46" s="88"/>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ht="15.6" customHeight="1">
      <c r="A47" s="22"/>
      <c r="B47" s="22"/>
      <c r="C47" s="53" t="s">
        <v>72</v>
      </c>
      <c r="D47" s="354">
        <v>24.283154121863799283154121860</v>
      </c>
      <c r="E47" s="355">
        <v>41.251240143933488508589197760</v>
      </c>
      <c r="F47" s="356">
        <v>62.089182264713618482537256610</v>
      </c>
      <c r="G47" s="354">
        <v>2.6881720430107526881720430100</v>
      </c>
      <c r="H47" s="355">
        <v>12.527975073083633295676928630</v>
      </c>
      <c r="I47" s="356">
        <v>12.059807857679451763951051690</v>
      </c>
      <c r="J47" s="355">
        <v>1.7025089605734767025089605700</v>
      </c>
      <c r="K47" s="355">
        <v>5.1657992528592265251208770300</v>
      </c>
      <c r="L47" s="356">
        <v>0.2598210211119508095531559100</v>
      </c>
      <c r="M47" s="354">
        <v>28.673835125448028673835125450</v>
      </c>
      <c r="N47" s="355">
        <v>58.945014469876348329387003420</v>
      </c>
      <c r="O47" s="356">
        <v>74.408811143505021056041464200</v>
      </c>
      <c r="P47" s="4"/>
      <c r="Q47" s="354">
        <v>-24.722222222154472222222161260</v>
      </c>
      <c r="R47" s="355">
        <v>-1.2042360576256437844146334900</v>
      </c>
      <c r="S47" s="356">
        <v>0.9313932416196634012069672900</v>
      </c>
      <c r="T47" s="354">
        <v>0</v>
      </c>
      <c r="U47" s="355">
        <v>25.072519366747419409717641840</v>
      </c>
      <c r="V47" s="356">
        <v>97.80532876564310418329507740</v>
      </c>
      <c r="W47" s="355">
        <v>46.153846150248520710147728420</v>
      </c>
      <c r="X47" s="355">
        <v>19.582117690312704804696144110</v>
      </c>
      <c r="Y47" s="356">
        <v>48.924194755479532814907472490</v>
      </c>
      <c r="Z47" s="354">
        <v>-7.3614557486095310809950657600</v>
      </c>
      <c r="AA47" s="355">
        <v>5.0891181989535076045711624200</v>
      </c>
      <c r="AB47" s="356">
        <v>9.767753034439796314331840770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ht="15.6" customHeight="1">
      <c r="A48" s="22"/>
      <c r="B48" s="22"/>
      <c r="C48" s="53" t="s">
        <v>61</v>
      </c>
      <c r="D48" s="327">
        <v>31.003584229390681003584229390</v>
      </c>
      <c r="E48" s="171">
        <v>42.609014979689641079082596480</v>
      </c>
      <c r="F48" s="328">
        <v>62.812884645407151027885682490</v>
      </c>
      <c r="G48" s="327">
        <v>4.6993229788928713659896455600</v>
      </c>
      <c r="H48" s="171">
        <v>9.566598568746606085994825930</v>
      </c>
      <c r="I48" s="328">
        <v>9.180775668151074407857584390</v>
      </c>
      <c r="J48" s="171">
        <v>1.4934289127837514934289127800</v>
      </c>
      <c r="K48" s="171">
        <v>4.4542207057073992437623565900</v>
      </c>
      <c r="L48" s="328">
        <v>0.2625755141061736572272546600</v>
      </c>
      <c r="M48" s="327">
        <v>37.196336121067303863002787730</v>
      </c>
      <c r="N48" s="171">
        <v>56.629834254143646408839779010</v>
      </c>
      <c r="O48" s="328">
        <v>72.256235827664399092970521540</v>
      </c>
      <c r="P48" s="4"/>
      <c r="Q48" s="327">
        <v>-3.6418166238509946845888232700</v>
      </c>
      <c r="R48" s="171">
        <v>7.961331248480484634894931340</v>
      </c>
      <c r="S48" s="328">
        <v>4.3826586773092318496555220600</v>
      </c>
      <c r="T48" s="327">
        <v>12.504583791955336259699101260</v>
      </c>
      <c r="U48" s="171">
        <v>13.163471735124764403319657710</v>
      </c>
      <c r="V48" s="328">
        <v>56.101749939974514188191505970</v>
      </c>
      <c r="W48" s="171">
        <v>24.521072798231602589523346410</v>
      </c>
      <c r="X48" s="171">
        <v>-18.908987927527102442335863750</v>
      </c>
      <c r="Y48" s="328">
        <v>33.440169674769708726231934560</v>
      </c>
      <c r="Z48" s="327">
        <v>1.5828623589010223504192230500</v>
      </c>
      <c r="AA48" s="171">
        <v>6.021425932769563892487413500</v>
      </c>
      <c r="AB48" s="328">
        <v>9.060017112771042759330351540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ht="15.6" customHeight="1">
      <c r="A49" s="54"/>
      <c r="B49" s="22"/>
      <c r="C49" s="53" t="s">
        <v>31</v>
      </c>
      <c r="D49" s="364">
        <v>28.908188585607940446650124070</v>
      </c>
      <c r="E49" s="365">
        <v>44.796386150836376309869897110</v>
      </c>
      <c r="F49" s="366">
        <v>65.406056812655393574727912710</v>
      </c>
      <c r="G49" s="364">
        <v>5.583126550868486352357320100</v>
      </c>
      <c r="H49" s="365">
        <v>10.616688763884233401141450040</v>
      </c>
      <c r="I49" s="366">
        <v>10.919525651763532134356605130</v>
      </c>
      <c r="J49" s="365">
        <v>1.4888337468982630272952853600</v>
      </c>
      <c r="K49" s="365">
        <v>4.7816106943296402232164876300</v>
      </c>
      <c r="L49" s="366">
        <v>0.2471418634074429336106554600</v>
      </c>
      <c r="M49" s="364">
        <v>35.980148883374689826302729530</v>
      </c>
      <c r="N49" s="365">
        <v>60.194685609050249934227834780</v>
      </c>
      <c r="O49" s="366">
        <v>76.572724327826368642695173310</v>
      </c>
      <c r="P49" s="4"/>
      <c r="Q49" s="364">
        <v>-14.311982837917487512408210890</v>
      </c>
      <c r="R49" s="365">
        <v>9.743518615126475145001620740</v>
      </c>
      <c r="S49" s="366">
        <v>7.0917216828381246072999614200</v>
      </c>
      <c r="T49" s="364">
        <v>9.311740891125506072876242930</v>
      </c>
      <c r="U49" s="365">
        <v>1.113962650765730025497693900</v>
      </c>
      <c r="V49" s="366">
        <v>51.541652925492262721628230880</v>
      </c>
      <c r="W49" s="365">
        <v>27.810650884427856167578580600</v>
      </c>
      <c r="X49" s="365">
        <v>-0.4764029552860898450335920800</v>
      </c>
      <c r="Y49" s="366">
        <v>44.406932708864516691134895150</v>
      </c>
      <c r="Z49" s="364">
        <v>-4.7842401501449000137280648300</v>
      </c>
      <c r="AA49" s="365">
        <v>7.2541896166904007382620993600</v>
      </c>
      <c r="AB49" s="366">
        <v>11.864085940140854837806190230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ht="24.9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row>
  </sheetData>
  <mergeCells count="12">
    <mergeCell ref="D8:F8"/>
    <mergeCell ref="M8:O8"/>
    <mergeCell ref="D52:AB52"/>
    <mergeCell ref="R4:AA4"/>
    <mergeCell ref="J8:L8"/>
    <mergeCell ref="G8:I8"/>
    <mergeCell ref="Q7:AB7"/>
    <mergeCell ref="D7:O7"/>
    <mergeCell ref="Q8:S8"/>
    <mergeCell ref="T8:V8"/>
    <mergeCell ref="W8:Y8"/>
    <mergeCell ref="Z8:AB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34"/>
</worksheet>
</file>

<file path=xl/worksheets/sheet3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A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127</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row>
    <row r="4" ht="17.1" customHeight="1">
      <c r="A4" t="s">
        <v>143</v>
      </c>
      <c r="B4" s="442"/>
      <c r="C4" s="211"/>
      <c r="D4" s="212"/>
      <c r="E4" s="212"/>
      <c r="F4" s="212"/>
      <c r="G4" s="212"/>
      <c r="H4" s="212"/>
      <c r="I4" s="212"/>
      <c r="J4" s="212"/>
      <c r="K4" s="212"/>
      <c r="L4" s="212"/>
      <c r="M4" s="212"/>
      <c r="N4" s="212"/>
      <c r="O4" s="212"/>
      <c r="P4" s="212"/>
      <c r="Q4" s="212"/>
      <c r="R4" s="675" t="s">
        <v>146</v>
      </c>
      <c r="S4" s="675"/>
      <c r="T4" s="675"/>
      <c r="U4" s="675"/>
      <c r="V4" s="675"/>
      <c r="W4" s="675"/>
      <c r="X4" s="675"/>
      <c r="Y4" s="675"/>
      <c r="Z4" s="675"/>
      <c r="AA4" s="675"/>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row>
    <row r="7" ht="15.75">
      <c r="D7" s="621" t="s">
        <v>12</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row>
    <row r="8" ht="15.75">
      <c r="D8" s="676" t="s">
        <v>21</v>
      </c>
      <c r="E8" s="676"/>
      <c r="F8" s="676"/>
      <c r="G8" s="676" t="s">
        <v>24</v>
      </c>
      <c r="H8" s="676"/>
      <c r="I8" s="676"/>
      <c r="J8" s="676" t="s">
        <v>25</v>
      </c>
      <c r="K8" s="676"/>
      <c r="L8" s="676"/>
      <c r="M8" s="676" t="s">
        <v>23</v>
      </c>
      <c r="N8" s="676"/>
      <c r="O8" s="676"/>
      <c r="Q8" s="676" t="s">
        <v>21</v>
      </c>
      <c r="R8" s="676"/>
      <c r="S8" s="676"/>
      <c r="T8" s="676" t="s">
        <v>24</v>
      </c>
      <c r="U8" s="676"/>
      <c r="V8" s="676"/>
      <c r="W8" s="676" t="s">
        <v>25</v>
      </c>
      <c r="X8" s="676"/>
      <c r="Y8" s="676"/>
      <c r="Z8" s="676" t="s">
        <v>23</v>
      </c>
      <c r="AA8" s="676"/>
      <c r="AB8" s="676"/>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row>
    <row r="10" ht="15.6" customHeight="1">
      <c r="A10" s="92" t="s">
        <v>148</v>
      </c>
      <c r="B10" s="342">
        <v>18</v>
      </c>
      <c r="C10" s="343" t="s">
        <v>49</v>
      </c>
      <c r="D10" s="374">
        <v>101.35135135135135135135135135</v>
      </c>
      <c r="E10" s="382">
        <v>130.84060555281296609146924753</v>
      </c>
      <c r="F10" s="375">
        <v>113.92097380171314768369636661</v>
      </c>
      <c r="G10" s="374">
        <v>0</v>
      </c>
      <c r="H10" s="382">
        <v>113.68327316621469269278844446</v>
      </c>
      <c r="I10" s="375">
        <v>127.99366541104142781942212577</v>
      </c>
      <c r="J10" s="374">
        <v>98</v>
      </c>
      <c r="K10" s="382">
        <v>134.25213401687855422575086067</v>
      </c>
      <c r="L10" s="375">
        <v>90.87134576522101870167316548</v>
      </c>
      <c r="M10" s="374">
        <v>101.100000000</v>
      </c>
      <c r="N10" s="382">
        <v>126.09125260960334029227557411</v>
      </c>
      <c r="O10" s="375">
        <v>114.66757990867579908675799087</v>
      </c>
      <c r="P10" s="4"/>
      <c r="Q10" s="354">
        <v>-4.1040620098752874028414594800</v>
      </c>
      <c r="R10" s="355">
        <v>-2.4464823923550325710262862800</v>
      </c>
      <c r="S10" s="356">
        <v>-2.2998852792824337604351081900</v>
      </c>
      <c r="T10" s="354">
        <v>-100</v>
      </c>
      <c r="U10" s="355">
        <v>-7.2879905626680225358401969900</v>
      </c>
      <c r="V10" s="356">
        <v>-1.9712992985626621546458432300</v>
      </c>
      <c r="W10" s="354">
        <v>4.2553191489361702127659574500</v>
      </c>
      <c r="X10" s="355">
        <v>18.541403532687841285451369720</v>
      </c>
      <c r="Y10" s="356">
        <v>0.9798744950381184997722671100</v>
      </c>
      <c r="Z10" s="354">
        <v>-8.918918918918918918918918920</v>
      </c>
      <c r="AA10" s="355">
        <v>-2.2559322919107493827568079400</v>
      </c>
      <c r="AB10" s="356">
        <v>-3.360107936022786478506456600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row>
    <row r="11" ht="15.6" customHeight="1">
      <c r="A11" s="92"/>
      <c r="B11" s="344">
        <v>19</v>
      </c>
      <c r="C11" s="345" t="s">
        <v>47</v>
      </c>
      <c r="D11" s="370">
        <v>111.02083333333333333333333333</v>
      </c>
      <c r="E11" s="172">
        <v>142.30419451069596111162365918</v>
      </c>
      <c r="F11" s="371">
        <v>126.44187499832568112224070067</v>
      </c>
      <c r="G11" s="370">
        <v>0</v>
      </c>
      <c r="H11" s="172">
        <v>117.55076955340405440657512428</v>
      </c>
      <c r="I11" s="371">
        <v>120.56784186963220776280978188</v>
      </c>
      <c r="J11" s="370">
        <v>99</v>
      </c>
      <c r="K11" s="172">
        <v>134.20201382693000821786637807</v>
      </c>
      <c r="L11" s="371">
        <v>93.93459141400572488067637177</v>
      </c>
      <c r="M11" s="370">
        <v>110.540000000</v>
      </c>
      <c r="N11" s="172">
        <v>134.30076687116564417177914109</v>
      </c>
      <c r="O11" s="371">
        <v>125.79814814814814814814814815</v>
      </c>
      <c r="P11" s="4"/>
      <c r="Q11" s="327">
        <v>14.626006105996035013841510770</v>
      </c>
      <c r="R11" s="171">
        <v>2.8260046926896287158259232200</v>
      </c>
      <c r="S11" s="328">
        <v>1.3579734101939319792696822300</v>
      </c>
      <c r="T11" s="327">
        <v>-100</v>
      </c>
      <c r="U11" s="171">
        <v>-14.364977788680027990554478920</v>
      </c>
      <c r="V11" s="328">
        <v>-10.248063406556495673523821640</v>
      </c>
      <c r="W11" s="327">
        <v>8.791208791208791208791208790</v>
      </c>
      <c r="X11" s="171">
        <v>16.63875562899445751633648100</v>
      </c>
      <c r="Y11" s="328">
        <v>5.919461625966771958538582100</v>
      </c>
      <c r="Z11" s="327">
        <v>13.023329493097323444368643200</v>
      </c>
      <c r="AA11" s="171">
        <v>-1.0203141451232988473905872300</v>
      </c>
      <c r="AB11" s="328">
        <v>0.2407211304366399417173141700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row>
    <row r="12" ht="15.6" customHeight="1">
      <c r="A12" s="92"/>
      <c r="B12" s="346">
        <v>20</v>
      </c>
      <c r="C12" s="347" t="s">
        <v>48</v>
      </c>
      <c r="D12" s="378">
        <v>104.15384615384615384615384615</v>
      </c>
      <c r="E12" s="173">
        <v>143.99978265691739602111162404</v>
      </c>
      <c r="F12" s="379">
        <v>139.51103333056293746128253384</v>
      </c>
      <c r="G12" s="378">
        <v>104</v>
      </c>
      <c r="H12" s="173">
        <v>119.23692703776619957684695025</v>
      </c>
      <c r="I12" s="379">
        <v>119.69770361339133987789134078</v>
      </c>
      <c r="J12" s="378">
        <v>98</v>
      </c>
      <c r="K12" s="173">
        <v>130.35042038436079004943793338</v>
      </c>
      <c r="L12" s="379">
        <v>93.40146543267163546027279433</v>
      </c>
      <c r="M12" s="378">
        <v>103.81395348837209302325581395</v>
      </c>
      <c r="N12" s="173">
        <v>140.03094170403587443946188341</v>
      </c>
      <c r="O12" s="379">
        <v>136.3149171270718232044198895</v>
      </c>
      <c r="P12" s="4"/>
      <c r="Q12" s="359">
        <v>-16.746508085063944739035898760</v>
      </c>
      <c r="R12" s="170">
        <v>-0.0679189489504777174294253100</v>
      </c>
      <c r="S12" s="360">
        <v>1.3836319940658907831661146900</v>
      </c>
      <c r="T12" s="359">
        <v>-15.447154471544715447154471540</v>
      </c>
      <c r="U12" s="170">
        <v>-12.950317565400899489431368890</v>
      </c>
      <c r="V12" s="360">
        <v>-8.341628099122222418160724050</v>
      </c>
      <c r="W12" s="359">
        <v>-6.6666666666666666666666666700</v>
      </c>
      <c r="X12" s="170">
        <v>11.736536402487106191955864940</v>
      </c>
      <c r="Y12" s="360">
        <v>-6.9914473761293857060582404600</v>
      </c>
      <c r="Z12" s="359">
        <v>-16.347385499996006553822835030</v>
      </c>
      <c r="AA12" s="170">
        <v>0.024057345433545035490729300</v>
      </c>
      <c r="AB12" s="360">
        <v>-0.5034227707434812519941589300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row>
    <row r="13" ht="15.6" customHeight="1">
      <c r="A13" s="92"/>
      <c r="B13" s="344">
        <v>21</v>
      </c>
      <c r="C13" s="345" t="s">
        <v>50</v>
      </c>
      <c r="D13" s="370">
        <v>95.30188679245283018867924528</v>
      </c>
      <c r="E13" s="172">
        <v>146.76316341404174866507337018</v>
      </c>
      <c r="F13" s="371">
        <v>137.18260386826526368773670761</v>
      </c>
      <c r="G13" s="370">
        <v>0</v>
      </c>
      <c r="H13" s="172">
        <v>133.40474877632501449945949571</v>
      </c>
      <c r="I13" s="371">
        <v>136.07084580405776077252312609</v>
      </c>
      <c r="J13" s="370">
        <v>96.5</v>
      </c>
      <c r="K13" s="172">
        <v>131.27480136319234703130365165</v>
      </c>
      <c r="L13" s="371">
        <v>91.10087285643882145852124915</v>
      </c>
      <c r="M13" s="370">
        <v>95.34545454545454545454545455</v>
      </c>
      <c r="N13" s="172">
        <v>144.14039682539682539682539682</v>
      </c>
      <c r="O13" s="371">
        <v>136.86763005780346820809248555</v>
      </c>
      <c r="P13" s="4"/>
      <c r="Q13" s="327">
        <v>-14.296864395276231844712908920</v>
      </c>
      <c r="R13" s="171">
        <v>4.5788173357652250707093860400</v>
      </c>
      <c r="S13" s="328">
        <v>4.284555999453626091721426500</v>
      </c>
      <c r="T13" s="327">
        <v>-100</v>
      </c>
      <c r="U13" s="171">
        <v>-4.7524748481095416249555044800</v>
      </c>
      <c r="V13" s="328">
        <v>-0.1738242991892661935219792500</v>
      </c>
      <c r="W13" s="327">
        <v>4.1366906474445551472491206600</v>
      </c>
      <c r="X13" s="171">
        <v>15.577814421750387349819162180</v>
      </c>
      <c r="Y13" s="328">
        <v>2.8439708930398255221252364500</v>
      </c>
      <c r="Z13" s="327">
        <v>-15.767766004303030012627147500</v>
      </c>
      <c r="AA13" s="171">
        <v>5.123660301428236943310609700</v>
      </c>
      <c r="AB13" s="328">
        <v>3.8749631808448394410236010600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row>
    <row r="14" ht="15.6" customHeight="1">
      <c r="A14" s="92"/>
      <c r="B14" s="346">
        <v>22</v>
      </c>
      <c r="C14" s="347" t="s">
        <v>51</v>
      </c>
      <c r="D14" s="378">
        <v>105.47272727272727272727272727</v>
      </c>
      <c r="E14" s="173">
        <v>126.53308491288477985030827105</v>
      </c>
      <c r="F14" s="379">
        <v>123.78673207911711790095137337</v>
      </c>
      <c r="G14" s="378">
        <v>0</v>
      </c>
      <c r="H14" s="173">
        <v>132.26861473143133135180625891</v>
      </c>
      <c r="I14" s="379">
        <v>127.56051875583922596536963917</v>
      </c>
      <c r="J14" s="378">
        <v>103</v>
      </c>
      <c r="K14" s="173">
        <v>134.71004463437954586690479726</v>
      </c>
      <c r="L14" s="379">
        <v>100.15506953220672074613838049</v>
      </c>
      <c r="M14" s="378">
        <v>105.34482758620689655172413793</v>
      </c>
      <c r="N14" s="173">
        <v>127.81241379310344827586206896</v>
      </c>
      <c r="O14" s="379">
        <v>124.17037507946598855689764781</v>
      </c>
      <c r="P14" s="4"/>
      <c r="Q14" s="359">
        <v>-2.3902781024005125287543293100</v>
      </c>
      <c r="R14" s="170">
        <v>2.603874547328784462672658300</v>
      </c>
      <c r="S14" s="360">
        <v>-2.9381567563541042661345748300</v>
      </c>
      <c r="T14" s="359">
        <v>0</v>
      </c>
      <c r="U14" s="170">
        <v>2.7560499230985311524253325800</v>
      </c>
      <c r="V14" s="360">
        <v>-1.5018972519173185970957325600</v>
      </c>
      <c r="W14" s="359">
        <v>14.869888475793728665994128730</v>
      </c>
      <c r="X14" s="170">
        <v>18.298330664266855764537618490</v>
      </c>
      <c r="Y14" s="360">
        <v>14.213430143575459645399149150</v>
      </c>
      <c r="Z14" s="359">
        <v>-1.6275364938343580029581230600</v>
      </c>
      <c r="AA14" s="170">
        <v>4.4582907715086663479334500400</v>
      </c>
      <c r="AB14" s="360">
        <v>-2.619868984802194903400911600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row>
    <row r="15" ht="15.6" customHeight="1">
      <c r="A15" s="92"/>
      <c r="B15" s="344">
        <v>23</v>
      </c>
      <c r="C15" s="345" t="s">
        <v>52</v>
      </c>
      <c r="D15" s="370">
        <v>102.61224489795918367346938776</v>
      </c>
      <c r="E15" s="172">
        <v>130.3178001208912962579687119</v>
      </c>
      <c r="F15" s="371">
        <v>125.43724800828167376985664471</v>
      </c>
      <c r="G15" s="370">
        <v>112.66666666666666666666666667</v>
      </c>
      <c r="H15" s="172">
        <v>138.9285537380549453745989774</v>
      </c>
      <c r="I15" s="371">
        <v>127.44362521210914517772324824</v>
      </c>
      <c r="J15" s="370">
        <v>95.33333333333333333333333333</v>
      </c>
      <c r="K15" s="172">
        <v>134.37568233661407902502831438</v>
      </c>
      <c r="L15" s="371">
        <v>92.36657505165956347668862198</v>
      </c>
      <c r="M15" s="370">
        <v>102.69230769230769230769230769</v>
      </c>
      <c r="N15" s="172">
        <v>131.70539634146341463414634145</v>
      </c>
      <c r="O15" s="371">
        <v>125.60435571687840290381125227</v>
      </c>
      <c r="P15" s="4"/>
      <c r="Q15" s="327">
        <v>-7.0856865666470323273621842600</v>
      </c>
      <c r="R15" s="171">
        <v>-6.6331899881355399191414081800</v>
      </c>
      <c r="S15" s="328">
        <v>-8.410954515719263196189974280</v>
      </c>
      <c r="T15" s="327">
        <v>-1.784973017861961190574778500</v>
      </c>
      <c r="U15" s="171">
        <v>-7.4188365154156593548143614600</v>
      </c>
      <c r="V15" s="328">
        <v>-5.0448879157247510742036352600</v>
      </c>
      <c r="W15" s="327">
        <v>3.6231884057971014492753623200</v>
      </c>
      <c r="X15" s="171">
        <v>18.215959862264018565329065880</v>
      </c>
      <c r="Y15" s="328">
        <v>-2.1486973379711890709385673200</v>
      </c>
      <c r="Z15" s="327">
        <v>-6.9475118650458306820571627400</v>
      </c>
      <c r="AA15" s="171">
        <v>-5.0641847468310402292294242600</v>
      </c>
      <c r="AB15" s="328">
        <v>-8.106596812806512000550446210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row>
    <row r="16" ht="15.6" customHeight="1">
      <c r="A16" s="92"/>
      <c r="B16" s="346">
        <v>24</v>
      </c>
      <c r="C16" s="347" t="s">
        <v>53</v>
      </c>
      <c r="D16" s="378">
        <v>101.50537634408602150537634409</v>
      </c>
      <c r="E16" s="173">
        <v>132.86704066951788481954038233</v>
      </c>
      <c r="F16" s="379">
        <v>124.73588737701919780027856645</v>
      </c>
      <c r="G16" s="378">
        <v>0</v>
      </c>
      <c r="H16" s="173">
        <v>156.31309584534166231339651781</v>
      </c>
      <c r="I16" s="379">
        <v>134.91704729068730153423195906</v>
      </c>
      <c r="J16" s="378">
        <v>96.5</v>
      </c>
      <c r="K16" s="173">
        <v>133.59195693311637708501797047</v>
      </c>
      <c r="L16" s="379">
        <v>96.16747340273668882504270318</v>
      </c>
      <c r="M16" s="378">
        <v>101.29896907216494845360824742</v>
      </c>
      <c r="N16" s="173">
        <v>134.7530852713178294573643411</v>
      </c>
      <c r="O16" s="379">
        <v>125.62801648028251912889935256</v>
      </c>
      <c r="P16" s="4"/>
      <c r="Q16" s="359">
        <v>-21.253371479062862862139595740</v>
      </c>
      <c r="R16" s="170">
        <v>-10.500395403927223001681042690</v>
      </c>
      <c r="S16" s="360">
        <v>-8.347887047091066133711960810</v>
      </c>
      <c r="T16" s="359">
        <v>-100</v>
      </c>
      <c r="U16" s="170">
        <v>-1.315765229021482983496162800</v>
      </c>
      <c r="V16" s="360">
        <v>-2.8668592763888776507461922700</v>
      </c>
      <c r="W16" s="359">
        <v>-1.5306122448979591836734693900</v>
      </c>
      <c r="X16" s="170">
        <v>16.635897493100022455988097640</v>
      </c>
      <c r="Y16" s="360">
        <v>-7.9214998329195033221075168600</v>
      </c>
      <c r="Z16" s="359">
        <v>-20.655825567488788070338885200</v>
      </c>
      <c r="AA16" s="170">
        <v>-8.682114946948657750734997020</v>
      </c>
      <c r="AB16" s="360">
        <v>-7.745559737397102244405682400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row>
    <row r="17" ht="15.6" customHeight="1">
      <c r="A17" s="92"/>
      <c r="B17" s="344">
        <v>25</v>
      </c>
      <c r="C17" s="345" t="s">
        <v>49</v>
      </c>
      <c r="D17" s="370">
        <v>92.73770491803278688524590164</v>
      </c>
      <c r="E17" s="172">
        <v>109.42169276060072914571457179</v>
      </c>
      <c r="F17" s="371">
        <v>107.59198696066080114184896351</v>
      </c>
      <c r="G17" s="370">
        <v>0</v>
      </c>
      <c r="H17" s="172">
        <v>166.38199265464690265894926027</v>
      </c>
      <c r="I17" s="371">
        <v>125.08720250917247094259422271</v>
      </c>
      <c r="J17" s="370">
        <v>101</v>
      </c>
      <c r="K17" s="172">
        <v>133.59426850773816337972415429</v>
      </c>
      <c r="L17" s="371">
        <v>96.00157639381777785107915269</v>
      </c>
      <c r="M17" s="370">
        <v>93.000000000</v>
      </c>
      <c r="N17" s="172">
        <v>114.0255291005291005291005291</v>
      </c>
      <c r="O17" s="371">
        <v>109.0148992112182296231375986</v>
      </c>
      <c r="P17" s="4"/>
      <c r="Q17" s="327">
        <v>-19.744186133302425272399343690</v>
      </c>
      <c r="R17" s="171">
        <v>-10.375255352171862028566609740</v>
      </c>
      <c r="S17" s="328">
        <v>-4.1781594706657920610286206400</v>
      </c>
      <c r="T17" s="327">
        <v>0</v>
      </c>
      <c r="U17" s="171">
        <v>24.917071129796134546961024470</v>
      </c>
      <c r="V17" s="328">
        <v>5.1191605060895860657528411100</v>
      </c>
      <c r="W17" s="327">
        <v>-23.677581863960624076036262120</v>
      </c>
      <c r="X17" s="171">
        <v>14.685641856175127747907093820</v>
      </c>
      <c r="Y17" s="328">
        <v>-25.361844511816657937989306240</v>
      </c>
      <c r="Z17" s="327">
        <v>-20.363408521318227429475942690</v>
      </c>
      <c r="AA17" s="171">
        <v>-6.3431987876173855611242846300</v>
      </c>
      <c r="AB17" s="328">
        <v>-3.3208684588552237339367119800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row>
    <row r="18" ht="15.6" customHeight="1">
      <c r="A18" s="92"/>
      <c r="B18" s="346">
        <v>26</v>
      </c>
      <c r="C18" s="347" t="s">
        <v>47</v>
      </c>
      <c r="D18" s="378">
        <v>89.69565217391304347826086957</v>
      </c>
      <c r="E18" s="173">
        <v>111.42698166512008304367657002</v>
      </c>
      <c r="F18" s="379">
        <v>107.8592198650011860377337273</v>
      </c>
      <c r="G18" s="378">
        <v>121.46666666666666666666666667</v>
      </c>
      <c r="H18" s="173">
        <v>172.82612457337883959044368597</v>
      </c>
      <c r="I18" s="379">
        <v>124.746792800628194799438217</v>
      </c>
      <c r="J18" s="378">
        <v>90.33333333333333333333333333</v>
      </c>
      <c r="K18" s="173">
        <v>129.08206043854678666965356383</v>
      </c>
      <c r="L18" s="379">
        <v>88.18043136942874954005271474</v>
      </c>
      <c r="M18" s="378">
        <v>101.36585365853658536585365854</v>
      </c>
      <c r="N18" s="173">
        <v>116.38122866894197952218430033</v>
      </c>
      <c r="O18" s="379">
        <v>109.6766220391349124613800206</v>
      </c>
      <c r="P18" s="4"/>
      <c r="Q18" s="359">
        <v>-2.7486673677664253638980508700</v>
      </c>
      <c r="R18" s="170">
        <v>-9.411288817156893719979287490</v>
      </c>
      <c r="S18" s="360">
        <v>-5.6904608497138956881442801900</v>
      </c>
      <c r="T18" s="359">
        <v>0</v>
      </c>
      <c r="U18" s="170">
        <v>65.571260200811129640346461800</v>
      </c>
      <c r="V18" s="360">
        <v>3.2226145030597458878612243300</v>
      </c>
      <c r="W18" s="359">
        <v>-13.141025641025641025641025640</v>
      </c>
      <c r="X18" s="170">
        <v>12.304082362373331003524151300</v>
      </c>
      <c r="Y18" s="360">
        <v>-13.587308191747831328301619090</v>
      </c>
      <c r="Z18" s="359">
        <v>8.911891881807202048309934640</v>
      </c>
      <c r="AA18" s="170">
        <v>-3.2842604239519019552607658900</v>
      </c>
      <c r="AB18" s="360">
        <v>-4.3159711323919236097405462700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row>
    <row r="19" ht="15.6" customHeight="1">
      <c r="A19" s="92"/>
      <c r="B19" s="344">
        <v>27</v>
      </c>
      <c r="C19" s="345" t="s">
        <v>48</v>
      </c>
      <c r="D19" s="370">
        <v>100.23809523809523809523809524</v>
      </c>
      <c r="E19" s="172">
        <v>138.80484490732861881808970494</v>
      </c>
      <c r="F19" s="371">
        <v>125.35275109697544056494342011</v>
      </c>
      <c r="G19" s="370">
        <v>0</v>
      </c>
      <c r="H19" s="172">
        <v>122.53252168341632421163029293</v>
      </c>
      <c r="I19" s="371">
        <v>122.13122817360369311745588506</v>
      </c>
      <c r="J19" s="370">
        <v>98</v>
      </c>
      <c r="K19" s="172">
        <v>129.34591782500438549409463765</v>
      </c>
      <c r="L19" s="371">
        <v>92.25490744797163350292205192</v>
      </c>
      <c r="M19" s="370">
        <v>100.08888888888888888888888889</v>
      </c>
      <c r="N19" s="172">
        <v>136.00714285714285714285714285</v>
      </c>
      <c r="O19" s="371">
        <v>124.94212651413189771197846568</v>
      </c>
      <c r="P19" s="4"/>
      <c r="Q19" s="327">
        <v>-11.939424364145262862023725250</v>
      </c>
      <c r="R19" s="171">
        <v>0.4826523726149876240484254700</v>
      </c>
      <c r="S19" s="328">
        <v>-1.6089424988245950368378172700</v>
      </c>
      <c r="T19" s="327">
        <v>0</v>
      </c>
      <c r="U19" s="171">
        <v>7.3669497874237003591069953800</v>
      </c>
      <c r="V19" s="328">
        <v>1.7362910211657053222326488400</v>
      </c>
      <c r="W19" s="327">
        <v>-6.3694267516221753417988464400</v>
      </c>
      <c r="X19" s="171">
        <v>14.440886172258046357157561720</v>
      </c>
      <c r="Y19" s="328">
        <v>-6.6944523164653789536154974800</v>
      </c>
      <c r="Z19" s="327">
        <v>-11.508195026114453369757328830</v>
      </c>
      <c r="AA19" s="171">
        <v>2.340481423173735435968388700</v>
      </c>
      <c r="AB19" s="328">
        <v>-1.5831386654283258657000648100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row>
    <row r="20" ht="15.6" customHeight="1">
      <c r="A20" s="92"/>
      <c r="B20" s="346">
        <v>28</v>
      </c>
      <c r="C20" s="347" t="s">
        <v>50</v>
      </c>
      <c r="D20" s="378">
        <v>101.64516129032258064516129032</v>
      </c>
      <c r="E20" s="173">
        <v>142.00044709303555813412186285</v>
      </c>
      <c r="F20" s="379">
        <v>128.24374988999560875684552269</v>
      </c>
      <c r="G20" s="378">
        <v>0</v>
      </c>
      <c r="H20" s="173">
        <v>142.73438819649481179590281858</v>
      </c>
      <c r="I20" s="379">
        <v>125.99688968620692026542544775</v>
      </c>
      <c r="J20" s="378">
        <v>96.33333333333333333333333333</v>
      </c>
      <c r="K20" s="173">
        <v>132.76191944281688073568247001</v>
      </c>
      <c r="L20" s="379">
        <v>88.71110458648009981126617935</v>
      </c>
      <c r="M20" s="378">
        <v>101.400000000</v>
      </c>
      <c r="N20" s="173">
        <v>141.47133333333333333333333334</v>
      </c>
      <c r="O20" s="379">
        <v>127.85970333745364647713226205</v>
      </c>
      <c r="P20" s="4"/>
      <c r="Q20" s="359">
        <v>0.152324751608099430448576700</v>
      </c>
      <c r="R20" s="170">
        <v>1.5612077543118593768923934300</v>
      </c>
      <c r="S20" s="360">
        <v>0.4286087751046551138977490800</v>
      </c>
      <c r="T20" s="359">
        <v>-100</v>
      </c>
      <c r="U20" s="170">
        <v>27.284611723423937018185075290</v>
      </c>
      <c r="V20" s="360">
        <v>11.972624997413421957892643620</v>
      </c>
      <c r="W20" s="359">
        <v>0.3472222222222222222222222200</v>
      </c>
      <c r="X20" s="170">
        <v>16.169488727687963143154407540</v>
      </c>
      <c r="Y20" s="360">
        <v>-3.6984295641510639112140653900</v>
      </c>
      <c r="Z20" s="359">
        <v>-0.6907216494896551174407479600</v>
      </c>
      <c r="AA20" s="170">
        <v>6.0248507657020022547274431900</v>
      </c>
      <c r="AB20" s="360">
        <v>0.4704832640234263374943330700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row>
    <row r="21" ht="15.6" customHeight="1">
      <c r="A21" s="92"/>
      <c r="B21" s="344">
        <v>29</v>
      </c>
      <c r="C21" s="345" t="s">
        <v>51</v>
      </c>
      <c r="D21" s="370">
        <v>102.54901960784313725490196078</v>
      </c>
      <c r="E21" s="172">
        <v>131.41963252278903140479942692</v>
      </c>
      <c r="F21" s="371">
        <v>119.30141943831339807421491064</v>
      </c>
      <c r="G21" s="370">
        <v>112.22222222222222222222222222</v>
      </c>
      <c r="H21" s="172">
        <v>116.56667936163949795247067532</v>
      </c>
      <c r="I21" s="371">
        <v>115.92375936690332885114724923</v>
      </c>
      <c r="J21" s="370">
        <v>101</v>
      </c>
      <c r="K21" s="172">
        <v>134.94793214559587976812186043</v>
      </c>
      <c r="L21" s="371">
        <v>96.54519989252593579731978553</v>
      </c>
      <c r="M21" s="370">
        <v>103.84126984126984126984126984</v>
      </c>
      <c r="N21" s="172">
        <v>128.63390804597701149425287356</v>
      </c>
      <c r="O21" s="371">
        <v>119.07653429602888086642599278</v>
      </c>
      <c r="P21" s="4"/>
      <c r="Q21" s="327">
        <v>0.773486746130400366854810800</v>
      </c>
      <c r="R21" s="171">
        <v>-3.0577765274618959924892849900</v>
      </c>
      <c r="S21" s="328">
        <v>0.0909904994511829243571301700</v>
      </c>
      <c r="T21" s="327">
        <v>3.6960985626496295890272381100</v>
      </c>
      <c r="U21" s="171">
        <v>-0.2569906504193291744341492600</v>
      </c>
      <c r="V21" s="328">
        <v>-1.5662882663070110156278455700</v>
      </c>
      <c r="W21" s="327">
        <v>4.482758620653626634958395300</v>
      </c>
      <c r="X21" s="171">
        <v>20.71748392308182005695923800</v>
      </c>
      <c r="Y21" s="328">
        <v>6.0440714464319545041012481700</v>
      </c>
      <c r="Z21" s="327">
        <v>1.4603340032920998812925082800</v>
      </c>
      <c r="AA21" s="171">
        <v>0.5488334240889239790611874100</v>
      </c>
      <c r="AB21" s="328">
        <v>0.1257749484215143579865675400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row>
    <row r="22" ht="15.6" customHeight="1">
      <c r="A22" s="92"/>
      <c r="B22" s="346">
        <v>30</v>
      </c>
      <c r="C22" s="347" t="s">
        <v>52</v>
      </c>
      <c r="D22" s="378">
        <v>107.69230769230769230769230769</v>
      </c>
      <c r="E22" s="173">
        <v>119.41613234561405976046561882</v>
      </c>
      <c r="F22" s="379">
        <v>120.00557694072815550940960216</v>
      </c>
      <c r="G22" s="378">
        <v>116.04545454545454545454545455</v>
      </c>
      <c r="H22" s="173">
        <v>132.25510537841591902256518729</v>
      </c>
      <c r="I22" s="379">
        <v>122.37367213127432675782724527</v>
      </c>
      <c r="J22" s="378">
        <v>99</v>
      </c>
      <c r="K22" s="173">
        <v>131.61455637354992591521809837</v>
      </c>
      <c r="L22" s="379">
        <v>94.34373539349100572909015639</v>
      </c>
      <c r="M22" s="378">
        <v>109.32352941176470588235294118</v>
      </c>
      <c r="N22" s="173">
        <v>123.29809647979139504563233377</v>
      </c>
      <c r="O22" s="379">
        <v>120.17152103559870550161812298</v>
      </c>
      <c r="P22" s="4"/>
      <c r="Q22" s="359">
        <v>-4.4151115157315112323690371100</v>
      </c>
      <c r="R22" s="170">
        <v>-13.653042854120059692828158930</v>
      </c>
      <c r="S22" s="360">
        <v>-3.0146208457772284200473927400</v>
      </c>
      <c r="T22" s="359">
        <v>14.518540669894129902732321640</v>
      </c>
      <c r="U22" s="170">
        <v>-8.381048125819222232310352800</v>
      </c>
      <c r="V22" s="360">
        <v>4.3287663123897379456015550500</v>
      </c>
      <c r="W22" s="359">
        <v>1.0204081632653061224489795900</v>
      </c>
      <c r="X22" s="170">
        <v>12.422625216036044089632550370</v>
      </c>
      <c r="Y22" s="360">
        <v>-1.4296999131908942043984386600</v>
      </c>
      <c r="Z22" s="359">
        <v>-1.7706131078587529444104116600</v>
      </c>
      <c r="AA22" s="170">
        <v>-10.577723075041629792889082870</v>
      </c>
      <c r="AB22" s="360">
        <v>-2.3629699036433222291615571600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row>
    <row r="23" ht="15.6" customHeight="1">
      <c r="A23" s="92"/>
      <c r="B23" s="344">
        <v>31</v>
      </c>
      <c r="C23" s="345" t="s">
        <v>53</v>
      </c>
      <c r="D23" s="370">
        <v>111.39047619047619047619047619</v>
      </c>
      <c r="E23" s="172">
        <v>122.76645631121513948604689959</v>
      </c>
      <c r="F23" s="371">
        <v>120.8569879365276963292218801</v>
      </c>
      <c r="G23" s="370">
        <v>114.90909090909090909090909091</v>
      </c>
      <c r="H23" s="172">
        <v>134.38807090955510506647846477</v>
      </c>
      <c r="I23" s="371">
        <v>123.56750016160356337773155337</v>
      </c>
      <c r="J23" s="370">
        <v>98</v>
      </c>
      <c r="K23" s="172">
        <v>133.8263374621630214973331341</v>
      </c>
      <c r="L23" s="371">
        <v>94.83057611577777846855688918</v>
      </c>
      <c r="M23" s="370">
        <v>111.78294573643410852713178295</v>
      </c>
      <c r="N23" s="172">
        <v>124.99645892351274787535410765</v>
      </c>
      <c r="O23" s="371">
        <v>121.04918032786885245901639344</v>
      </c>
      <c r="P23" s="4"/>
      <c r="Q23" s="327">
        <v>4.2804457953216624975748591300</v>
      </c>
      <c r="R23" s="171">
        <v>-8.454805027545532377288072060</v>
      </c>
      <c r="S23" s="328">
        <v>-3.562201631364610535330616300</v>
      </c>
      <c r="T23" s="327">
        <v>26.582841882688496466880837360</v>
      </c>
      <c r="U23" s="171">
        <v>-18.650095754068478530164077660</v>
      </c>
      <c r="V23" s="328">
        <v>8.592321012414163934746567400</v>
      </c>
      <c r="W23" s="327">
        <v>11.363636363636363636363636360</v>
      </c>
      <c r="X23" s="171">
        <v>20.242262967827271273291527370</v>
      </c>
      <c r="Y23" s="328">
        <v>7.6679169795989914366909007800</v>
      </c>
      <c r="Z23" s="327">
        <v>6.6529393535293469393490916400</v>
      </c>
      <c r="AA23" s="171">
        <v>-7.988007539226518863051332880</v>
      </c>
      <c r="AB23" s="328">
        <v>-2.5863991060709879271796982600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row>
    <row r="24" ht="15.6" customHeight="1">
      <c r="A24" s="92" t="s">
        <v>145</v>
      </c>
      <c r="B24" s="666">
        <v>1</v>
      </c>
      <c r="C24" s="677" t="s">
        <v>49</v>
      </c>
      <c r="D24" s="678">
        <v>107.96969696969696969696969697</v>
      </c>
      <c r="E24" s="679">
        <v>115.84536924396201253068868465</v>
      </c>
      <c r="F24" s="680">
        <v>112.45928302515495832570179142</v>
      </c>
      <c r="G24" s="678">
        <v>109.28571428571428571428571429</v>
      </c>
      <c r="H24" s="679">
        <v>134.06636220302985401099327563</v>
      </c>
      <c r="I24" s="680">
        <v>118.78119162106454023217822039</v>
      </c>
      <c r="J24" s="678">
        <v>98.33333333333333333333333333</v>
      </c>
      <c r="K24" s="679">
        <v>130.12338318846446942274718996</v>
      </c>
      <c r="L24" s="680">
        <v>93.08844785179904194649873117</v>
      </c>
      <c r="M24" s="678">
        <v>107.51162790697674418604651163</v>
      </c>
      <c r="N24" s="679">
        <v>119.65571823204419889502762432</v>
      </c>
      <c r="O24" s="680">
        <v>112.77113237639553429027113238</v>
      </c>
      <c r="P24" s="4"/>
      <c r="Q24" s="668">
        <v>-11.463963124479729645781306300</v>
      </c>
      <c r="R24" s="669">
        <v>-12.701672851271279467897396770</v>
      </c>
      <c r="S24" s="670">
        <v>-5.8269956924327092224165107600</v>
      </c>
      <c r="T24" s="668">
        <v>0</v>
      </c>
      <c r="U24" s="669">
        <v>-18.247569914737157364721065140</v>
      </c>
      <c r="V24" s="670">
        <v>4.4069431142112854567795653600</v>
      </c>
      <c r="W24" s="668">
        <v>-2.1558872305140961857379767900</v>
      </c>
      <c r="X24" s="669">
        <v>16.900442438745000686412629710</v>
      </c>
      <c r="Y24" s="670">
        <v>-3.7930570966050147744918681300</v>
      </c>
      <c r="Z24" s="668">
        <v>-11.094932622721866607493086220</v>
      </c>
      <c r="AA24" s="669">
        <v>-8.452296230783923117771584700</v>
      </c>
      <c r="AB24" s="670">
        <v>-5.3611766636704408794970282800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row>
    <row r="25" ht="15.6" customHeight="1">
      <c r="A25" s="92"/>
      <c r="B25" s="344">
        <v>2</v>
      </c>
      <c r="C25" s="345" t="s">
        <v>47</v>
      </c>
      <c r="D25" s="370">
        <v>110.97222222222222222222222222</v>
      </c>
      <c r="E25" s="172">
        <v>139.70363185550482638352397568</v>
      </c>
      <c r="F25" s="371">
        <v>133.67643294929727645290568196</v>
      </c>
      <c r="G25" s="370">
        <v>109</v>
      </c>
      <c r="H25" s="172">
        <v>142.88169905883554343417379728</v>
      </c>
      <c r="I25" s="371">
        <v>131.29917668559122023074189897</v>
      </c>
      <c r="J25" s="370">
        <v>98</v>
      </c>
      <c r="K25" s="172">
        <v>131.75257516110670786591043602</v>
      </c>
      <c r="L25" s="371">
        <v>91.47073748991121872477804681</v>
      </c>
      <c r="M25" s="370">
        <v>110.11363636363636363636363636</v>
      </c>
      <c r="N25" s="172">
        <v>139.3487406015037593984962406</v>
      </c>
      <c r="O25" s="371">
        <v>133.37167070217917675544794189</v>
      </c>
      <c r="P25" s="4"/>
      <c r="Q25" s="327">
        <v>20.013217976404705641200527020</v>
      </c>
      <c r="R25" s="171">
        <v>-6.5004440128473389429325217900</v>
      </c>
      <c r="S25" s="328">
        <v>5.9164921882923088256537170900</v>
      </c>
      <c r="T25" s="327">
        <v>0</v>
      </c>
      <c r="U25" s="171">
        <v>-3.3941379490104683862478395700</v>
      </c>
      <c r="V25" s="328">
        <v>-12.242930907209548607273799630</v>
      </c>
      <c r="W25" s="327">
        <v>19.028340081019849530397174030</v>
      </c>
      <c r="X25" s="171">
        <v>14.828731405744242746304451330</v>
      </c>
      <c r="Y25" s="328">
        <v>14.695649659404362955433031480</v>
      </c>
      <c r="Z25" s="327">
        <v>19.709388971719171159679522290</v>
      </c>
      <c r="AA25" s="171">
        <v>-3.6155019620251057444761910400</v>
      </c>
      <c r="AB25" s="328">
        <v>4.8196004927250649472416237900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row>
    <row r="26" ht="15.6" customHeight="1">
      <c r="A26" s="92"/>
      <c r="B26" s="346">
        <v>3</v>
      </c>
      <c r="C26" s="347" t="s">
        <v>48</v>
      </c>
      <c r="D26" s="378">
        <v>121.33333333333333333333333333</v>
      </c>
      <c r="E26" s="173">
        <v>141.34759292920383304560342024</v>
      </c>
      <c r="F26" s="379">
        <v>142.66807394338465356122086143</v>
      </c>
      <c r="G26" s="378">
        <v>107.4</v>
      </c>
      <c r="H26" s="173">
        <v>156.7313786277452139615570613</v>
      </c>
      <c r="I26" s="379">
        <v>126.15795056678879190005550885</v>
      </c>
      <c r="J26" s="378">
        <v>96.66666666666666666666666667</v>
      </c>
      <c r="K26" s="173">
        <v>132.79751573050099572168248156</v>
      </c>
      <c r="L26" s="379">
        <v>89.15831516711892181813550137</v>
      </c>
      <c r="M26" s="378">
        <v>118.6226415094339622641509434</v>
      </c>
      <c r="N26" s="173">
        <v>142.07052785923753665689149559</v>
      </c>
      <c r="O26" s="379">
        <v>140.62555803571428571428571429</v>
      </c>
      <c r="P26" s="4"/>
      <c r="Q26" s="359">
        <v>12.076633595578760076306829750</v>
      </c>
      <c r="R26" s="170">
        <v>0.4187524353675704553589385400</v>
      </c>
      <c r="S26" s="360">
        <v>4.2513203973870356748331289600</v>
      </c>
      <c r="T26" s="359">
        <v>0</v>
      </c>
      <c r="U26" s="170">
        <v>13.869319567823781864909417700</v>
      </c>
      <c r="V26" s="360">
        <v>-12.547650905900342055333268670</v>
      </c>
      <c r="W26" s="359">
        <v>3.9426523297491039426523297500</v>
      </c>
      <c r="X26" s="170">
        <v>16.682722831240468527920164230</v>
      </c>
      <c r="Y26" s="360">
        <v>-0.8673537740658546037030718800</v>
      </c>
      <c r="Z26" s="359">
        <v>9.946166893125523667415468010</v>
      </c>
      <c r="AA26" s="170">
        <v>2.9061702860914876381764544500</v>
      </c>
      <c r="AB26" s="360">
        <v>2.4994305610001300389037615800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row>
    <row r="27" ht="15.6" customHeight="1">
      <c r="A27" s="92"/>
      <c r="B27" s="344">
        <v>4</v>
      </c>
      <c r="C27" s="345" t="s">
        <v>50</v>
      </c>
      <c r="D27" s="370">
        <v>126.97619047619047619047619048</v>
      </c>
      <c r="E27" s="172">
        <v>143.85092436568845573111742307</v>
      </c>
      <c r="F27" s="371">
        <v>143.05481621751155575823325547</v>
      </c>
      <c r="G27" s="370">
        <v>138.66666666666666666666666667</v>
      </c>
      <c r="H27" s="172">
        <v>160.96962558723796855708572843</v>
      </c>
      <c r="I27" s="371">
        <v>130.81025634997731067947243887</v>
      </c>
      <c r="J27" s="370">
        <v>102.5</v>
      </c>
      <c r="K27" s="172">
        <v>138.05284819842208755667131221</v>
      </c>
      <c r="L27" s="371">
        <v>93.4536586203265858516697344</v>
      </c>
      <c r="M27" s="370">
        <v>126.70212765957446808510638298</v>
      </c>
      <c r="N27" s="172">
        <v>146.09846925972396486825595983</v>
      </c>
      <c r="O27" s="371">
        <v>141.43362350380848748639825898</v>
      </c>
      <c r="P27" s="4"/>
      <c r="Q27" s="327"/>
      <c r="R27" s="171">
        <v>-3.7109656298459216104146830900</v>
      </c>
      <c r="S27" s="328">
        <v>5.9242532201602825657047834800</v>
      </c>
      <c r="T27" s="327"/>
      <c r="U27" s="171">
        <v>9.180625208755243993184829070</v>
      </c>
      <c r="V27" s="328">
        <v>4.9898383282547128334218627600</v>
      </c>
      <c r="W27" s="327"/>
      <c r="X27" s="171">
        <v>16.141328069389315100579805620</v>
      </c>
      <c r="Y27" s="328">
        <v>0</v>
      </c>
      <c r="Z27" s="327">
        <v>9.349600838074929954723685780</v>
      </c>
      <c r="AA27" s="171">
        <v>-0.5560233597934293955666952300</v>
      </c>
      <c r="AB27" s="328">
        <v>5.6527706025664408561811405600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row>
    <row r="28" ht="15.6" customHeight="1">
      <c r="A28" s="92"/>
      <c r="B28" s="346">
        <v>5</v>
      </c>
      <c r="C28" s="347" t="s">
        <v>51</v>
      </c>
      <c r="D28" s="378">
        <v>118.39344262295081967213114754</v>
      </c>
      <c r="E28" s="173">
        <v>131.82382414668081941010668806</v>
      </c>
      <c r="F28" s="379">
        <v>132.69298117975140881593420562</v>
      </c>
      <c r="G28" s="378">
        <v>129.125</v>
      </c>
      <c r="H28" s="173">
        <v>159.28015628436007249568627727</v>
      </c>
      <c r="I28" s="379">
        <v>133.38495902233693007094358494</v>
      </c>
      <c r="J28" s="378">
        <v>98.5</v>
      </c>
      <c r="K28" s="173">
        <v>122.87177182263843547225408791</v>
      </c>
      <c r="L28" s="379">
        <v>95.5769594657327235998083677</v>
      </c>
      <c r="M28" s="378">
        <v>120.06329113924050632911392405</v>
      </c>
      <c r="N28" s="173">
        <v>136.370306258322237017310253</v>
      </c>
      <c r="O28" s="379">
        <v>132.69723277265328269126424308</v>
      </c>
      <c r="P28" s="4"/>
      <c r="Q28" s="359">
        <v>5.3678022423231735308582137300</v>
      </c>
      <c r="R28" s="170">
        <v>-11.776078667332928545393513280</v>
      </c>
      <c r="S28" s="360">
        <v>1.3468505617495448254483080900</v>
      </c>
      <c r="T28" s="359">
        <v>40.607985480994776038287112440</v>
      </c>
      <c r="U28" s="170">
        <v>14.134326746637330000939112030</v>
      </c>
      <c r="V28" s="360">
        <v>14.555711901475118981105372240</v>
      </c>
      <c r="W28" s="359">
        <v>7.0652173913043478260869565200</v>
      </c>
      <c r="X28" s="170">
        <v>4.3226475042468333553533509200</v>
      </c>
      <c r="Y28" s="360">
        <v>7.500939310703219698661170400</v>
      </c>
      <c r="Z28" s="359">
        <v>14.273436997971841862418718370</v>
      </c>
      <c r="AA28" s="170">
        <v>-5.4519818669872395894509897800</v>
      </c>
      <c r="AB28" s="360">
        <v>3.6076108498993969869382471500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row>
    <row r="29" ht="15.6" customHeight="1">
      <c r="A29" s="92"/>
      <c r="B29" s="344">
        <v>6</v>
      </c>
      <c r="C29" s="345" t="s">
        <v>52</v>
      </c>
      <c r="D29" s="370">
        <v>105.9375</v>
      </c>
      <c r="E29" s="172">
        <v>130.5159767935666266486942941</v>
      </c>
      <c r="F29" s="371">
        <v>129.44854126661471012804340782</v>
      </c>
      <c r="G29" s="370">
        <v>129.11428571428571428571428571</v>
      </c>
      <c r="H29" s="172">
        <v>160.46431689332756183303268861</v>
      </c>
      <c r="I29" s="371">
        <v>135.25143110988715568057386025</v>
      </c>
      <c r="J29" s="370">
        <v>96</v>
      </c>
      <c r="K29" s="172">
        <v>126.91202781691802768645517619</v>
      </c>
      <c r="L29" s="371">
        <v>95.6705077010838562464346834</v>
      </c>
      <c r="M29" s="370">
        <v>111.14666666666666666666666667</v>
      </c>
      <c r="N29" s="172">
        <v>134.85673100120627261761158022</v>
      </c>
      <c r="O29" s="371">
        <v>130.31111111111111111111111111</v>
      </c>
      <c r="P29" s="4"/>
      <c r="Q29" s="327">
        <v>-11.279433183602178671298003080</v>
      </c>
      <c r="R29" s="171">
        <v>-17.656983086352776828198718530</v>
      </c>
      <c r="S29" s="328">
        <v>-4.523576683520947802068800500</v>
      </c>
      <c r="T29" s="327">
        <v>43.586270328993516321173863300</v>
      </c>
      <c r="U29" s="171">
        <v>13.219264232666637727705194390</v>
      </c>
      <c r="V29" s="328">
        <v>12.156837396774759930535858620</v>
      </c>
      <c r="W29" s="327">
        <v>7.8651685393258426966292134800</v>
      </c>
      <c r="X29" s="171">
        <v>6.1953958274506758754260331300</v>
      </c>
      <c r="Y29" s="328">
        <v>6.7342264952493643473838546300</v>
      </c>
      <c r="Z29" s="327">
        <v>2.2038314176245210727969348700</v>
      </c>
      <c r="AA29" s="171">
        <v>-11.216966007162069130635761650</v>
      </c>
      <c r="AB29" s="328">
        <v>-2.0178883861959161306492176700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row>
    <row r="30" ht="15.6" customHeight="1">
      <c r="A30" s="92"/>
      <c r="B30" s="346">
        <v>7</v>
      </c>
      <c r="C30" s="347" t="s">
        <v>53</v>
      </c>
      <c r="D30" s="378">
        <v>112.48484848484848484848484848</v>
      </c>
      <c r="E30" s="173">
        <v>127.4824984210658176374879838</v>
      </c>
      <c r="F30" s="379">
        <v>125.45080336969209421420158419</v>
      </c>
      <c r="G30" s="378">
        <v>125.66666666666666666666666667</v>
      </c>
      <c r="H30" s="173">
        <v>169.49406099437116909215832052</v>
      </c>
      <c r="I30" s="379">
        <v>138.44941661191609756926351207</v>
      </c>
      <c r="J30" s="378">
        <v>91</v>
      </c>
      <c r="K30" s="173">
        <v>115.08372732643215638128070724</v>
      </c>
      <c r="L30" s="379">
        <v>87.95749951769332657990372954</v>
      </c>
      <c r="M30" s="378">
        <v>115.41791044776119402985074627</v>
      </c>
      <c r="N30" s="173">
        <v>133.64530640668523676880222841</v>
      </c>
      <c r="O30" s="379">
        <v>127.22729744426318651441000544</v>
      </c>
      <c r="P30" s="4"/>
      <c r="Q30" s="359">
        <v>-1.8625676772991344469763342700</v>
      </c>
      <c r="R30" s="170">
        <v>-9.895666305689641224293290080</v>
      </c>
      <c r="S30" s="360">
        <v>-7.996669575513028657206079950</v>
      </c>
      <c r="T30" s="359">
        <v>31.942867953143523057716145380</v>
      </c>
      <c r="U30" s="170">
        <v>18.751926674172115155797395320</v>
      </c>
      <c r="V30" s="360">
        <v>12.84186144295584044016271400</v>
      </c>
      <c r="W30" s="359">
        <v>-1.086956521739130434782608700</v>
      </c>
      <c r="X30" s="170">
        <v>-5.0299501710326221423918275500</v>
      </c>
      <c r="Y30" s="360">
        <v>-6.5140728356194832088218951600</v>
      </c>
      <c r="Z30" s="359">
        <v>7.1751658724869415409615647400</v>
      </c>
      <c r="AA30" s="170">
        <v>-4.933208295741201052023546100</v>
      </c>
      <c r="AB30" s="360">
        <v>-5.0056607972963112741613639100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row>
    <row r="31" ht="15.6" customHeight="1">
      <c r="A31" s="92"/>
      <c r="B31" s="344">
        <v>8</v>
      </c>
      <c r="C31" s="345" t="s">
        <v>49</v>
      </c>
      <c r="D31" s="370">
        <v>88.17391304347826086956521739</v>
      </c>
      <c r="E31" s="172">
        <v>115.32994722853166208803759907</v>
      </c>
      <c r="F31" s="371">
        <v>112.695319902893809037688127</v>
      </c>
      <c r="G31" s="370">
        <v>127</v>
      </c>
      <c r="H31" s="172">
        <v>161.48784768504854069738249772</v>
      </c>
      <c r="I31" s="371">
        <v>124.87397416282811135910894497</v>
      </c>
      <c r="J31" s="370">
        <v>86.5</v>
      </c>
      <c r="K31" s="172">
        <v>119.3145121347537118275936302</v>
      </c>
      <c r="L31" s="371">
        <v>83.92046720425480089155953949</v>
      </c>
      <c r="M31" s="370">
        <v>88.89795918367346938775510204</v>
      </c>
      <c r="N31" s="172">
        <v>120.17969121140142517814726841</v>
      </c>
      <c r="O31" s="371">
        <v>114.20164609053497942386831276</v>
      </c>
      <c r="P31" s="4"/>
      <c r="Q31" s="327"/>
      <c r="R31" s="171">
        <v>-16.649526623826921323844500580</v>
      </c>
      <c r="S31" s="328">
        <v>-5.511467867407167709270612600</v>
      </c>
      <c r="T31" s="327"/>
      <c r="U31" s="171">
        <v>44.076630964092769329210429810</v>
      </c>
      <c r="V31" s="328">
        <v>8.378078055734189022195900250</v>
      </c>
      <c r="W31" s="327"/>
      <c r="X31" s="171">
        <v>-1.2824409618324659165397255300</v>
      </c>
      <c r="Y31" s="328">
        <v>0</v>
      </c>
      <c r="Z31" s="327">
        <v>-4.0669505212501888079904473700</v>
      </c>
      <c r="AA31" s="171">
        <v>-7.8486641626245689794540169900</v>
      </c>
      <c r="AB31" s="328">
        <v>-3.8613611354648872268847094100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row>
    <row r="32" ht="15.6" customHeight="1">
      <c r="A32" s="92"/>
      <c r="B32" s="346">
        <v>9</v>
      </c>
      <c r="C32" s="347" t="s">
        <v>47</v>
      </c>
      <c r="D32" s="378">
        <v>108.11627906976744186046511628</v>
      </c>
      <c r="E32" s="173">
        <v>139.16315914870977366938634902</v>
      </c>
      <c r="F32" s="379">
        <v>129.74371942561058913841162465</v>
      </c>
      <c r="G32" s="378">
        <v>0</v>
      </c>
      <c r="H32" s="173">
        <v>146.82598519983066412671291836</v>
      </c>
      <c r="I32" s="379">
        <v>131.36797873205046310731612724</v>
      </c>
      <c r="J32" s="378">
        <v>98</v>
      </c>
      <c r="K32" s="173">
        <v>121.34627555596701028078037776</v>
      </c>
      <c r="L32" s="379">
        <v>93.59685201208195732602914413</v>
      </c>
      <c r="M32" s="378">
        <v>107.25531914893617021276595745</v>
      </c>
      <c r="N32" s="173">
        <v>137.74974311926605504587155962</v>
      </c>
      <c r="O32" s="379">
        <v>129.91736028537455410225921522</v>
      </c>
      <c r="P32" s="4"/>
      <c r="Q32" s="359">
        <v>3.9039565085617917292613961500</v>
      </c>
      <c r="R32" s="170">
        <v>-0.9306791685951929780387153700</v>
      </c>
      <c r="S32" s="360">
        <v>-2.9048488274195074003904503700</v>
      </c>
      <c r="T32" s="359">
        <v>0</v>
      </c>
      <c r="U32" s="170">
        <v>40.316812761057903080883982620</v>
      </c>
      <c r="V32" s="360">
        <v>8.226984270834925344526963550</v>
      </c>
      <c r="W32" s="359">
        <v>1.5544041450777202072538860100</v>
      </c>
      <c r="X32" s="170">
        <v>9.226238996386734805077517800</v>
      </c>
      <c r="Y32" s="360">
        <v>2.7524999318924630333427025200</v>
      </c>
      <c r="Z32" s="359">
        <v>3.4617226516736491690180703200</v>
      </c>
      <c r="AA32" s="170">
        <v>3.1907556360915216071099257500</v>
      </c>
      <c r="AB32" s="360">
        <v>-1.7367399830884786841105807100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row>
    <row r="33" ht="15.6" customHeight="1">
      <c r="A33" s="92"/>
      <c r="B33" s="344">
        <v>10</v>
      </c>
      <c r="C33" s="345" t="s">
        <v>48</v>
      </c>
      <c r="D33" s="370"/>
      <c r="E33" s="172">
        <v>146.43350958365596114152185722</v>
      </c>
      <c r="F33" s="371">
        <v>143.14709551887810389833906716</v>
      </c>
      <c r="G33" s="370"/>
      <c r="H33" s="172">
        <v>136.67902357598026826804832887</v>
      </c>
      <c r="I33" s="371">
        <v>126.33363576033795083133543113</v>
      </c>
      <c r="J33" s="370"/>
      <c r="K33" s="172">
        <v>124.31073727703174021904704254</v>
      </c>
      <c r="L33" s="371">
        <v>0</v>
      </c>
      <c r="M33" s="370"/>
      <c r="N33" s="172">
        <v>143.9077151335311572700296736</v>
      </c>
      <c r="O33" s="371">
        <v>139.65898848272408612919379069</v>
      </c>
      <c r="P33" s="4"/>
      <c r="Q33" s="327"/>
      <c r="R33" s="171">
        <v>-0.6293087965397261999066860700</v>
      </c>
      <c r="S33" s="328">
        <v>0.8892900934335471895879778800</v>
      </c>
      <c r="T33" s="327"/>
      <c r="U33" s="171">
        <v>2.1604679875588698287186012100</v>
      </c>
      <c r="V33" s="328">
        <v>10.662342436658465938126420410</v>
      </c>
      <c r="W33" s="327"/>
      <c r="X33" s="171">
        <v>0.5885647377692577493744041700</v>
      </c>
      <c r="Y33" s="328">
        <v>-100</v>
      </c>
      <c r="Z33" s="327"/>
      <c r="AA33" s="171">
        <v>-0.6487509271517496900739000300</v>
      </c>
      <c r="AB33" s="328">
        <v>0.2314589680240610454754769600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row>
    <row r="34" ht="15.6" customHeight="1">
      <c r="A34" s="92"/>
      <c r="B34" s="346">
        <v>11</v>
      </c>
      <c r="C34" s="347" t="s">
        <v>50</v>
      </c>
      <c r="D34" s="378">
        <v>116.36</v>
      </c>
      <c r="E34" s="173">
        <v>139.54340331173873133412633142</v>
      </c>
      <c r="F34" s="379">
        <v>140.14529928070866481663414309</v>
      </c>
      <c r="G34" s="378">
        <v>0</v>
      </c>
      <c r="H34" s="173">
        <v>126.04096006731844724424296022</v>
      </c>
      <c r="I34" s="379">
        <v>122.88639626147272689907459102</v>
      </c>
      <c r="J34" s="378">
        <v>98</v>
      </c>
      <c r="K34" s="173">
        <v>126.48801408241772618932628377</v>
      </c>
      <c r="L34" s="379">
        <v>93.16348303519765946788537013</v>
      </c>
      <c r="M34" s="378">
        <v>115.000000000</v>
      </c>
      <c r="N34" s="173">
        <v>136.00625172890733056708160443</v>
      </c>
      <c r="O34" s="379">
        <v>138.03050471436494731003882418</v>
      </c>
      <c r="P34" s="4"/>
      <c r="Q34" s="359">
        <v>15.091047425777040967183340640</v>
      </c>
      <c r="R34" s="170">
        <v>-1.8458066018593499371759896200</v>
      </c>
      <c r="S34" s="360">
        <v>3.8675268453622650209977575600</v>
      </c>
      <c r="T34" s="359">
        <v>0</v>
      </c>
      <c r="U34" s="170">
        <v>-9.285082364415698814978255390</v>
      </c>
      <c r="V34" s="360">
        <v>6.7666689743388768428726775700</v>
      </c>
      <c r="W34" s="359">
        <v>6.5217391304347826086956521700</v>
      </c>
      <c r="X34" s="170">
        <v>5.2040487867168864167078349100</v>
      </c>
      <c r="Y34" s="360">
        <v>3.7973297466736744565797753600</v>
      </c>
      <c r="Z34" s="359">
        <v>14.247637509047747348555205510</v>
      </c>
      <c r="AA34" s="170">
        <v>-3.0341438473086109445591038700</v>
      </c>
      <c r="AB34" s="360">
        <v>3.1784829653777872057567667700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row>
    <row r="35" ht="15.6" customHeight="1">
      <c r="A35" s="92"/>
      <c r="B35" s="344">
        <v>12</v>
      </c>
      <c r="C35" s="345" t="s">
        <v>51</v>
      </c>
      <c r="D35" s="370">
        <v>118.36842105263157894736842105</v>
      </c>
      <c r="E35" s="172">
        <v>138.02296531152144566218997413</v>
      </c>
      <c r="F35" s="371">
        <v>125.6614369546539413117352391</v>
      </c>
      <c r="G35" s="370">
        <v>113</v>
      </c>
      <c r="H35" s="172">
        <v>124.88535157300582749647453081</v>
      </c>
      <c r="I35" s="371">
        <v>121.52055967395789132115377899</v>
      </c>
      <c r="J35" s="370">
        <v>98</v>
      </c>
      <c r="K35" s="172">
        <v>124.11675680698958062670141074</v>
      </c>
      <c r="L35" s="371">
        <v>91.21649316519213642253640561</v>
      </c>
      <c r="M35" s="370">
        <v>115.02816901408450704225352113</v>
      </c>
      <c r="N35" s="172">
        <v>132.9863262411347517730496454</v>
      </c>
      <c r="O35" s="371">
        <v>124.64883148831488314883148831</v>
      </c>
      <c r="P35" s="4"/>
      <c r="Q35" s="327">
        <v>20.211666607235790513032507570</v>
      </c>
      <c r="R35" s="171">
        <v>5.7737245726570599661081225700</v>
      </c>
      <c r="S35" s="328">
        <v>1.9988391189616332363787464400</v>
      </c>
      <c r="T35" s="327">
        <v>0</v>
      </c>
      <c r="U35" s="171">
        <v>-9.528672386707876205096715820</v>
      </c>
      <c r="V35" s="328">
        <v>3.3002456661403583874065558800</v>
      </c>
      <c r="W35" s="327">
        <v>4.2553191489361702127659574500</v>
      </c>
      <c r="X35" s="171">
        <v>5.661687020015582035802884600</v>
      </c>
      <c r="Y35" s="328">
        <v>0.9153635316907741380791208500</v>
      </c>
      <c r="Z35" s="327">
        <v>16.906336385465640444616808060</v>
      </c>
      <c r="AA35" s="171">
        <v>0.9352186750906707646664025200</v>
      </c>
      <c r="AB35" s="328">
        <v>1.6897145093852228150647547700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row>
    <row r="36" ht="15.6" customHeight="1">
      <c r="A36" s="92"/>
      <c r="B36" s="346">
        <v>13</v>
      </c>
      <c r="C36" s="347" t="s">
        <v>52</v>
      </c>
      <c r="D36" s="378">
        <v>110.37878787878787878787878788</v>
      </c>
      <c r="E36" s="173">
        <v>141.53978729533083183361486402</v>
      </c>
      <c r="F36" s="379">
        <v>119.02658868642006921544749476</v>
      </c>
      <c r="G36" s="378">
        <v>0</v>
      </c>
      <c r="H36" s="173">
        <v>133.98047857301168053701459576</v>
      </c>
      <c r="I36" s="379">
        <v>128.36440246292844950084898493</v>
      </c>
      <c r="J36" s="378">
        <v>98</v>
      </c>
      <c r="K36" s="173">
        <v>114.77141549470152663090286652</v>
      </c>
      <c r="L36" s="379">
        <v>92.70762400100388019505760023</v>
      </c>
      <c r="M36" s="378">
        <v>110.01470588235294117647058824</v>
      </c>
      <c r="N36" s="173">
        <v>136.69892663043478260869565218</v>
      </c>
      <c r="O36" s="379">
        <v>120.38948027551659361302442079</v>
      </c>
      <c r="P36" s="4"/>
      <c r="Q36" s="359">
        <v>-1.7432274333782369066028601900</v>
      </c>
      <c r="R36" s="170">
        <v>7.285004724791218365952909400</v>
      </c>
      <c r="S36" s="360">
        <v>-3.5940842321866236795686599300</v>
      </c>
      <c r="T36" s="359">
        <v>0</v>
      </c>
      <c r="U36" s="170">
        <v>-0.0965247518699290935983699400</v>
      </c>
      <c r="V36" s="360">
        <v>3.5857065287286248209951102600</v>
      </c>
      <c r="W36" s="359">
        <v>3.5211267605269291807181243200</v>
      </c>
      <c r="X36" s="170">
        <v>-4.7982145802706846308564148500</v>
      </c>
      <c r="Y36" s="360">
        <v>-3.5148138812702058399215673900</v>
      </c>
      <c r="Z36" s="359">
        <v>-1.5624106090444894994597412300</v>
      </c>
      <c r="AA36" s="170">
        <v>3.8298734100582834959939205600</v>
      </c>
      <c r="AB36" s="360">
        <v>-2.4475485977501064637999993600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row>
    <row r="37" ht="15.6" customHeight="1">
      <c r="A37" s="92"/>
      <c r="B37" s="348">
        <v>14</v>
      </c>
      <c r="C37" s="349" t="s">
        <v>53</v>
      </c>
      <c r="D37" s="380">
        <v>90.21428571428571428571428571</v>
      </c>
      <c r="E37" s="383">
        <v>138.96765372477547850413548669</v>
      </c>
      <c r="F37" s="381">
        <v>118.7977632142594054321175002</v>
      </c>
      <c r="G37" s="380">
        <v>0</v>
      </c>
      <c r="H37" s="383">
        <v>129.77934095558830264567474993</v>
      </c>
      <c r="I37" s="381">
        <v>138.77841374712137765763612728</v>
      </c>
      <c r="J37" s="380">
        <v>98</v>
      </c>
      <c r="K37" s="383">
        <v>126.71247852020843713091151846</v>
      </c>
      <c r="L37" s="381">
        <v>93.3417305802291489358948452</v>
      </c>
      <c r="M37" s="380">
        <v>90.96774193548387096774193548</v>
      </c>
      <c r="N37" s="383">
        <v>135.2623338257016248153618907</v>
      </c>
      <c r="O37" s="381">
        <v>120.65942492012779552715654952</v>
      </c>
      <c r="P37" s="4"/>
      <c r="Q37" s="329">
        <v>-22.409842598146956372849646960</v>
      </c>
      <c r="R37" s="330">
        <v>2.4397971750205947237778305400</v>
      </c>
      <c r="S37" s="332">
        <v>-2.173614737623156853629338900</v>
      </c>
      <c r="T37" s="329">
        <v>0</v>
      </c>
      <c r="U37" s="330">
        <v>-3.7319529210327539738079136400</v>
      </c>
      <c r="V37" s="332">
        <v>9.710165114671705169292029850</v>
      </c>
      <c r="W37" s="329">
        <v>8.287292817679558011049723760</v>
      </c>
      <c r="X37" s="330">
        <v>4.2194043775860569676144769500</v>
      </c>
      <c r="Y37" s="332">
        <v>2.5136540069372314143067055800</v>
      </c>
      <c r="Z37" s="329">
        <v>-21.302807204390940428242144490</v>
      </c>
      <c r="AA37" s="330">
        <v>0.5251873052154322729305047600</v>
      </c>
      <c r="AB37" s="332">
        <v>-0.8351672388870801880637994900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row>
    <row r="39" ht="15.6" customHeight="1">
      <c r="A39" s="54"/>
      <c r="B39" s="53"/>
      <c r="C39" s="53" t="s">
        <v>14</v>
      </c>
      <c r="D39" s="374">
        <v>96.19209039548022598870056497</v>
      </c>
      <c r="E39" s="382">
        <v>117.61753906103065584163698623</v>
      </c>
      <c r="F39" s="375">
        <v>111.67984725749348043730105248</v>
      </c>
      <c r="G39" s="374">
        <v>111.5</v>
      </c>
      <c r="H39" s="382">
        <v>127.41961183925665625758560213</v>
      </c>
      <c r="I39" s="375">
        <v>124.24001218510143376843263421</v>
      </c>
      <c r="J39" s="374">
        <v>96.4</v>
      </c>
      <c r="K39" s="382">
        <v>128.79810695786917997484915109</v>
      </c>
      <c r="L39" s="375">
        <v>91.11695277754181898611440937</v>
      </c>
      <c r="M39" s="374">
        <v>96.83076923076923076923076923</v>
      </c>
      <c r="N39" s="382">
        <v>120.37218292682926829268292683</v>
      </c>
      <c r="O39" s="375">
        <v>112.67098831030818278427205101</v>
      </c>
      <c r="P39" s="4"/>
      <c r="Q39" s="354">
        <v>-15.639022326956713871349813750</v>
      </c>
      <c r="R39" s="355">
        <v>-10.715832508345448404161382150</v>
      </c>
      <c r="S39" s="356">
        <v>-4.4644401482090135124300823500</v>
      </c>
      <c r="T39" s="354">
        <v>-7.9076170082791265427024180500</v>
      </c>
      <c r="U39" s="355">
        <v>0.0673250484490649333431518400</v>
      </c>
      <c r="V39" s="356">
        <v>1.0351266444380606102863739700</v>
      </c>
      <c r="W39" s="354">
        <v>-14.147582697190095112302441490</v>
      </c>
      <c r="X39" s="355">
        <v>12.070455295610880290255881010</v>
      </c>
      <c r="Y39" s="356">
        <v>-16.890701154700543466329371090</v>
      </c>
      <c r="Z39" s="354">
        <v>-13.199971975662026964617809840</v>
      </c>
      <c r="AA39" s="355">
        <v>-5.9461966426077301985922432600</v>
      </c>
      <c r="AB39" s="356">
        <v>-4.0553605078000303740254462100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row>
    <row r="40" ht="15.6" customHeight="1">
      <c r="A40" s="54"/>
      <c r="C40" s="53" t="s">
        <v>15</v>
      </c>
      <c r="D40" s="370">
        <v>106.90666666666666666666666667</v>
      </c>
      <c r="E40" s="172">
        <v>135.82610515115128222284136151</v>
      </c>
      <c r="F40" s="371">
        <v>126.32327451975577579217426455</v>
      </c>
      <c r="G40" s="370">
        <v>117.9047619047619047619047619</v>
      </c>
      <c r="H40" s="172">
        <v>128.39589172781862204378992839</v>
      </c>
      <c r="I40" s="371">
        <v>128.22695449187150904074773713</v>
      </c>
      <c r="J40" s="370">
        <v>96.09090909090909090909090909</v>
      </c>
      <c r="K40" s="172">
        <v>128.64305578105941140387006478</v>
      </c>
      <c r="L40" s="371">
        <v>91.78114448145572644323628864</v>
      </c>
      <c r="M40" s="370">
        <v>107.52197802197802197802197802</v>
      </c>
      <c r="N40" s="172">
        <v>133.96188921859545004945598417</v>
      </c>
      <c r="O40" s="371">
        <v>126.43713080168776371308016878</v>
      </c>
      <c r="P40" s="4"/>
      <c r="Q40" s="327">
        <v>11.104619590684666693539468120</v>
      </c>
      <c r="R40" s="171">
        <v>-2.8164151169252941809423524600</v>
      </c>
      <c r="S40" s="328">
        <v>0.274271453208152006600036500</v>
      </c>
      <c r="T40" s="327">
        <v>11.230907457322551662174303680</v>
      </c>
      <c r="U40" s="171">
        <v>-1.9616476384218326785465195900</v>
      </c>
      <c r="V40" s="328">
        <v>-2.0196937145411802753969676500</v>
      </c>
      <c r="W40" s="327">
        <v>4.0226350104563906999630950900</v>
      </c>
      <c r="X40" s="171">
        <v>12.748369047991244997978807470</v>
      </c>
      <c r="Y40" s="328">
        <v>2.3219579440036410189761957200</v>
      </c>
      <c r="Z40" s="327">
        <v>11.470587901869513312983109320</v>
      </c>
      <c r="AA40" s="171">
        <v>-0.9884336783002548582320860800</v>
      </c>
      <c r="AB40" s="328">
        <v>0.1624886310437422094774300100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row>
    <row r="41" ht="15.6" customHeight="1">
      <c r="A41" s="54"/>
      <c r="B41" s="22"/>
      <c r="C41" s="53" t="s">
        <v>16</v>
      </c>
      <c r="D41" s="378">
        <v>108.53237410071942446043165468</v>
      </c>
      <c r="E41" s="173">
        <v>143.00440642357482138043926652</v>
      </c>
      <c r="F41" s="379">
        <v>138.11444699904770822380378681</v>
      </c>
      <c r="G41" s="378">
        <v>104.48571428571428571428571429</v>
      </c>
      <c r="H41" s="173">
        <v>132.3996947024151292208323683</v>
      </c>
      <c r="I41" s="379">
        <v>124.00006430493853696710034921</v>
      </c>
      <c r="J41" s="378">
        <v>97.6</v>
      </c>
      <c r="K41" s="173">
        <v>128.96923340546680053733389179</v>
      </c>
      <c r="L41" s="379">
        <v>91.81501320088839483549922407</v>
      </c>
      <c r="M41" s="378">
        <v>107.16847826086956521739130435</v>
      </c>
      <c r="N41" s="173">
        <v>140.89340570969039002814636108</v>
      </c>
      <c r="O41" s="379">
        <v>135.96245589273112208892025406</v>
      </c>
      <c r="P41" s="4"/>
      <c r="Q41" s="359">
        <v>-5.3271153990619065718214196900</v>
      </c>
      <c r="R41" s="170">
        <v>-0.0190757352991062543913995600</v>
      </c>
      <c r="S41" s="360">
        <v>1.2952953371570437237348280700</v>
      </c>
      <c r="T41" s="359">
        <v>-15.052264808362369337979094070</v>
      </c>
      <c r="U41" s="170">
        <v>-1.8844460926228296429738181200</v>
      </c>
      <c r="V41" s="360">
        <v>-2.2832269177236366908635899900</v>
      </c>
      <c r="W41" s="359">
        <v>-1.7749313814828087580536076200</v>
      </c>
      <c r="X41" s="170">
        <v>10.985122019719508660503509270</v>
      </c>
      <c r="Y41" s="360">
        <v>-3.5864571815465427662101104700</v>
      </c>
      <c r="Z41" s="359">
        <v>-6.2293574808951542442985732600</v>
      </c>
      <c r="AA41" s="170">
        <v>1.0701250899939793124213522800</v>
      </c>
      <c r="AB41" s="360">
        <v>0.2765387638137231545490750700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row>
    <row r="42" ht="15.6" customHeight="1">
      <c r="A42" s="54"/>
      <c r="B42" s="22"/>
      <c r="C42" s="53" t="s">
        <v>17</v>
      </c>
      <c r="D42" s="370">
        <v>108.7149758454106280193236715</v>
      </c>
      <c r="E42" s="172">
        <v>143.10214456146886893058122077</v>
      </c>
      <c r="F42" s="371">
        <v>137.38772115670962497322944837</v>
      </c>
      <c r="G42" s="370">
        <v>138.66666666666666666666666667</v>
      </c>
      <c r="H42" s="172">
        <v>141.11353546788069393219241575</v>
      </c>
      <c r="I42" s="371">
        <v>130.02073571045004337048678872</v>
      </c>
      <c r="J42" s="370">
        <v>98.09090909090909090909090909</v>
      </c>
      <c r="K42" s="172">
        <v>131.33035631883813473207911113</v>
      </c>
      <c r="L42" s="371">
        <v>91.62187807143870252425324806</v>
      </c>
      <c r="M42" s="370">
        <v>108.59728506787330316742081448</v>
      </c>
      <c r="N42" s="172">
        <v>141.98699999999999999999999999</v>
      </c>
      <c r="O42" s="371">
        <v>136.28301616826441551008728001</v>
      </c>
      <c r="P42" s="4"/>
      <c r="Q42" s="327">
        <v>3.7328757562797606051138066800</v>
      </c>
      <c r="R42" s="171">
        <v>-0.0087320885576458799941073700</v>
      </c>
      <c r="S42" s="328">
        <v>3.7728549850251107433862415700</v>
      </c>
      <c r="T42" s="327">
        <v>6.7413109400438482870814058400</v>
      </c>
      <c r="U42" s="171">
        <v>1.8523062100783655235704810300</v>
      </c>
      <c r="V42" s="328">
        <v>3.722729669470088365015317700</v>
      </c>
      <c r="W42" s="327">
        <v>4.9902696691366446214523073900</v>
      </c>
      <c r="X42" s="171">
        <v>13.076563935144249975590864640</v>
      </c>
      <c r="Y42" s="328">
        <v>1.874115181237268771630506200</v>
      </c>
      <c r="Z42" s="327">
        <v>-0.1373111970657538910253819700</v>
      </c>
      <c r="AA42" s="171">
        <v>1.4390486607007069093450539900</v>
      </c>
      <c r="AB42" s="328">
        <v>3.3863058598240659565064017800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row>
    <row r="43" ht="15.6" customHeight="1">
      <c r="A43" s="54"/>
      <c r="B43" s="22"/>
      <c r="C43" s="53" t="s">
        <v>18</v>
      </c>
      <c r="D43" s="378">
        <v>110.98048780487804878048780488</v>
      </c>
      <c r="E43" s="173">
        <v>131.80331017885525313720781445</v>
      </c>
      <c r="F43" s="379">
        <v>125.66564366192763402870317969</v>
      </c>
      <c r="G43" s="378">
        <v>117.64814814814814814814814815</v>
      </c>
      <c r="H43" s="173">
        <v>133.37054208408528675582198246</v>
      </c>
      <c r="I43" s="379">
        <v>126.41063314100022120023944178</v>
      </c>
      <c r="J43" s="378">
        <v>100.08333333333333333333333333</v>
      </c>
      <c r="K43" s="173">
        <v>128.55101917116570375369186464</v>
      </c>
      <c r="L43" s="379">
        <v>95.64793506694271723374478603</v>
      </c>
      <c r="M43" s="378">
        <v>111.82287822878228782287822878</v>
      </c>
      <c r="N43" s="173">
        <v>131.87248550444530344027831465</v>
      </c>
      <c r="O43" s="379">
        <v>125.6388672786681188735024117</v>
      </c>
      <c r="P43" s="4"/>
      <c r="Q43" s="359">
        <v>5.7128395044683984913853464800</v>
      </c>
      <c r="R43" s="170">
        <v>-1.6406147268126067077000323300</v>
      </c>
      <c r="S43" s="360">
        <v>0.3215305494713180096881337900</v>
      </c>
      <c r="T43" s="359">
        <v>23.043115520971829420344648620</v>
      </c>
      <c r="U43" s="170">
        <v>0.1373815419668572314469182900</v>
      </c>
      <c r="V43" s="360">
        <v>6.2237187005312486868102651200</v>
      </c>
      <c r="W43" s="359">
        <v>7.6164874551971326164874551900</v>
      </c>
      <c r="X43" s="170">
        <v>12.000658096839696330906321050</v>
      </c>
      <c r="Y43" s="360">
        <v>7.0393559162742569271064054900</v>
      </c>
      <c r="Z43" s="359">
        <v>8.235428342390359599093982160</v>
      </c>
      <c r="AA43" s="170">
        <v>-0.0742760035533419530645730300</v>
      </c>
      <c r="AB43" s="360">
        <v>0.9749828925626138229986053400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row>
    <row r="44" ht="15.6" customHeight="1">
      <c r="A44" s="54"/>
      <c r="B44" s="22"/>
      <c r="C44" s="53" t="s">
        <v>19</v>
      </c>
      <c r="D44" s="370">
        <v>106.23163841807909604519774011</v>
      </c>
      <c r="E44" s="172">
        <v>129.80720342972215399607919522</v>
      </c>
      <c r="F44" s="371">
        <v>123.73371655946142193951946356</v>
      </c>
      <c r="G44" s="370">
        <v>123.5</v>
      </c>
      <c r="H44" s="172">
        <v>139.08710358100447470653563903</v>
      </c>
      <c r="I44" s="371">
        <v>129.4952705214231813653938582</v>
      </c>
      <c r="J44" s="370">
        <v>96.8</v>
      </c>
      <c r="K44" s="172">
        <v>126.00945695714235845317625981</v>
      </c>
      <c r="L44" s="371">
        <v>93.80810765431168788577319332</v>
      </c>
      <c r="M44" s="370">
        <v>108.45283018867924528301886792</v>
      </c>
      <c r="N44" s="172">
        <v>131.65161311914323962516733601</v>
      </c>
      <c r="O44" s="371">
        <v>124.47295690936106983655274889</v>
      </c>
      <c r="P44" s="4"/>
      <c r="Q44" s="327">
        <v>-6.3946207284187787257287793600</v>
      </c>
      <c r="R44" s="171">
        <v>-8.716090294714939981704678620</v>
      </c>
      <c r="S44" s="328">
        <v>-5.0732287009515589408825550400</v>
      </c>
      <c r="T44" s="327">
        <v>29.949337490307852430822411480</v>
      </c>
      <c r="U44" s="171">
        <v>-2.0753443752134896438538313200</v>
      </c>
      <c r="V44" s="328">
        <v>5.5418621170118125109087607500</v>
      </c>
      <c r="W44" s="327">
        <v>3.4503816794209008799021132500</v>
      </c>
      <c r="X44" s="171">
        <v>7.4384585496822331444127248300</v>
      </c>
      <c r="Y44" s="328">
        <v>-0.8576411738891921874088807400</v>
      </c>
      <c r="Z44" s="327">
        <v>-1.8098755947876999335462972100</v>
      </c>
      <c r="AA44" s="171">
        <v>-6.1637680357179880834595658300</v>
      </c>
      <c r="AB44" s="328">
        <v>-3.8331932898940994904603140200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row>
    <row r="45" ht="15.6" customHeight="1">
      <c r="A45" s="54"/>
      <c r="B45" s="22"/>
      <c r="C45" s="53" t="s">
        <v>20</v>
      </c>
      <c r="D45" s="384">
        <v>107.07076923076923076923076923</v>
      </c>
      <c r="E45" s="385">
        <v>129.92042865660639801505980167</v>
      </c>
      <c r="F45" s="386">
        <v>122.56367145454910217205916444</v>
      </c>
      <c r="G45" s="384">
        <v>121.36363636363636363636363636</v>
      </c>
      <c r="H45" s="385">
        <v>143.38786273244212321081877881</v>
      </c>
      <c r="I45" s="386">
        <v>134.58409986447598369734065131</v>
      </c>
      <c r="J45" s="384">
        <v>96.18181818181818181818181818</v>
      </c>
      <c r="K45" s="385">
        <v>127.18193166481684178200099399</v>
      </c>
      <c r="L45" s="386">
        <v>93.81792529682164101115786571</v>
      </c>
      <c r="M45" s="384">
        <v>108.7774936061381074168797954</v>
      </c>
      <c r="N45" s="385">
        <v>132.08054260742898761835396942</v>
      </c>
      <c r="O45" s="386">
        <v>123.79451851851851851851851852</v>
      </c>
      <c r="P45" s="4"/>
      <c r="Q45" s="364">
        <v>-8.098784849663588342028782760</v>
      </c>
      <c r="R45" s="365">
        <v>-7.7799766057953214059191222500</v>
      </c>
      <c r="S45" s="366">
        <v>-5.8338612794761775682343178300</v>
      </c>
      <c r="T45" s="364">
        <v>23.142359331706279965044633840</v>
      </c>
      <c r="U45" s="365">
        <v>-3.194545055597826603559668900</v>
      </c>
      <c r="V45" s="366">
        <v>8.226745926150805284143214750</v>
      </c>
      <c r="W45" s="364">
        <v>4.9256198346725890308039207100</v>
      </c>
      <c r="X45" s="365">
        <v>9.158192685582381144287194740</v>
      </c>
      <c r="Y45" s="366">
        <v>-0.2940258307840606776159351400</v>
      </c>
      <c r="Z45" s="364">
        <v>-4.0273459173443268050228574900</v>
      </c>
      <c r="AA45" s="365">
        <v>-5.8716017784799882368867885800</v>
      </c>
      <c r="AB45" s="366">
        <v>-4.3982103870271959297658027800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row>
    <row r="47" ht="15.6" customHeight="1">
      <c r="A47" s="22"/>
      <c r="B47" s="22"/>
      <c r="C47" s="53" t="s">
        <v>72</v>
      </c>
      <c r="D47" s="374">
        <v>106.39114391143911439114391144</v>
      </c>
      <c r="E47" s="382">
        <v>138.21389231332230974730612927</v>
      </c>
      <c r="F47" s="375">
        <v>128.16155051240098105852729218</v>
      </c>
      <c r="G47" s="374">
        <v>113.46666666666666666666666667</v>
      </c>
      <c r="H47" s="382">
        <v>131.7511595689411988472115725</v>
      </c>
      <c r="I47" s="375">
        <v>127.26943481380341658717480271</v>
      </c>
      <c r="J47" s="374">
        <v>96.78947368421052631578947368</v>
      </c>
      <c r="K47" s="382">
        <v>122.30484973697036494268459714</v>
      </c>
      <c r="L47" s="375">
        <v>91.81060682376520427125570922</v>
      </c>
      <c r="M47" s="374">
        <v>106.484375000</v>
      </c>
      <c r="N47" s="382">
        <v>135.44609462173621959384066057</v>
      </c>
      <c r="O47" s="375">
        <v>127.89003047453199825859817153</v>
      </c>
      <c r="P47" s="4"/>
      <c r="Q47" s="354">
        <v>-2.1440679404039099249448753100</v>
      </c>
      <c r="R47" s="355">
        <v>0.0129209726514683717853331400</v>
      </c>
      <c r="S47" s="356">
        <v>-0.6829046280533352065025615600</v>
      </c>
      <c r="T47" s="354">
        <v>0</v>
      </c>
      <c r="U47" s="355">
        <v>-0.2217515242778908259819880300</v>
      </c>
      <c r="V47" s="356">
        <v>6.7251338051880301686119958200</v>
      </c>
      <c r="W47" s="354">
        <v>3.646059134674146146913715500</v>
      </c>
      <c r="X47" s="355">
        <v>2.7512787161039218051490057600</v>
      </c>
      <c r="Y47" s="356">
        <v>0.2600803851403330160422025400</v>
      </c>
      <c r="Z47" s="354">
        <v>-0.5118859252411862395909043400</v>
      </c>
      <c r="AA47" s="355">
        <v>-0.129197022778651580438116800</v>
      </c>
      <c r="AB47" s="356">
        <v>-0.1370656476094307773397717500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row>
    <row r="48" ht="15.6" customHeight="1">
      <c r="A48" s="22"/>
      <c r="B48" s="22"/>
      <c r="C48" s="53" t="s">
        <v>61</v>
      </c>
      <c r="D48" s="370">
        <v>106.49132947976878612716763006</v>
      </c>
      <c r="E48" s="172">
        <v>133.94032907621247608979448204</v>
      </c>
      <c r="F48" s="371">
        <v>127.22243376935487536223652907</v>
      </c>
      <c r="G48" s="370">
        <v>118.13135593220338983050847458</v>
      </c>
      <c r="H48" s="172">
        <v>136.44585961708695385621988303</v>
      </c>
      <c r="I48" s="371">
        <v>128.25901142857120320188559268</v>
      </c>
      <c r="J48" s="370">
        <v>97.37333333333333333333333333</v>
      </c>
      <c r="K48" s="172">
        <v>128.49800130946090095737267822</v>
      </c>
      <c r="L48" s="371">
        <v>92.89147243129277154608887272</v>
      </c>
      <c r="M48" s="370">
        <v>107.59635974304068522483940043</v>
      </c>
      <c r="N48" s="172">
        <v>133.93552729384436701509872242</v>
      </c>
      <c r="O48" s="371">
        <v>127.22938288762861177736432718</v>
      </c>
      <c r="P48" s="4"/>
      <c r="Q48" s="327">
        <v>-3.3568328489688843608288325800</v>
      </c>
      <c r="R48" s="171">
        <v>-4.3315561769289883546540825600</v>
      </c>
      <c r="S48" s="328">
        <v>-1.3620554281030406091646764100</v>
      </c>
      <c r="T48" s="327">
        <v>14.525503447406647056341378700</v>
      </c>
      <c r="U48" s="171">
        <v>-1.5056823599962686449129057400</v>
      </c>
      <c r="V48" s="328">
        <v>3.4434659688261074570434948900</v>
      </c>
      <c r="W48" s="327">
        <v>1.0494423570288750716926752900</v>
      </c>
      <c r="X48" s="171">
        <v>11.114640960825117884868723430</v>
      </c>
      <c r="Y48" s="328">
        <v>-1.742842521083073291494554200</v>
      </c>
      <c r="Z48" s="327">
        <v>-1.2250179173813876422787916900</v>
      </c>
      <c r="AA48" s="171">
        <v>-2.4266196634307325515971231200</v>
      </c>
      <c r="AB48" s="328">
        <v>-0.9379124412733108681229144500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row>
    <row r="49" ht="15.6" customHeight="1">
      <c r="A49" s="54"/>
      <c r="B49" s="22"/>
      <c r="C49" s="53" t="s">
        <v>31</v>
      </c>
      <c r="D49" s="384">
        <v>110.73819742489270386266094421</v>
      </c>
      <c r="E49" s="385">
        <v>136.07392139381327201653067633</v>
      </c>
      <c r="F49" s="386">
        <v>130.23328013709378982940664382</v>
      </c>
      <c r="G49" s="384">
        <v>122.28148148148148148148148148</v>
      </c>
      <c r="H49" s="385">
        <v>142.69331923860173392747376706</v>
      </c>
      <c r="I49" s="386">
        <v>129.53696147575172741146414798</v>
      </c>
      <c r="J49" s="384">
        <v>97</v>
      </c>
      <c r="K49" s="385">
        <v>124.86311168802495140494531544</v>
      </c>
      <c r="L49" s="386">
        <v>92.15512707064155965214786444</v>
      </c>
      <c r="M49" s="384">
        <v>111.96321839080459770114942529</v>
      </c>
      <c r="N49" s="385">
        <v>136.35086210664335664335664336</v>
      </c>
      <c r="O49" s="386">
        <v>130.01108384804128944919197902</v>
      </c>
      <c r="P49" s="4"/>
      <c r="Q49" s="364">
        <v>1.6590827929701129205193722300</v>
      </c>
      <c r="R49" s="365">
        <v>-4.5537416237402488865645084700</v>
      </c>
      <c r="S49" s="366">
        <v>-0.5469230335021621443631695200</v>
      </c>
      <c r="T49" s="364">
        <v>32.598581650252168421908997650</v>
      </c>
      <c r="U49" s="365">
        <v>2.3195591984997364917656208700</v>
      </c>
      <c r="V49" s="366">
        <v>6.5883021757751884260801489800</v>
      </c>
      <c r="W49" s="364">
        <v>5.6113902847040478775788756900</v>
      </c>
      <c r="X49" s="365">
        <v>6.9844612845028341903618726400</v>
      </c>
      <c r="Y49" s="366">
        <v>2.2834990797063563405174971900</v>
      </c>
      <c r="Z49" s="364">
        <v>5.1518572323050357473715528800</v>
      </c>
      <c r="AA49" s="365">
        <v>-2.4471959374356274157881125900</v>
      </c>
      <c r="AB49" s="366">
        <v>0.1195784665274581705252284100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row>
    <row r="52" ht="24.7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38"/>
</worksheet>
</file>

<file path=xl/worksheets/sheet3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131</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143</v>
      </c>
      <c r="B4" s="442"/>
      <c r="C4" s="211"/>
      <c r="D4" s="212"/>
      <c r="E4" s="212"/>
      <c r="F4" s="212"/>
      <c r="G4" s="212"/>
      <c r="H4" s="212"/>
      <c r="I4" s="212"/>
      <c r="J4" s="212"/>
      <c r="K4" s="212"/>
      <c r="L4" s="212"/>
      <c r="M4" s="212"/>
      <c r="N4" s="212"/>
      <c r="O4" s="212"/>
      <c r="P4" s="212"/>
      <c r="Q4" s="212"/>
      <c r="R4" s="675" t="s">
        <v>146</v>
      </c>
      <c r="S4" s="675"/>
      <c r="T4" s="675"/>
      <c r="U4" s="675"/>
      <c r="V4" s="675"/>
      <c r="W4" s="675"/>
      <c r="X4" s="675"/>
      <c r="Y4" s="675"/>
      <c r="Z4" s="675"/>
      <c r="AA4" s="675"/>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13</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148</v>
      </c>
      <c r="B10" s="342">
        <v>18</v>
      </c>
      <c r="C10" s="343" t="s">
        <v>49</v>
      </c>
      <c r="D10" s="374">
        <v>20.161290322580645161290322581</v>
      </c>
      <c r="E10" s="382">
        <v>35.017974831816572550585211589</v>
      </c>
      <c r="F10" s="375">
        <v>52.585476324366556198027364766</v>
      </c>
      <c r="G10" s="374">
        <v>0</v>
      </c>
      <c r="H10" s="382">
        <v>14.847894467287217301357907162</v>
      </c>
      <c r="I10" s="375">
        <v>4.060094543965577372617049361</v>
      </c>
      <c r="J10" s="374">
        <v>1.5806451612903225806451612903</v>
      </c>
      <c r="K10" s="382">
        <v>5.7489649550398565568966602532</v>
      </c>
      <c r="L10" s="375">
        <v>0.2981933040034673363850643298</v>
      </c>
      <c r="M10" s="374">
        <v>21.741935483870967741935483871</v>
      </c>
      <c r="N10" s="382">
        <v>55.614834254143646408839779006</v>
      </c>
      <c r="O10" s="375">
        <v>56.943764172335600907029478458</v>
      </c>
      <c r="P10" s="4"/>
      <c r="Q10" s="354">
        <v>-21.152228763610579810301992420</v>
      </c>
      <c r="R10" s="355">
        <v>24.210070737738914791326697620</v>
      </c>
      <c r="S10" s="356">
        <v>0.144705033752279621420079200</v>
      </c>
      <c r="T10" s="354">
        <v>-100</v>
      </c>
      <c r="U10" s="355">
        <v>645.04098164089762006701500696</v>
      </c>
      <c r="V10" s="356">
        <v>-62.100265290585737519490198030</v>
      </c>
      <c r="W10" s="354">
        <v>56.382978719078768673727608520</v>
      </c>
      <c r="X10" s="355">
        <v>-17.807763672203652019235901970</v>
      </c>
      <c r="Y10" s="356">
        <v>77.702559665282464373569828650</v>
      </c>
      <c r="Z10" s="354">
        <v>-50.766983199437209503345754330</v>
      </c>
      <c r="AA10" s="355">
        <v>49.582774543674111557308708800</v>
      </c>
      <c r="AB10" s="356">
        <v>-10.169200500752486423472089630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19</v>
      </c>
      <c r="C11" s="345" t="s">
        <v>47</v>
      </c>
      <c r="D11" s="370">
        <v>28.650537634408602150537634409</v>
      </c>
      <c r="E11" s="172">
        <v>53.684426877974974997061538933</v>
      </c>
      <c r="F11" s="371">
        <v>83.82706181570113542496513417</v>
      </c>
      <c r="G11" s="370">
        <v>0</v>
      </c>
      <c r="H11" s="172">
        <v>21.159457221257074798902178918</v>
      </c>
      <c r="I11" s="371">
        <v>8.41397464127097847507411972</v>
      </c>
      <c r="J11" s="370">
        <v>1.0645161290322580645161290323</v>
      </c>
      <c r="K11" s="172">
        <v>5.7860422359429041635206283662</v>
      </c>
      <c r="L11" s="371">
        <v>0.1820927947285663720695896496</v>
      </c>
      <c r="M11" s="370">
        <v>29.715053763440860215053763441</v>
      </c>
      <c r="N11" s="172">
        <v>80.62992633517495395948434622</v>
      </c>
      <c r="O11" s="371">
        <v>92.42312925170068027210884354</v>
      </c>
      <c r="P11" s="4"/>
      <c r="Q11" s="327">
        <v>-11.257285595449532827556133810</v>
      </c>
      <c r="R11" s="171">
        <v>-6.6477780763159153029098441300</v>
      </c>
      <c r="S11" s="328">
        <v>6.4567521982771767115123166100</v>
      </c>
      <c r="T11" s="327">
        <v>-100</v>
      </c>
      <c r="U11" s="171">
        <v>171.13457533807954545310953566</v>
      </c>
      <c r="V11" s="328">
        <v>9.466131883535835940446117890</v>
      </c>
      <c r="W11" s="327">
        <v>117.58241759485086342300246693</v>
      </c>
      <c r="X11" s="171">
        <v>-14.649175710392554153154184200</v>
      </c>
      <c r="Y11" s="328">
        <v>126.07355150016987792841272116</v>
      </c>
      <c r="Z11" s="327">
        <v>-20.406105990712344161454841090</v>
      </c>
      <c r="AA11" s="171">
        <v>11.845329596800932883426263270</v>
      </c>
      <c r="AB11" s="328">
        <v>6.8355054153435885232890399100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20</v>
      </c>
      <c r="C12" s="347" t="s">
        <v>48</v>
      </c>
      <c r="D12" s="378">
        <v>29.118279569892473118279569892</v>
      </c>
      <c r="E12" s="173">
        <v>71.877874350285591992415592638</v>
      </c>
      <c r="F12" s="379">
        <v>96.74001493231240664929323447</v>
      </c>
      <c r="G12" s="378">
        <v>16.774193548387096774193548387</v>
      </c>
      <c r="H12" s="173">
        <v>9.116455228339065746809396641</v>
      </c>
      <c r="I12" s="379">
        <v>14.805586798015851750186789644</v>
      </c>
      <c r="J12" s="378">
        <v>2.1075268817204301075268817204</v>
      </c>
      <c r="K12" s="173">
        <v>5.2678251175079389458578836466</v>
      </c>
      <c r="L12" s="379">
        <v>0.3500898796490658635585246435</v>
      </c>
      <c r="M12" s="378">
        <v>48.000000000</v>
      </c>
      <c r="N12" s="173">
        <v>86.26215469613259668508287293</v>
      </c>
      <c r="O12" s="379">
        <v>111.89569160997732426303854875</v>
      </c>
      <c r="P12" s="4"/>
      <c r="Q12" s="359">
        <v>-35.385349558531652600495250530</v>
      </c>
      <c r="R12" s="170">
        <v>4.8072038098527733347584969400</v>
      </c>
      <c r="S12" s="360">
        <v>-3.470294154117986269308351300</v>
      </c>
      <c r="T12" s="359">
        <v>181.84281842940636452435514955</v>
      </c>
      <c r="U12" s="170">
        <v>-16.468172192195913848572213560</v>
      </c>
      <c r="V12" s="360">
        <v>115.48132386243981590366879272</v>
      </c>
      <c r="W12" s="359">
        <v>24.444444444207407407407858900</v>
      </c>
      <c r="X12" s="170">
        <v>-38.397852089637691039756517180</v>
      </c>
      <c r="Y12" s="360">
        <v>25.892553763172137253262603530</v>
      </c>
      <c r="Z12" s="359">
        <v>-8.935128519049871982909014800</v>
      </c>
      <c r="AA12" s="170">
        <v>-2.026216157966986414637602700</v>
      </c>
      <c r="AB12" s="360">
        <v>4.2180583246390085690280265600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21</v>
      </c>
      <c r="C13" s="345" t="s">
        <v>50</v>
      </c>
      <c r="D13" s="370">
        <v>27.155913978494623655913978495</v>
      </c>
      <c r="E13" s="172">
        <v>69.390624799440746303018275019</v>
      </c>
      <c r="F13" s="371">
        <v>87.82144686239904990585072702</v>
      </c>
      <c r="G13" s="370">
        <v>0</v>
      </c>
      <c r="H13" s="172">
        <v>8.797649737269222206156671627</v>
      </c>
      <c r="I13" s="371">
        <v>19.386825457852871509645852958</v>
      </c>
      <c r="J13" s="370">
        <v>1.0376344086021505376344086022</v>
      </c>
      <c r="K13" s="172">
        <v>5.4290827376915047873259741608</v>
      </c>
      <c r="L13" s="371">
        <v>0.1754011491358336865442363408</v>
      </c>
      <c r="M13" s="370">
        <v>28.193548387096774193548387097</v>
      </c>
      <c r="N13" s="172">
        <v>83.61735727440147329650092081</v>
      </c>
      <c r="O13" s="371">
        <v>107.38367346938775510204081633</v>
      </c>
      <c r="P13" s="4"/>
      <c r="Q13" s="327">
        <v>-9.154676259054894286009998450</v>
      </c>
      <c r="R13" s="171">
        <v>11.816714582582321850485587180</v>
      </c>
      <c r="S13" s="328">
        <v>-3.3299170709020924189927340600</v>
      </c>
      <c r="T13" s="327">
        <v>-100</v>
      </c>
      <c r="U13" s="171">
        <v>101.90793473184626792849293932</v>
      </c>
      <c r="V13" s="328">
        <v>141.02297476762823152661637817</v>
      </c>
      <c r="W13" s="327">
        <v>-30.575539567696030226172696680</v>
      </c>
      <c r="X13" s="171">
        <v>-25.825621800791412870613167740</v>
      </c>
      <c r="Y13" s="328">
        <v>-28.415360068661999571529010200</v>
      </c>
      <c r="Z13" s="327">
        <v>-25.277856939301075011201501820</v>
      </c>
      <c r="AA13" s="171">
        <v>13.403948612790271345272755180</v>
      </c>
      <c r="AB13" s="328">
        <v>8.320486017382400669511952710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22</v>
      </c>
      <c r="C14" s="347" t="s">
        <v>51</v>
      </c>
      <c r="D14" s="378">
        <v>31.188172043010752688172043011</v>
      </c>
      <c r="E14" s="173">
        <v>57.359962815324170307964703219</v>
      </c>
      <c r="F14" s="379">
        <v>76.462384753944370146572565732</v>
      </c>
      <c r="G14" s="378">
        <v>0</v>
      </c>
      <c r="H14" s="173">
        <v>8.734912487943191272706430029</v>
      </c>
      <c r="I14" s="379">
        <v>11.798672271227060780158088405</v>
      </c>
      <c r="J14" s="378">
        <v>1.6612903225806451612903225806</v>
      </c>
      <c r="K14" s="173">
        <v>5.5789368514287710160139496272</v>
      </c>
      <c r="L14" s="379">
        <v>0.3194418410417210007069875858</v>
      </c>
      <c r="M14" s="378">
        <v>32.849462365591397849462365591</v>
      </c>
      <c r="N14" s="173">
        <v>71.673812154696132596685082873</v>
      </c>
      <c r="O14" s="379">
        <v>88.58049886621315192743764172</v>
      </c>
      <c r="P14" s="4"/>
      <c r="Q14" s="359">
        <v>-0.5826906596990309782954607700</v>
      </c>
      <c r="R14" s="170">
        <v>2.0328806225006642938331581200</v>
      </c>
      <c r="S14" s="360">
        <v>-7.6532203275723876672605872600</v>
      </c>
      <c r="T14" s="359">
        <v>0</v>
      </c>
      <c r="U14" s="170">
        <v>334.88662270520579614116553877</v>
      </c>
      <c r="V14" s="360">
        <v>85.66468320453955095220892434</v>
      </c>
      <c r="W14" s="359">
        <v>14.869888478996420723957522350</v>
      </c>
      <c r="X14" s="170">
        <v>-22.882994663816638440943829750</v>
      </c>
      <c r="Y14" s="360">
        <v>28.677525729530437728726754490</v>
      </c>
      <c r="Z14" s="359">
        <v>0.0982961991381959104659181300</v>
      </c>
      <c r="AA14" s="170">
        <v>9.492425266562871683554186400</v>
      </c>
      <c r="AB14" s="360">
        <v>-0.9191810563523029592406154600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23</v>
      </c>
      <c r="C15" s="345" t="s">
        <v>52</v>
      </c>
      <c r="D15" s="370">
        <v>54.064516129032258064516129032</v>
      </c>
      <c r="E15" s="172">
        <v>63.258607814726149177859827535</v>
      </c>
      <c r="F15" s="371">
        <v>79.187596021554689291446915846</v>
      </c>
      <c r="G15" s="370">
        <v>1.8172043010752688172043010753</v>
      </c>
      <c r="H15" s="172">
        <v>10.886920263062749788351432483</v>
      </c>
      <c r="I15" s="371">
        <v>14.677456670870595429182909119</v>
      </c>
      <c r="J15" s="370">
        <v>1.5376344086021505376344086022</v>
      </c>
      <c r="K15" s="172">
        <v>5.411322750940382801744541082</v>
      </c>
      <c r="L15" s="371">
        <v>0.2954915252617901093021478254</v>
      </c>
      <c r="M15" s="370">
        <v>57.41935483870967741935483871</v>
      </c>
      <c r="N15" s="172">
        <v>79.5568508287292817679558011</v>
      </c>
      <c r="O15" s="371">
        <v>94.16054421768707482993197279</v>
      </c>
      <c r="P15" s="4"/>
      <c r="Q15" s="327">
        <v>13.820033955857385398981324280</v>
      </c>
      <c r="R15" s="171">
        <v>-22.929894386759693702446982520</v>
      </c>
      <c r="S15" s="328">
        <v>-22.166085888794512082166565710</v>
      </c>
      <c r="T15" s="327">
        <v>-57.907845579319581457453461920</v>
      </c>
      <c r="U15" s="171">
        <v>-16.990998717235491655878965790</v>
      </c>
      <c r="V15" s="328">
        <v>142.9012118732712346354249600</v>
      </c>
      <c r="W15" s="327">
        <v>55.434782613088374291239454060</v>
      </c>
      <c r="X15" s="171">
        <v>-19.782296582227661749537332980</v>
      </c>
      <c r="Y15" s="328">
        <v>46.014080030019354235721938170</v>
      </c>
      <c r="Z15" s="327">
        <v>8.735491753213728496747294670</v>
      </c>
      <c r="AA15" s="171">
        <v>-21.957525305722294532977450110</v>
      </c>
      <c r="AB15" s="328">
        <v>-12.801495138677523315179233160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24</v>
      </c>
      <c r="C16" s="347" t="s">
        <v>53</v>
      </c>
      <c r="D16" s="378">
        <v>50.752688172043010752688172043</v>
      </c>
      <c r="E16" s="173">
        <v>67.680639087665757253975055622</v>
      </c>
      <c r="F16" s="379">
        <v>85.61438331736892460099311532</v>
      </c>
      <c r="G16" s="378">
        <v>0</v>
      </c>
      <c r="H16" s="173">
        <v>7.2847248209974173694769065165</v>
      </c>
      <c r="I16" s="379">
        <v>10.76428917149745031272329952</v>
      </c>
      <c r="J16" s="378">
        <v>2.0752688172043010752688172043</v>
      </c>
      <c r="K16" s="173">
        <v>5.0675458519261439769163619984</v>
      </c>
      <c r="L16" s="379">
        <v>0.4204204816551670363969638384</v>
      </c>
      <c r="M16" s="378">
        <v>52.827956989247311827956989247</v>
      </c>
      <c r="N16" s="173">
        <v>80.03290976058931860036832413</v>
      </c>
      <c r="O16" s="379">
        <v>96.79909297052154195011337868</v>
      </c>
      <c r="P16" s="4"/>
      <c r="Q16" s="359">
        <v>-9.587204290856412002731933820</v>
      </c>
      <c r="R16" s="170">
        <v>-18.631354181114816578672384440</v>
      </c>
      <c r="S16" s="360">
        <v>-10.016041533405244290212667410</v>
      </c>
      <c r="T16" s="359">
        <v>-100</v>
      </c>
      <c r="U16" s="170">
        <v>-57.785776236429056940766838780</v>
      </c>
      <c r="V16" s="360">
        <v>71.296570006944572841385420350</v>
      </c>
      <c r="W16" s="359">
        <v>96.93877550276863806775261264</v>
      </c>
      <c r="X16" s="170">
        <v>-12.976594739894400854328297760</v>
      </c>
      <c r="Y16" s="360">
        <v>86.85120279340380898987761208</v>
      </c>
      <c r="Z16" s="359">
        <v>-15.424341538994132403458805500</v>
      </c>
      <c r="AA16" s="170">
        <v>-24.680261049611739282370433400</v>
      </c>
      <c r="AB16" s="360">
        <v>-4.7750340181674476866965189200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25</v>
      </c>
      <c r="C17" s="345" t="s">
        <v>49</v>
      </c>
      <c r="D17" s="370">
        <v>30.413978494623655913978494624</v>
      </c>
      <c r="E17" s="172">
        <v>32.169731160266727267481712599</v>
      </c>
      <c r="F17" s="371">
        <v>50.801761689267111153672529429</v>
      </c>
      <c r="G17" s="370">
        <v>0</v>
      </c>
      <c r="H17" s="172">
        <v>1.4993388814021713054070415558</v>
      </c>
      <c r="I17" s="371">
        <v>5.4241058816161513071675600698</v>
      </c>
      <c r="J17" s="370">
        <v>1.0860215053763440860215053763</v>
      </c>
      <c r="K17" s="172">
        <v>6.0193737889020038212180598406</v>
      </c>
      <c r="L17" s="371">
        <v>0.185016782858234137799366284</v>
      </c>
      <c r="M17" s="370">
        <v>31.500000000</v>
      </c>
      <c r="N17" s="172">
        <v>39.688443830570902394106813996</v>
      </c>
      <c r="O17" s="371">
        <v>56.410884353741496598639455782</v>
      </c>
      <c r="P17" s="4"/>
      <c r="Q17" s="327">
        <v>28.831701207125839322383757280</v>
      </c>
      <c r="R17" s="171">
        <v>20.705007529259823196629904320</v>
      </c>
      <c r="S17" s="328">
        <v>11.970917745499804734106621640</v>
      </c>
      <c r="T17" s="327">
        <v>0</v>
      </c>
      <c r="U17" s="171">
        <v>-52.418077434257009633947980640</v>
      </c>
      <c r="V17" s="328">
        <v>101.44246169055923532356743048</v>
      </c>
      <c r="W17" s="327">
        <v>-49.118387910499019726003549170</v>
      </c>
      <c r="X17" s="171">
        <v>-21.224332364351534046096788370</v>
      </c>
      <c r="Y17" s="328">
        <v>-55.501481079002816942710555970</v>
      </c>
      <c r="Z17" s="327">
        <v>22.368421052493569449940796730</v>
      </c>
      <c r="AA17" s="171">
        <v>5.9948229289599361634576200600</v>
      </c>
      <c r="AB17" s="328">
        <v>16.361697350758050972431084500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26</v>
      </c>
      <c r="C18" s="347" t="s">
        <v>47</v>
      </c>
      <c r="D18" s="378">
        <v>11.091397849462365591397849462</v>
      </c>
      <c r="E18" s="173">
        <v>24.206339825985642875934904348</v>
      </c>
      <c r="F18" s="379">
        <v>41.714922809348442535370538776</v>
      </c>
      <c r="G18" s="378">
        <v>9.795698924731182795698924731</v>
      </c>
      <c r="H18" s="173">
        <v>1.6148239936858721389108129439</v>
      </c>
      <c r="I18" s="379">
        <v>6.3293347115239364970555939678</v>
      </c>
      <c r="J18" s="378">
        <v>1.4569892473118279569892473118</v>
      </c>
      <c r="K18" s="173">
        <v>5.5781916131093321306423121734</v>
      </c>
      <c r="L18" s="379">
        <v>0.2532481480618613303856586395</v>
      </c>
      <c r="M18" s="378">
        <v>22.344086021505376344086021505</v>
      </c>
      <c r="N18" s="173">
        <v>31.399355432780847145488029466</v>
      </c>
      <c r="O18" s="379">
        <v>48.297505668934240362811791383</v>
      </c>
      <c r="P18" s="4"/>
      <c r="Q18" s="359">
        <v>-13.969974979285618888690039470</v>
      </c>
      <c r="R18" s="170">
        <v>3.1973415770871049158233169600</v>
      </c>
      <c r="S18" s="360">
        <v>6.4640907473151629490902359200</v>
      </c>
      <c r="T18" s="359">
        <v>0</v>
      </c>
      <c r="U18" s="170">
        <v>59.546463773754949635367863010</v>
      </c>
      <c r="V18" s="360">
        <v>187.90160057564384583094430916</v>
      </c>
      <c r="W18" s="359">
        <v>30.288461537584596893497026750</v>
      </c>
      <c r="X18" s="170">
        <v>-26.154814871451082112613917280</v>
      </c>
      <c r="Y18" s="360">
        <v>22.781985720349828631218435200</v>
      </c>
      <c r="Z18" s="359">
        <v>59.478127397993366745023190520</v>
      </c>
      <c r="AA18" s="170">
        <v>-1.9456342706332807393339383200</v>
      </c>
      <c r="AB18" s="360">
        <v>16.136490037954183484300262850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27</v>
      </c>
      <c r="C19" s="345" t="s">
        <v>48</v>
      </c>
      <c r="D19" s="370">
        <v>22.634408602150537634408602151</v>
      </c>
      <c r="E19" s="172">
        <v>46.465239269766015320320582329</v>
      </c>
      <c r="F19" s="371">
        <v>77.12150728410253938200173449</v>
      </c>
      <c r="G19" s="370">
        <v>0</v>
      </c>
      <c r="H19" s="172">
        <v>5.9817977707962502264349902989</v>
      </c>
      <c r="I19" s="371">
        <v>6.8091448639031756000083912576</v>
      </c>
      <c r="J19" s="370">
        <v>1.5806451612903225806451612903</v>
      </c>
      <c r="K19" s="172">
        <v>5.4123552246311046189902837238</v>
      </c>
      <c r="L19" s="371">
        <v>0.2707083962119720928198062244</v>
      </c>
      <c r="M19" s="370">
        <v>24.215053763440860215053763441</v>
      </c>
      <c r="N19" s="172">
        <v>57.859392265193370165745856354</v>
      </c>
      <c r="O19" s="371">
        <v>84.20136054421768707482993197</v>
      </c>
      <c r="P19" s="4"/>
      <c r="Q19" s="327">
        <v>5.6726907630999525209271033900</v>
      </c>
      <c r="R19" s="171">
        <v>5.4004074866867924152869029100</v>
      </c>
      <c r="S19" s="328">
        <v>5.1303147885508569466971347200</v>
      </c>
      <c r="T19" s="327">
        <v>0</v>
      </c>
      <c r="U19" s="171">
        <v>212.05577090173900299144982023</v>
      </c>
      <c r="V19" s="328">
        <v>124.59872900370763051681626219</v>
      </c>
      <c r="W19" s="327">
        <v>-6.3694267509959836098789553100</v>
      </c>
      <c r="X19" s="171">
        <v>-29.893634989910226404653419700</v>
      </c>
      <c r="Y19" s="328">
        <v>-9.655022709902921168744130300</v>
      </c>
      <c r="Z19" s="327">
        <v>4.7929269428567271108382632800</v>
      </c>
      <c r="AA19" s="171">
        <v>7.7022834112919366876737615700</v>
      </c>
      <c r="AB19" s="328">
        <v>9.795387344806666552426836270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28</v>
      </c>
      <c r="C20" s="347" t="s">
        <v>50</v>
      </c>
      <c r="D20" s="378">
        <v>33.881720430107526881720430108</v>
      </c>
      <c r="E20" s="173">
        <v>55.970680770514131794802182455</v>
      </c>
      <c r="F20" s="379">
        <v>84.09515507725743263209066906</v>
      </c>
      <c r="G20" s="378">
        <v>0</v>
      </c>
      <c r="H20" s="173">
        <v>16.751564066064117240409768453</v>
      </c>
      <c r="I20" s="379">
        <v>9.473325529744826468653785662</v>
      </c>
      <c r="J20" s="378">
        <v>1.5537634408602150537634408602</v>
      </c>
      <c r="K20" s="173">
        <v>5.4387128061473494914915481686</v>
      </c>
      <c r="L20" s="379">
        <v>0.2532881004807340965344568467</v>
      </c>
      <c r="M20" s="378">
        <v>35.435483870967741935483870968</v>
      </c>
      <c r="N20" s="173">
        <v>78.160957642725598526703499079</v>
      </c>
      <c r="O20" s="379">
        <v>93.82176870748299319727891156</v>
      </c>
      <c r="P20" s="4"/>
      <c r="Q20" s="359">
        <v>17.159323294331825019879122010</v>
      </c>
      <c r="R20" s="170">
        <v>14.662400025145919736469436710</v>
      </c>
      <c r="S20" s="360">
        <v>5.3050978750312149678393742300</v>
      </c>
      <c r="T20" s="359">
        <v>-100</v>
      </c>
      <c r="U20" s="170">
        <v>226.00602643096402062608668192</v>
      </c>
      <c r="V20" s="360">
        <v>500.40809266407594759677651581</v>
      </c>
      <c r="W20" s="359">
        <v>50.520833335685221354203414920</v>
      </c>
      <c r="X20" s="170">
        <v>-27.299783687865061622713399300</v>
      </c>
      <c r="Y20" s="360">
        <v>47.069790605000125247136524770</v>
      </c>
      <c r="Z20" s="359">
        <v>13.247422680575821022425573350</v>
      </c>
      <c r="AA20" s="170">
        <v>27.229820918807313304417192510</v>
      </c>
      <c r="AB20" s="360">
        <v>14.965517624697808531192349860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29</v>
      </c>
      <c r="C21" s="345" t="s">
        <v>51</v>
      </c>
      <c r="D21" s="370">
        <v>28.118279569892473118279569892</v>
      </c>
      <c r="E21" s="172">
        <v>44.641055682718405497538314771</v>
      </c>
      <c r="F21" s="371">
        <v>71.98049439296766762281571107</v>
      </c>
      <c r="G21" s="370">
        <v>5.4301075268817204301075268817</v>
      </c>
      <c r="H21" s="172">
        <v>11.645810411769834878948686254</v>
      </c>
      <c r="I21" s="371">
        <v>2.5266614790800549583284739187</v>
      </c>
      <c r="J21" s="370">
        <v>1.6290322580645161290322580645</v>
      </c>
      <c r="K21" s="172">
        <v>5.5426919165614833804190763238</v>
      </c>
      <c r="L21" s="371">
        <v>0.2869484363423000945927764608</v>
      </c>
      <c r="M21" s="370">
        <v>35.172043010752688172043010753</v>
      </c>
      <c r="N21" s="172">
        <v>61.829558011049723756906077348</v>
      </c>
      <c r="O21" s="371">
        <v>74.794104308390022675736961451</v>
      </c>
      <c r="P21" s="4"/>
      <c r="Q21" s="327">
        <v>-18.421463110317381938959452170</v>
      </c>
      <c r="R21" s="171">
        <v>6.4291173187031958562757937400</v>
      </c>
      <c r="S21" s="328">
        <v>8.655313287495887393472652140</v>
      </c>
      <c r="T21" s="327">
        <v>3.6960985623302370883218432600</v>
      </c>
      <c r="U21" s="171">
        <v>-15.117851329621337834471837460</v>
      </c>
      <c r="V21" s="328">
        <v>-65.594232019181699261283369330</v>
      </c>
      <c r="W21" s="327">
        <v>4.4827586237881093936709577300</v>
      </c>
      <c r="X21" s="171">
        <v>-24.682514188802988177232434140</v>
      </c>
      <c r="Y21" s="328">
        <v>16.251937079898717581361903020</v>
      </c>
      <c r="Z21" s="327">
        <v>-14.773319437204657981225565520</v>
      </c>
      <c r="AA21" s="171">
        <v>-1.8944092572963963069300761200</v>
      </c>
      <c r="AB21" s="328">
        <v>1.2959812297925075781458397900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30</v>
      </c>
      <c r="C22" s="347" t="s">
        <v>52</v>
      </c>
      <c r="D22" s="378">
        <v>45.161290322580645161290322581</v>
      </c>
      <c r="E22" s="173">
        <v>58.614977583594458645996536653</v>
      </c>
      <c r="F22" s="379">
        <v>75.577542140471989165249137741</v>
      </c>
      <c r="G22" s="378">
        <v>13.725806451612903225806451613</v>
      </c>
      <c r="H22" s="173">
        <v>23.5288476694565844809103653</v>
      </c>
      <c r="I22" s="379">
        <v>8.450540527716790243809304529</v>
      </c>
      <c r="J22" s="378">
        <v>1.0645161290322580645161290323</v>
      </c>
      <c r="K22" s="173">
        <v>4.9368745627868942579918089112</v>
      </c>
      <c r="L22" s="379">
        <v>0.1737313907681366907148003631</v>
      </c>
      <c r="M22" s="378">
        <v>59.951612903225806451612903226</v>
      </c>
      <c r="N22" s="173">
        <v>87.08069981583793738489871087</v>
      </c>
      <c r="O22" s="379">
        <v>84.20181405895691609977324263</v>
      </c>
      <c r="P22" s="4"/>
      <c r="Q22" s="359">
        <v>-0.5917159763713595462343594500</v>
      </c>
      <c r="R22" s="170">
        <v>15.674333575155435025026353770</v>
      </c>
      <c r="S22" s="360">
        <v>3.605103784066370278379838300</v>
      </c>
      <c r="T22" s="359">
        <v>179.93421052355328081720177684</v>
      </c>
      <c r="U22" s="170">
        <v>-9.411466157670735729390855730</v>
      </c>
      <c r="V22" s="360">
        <v>15.045991220765177589521247920</v>
      </c>
      <c r="W22" s="359">
        <v>102.04081633807580174993086215</v>
      </c>
      <c r="X22" s="170">
        <v>-33.325841825447285102086988150</v>
      </c>
      <c r="Y22" s="360">
        <v>102.89916938481603381867781241</v>
      </c>
      <c r="Z22" s="359">
        <v>17.875264270528377188473615970</v>
      </c>
      <c r="AA22" s="170">
        <v>3.605568582193976948523396500</v>
      </c>
      <c r="AB22" s="360">
        <v>4.7563968741495246858783229700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31</v>
      </c>
      <c r="C23" s="345" t="s">
        <v>53</v>
      </c>
      <c r="D23" s="370">
        <v>62.881720430107526881720430108</v>
      </c>
      <c r="E23" s="172">
        <v>64.253411873717884050700483471</v>
      </c>
      <c r="F23" s="371">
        <v>81.48216370808959705278105294</v>
      </c>
      <c r="G23" s="370">
        <v>13.591397849462365591397849462</v>
      </c>
      <c r="H23" s="172">
        <v>11.549899005598808449294309857</v>
      </c>
      <c r="I23" s="371">
        <v>8.757302312148499882582947052</v>
      </c>
      <c r="J23" s="370">
        <v>1.0537634408602150537634408602</v>
      </c>
      <c r="K23" s="172">
        <v>5.455897223814062564461928597</v>
      </c>
      <c r="L23" s="371">
        <v>0.1768605103741479625951836808</v>
      </c>
      <c r="M23" s="370">
        <v>77.52688172043010752688172043</v>
      </c>
      <c r="N23" s="172">
        <v>81.25920810313075506445672192</v>
      </c>
      <c r="O23" s="371">
        <v>90.41632653061224489795918367</v>
      </c>
      <c r="P23" s="4"/>
      <c r="Q23" s="327">
        <v>24.425531914898911724762336120</v>
      </c>
      <c r="R23" s="171">
        <v>42.330301201930453183131184270</v>
      </c>
      <c r="S23" s="328">
        <v>10.793017595077077586144936630</v>
      </c>
      <c r="T23" s="327">
        <v>209.42472460076399760895605484</v>
      </c>
      <c r="U23" s="171">
        <v>5.9229407656512513039445476400</v>
      </c>
      <c r="V23" s="328">
        <v>54.269867277798306106473181740</v>
      </c>
      <c r="W23" s="327">
        <v>-25.757575757069559228646686390</v>
      </c>
      <c r="X23" s="171">
        <v>-10.879319879653873430156910210</v>
      </c>
      <c r="Y23" s="328">
        <v>-26.205135547150390306056323670</v>
      </c>
      <c r="Z23" s="327">
        <v>37.582291766031854625815699750</v>
      </c>
      <c r="AA23" s="171">
        <v>30.705164340770890830284493330</v>
      </c>
      <c r="AB23" s="328">
        <v>13.787376363294161357205343310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t="s">
        <v>145</v>
      </c>
      <c r="B24" s="666">
        <v>1</v>
      </c>
      <c r="C24" s="677" t="s">
        <v>49</v>
      </c>
      <c r="D24" s="678">
        <v>19.155913978494623655913978495</v>
      </c>
      <c r="E24" s="679">
        <v>29.341957323440796483280766002</v>
      </c>
      <c r="F24" s="680">
        <v>59.466343549882400314550923506</v>
      </c>
      <c r="G24" s="678">
        <v>4.1129032258064516129032258065</v>
      </c>
      <c r="H24" s="679">
        <v>4.3247213613880598068062346973</v>
      </c>
      <c r="I24" s="680">
        <v>4.3954907457575928549247946435</v>
      </c>
      <c r="J24" s="678">
        <v>1.5860215053763440860215053763</v>
      </c>
      <c r="K24" s="679">
        <v>6.2185607258525433415888740714</v>
      </c>
      <c r="L24" s="680">
        <v>0.2719525524325691888009258431</v>
      </c>
      <c r="M24" s="678">
        <v>24.854838709677419354838709677</v>
      </c>
      <c r="N24" s="679">
        <v>39.88523941068139963167587477</v>
      </c>
      <c r="O24" s="680">
        <v>64.133786848072562358276643991</v>
      </c>
      <c r="P24" s="4"/>
      <c r="Q24" s="668">
        <v>-26.957769577659839821030418940</v>
      </c>
      <c r="R24" s="669">
        <v>4.028698947657228311802382900</v>
      </c>
      <c r="S24" s="670">
        <v>22.228145406453819275376534150</v>
      </c>
      <c r="T24" s="668">
        <v>0</v>
      </c>
      <c r="U24" s="669">
        <v>-3.223386201820568813839731200</v>
      </c>
      <c r="V24" s="670">
        <v>235.07540768529391952183130056</v>
      </c>
      <c r="W24" s="668">
        <v>46.766169152914531818531113640</v>
      </c>
      <c r="X24" s="669">
        <v>-18.645497713038421527655923190</v>
      </c>
      <c r="Y24" s="670">
        <v>46.254250763034225658036183730</v>
      </c>
      <c r="Z24" s="668">
        <v>-8.978145304182986195546861550</v>
      </c>
      <c r="AA24" s="669">
        <v>-1.0738245837222658249713947800</v>
      </c>
      <c r="AB24" s="670">
        <v>27.884789292935905419822210690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2</v>
      </c>
      <c r="C25" s="345" t="s">
        <v>47</v>
      </c>
      <c r="D25" s="370">
        <v>21.478494623655913978494623656</v>
      </c>
      <c r="E25" s="172">
        <v>53.490808683185607832712721412</v>
      </c>
      <c r="F25" s="371">
        <v>91.38952060869699353664368242</v>
      </c>
      <c r="G25" s="370">
        <v>3.5161290322580645161290322581</v>
      </c>
      <c r="H25" s="172">
        <v>8.688862324172281475364502971</v>
      </c>
      <c r="I25" s="371">
        <v>8.366843714810187113394110478</v>
      </c>
      <c r="J25" s="370">
        <v>1.0537634408602150537634408602</v>
      </c>
      <c r="K25" s="172">
        <v>6.0832479613345600473555564666</v>
      </c>
      <c r="L25" s="371">
        <v>0.1665381708238851095993953137</v>
      </c>
      <c r="M25" s="370">
        <v>26.048387096774193548387096774</v>
      </c>
      <c r="N25" s="172">
        <v>68.262918968692449355432780847</v>
      </c>
      <c r="O25" s="371">
        <v>99.92290249433106575963718821</v>
      </c>
      <c r="P25" s="4"/>
      <c r="Q25" s="327">
        <v>-27.992069214017002561118123580</v>
      </c>
      <c r="R25" s="171">
        <v>-1.7119702806245329540735126400</v>
      </c>
      <c r="S25" s="328">
        <v>13.659176334085021990280289160</v>
      </c>
      <c r="T25" s="327">
        <v>0</v>
      </c>
      <c r="U25" s="171">
        <v>-8.231137162606358931649143480</v>
      </c>
      <c r="V25" s="328">
        <v>59.574229752874326650552432010</v>
      </c>
      <c r="W25" s="327">
        <v>-20.647773276525102853576602860</v>
      </c>
      <c r="X25" s="171">
        <v>-19.941163005500606671651945310</v>
      </c>
      <c r="Y25" s="328">
        <v>-22.535468214831528854570146860</v>
      </c>
      <c r="Z25" s="327">
        <v>-16.393442622965247033197072430</v>
      </c>
      <c r="AA25" s="171">
        <v>-4.5129367667940930433907643900</v>
      </c>
      <c r="AB25" s="328">
        <v>16.372298396480795662727506910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3</v>
      </c>
      <c r="C26" s="347" t="s">
        <v>48</v>
      </c>
      <c r="D26" s="378">
        <v>29.354838709677419354838709677</v>
      </c>
      <c r="E26" s="173">
        <v>75.41942325653013701179562011</v>
      </c>
      <c r="F26" s="379">
        <v>102.47304886490952844739905846</v>
      </c>
      <c r="G26" s="378">
        <v>2.8870967741935483870967741935</v>
      </c>
      <c r="H26" s="173">
        <v>8.259537165253041449737813686</v>
      </c>
      <c r="I26" s="379">
        <v>11.570240205213766084482877492</v>
      </c>
      <c r="J26" s="378">
        <v>1.5591397849462365591397849462</v>
      </c>
      <c r="K26" s="173">
        <v>5.5402845137600996231811150053</v>
      </c>
      <c r="L26" s="379">
        <v>0.2428787303302202073470889955</v>
      </c>
      <c r="M26" s="378">
        <v>33.801075268817204301075268817</v>
      </c>
      <c r="N26" s="173">
        <v>89.2192449355432780847145488</v>
      </c>
      <c r="O26" s="379">
        <v>114.28616780045351473922902494</v>
      </c>
      <c r="P26" s="4"/>
      <c r="Q26" s="359">
        <v>-37.735203557958545769750647270</v>
      </c>
      <c r="R26" s="170">
        <v>14.394766926402012365335362410</v>
      </c>
      <c r="S26" s="360">
        <v>4.9695102558134561286890844300</v>
      </c>
      <c r="T26" s="359">
        <v>0</v>
      </c>
      <c r="U26" s="170">
        <v>-27.789220325114683302770345400</v>
      </c>
      <c r="V26" s="360">
        <v>71.408939482254152641073018160</v>
      </c>
      <c r="W26" s="359">
        <v>55.913978494623655913978494620</v>
      </c>
      <c r="X26" s="170">
        <v>-4.0296474636123832714917063300</v>
      </c>
      <c r="Y26" s="360">
        <v>52.941182034698226782170621190</v>
      </c>
      <c r="Z26" s="359">
        <v>-29.793411501921287808856289160</v>
      </c>
      <c r="AA26" s="170">
        <v>7.3119390445473736769874829100</v>
      </c>
      <c r="AB26" s="360">
        <v>9.332725931708568713320783160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4</v>
      </c>
      <c r="C27" s="345" t="s">
        <v>50</v>
      </c>
      <c r="D27" s="370">
        <v>28.672043010752688172043010753</v>
      </c>
      <c r="E27" s="172">
        <v>85.53726293997272262963860328</v>
      </c>
      <c r="F27" s="371">
        <v>104.27234613651874907071856887</v>
      </c>
      <c r="G27" s="370">
        <v>2.2365591397849462365591397849</v>
      </c>
      <c r="H27" s="172">
        <v>17.257428588003644566081647835</v>
      </c>
      <c r="I27" s="371">
        <v>13.446415926318300577151265312</v>
      </c>
      <c r="J27" s="370">
        <v>1.1021505376344086021505376344</v>
      </c>
      <c r="K27" s="172">
        <v>4.4249033154858795814436531201</v>
      </c>
      <c r="L27" s="371">
        <v>0.1746619734441294904521612843</v>
      </c>
      <c r="M27" s="370">
        <v>32.016129032258064516129032258</v>
      </c>
      <c r="N27" s="172">
        <v>107.21959484346224677716390424</v>
      </c>
      <c r="O27" s="371">
        <v>117.89342403628117913832199546</v>
      </c>
      <c r="P27" s="4"/>
      <c r="Q27" s="327"/>
      <c r="R27" s="171">
        <v>24.983457157787242118477935620</v>
      </c>
      <c r="S27" s="328">
        <v>19.281384281627851968037022660</v>
      </c>
      <c r="T27" s="327"/>
      <c r="U27" s="171">
        <v>-6.5307743371069815744793161300</v>
      </c>
      <c r="V27" s="328">
        <v>30.210846552176635806957814610</v>
      </c>
      <c r="W27" s="327"/>
      <c r="X27" s="171">
        <v>-13.051520880724640190168153980</v>
      </c>
      <c r="Y27" s="328">
        <v>0</v>
      </c>
      <c r="Z27" s="327">
        <v>-15.747028862478777589134125640</v>
      </c>
      <c r="AA27" s="171">
        <v>16.554190268034352432693706600</v>
      </c>
      <c r="AB27" s="328">
        <v>20.614777868040683262093219780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5</v>
      </c>
      <c r="C28" s="347" t="s">
        <v>51</v>
      </c>
      <c r="D28" s="378">
        <v>38.827956989247311827956989247</v>
      </c>
      <c r="E28" s="173">
        <v>67.347325491167471149112903413</v>
      </c>
      <c r="F28" s="379">
        <v>94.46689762648113810572803584</v>
      </c>
      <c r="G28" s="378">
        <v>11.10752688172043010752688172</v>
      </c>
      <c r="H28" s="173">
        <v>20.829037531294890837380658437</v>
      </c>
      <c r="I28" s="379">
        <v>16.237354930751837653237494304</v>
      </c>
      <c r="J28" s="378">
        <v>1.0591397849462365591397849462</v>
      </c>
      <c r="K28" s="173">
        <v>6.1275964618838626912228285709</v>
      </c>
      <c r="L28" s="379">
        <v>0.2077655833565934020322022849</v>
      </c>
      <c r="M28" s="378">
        <v>50.994623655913978494623655914</v>
      </c>
      <c r="N28" s="173">
        <v>94.30395948434622467771639042</v>
      </c>
      <c r="O28" s="379">
        <v>110.91201814058956916099773243</v>
      </c>
      <c r="P28" s="4"/>
      <c r="Q28" s="359">
        <v>10.817860978984859159796162950</v>
      </c>
      <c r="R28" s="170">
        <v>18.997250856067226826121695320</v>
      </c>
      <c r="S28" s="360">
        <v>27.998169282017506567202283830</v>
      </c>
      <c r="T28" s="359">
        <v>-25.009074410217779256326520670</v>
      </c>
      <c r="U28" s="170">
        <v>-12.235004785421411730594344170</v>
      </c>
      <c r="V28" s="360">
        <v>5.6573212811833214834430932600</v>
      </c>
      <c r="W28" s="359">
        <v>7.065217394330103969839763800</v>
      </c>
      <c r="X28" s="170">
        <v>17.780905317386396900418052890</v>
      </c>
      <c r="Y28" s="360">
        <v>27.479272287829757013391637650</v>
      </c>
      <c r="Z28" s="359">
        <v>0.3066835871786277560188074300</v>
      </c>
      <c r="AA28" s="170">
        <v>10.257083257654867213204340880</v>
      </c>
      <c r="AB28" s="360">
        <v>24.153983612732269971743261010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6</v>
      </c>
      <c r="C29" s="345" t="s">
        <v>52</v>
      </c>
      <c r="D29" s="370">
        <v>63.790322580645161290322580645</v>
      </c>
      <c r="E29" s="172">
        <v>77.977351525184998973874021667</v>
      </c>
      <c r="F29" s="371">
        <v>94.00275831001729461512690263</v>
      </c>
      <c r="G29" s="370">
        <v>24.295698924731182795698924731</v>
      </c>
      <c r="H29" s="172">
        <v>18.706365010391403973407033694</v>
      </c>
      <c r="I29" s="371">
        <v>20.058338636842833729803006961</v>
      </c>
      <c r="J29" s="370">
        <v>1.5483870967741935483870967742</v>
      </c>
      <c r="K29" s="172">
        <v>6.2594050113849230195697733623</v>
      </c>
      <c r="L29" s="371">
        <v>0.2935515792169691607390246458</v>
      </c>
      <c r="M29" s="370">
        <v>89.63440860215053763440860215</v>
      </c>
      <c r="N29" s="172">
        <v>102.94312154696132596685082873</v>
      </c>
      <c r="O29" s="371">
        <v>114.35464852607709750566893424</v>
      </c>
      <c r="P29" s="4"/>
      <c r="Q29" s="327">
        <v>44.010195412165949645999582780</v>
      </c>
      <c r="R29" s="171">
        <v>-0.7019702814892200615935301500</v>
      </c>
      <c r="S29" s="328">
        <v>6.4901313350465099204875371400</v>
      </c>
      <c r="T29" s="327">
        <v>32.250512145412014451319789080</v>
      </c>
      <c r="U29" s="171">
        <v>-30.825847461228564271759951510</v>
      </c>
      <c r="V29" s="328">
        <v>25.447098475961557865553457410</v>
      </c>
      <c r="W29" s="327">
        <v>223.59550558816311072109058980</v>
      </c>
      <c r="X29" s="171">
        <v>27.138655789001542712420306070</v>
      </c>
      <c r="Y29" s="328">
        <v>258.14577137088262254884412335</v>
      </c>
      <c r="Z29" s="327">
        <v>41.949765857862595914568158610</v>
      </c>
      <c r="AA29" s="171">
        <v>-6.8340061011910288503426589100</v>
      </c>
      <c r="AB29" s="328">
        <v>9.592708654729038690759180070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7</v>
      </c>
      <c r="C30" s="347" t="s">
        <v>53</v>
      </c>
      <c r="D30" s="378">
        <v>59.870967741935483870967741935</v>
      </c>
      <c r="E30" s="173">
        <v>65.168048261608800666198932308</v>
      </c>
      <c r="F30" s="379">
        <v>89.43421880333133392652227349</v>
      </c>
      <c r="G30" s="378">
        <v>22.295698924731182795698924731</v>
      </c>
      <c r="H30" s="173">
        <v>18.484059280280761619588718517</v>
      </c>
      <c r="I30" s="379">
        <v>16.513675055646997620611136222</v>
      </c>
      <c r="J30" s="378">
        <v>0.9784946236559139784946236559</v>
      </c>
      <c r="K30" s="173">
        <v>4.7063915373001246387059035025</v>
      </c>
      <c r="L30" s="379">
        <v>0.1614031931758634642044587719</v>
      </c>
      <c r="M30" s="378">
        <v>83.15053763440860215053763441</v>
      </c>
      <c r="N30" s="173">
        <v>88.35849907918968692449355433</v>
      </c>
      <c r="O30" s="379">
        <v>106.10929705215419501133786848</v>
      </c>
      <c r="P30" s="4"/>
      <c r="Q30" s="359">
        <v>36.839518309301390531638536630</v>
      </c>
      <c r="R30" s="170">
        <v>-10.160949462550307406371980490</v>
      </c>
      <c r="S30" s="360">
        <v>0.6749984848010034844691655100</v>
      </c>
      <c r="T30" s="359">
        <v>17.678774120564932726586884360</v>
      </c>
      <c r="U30" s="170">
        <v>-13.832236391308835519808222920</v>
      </c>
      <c r="V30" s="360">
        <v>0.465315220038331577436927800</v>
      </c>
      <c r="W30" s="359">
        <v>-1.0869565189437618146658019700</v>
      </c>
      <c r="X30" s="170">
        <v>-4.1134690782221268592558093600</v>
      </c>
      <c r="Y30" s="360">
        <v>-6.5236701307244698064140601100</v>
      </c>
      <c r="Z30" s="359">
        <v>30.558838426495113766406634330</v>
      </c>
      <c r="AA30" s="170">
        <v>-10.657125073738492653393902900</v>
      </c>
      <c r="AB30" s="360">
        <v>0.6305240747934960166849304900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8</v>
      </c>
      <c r="C31" s="345" t="s">
        <v>49</v>
      </c>
      <c r="D31" s="370">
        <v>21.806451612903225806451612903</v>
      </c>
      <c r="E31" s="172">
        <v>34.311511346224471741597206817</v>
      </c>
      <c r="F31" s="371">
        <v>53.660271555359707431099725955</v>
      </c>
      <c r="G31" s="370">
        <v>0.6827956989247311827956989247</v>
      </c>
      <c r="H31" s="172">
        <v>5.8234942717380132454150525966</v>
      </c>
      <c r="I31" s="371">
        <v>9.099623006319661619668874983</v>
      </c>
      <c r="J31" s="370">
        <v>0.9301075268817204301075268817</v>
      </c>
      <c r="K31" s="172">
        <v>6.4539906987962627109619578974</v>
      </c>
      <c r="L31" s="371">
        <v>0.1675430800439869583016938455</v>
      </c>
      <c r="M31" s="370">
        <v>23.41935483870967741935483871</v>
      </c>
      <c r="N31" s="172">
        <v>46.588996316758747697974217311</v>
      </c>
      <c r="O31" s="371">
        <v>62.927437641723356009070294785</v>
      </c>
      <c r="P31" s="4"/>
      <c r="Q31" s="327"/>
      <c r="R31" s="171">
        <v>17.655149464094151709672334340</v>
      </c>
      <c r="S31" s="328">
        <v>9.707416710003599904863295630</v>
      </c>
      <c r="T31" s="327"/>
      <c r="U31" s="171">
        <v>-25.320608108794090140830700970</v>
      </c>
      <c r="V31" s="328">
        <v>43.056671558372159388536999010</v>
      </c>
      <c r="W31" s="327"/>
      <c r="X31" s="171">
        <v>27.296936310902448258959501980</v>
      </c>
      <c r="Y31" s="328">
        <v>0</v>
      </c>
      <c r="Z31" s="327">
        <v>56.690647482431478701931652140</v>
      </c>
      <c r="AA31" s="171">
        <v>10.844892535765879254644811770</v>
      </c>
      <c r="AB31" s="328">
        <v>13.848388129048013108170669450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9</v>
      </c>
      <c r="C32" s="347" t="s">
        <v>47</v>
      </c>
      <c r="D32" s="378">
        <v>24.994623655913978494623655914</v>
      </c>
      <c r="E32" s="173">
        <v>57.212713464701071554829240385</v>
      </c>
      <c r="F32" s="379">
        <v>77.203845760589977499265153156</v>
      </c>
      <c r="G32" s="378">
        <v>0</v>
      </c>
      <c r="H32" s="173">
        <v>5.226968195066688307649288755</v>
      </c>
      <c r="I32" s="379">
        <v>21.551641122839493569806561088</v>
      </c>
      <c r="J32" s="378">
        <v>2.1075268817204301075268817204</v>
      </c>
      <c r="K32" s="173">
        <v>6.688872668040711592401765517</v>
      </c>
      <c r="L32" s="379">
        <v>0.3470074476362885681164943706</v>
      </c>
      <c r="M32" s="378">
        <v>27.102150537634408602150537634</v>
      </c>
      <c r="N32" s="173">
        <v>69.128554327808471454880294659</v>
      </c>
      <c r="O32" s="379">
        <v>99.10249433106575963718820862</v>
      </c>
      <c r="P32" s="4"/>
      <c r="Q32" s="359">
        <v>20.753246753146386911789592610</v>
      </c>
      <c r="R32" s="170">
        <v>16.015924537191606988559840320</v>
      </c>
      <c r="S32" s="360">
        <v>-4.0834801947968757581221070200</v>
      </c>
      <c r="T32" s="359">
        <v>0</v>
      </c>
      <c r="U32" s="170">
        <v>10.984262583121596905787543360</v>
      </c>
      <c r="V32" s="360">
        <v>150.33906690563116061246689335</v>
      </c>
      <c r="W32" s="359">
        <v>103.10880829057639131251932931</v>
      </c>
      <c r="X32" s="170">
        <v>17.048611396186596098658553990</v>
      </c>
      <c r="Y32" s="360">
        <v>90.67798202106033779487048465</v>
      </c>
      <c r="Z32" s="359">
        <v>24.684640118637369034792929840</v>
      </c>
      <c r="AA32" s="170">
        <v>15.718028439628553305761347570</v>
      </c>
      <c r="AB32" s="360">
        <v>10.999867930422264440238278310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10</v>
      </c>
      <c r="C33" s="345" t="s">
        <v>48</v>
      </c>
      <c r="D33" s="370"/>
      <c r="E33" s="172">
        <v>76.566792126640072978275763361</v>
      </c>
      <c r="F33" s="371">
        <v>102.74806137292110533370783694</v>
      </c>
      <c r="G33" s="370"/>
      <c r="H33" s="172">
        <v>6.5740596652774671390253263887</v>
      </c>
      <c r="I33" s="371">
        <v>23.736745883314722330691256025</v>
      </c>
      <c r="J33" s="370"/>
      <c r="K33" s="172">
        <v>6.1720395524655169729383209332</v>
      </c>
      <c r="L33" s="371">
        <v>0</v>
      </c>
      <c r="M33" s="370"/>
      <c r="N33" s="172">
        <v>89.31289134438305709023941068</v>
      </c>
      <c r="O33" s="371">
        <v>126.48480725623582766439909297</v>
      </c>
      <c r="P33" s="4"/>
      <c r="Q33" s="327"/>
      <c r="R33" s="171">
        <v>6.1399103742479745860038378200</v>
      </c>
      <c r="S33" s="328">
        <v>3.4421011862299105868721267700</v>
      </c>
      <c r="T33" s="327"/>
      <c r="U33" s="171">
        <v>54.930024512655813056600425020</v>
      </c>
      <c r="V33" s="328">
        <v>217.62994889702022617379177618</v>
      </c>
      <c r="W33" s="327"/>
      <c r="X33" s="171">
        <v>20.724716178655443546329891360</v>
      </c>
      <c r="Y33" s="328">
        <v>-100</v>
      </c>
      <c r="Z33" s="327"/>
      <c r="AA33" s="171">
        <v>9.595322217898466604225302830</v>
      </c>
      <c r="AB33" s="328">
        <v>18.159518039579274687944614930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11</v>
      </c>
      <c r="C34" s="347" t="s">
        <v>50</v>
      </c>
      <c r="D34" s="378">
        <v>31.279569892473118279569892473</v>
      </c>
      <c r="E34" s="173">
        <v>68.30454122396774027402876282</v>
      </c>
      <c r="F34" s="379">
        <v>101.47547881257721076758887558</v>
      </c>
      <c r="G34" s="378">
        <v>0</v>
      </c>
      <c r="H34" s="173">
        <v>15.140815207140119064441007029</v>
      </c>
      <c r="I34" s="379">
        <v>11.034306170760442865783457221</v>
      </c>
      <c r="J34" s="378">
        <v>2.1075268817204301075268817204</v>
      </c>
      <c r="K34" s="173">
        <v>7.1002420955956397407199170773</v>
      </c>
      <c r="L34" s="379">
        <v>0.3559746538505549834077125529</v>
      </c>
      <c r="M34" s="378">
        <v>33.387096774193548387096774194</v>
      </c>
      <c r="N34" s="173">
        <v>90.54559852670349907918968692</v>
      </c>
      <c r="O34" s="379">
        <v>112.86575963718820861678004535</v>
      </c>
      <c r="P34" s="4"/>
      <c r="Q34" s="359">
        <v>47.552624904775001673929677910</v>
      </c>
      <c r="R34" s="170">
        <v>-8.600870043879691710604788370</v>
      </c>
      <c r="S34" s="360">
        <v>5.9478290192306084349939769800</v>
      </c>
      <c r="T34" s="359">
        <v>0</v>
      </c>
      <c r="U34" s="170">
        <v>-14.189437354565620483053864610</v>
      </c>
      <c r="V34" s="360">
        <v>143.72488720303688356434389025</v>
      </c>
      <c r="W34" s="359">
        <v>113.04347826689035916841211884</v>
      </c>
      <c r="X34" s="170">
        <v>41.834067912988947987591761090</v>
      </c>
      <c r="Y34" s="360">
        <v>116.78087429299959205676697907</v>
      </c>
      <c r="Z34" s="359">
        <v>50.472498182772218317510429960</v>
      </c>
      <c r="AA34" s="170">
        <v>-7.0208037156699334157613799500</v>
      </c>
      <c r="AB34" s="360">
        <v>12.337442503939159101966401170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12</v>
      </c>
      <c r="C35" s="345" t="s">
        <v>51</v>
      </c>
      <c r="D35" s="370">
        <v>24.182795698924731182795698925</v>
      </c>
      <c r="E35" s="172">
        <v>55.677078138074456853572210948</v>
      </c>
      <c r="F35" s="371">
        <v>73.50914637498527979266597541</v>
      </c>
      <c r="G35" s="370">
        <v>17.618279569892473118279569892</v>
      </c>
      <c r="H35" s="172">
        <v>24.087600875347600370477703944</v>
      </c>
      <c r="I35" s="371">
        <v>18.061147781737220951301999194</v>
      </c>
      <c r="J35" s="370">
        <v>2.1075268817204301075268817204</v>
      </c>
      <c r="K35" s="172">
        <v>6.566223380684756772266843855</v>
      </c>
      <c r="L35" s="371">
        <v>0.3476196754770457412927963708</v>
      </c>
      <c r="M35" s="370">
        <v>43.908602150537634408602150538</v>
      </c>
      <c r="N35" s="172">
        <v>86.33090239410681399631675875</v>
      </c>
      <c r="O35" s="371">
        <v>91.91791383219954648526077098</v>
      </c>
      <c r="P35" s="4"/>
      <c r="Q35" s="327">
        <v>-23.865944482022143643288703790</v>
      </c>
      <c r="R35" s="171">
        <v>3.0161245556279421716256064100</v>
      </c>
      <c r="S35" s="328">
        <v>-4.9024086917352802801008817400</v>
      </c>
      <c r="T35" s="327">
        <v>0</v>
      </c>
      <c r="U35" s="171">
        <v>-6.2416483337762710098544652800</v>
      </c>
      <c r="V35" s="328">
        <v>111.01300575846138004391357769</v>
      </c>
      <c r="W35" s="327">
        <v>317.02127658421004979660695606</v>
      </c>
      <c r="X35" s="171">
        <v>23.713342838560329990626096460</v>
      </c>
      <c r="Y35" s="328">
        <v>306.99706451605746094029165756</v>
      </c>
      <c r="Z35" s="327">
        <v>36.071309563483374585456963790</v>
      </c>
      <c r="AA35" s="171">
        <v>1.5111685677119016376875634700</v>
      </c>
      <c r="AB35" s="328">
        <v>6.9517954671335552393671034100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13</v>
      </c>
      <c r="C36" s="347" t="s">
        <v>52</v>
      </c>
      <c r="D36" s="378">
        <v>39.166666666666666666666666667</v>
      </c>
      <c r="E36" s="173">
        <v>53.431953674011075417188198337</v>
      </c>
      <c r="F36" s="379">
        <v>72.761499162302449601241580726</v>
      </c>
      <c r="G36" s="378">
        <v>0</v>
      </c>
      <c r="H36" s="173">
        <v>33.168544393363754941827079566</v>
      </c>
      <c r="I36" s="379">
        <v>14.256149782185559366020947261</v>
      </c>
      <c r="J36" s="378">
        <v>1.0537634408602150537634408602</v>
      </c>
      <c r="K36" s="173">
        <v>6.0426050633802340977066373811</v>
      </c>
      <c r="L36" s="379">
        <v>0.1760018491627846835311228057</v>
      </c>
      <c r="M36" s="378">
        <v>40.220430107526881720430107527</v>
      </c>
      <c r="N36" s="173">
        <v>92.64310313075506445672191529</v>
      </c>
      <c r="O36" s="379">
        <v>87.19365079365079365079365079</v>
      </c>
      <c r="P36" s="4"/>
      <c r="Q36" s="359">
        <v>-27.135427085358780097687824590</v>
      </c>
      <c r="R36" s="170">
        <v>-18.452590719157564144142252660</v>
      </c>
      <c r="S36" s="360">
        <v>-8.265056158909444770400520170</v>
      </c>
      <c r="T36" s="359">
        <v>0</v>
      </c>
      <c r="U36" s="170">
        <v>84.85111726916119190713740946</v>
      </c>
      <c r="V36" s="360">
        <v>43.052843227817058445904899760</v>
      </c>
      <c r="W36" s="359">
        <v>-30.985915491596905375890643210</v>
      </c>
      <c r="X36" s="170">
        <v>20.070845127223907906062082720</v>
      </c>
      <c r="Y36" s="360">
        <v>-33.945952852304473970518265890</v>
      </c>
      <c r="Z36" s="359">
        <v>-27.241781754557847801130831620</v>
      </c>
      <c r="AA36" s="170">
        <v>4.6832696298343054150991863200</v>
      </c>
      <c r="AB36" s="360">
        <v>-2.6304594441224213314977398200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14</v>
      </c>
      <c r="C37" s="349" t="s">
        <v>53</v>
      </c>
      <c r="D37" s="380">
        <v>13.58064516129032258064516129</v>
      </c>
      <c r="E37" s="383">
        <v>53.600022439504614622828438261</v>
      </c>
      <c r="F37" s="381">
        <v>75.662907797757858521842449492</v>
      </c>
      <c r="G37" s="380">
        <v>0</v>
      </c>
      <c r="H37" s="383">
        <v>25.518784397135525280287268299</v>
      </c>
      <c r="I37" s="381">
        <v>9.699531353537944514219189323</v>
      </c>
      <c r="J37" s="380">
        <v>1.5806451612903225806451612903</v>
      </c>
      <c r="K37" s="383">
        <v>5.2021876384979816438456194063</v>
      </c>
      <c r="L37" s="381">
        <v>0.2756560867994350591764564196</v>
      </c>
      <c r="M37" s="380">
        <v>15.161290322580645161290322581</v>
      </c>
      <c r="N37" s="383">
        <v>84.32099447513812154696132597</v>
      </c>
      <c r="O37" s="381">
        <v>85.63809523809523809523809524</v>
      </c>
      <c r="P37" s="4"/>
      <c r="Q37" s="329">
        <v>-70.641562064137780617752945610</v>
      </c>
      <c r="R37" s="330">
        <v>-9.153381397561068852152067070</v>
      </c>
      <c r="S37" s="332">
        <v>1.4936361851578204522749719900</v>
      </c>
      <c r="T37" s="329">
        <v>0</v>
      </c>
      <c r="U37" s="330">
        <v>75.338165766054572268587816790</v>
      </c>
      <c r="V37" s="332">
        <v>79.69449641816328413123092874</v>
      </c>
      <c r="W37" s="329">
        <v>62.430939221493849394252123990</v>
      </c>
      <c r="X37" s="330">
        <v>9.511769212322149702463376660</v>
      </c>
      <c r="Y37" s="332">
        <v>56.082857695800370957844364100</v>
      </c>
      <c r="Z37" s="329">
        <v>-67.899829254411658512709062910</v>
      </c>
      <c r="AA37" s="330">
        <v>7.6828351355007114579738008800</v>
      </c>
      <c r="AB37" s="332">
        <v>6.8822061096050020451812201400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22.884408602150537634408602151</v>
      </c>
      <c r="E39" s="382">
        <v>32.710293665437142010736224252</v>
      </c>
      <c r="F39" s="375">
        <v>54.128463279718943774337635914</v>
      </c>
      <c r="G39" s="374">
        <v>1.1989247311827956989247311828</v>
      </c>
      <c r="H39" s="382">
        <v>6.623862245453865414746559003</v>
      </c>
      <c r="I39" s="375">
        <v>5.7448285444147457885945697644</v>
      </c>
      <c r="J39" s="374">
        <v>1.2956989247311827956989247312</v>
      </c>
      <c r="K39" s="382">
        <v>6.1102225421476666076663880159</v>
      </c>
      <c r="L39" s="375">
        <v>0.2306764298345644053217625756</v>
      </c>
      <c r="M39" s="374">
        <v>25.379032258064516129032258065</v>
      </c>
      <c r="N39" s="382">
        <v>45.444378453038674033149171271</v>
      </c>
      <c r="O39" s="375">
        <v>60.103968253968253968253968254</v>
      </c>
      <c r="P39" s="4"/>
      <c r="Q39" s="354">
        <v>-8.951871657933185621550163570</v>
      </c>
      <c r="R39" s="355">
        <v>16.601260960798806465553791470</v>
      </c>
      <c r="S39" s="356">
        <v>10.780463107131403896244082310</v>
      </c>
      <c r="T39" s="354">
        <v>-79.53502600194685730717814192</v>
      </c>
      <c r="U39" s="355">
        <v>52.178892550271633929708930280</v>
      </c>
      <c r="V39" s="356">
        <v>9.020363763940752613970672820</v>
      </c>
      <c r="W39" s="354">
        <v>-8.015267173114911718365665580</v>
      </c>
      <c r="X39" s="355">
        <v>-10.634978957876209391854885170</v>
      </c>
      <c r="Y39" s="356">
        <v>19.904838597241151514137234260</v>
      </c>
      <c r="Z39" s="354">
        <v>-9.486601792742771880137686240</v>
      </c>
      <c r="AA39" s="355">
        <v>15.801980109755994655854258100</v>
      </c>
      <c r="AB39" s="356">
        <v>10.642041375228155981985633310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21.55376344086021505376344086</v>
      </c>
      <c r="E40" s="172">
        <v>47.148572212961824315134601268</v>
      </c>
      <c r="F40" s="371">
        <v>73.533837748584137249061127129</v>
      </c>
      <c r="G40" s="370">
        <v>3.3279569892473118279569892473</v>
      </c>
      <c r="H40" s="172">
        <v>9.172527933545479180206695897</v>
      </c>
      <c r="I40" s="371">
        <v>11.165448547611148913832596314</v>
      </c>
      <c r="J40" s="370">
        <v>1.4206989247311827956989247312</v>
      </c>
      <c r="K40" s="172">
        <v>6.0340886196068769834800656308</v>
      </c>
      <c r="L40" s="371">
        <v>0.2372216403126503450427844934</v>
      </c>
      <c r="M40" s="370">
        <v>26.302419354838709677419354839</v>
      </c>
      <c r="N40" s="172">
        <v>62.355188766114180478821362797</v>
      </c>
      <c r="O40" s="371">
        <v>84.93650793650793650793650794</v>
      </c>
      <c r="P40" s="4"/>
      <c r="Q40" s="327">
        <v>-9.915173304805736431565727400</v>
      </c>
      <c r="R40" s="171">
        <v>2.1080027720392294893356897600</v>
      </c>
      <c r="S40" s="328">
        <v>5.4920513825816468102323728100</v>
      </c>
      <c r="T40" s="327">
        <v>191.98113208483713065177779476</v>
      </c>
      <c r="U40" s="171">
        <v>59.563658865373578588837833040</v>
      </c>
      <c r="V40" s="328">
        <v>88.15249370800103176721915557</v>
      </c>
      <c r="W40" s="327">
        <v>43.031123138293674844960156190</v>
      </c>
      <c r="X40" s="171">
        <v>-12.695300439309664955213565500</v>
      </c>
      <c r="Y40" s="328">
        <v>38.771414069229336030317106320</v>
      </c>
      <c r="Z40" s="327">
        <v>0.9335671551202865024827799600</v>
      </c>
      <c r="AA40" s="171">
        <v>5.9827353639487608926840219400</v>
      </c>
      <c r="AB40" s="328">
        <v>12.037520320701235274062989710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27.035842293906810035842293907</v>
      </c>
      <c r="E41" s="173">
        <v>67.582332250805454325701889609</v>
      </c>
      <c r="F41" s="379">
        <v>94.77065811356139495310046609</v>
      </c>
      <c r="G41" s="378">
        <v>6.5537634408602150537634408602</v>
      </c>
      <c r="H41" s="173">
        <v>7.4829624574164561405018817537</v>
      </c>
      <c r="I41" s="379">
        <v>14.230429437611878941342328604</v>
      </c>
      <c r="J41" s="378">
        <v>1.7491039426523297491039426523</v>
      </c>
      <c r="K41" s="173">
        <v>5.5981261020911650402419008273</v>
      </c>
      <c r="L41" s="379">
        <v>0.2159192515478145409313549659</v>
      </c>
      <c r="M41" s="378">
        <v>35.338709677419354838709677419</v>
      </c>
      <c r="N41" s="173">
        <v>80.66342081031307550644567219</v>
      </c>
      <c r="O41" s="379">
        <v>109.21700680272108843537414966</v>
      </c>
      <c r="P41" s="4"/>
      <c r="Q41" s="359">
        <v>-28.089994756568875058793429600</v>
      </c>
      <c r="R41" s="170">
        <v>7.8159458589866922572031302700</v>
      </c>
      <c r="S41" s="360">
        <v>2.3091375517180549965569605400</v>
      </c>
      <c r="T41" s="359">
        <v>340.46973803262353635280631705</v>
      </c>
      <c r="U41" s="170">
        <v>4.979870955320746121513834400</v>
      </c>
      <c r="V41" s="360">
        <v>135.93719481547964217101402089</v>
      </c>
      <c r="W41" s="359">
        <v>19.060689234958441070698231560</v>
      </c>
      <c r="X41" s="170">
        <v>-17.544184746991674704370058850</v>
      </c>
      <c r="Y41" s="360">
        <v>-11.887543175186358316138830540</v>
      </c>
      <c r="Z41" s="359">
        <v>-12.859604931810266329511415090</v>
      </c>
      <c r="AA41" s="170">
        <v>5.3043155000498215800886653800</v>
      </c>
      <c r="AB41" s="360">
        <v>10.422641768981009001519452730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30.247311827956989247311827957</v>
      </c>
      <c r="E42" s="172">
        <v>69.800777433473835250371955893</v>
      </c>
      <c r="F42" s="371">
        <v>94.41610672218811059406221014</v>
      </c>
      <c r="G42" s="370">
        <v>0.5591397849462365591397849462</v>
      </c>
      <c r="H42" s="172">
        <v>14.486864399619275769272273736</v>
      </c>
      <c r="I42" s="371">
        <v>13.335218271169110355308590288</v>
      </c>
      <c r="J42" s="370">
        <v>1.4502688172043010752688172043</v>
      </c>
      <c r="K42" s="172">
        <v>5.5982352387300934002452731317</v>
      </c>
      <c r="L42" s="371">
        <v>0.2398314692278130642346417562</v>
      </c>
      <c r="M42" s="370">
        <v>32.258064516129032258064516129</v>
      </c>
      <c r="N42" s="172">
        <v>89.88587707182320441988950276</v>
      </c>
      <c r="O42" s="371">
        <v>107.99115646258503401360544218</v>
      </c>
      <c r="P42" s="4"/>
      <c r="Q42" s="327">
        <v>13.412175782643514999084335730</v>
      </c>
      <c r="R42" s="171">
        <v>9.904331849810067288134553590</v>
      </c>
      <c r="S42" s="328">
        <v>6.7147158896105154059958773300</v>
      </c>
      <c r="T42" s="327">
        <v>-78.166550034635034262283787820</v>
      </c>
      <c r="U42" s="171">
        <v>27.068380874657335932938574910</v>
      </c>
      <c r="V42" s="328">
        <v>117.93682747085416016954984418</v>
      </c>
      <c r="W42" s="327">
        <v>23.738532105096793199427285410</v>
      </c>
      <c r="X42" s="171">
        <v>-10.052231005808868166660403070</v>
      </c>
      <c r="Y42" s="328">
        <v>64.986062390433628220207864850</v>
      </c>
      <c r="Z42" s="327">
        <v>-0.1373111969843113453365434300</v>
      </c>
      <c r="AA42" s="171">
        <v>10.785299371229541224373935570</v>
      </c>
      <c r="AB42" s="328">
        <v>13.987520374547924223880146850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30.579301075268817204301075269</v>
      </c>
      <c r="E43" s="173">
        <v>56.256355531821125952047033089</v>
      </c>
      <c r="F43" s="379">
        <v>79.104730787094613916945572014</v>
      </c>
      <c r="G43" s="378">
        <v>8.538978494623655913978494624</v>
      </c>
      <c r="H43" s="173">
        <v>16.324340326588879339878369666</v>
      </c>
      <c r="I43" s="379">
        <v>12.155959115699043585756513956</v>
      </c>
      <c r="J43" s="378">
        <v>1.614247311827956989247311828</v>
      </c>
      <c r="K43" s="173">
        <v>5.9538621526397184649806745944</v>
      </c>
      <c r="L43" s="379">
        <v>0.2904438840544150596561906756</v>
      </c>
      <c r="M43" s="378">
        <v>40.731182795698924731182795699</v>
      </c>
      <c r="N43" s="173">
        <v>78.534558011049723756906077348</v>
      </c>
      <c r="O43" s="379">
        <v>91.55113378684807256235827664</v>
      </c>
      <c r="P43" s="4"/>
      <c r="Q43" s="359">
        <v>-7.7824166026023839542491543700</v>
      </c>
      <c r="R43" s="170">
        <v>7.7686335372934005753890378600</v>
      </c>
      <c r="S43" s="360">
        <v>5.4210403521127025002711303200</v>
      </c>
      <c r="T43" s="359">
        <v>70.367390721153723927202591080</v>
      </c>
      <c r="U43" s="170">
        <v>0.2224696986018390703849639300</v>
      </c>
      <c r="V43" s="360">
        <v>29.230237434473173361210023460</v>
      </c>
      <c r="W43" s="359">
        <v>43.488649940262843488649940270</v>
      </c>
      <c r="X43" s="170">
        <v>-5.1314647783543493084233537300</v>
      </c>
      <c r="Y43" s="360">
        <v>56.263120832646674667171926230</v>
      </c>
      <c r="Z43" s="359">
        <v>3.6459402147209110728462055700</v>
      </c>
      <c r="AA43" s="170">
        <v>5.0417911331526813407759947800</v>
      </c>
      <c r="AB43" s="360">
        <v>8.179065685973469504937690890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50.545698924731182795698924731</v>
      </c>
      <c r="E44" s="172">
        <v>63.320722649379170553729646047</v>
      </c>
      <c r="F44" s="371">
        <v>80.38234890858660566826613424</v>
      </c>
      <c r="G44" s="370">
        <v>9.959677419354838709677419355</v>
      </c>
      <c r="H44" s="172">
        <v>21.57266933406862329612397776</v>
      </c>
      <c r="I44" s="371">
        <v>14.360621404403944692204041967</v>
      </c>
      <c r="J44" s="370">
        <v>1.3010752688172043010752688172</v>
      </c>
      <c r="K44" s="172">
        <v>5.6625518471231085442531901842</v>
      </c>
      <c r="L44" s="371">
        <v>0.23469408610242016107177391</v>
      </c>
      <c r="M44" s="370">
        <v>61.806451612903225806451612903</v>
      </c>
      <c r="N44" s="172">
        <v>90.55594383057090239410681399</v>
      </c>
      <c r="O44" s="371">
        <v>94.97766439909297052154195011</v>
      </c>
      <c r="P44" s="4"/>
      <c r="Q44" s="327">
        <v>5.8667867800546426040907766500</v>
      </c>
      <c r="R44" s="171">
        <v>-8.497018768679589034222675900</v>
      </c>
      <c r="S44" s="328">
        <v>-6.061827321864906588332167600</v>
      </c>
      <c r="T44" s="327">
        <v>44.388152766232202511532434850</v>
      </c>
      <c r="U44" s="171">
        <v>2.6360049036767384647116880500</v>
      </c>
      <c r="V44" s="328">
        <v>46.004136795047538710403341850</v>
      </c>
      <c r="W44" s="327">
        <v>47.786259539638202901966049910</v>
      </c>
      <c r="X44" s="171">
        <v>-6.0395167473925119680771835700</v>
      </c>
      <c r="Y44" s="328">
        <v>47.510790609189085254740641110</v>
      </c>
      <c r="Z44" s="327">
        <v>11.317146384496121451803648100</v>
      </c>
      <c r="AA44" s="171">
        <v>-5.9118586881765511237596599300</v>
      </c>
      <c r="AB44" s="328">
        <v>-0.6138499449059858732732555900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46.771505376344086021505376344</v>
      </c>
      <c r="E45" s="385">
        <v>62.675530415624264148425727417</v>
      </c>
      <c r="F45" s="386">
        <v>83.04841840663692852553472281</v>
      </c>
      <c r="G45" s="384">
        <v>8.971774193548387096774193548</v>
      </c>
      <c r="H45" s="385">
        <v>15.709366876003128179661800798</v>
      </c>
      <c r="I45" s="386">
        <v>11.433699473207723082534143029</v>
      </c>
      <c r="J45" s="384">
        <v>1.4220430107526881720430107527</v>
      </c>
      <c r="K45" s="385">
        <v>5.1080055628845782059824533762</v>
      </c>
      <c r="L45" s="386">
        <v>0.2585850680011533805932656777</v>
      </c>
      <c r="M45" s="384">
        <v>57.166666666666666666666666667</v>
      </c>
      <c r="N45" s="385">
        <v>83.49290285451197053406998159</v>
      </c>
      <c r="O45" s="386">
        <v>94.74070294784580498866213152</v>
      </c>
      <c r="P45" s="4"/>
      <c r="Q45" s="364">
        <v>-4.8793155290105568192951109800</v>
      </c>
      <c r="R45" s="365">
        <v>-3.5244912624563916037424954200</v>
      </c>
      <c r="S45" s="366">
        <v>0.0364774391142527114012676800</v>
      </c>
      <c r="T45" s="364">
        <v>25.422773392612698263409609700</v>
      </c>
      <c r="U45" s="365">
        <v>-2.070321045540411212927510900</v>
      </c>
      <c r="V45" s="366">
        <v>35.327669766900399128858139110</v>
      </c>
      <c r="W45" s="364">
        <v>28.242424247274137741230246180</v>
      </c>
      <c r="X45" s="365">
        <v>-5.4237573821015902223294691100</v>
      </c>
      <c r="Y45" s="366">
        <v>27.077548065975064324224322970</v>
      </c>
      <c r="Z45" s="364">
        <v>-0.4633746781691674723631713700</v>
      </c>
      <c r="AA45" s="365">
        <v>-3.3732405546534802668119115400</v>
      </c>
      <c r="AB45" s="366">
        <v>3.3491479640367954531235839300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25.835125448028673835125448029</v>
      </c>
      <c r="E47" s="382">
        <v>57.014944630446214777474260132</v>
      </c>
      <c r="F47" s="375">
        <v>79.57445869092765556391594246</v>
      </c>
      <c r="G47" s="374">
        <v>3.0501792114695340501792114695</v>
      </c>
      <c r="H47" s="382">
        <v>16.505752429295595478446103796</v>
      </c>
      <c r="I47" s="375">
        <v>15.348449300099292173927469299</v>
      </c>
      <c r="J47" s="374">
        <v>1.6478494623655913978494623656</v>
      </c>
      <c r="K47" s="382">
        <v>6.3180230139230147901201517239</v>
      </c>
      <c r="L47" s="375">
        <v>0.2385432561385851419751823379</v>
      </c>
      <c r="M47" s="374">
        <v>30.533154121863799283154121864</v>
      </c>
      <c r="N47" s="382">
        <v>79.83872007366482504604051565</v>
      </c>
      <c r="O47" s="375">
        <v>95.1614512471655328798185941</v>
      </c>
      <c r="P47" s="4"/>
      <c r="Q47" s="354">
        <v>-26.336228921790503594267021350</v>
      </c>
      <c r="R47" s="355">
        <v>-1.191470683896927425008227800</v>
      </c>
      <c r="S47" s="356">
        <v>0.2421280860308550924344823500</v>
      </c>
      <c r="T47" s="354">
        <v>0</v>
      </c>
      <c r="U47" s="355">
        <v>24.795169148730188542773724970</v>
      </c>
      <c r="V47" s="356">
        <v>111.10800179821582788314371034</v>
      </c>
      <c r="W47" s="354">
        <v>51.482701808248061468582669900</v>
      </c>
      <c r="X47" s="355">
        <v>22.872155043871188641752844980</v>
      </c>
      <c r="Y47" s="356">
        <v>49.311517359351146229939209350</v>
      </c>
      <c r="Z47" s="354">
        <v>-7.8356594180366144078504205900</v>
      </c>
      <c r="AA47" s="355">
        <v>4.9533461868199523485446630700</v>
      </c>
      <c r="AB47" s="356">
        <v>9.617299152977274252064268350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33.016129032258064516129032258</v>
      </c>
      <c r="E48" s="172">
        <v>57.0706548799289737937352968</v>
      </c>
      <c r="F48" s="371">
        <v>79.9120805666243906687582669</v>
      </c>
      <c r="G48" s="370">
        <v>5.5513739545997610513739545998</v>
      </c>
      <c r="H48" s="172">
        <v>13.053227653242243902913079802</v>
      </c>
      <c r="I48" s="371">
        <v>11.775172113445370765653254846</v>
      </c>
      <c r="J48" s="370">
        <v>1.4542015133412982875348466746</v>
      </c>
      <c r="K48" s="172">
        <v>5.7235845807461724638357065374</v>
      </c>
      <c r="L48" s="371">
        <v>0.2439102612972615652645391506</v>
      </c>
      <c r="M48" s="370">
        <v>40.021903624054161688570290721</v>
      </c>
      <c r="N48" s="172">
        <v>75.847467113917390160484083136</v>
      </c>
      <c r="O48" s="371">
        <v>91.9311629413670229996760609</v>
      </c>
      <c r="P48" s="4"/>
      <c r="Q48" s="327">
        <v>-6.8763997760254060918002268100</v>
      </c>
      <c r="R48" s="171">
        <v>3.2849255361951054210296232800</v>
      </c>
      <c r="S48" s="328">
        <v>2.9609090086462028941778399100</v>
      </c>
      <c r="T48" s="327">
        <v>28.846440987442211356775674020</v>
      </c>
      <c r="U48" s="171">
        <v>11.459589303463711203540341510</v>
      </c>
      <c r="V48" s="328">
        <v>61.477060575368135505810708450</v>
      </c>
      <c r="W48" s="327">
        <v>25.827849681512088424761065050</v>
      </c>
      <c r="X48" s="171">
        <v>-9.896013083383060341002679680</v>
      </c>
      <c r="Y48" s="328">
        <v>31.114517676406996622327942760</v>
      </c>
      <c r="Z48" s="327">
        <v>0.3384540940442004374356244600</v>
      </c>
      <c r="AA48" s="171">
        <v>3.4486891636293047200847658200</v>
      </c>
      <c r="AB48" s="328">
        <v>8.037129643874481212128399510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32.012406947890818858560794045</v>
      </c>
      <c r="E49" s="385">
        <v>60.95619927815814558492381351</v>
      </c>
      <c r="F49" s="386">
        <v>85.18045319545221621172150303</v>
      </c>
      <c r="G49" s="384">
        <v>6.827129859387923904052936311</v>
      </c>
      <c r="H49" s="385">
        <v>15.149305590418089434106381172</v>
      </c>
      <c r="I49" s="386">
        <v>14.144821736859754346506926465</v>
      </c>
      <c r="J49" s="384">
        <v>1.444168734491315136476426799</v>
      </c>
      <c r="K49" s="385">
        <v>5.970467901747364033850626155</v>
      </c>
      <c r="L49" s="386">
        <v>0.2277538982678804297858238217</v>
      </c>
      <c r="M49" s="384">
        <v>40.284532671629445822994210091</v>
      </c>
      <c r="N49" s="385">
        <v>82.07597277032359905288082084</v>
      </c>
      <c r="O49" s="386">
        <v>99.55302883057985098801425332</v>
      </c>
      <c r="P49" s="4"/>
      <c r="Q49" s="364">
        <v>-12.890347689432270979265999560</v>
      </c>
      <c r="R49" s="365">
        <v>4.7460823284659139440806273600</v>
      </c>
      <c r="S49" s="366">
        <v>6.5060123899525947266792527600</v>
      </c>
      <c r="T49" s="364">
        <v>44.945817999111685316898937740</v>
      </c>
      <c r="U49" s="365">
        <v>3.45936087188518535685703200</v>
      </c>
      <c r="V49" s="366">
        <v>61.525674942941290567080462030</v>
      </c>
      <c r="W49" s="364">
        <v>34.982605336670363802041294970</v>
      </c>
      <c r="X49" s="365">
        <v>6.4747841501484280719817286600</v>
      </c>
      <c r="Y49" s="366">
        <v>47.704463645282724239209977810</v>
      </c>
      <c r="Z49" s="364">
        <v>0.1211398600805265882836825600</v>
      </c>
      <c r="AA49" s="365">
        <v>4.6294694457255821627691721400</v>
      </c>
      <c r="AB49" s="366">
        <v>11.997851298666406710608186650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24.9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25" footer="0.25"/>
  <pageSetup scale="67" orientation="landscape" r:id="rId1"/>
  <headerFooter alignWithMargins="0">
    <oddHeader/>
    <oddFooter/>
  </headerFooter>
  <drawing r:id="rId42"/>
</worksheet>
</file>

<file path=xl/worksheets/sheet4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75" workbookViewId="0"/>
  </sheetViews>
  <sheetFormatPr defaultRowHeight="12.75"/>
  <cols>
    <col min="1" max="1" width="13.28515625" customWidth="1"/>
    <col min="2" max="2" width="3.85546875" customWidth="1"/>
    <col min="3" max="3" width="4.28515625" style="30" customWidth="1"/>
    <col min="4" max="15" width="8.7109375" customWidth="1"/>
    <col min="16" max="16" width="1.42578125" customWidth="1"/>
    <col min="17" max="25" width="8.7109375" customWidth="1"/>
    <col min="26" max="28" width="7.42578125" hidden="1" customWidth="1"/>
    <col min="29" max="29" width="2.28515625" customWidth="1"/>
    <col min="30" max="32" width="9.140625" customWidth="1"/>
  </cols>
  <sheetData>
    <row r="1" ht="23.25">
      <c r="A1" s="39" t="s">
        <v>133</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141</v>
      </c>
      <c r="X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143</v>
      </c>
      <c r="B4" s="443"/>
      <c r="C4" s="211"/>
      <c r="D4" s="212"/>
      <c r="E4" s="212"/>
      <c r="F4" s="212"/>
      <c r="G4" s="212"/>
      <c r="H4" s="212"/>
      <c r="I4" s="212"/>
      <c r="J4" s="212"/>
      <c r="K4" s="212"/>
      <c r="L4" s="212"/>
      <c r="M4" s="212"/>
      <c r="N4" s="212"/>
      <c r="O4" s="212"/>
      <c r="P4" s="212"/>
      <c r="Q4" s="665" t="s">
        <v>146</v>
      </c>
      <c r="R4" s="665"/>
      <c r="S4" s="665"/>
      <c r="T4" s="665"/>
      <c r="U4" s="665"/>
      <c r="V4" s="665"/>
      <c r="W4" s="665"/>
      <c r="X4" s="665"/>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83</v>
      </c>
      <c r="E7" s="621"/>
      <c r="F7" s="621"/>
      <c r="G7" s="621"/>
      <c r="H7" s="621"/>
      <c r="I7" s="621"/>
      <c r="J7" s="621"/>
      <c r="K7" s="621"/>
      <c r="L7" s="621"/>
      <c r="M7" s="621"/>
      <c r="N7" s="621"/>
      <c r="O7" s="621"/>
      <c r="Q7" s="621" t="s">
        <v>62</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 customHeight="1">
      <c r="D8" s="681" t="s">
        <v>33</v>
      </c>
      <c r="E8" s="681"/>
      <c r="F8" s="681"/>
      <c r="G8" s="681" t="s">
        <v>30</v>
      </c>
      <c r="H8" s="681"/>
      <c r="I8" s="681"/>
      <c r="J8" s="681" t="s">
        <v>29</v>
      </c>
      <c r="K8" s="681"/>
      <c r="L8" s="681"/>
      <c r="M8" s="681" t="s">
        <v>94</v>
      </c>
      <c r="N8" s="681"/>
      <c r="O8" s="681"/>
      <c r="Q8" s="681" t="s">
        <v>33</v>
      </c>
      <c r="R8" s="681"/>
      <c r="S8" s="681"/>
      <c r="T8" s="681" t="s">
        <v>30</v>
      </c>
      <c r="U8" s="681"/>
      <c r="V8" s="681"/>
      <c r="W8" s="681" t="s">
        <v>29</v>
      </c>
      <c r="X8" s="681"/>
      <c r="Y8" s="681"/>
      <c r="Z8" s="682" t="s">
        <v>23</v>
      </c>
      <c r="AA8" s="682"/>
      <c r="AB8" s="682"/>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94" t="s">
        <v>63</v>
      </c>
      <c r="AA9" s="94" t="s">
        <v>26</v>
      </c>
      <c r="AB9" s="95" t="s">
        <v>147</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148</v>
      </c>
      <c r="B10" s="342">
        <v>18</v>
      </c>
      <c r="C10" s="343" t="s">
        <v>49</v>
      </c>
      <c r="D10" s="374">
        <v>101.100000000</v>
      </c>
      <c r="E10" s="382">
        <v>126.09125260960334029227557411</v>
      </c>
      <c r="F10" s="375">
        <v>114.66757990867579908675799087</v>
      </c>
      <c r="G10" s="374"/>
      <c r="H10" s="382"/>
      <c r="I10" s="375"/>
      <c r="J10" s="374"/>
      <c r="K10" s="382"/>
      <c r="L10" s="375"/>
      <c r="M10" s="374"/>
      <c r="N10" s="382"/>
      <c r="O10" s="375"/>
      <c r="P10" s="4"/>
      <c r="Q10" s="354"/>
      <c r="R10" s="355"/>
      <c r="S10" s="356"/>
      <c r="T10" s="354"/>
      <c r="U10" s="355"/>
      <c r="V10" s="356"/>
      <c r="W10" s="354"/>
      <c r="X10" s="355"/>
      <c r="Y10" s="356"/>
      <c r="Z10" s="35"/>
      <c r="AA10" s="35"/>
      <c r="AB10" s="3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19</v>
      </c>
      <c r="C11" s="345" t="s">
        <v>47</v>
      </c>
      <c r="D11" s="370">
        <v>110.540000000</v>
      </c>
      <c r="E11" s="172">
        <v>134.30076687116564417177914109</v>
      </c>
      <c r="F11" s="371">
        <v>125.79814814814814814814814815</v>
      </c>
      <c r="G11" s="370"/>
      <c r="H11" s="172"/>
      <c r="I11" s="371"/>
      <c r="J11" s="370"/>
      <c r="K11" s="172"/>
      <c r="L11" s="371"/>
      <c r="M11" s="370"/>
      <c r="N11" s="172"/>
      <c r="O11" s="371"/>
      <c r="P11" s="4"/>
      <c r="Q11" s="327"/>
      <c r="R11" s="171"/>
      <c r="S11" s="328"/>
      <c r="T11" s="327"/>
      <c r="U11" s="171"/>
      <c r="V11" s="328"/>
      <c r="W11" s="327"/>
      <c r="X11" s="171"/>
      <c r="Y11" s="328"/>
      <c r="Z11" s="36"/>
      <c r="AA11" s="36"/>
      <c r="AB11" s="32"/>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20</v>
      </c>
      <c r="C12" s="347" t="s">
        <v>48</v>
      </c>
      <c r="D12" s="378">
        <v>103.81395348837209302325581395</v>
      </c>
      <c r="E12" s="173">
        <v>140.03094170403587443946188341</v>
      </c>
      <c r="F12" s="379">
        <v>136.3149171270718232044198895</v>
      </c>
      <c r="G12" s="378"/>
      <c r="H12" s="173"/>
      <c r="I12" s="379"/>
      <c r="J12" s="378"/>
      <c r="K12" s="173"/>
      <c r="L12" s="379"/>
      <c r="M12" s="378"/>
      <c r="N12" s="173"/>
      <c r="O12" s="379"/>
      <c r="P12" s="4"/>
      <c r="Q12" s="359"/>
      <c r="R12" s="170"/>
      <c r="S12" s="360"/>
      <c r="T12" s="359"/>
      <c r="U12" s="170"/>
      <c r="V12" s="360"/>
      <c r="W12" s="359"/>
      <c r="X12" s="170"/>
      <c r="Y12" s="360"/>
      <c r="Z12" s="35"/>
      <c r="AA12" s="35"/>
      <c r="AB12" s="3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21</v>
      </c>
      <c r="C13" s="345" t="s">
        <v>50</v>
      </c>
      <c r="D13" s="370">
        <v>95.34545454545454545454545455</v>
      </c>
      <c r="E13" s="172">
        <v>144.14039682539682539682539682</v>
      </c>
      <c r="F13" s="371">
        <v>136.86763005780346820809248555</v>
      </c>
      <c r="G13" s="370"/>
      <c r="H13" s="172"/>
      <c r="I13" s="371"/>
      <c r="J13" s="370"/>
      <c r="K13" s="172"/>
      <c r="L13" s="371"/>
      <c r="M13" s="370"/>
      <c r="N13" s="172"/>
      <c r="O13" s="371"/>
      <c r="P13" s="4"/>
      <c r="Q13" s="327"/>
      <c r="R13" s="171"/>
      <c r="S13" s="328"/>
      <c r="T13" s="327"/>
      <c r="U13" s="171"/>
      <c r="V13" s="328"/>
      <c r="W13" s="327"/>
      <c r="X13" s="171"/>
      <c r="Y13" s="328"/>
      <c r="Z13" s="36"/>
      <c r="AA13" s="36"/>
      <c r="AB13" s="32"/>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22</v>
      </c>
      <c r="C14" s="347" t="s">
        <v>51</v>
      </c>
      <c r="D14" s="378">
        <v>105.34482758620689655172413793</v>
      </c>
      <c r="E14" s="173">
        <v>127.81241379310344827586206896</v>
      </c>
      <c r="F14" s="379">
        <v>124.17037507946598855689764781</v>
      </c>
      <c r="G14" s="378"/>
      <c r="H14" s="173"/>
      <c r="I14" s="379"/>
      <c r="J14" s="378"/>
      <c r="K14" s="173"/>
      <c r="L14" s="379"/>
      <c r="M14" s="378"/>
      <c r="N14" s="173"/>
      <c r="O14" s="379"/>
      <c r="P14" s="4"/>
      <c r="Q14" s="359"/>
      <c r="R14" s="170"/>
      <c r="S14" s="360"/>
      <c r="T14" s="359"/>
      <c r="U14" s="170"/>
      <c r="V14" s="360"/>
      <c r="W14" s="359"/>
      <c r="X14" s="170"/>
      <c r="Y14" s="360"/>
      <c r="Z14" s="35"/>
      <c r="AA14" s="35"/>
      <c r="AB14" s="3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23</v>
      </c>
      <c r="C15" s="345" t="s">
        <v>52</v>
      </c>
      <c r="D15" s="370">
        <v>102.69230769230769230769230769</v>
      </c>
      <c r="E15" s="172">
        <v>131.70539634146341463414634145</v>
      </c>
      <c r="F15" s="371">
        <v>125.60435571687840290381125227</v>
      </c>
      <c r="G15" s="370"/>
      <c r="H15" s="172"/>
      <c r="I15" s="371"/>
      <c r="J15" s="370"/>
      <c r="K15" s="172"/>
      <c r="L15" s="371"/>
      <c r="M15" s="370"/>
      <c r="N15" s="172"/>
      <c r="O15" s="371"/>
      <c r="P15" s="4"/>
      <c r="Q15" s="327"/>
      <c r="R15" s="171"/>
      <c r="S15" s="328"/>
      <c r="T15" s="327"/>
      <c r="U15" s="171"/>
      <c r="V15" s="328"/>
      <c r="W15" s="327"/>
      <c r="X15" s="171"/>
      <c r="Y15" s="328"/>
      <c r="Z15" s="36"/>
      <c r="AA15" s="36"/>
      <c r="AB15" s="32"/>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24</v>
      </c>
      <c r="C16" s="347" t="s">
        <v>53</v>
      </c>
      <c r="D16" s="378">
        <v>101.29896907216494845360824742</v>
      </c>
      <c r="E16" s="173">
        <v>134.7530852713178294573643411</v>
      </c>
      <c r="F16" s="379">
        <v>125.62801648028251912889935256</v>
      </c>
      <c r="G16" s="378"/>
      <c r="H16" s="173"/>
      <c r="I16" s="379"/>
      <c r="J16" s="378"/>
      <c r="K16" s="173"/>
      <c r="L16" s="379"/>
      <c r="M16" s="378"/>
      <c r="N16" s="173"/>
      <c r="O16" s="379"/>
      <c r="P16" s="4"/>
      <c r="Q16" s="359"/>
      <c r="R16" s="170"/>
      <c r="S16" s="360"/>
      <c r="T16" s="359"/>
      <c r="U16" s="170"/>
      <c r="V16" s="360"/>
      <c r="W16" s="359"/>
      <c r="X16" s="170"/>
      <c r="Y16" s="360"/>
      <c r="Z16" s="35"/>
      <c r="AA16" s="35"/>
      <c r="AB16" s="3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25</v>
      </c>
      <c r="C17" s="345" t="s">
        <v>49</v>
      </c>
      <c r="D17" s="370">
        <v>93.000000000</v>
      </c>
      <c r="E17" s="172">
        <v>114.0255291005291005291005291</v>
      </c>
      <c r="F17" s="371">
        <v>109.0148992112182296231375986</v>
      </c>
      <c r="G17" s="370"/>
      <c r="H17" s="172"/>
      <c r="I17" s="371"/>
      <c r="J17" s="370"/>
      <c r="K17" s="172"/>
      <c r="L17" s="371"/>
      <c r="M17" s="370"/>
      <c r="N17" s="172"/>
      <c r="O17" s="371"/>
      <c r="P17" s="4"/>
      <c r="Q17" s="327"/>
      <c r="R17" s="171"/>
      <c r="S17" s="328"/>
      <c r="T17" s="327"/>
      <c r="U17" s="171"/>
      <c r="V17" s="328"/>
      <c r="W17" s="327"/>
      <c r="X17" s="171"/>
      <c r="Y17" s="328"/>
      <c r="Z17" s="36"/>
      <c r="AA17" s="36"/>
      <c r="AB17" s="32"/>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26</v>
      </c>
      <c r="C18" s="347" t="s">
        <v>47</v>
      </c>
      <c r="D18" s="378">
        <v>101.36585365853658536585365854</v>
      </c>
      <c r="E18" s="173">
        <v>116.38122866894197952218430033</v>
      </c>
      <c r="F18" s="379">
        <v>109.6766220391349124613800206</v>
      </c>
      <c r="G18" s="378"/>
      <c r="H18" s="173"/>
      <c r="I18" s="379"/>
      <c r="J18" s="378"/>
      <c r="K18" s="173"/>
      <c r="L18" s="379"/>
      <c r="M18" s="378"/>
      <c r="N18" s="173"/>
      <c r="O18" s="379"/>
      <c r="P18" s="4"/>
      <c r="Q18" s="359"/>
      <c r="R18" s="170"/>
      <c r="S18" s="360"/>
      <c r="T18" s="359"/>
      <c r="U18" s="170"/>
      <c r="V18" s="360"/>
      <c r="W18" s="359"/>
      <c r="X18" s="170"/>
      <c r="Y18" s="360"/>
      <c r="Z18" s="35"/>
      <c r="AA18" s="35"/>
      <c r="AB18" s="3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27</v>
      </c>
      <c r="C19" s="345" t="s">
        <v>48</v>
      </c>
      <c r="D19" s="370">
        <v>100.08888888888888888888888889</v>
      </c>
      <c r="E19" s="172">
        <v>136.00714285714285714285714285</v>
      </c>
      <c r="F19" s="371">
        <v>124.94212651413189771197846568</v>
      </c>
      <c r="G19" s="370"/>
      <c r="H19" s="172"/>
      <c r="I19" s="371"/>
      <c r="J19" s="370"/>
      <c r="K19" s="172"/>
      <c r="L19" s="371"/>
      <c r="M19" s="370"/>
      <c r="N19" s="172"/>
      <c r="O19" s="371"/>
      <c r="P19" s="4"/>
      <c r="Q19" s="327"/>
      <c r="R19" s="171"/>
      <c r="S19" s="328"/>
      <c r="T19" s="327"/>
      <c r="U19" s="171"/>
      <c r="V19" s="328"/>
      <c r="W19" s="327"/>
      <c r="X19" s="171"/>
      <c r="Y19" s="328"/>
      <c r="Z19" s="36"/>
      <c r="AA19" s="36"/>
      <c r="AB19" s="32"/>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28</v>
      </c>
      <c r="C20" s="347" t="s">
        <v>50</v>
      </c>
      <c r="D20" s="378">
        <v>101.400000000</v>
      </c>
      <c r="E20" s="173">
        <v>141.47133333333333333333333334</v>
      </c>
      <c r="F20" s="379">
        <v>127.85970333745364647713226205</v>
      </c>
      <c r="G20" s="378"/>
      <c r="H20" s="173"/>
      <c r="I20" s="379"/>
      <c r="J20" s="378"/>
      <c r="K20" s="173"/>
      <c r="L20" s="379"/>
      <c r="M20" s="378"/>
      <c r="N20" s="173"/>
      <c r="O20" s="379"/>
      <c r="P20" s="4"/>
      <c r="Q20" s="359"/>
      <c r="R20" s="170"/>
      <c r="S20" s="360"/>
      <c r="T20" s="359"/>
      <c r="U20" s="170"/>
      <c r="V20" s="360"/>
      <c r="W20" s="359"/>
      <c r="X20" s="170"/>
      <c r="Y20" s="360"/>
      <c r="Z20" s="35"/>
      <c r="AA20" s="35"/>
      <c r="AB20" s="3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29</v>
      </c>
      <c r="C21" s="345" t="s">
        <v>51</v>
      </c>
      <c r="D21" s="370">
        <v>103.84126984126984126984126984</v>
      </c>
      <c r="E21" s="172">
        <v>128.63390804597701149425287356</v>
      </c>
      <c r="F21" s="371">
        <v>119.07653429602888086642599278</v>
      </c>
      <c r="G21" s="370"/>
      <c r="H21" s="172"/>
      <c r="I21" s="371"/>
      <c r="J21" s="370"/>
      <c r="K21" s="172"/>
      <c r="L21" s="371"/>
      <c r="M21" s="370"/>
      <c r="N21" s="172"/>
      <c r="O21" s="371"/>
      <c r="P21" s="4"/>
      <c r="Q21" s="327"/>
      <c r="R21" s="171"/>
      <c r="S21" s="328"/>
      <c r="T21" s="327"/>
      <c r="U21" s="171"/>
      <c r="V21" s="328"/>
      <c r="W21" s="327"/>
      <c r="X21" s="171"/>
      <c r="Y21" s="328"/>
      <c r="Z21" s="36"/>
      <c r="AA21" s="36"/>
      <c r="AB21" s="32"/>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30</v>
      </c>
      <c r="C22" s="347" t="s">
        <v>52</v>
      </c>
      <c r="D22" s="378">
        <v>109.32352941176470588235294118</v>
      </c>
      <c r="E22" s="173">
        <v>123.29809647979139504563233377</v>
      </c>
      <c r="F22" s="379">
        <v>120.17152103559870550161812298</v>
      </c>
      <c r="G22" s="378"/>
      <c r="H22" s="173"/>
      <c r="I22" s="379"/>
      <c r="J22" s="378"/>
      <c r="K22" s="173"/>
      <c r="L22" s="379"/>
      <c r="M22" s="378"/>
      <c r="N22" s="173"/>
      <c r="O22" s="379"/>
      <c r="P22" s="4"/>
      <c r="Q22" s="359"/>
      <c r="R22" s="170"/>
      <c r="S22" s="360"/>
      <c r="T22" s="359"/>
      <c r="U22" s="170"/>
      <c r="V22" s="360"/>
      <c r="W22" s="359"/>
      <c r="X22" s="170"/>
      <c r="Y22" s="360"/>
      <c r="Z22" s="35"/>
      <c r="AA22" s="35"/>
      <c r="AB22" s="3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31</v>
      </c>
      <c r="C23" s="345" t="s">
        <v>53</v>
      </c>
      <c r="D23" s="370">
        <v>111.78294573643410852713178295</v>
      </c>
      <c r="E23" s="172">
        <v>124.99645892351274787535410765</v>
      </c>
      <c r="F23" s="371">
        <v>121.04918032786885245901639344</v>
      </c>
      <c r="G23" s="370"/>
      <c r="H23" s="172"/>
      <c r="I23" s="371"/>
      <c r="J23" s="370"/>
      <c r="K23" s="172"/>
      <c r="L23" s="371"/>
      <c r="M23" s="370"/>
      <c r="N23" s="172"/>
      <c r="O23" s="371"/>
      <c r="P23" s="4"/>
      <c r="Q23" s="327"/>
      <c r="R23" s="171"/>
      <c r="S23" s="328"/>
      <c r="T23" s="327"/>
      <c r="U23" s="171"/>
      <c r="V23" s="328"/>
      <c r="W23" s="327"/>
      <c r="X23" s="171"/>
      <c r="Y23" s="328"/>
      <c r="Z23" s="36"/>
      <c r="AA23" s="36"/>
      <c r="AB23" s="32"/>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t="s">
        <v>145</v>
      </c>
      <c r="B24" s="666">
        <v>1</v>
      </c>
      <c r="C24" s="677" t="s">
        <v>49</v>
      </c>
      <c r="D24" s="678">
        <v>107.51162790697674418604651163</v>
      </c>
      <c r="E24" s="679">
        <v>119.65571823204419889502762432</v>
      </c>
      <c r="F24" s="680">
        <v>112.77113237639553429027113238</v>
      </c>
      <c r="G24" s="678"/>
      <c r="H24" s="679"/>
      <c r="I24" s="680"/>
      <c r="J24" s="678"/>
      <c r="K24" s="679"/>
      <c r="L24" s="680"/>
      <c r="M24" s="678"/>
      <c r="N24" s="679"/>
      <c r="O24" s="680"/>
      <c r="P24" s="4"/>
      <c r="Q24" s="668"/>
      <c r="R24" s="669"/>
      <c r="S24" s="670"/>
      <c r="T24" s="668"/>
      <c r="U24" s="669"/>
      <c r="V24" s="670"/>
      <c r="W24" s="668"/>
      <c r="X24" s="669"/>
      <c r="Y24" s="670"/>
      <c r="Z24" s="683"/>
      <c r="AA24" s="683"/>
      <c r="AB24" s="684"/>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2</v>
      </c>
      <c r="C25" s="345" t="s">
        <v>47</v>
      </c>
      <c r="D25" s="370">
        <v>110.11363636363636363636363636</v>
      </c>
      <c r="E25" s="172">
        <v>139.3487406015037593984962406</v>
      </c>
      <c r="F25" s="371">
        <v>133.37167070217917675544794189</v>
      </c>
      <c r="G25" s="370"/>
      <c r="H25" s="172"/>
      <c r="I25" s="371"/>
      <c r="J25" s="370"/>
      <c r="K25" s="172"/>
      <c r="L25" s="371"/>
      <c r="M25" s="370"/>
      <c r="N25" s="172"/>
      <c r="O25" s="371"/>
      <c r="P25" s="4"/>
      <c r="Q25" s="327"/>
      <c r="R25" s="171"/>
      <c r="S25" s="328"/>
      <c r="T25" s="327"/>
      <c r="U25" s="171"/>
      <c r="V25" s="328"/>
      <c r="W25" s="327"/>
      <c r="X25" s="171"/>
      <c r="Y25" s="328"/>
      <c r="Z25" s="36"/>
      <c r="AA25" s="36"/>
      <c r="AB25" s="32"/>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3</v>
      </c>
      <c r="C26" s="347" t="s">
        <v>48</v>
      </c>
      <c r="D26" s="378">
        <v>118.6226415094339622641509434</v>
      </c>
      <c r="E26" s="173">
        <v>142.07052785923753665689149559</v>
      </c>
      <c r="F26" s="379">
        <v>140.62555803571428571428571429</v>
      </c>
      <c r="G26" s="378"/>
      <c r="H26" s="173"/>
      <c r="I26" s="379"/>
      <c r="J26" s="378"/>
      <c r="K26" s="173"/>
      <c r="L26" s="379"/>
      <c r="M26" s="378"/>
      <c r="N26" s="173"/>
      <c r="O26" s="379"/>
      <c r="P26" s="4"/>
      <c r="Q26" s="359"/>
      <c r="R26" s="170"/>
      <c r="S26" s="360"/>
      <c r="T26" s="359"/>
      <c r="U26" s="170"/>
      <c r="V26" s="360"/>
      <c r="W26" s="359"/>
      <c r="X26" s="170"/>
      <c r="Y26" s="360"/>
      <c r="Z26" s="35"/>
      <c r="AA26" s="35"/>
      <c r="AB26" s="3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4</v>
      </c>
      <c r="C27" s="345" t="s">
        <v>50</v>
      </c>
      <c r="D27" s="370">
        <v>126.70212765957446808510638298</v>
      </c>
      <c r="E27" s="172">
        <v>146.09846925972396486825595983</v>
      </c>
      <c r="F27" s="371">
        <v>141.43362350380848748639825898</v>
      </c>
      <c r="G27" s="370"/>
      <c r="H27" s="172"/>
      <c r="I27" s="371"/>
      <c r="J27" s="370"/>
      <c r="K27" s="172"/>
      <c r="L27" s="371"/>
      <c r="M27" s="370"/>
      <c r="N27" s="172"/>
      <c r="O27" s="371"/>
      <c r="P27" s="4"/>
      <c r="Q27" s="327"/>
      <c r="R27" s="171"/>
      <c r="S27" s="328"/>
      <c r="T27" s="327"/>
      <c r="U27" s="171"/>
      <c r="V27" s="328"/>
      <c r="W27" s="327"/>
      <c r="X27" s="171"/>
      <c r="Y27" s="328"/>
      <c r="Z27" s="36"/>
      <c r="AA27" s="36"/>
      <c r="AB27" s="32"/>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5</v>
      </c>
      <c r="C28" s="347" t="s">
        <v>51</v>
      </c>
      <c r="D28" s="378">
        <v>120.06329113924050632911392405</v>
      </c>
      <c r="E28" s="173">
        <v>136.370306258322237017310253</v>
      </c>
      <c r="F28" s="379">
        <v>132.69723277265328269126424308</v>
      </c>
      <c r="G28" s="378"/>
      <c r="H28" s="173"/>
      <c r="I28" s="379"/>
      <c r="J28" s="378"/>
      <c r="K28" s="173"/>
      <c r="L28" s="379"/>
      <c r="M28" s="378"/>
      <c r="N28" s="173"/>
      <c r="O28" s="379"/>
      <c r="P28" s="4"/>
      <c r="Q28" s="359"/>
      <c r="R28" s="170"/>
      <c r="S28" s="360"/>
      <c r="T28" s="359"/>
      <c r="U28" s="170"/>
      <c r="V28" s="360"/>
      <c r="W28" s="359"/>
      <c r="X28" s="170"/>
      <c r="Y28" s="360"/>
      <c r="Z28" s="35"/>
      <c r="AA28" s="35"/>
      <c r="AB28" s="3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6</v>
      </c>
      <c r="C29" s="345" t="s">
        <v>52</v>
      </c>
      <c r="D29" s="370">
        <v>111.14666666666666666666666667</v>
      </c>
      <c r="E29" s="172">
        <v>134.85673100120627261761158022</v>
      </c>
      <c r="F29" s="371">
        <v>130.31111111111111111111111111</v>
      </c>
      <c r="G29" s="370"/>
      <c r="H29" s="172"/>
      <c r="I29" s="371"/>
      <c r="J29" s="370"/>
      <c r="K29" s="172"/>
      <c r="L29" s="371"/>
      <c r="M29" s="370"/>
      <c r="N29" s="172"/>
      <c r="O29" s="371"/>
      <c r="P29" s="4"/>
      <c r="Q29" s="327"/>
      <c r="R29" s="171"/>
      <c r="S29" s="328"/>
      <c r="T29" s="327"/>
      <c r="U29" s="171"/>
      <c r="V29" s="328"/>
      <c r="W29" s="327"/>
      <c r="X29" s="171"/>
      <c r="Y29" s="328"/>
      <c r="Z29" s="36"/>
      <c r="AA29" s="36"/>
      <c r="AB29" s="32"/>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7</v>
      </c>
      <c r="C30" s="347" t="s">
        <v>53</v>
      </c>
      <c r="D30" s="378">
        <v>115.41791044776119402985074627</v>
      </c>
      <c r="E30" s="173">
        <v>133.64530640668523676880222841</v>
      </c>
      <c r="F30" s="379">
        <v>127.22729744426318651441000544</v>
      </c>
      <c r="G30" s="378"/>
      <c r="H30" s="173"/>
      <c r="I30" s="379"/>
      <c r="J30" s="378"/>
      <c r="K30" s="173"/>
      <c r="L30" s="379"/>
      <c r="M30" s="378"/>
      <c r="N30" s="173"/>
      <c r="O30" s="379"/>
      <c r="P30" s="4"/>
      <c r="Q30" s="359"/>
      <c r="R30" s="170"/>
      <c r="S30" s="360"/>
      <c r="T30" s="359"/>
      <c r="U30" s="170"/>
      <c r="V30" s="360"/>
      <c r="W30" s="359"/>
      <c r="X30" s="170"/>
      <c r="Y30" s="360"/>
      <c r="Z30" s="35"/>
      <c r="AA30" s="35"/>
      <c r="AB30" s="3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8</v>
      </c>
      <c r="C31" s="345" t="s">
        <v>49</v>
      </c>
      <c r="D31" s="370">
        <v>88.89795918367346938775510204</v>
      </c>
      <c r="E31" s="172">
        <v>120.17969121140142517814726841</v>
      </c>
      <c r="F31" s="371">
        <v>114.20164609053497942386831276</v>
      </c>
      <c r="G31" s="370"/>
      <c r="H31" s="172"/>
      <c r="I31" s="371"/>
      <c r="J31" s="370"/>
      <c r="K31" s="172"/>
      <c r="L31" s="371"/>
      <c r="M31" s="370"/>
      <c r="N31" s="172"/>
      <c r="O31" s="371"/>
      <c r="P31" s="4"/>
      <c r="Q31" s="327"/>
      <c r="R31" s="171"/>
      <c r="S31" s="328"/>
      <c r="T31" s="327"/>
      <c r="U31" s="171"/>
      <c r="V31" s="328"/>
      <c r="W31" s="327"/>
      <c r="X31" s="171"/>
      <c r="Y31" s="328"/>
      <c r="Z31" s="36"/>
      <c r="AA31" s="36"/>
      <c r="AB31" s="32"/>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9</v>
      </c>
      <c r="C32" s="347" t="s">
        <v>47</v>
      </c>
      <c r="D32" s="378">
        <v>107.25531914893617021276595745</v>
      </c>
      <c r="E32" s="173">
        <v>137.74974311926605504587155962</v>
      </c>
      <c r="F32" s="379">
        <v>129.91736028537455410225921522</v>
      </c>
      <c r="G32" s="378"/>
      <c r="H32" s="173"/>
      <c r="I32" s="379"/>
      <c r="J32" s="378"/>
      <c r="K32" s="173"/>
      <c r="L32" s="379"/>
      <c r="M32" s="378"/>
      <c r="N32" s="173"/>
      <c r="O32" s="379"/>
      <c r="P32" s="4"/>
      <c r="Q32" s="359"/>
      <c r="R32" s="170"/>
      <c r="S32" s="360"/>
      <c r="T32" s="359"/>
      <c r="U32" s="170"/>
      <c r="V32" s="360"/>
      <c r="W32" s="359"/>
      <c r="X32" s="170"/>
      <c r="Y32" s="360"/>
      <c r="Z32" s="35"/>
      <c r="AA32" s="35"/>
      <c r="AB32" s="3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10</v>
      </c>
      <c r="C33" s="345" t="s">
        <v>48</v>
      </c>
      <c r="D33" s="370"/>
      <c r="E33" s="172">
        <v>143.9077151335311572700296736</v>
      </c>
      <c r="F33" s="371">
        <v>139.65898848272408612919379069</v>
      </c>
      <c r="G33" s="370"/>
      <c r="H33" s="172"/>
      <c r="I33" s="371"/>
      <c r="J33" s="370"/>
      <c r="K33" s="172"/>
      <c r="L33" s="371"/>
      <c r="M33" s="370"/>
      <c r="N33" s="172"/>
      <c r="O33" s="371"/>
      <c r="P33" s="4"/>
      <c r="Q33" s="327"/>
      <c r="R33" s="171"/>
      <c r="S33" s="328"/>
      <c r="T33" s="327"/>
      <c r="U33" s="171"/>
      <c r="V33" s="328"/>
      <c r="W33" s="327"/>
      <c r="X33" s="171"/>
      <c r="Y33" s="328"/>
      <c r="Z33" s="36"/>
      <c r="AA33" s="36"/>
      <c r="AB33" s="32"/>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11</v>
      </c>
      <c r="C34" s="347" t="s">
        <v>50</v>
      </c>
      <c r="D34" s="378">
        <v>115.000000000</v>
      </c>
      <c r="E34" s="173">
        <v>136.00625172890733056708160443</v>
      </c>
      <c r="F34" s="379">
        <v>138.03050471436494731003882418</v>
      </c>
      <c r="G34" s="378"/>
      <c r="H34" s="173"/>
      <c r="I34" s="379"/>
      <c r="J34" s="378"/>
      <c r="K34" s="173"/>
      <c r="L34" s="379"/>
      <c r="M34" s="378"/>
      <c r="N34" s="173"/>
      <c r="O34" s="379"/>
      <c r="P34" s="4"/>
      <c r="Q34" s="359"/>
      <c r="R34" s="170"/>
      <c r="S34" s="360"/>
      <c r="T34" s="359"/>
      <c r="U34" s="170"/>
      <c r="V34" s="360"/>
      <c r="W34" s="359"/>
      <c r="X34" s="170"/>
      <c r="Y34" s="360"/>
      <c r="Z34" s="35"/>
      <c r="AA34" s="35"/>
      <c r="AB34" s="3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12</v>
      </c>
      <c r="C35" s="345" t="s">
        <v>51</v>
      </c>
      <c r="D35" s="370">
        <v>115.02816901408450704225352113</v>
      </c>
      <c r="E35" s="172">
        <v>132.9863262411347517730496454</v>
      </c>
      <c r="F35" s="371">
        <v>124.64883148831488314883148831</v>
      </c>
      <c r="G35" s="370"/>
      <c r="H35" s="172"/>
      <c r="I35" s="371"/>
      <c r="J35" s="370"/>
      <c r="K35" s="172"/>
      <c r="L35" s="371"/>
      <c r="M35" s="370"/>
      <c r="N35" s="172"/>
      <c r="O35" s="371"/>
      <c r="P35" s="4"/>
      <c r="Q35" s="327"/>
      <c r="R35" s="171"/>
      <c r="S35" s="328"/>
      <c r="T35" s="327"/>
      <c r="U35" s="171"/>
      <c r="V35" s="328"/>
      <c r="W35" s="327"/>
      <c r="X35" s="171"/>
      <c r="Y35" s="328"/>
      <c r="Z35" s="36"/>
      <c r="AA35" s="36"/>
      <c r="AB35" s="32"/>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13</v>
      </c>
      <c r="C36" s="347" t="s">
        <v>52</v>
      </c>
      <c r="D36" s="378">
        <v>110.01470588235294117647058824</v>
      </c>
      <c r="E36" s="173">
        <v>136.69892663043478260869565218</v>
      </c>
      <c r="F36" s="379">
        <v>120.38948027551659361302442079</v>
      </c>
      <c r="G36" s="378"/>
      <c r="H36" s="173"/>
      <c r="I36" s="379"/>
      <c r="J36" s="378"/>
      <c r="K36" s="173"/>
      <c r="L36" s="379"/>
      <c r="M36" s="378"/>
      <c r="N36" s="173"/>
      <c r="O36" s="379"/>
      <c r="P36" s="4"/>
      <c r="Q36" s="359"/>
      <c r="R36" s="170"/>
      <c r="S36" s="360"/>
      <c r="T36" s="359"/>
      <c r="U36" s="170"/>
      <c r="V36" s="360"/>
      <c r="W36" s="359"/>
      <c r="X36" s="170"/>
      <c r="Y36" s="360"/>
      <c r="Z36" s="35"/>
      <c r="AA36" s="35"/>
      <c r="AB36" s="3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14</v>
      </c>
      <c r="C37" s="349" t="s">
        <v>53</v>
      </c>
      <c r="D37" s="380">
        <v>90.96774193548387096774193548</v>
      </c>
      <c r="E37" s="383">
        <v>135.2623338257016248153618907</v>
      </c>
      <c r="F37" s="381">
        <v>120.65942492012779552715654952</v>
      </c>
      <c r="G37" s="380"/>
      <c r="H37" s="383"/>
      <c r="I37" s="381"/>
      <c r="J37" s="380"/>
      <c r="K37" s="383"/>
      <c r="L37" s="381"/>
      <c r="M37" s="380"/>
      <c r="N37" s="383"/>
      <c r="O37" s="381"/>
      <c r="P37" s="4"/>
      <c r="Q37" s="329"/>
      <c r="R37" s="330"/>
      <c r="S37" s="332"/>
      <c r="T37" s="329"/>
      <c r="U37" s="330"/>
      <c r="V37" s="332"/>
      <c r="W37" s="329"/>
      <c r="X37" s="330"/>
      <c r="Y37" s="332"/>
      <c r="Z37" s="37"/>
      <c r="AA37" s="37"/>
      <c r="AB37" s="33"/>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96.83076923076923076923076923</v>
      </c>
      <c r="E39" s="382">
        <v>120.37218292682926829268292683</v>
      </c>
      <c r="F39" s="375">
        <v>112.67098831030818278427205101</v>
      </c>
      <c r="G39" s="374"/>
      <c r="H39" s="382"/>
      <c r="I39" s="375"/>
      <c r="J39" s="374"/>
      <c r="K39" s="382"/>
      <c r="L39" s="375"/>
      <c r="M39" s="374"/>
      <c r="N39" s="382"/>
      <c r="O39" s="375"/>
      <c r="P39" s="4"/>
      <c r="Q39" s="354"/>
      <c r="R39" s="355"/>
      <c r="S39" s="356"/>
      <c r="T39" s="354"/>
      <c r="U39" s="355"/>
      <c r="V39" s="356"/>
      <c r="W39" s="354"/>
      <c r="X39" s="355"/>
      <c r="Y39" s="356"/>
      <c r="Z39" s="38"/>
      <c r="AA39" s="38"/>
      <c r="AB39" s="3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107.52197802197802197802197802</v>
      </c>
      <c r="E40" s="172">
        <v>133.96188921859545004945598417</v>
      </c>
      <c r="F40" s="371">
        <v>126.43713080168776371308016878</v>
      </c>
      <c r="G40" s="370"/>
      <c r="H40" s="172"/>
      <c r="I40" s="371"/>
      <c r="J40" s="370"/>
      <c r="K40" s="172"/>
      <c r="L40" s="371"/>
      <c r="M40" s="370"/>
      <c r="N40" s="172"/>
      <c r="O40" s="371"/>
      <c r="P40" s="4"/>
      <c r="Q40" s="327"/>
      <c r="R40" s="171"/>
      <c r="S40" s="328"/>
      <c r="T40" s="327"/>
      <c r="U40" s="171"/>
      <c r="V40" s="328"/>
      <c r="W40" s="327"/>
      <c r="X40" s="171"/>
      <c r="Y40" s="328"/>
      <c r="Z40" s="36"/>
      <c r="AA40" s="36"/>
      <c r="AB40" s="32"/>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107.16847826086956521739130435</v>
      </c>
      <c r="E41" s="173">
        <v>140.89340570969039002814636108</v>
      </c>
      <c r="F41" s="379">
        <v>135.96245589273112208892025406</v>
      </c>
      <c r="G41" s="378"/>
      <c r="H41" s="173"/>
      <c r="I41" s="379"/>
      <c r="J41" s="378"/>
      <c r="K41" s="173"/>
      <c r="L41" s="379"/>
      <c r="M41" s="378"/>
      <c r="N41" s="173"/>
      <c r="O41" s="379"/>
      <c r="P41" s="4"/>
      <c r="Q41" s="359"/>
      <c r="R41" s="170"/>
      <c r="S41" s="360"/>
      <c r="T41" s="359"/>
      <c r="U41" s="170"/>
      <c r="V41" s="360"/>
      <c r="W41" s="359"/>
      <c r="X41" s="170"/>
      <c r="Y41" s="360"/>
      <c r="Z41" s="35"/>
      <c r="AA41" s="35"/>
      <c r="AB41" s="3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108.59728506787330316742081448</v>
      </c>
      <c r="E42" s="172">
        <v>141.98699999999999999999999999</v>
      </c>
      <c r="F42" s="371">
        <v>136.28301616826441551008728001</v>
      </c>
      <c r="G42" s="370"/>
      <c r="H42" s="172"/>
      <c r="I42" s="371"/>
      <c r="J42" s="370"/>
      <c r="K42" s="172"/>
      <c r="L42" s="371"/>
      <c r="M42" s="370"/>
      <c r="N42" s="172"/>
      <c r="O42" s="371"/>
      <c r="P42" s="4"/>
      <c r="Q42" s="327"/>
      <c r="R42" s="171"/>
      <c r="S42" s="328"/>
      <c r="T42" s="327"/>
      <c r="U42" s="171"/>
      <c r="V42" s="328"/>
      <c r="W42" s="327"/>
      <c r="X42" s="171"/>
      <c r="Y42" s="328"/>
      <c r="Z42" s="36"/>
      <c r="AA42" s="36"/>
      <c r="AB42" s="32"/>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111.82287822878228782287822878</v>
      </c>
      <c r="E43" s="173">
        <v>131.87248550444530344027831465</v>
      </c>
      <c r="F43" s="379">
        <v>125.6388672786681188735024117</v>
      </c>
      <c r="G43" s="378"/>
      <c r="H43" s="173"/>
      <c r="I43" s="379"/>
      <c r="J43" s="378"/>
      <c r="K43" s="173"/>
      <c r="L43" s="379"/>
      <c r="M43" s="378"/>
      <c r="N43" s="173"/>
      <c r="O43" s="379"/>
      <c r="P43" s="4"/>
      <c r="Q43" s="359"/>
      <c r="R43" s="170"/>
      <c r="S43" s="360"/>
      <c r="T43" s="359"/>
      <c r="U43" s="170"/>
      <c r="V43" s="360"/>
      <c r="W43" s="359"/>
      <c r="X43" s="170"/>
      <c r="Y43" s="360"/>
      <c r="Z43" s="35"/>
      <c r="AA43" s="35"/>
      <c r="AB43" s="31"/>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108.45283018867924528301886792</v>
      </c>
      <c r="E44" s="172">
        <v>131.65161311914323962516733601</v>
      </c>
      <c r="F44" s="371">
        <v>124.47295690936106983655274889</v>
      </c>
      <c r="G44" s="370"/>
      <c r="H44" s="172"/>
      <c r="I44" s="371"/>
      <c r="J44" s="370"/>
      <c r="K44" s="172"/>
      <c r="L44" s="371"/>
      <c r="M44" s="370"/>
      <c r="N44" s="172"/>
      <c r="O44" s="371"/>
      <c r="P44" s="4"/>
      <c r="Q44" s="327"/>
      <c r="R44" s="171"/>
      <c r="S44" s="328"/>
      <c r="T44" s="327"/>
      <c r="U44" s="171"/>
      <c r="V44" s="328"/>
      <c r="W44" s="327"/>
      <c r="X44" s="171"/>
      <c r="Y44" s="328"/>
      <c r="Z44" s="36"/>
      <c r="AA44" s="36"/>
      <c r="AB44" s="32"/>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108.7774936061381074168797954</v>
      </c>
      <c r="E45" s="385">
        <v>132.08054260742898761835396942</v>
      </c>
      <c r="F45" s="386">
        <v>123.79451851851851851851851852</v>
      </c>
      <c r="G45" s="384"/>
      <c r="H45" s="385"/>
      <c r="I45" s="386"/>
      <c r="J45" s="384"/>
      <c r="K45" s="385"/>
      <c r="L45" s="386"/>
      <c r="M45" s="384"/>
      <c r="N45" s="385"/>
      <c r="O45" s="386"/>
      <c r="P45" s="4"/>
      <c r="Q45" s="364"/>
      <c r="R45" s="365"/>
      <c r="S45" s="366"/>
      <c r="T45" s="364"/>
      <c r="U45" s="365"/>
      <c r="V45" s="366"/>
      <c r="W45" s="364"/>
      <c r="X45" s="365"/>
      <c r="Y45" s="366"/>
      <c r="Z45" s="56"/>
      <c r="AA45" s="56"/>
      <c r="AB45" s="55"/>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106.484375000</v>
      </c>
      <c r="E47" s="382">
        <v>135.44609462173621959384066057</v>
      </c>
      <c r="F47" s="375">
        <v>127.89003047453199825859817153</v>
      </c>
      <c r="G47" s="374"/>
      <c r="H47" s="382"/>
      <c r="I47" s="375"/>
      <c r="J47" s="374"/>
      <c r="K47" s="382"/>
      <c r="L47" s="375"/>
      <c r="M47" s="374"/>
      <c r="N47" s="382"/>
      <c r="O47" s="375"/>
      <c r="P47" s="4"/>
      <c r="Q47" s="354"/>
      <c r="R47" s="355"/>
      <c r="S47" s="356"/>
      <c r="T47" s="354"/>
      <c r="U47" s="355"/>
      <c r="V47" s="356"/>
      <c r="W47" s="354"/>
      <c r="X47" s="355"/>
      <c r="Y47" s="356"/>
      <c r="Z47" s="38"/>
      <c r="AA47" s="38"/>
      <c r="AB47" s="3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107.59635974304068522483940043</v>
      </c>
      <c r="E48" s="172">
        <v>133.93552729384436701509872242</v>
      </c>
      <c r="F48" s="371">
        <v>127.22938288762861177736432718</v>
      </c>
      <c r="G48" s="370"/>
      <c r="H48" s="172"/>
      <c r="I48" s="371"/>
      <c r="J48" s="370"/>
      <c r="K48" s="172"/>
      <c r="L48" s="371"/>
      <c r="M48" s="370"/>
      <c r="N48" s="172"/>
      <c r="O48" s="371"/>
      <c r="P48" s="4"/>
      <c r="Q48" s="327"/>
      <c r="R48" s="171"/>
      <c r="S48" s="328"/>
      <c r="T48" s="327"/>
      <c r="U48" s="171"/>
      <c r="V48" s="328"/>
      <c r="W48" s="327"/>
      <c r="X48" s="171"/>
      <c r="Y48" s="328"/>
      <c r="Z48" s="36"/>
      <c r="AA48" s="36"/>
      <c r="AB48" s="32"/>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111.96321839080459770114942529</v>
      </c>
      <c r="E49" s="385">
        <v>136.35086210664335664335664336</v>
      </c>
      <c r="F49" s="386">
        <v>130.01108384804128944919197902</v>
      </c>
      <c r="G49" s="384"/>
      <c r="H49" s="385"/>
      <c r="I49" s="386"/>
      <c r="J49" s="384"/>
      <c r="K49" s="385"/>
      <c r="L49" s="386"/>
      <c r="M49" s="384"/>
      <c r="N49" s="385"/>
      <c r="O49" s="386"/>
      <c r="P49" s="4"/>
      <c r="Q49" s="364"/>
      <c r="R49" s="365"/>
      <c r="S49" s="366"/>
      <c r="T49" s="364"/>
      <c r="U49" s="365"/>
      <c r="V49" s="366"/>
      <c r="W49" s="364"/>
      <c r="X49" s="365"/>
      <c r="Y49" s="366"/>
      <c r="Z49" s="56"/>
      <c r="AA49" s="56"/>
      <c r="AB49" s="55"/>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15">
      <c r="D51" s="6" t="s">
        <v>95</v>
      </c>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9.95" customHeight="1">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s="100" customFormat="1" ht="24.95" customHeight="1">
      <c r="D53" s="655" t="s">
        <v>114</v>
      </c>
      <c r="E53" s="655"/>
      <c r="F53" s="655"/>
      <c r="G53" s="655"/>
      <c r="H53" s="655"/>
      <c r="I53" s="655"/>
      <c r="J53" s="655"/>
      <c r="K53" s="655"/>
      <c r="L53" s="655"/>
      <c r="M53" s="655"/>
      <c r="N53" s="655"/>
      <c r="O53" s="655"/>
      <c r="P53" s="655"/>
      <c r="Q53" s="655"/>
      <c r="R53" s="655"/>
      <c r="S53" s="655"/>
      <c r="T53" s="655"/>
      <c r="U53" s="655"/>
      <c r="V53" s="655"/>
      <c r="W53" s="655"/>
      <c r="X53" s="655"/>
      <c r="Y53" s="655"/>
      <c r="Z53" s="426"/>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Z8:AB8"/>
    <mergeCell ref="D53:Y53"/>
    <mergeCell ref="Q4:X4"/>
    <mergeCell ref="D7:O7"/>
    <mergeCell ref="Q7:AB7"/>
    <mergeCell ref="D8:F8"/>
    <mergeCell ref="G8:I8"/>
    <mergeCell ref="J8:L8"/>
    <mergeCell ref="M8:O8"/>
    <mergeCell ref="Q8:S8"/>
    <mergeCell ref="T8:V8"/>
    <mergeCell ref="W8:Y8"/>
  </mergeCells>
  <phoneticPr fontId="0" type="noConversion"/>
  <printOptions horizontalCentered="1" verticalCentered="1"/>
  <pageMargins left="0.25" right="0.25" top="0.25" bottom="0.25" header="0.25" footer="0.28"/>
  <pageSetup scale="65" orientation="landscape" r:id="rId1"/>
  <headerFooter alignWithMargins="0">
    <oddHeader/>
    <oddFooter/>
  </headerFooter>
  <drawing r:id="rId46"/>
</worksheet>
</file>

<file path=xl/worksheets/sheet4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F148"/>
  <sheetViews>
    <sheetView showGridLines="0" zoomScale="80" workbookViewId="0"/>
  </sheetViews>
  <sheetFormatPr defaultRowHeight="12.75"/>
  <cols>
    <col min="1" max="1" width="1" customWidth="1"/>
    <col min="2" max="2" width="1.28515625" style="21" customWidth="1"/>
    <col min="3" max="3" width="8.28515625" customWidth="1"/>
    <col min="4" max="4" width="51.5703125" customWidth="1"/>
    <col min="5" max="5" width="23.7109375" customWidth="1"/>
    <col min="6" max="6" width="11.7109375" customWidth="1"/>
    <col min="7" max="7" width="14.7109375" customWidth="1"/>
    <col min="8" max="8" width="7.7109375" customWidth="1"/>
    <col min="9" max="38" width="2.7109375" customWidth="1"/>
    <col min="39" max="69" width="2.42578125" customWidth="1"/>
  </cols>
  <sheetData>
    <row r="1" ht="23.25" customHeight="1">
      <c r="B1" s="5" t="s">
        <v>134</v>
      </c>
      <c r="D1" s="5"/>
      <c r="E1" s="5"/>
      <c r="F1" s="5"/>
      <c r="G1" s="5"/>
      <c r="AS1" s="244"/>
      <c r="AT1" s="244"/>
      <c r="AU1" s="244"/>
      <c r="AV1" s="244"/>
      <c r="AW1" s="244"/>
      <c r="AX1" s="244"/>
      <c r="AY1" s="244"/>
      <c r="AZ1" s="244"/>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row>
    <row r="2" ht="15" customHeight="1">
      <c r="C2" s="99" t="s">
        <v>141</v>
      </c>
      <c r="D2" s="100"/>
      <c r="E2" s="100"/>
      <c r="F2" s="100"/>
      <c r="G2" s="100"/>
      <c r="AS2" s="244"/>
      <c r="AT2" s="244"/>
      <c r="AU2" s="244"/>
      <c r="AV2" s="244"/>
      <c r="AW2" s="244"/>
      <c r="AX2" s="244"/>
      <c r="AY2" s="244"/>
      <c r="AZ2" s="244"/>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row>
    <row r="3" ht="15" customHeight="1">
      <c r="C3" s="99" t="s">
        <v>142</v>
      </c>
      <c r="D3" s="100"/>
      <c r="E3" s="100"/>
      <c r="F3" s="100"/>
      <c r="G3" s="100"/>
      <c r="AS3" s="244"/>
      <c r="AT3" s="244"/>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row>
    <row r="4" ht="15" customHeight="1">
      <c r="C4" s="0" t="s">
        <v>158</v>
      </c>
      <c r="D4" s="100"/>
      <c r="E4" s="100"/>
      <c r="F4" s="100"/>
      <c r="G4" s="100"/>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row>
    <row r="5" ht="21" customHeight="1">
      <c r="B5" s="101" t="s">
        <v>7</v>
      </c>
      <c r="D5" s="102"/>
      <c r="H5" s="685" t="s">
        <v>196</v>
      </c>
      <c r="I5" s="685"/>
      <c r="J5" s="685"/>
      <c r="K5" s="685"/>
      <c r="L5" s="685"/>
      <c r="M5" s="685"/>
      <c r="N5" s="685"/>
      <c r="O5" s="685"/>
      <c r="P5" s="685"/>
      <c r="Q5" s="685"/>
      <c r="R5" s="685"/>
      <c r="S5" s="685"/>
      <c r="T5" s="685"/>
      <c r="U5" s="685"/>
      <c r="V5" s="685"/>
      <c r="AB5" s="685" t="s">
        <v>197</v>
      </c>
      <c r="AC5" s="685"/>
      <c r="AD5" s="685"/>
      <c r="AE5" s="685"/>
      <c r="AF5" s="685"/>
      <c r="AG5" s="685"/>
      <c r="AH5" s="685"/>
      <c r="AI5" s="685"/>
      <c r="AJ5" s="685"/>
      <c r="AK5" s="685"/>
      <c r="AL5" s="685"/>
      <c r="AM5" s="685"/>
      <c r="AN5" s="685"/>
      <c r="AO5" s="685"/>
      <c r="AP5" s="685"/>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row>
    <row r="6" ht="12.75" customHeight="1">
      <c r="C6" s="30" t="s">
        <v>199</v>
      </c>
      <c r="D6" s="104" t="s">
        <v>200</v>
      </c>
      <c r="I6" s="686" t="s">
        <v>0</v>
      </c>
      <c r="J6" s="686"/>
      <c r="K6" s="686" t="s">
        <v>1</v>
      </c>
      <c r="L6" s="686"/>
      <c r="M6" s="686" t="s">
        <v>2</v>
      </c>
      <c r="N6" s="686"/>
      <c r="O6" s="686" t="s">
        <v>3</v>
      </c>
      <c r="P6" s="686"/>
      <c r="Q6" s="686" t="s">
        <v>4</v>
      </c>
      <c r="R6" s="686"/>
      <c r="S6" s="686" t="s">
        <v>5</v>
      </c>
      <c r="T6" s="686"/>
      <c r="U6" s="686" t="s">
        <v>6</v>
      </c>
      <c r="V6" s="686"/>
      <c r="AC6" s="686" t="s">
        <v>0</v>
      </c>
      <c r="AD6" s="686"/>
      <c r="AE6" s="686" t="s">
        <v>1</v>
      </c>
      <c r="AF6" s="686"/>
      <c r="AG6" s="686" t="s">
        <v>2</v>
      </c>
      <c r="AH6" s="686"/>
      <c r="AI6" s="686" t="s">
        <v>3</v>
      </c>
      <c r="AJ6" s="686"/>
      <c r="AK6" s="686" t="s">
        <v>4</v>
      </c>
      <c r="AL6" s="686"/>
      <c r="AM6" s="686" t="s">
        <v>5</v>
      </c>
      <c r="AN6" s="686"/>
      <c r="AO6" s="686" t="s">
        <v>6</v>
      </c>
      <c r="AP6" s="686"/>
      <c r="AS6" s="244"/>
      <c r="AT6" s="244"/>
      <c r="AU6" s="244"/>
      <c r="AV6" s="244"/>
      <c r="AW6" s="244"/>
      <c r="AX6" s="244"/>
      <c r="AY6" s="244"/>
      <c r="AZ6" s="244"/>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row>
    <row r="7" ht="12.75" customHeight="1">
      <c r="C7" s="105" t="s">
        <v>201</v>
      </c>
      <c r="D7" s="104" t="s">
        <v>202</v>
      </c>
      <c r="E7" s="104"/>
      <c r="F7" s="104"/>
      <c r="G7" s="104"/>
      <c r="H7" s="97" t="s">
        <v>148</v>
      </c>
      <c r="I7" s="687">
        <v>4</v>
      </c>
      <c r="J7" s="687"/>
      <c r="K7" s="688">
        <v>5</v>
      </c>
      <c r="L7" s="688"/>
      <c r="M7" s="688">
        <v>6</v>
      </c>
      <c r="N7" s="688"/>
      <c r="O7" s="688">
        <v>7</v>
      </c>
      <c r="P7" s="688"/>
      <c r="Q7" s="688">
        <v>8</v>
      </c>
      <c r="R7" s="688"/>
      <c r="S7" s="688">
        <v>9</v>
      </c>
      <c r="T7" s="688"/>
      <c r="U7" s="689">
        <v>10</v>
      </c>
      <c r="V7" s="689"/>
      <c r="Y7" s="3"/>
      <c r="AB7" s="97" t="s">
        <v>148</v>
      </c>
      <c r="AC7" s="687">
        <v>5</v>
      </c>
      <c r="AD7" s="687"/>
      <c r="AE7" s="688">
        <v>6</v>
      </c>
      <c r="AF7" s="688"/>
      <c r="AG7" s="688">
        <v>7</v>
      </c>
      <c r="AH7" s="688"/>
      <c r="AI7" s="688">
        <v>8</v>
      </c>
      <c r="AJ7" s="688"/>
      <c r="AK7" s="688">
        <v>9</v>
      </c>
      <c r="AL7" s="688"/>
      <c r="AM7" s="688">
        <v>10</v>
      </c>
      <c r="AN7" s="688"/>
      <c r="AO7" s="689">
        <v>11</v>
      </c>
      <c r="AP7" s="689"/>
      <c r="AS7" s="244"/>
      <c r="AT7" s="244"/>
      <c r="AU7" s="244"/>
      <c r="AV7" s="244"/>
      <c r="AW7" s="244"/>
      <c r="AX7" s="244"/>
      <c r="AY7" s="244"/>
      <c r="AZ7" s="244"/>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row>
    <row r="8" ht="12.75" customHeight="1">
      <c r="H8" s="97" t="s">
        <v>148</v>
      </c>
      <c r="I8" s="690">
        <v>11</v>
      </c>
      <c r="J8" s="690"/>
      <c r="K8" s="691">
        <v>12</v>
      </c>
      <c r="L8" s="691"/>
      <c r="M8" s="691">
        <v>13</v>
      </c>
      <c r="N8" s="691"/>
      <c r="O8" s="691">
        <v>14</v>
      </c>
      <c r="P8" s="691"/>
      <c r="Q8" s="691">
        <v>15</v>
      </c>
      <c r="R8" s="691"/>
      <c r="S8" s="691">
        <v>16</v>
      </c>
      <c r="T8" s="691"/>
      <c r="U8" s="692">
        <v>17</v>
      </c>
      <c r="V8" s="692"/>
      <c r="Y8" s="3"/>
      <c r="AB8" s="97" t="s">
        <v>148</v>
      </c>
      <c r="AC8" s="690">
        <v>12</v>
      </c>
      <c r="AD8" s="690"/>
      <c r="AE8" s="691">
        <v>13</v>
      </c>
      <c r="AF8" s="691"/>
      <c r="AG8" s="691">
        <v>14</v>
      </c>
      <c r="AH8" s="691"/>
      <c r="AI8" s="691">
        <v>15</v>
      </c>
      <c r="AJ8" s="691"/>
      <c r="AK8" s="691">
        <v>16</v>
      </c>
      <c r="AL8" s="691"/>
      <c r="AM8" s="691">
        <v>17</v>
      </c>
      <c r="AN8" s="691"/>
      <c r="AO8" s="692">
        <v>18</v>
      </c>
      <c r="AP8" s="692"/>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row>
    <row r="9" ht="12.75" customHeight="1">
      <c r="H9" s="97" t="s">
        <v>148</v>
      </c>
      <c r="I9" s="693">
        <v>18</v>
      </c>
      <c r="J9" s="693"/>
      <c r="K9" s="694">
        <v>19</v>
      </c>
      <c r="L9" s="694"/>
      <c r="M9" s="694">
        <v>20</v>
      </c>
      <c r="N9" s="694"/>
      <c r="O9" s="694">
        <v>21</v>
      </c>
      <c r="P9" s="694"/>
      <c r="Q9" s="694">
        <v>22</v>
      </c>
      <c r="R9" s="694"/>
      <c r="S9" s="694">
        <v>23</v>
      </c>
      <c r="T9" s="694"/>
      <c r="U9" s="695">
        <v>24</v>
      </c>
      <c r="V9" s="695"/>
      <c r="Y9" s="3"/>
      <c r="AB9" s="97" t="s">
        <v>148</v>
      </c>
      <c r="AC9" s="693">
        <v>19</v>
      </c>
      <c r="AD9" s="693"/>
      <c r="AE9" s="694">
        <v>20</v>
      </c>
      <c r="AF9" s="694"/>
      <c r="AG9" s="694">
        <v>21</v>
      </c>
      <c r="AH9" s="694"/>
      <c r="AI9" s="694">
        <v>22</v>
      </c>
      <c r="AJ9" s="694"/>
      <c r="AK9" s="694">
        <v>23</v>
      </c>
      <c r="AL9" s="694"/>
      <c r="AM9" s="694">
        <v>24</v>
      </c>
      <c r="AN9" s="694"/>
      <c r="AO9" s="695">
        <v>25</v>
      </c>
      <c r="AP9" s="695"/>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row>
    <row r="10" ht="12.75" customHeight="1">
      <c r="H10" s="97" t="s">
        <v>148</v>
      </c>
      <c r="I10" s="690">
        <v>25</v>
      </c>
      <c r="J10" s="690"/>
      <c r="K10" s="691">
        <v>26</v>
      </c>
      <c r="L10" s="691"/>
      <c r="M10" s="691">
        <v>27</v>
      </c>
      <c r="N10" s="691"/>
      <c r="O10" s="691">
        <v>28</v>
      </c>
      <c r="P10" s="691"/>
      <c r="Q10" s="691">
        <v>29</v>
      </c>
      <c r="R10" s="691"/>
      <c r="S10" s="691">
        <v>30</v>
      </c>
      <c r="T10" s="691"/>
      <c r="U10" s="692">
        <v>31</v>
      </c>
      <c r="V10" s="692"/>
      <c r="Y10" s="3"/>
      <c r="AB10" s="97" t="s">
        <v>198</v>
      </c>
      <c r="AC10" s="690">
        <v>26</v>
      </c>
      <c r="AD10" s="690"/>
      <c r="AE10" s="691">
        <v>27</v>
      </c>
      <c r="AF10" s="691"/>
      <c r="AG10" s="691">
        <v>28</v>
      </c>
      <c r="AH10" s="691"/>
      <c r="AI10" s="691">
        <v>29</v>
      </c>
      <c r="AJ10" s="691"/>
      <c r="AK10" s="691">
        <v>30</v>
      </c>
      <c r="AL10" s="691"/>
      <c r="AM10" s="691">
        <v>31</v>
      </c>
      <c r="AN10" s="691"/>
      <c r="AO10" s="692">
        <v>1</v>
      </c>
      <c r="AP10" s="692"/>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row>
    <row r="11" ht="12.75" customHeight="1">
      <c r="A11" s="101"/>
      <c r="H11" s="97" t="s">
        <v>145</v>
      </c>
      <c r="I11" s="693">
        <v>1</v>
      </c>
      <c r="J11" s="693"/>
      <c r="K11" s="694">
        <v>2</v>
      </c>
      <c r="L11" s="694"/>
      <c r="M11" s="694">
        <v>3</v>
      </c>
      <c r="N11" s="694"/>
      <c r="O11" s="694">
        <v>4</v>
      </c>
      <c r="P11" s="694"/>
      <c r="Q11" s="694">
        <v>5</v>
      </c>
      <c r="R11" s="694"/>
      <c r="S11" s="694">
        <v>6</v>
      </c>
      <c r="T11" s="694"/>
      <c r="U11" s="695">
        <v>7</v>
      </c>
      <c r="V11" s="695"/>
      <c r="Y11" s="3"/>
      <c r="AB11" s="97" t="s">
        <v>145</v>
      </c>
      <c r="AC11" s="693">
        <v>2</v>
      </c>
      <c r="AD11" s="693"/>
      <c r="AE11" s="694">
        <v>3</v>
      </c>
      <c r="AF11" s="694"/>
      <c r="AG11" s="694">
        <v>4</v>
      </c>
      <c r="AH11" s="694"/>
      <c r="AI11" s="694">
        <v>5</v>
      </c>
      <c r="AJ11" s="694"/>
      <c r="AK11" s="694">
        <v>6</v>
      </c>
      <c r="AL11" s="694"/>
      <c r="AM11" s="694">
        <v>7</v>
      </c>
      <c r="AN11" s="694"/>
      <c r="AO11" s="695">
        <v>8</v>
      </c>
      <c r="AP11" s="695"/>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row>
    <row r="12" ht="12.75" customHeight="1">
      <c r="C12" s="30"/>
      <c r="D12" s="106"/>
      <c r="E12" s="106"/>
      <c r="F12" s="106"/>
      <c r="G12" s="106"/>
      <c r="H12" s="97" t="s">
        <v>145</v>
      </c>
      <c r="I12" s="696">
        <v>8</v>
      </c>
      <c r="J12" s="696"/>
      <c r="K12" s="697">
        <v>9</v>
      </c>
      <c r="L12" s="697"/>
      <c r="M12" s="697">
        <v>10</v>
      </c>
      <c r="N12" s="697"/>
      <c r="O12" s="697">
        <v>11</v>
      </c>
      <c r="P12" s="697"/>
      <c r="Q12" s="697">
        <v>12</v>
      </c>
      <c r="R12" s="697"/>
      <c r="S12" s="697">
        <v>13</v>
      </c>
      <c r="T12" s="697"/>
      <c r="U12" s="698">
        <v>14</v>
      </c>
      <c r="V12" s="698"/>
      <c r="Y12" s="3"/>
      <c r="AB12" s="97" t="s">
        <v>145</v>
      </c>
      <c r="AC12" s="696">
        <v>9</v>
      </c>
      <c r="AD12" s="696"/>
      <c r="AE12" s="697">
        <v>10</v>
      </c>
      <c r="AF12" s="697"/>
      <c r="AG12" s="697">
        <v>11</v>
      </c>
      <c r="AH12" s="697"/>
      <c r="AI12" s="697">
        <v>12</v>
      </c>
      <c r="AJ12" s="697"/>
      <c r="AK12" s="697">
        <v>13</v>
      </c>
      <c r="AL12" s="697"/>
      <c r="AM12" s="697">
        <v>14</v>
      </c>
      <c r="AN12" s="697"/>
      <c r="AO12" s="698">
        <v>15</v>
      </c>
      <c r="AP12" s="698"/>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row>
    <row r="13" ht="12.75" customHeight="1">
      <c r="A13" s="101"/>
      <c r="B13" s="101" t="s">
        <v>8</v>
      </c>
      <c r="H13" s="97"/>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row>
    <row r="14" ht="12.75" customHeight="1">
      <c r="C14" s="30" t="s">
        <v>203</v>
      </c>
      <c r="D14" s="106" t="s">
        <v>200</v>
      </c>
      <c r="H14" s="97"/>
      <c r="O14" s="699"/>
      <c r="P14" s="699"/>
      <c r="Q14" s="699"/>
      <c r="R14" s="699"/>
      <c r="S14" s="699"/>
      <c r="T14" s="699"/>
      <c r="U14" s="699"/>
      <c r="W14" s="699"/>
      <c r="X14" s="699"/>
      <c r="Y14" s="699"/>
      <c r="Z14" s="699"/>
      <c r="AA14" s="699"/>
      <c r="AB14" s="699"/>
      <c r="AC14" s="699"/>
      <c r="AE14" s="699"/>
      <c r="AF14" s="699"/>
      <c r="AG14" s="699"/>
      <c r="AH14" s="699"/>
      <c r="AI14" s="699"/>
      <c r="AJ14" s="699"/>
      <c r="AK14" s="699"/>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row>
    <row r="15" ht="12.75" customHeight="1">
      <c r="C15" s="30" t="s">
        <v>204</v>
      </c>
      <c r="D15" s="104" t="s">
        <v>202</v>
      </c>
      <c r="H15" s="97"/>
      <c r="O15" s="21"/>
      <c r="P15" s="21"/>
      <c r="Q15" s="21"/>
      <c r="R15" s="21"/>
      <c r="S15" s="21"/>
      <c r="T15" s="21"/>
      <c r="U15" s="21"/>
      <c r="W15" s="21"/>
      <c r="X15" s="21"/>
      <c r="Y15" s="21"/>
      <c r="Z15" s="21"/>
      <c r="AA15" s="21"/>
      <c r="AB15" s="21"/>
      <c r="AC15" s="21"/>
      <c r="AE15" s="21"/>
      <c r="AF15" s="21"/>
      <c r="AG15" s="21"/>
      <c r="AH15" s="21"/>
      <c r="AI15" s="21"/>
      <c r="AJ15" s="21"/>
      <c r="AK15" s="21"/>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row>
    <row r="16" ht="12.75" customHeight="1">
      <c r="C16" s="105" t="s">
        <v>205</v>
      </c>
      <c r="D16" s="104" t="s">
        <v>206</v>
      </c>
      <c r="H16" s="97"/>
      <c r="O16" s="21"/>
      <c r="P16" s="21"/>
      <c r="Q16" s="21"/>
      <c r="R16" s="21"/>
      <c r="S16" s="21"/>
      <c r="T16" s="21"/>
      <c r="U16" s="21"/>
      <c r="W16" s="21"/>
      <c r="X16" s="21"/>
      <c r="Y16" s="21"/>
      <c r="Z16" s="21"/>
      <c r="AA16" s="21"/>
      <c r="AB16" s="21"/>
      <c r="AC16" s="21"/>
      <c r="AE16" s="21"/>
      <c r="AF16" s="21"/>
      <c r="AG16" s="21"/>
      <c r="AH16" s="21"/>
      <c r="AI16" s="21"/>
      <c r="AJ16" s="21"/>
      <c r="AK16" s="21"/>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row>
    <row r="17" ht="12.75" customHeight="1">
      <c r="C17" s="105" t="s">
        <v>207</v>
      </c>
      <c r="D17" s="104" t="s">
        <v>208</v>
      </c>
      <c r="H17" s="97"/>
      <c r="O17" s="21"/>
      <c r="P17" s="21"/>
      <c r="Q17" s="21"/>
      <c r="R17" s="21"/>
      <c r="S17" s="21"/>
      <c r="T17" s="21"/>
      <c r="U17" s="21"/>
      <c r="W17" s="21"/>
      <c r="X17" s="21"/>
      <c r="Y17" s="21"/>
      <c r="Z17" s="21"/>
      <c r="AA17" s="21"/>
      <c r="AB17" s="21"/>
      <c r="AC17" s="21"/>
      <c r="AE17" s="21"/>
      <c r="AF17" s="21"/>
      <c r="AG17" s="21"/>
      <c r="AH17" s="21"/>
      <c r="AI17" s="21"/>
      <c r="AJ17" s="21"/>
      <c r="AK17" s="21"/>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row>
    <row r="18" ht="12.75" customHeight="1">
      <c r="C18" s="105" t="s">
        <v>209</v>
      </c>
      <c r="D18" s="104" t="s">
        <v>210</v>
      </c>
      <c r="H18" s="97"/>
      <c r="O18" s="21"/>
      <c r="P18" s="21"/>
      <c r="Q18" s="21"/>
      <c r="R18" s="21"/>
      <c r="S18" s="21"/>
      <c r="T18" s="21"/>
      <c r="U18" s="21"/>
      <c r="W18" s="21"/>
      <c r="X18" s="21"/>
      <c r="Y18" s="21"/>
      <c r="Z18" s="21"/>
      <c r="AA18" s="21"/>
      <c r="AB18" s="21"/>
      <c r="AC18" s="21"/>
      <c r="AE18" s="21"/>
      <c r="AF18" s="21"/>
      <c r="AG18" s="21"/>
      <c r="AH18" s="21"/>
      <c r="AI18" s="21"/>
      <c r="AJ18" s="21"/>
      <c r="AK18" s="21"/>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row>
    <row r="19" ht="12.75" customHeight="1">
      <c r="C19" s="105" t="s">
        <v>211</v>
      </c>
      <c r="D19" s="104" t="s">
        <v>212</v>
      </c>
      <c r="H19" s="97"/>
      <c r="O19" s="21"/>
      <c r="P19" s="21"/>
      <c r="Q19" s="645" t="s">
        <v>90</v>
      </c>
      <c r="R19" s="645"/>
      <c r="S19" s="645"/>
      <c r="T19" s="645"/>
      <c r="U19" s="645"/>
      <c r="V19" s="645"/>
      <c r="W19" s="645"/>
      <c r="X19" s="21"/>
      <c r="Y19" s="21"/>
      <c r="Z19" s="645" t="s">
        <v>84</v>
      </c>
      <c r="AA19" s="645"/>
      <c r="AB19" s="645"/>
      <c r="AC19" s="645"/>
      <c r="AD19" s="645"/>
      <c r="AE19" s="645"/>
      <c r="AF19" s="645"/>
      <c r="AG19" s="21"/>
      <c r="AH19" s="21"/>
      <c r="AI19" s="645" t="s">
        <v>85</v>
      </c>
      <c r="AJ19" s="645"/>
      <c r="AK19" s="645"/>
      <c r="AL19" s="645"/>
      <c r="AM19" s="645"/>
      <c r="AN19" s="645"/>
      <c r="AO19" s="645"/>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row>
    <row r="20" ht="15" customHeight="1">
      <c r="Q20" s="645"/>
      <c r="R20" s="645"/>
      <c r="S20" s="645"/>
      <c r="T20" s="645"/>
      <c r="U20" s="645"/>
      <c r="V20" s="645"/>
      <c r="W20" s="645"/>
      <c r="X20" s="107"/>
      <c r="Y20" s="107"/>
      <c r="Z20" s="645"/>
      <c r="AA20" s="645"/>
      <c r="AB20" s="645"/>
      <c r="AC20" s="645"/>
      <c r="AD20" s="645"/>
      <c r="AE20" s="645"/>
      <c r="AF20" s="645"/>
      <c r="AG20" s="107"/>
      <c r="AH20" s="6"/>
      <c r="AI20" s="645"/>
      <c r="AJ20" s="645"/>
      <c r="AK20" s="645"/>
      <c r="AL20" s="645"/>
      <c r="AM20" s="645"/>
      <c r="AN20" s="645"/>
      <c r="AO20" s="645"/>
      <c r="AS20" s="244"/>
      <c r="AT20" s="244"/>
      <c r="AU20" s="244"/>
      <c r="AV20" s="700"/>
      <c r="AW20" s="700"/>
      <c r="AX20" s="700"/>
      <c r="AY20" s="700"/>
      <c r="AZ20" s="700"/>
      <c r="BA20" s="700"/>
      <c r="BB20" s="700"/>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row>
    <row r="21" s="0" customFormat="1" ht="60" customHeight="1">
      <c r="B21" s="110"/>
      <c r="C21" s="101" t="s">
        <v>34</v>
      </c>
      <c r="D21" s="101" t="s">
        <v>35</v>
      </c>
      <c r="E21" s="111" t="s">
        <v>36</v>
      </c>
      <c r="F21" s="111" t="s">
        <v>74</v>
      </c>
      <c r="G21" s="111" t="s">
        <v>73</v>
      </c>
      <c r="H21" s="111" t="s">
        <v>70</v>
      </c>
      <c r="I21" s="111" t="s">
        <v>71</v>
      </c>
      <c r="Q21" s="119">
        <v>45816</v>
      </c>
      <c r="R21" s="119">
        <v>45817</v>
      </c>
      <c r="S21" s="119">
        <v>45818</v>
      </c>
      <c r="T21" s="119">
        <v>45819</v>
      </c>
      <c r="U21" s="119">
        <v>45820</v>
      </c>
      <c r="V21" s="119">
        <v>45821</v>
      </c>
      <c r="W21" s="119">
        <v>45822</v>
      </c>
      <c r="X21" s="120"/>
      <c r="Y21" s="120"/>
      <c r="Z21" s="119">
        <v>45816</v>
      </c>
      <c r="AA21" s="119">
        <v>45817</v>
      </c>
      <c r="AB21" s="119">
        <v>45818</v>
      </c>
      <c r="AC21" s="119">
        <v>45819</v>
      </c>
      <c r="AD21" s="119">
        <v>45820</v>
      </c>
      <c r="AE21" s="119">
        <v>45821</v>
      </c>
      <c r="AF21" s="119">
        <v>45822</v>
      </c>
      <c r="AG21" s="120"/>
      <c r="AH21" s="120"/>
      <c r="AI21" s="119">
        <v>45816</v>
      </c>
      <c r="AJ21" s="119">
        <v>45817</v>
      </c>
      <c r="AK21" s="119">
        <v>45818</v>
      </c>
      <c r="AL21" s="119">
        <v>45819</v>
      </c>
      <c r="AM21" s="119">
        <v>45820</v>
      </c>
      <c r="AN21" s="119">
        <v>45821</v>
      </c>
      <c r="AO21" s="119">
        <v>45822</v>
      </c>
      <c r="AP21" s="112"/>
      <c r="AQ21" s="112"/>
      <c r="AR21" s="112"/>
      <c r="AS21" s="270"/>
      <c r="AT21" s="270"/>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row>
    <row r="22" ht="18" customHeight="1">
      <c r="C22" s="701">
        <v>60180</v>
      </c>
      <c r="D22" s="701" t="s">
        <v>159</v>
      </c>
      <c r="E22" s="701" t="s">
        <v>160</v>
      </c>
      <c r="F22" s="701" t="s">
        <v>161</v>
      </c>
      <c r="G22" s="701" t="s">
        <v>162</v>
      </c>
      <c r="H22" s="702">
        <v>186</v>
      </c>
      <c r="I22" s="702" t="s">
        <v>163</v>
      </c>
      <c r="J22" s="702"/>
      <c r="K22" s="702"/>
      <c r="L22" s="702"/>
      <c r="M22" s="702"/>
      <c r="N22" s="702"/>
      <c r="O22" s="113"/>
      <c r="Q22" s="703" t="s">
        <v>164</v>
      </c>
      <c r="R22" s="704" t="s">
        <v>164</v>
      </c>
      <c r="S22" s="704" t="s">
        <v>165</v>
      </c>
      <c r="T22" s="704" t="s">
        <v>164</v>
      </c>
      <c r="U22" s="704" t="s">
        <v>164</v>
      </c>
      <c r="V22" s="704" t="s">
        <v>164</v>
      </c>
      <c r="W22" s="705" t="s">
        <v>164</v>
      </c>
      <c r="Z22" s="703" t="s">
        <v>166</v>
      </c>
      <c r="AA22" s="704" t="s">
        <v>164</v>
      </c>
      <c r="AB22" s="704" t="s">
        <v>165</v>
      </c>
      <c r="AC22" s="704" t="s">
        <v>164</v>
      </c>
      <c r="AD22" s="704" t="s">
        <v>164</v>
      </c>
      <c r="AE22" s="704" t="s">
        <v>164</v>
      </c>
      <c r="AF22" s="705" t="s">
        <v>164</v>
      </c>
      <c r="AI22" s="703" t="s">
        <v>167</v>
      </c>
      <c r="AJ22" s="704" t="s">
        <v>167</v>
      </c>
      <c r="AK22" s="704" t="s">
        <v>167</v>
      </c>
      <c r="AL22" s="704" t="s">
        <v>167</v>
      </c>
      <c r="AM22" s="704" t="s">
        <v>167</v>
      </c>
      <c r="AN22" s="704" t="s">
        <v>167</v>
      </c>
      <c r="AO22" s="705" t="s">
        <v>167</v>
      </c>
      <c r="AP22" s="213"/>
      <c r="AQ22" s="213"/>
      <c r="AR22" s="213"/>
      <c r="AS22" s="271"/>
      <c r="AT22" s="271"/>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row>
    <row r="23" ht="18" customHeight="1">
      <c r="C23" s="706">
        <v>7790</v>
      </c>
      <c r="D23" s="706" t="s">
        <v>168</v>
      </c>
      <c r="E23" s="706" t="s">
        <v>160</v>
      </c>
      <c r="F23" s="706" t="s">
        <v>169</v>
      </c>
      <c r="G23" s="706" t="s">
        <v>170</v>
      </c>
      <c r="H23" s="707">
        <v>276</v>
      </c>
      <c r="I23" s="707" t="s">
        <v>171</v>
      </c>
      <c r="J23" s="707"/>
      <c r="K23" s="707"/>
      <c r="L23" s="707"/>
      <c r="M23" s="707"/>
      <c r="N23" s="707"/>
      <c r="O23" s="113"/>
      <c r="Q23" s="708" t="s">
        <v>164</v>
      </c>
      <c r="R23" s="709" t="s">
        <v>164</v>
      </c>
      <c r="S23" s="709" t="s">
        <v>164</v>
      </c>
      <c r="T23" s="709" t="s">
        <v>164</v>
      </c>
      <c r="U23" s="709" t="s">
        <v>164</v>
      </c>
      <c r="V23" s="709" t="s">
        <v>164</v>
      </c>
      <c r="W23" s="710" t="s">
        <v>164</v>
      </c>
      <c r="Z23" s="708" t="s">
        <v>164</v>
      </c>
      <c r="AA23" s="709" t="s">
        <v>164</v>
      </c>
      <c r="AB23" s="709" t="s">
        <v>167</v>
      </c>
      <c r="AC23" s="709" t="s">
        <v>164</v>
      </c>
      <c r="AD23" s="709" t="s">
        <v>164</v>
      </c>
      <c r="AE23" s="709" t="s">
        <v>164</v>
      </c>
      <c r="AF23" s="710" t="s">
        <v>164</v>
      </c>
      <c r="AI23" s="708" t="s">
        <v>167</v>
      </c>
      <c r="AJ23" s="709" t="s">
        <v>167</v>
      </c>
      <c r="AK23" s="709" t="s">
        <v>167</v>
      </c>
      <c r="AL23" s="709" t="s">
        <v>167</v>
      </c>
      <c r="AM23" s="709" t="s">
        <v>167</v>
      </c>
      <c r="AN23" s="709" t="s">
        <v>167</v>
      </c>
      <c r="AO23" s="710" t="s">
        <v>167</v>
      </c>
      <c r="AP23" s="213"/>
      <c r="AQ23" s="213"/>
      <c r="AR23" s="213"/>
      <c r="AS23" s="271"/>
      <c r="AT23" s="271"/>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row>
    <row r="24" ht="18" customHeight="1">
      <c r="C24" s="701">
        <v>27821</v>
      </c>
      <c r="D24" s="701" t="s">
        <v>172</v>
      </c>
      <c r="E24" s="701" t="s">
        <v>160</v>
      </c>
      <c r="F24" s="701" t="s">
        <v>173</v>
      </c>
      <c r="G24" s="701" t="s">
        <v>174</v>
      </c>
      <c r="H24" s="702">
        <v>108</v>
      </c>
      <c r="I24" s="702" t="s">
        <v>175</v>
      </c>
      <c r="J24" s="702"/>
      <c r="K24" s="702"/>
      <c r="L24" s="702"/>
      <c r="M24" s="702"/>
      <c r="N24" s="702"/>
      <c r="O24" s="113"/>
      <c r="Q24" s="703" t="s">
        <v>164</v>
      </c>
      <c r="R24" s="704" t="s">
        <v>164</v>
      </c>
      <c r="S24" s="704" t="s">
        <v>164</v>
      </c>
      <c r="T24" s="704" t="s">
        <v>164</v>
      </c>
      <c r="U24" s="704" t="s">
        <v>164</v>
      </c>
      <c r="V24" s="704" t="s">
        <v>164</v>
      </c>
      <c r="W24" s="705" t="s">
        <v>164</v>
      </c>
      <c r="Z24" s="703" t="s">
        <v>167</v>
      </c>
      <c r="AA24" s="704" t="s">
        <v>167</v>
      </c>
      <c r="AB24" s="704" t="s">
        <v>167</v>
      </c>
      <c r="AC24" s="704" t="s">
        <v>167</v>
      </c>
      <c r="AD24" s="704" t="s">
        <v>167</v>
      </c>
      <c r="AE24" s="704" t="s">
        <v>167</v>
      </c>
      <c r="AF24" s="705" t="s">
        <v>167</v>
      </c>
      <c r="AI24" s="703" t="s">
        <v>167</v>
      </c>
      <c r="AJ24" s="704" t="s">
        <v>167</v>
      </c>
      <c r="AK24" s="704" t="s">
        <v>167</v>
      </c>
      <c r="AL24" s="704" t="s">
        <v>167</v>
      </c>
      <c r="AM24" s="704" t="s">
        <v>167</v>
      </c>
      <c r="AN24" s="704" t="s">
        <v>167</v>
      </c>
      <c r="AO24" s="705" t="s">
        <v>167</v>
      </c>
      <c r="AP24" s="213"/>
      <c r="AQ24" s="213"/>
      <c r="AR24" s="213"/>
      <c r="AS24" s="271"/>
      <c r="AT24" s="271"/>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row>
    <row r="25" ht="18" customHeight="1">
      <c r="C25" s="706">
        <v>31502</v>
      </c>
      <c r="D25" s="706" t="s">
        <v>176</v>
      </c>
      <c r="E25" s="706" t="s">
        <v>160</v>
      </c>
      <c r="F25" s="706" t="s">
        <v>169</v>
      </c>
      <c r="G25" s="706" t="s">
        <v>177</v>
      </c>
      <c r="H25" s="707">
        <v>117</v>
      </c>
      <c r="I25" s="707" t="s">
        <v>178</v>
      </c>
      <c r="J25" s="707"/>
      <c r="K25" s="707"/>
      <c r="L25" s="707"/>
      <c r="M25" s="707"/>
      <c r="N25" s="707"/>
      <c r="O25" s="113"/>
      <c r="Q25" s="708" t="s">
        <v>164</v>
      </c>
      <c r="R25" s="709" t="s">
        <v>164</v>
      </c>
      <c r="S25" s="709" t="s">
        <v>164</v>
      </c>
      <c r="T25" s="709" t="s">
        <v>164</v>
      </c>
      <c r="U25" s="709" t="s">
        <v>164</v>
      </c>
      <c r="V25" s="709" t="s">
        <v>164</v>
      </c>
      <c r="W25" s="710" t="s">
        <v>164</v>
      </c>
      <c r="Z25" s="708" t="s">
        <v>167</v>
      </c>
      <c r="AA25" s="709" t="s">
        <v>167</v>
      </c>
      <c r="AB25" s="709" t="s">
        <v>167</v>
      </c>
      <c r="AC25" s="709" t="s">
        <v>167</v>
      </c>
      <c r="AD25" s="709" t="s">
        <v>167</v>
      </c>
      <c r="AE25" s="709" t="s">
        <v>167</v>
      </c>
      <c r="AF25" s="710" t="s">
        <v>167</v>
      </c>
      <c r="AI25" s="708" t="s">
        <v>167</v>
      </c>
      <c r="AJ25" s="709" t="s">
        <v>167</v>
      </c>
      <c r="AK25" s="709" t="s">
        <v>167</v>
      </c>
      <c r="AL25" s="709" t="s">
        <v>167</v>
      </c>
      <c r="AM25" s="709" t="s">
        <v>167</v>
      </c>
      <c r="AN25" s="709" t="s">
        <v>167</v>
      </c>
      <c r="AO25" s="710" t="s">
        <v>167</v>
      </c>
      <c r="AP25" s="213"/>
      <c r="AQ25" s="213"/>
      <c r="AR25" s="213"/>
      <c r="AS25" s="271"/>
      <c r="AT25" s="271"/>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row>
    <row r="26" ht="18" customHeight="1">
      <c r="C26" s="701">
        <v>33288</v>
      </c>
      <c r="D26" s="701" t="s">
        <v>179</v>
      </c>
      <c r="E26" s="701" t="s">
        <v>160</v>
      </c>
      <c r="F26" s="701" t="s">
        <v>173</v>
      </c>
      <c r="G26" s="701" t="s">
        <v>180</v>
      </c>
      <c r="H26" s="702">
        <v>111</v>
      </c>
      <c r="I26" s="702" t="s">
        <v>181</v>
      </c>
      <c r="J26" s="702"/>
      <c r="K26" s="702"/>
      <c r="L26" s="702"/>
      <c r="M26" s="702"/>
      <c r="N26" s="702"/>
      <c r="O26" s="113"/>
      <c r="Q26" s="703" t="s">
        <v>164</v>
      </c>
      <c r="R26" s="704" t="s">
        <v>164</v>
      </c>
      <c r="S26" s="704" t="s">
        <v>164</v>
      </c>
      <c r="T26" s="704" t="s">
        <v>164</v>
      </c>
      <c r="U26" s="704" t="s">
        <v>164</v>
      </c>
      <c r="V26" s="704" t="s">
        <v>164</v>
      </c>
      <c r="W26" s="705" t="s">
        <v>164</v>
      </c>
      <c r="Z26" s="703" t="s">
        <v>164</v>
      </c>
      <c r="AA26" s="704" t="s">
        <v>164</v>
      </c>
      <c r="AB26" s="704" t="s">
        <v>164</v>
      </c>
      <c r="AC26" s="704" t="s">
        <v>164</v>
      </c>
      <c r="AD26" s="704" t="s">
        <v>164</v>
      </c>
      <c r="AE26" s="704" t="s">
        <v>164</v>
      </c>
      <c r="AF26" s="705" t="s">
        <v>164</v>
      </c>
      <c r="AI26" s="703" t="s">
        <v>167</v>
      </c>
      <c r="AJ26" s="704" t="s">
        <v>167</v>
      </c>
      <c r="AK26" s="704" t="s">
        <v>167</v>
      </c>
      <c r="AL26" s="704" t="s">
        <v>167</v>
      </c>
      <c r="AM26" s="704" t="s">
        <v>167</v>
      </c>
      <c r="AN26" s="704" t="s">
        <v>167</v>
      </c>
      <c r="AO26" s="705" t="s">
        <v>167</v>
      </c>
      <c r="AP26" s="213"/>
      <c r="AQ26" s="213"/>
      <c r="AR26" s="213"/>
      <c r="AS26" s="271"/>
      <c r="AT26" s="271"/>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row>
    <row r="27" ht="18" customHeight="1">
      <c r="C27" s="706">
        <v>57305</v>
      </c>
      <c r="D27" s="706" t="s">
        <v>182</v>
      </c>
      <c r="E27" s="706" t="s">
        <v>183</v>
      </c>
      <c r="F27" s="706" t="s">
        <v>184</v>
      </c>
      <c r="G27" s="706" t="s">
        <v>185</v>
      </c>
      <c r="H27" s="707">
        <v>145</v>
      </c>
      <c r="I27" s="707" t="s">
        <v>186</v>
      </c>
      <c r="J27" s="707"/>
      <c r="K27" s="707"/>
      <c r="L27" s="707"/>
      <c r="M27" s="707"/>
      <c r="N27" s="707"/>
      <c r="O27" s="113"/>
      <c r="Q27" s="708" t="s">
        <v>164</v>
      </c>
      <c r="R27" s="709" t="s">
        <v>164</v>
      </c>
      <c r="S27" s="709" t="s">
        <v>164</v>
      </c>
      <c r="T27" s="709" t="s">
        <v>164</v>
      </c>
      <c r="U27" s="709" t="s">
        <v>164</v>
      </c>
      <c r="V27" s="709" t="s">
        <v>164</v>
      </c>
      <c r="W27" s="710" t="s">
        <v>164</v>
      </c>
      <c r="Z27" s="708" t="s">
        <v>164</v>
      </c>
      <c r="AA27" s="709" t="s">
        <v>164</v>
      </c>
      <c r="AB27" s="709" t="s">
        <v>164</v>
      </c>
      <c r="AC27" s="709" t="s">
        <v>164</v>
      </c>
      <c r="AD27" s="709" t="s">
        <v>164</v>
      </c>
      <c r="AE27" s="709" t="s">
        <v>164</v>
      </c>
      <c r="AF27" s="710" t="s">
        <v>164</v>
      </c>
      <c r="AI27" s="708" t="s">
        <v>167</v>
      </c>
      <c r="AJ27" s="709" t="s">
        <v>167</v>
      </c>
      <c r="AK27" s="709" t="s">
        <v>167</v>
      </c>
      <c r="AL27" s="709" t="s">
        <v>167</v>
      </c>
      <c r="AM27" s="709" t="s">
        <v>167</v>
      </c>
      <c r="AN27" s="709" t="s">
        <v>167</v>
      </c>
      <c r="AO27" s="710" t="s">
        <v>167</v>
      </c>
      <c r="AP27" s="213"/>
      <c r="AQ27" s="213"/>
      <c r="AR27" s="213"/>
      <c r="AS27" s="271"/>
      <c r="AT27" s="271"/>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row>
    <row r="28" ht="18" customHeight="1">
      <c r="C28" s="701">
        <v>58062</v>
      </c>
      <c r="D28" s="701" t="s">
        <v>187</v>
      </c>
      <c r="E28" s="701" t="s">
        <v>183</v>
      </c>
      <c r="F28" s="701" t="s">
        <v>188</v>
      </c>
      <c r="G28" s="701" t="s">
        <v>189</v>
      </c>
      <c r="H28" s="702">
        <v>126</v>
      </c>
      <c r="I28" s="702" t="s">
        <v>190</v>
      </c>
      <c r="J28" s="702"/>
      <c r="K28" s="702"/>
      <c r="L28" s="702"/>
      <c r="M28" s="702"/>
      <c r="N28" s="702"/>
      <c r="O28" s="113"/>
      <c r="Q28" s="703" t="s">
        <v>164</v>
      </c>
      <c r="R28" s="704" t="s">
        <v>164</v>
      </c>
      <c r="S28" s="704" t="s">
        <v>164</v>
      </c>
      <c r="T28" s="704" t="s">
        <v>164</v>
      </c>
      <c r="U28" s="704" t="s">
        <v>164</v>
      </c>
      <c r="V28" s="704" t="s">
        <v>164</v>
      </c>
      <c r="W28" s="705" t="s">
        <v>164</v>
      </c>
      <c r="Z28" s="703" t="s">
        <v>164</v>
      </c>
      <c r="AA28" s="704" t="s">
        <v>166</v>
      </c>
      <c r="AB28" s="704" t="s">
        <v>164</v>
      </c>
      <c r="AC28" s="704" t="s">
        <v>164</v>
      </c>
      <c r="AD28" s="704" t="s">
        <v>164</v>
      </c>
      <c r="AE28" s="704" t="s">
        <v>164</v>
      </c>
      <c r="AF28" s="705" t="s">
        <v>164</v>
      </c>
      <c r="AI28" s="703" t="s">
        <v>164</v>
      </c>
      <c r="AJ28" s="704" t="s">
        <v>164</v>
      </c>
      <c r="AK28" s="704" t="s">
        <v>164</v>
      </c>
      <c r="AL28" s="704" t="s">
        <v>164</v>
      </c>
      <c r="AM28" s="704" t="s">
        <v>164</v>
      </c>
      <c r="AN28" s="704" t="s">
        <v>164</v>
      </c>
      <c r="AO28" s="705" t="s">
        <v>164</v>
      </c>
      <c r="AP28" s="213"/>
      <c r="AQ28" s="213"/>
      <c r="AR28" s="213"/>
      <c r="AS28" s="271"/>
      <c r="AT28" s="271"/>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row>
    <row r="29" ht="18" customHeight="1">
      <c r="C29" s="706">
        <v>66136</v>
      </c>
      <c r="D29" s="706" t="s">
        <v>191</v>
      </c>
      <c r="E29" s="706" t="s">
        <v>160</v>
      </c>
      <c r="F29" s="706" t="s">
        <v>192</v>
      </c>
      <c r="G29" s="706" t="s">
        <v>193</v>
      </c>
      <c r="H29" s="707">
        <v>203</v>
      </c>
      <c r="I29" s="707" t="s">
        <v>194</v>
      </c>
      <c r="J29" s="707"/>
      <c r="K29" s="707"/>
      <c r="L29" s="707"/>
      <c r="M29" s="707"/>
      <c r="N29" s="707"/>
      <c r="O29" s="113"/>
      <c r="Q29" s="708" t="s">
        <v>164</v>
      </c>
      <c r="R29" s="709" t="s">
        <v>164</v>
      </c>
      <c r="S29" s="709" t="s">
        <v>164</v>
      </c>
      <c r="T29" s="709" t="s">
        <v>164</v>
      </c>
      <c r="U29" s="709" t="s">
        <v>164</v>
      </c>
      <c r="V29" s="709" t="s">
        <v>164</v>
      </c>
      <c r="W29" s="710" t="s">
        <v>164</v>
      </c>
      <c r="Z29" s="708" t="s">
        <v>164</v>
      </c>
      <c r="AA29" s="709" t="s">
        <v>164</v>
      </c>
      <c r="AB29" s="709" t="s">
        <v>164</v>
      </c>
      <c r="AC29" s="709" t="s">
        <v>164</v>
      </c>
      <c r="AD29" s="709" t="s">
        <v>164</v>
      </c>
      <c r="AE29" s="709" t="s">
        <v>164</v>
      </c>
      <c r="AF29" s="710" t="s">
        <v>164</v>
      </c>
      <c r="AI29" s="708" t="s">
        <v>164</v>
      </c>
      <c r="AJ29" s="709" t="s">
        <v>164</v>
      </c>
      <c r="AK29" s="709" t="s">
        <v>164</v>
      </c>
      <c r="AL29" s="709" t="s">
        <v>164</v>
      </c>
      <c r="AM29" s="709" t="s">
        <v>164</v>
      </c>
      <c r="AN29" s="709" t="s">
        <v>164</v>
      </c>
      <c r="AO29" s="710" t="s">
        <v>164</v>
      </c>
      <c r="AP29" s="213"/>
      <c r="AQ29" s="213"/>
      <c r="AR29" s="213"/>
      <c r="AS29" s="271"/>
      <c r="AT29" s="271"/>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row>
    <row r="30" ht="18" customHeight="1">
      <c r="C30" s="114"/>
      <c r="D30" s="118"/>
      <c r="E30" s="118"/>
      <c r="F30" s="118"/>
      <c r="G30" s="118"/>
      <c r="H30" s="702">
        <v>1272</v>
      </c>
      <c r="I30" s="711"/>
      <c r="J30" s="711"/>
      <c r="K30" s="711"/>
      <c r="L30" s="711"/>
      <c r="M30" s="711"/>
      <c r="N30" s="711"/>
      <c r="O30" s="113"/>
      <c r="AP30" s="213"/>
      <c r="AQ30" s="213"/>
      <c r="AR30" s="213"/>
      <c r="AS30" s="271"/>
      <c r="AT30" s="271"/>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row>
    <row r="31" ht="18" customHeight="1">
      <c r="C31" s="114"/>
      <c r="D31" s="118"/>
      <c r="E31" s="118"/>
      <c r="F31" s="118"/>
      <c r="G31" s="118"/>
      <c r="H31" s="118"/>
      <c r="I31" s="711"/>
      <c r="J31" s="711"/>
      <c r="K31" s="711"/>
      <c r="L31" s="711"/>
      <c r="M31" s="711"/>
      <c r="N31" s="711"/>
      <c r="O31" s="113"/>
      <c r="P31" t="s">
        <v>195</v>
      </c>
      <c r="AP31" s="213"/>
      <c r="AQ31" s="213"/>
      <c r="AR31" s="213"/>
      <c r="AS31" s="271"/>
      <c r="AT31" s="271"/>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row>
    <row r="32" ht="18" customHeight="1">
      <c r="C32" s="114"/>
      <c r="D32" s="118"/>
      <c r="E32" s="118"/>
      <c r="F32" s="118"/>
      <c r="G32" s="118"/>
      <c r="H32" s="118"/>
      <c r="I32" s="711"/>
      <c r="J32" s="711"/>
      <c r="K32" s="711"/>
      <c r="L32" s="711"/>
      <c r="M32" s="711"/>
      <c r="N32" s="711"/>
      <c r="O32" s="113"/>
      <c r="AP32" s="213"/>
      <c r="AQ32" s="213"/>
      <c r="AR32" s="213"/>
      <c r="AS32" s="271"/>
      <c r="AT32" s="271"/>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row>
    <row r="33" ht="18" customHeight="1">
      <c r="C33" s="114"/>
      <c r="D33" s="118"/>
      <c r="E33" s="118"/>
      <c r="F33" s="118"/>
      <c r="G33" s="118"/>
      <c r="H33" s="118"/>
      <c r="I33" s="711"/>
      <c r="J33" s="711"/>
      <c r="K33" s="711"/>
      <c r="L33" s="711"/>
      <c r="M33" s="711"/>
      <c r="N33" s="711"/>
      <c r="O33" s="113"/>
      <c r="AP33" s="213"/>
      <c r="AQ33" s="213"/>
      <c r="AR33" s="213"/>
      <c r="AS33" s="271"/>
      <c r="AT33" s="271"/>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row>
    <row r="34" ht="18" customHeight="1">
      <c r="C34" s="114"/>
      <c r="D34" s="118"/>
      <c r="E34" s="118"/>
      <c r="F34" s="118"/>
      <c r="G34" s="118"/>
      <c r="H34" s="118"/>
      <c r="I34" s="711"/>
      <c r="J34" s="711"/>
      <c r="K34" s="711"/>
      <c r="L34" s="711"/>
      <c r="M34" s="711"/>
      <c r="N34" s="711"/>
      <c r="O34" s="113"/>
      <c r="AP34" s="213"/>
      <c r="AQ34" s="213"/>
      <c r="AR34" s="213"/>
      <c r="AS34" s="271"/>
      <c r="AT34" s="271"/>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row>
    <row r="35" ht="18" customHeight="1">
      <c r="C35" s="114"/>
      <c r="D35" s="118"/>
      <c r="E35" s="118"/>
      <c r="F35" s="118"/>
      <c r="G35" s="118"/>
      <c r="H35" s="118"/>
      <c r="I35" s="711"/>
      <c r="J35" s="711"/>
      <c r="K35" s="711"/>
      <c r="L35" s="711"/>
      <c r="M35" s="711"/>
      <c r="N35" s="711"/>
      <c r="O35" s="113"/>
      <c r="AP35" s="213"/>
      <c r="AQ35" s="213"/>
      <c r="AR35" s="213"/>
      <c r="AS35" s="271"/>
      <c r="AT35" s="271"/>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row>
    <row r="36" ht="18" customHeight="1">
      <c r="C36" s="114"/>
      <c r="D36" s="118"/>
      <c r="E36" s="118"/>
      <c r="F36" s="118"/>
      <c r="G36" s="118"/>
      <c r="H36" s="118"/>
      <c r="I36" s="711"/>
      <c r="J36" s="711"/>
      <c r="K36" s="711"/>
      <c r="L36" s="711"/>
      <c r="M36" s="711"/>
      <c r="N36" s="711"/>
      <c r="O36" s="113"/>
      <c r="AP36" s="213"/>
      <c r="AQ36" s="213"/>
      <c r="AR36" s="213"/>
      <c r="AS36" s="271"/>
      <c r="AT36" s="271"/>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row>
    <row r="37" ht="18" customHeight="1">
      <c r="C37" s="114"/>
      <c r="D37" s="118"/>
      <c r="E37" s="118"/>
      <c r="F37" s="118"/>
      <c r="G37" s="118"/>
      <c r="H37" s="118"/>
      <c r="I37" s="711"/>
      <c r="J37" s="711"/>
      <c r="K37" s="711"/>
      <c r="L37" s="711"/>
      <c r="M37" s="711"/>
      <c r="N37" s="711"/>
      <c r="O37" s="113"/>
      <c r="AP37" s="213"/>
      <c r="AQ37" s="213"/>
      <c r="AR37" s="213"/>
      <c r="AS37" s="271"/>
      <c r="AT37" s="271"/>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row>
    <row r="38" ht="18" customHeight="1">
      <c r="C38" s="114"/>
      <c r="D38" s="118"/>
      <c r="E38" s="118"/>
      <c r="F38" s="118"/>
      <c r="G38" s="118"/>
      <c r="H38" s="118"/>
      <c r="I38" s="711"/>
      <c r="J38" s="711"/>
      <c r="K38" s="711"/>
      <c r="L38" s="711"/>
      <c r="M38" s="711"/>
      <c r="N38" s="711"/>
      <c r="O38" s="113"/>
      <c r="AP38" s="213"/>
      <c r="AQ38" s="213"/>
      <c r="AR38" s="213"/>
      <c r="AS38" s="271"/>
      <c r="AT38" s="271"/>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row>
    <row r="39" ht="18" customHeight="1">
      <c r="C39" s="114"/>
      <c r="D39" s="118"/>
      <c r="E39" s="118"/>
      <c r="F39" s="118"/>
      <c r="G39" s="118"/>
      <c r="H39" s="118"/>
      <c r="I39" s="711"/>
      <c r="J39" s="711"/>
      <c r="K39" s="711"/>
      <c r="L39" s="711"/>
      <c r="M39" s="711"/>
      <c r="N39" s="711"/>
      <c r="O39" s="113"/>
      <c r="AP39" s="213"/>
      <c r="AQ39" s="213"/>
      <c r="AR39" s="213"/>
      <c r="AS39" s="271"/>
      <c r="AT39" s="271"/>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row>
    <row r="40" ht="18" customHeight="1">
      <c r="C40" s="114"/>
      <c r="D40" s="118"/>
      <c r="E40" s="118"/>
      <c r="F40" s="118"/>
      <c r="G40" s="118"/>
      <c r="H40" s="118"/>
      <c r="I40" s="711"/>
      <c r="J40" s="711"/>
      <c r="K40" s="711"/>
      <c r="L40" s="711"/>
      <c r="M40" s="711"/>
      <c r="N40" s="711"/>
      <c r="O40" s="113"/>
      <c r="AP40" s="213"/>
      <c r="AQ40" s="213"/>
      <c r="AR40" s="213"/>
      <c r="AS40" s="271"/>
      <c r="AT40" s="271"/>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row>
    <row r="41" ht="18" customHeight="1">
      <c r="C41" s="114"/>
      <c r="D41" s="118"/>
      <c r="E41" s="118"/>
      <c r="F41" s="118"/>
      <c r="G41" s="118"/>
      <c r="H41" s="118"/>
      <c r="I41" s="711"/>
      <c r="J41" s="711"/>
      <c r="K41" s="711"/>
      <c r="L41" s="711"/>
      <c r="M41" s="711"/>
      <c r="N41" s="711"/>
      <c r="O41" s="113"/>
      <c r="AP41" s="213"/>
      <c r="AQ41" s="213"/>
      <c r="AR41" s="213"/>
      <c r="AS41" s="271"/>
      <c r="AT41" s="271"/>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row>
    <row r="42" ht="0" hidden="1" customHeight="1">
      <c r="C42" s="114"/>
      <c r="D42" s="118"/>
      <c r="E42" s="118"/>
      <c r="F42" s="118"/>
      <c r="G42" s="118"/>
      <c r="H42" s="118"/>
      <c r="I42" s="711"/>
      <c r="J42" s="711"/>
      <c r="K42" s="711"/>
      <c r="L42" s="711"/>
      <c r="M42" s="711"/>
      <c r="N42" s="711"/>
      <c r="O42" s="113"/>
      <c r="AP42" s="213"/>
      <c r="AQ42" s="213"/>
      <c r="AR42" s="213"/>
      <c r="AS42" s="271"/>
      <c r="AT42" s="271"/>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row>
    <row r="43" ht="0" hidden="1" customHeight="1">
      <c r="C43" s="114"/>
      <c r="D43" s="118"/>
      <c r="E43" s="118"/>
      <c r="F43" s="118"/>
      <c r="G43" s="118"/>
      <c r="H43" s="118"/>
      <c r="I43" s="711"/>
      <c r="J43" s="711"/>
      <c r="K43" s="711"/>
      <c r="L43" s="711"/>
      <c r="M43" s="711"/>
      <c r="N43" s="711"/>
      <c r="O43" s="113"/>
      <c r="AP43" s="213"/>
      <c r="AQ43" s="213"/>
      <c r="AR43" s="213"/>
      <c r="AS43" s="271"/>
      <c r="AT43" s="271"/>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row>
    <row r="44" ht="0" hidden="1" customHeight="1">
      <c r="C44" s="114"/>
      <c r="D44" s="118"/>
      <c r="E44" s="118"/>
      <c r="F44" s="118"/>
      <c r="G44" s="118"/>
      <c r="H44" s="118"/>
      <c r="I44" s="711"/>
      <c r="J44" s="711"/>
      <c r="K44" s="711"/>
      <c r="L44" s="711"/>
      <c r="M44" s="711"/>
      <c r="N44" s="711"/>
      <c r="O44" s="113"/>
      <c r="AP44" s="213"/>
      <c r="AQ44" s="213"/>
      <c r="AR44" s="213"/>
      <c r="AS44" s="271"/>
      <c r="AT44" s="271"/>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row>
    <row r="45" ht="0" hidden="1" customHeight="1">
      <c r="C45" s="114"/>
      <c r="D45" s="118"/>
      <c r="E45" s="118"/>
      <c r="F45" s="118"/>
      <c r="G45" s="118"/>
      <c r="H45" s="118"/>
      <c r="I45" s="711"/>
      <c r="J45" s="711"/>
      <c r="K45" s="711"/>
      <c r="L45" s="711"/>
      <c r="M45" s="711"/>
      <c r="N45" s="711"/>
      <c r="O45" s="113"/>
      <c r="AP45" s="213"/>
      <c r="AQ45" s="213"/>
      <c r="AR45" s="213"/>
      <c r="AS45" s="271"/>
      <c r="AT45" s="271"/>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row>
    <row r="46" ht="0" hidden="1" customHeight="1">
      <c r="C46" s="114"/>
      <c r="D46" s="118"/>
      <c r="E46" s="118"/>
      <c r="F46" s="118"/>
      <c r="G46" s="118"/>
      <c r="H46" s="118"/>
      <c r="I46" s="711"/>
      <c r="J46" s="711"/>
      <c r="K46" s="711"/>
      <c r="L46" s="711"/>
      <c r="M46" s="711"/>
      <c r="N46" s="711"/>
      <c r="O46" s="113"/>
      <c r="AP46" s="213"/>
      <c r="AQ46" s="213"/>
      <c r="AR46" s="213"/>
      <c r="AS46" s="271"/>
      <c r="AT46" s="271"/>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row>
    <row r="47" ht="0" hidden="1" customHeight="1">
      <c r="C47" s="114"/>
      <c r="D47" s="118"/>
      <c r="E47" s="118"/>
      <c r="F47" s="118"/>
      <c r="G47" s="118"/>
      <c r="H47" s="118"/>
      <c r="I47" s="711"/>
      <c r="J47" s="711"/>
      <c r="K47" s="711"/>
      <c r="L47" s="711"/>
      <c r="M47" s="711"/>
      <c r="N47" s="711"/>
      <c r="O47" s="113"/>
      <c r="AP47" s="213"/>
      <c r="AQ47" s="213"/>
      <c r="AR47" s="213"/>
      <c r="AS47" s="271"/>
      <c r="AT47" s="271"/>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row>
    <row r="48" ht="0" hidden="1" customHeight="1">
      <c r="C48" s="114"/>
      <c r="D48" s="118"/>
      <c r="E48" s="118"/>
      <c r="F48" s="118"/>
      <c r="G48" s="118"/>
      <c r="H48" s="118"/>
      <c r="I48" s="711"/>
      <c r="J48" s="711"/>
      <c r="K48" s="711"/>
      <c r="L48" s="711"/>
      <c r="M48" s="711"/>
      <c r="N48" s="711"/>
      <c r="O48" s="113"/>
      <c r="AP48" s="213"/>
      <c r="AQ48" s="213"/>
      <c r="AR48" s="213"/>
      <c r="AS48" s="271"/>
      <c r="AT48" s="271"/>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row>
    <row r="49" ht="0" hidden="1" customHeight="1">
      <c r="C49" s="114"/>
      <c r="D49" s="118"/>
      <c r="E49" s="118"/>
      <c r="F49" s="118"/>
      <c r="G49" s="118"/>
      <c r="H49" s="118"/>
      <c r="I49" s="711"/>
      <c r="J49" s="711"/>
      <c r="K49" s="711"/>
      <c r="L49" s="711"/>
      <c r="M49" s="711"/>
      <c r="N49" s="711"/>
      <c r="O49" s="113"/>
      <c r="AP49" s="213"/>
      <c r="AQ49" s="213"/>
      <c r="AR49" s="213"/>
      <c r="AS49" s="271"/>
      <c r="AT49" s="271"/>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row>
    <row r="50" ht="0" hidden="1" customHeight="1">
      <c r="C50" s="114"/>
      <c r="D50" s="118"/>
      <c r="E50" s="118"/>
      <c r="F50" s="118"/>
      <c r="G50" s="118"/>
      <c r="H50" s="118"/>
      <c r="I50" s="711"/>
      <c r="J50" s="711"/>
      <c r="K50" s="711"/>
      <c r="L50" s="711"/>
      <c r="M50" s="711"/>
      <c r="N50" s="711"/>
      <c r="O50" s="113"/>
      <c r="AP50" s="213"/>
      <c r="AQ50" s="213"/>
      <c r="AR50" s="213"/>
      <c r="AS50" s="271"/>
      <c r="AT50" s="271"/>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row>
    <row r="51" ht="0" hidden="1" customHeight="1">
      <c r="C51" s="114"/>
      <c r="D51" s="118"/>
      <c r="E51" s="118"/>
      <c r="F51" s="118"/>
      <c r="G51" s="118"/>
      <c r="H51" s="118"/>
      <c r="I51" s="711"/>
      <c r="J51" s="711"/>
      <c r="K51" s="711"/>
      <c r="L51" s="711"/>
      <c r="M51" s="711"/>
      <c r="N51" s="711"/>
      <c r="O51" s="113"/>
      <c r="AP51" s="213"/>
      <c r="AQ51" s="213"/>
      <c r="AR51" s="213"/>
      <c r="AS51" s="271"/>
      <c r="AT51" s="271"/>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row>
    <row r="52" ht="0" hidden="1" customHeight="1">
      <c r="C52" s="114"/>
      <c r="D52" s="118"/>
      <c r="E52" s="118"/>
      <c r="F52" s="118"/>
      <c r="G52" s="118"/>
      <c r="H52" s="118"/>
      <c r="I52" s="711"/>
      <c r="J52" s="711"/>
      <c r="K52" s="711"/>
      <c r="L52" s="711"/>
      <c r="M52" s="711"/>
      <c r="N52" s="711"/>
      <c r="O52" s="113"/>
      <c r="AP52" s="213"/>
      <c r="AQ52" s="213"/>
      <c r="AR52" s="213"/>
      <c r="AS52" s="271"/>
      <c r="AT52" s="271"/>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row>
    <row r="53" ht="0" hidden="1" customHeight="1">
      <c r="C53" s="114"/>
      <c r="D53" s="118"/>
      <c r="E53" s="118"/>
      <c r="F53" s="118"/>
      <c r="G53" s="118"/>
      <c r="H53" s="118"/>
      <c r="I53" s="711"/>
      <c r="J53" s="711"/>
      <c r="K53" s="711"/>
      <c r="L53" s="711"/>
      <c r="M53" s="711"/>
      <c r="N53" s="711"/>
      <c r="O53" s="113"/>
      <c r="AP53" s="213"/>
      <c r="AQ53" s="213"/>
      <c r="AR53" s="213"/>
      <c r="AS53" s="271"/>
      <c r="AT53" s="271"/>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row>
    <row r="54" ht="0" hidden="1" customHeight="1">
      <c r="C54" s="114"/>
      <c r="D54" s="118"/>
      <c r="E54" s="118"/>
      <c r="F54" s="118"/>
      <c r="G54" s="118"/>
      <c r="H54" s="118"/>
      <c r="I54" s="711"/>
      <c r="J54" s="711"/>
      <c r="K54" s="711"/>
      <c r="L54" s="711"/>
      <c r="M54" s="711"/>
      <c r="N54" s="711"/>
      <c r="O54" s="113"/>
      <c r="AP54" s="213"/>
      <c r="AQ54" s="213"/>
      <c r="AR54" s="213"/>
      <c r="AS54" s="271"/>
      <c r="AT54" s="271"/>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row>
    <row r="55" ht="0" hidden="1" customHeight="1">
      <c r="C55" s="114"/>
      <c r="D55" s="118"/>
      <c r="E55" s="118"/>
      <c r="F55" s="118"/>
      <c r="G55" s="118"/>
      <c r="H55" s="118"/>
      <c r="I55" s="711"/>
      <c r="J55" s="711"/>
      <c r="K55" s="711"/>
      <c r="L55" s="711"/>
      <c r="M55" s="711"/>
      <c r="N55" s="711"/>
      <c r="O55" s="113"/>
      <c r="AP55" s="213"/>
      <c r="AQ55" s="213"/>
      <c r="AR55" s="213"/>
      <c r="AS55" s="271"/>
      <c r="AT55" s="271"/>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row>
    <row r="56" ht="0" hidden="1" customHeight="1">
      <c r="C56" s="114"/>
      <c r="D56" s="118"/>
      <c r="E56" s="118"/>
      <c r="F56" s="118"/>
      <c r="G56" s="118"/>
      <c r="H56" s="118"/>
      <c r="I56" s="711"/>
      <c r="J56" s="711"/>
      <c r="K56" s="711"/>
      <c r="L56" s="711"/>
      <c r="M56" s="711"/>
      <c r="N56" s="711"/>
      <c r="O56" s="113"/>
      <c r="AP56" s="213"/>
      <c r="AQ56" s="213"/>
      <c r="AR56" s="213"/>
      <c r="AS56" s="271"/>
      <c r="AT56" s="271"/>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row>
    <row r="57" ht="0" hidden="1" customHeight="1">
      <c r="C57" s="114"/>
      <c r="D57" s="118"/>
      <c r="E57" s="118"/>
      <c r="F57" s="118"/>
      <c r="G57" s="118"/>
      <c r="H57" s="118"/>
      <c r="I57" s="711"/>
      <c r="J57" s="711"/>
      <c r="K57" s="711"/>
      <c r="L57" s="711"/>
      <c r="M57" s="711"/>
      <c r="N57" s="711"/>
      <c r="O57" s="113"/>
      <c r="AP57" s="213"/>
      <c r="AQ57" s="213"/>
      <c r="AR57" s="213"/>
      <c r="AS57" s="271"/>
      <c r="AT57" s="271"/>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row>
    <row r="58" ht="0" hidden="1" customHeight="1">
      <c r="C58" s="114"/>
      <c r="D58" s="118"/>
      <c r="E58" s="118"/>
      <c r="F58" s="118"/>
      <c r="G58" s="118"/>
      <c r="H58" s="118"/>
      <c r="I58" s="711"/>
      <c r="J58" s="711"/>
      <c r="K58" s="711"/>
      <c r="L58" s="711"/>
      <c r="M58" s="711"/>
      <c r="N58" s="711"/>
      <c r="O58" s="113"/>
      <c r="AP58" s="213"/>
      <c r="AQ58" s="213"/>
      <c r="AR58" s="213"/>
      <c r="AS58" s="271"/>
      <c r="AT58" s="271"/>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row>
    <row r="59" ht="0" hidden="1" customHeight="1">
      <c r="C59" s="114"/>
      <c r="D59" s="118"/>
      <c r="E59" s="118"/>
      <c r="F59" s="118"/>
      <c r="G59" s="118"/>
      <c r="H59" s="118"/>
      <c r="I59" s="711"/>
      <c r="J59" s="711"/>
      <c r="K59" s="711"/>
      <c r="L59" s="711"/>
      <c r="M59" s="711"/>
      <c r="N59" s="711"/>
      <c r="O59" s="113"/>
      <c r="AP59" s="213"/>
      <c r="AQ59" s="213"/>
      <c r="AR59" s="213"/>
      <c r="AS59" s="271"/>
      <c r="AT59" s="271"/>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row>
    <row r="60" ht="0" hidden="1" customHeight="1">
      <c r="C60" s="114"/>
      <c r="D60" s="118"/>
      <c r="E60" s="118"/>
      <c r="F60" s="118"/>
      <c r="G60" s="118"/>
      <c r="H60" s="118"/>
      <c r="I60" s="711"/>
      <c r="J60" s="711"/>
      <c r="K60" s="711"/>
      <c r="L60" s="711"/>
      <c r="M60" s="711"/>
      <c r="N60" s="711"/>
      <c r="O60" s="113"/>
      <c r="AP60" s="213"/>
      <c r="AQ60" s="213"/>
      <c r="AR60" s="213"/>
      <c r="AS60" s="271"/>
      <c r="AT60" s="271"/>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row>
    <row r="61" ht="0" hidden="1" customHeight="1">
      <c r="C61" s="114"/>
      <c r="D61" s="118"/>
      <c r="E61" s="118"/>
      <c r="F61" s="118"/>
      <c r="G61" s="118"/>
      <c r="H61" s="118"/>
      <c r="I61" s="711"/>
      <c r="J61" s="711"/>
      <c r="K61" s="711"/>
      <c r="L61" s="711"/>
      <c r="M61" s="711"/>
      <c r="N61" s="711"/>
      <c r="O61" s="113"/>
      <c r="AP61" s="213"/>
      <c r="AQ61" s="213"/>
      <c r="AR61" s="213"/>
      <c r="AS61" s="271"/>
      <c r="AT61" s="271"/>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row>
    <row r="62" ht="0" hidden="1" customHeight="1">
      <c r="C62" s="114"/>
      <c r="D62" s="118"/>
      <c r="E62" s="118"/>
      <c r="F62" s="118"/>
      <c r="G62" s="118"/>
      <c r="H62" s="118"/>
      <c r="I62" s="711"/>
      <c r="J62" s="711"/>
      <c r="K62" s="711"/>
      <c r="L62" s="711"/>
      <c r="M62" s="711"/>
      <c r="N62" s="711"/>
      <c r="O62" s="113"/>
      <c r="AP62" s="213"/>
      <c r="AQ62" s="213"/>
      <c r="AR62" s="213"/>
      <c r="AS62" s="271"/>
      <c r="AT62" s="271"/>
      <c r="AU62" s="244"/>
      <c r="AV62" s="244"/>
      <c r="AW62" s="244"/>
      <c r="AX62" s="244"/>
      <c r="AY62" s="244"/>
      <c r="AZ62" s="244"/>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row>
    <row r="63" ht="0" hidden="1" customHeight="1">
      <c r="C63" s="114"/>
      <c r="D63" s="118"/>
      <c r="E63" s="118"/>
      <c r="F63" s="118"/>
      <c r="G63" s="118"/>
      <c r="H63" s="118"/>
      <c r="I63" s="711"/>
      <c r="J63" s="711"/>
      <c r="K63" s="711"/>
      <c r="L63" s="711"/>
      <c r="M63" s="711"/>
      <c r="N63" s="711"/>
      <c r="O63" s="113"/>
      <c r="AP63" s="213"/>
      <c r="AQ63" s="213"/>
      <c r="AR63" s="213"/>
      <c r="AS63" s="271"/>
      <c r="AT63" s="271"/>
      <c r="AU63" s="244"/>
      <c r="AV63" s="244"/>
      <c r="AW63" s="244"/>
      <c r="AX63" s="244"/>
      <c r="AY63" s="244"/>
      <c r="AZ63" s="244"/>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row>
    <row r="64" ht="0" hidden="1" customHeight="1">
      <c r="C64" s="114"/>
      <c r="D64" s="118"/>
      <c r="E64" s="118"/>
      <c r="F64" s="118"/>
      <c r="G64" s="118"/>
      <c r="H64" s="118"/>
      <c r="I64" s="711"/>
      <c r="J64" s="711"/>
      <c r="K64" s="711"/>
      <c r="L64" s="711"/>
      <c r="M64" s="711"/>
      <c r="N64" s="711"/>
      <c r="O64" s="113"/>
      <c r="AP64" s="213"/>
      <c r="AQ64" s="213"/>
      <c r="AR64" s="213"/>
      <c r="AS64" s="271"/>
      <c r="AT64" s="271"/>
      <c r="AU64" s="244"/>
      <c r="AV64" s="244"/>
      <c r="AW64" s="244"/>
      <c r="AX64" s="244"/>
      <c r="AY64" s="244"/>
      <c r="AZ64" s="244"/>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row>
    <row r="65" ht="0" hidden="1" customHeight="1">
      <c r="C65" s="114"/>
      <c r="D65" s="118"/>
      <c r="E65" s="118"/>
      <c r="F65" s="118"/>
      <c r="G65" s="118"/>
      <c r="H65" s="118"/>
      <c r="I65" s="711"/>
      <c r="J65" s="711"/>
      <c r="K65" s="711"/>
      <c r="L65" s="711"/>
      <c r="M65" s="711"/>
      <c r="N65" s="711"/>
      <c r="O65" s="113"/>
      <c r="AP65" s="213"/>
      <c r="AQ65" s="213"/>
      <c r="AR65" s="213"/>
      <c r="AS65" s="271"/>
      <c r="AT65" s="271"/>
      <c r="AU65" s="244"/>
      <c r="AV65" s="244"/>
      <c r="AW65" s="244"/>
      <c r="AX65" s="244"/>
      <c r="AY65" s="244"/>
      <c r="AZ65" s="244"/>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row>
    <row r="66" ht="0" hidden="1" customHeight="1">
      <c r="C66" s="114"/>
      <c r="D66" s="118"/>
      <c r="E66" s="118"/>
      <c r="F66" s="118"/>
      <c r="G66" s="118"/>
      <c r="H66" s="118"/>
      <c r="I66" s="711"/>
      <c r="J66" s="711"/>
      <c r="K66" s="711"/>
      <c r="L66" s="711"/>
      <c r="M66" s="711"/>
      <c r="N66" s="711"/>
      <c r="O66" s="113"/>
      <c r="AP66" s="213"/>
      <c r="AQ66" s="213"/>
      <c r="AR66" s="213"/>
      <c r="AS66" s="271"/>
      <c r="AT66" s="271"/>
      <c r="AU66" s="244"/>
      <c r="AV66" s="244"/>
      <c r="AW66" s="244"/>
      <c r="AX66" s="244"/>
      <c r="AY66" s="244"/>
      <c r="AZ66" s="244"/>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row>
    <row r="67" ht="0" hidden="1" customHeight="1">
      <c r="C67" s="114"/>
      <c r="D67" s="118"/>
      <c r="E67" s="118"/>
      <c r="F67" s="118"/>
      <c r="G67" s="118"/>
      <c r="H67" s="118"/>
      <c r="I67" s="711"/>
      <c r="J67" s="711"/>
      <c r="K67" s="711"/>
      <c r="L67" s="711"/>
      <c r="M67" s="711"/>
      <c r="N67" s="711"/>
      <c r="O67" s="113"/>
      <c r="AP67" s="213"/>
      <c r="AQ67" s="213"/>
      <c r="AR67" s="213"/>
      <c r="AS67" s="271"/>
      <c r="AT67" s="271"/>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row>
    <row r="68" ht="0" hidden="1" customHeight="1">
      <c r="C68" s="114"/>
      <c r="D68" s="118"/>
      <c r="E68" s="118"/>
      <c r="F68" s="118"/>
      <c r="G68" s="118"/>
      <c r="H68" s="118"/>
      <c r="I68" s="711"/>
      <c r="J68" s="711"/>
      <c r="K68" s="711"/>
      <c r="L68" s="711"/>
      <c r="M68" s="711"/>
      <c r="N68" s="711"/>
      <c r="O68" s="113"/>
      <c r="AP68" s="213"/>
      <c r="AQ68" s="213"/>
      <c r="AR68" s="213"/>
      <c r="AS68" s="271"/>
      <c r="AT68" s="271"/>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row>
    <row r="69" ht="0" hidden="1" customHeight="1">
      <c r="C69" s="114"/>
      <c r="D69" s="118"/>
      <c r="E69" s="118"/>
      <c r="F69" s="118"/>
      <c r="G69" s="118"/>
      <c r="H69" s="118"/>
      <c r="I69" s="711"/>
      <c r="J69" s="711"/>
      <c r="K69" s="711"/>
      <c r="L69" s="711"/>
      <c r="M69" s="711"/>
      <c r="N69" s="711"/>
      <c r="O69" s="113"/>
      <c r="AP69" s="213"/>
      <c r="AQ69" s="213"/>
      <c r="AR69" s="213"/>
      <c r="AS69" s="271"/>
      <c r="AT69" s="271"/>
      <c r="AU69" s="244"/>
      <c r="AV69" s="244"/>
      <c r="AW69" s="244"/>
      <c r="AX69" s="244"/>
      <c r="AY69" s="244"/>
      <c r="AZ69" s="244"/>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row>
    <row r="70" ht="0" hidden="1" customHeight="1">
      <c r="C70" s="114"/>
      <c r="D70" s="118"/>
      <c r="E70" s="118"/>
      <c r="F70" s="118"/>
      <c r="G70" s="118"/>
      <c r="H70" s="118"/>
      <c r="I70" s="711"/>
      <c r="J70" s="711"/>
      <c r="K70" s="711"/>
      <c r="L70" s="711"/>
      <c r="M70" s="711"/>
      <c r="N70" s="711"/>
      <c r="O70" s="113"/>
      <c r="AP70" s="213"/>
      <c r="AQ70" s="213"/>
      <c r="AR70" s="213"/>
      <c r="AS70" s="271"/>
      <c r="AT70" s="271"/>
      <c r="AU70" s="244"/>
      <c r="AV70" s="244"/>
      <c r="AW70" s="244"/>
      <c r="AX70" s="244"/>
      <c r="AY70" s="244"/>
      <c r="AZ70" s="244"/>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row>
    <row r="71" ht="0" hidden="1" customHeight="1">
      <c r="C71" s="114"/>
      <c r="D71" s="118"/>
      <c r="E71" s="118"/>
      <c r="F71" s="118"/>
      <c r="G71" s="118"/>
      <c r="H71" s="118"/>
      <c r="I71" s="711"/>
      <c r="J71" s="711"/>
      <c r="K71" s="711"/>
      <c r="L71" s="711"/>
      <c r="M71" s="711"/>
      <c r="N71" s="711"/>
      <c r="O71" s="113"/>
      <c r="AP71" s="213"/>
      <c r="AQ71" s="213"/>
      <c r="AR71" s="213"/>
      <c r="AS71" s="271"/>
      <c r="AT71" s="271"/>
      <c r="AU71" s="244"/>
      <c r="AV71" s="244"/>
      <c r="AW71" s="244"/>
      <c r="AX71" s="244"/>
      <c r="AY71" s="244"/>
      <c r="AZ71" s="244"/>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row>
    <row r="72" ht="0" hidden="1" customHeight="1">
      <c r="C72" s="114"/>
      <c r="D72" s="118"/>
      <c r="E72" s="118"/>
      <c r="F72" s="118"/>
      <c r="G72" s="118"/>
      <c r="H72" s="118"/>
      <c r="I72" s="711"/>
      <c r="J72" s="711"/>
      <c r="K72" s="711"/>
      <c r="L72" s="711"/>
      <c r="M72" s="711"/>
      <c r="N72" s="711"/>
      <c r="O72" s="113"/>
      <c r="AP72" s="213"/>
      <c r="AQ72" s="213"/>
      <c r="AR72" s="213"/>
      <c r="AS72" s="271"/>
      <c r="AT72" s="271"/>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row>
    <row r="73" ht="0" hidden="1" customHeight="1">
      <c r="C73" s="114"/>
      <c r="D73" s="118"/>
      <c r="E73" s="118"/>
      <c r="F73" s="118"/>
      <c r="G73" s="118"/>
      <c r="H73" s="118"/>
      <c r="I73" s="711"/>
      <c r="J73" s="711"/>
      <c r="K73" s="711"/>
      <c r="L73" s="711"/>
      <c r="M73" s="711"/>
      <c r="N73" s="711"/>
      <c r="O73" s="113"/>
      <c r="AP73" s="213"/>
      <c r="AQ73" s="213"/>
      <c r="AR73" s="213"/>
      <c r="AS73" s="271"/>
      <c r="AT73" s="271"/>
      <c r="AU73" s="244"/>
      <c r="AV73" s="244"/>
      <c r="AW73" s="244"/>
      <c r="AX73" s="244"/>
      <c r="AY73" s="244"/>
      <c r="AZ73" s="244"/>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row>
    <row r="74" ht="0" hidden="1" customHeight="1">
      <c r="C74" s="114"/>
      <c r="D74" s="118"/>
      <c r="E74" s="118"/>
      <c r="F74" s="118"/>
      <c r="G74" s="118"/>
      <c r="H74" s="118"/>
      <c r="I74" s="711"/>
      <c r="J74" s="711"/>
      <c r="K74" s="711"/>
      <c r="L74" s="711"/>
      <c r="M74" s="711"/>
      <c r="N74" s="711"/>
      <c r="O74" s="113"/>
      <c r="AP74" s="213"/>
      <c r="AQ74" s="213"/>
      <c r="AR74" s="213"/>
      <c r="AS74" s="271"/>
      <c r="AT74" s="271"/>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row>
    <row r="75" ht="0" hidden="1" customHeight="1">
      <c r="C75" s="114"/>
      <c r="D75" s="118"/>
      <c r="E75" s="118"/>
      <c r="F75" s="118"/>
      <c r="G75" s="118"/>
      <c r="H75" s="118"/>
      <c r="I75" s="711"/>
      <c r="J75" s="711"/>
      <c r="K75" s="711"/>
      <c r="L75" s="711"/>
      <c r="M75" s="711"/>
      <c r="N75" s="711"/>
      <c r="O75" s="113"/>
      <c r="AP75" s="213"/>
      <c r="AQ75" s="213"/>
      <c r="AR75" s="213"/>
      <c r="AS75" s="271"/>
      <c r="AT75" s="271"/>
      <c r="AU75" s="244"/>
      <c r="AV75" s="244"/>
      <c r="AW75" s="244"/>
      <c r="AX75" s="244"/>
      <c r="AY75" s="244"/>
      <c r="AZ75" s="244"/>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row>
    <row r="76" ht="0" hidden="1" customHeight="1">
      <c r="C76" s="114"/>
      <c r="D76" s="118"/>
      <c r="E76" s="118"/>
      <c r="F76" s="118"/>
      <c r="G76" s="118"/>
      <c r="H76" s="118"/>
      <c r="I76" s="711"/>
      <c r="J76" s="711"/>
      <c r="K76" s="711"/>
      <c r="L76" s="711"/>
      <c r="M76" s="711"/>
      <c r="N76" s="711"/>
      <c r="O76" s="113"/>
      <c r="AP76" s="213"/>
      <c r="AQ76" s="213"/>
      <c r="AR76" s="213"/>
      <c r="AS76" s="271"/>
      <c r="AT76" s="271"/>
      <c r="AU76" s="244"/>
      <c r="AV76" s="244"/>
      <c r="AW76" s="244"/>
      <c r="AX76" s="244"/>
      <c r="AY76" s="244"/>
      <c r="AZ76" s="244"/>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row>
    <row r="77" ht="0" hidden="1" customHeight="1">
      <c r="C77" s="114"/>
      <c r="D77" s="118"/>
      <c r="E77" s="118"/>
      <c r="F77" s="118"/>
      <c r="G77" s="118"/>
      <c r="H77" s="118"/>
      <c r="I77" s="711"/>
      <c r="J77" s="711"/>
      <c r="K77" s="711"/>
      <c r="L77" s="711"/>
      <c r="M77" s="711"/>
      <c r="N77" s="711"/>
      <c r="O77" s="113"/>
      <c r="AP77" s="213"/>
      <c r="AQ77" s="213"/>
      <c r="AR77" s="213"/>
      <c r="AS77" s="271"/>
      <c r="AT77" s="271"/>
      <c r="AU77" s="244"/>
      <c r="AV77" s="244"/>
      <c r="AW77" s="244"/>
      <c r="AX77" s="244"/>
      <c r="AY77" s="244"/>
      <c r="AZ77" s="244"/>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row>
    <row r="78" ht="0" hidden="1" customHeight="1">
      <c r="C78" s="114"/>
      <c r="D78" s="118"/>
      <c r="E78" s="118"/>
      <c r="F78" s="118"/>
      <c r="G78" s="118"/>
      <c r="H78" s="118"/>
      <c r="I78" s="711"/>
      <c r="J78" s="711"/>
      <c r="K78" s="711"/>
      <c r="L78" s="711"/>
      <c r="M78" s="711"/>
      <c r="N78" s="711"/>
      <c r="O78" s="113"/>
      <c r="AP78" s="213"/>
      <c r="AQ78" s="213"/>
      <c r="AR78" s="213"/>
      <c r="AS78" s="271"/>
      <c r="AT78" s="271"/>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row>
    <row r="79" ht="0" hidden="1" customHeight="1">
      <c r="C79" s="114"/>
      <c r="D79" s="118"/>
      <c r="E79" s="118"/>
      <c r="F79" s="118"/>
      <c r="G79" s="118"/>
      <c r="H79" s="118"/>
      <c r="I79" s="711"/>
      <c r="J79" s="711"/>
      <c r="K79" s="711"/>
      <c r="L79" s="711"/>
      <c r="M79" s="711"/>
      <c r="N79" s="711"/>
      <c r="O79" s="113"/>
      <c r="AP79" s="213"/>
      <c r="AQ79" s="213"/>
      <c r="AR79" s="213"/>
      <c r="AS79" s="271"/>
      <c r="AT79" s="271"/>
      <c r="AU79" s="244"/>
      <c r="AV79" s="244"/>
      <c r="AW79" s="244"/>
      <c r="AX79" s="244"/>
      <c r="AY79" s="244"/>
      <c r="AZ79" s="244"/>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row>
    <row r="80" ht="0" hidden="1" customHeight="1">
      <c r="C80" s="114"/>
      <c r="D80" s="118"/>
      <c r="E80" s="118"/>
      <c r="F80" s="118"/>
      <c r="G80" s="118"/>
      <c r="H80" s="118"/>
      <c r="I80" s="711"/>
      <c r="J80" s="711"/>
      <c r="K80" s="711"/>
      <c r="L80" s="711"/>
      <c r="M80" s="711"/>
      <c r="N80" s="711"/>
      <c r="O80" s="113"/>
      <c r="AP80" s="213"/>
      <c r="AQ80" s="213"/>
      <c r="AR80" s="213"/>
      <c r="AS80" s="271"/>
      <c r="AT80" s="271"/>
      <c r="AU80" s="244"/>
      <c r="AV80" s="244"/>
      <c r="AW80" s="244"/>
      <c r="AX80" s="244"/>
      <c r="AY80" s="244"/>
      <c r="AZ80" s="244"/>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row>
    <row r="81" ht="0" hidden="1" customHeight="1">
      <c r="C81" s="114"/>
      <c r="D81" s="118"/>
      <c r="E81" s="118"/>
      <c r="F81" s="118"/>
      <c r="G81" s="118"/>
      <c r="H81" s="118"/>
      <c r="I81" s="711"/>
      <c r="J81" s="711"/>
      <c r="K81" s="711"/>
      <c r="L81" s="711"/>
      <c r="M81" s="711"/>
      <c r="N81" s="711"/>
      <c r="O81" s="113"/>
      <c r="AP81" s="213"/>
      <c r="AQ81" s="213"/>
      <c r="AR81" s="213"/>
      <c r="AS81" s="271"/>
      <c r="AT81" s="271"/>
      <c r="AU81" s="244"/>
      <c r="AV81" s="244"/>
      <c r="AW81" s="244"/>
      <c r="AX81" s="244"/>
      <c r="AY81" s="244"/>
      <c r="AZ81" s="244"/>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row>
    <row r="82" ht="0" hidden="1" customHeight="1">
      <c r="C82" s="114"/>
      <c r="D82" s="118"/>
      <c r="E82" s="118"/>
      <c r="F82" s="118"/>
      <c r="G82" s="118"/>
      <c r="H82" s="118"/>
      <c r="I82" s="711"/>
      <c r="J82" s="711"/>
      <c r="K82" s="711"/>
      <c r="L82" s="711"/>
      <c r="M82" s="711"/>
      <c r="N82" s="711"/>
      <c r="O82" s="113"/>
      <c r="AP82" s="213"/>
      <c r="AQ82" s="213"/>
      <c r="AR82" s="213"/>
      <c r="AS82" s="271"/>
      <c r="AT82" s="271"/>
      <c r="AU82" s="244"/>
      <c r="AV82" s="244"/>
      <c r="AW82" s="244"/>
      <c r="AX82" s="244"/>
      <c r="AY82" s="244"/>
      <c r="AZ82" s="244"/>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row>
    <row r="83" ht="0" hidden="1" customHeight="1">
      <c r="C83" s="114"/>
      <c r="D83" s="118"/>
      <c r="E83" s="118"/>
      <c r="F83" s="118"/>
      <c r="G83" s="118"/>
      <c r="H83" s="118"/>
      <c r="I83" s="711"/>
      <c r="J83" s="711"/>
      <c r="K83" s="711"/>
      <c r="L83" s="711"/>
      <c r="M83" s="711"/>
      <c r="N83" s="711"/>
      <c r="O83" s="113"/>
      <c r="AP83" s="213"/>
      <c r="AQ83" s="213"/>
      <c r="AR83" s="213"/>
      <c r="AS83" s="271"/>
      <c r="AT83" s="271"/>
      <c r="AU83" s="244"/>
      <c r="AV83" s="244"/>
      <c r="AW83" s="244"/>
      <c r="AX83" s="244"/>
      <c r="AY83" s="244"/>
      <c r="AZ83" s="244"/>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row>
    <row r="84" ht="0" hidden="1" customHeight="1">
      <c r="C84" s="114"/>
      <c r="D84" s="118"/>
      <c r="E84" s="118"/>
      <c r="F84" s="118"/>
      <c r="G84" s="118"/>
      <c r="H84" s="118"/>
      <c r="I84" s="711"/>
      <c r="J84" s="711"/>
      <c r="K84" s="711"/>
      <c r="L84" s="711"/>
      <c r="M84" s="711"/>
      <c r="N84" s="711"/>
      <c r="O84" s="113"/>
      <c r="AP84" s="213"/>
      <c r="AQ84" s="213"/>
      <c r="AR84" s="213"/>
      <c r="AS84" s="271"/>
      <c r="AT84" s="271"/>
      <c r="AU84" s="244"/>
      <c r="AV84" s="244"/>
      <c r="AW84" s="244"/>
      <c r="AX84" s="244"/>
      <c r="AY84" s="244"/>
      <c r="AZ84" s="244"/>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row>
    <row r="85" ht="0" hidden="1" customHeight="1">
      <c r="C85" s="114"/>
      <c r="D85" s="118"/>
      <c r="E85" s="118"/>
      <c r="F85" s="118"/>
      <c r="G85" s="118"/>
      <c r="H85" s="118"/>
      <c r="I85" s="711"/>
      <c r="J85" s="711"/>
      <c r="K85" s="711"/>
      <c r="L85" s="711"/>
      <c r="M85" s="711"/>
      <c r="N85" s="711"/>
      <c r="O85" s="113"/>
      <c r="AP85" s="213"/>
      <c r="AQ85" s="213"/>
      <c r="AR85" s="213"/>
      <c r="AS85" s="271"/>
      <c r="AT85" s="271"/>
      <c r="AU85" s="244"/>
      <c r="AV85" s="244"/>
      <c r="AW85" s="244"/>
      <c r="AX85" s="244"/>
      <c r="AY85" s="244"/>
      <c r="AZ85" s="244"/>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row>
    <row r="86" ht="0" hidden="1" customHeight="1">
      <c r="C86" s="114"/>
      <c r="D86" s="118"/>
      <c r="E86" s="118"/>
      <c r="F86" s="118"/>
      <c r="G86" s="118"/>
      <c r="H86" s="118"/>
      <c r="I86" s="711"/>
      <c r="J86" s="711"/>
      <c r="K86" s="711"/>
      <c r="L86" s="711"/>
      <c r="M86" s="711"/>
      <c r="N86" s="711"/>
      <c r="O86" s="113"/>
      <c r="AP86" s="213"/>
      <c r="AQ86" s="213"/>
      <c r="AR86" s="213"/>
      <c r="AS86" s="271"/>
      <c r="AT86" s="271"/>
      <c r="AU86" s="244"/>
      <c r="AV86" s="244"/>
      <c r="AW86" s="244"/>
      <c r="AX86" s="244"/>
      <c r="AY86" s="244"/>
      <c r="AZ86" s="244"/>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row>
    <row r="87" ht="0" hidden="1" customHeight="1">
      <c r="C87" s="114"/>
      <c r="D87" s="118"/>
      <c r="E87" s="118"/>
      <c r="F87" s="118"/>
      <c r="G87" s="118"/>
      <c r="H87" s="118"/>
      <c r="I87" s="711"/>
      <c r="J87" s="711"/>
      <c r="K87" s="711"/>
      <c r="L87" s="711"/>
      <c r="M87" s="711"/>
      <c r="N87" s="711"/>
      <c r="O87" s="113"/>
      <c r="AP87" s="213"/>
      <c r="AQ87" s="213"/>
      <c r="AR87" s="213"/>
      <c r="AS87" s="271"/>
      <c r="AT87" s="271"/>
      <c r="AU87" s="244"/>
      <c r="AV87" s="244"/>
      <c r="AW87" s="244"/>
      <c r="AX87" s="244"/>
      <c r="AY87" s="244"/>
      <c r="AZ87" s="244"/>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row>
    <row r="88" ht="0" hidden="1" customHeight="1">
      <c r="C88" s="114"/>
      <c r="D88" s="118"/>
      <c r="E88" s="118"/>
      <c r="F88" s="118"/>
      <c r="G88" s="118"/>
      <c r="H88" s="118"/>
      <c r="I88" s="711"/>
      <c r="J88" s="711"/>
      <c r="K88" s="711"/>
      <c r="L88" s="711"/>
      <c r="M88" s="711"/>
      <c r="N88" s="711"/>
      <c r="O88" s="113"/>
      <c r="AP88" s="213"/>
      <c r="AQ88" s="213"/>
      <c r="AR88" s="213"/>
      <c r="AS88" s="271"/>
      <c r="AT88" s="271"/>
      <c r="AU88" s="244"/>
      <c r="AV88" s="244"/>
      <c r="AW88" s="244"/>
      <c r="AX88" s="244"/>
      <c r="AY88" s="244"/>
      <c r="AZ88" s="244"/>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row>
    <row r="89" ht="0" hidden="1" customHeight="1">
      <c r="C89" s="114"/>
      <c r="D89" s="118"/>
      <c r="E89" s="118"/>
      <c r="F89" s="118"/>
      <c r="G89" s="118"/>
      <c r="H89" s="118"/>
      <c r="I89" s="711"/>
      <c r="J89" s="711"/>
      <c r="K89" s="711"/>
      <c r="L89" s="711"/>
      <c r="M89" s="711"/>
      <c r="N89" s="711"/>
      <c r="O89" s="113"/>
      <c r="AP89" s="213"/>
      <c r="AQ89" s="213"/>
      <c r="AR89" s="213"/>
      <c r="AS89" s="271"/>
      <c r="AT89" s="271"/>
      <c r="AU89" s="244"/>
      <c r="AV89" s="244"/>
      <c r="AW89" s="244"/>
      <c r="AX89" s="244"/>
      <c r="AY89" s="244"/>
      <c r="AZ89" s="244"/>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row>
    <row r="90" ht="0" hidden="1" customHeight="1">
      <c r="C90" s="114"/>
      <c r="D90" s="118"/>
      <c r="E90" s="118"/>
      <c r="F90" s="118"/>
      <c r="G90" s="118"/>
      <c r="H90" s="118"/>
      <c r="I90" s="711"/>
      <c r="J90" s="711"/>
      <c r="K90" s="711"/>
      <c r="L90" s="711"/>
      <c r="M90" s="711"/>
      <c r="N90" s="711"/>
      <c r="O90" s="113"/>
      <c r="AP90" s="213"/>
      <c r="AQ90" s="213"/>
      <c r="AR90" s="213"/>
      <c r="AS90" s="271"/>
      <c r="AT90" s="271"/>
      <c r="AU90" s="244"/>
      <c r="AV90" s="244"/>
      <c r="AW90" s="244"/>
      <c r="AX90" s="244"/>
      <c r="AY90" s="244"/>
      <c r="AZ90" s="244"/>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row>
    <row r="91" ht="0" hidden="1" customHeight="1">
      <c r="C91" s="114"/>
      <c r="D91" s="118"/>
      <c r="E91" s="118"/>
      <c r="F91" s="118"/>
      <c r="G91" s="118"/>
      <c r="H91" s="118"/>
      <c r="I91" s="711"/>
      <c r="J91" s="711"/>
      <c r="K91" s="711"/>
      <c r="L91" s="711"/>
      <c r="M91" s="711"/>
      <c r="N91" s="711"/>
      <c r="O91" s="113"/>
      <c r="AP91" s="213"/>
      <c r="AQ91" s="213"/>
      <c r="AR91" s="213"/>
      <c r="AS91" s="271"/>
      <c r="AT91" s="271"/>
      <c r="AU91" s="244"/>
      <c r="AV91" s="244"/>
      <c r="AW91" s="244"/>
      <c r="AX91" s="244"/>
      <c r="AY91" s="244"/>
      <c r="AZ91" s="244"/>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row>
    <row r="92" ht="0" hidden="1" customHeight="1">
      <c r="C92" s="114"/>
      <c r="D92" s="118"/>
      <c r="E92" s="118"/>
      <c r="F92" s="118"/>
      <c r="G92" s="118"/>
      <c r="H92" s="118"/>
      <c r="I92" s="711"/>
      <c r="J92" s="711"/>
      <c r="K92" s="711"/>
      <c r="L92" s="711"/>
      <c r="M92" s="711"/>
      <c r="N92" s="711"/>
      <c r="O92" s="113"/>
      <c r="AP92" s="213"/>
      <c r="AQ92" s="213"/>
      <c r="AR92" s="213"/>
      <c r="AS92" s="271"/>
      <c r="AT92" s="271"/>
      <c r="AU92" s="244"/>
      <c r="AV92" s="244"/>
      <c r="AW92" s="244"/>
      <c r="AX92" s="244"/>
      <c r="AY92" s="244"/>
      <c r="AZ92" s="244"/>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row>
    <row r="93" ht="0" hidden="1" customHeight="1">
      <c r="C93" s="114"/>
      <c r="D93" s="118"/>
      <c r="E93" s="118"/>
      <c r="F93" s="118"/>
      <c r="G93" s="118"/>
      <c r="H93" s="118"/>
      <c r="I93" s="711"/>
      <c r="J93" s="711"/>
      <c r="K93" s="711"/>
      <c r="L93" s="711"/>
      <c r="M93" s="711"/>
      <c r="N93" s="711"/>
      <c r="O93" s="113"/>
      <c r="AP93" s="213"/>
      <c r="AQ93" s="213"/>
      <c r="AR93" s="213"/>
      <c r="AS93" s="271"/>
      <c r="AT93" s="271"/>
      <c r="AU93" s="244"/>
      <c r="AV93" s="244"/>
      <c r="AW93" s="244"/>
      <c r="AX93" s="244"/>
      <c r="AY93" s="244"/>
      <c r="AZ93" s="244"/>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row>
    <row r="94" ht="0" hidden="1" customHeight="1">
      <c r="C94" s="114"/>
      <c r="D94" s="118"/>
      <c r="E94" s="118"/>
      <c r="F94" s="118"/>
      <c r="G94" s="118"/>
      <c r="H94" s="118"/>
      <c r="I94" s="711"/>
      <c r="J94" s="711"/>
      <c r="K94" s="711"/>
      <c r="L94" s="711"/>
      <c r="M94" s="711"/>
      <c r="N94" s="711"/>
      <c r="O94" s="113"/>
      <c r="AP94" s="213"/>
      <c r="AQ94" s="213"/>
      <c r="AR94" s="213"/>
      <c r="AS94" s="271"/>
      <c r="AT94" s="271"/>
      <c r="AU94" s="244"/>
      <c r="AV94" s="244"/>
      <c r="AW94" s="244"/>
      <c r="AX94" s="244"/>
      <c r="AY94" s="244"/>
      <c r="AZ94" s="244"/>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row>
    <row r="95" ht="0" hidden="1" customHeight="1">
      <c r="C95" s="114"/>
      <c r="D95" s="118"/>
      <c r="E95" s="118"/>
      <c r="F95" s="118"/>
      <c r="G95" s="118"/>
      <c r="H95" s="118"/>
      <c r="I95" s="711"/>
      <c r="J95" s="711"/>
      <c r="K95" s="711"/>
      <c r="L95" s="711"/>
      <c r="M95" s="711"/>
      <c r="N95" s="711"/>
      <c r="O95" s="113"/>
      <c r="AP95" s="213"/>
      <c r="AQ95" s="213"/>
      <c r="AR95" s="213"/>
      <c r="AS95" s="271"/>
      <c r="AT95" s="271"/>
      <c r="AU95" s="244"/>
      <c r="AV95" s="244"/>
      <c r="AW95" s="244"/>
      <c r="AX95" s="244"/>
      <c r="AY95" s="244"/>
      <c r="AZ95" s="244"/>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row>
    <row r="96" ht="0" hidden="1" customHeight="1">
      <c r="C96" s="114"/>
      <c r="D96" s="118"/>
      <c r="E96" s="118"/>
      <c r="F96" s="118"/>
      <c r="G96" s="118"/>
      <c r="H96" s="118"/>
      <c r="I96" s="711"/>
      <c r="J96" s="711"/>
      <c r="K96" s="711"/>
      <c r="L96" s="711"/>
      <c r="M96" s="711"/>
      <c r="N96" s="711"/>
      <c r="O96" s="113"/>
      <c r="AP96" s="213"/>
      <c r="AQ96" s="213"/>
      <c r="AR96" s="213"/>
      <c r="AS96" s="271"/>
      <c r="AT96" s="271"/>
      <c r="AU96" s="244"/>
      <c r="AV96" s="244"/>
      <c r="AW96" s="244"/>
      <c r="AX96" s="244"/>
      <c r="AY96" s="244"/>
      <c r="AZ96" s="244"/>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row>
    <row r="97" ht="0" hidden="1" customHeight="1">
      <c r="C97" s="114"/>
      <c r="D97" s="118"/>
      <c r="E97" s="118"/>
      <c r="F97" s="118"/>
      <c r="G97" s="118"/>
      <c r="H97" s="118"/>
      <c r="I97" s="711"/>
      <c r="J97" s="711"/>
      <c r="K97" s="711"/>
      <c r="L97" s="711"/>
      <c r="M97" s="711"/>
      <c r="N97" s="711"/>
      <c r="O97" s="113"/>
      <c r="AP97" s="213"/>
      <c r="AQ97" s="213"/>
      <c r="AR97" s="213"/>
      <c r="AS97" s="271"/>
      <c r="AT97" s="271"/>
      <c r="AU97" s="244"/>
      <c r="AV97" s="244"/>
      <c r="AW97" s="244"/>
      <c r="AX97" s="244"/>
      <c r="AY97" s="244"/>
      <c r="AZ97" s="244"/>
      <c r="BA97" s="244"/>
      <c r="BB97" s="244"/>
      <c r="BC97" s="244"/>
      <c r="BD97" s="244"/>
      <c r="BE97" s="244"/>
      <c r="BF97" s="244"/>
      <c r="BG97" s="244"/>
      <c r="BH97" s="244"/>
      <c r="BI97" s="244"/>
      <c r="BJ97" s="244"/>
      <c r="BK97" s="244"/>
      <c r="BL97" s="244"/>
      <c r="BM97" s="244"/>
      <c r="BN97" s="244"/>
      <c r="BO97" s="244"/>
      <c r="BP97" s="244"/>
      <c r="BQ97" s="244"/>
      <c r="BR97" s="244"/>
      <c r="BS97" s="244"/>
      <c r="BT97" s="244"/>
      <c r="BU97" s="244"/>
      <c r="BV97" s="244"/>
      <c r="BW97" s="244"/>
      <c r="BX97" s="244"/>
      <c r="BY97" s="244"/>
      <c r="BZ97" s="244"/>
      <c r="CA97" s="244"/>
      <c r="CB97" s="244"/>
      <c r="CC97" s="244"/>
      <c r="CD97" s="244"/>
      <c r="CE97" s="244"/>
      <c r="CF97" s="244"/>
    </row>
    <row r="98" ht="0" hidden="1" customHeight="1">
      <c r="C98" s="114"/>
      <c r="D98" s="118"/>
      <c r="E98" s="118"/>
      <c r="F98" s="118"/>
      <c r="G98" s="118"/>
      <c r="H98" s="118"/>
      <c r="I98" s="711"/>
      <c r="J98" s="711"/>
      <c r="K98" s="711"/>
      <c r="L98" s="711"/>
      <c r="M98" s="711"/>
      <c r="N98" s="711"/>
      <c r="O98" s="113"/>
      <c r="AP98" s="213"/>
      <c r="AQ98" s="213"/>
      <c r="AR98" s="213"/>
      <c r="AS98" s="271"/>
      <c r="AT98" s="271"/>
      <c r="AU98" s="244"/>
      <c r="AV98" s="244"/>
      <c r="AW98" s="244"/>
      <c r="AX98" s="244"/>
      <c r="AY98" s="244"/>
      <c r="AZ98" s="244"/>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row>
    <row r="99" ht="0" hidden="1" customHeight="1">
      <c r="C99" s="114"/>
      <c r="D99" s="118"/>
      <c r="E99" s="118"/>
      <c r="F99" s="118"/>
      <c r="G99" s="118"/>
      <c r="H99" s="118"/>
      <c r="I99" s="711"/>
      <c r="J99" s="711"/>
      <c r="K99" s="711"/>
      <c r="L99" s="711"/>
      <c r="M99" s="711"/>
      <c r="N99" s="711"/>
      <c r="O99" s="113"/>
      <c r="AP99" s="213"/>
      <c r="AQ99" s="213"/>
      <c r="AR99" s="213"/>
      <c r="AS99" s="271"/>
      <c r="AT99" s="271"/>
      <c r="AU99" s="244"/>
      <c r="AV99" s="244"/>
      <c r="AW99" s="244"/>
      <c r="AX99" s="244"/>
      <c r="AY99" s="244"/>
      <c r="AZ99" s="244"/>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row>
    <row r="100" ht="0" hidden="1" customHeight="1">
      <c r="C100" s="114"/>
      <c r="D100" s="118"/>
      <c r="E100" s="118"/>
      <c r="F100" s="118"/>
      <c r="G100" s="118"/>
      <c r="H100" s="118"/>
      <c r="I100" s="711"/>
      <c r="J100" s="711"/>
      <c r="K100" s="711"/>
      <c r="L100" s="711"/>
      <c r="M100" s="711"/>
      <c r="N100" s="711"/>
      <c r="O100" s="113"/>
      <c r="AP100" s="213"/>
      <c r="AQ100" s="213"/>
      <c r="AR100" s="213"/>
      <c r="AS100" s="271"/>
      <c r="AT100" s="271"/>
      <c r="AU100" s="244"/>
      <c r="AV100" s="244"/>
      <c r="AW100" s="244"/>
      <c r="AX100" s="244"/>
      <c r="AY100" s="244"/>
      <c r="AZ100" s="244"/>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row>
    <row r="101" ht="0" hidden="1" customHeight="1">
      <c r="C101" s="114"/>
      <c r="D101" s="118"/>
      <c r="E101" s="118"/>
      <c r="F101" s="118"/>
      <c r="G101" s="118"/>
      <c r="H101" s="118"/>
      <c r="I101" s="118"/>
      <c r="J101" s="118"/>
      <c r="K101" s="118"/>
      <c r="L101" s="118"/>
      <c r="M101" s="118"/>
      <c r="N101" s="118"/>
      <c r="O101" s="113"/>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row>
    <row r="102" ht="18" customHeight="1">
      <c r="E102" s="115"/>
      <c r="F102" s="115"/>
      <c r="G102" s="115"/>
      <c r="Y102" s="121"/>
      <c r="AB102" s="0"/>
      <c r="AC102" s="0"/>
      <c r="AD102" s="0"/>
      <c r="AE102" s="100"/>
      <c r="AI102" s="0"/>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row>
    <row r="103" ht="39.95" customHeight="1">
      <c r="B103"/>
      <c r="C103" s="712" t="s">
        <v>114</v>
      </c>
      <c r="D103" s="712"/>
      <c r="E103" s="712"/>
      <c r="F103" s="712"/>
      <c r="G103" s="712"/>
      <c r="H103" s="712"/>
      <c r="I103" s="712"/>
      <c r="J103" s="712"/>
      <c r="K103" s="712"/>
      <c r="L103" s="712"/>
      <c r="M103" s="712"/>
      <c r="N103" s="712"/>
      <c r="O103" s="712"/>
      <c r="P103" s="712"/>
      <c r="Q103" s="712"/>
      <c r="R103" s="712"/>
      <c r="S103" s="712"/>
      <c r="T103" s="712"/>
      <c r="U103" s="712"/>
      <c r="V103" s="712"/>
      <c r="W103" s="712"/>
      <c r="X103" s="712"/>
      <c r="Y103" s="712"/>
      <c r="Z103" s="712"/>
      <c r="AA103" s="712"/>
      <c r="AB103" s="712"/>
      <c r="AC103" s="712"/>
      <c r="AD103" s="712"/>
      <c r="AE103" s="712"/>
      <c r="AF103" s="712"/>
      <c r="AG103" s="712"/>
      <c r="AH103" s="712"/>
      <c r="AI103" s="712"/>
      <c r="AJ103" s="712"/>
      <c r="AK103" s="712"/>
      <c r="AL103" s="712"/>
      <c r="AM103" s="712"/>
      <c r="AN103" s="712"/>
      <c r="AO103" s="712"/>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row>
    <row r="104" s="117" customFormat="1" ht="18" customHeight="1">
      <c r="E104" s="63"/>
      <c r="F104" s="63"/>
      <c r="G104" s="63"/>
      <c r="H104"/>
      <c r="I104"/>
      <c r="J104"/>
      <c r="K104"/>
      <c r="L104"/>
      <c r="M104"/>
      <c r="N104"/>
      <c r="O104"/>
      <c r="P104"/>
      <c r="Q104"/>
      <c r="R104"/>
      <c r="S104"/>
      <c r="T104"/>
      <c r="U104"/>
      <c r="V104"/>
      <c r="W104"/>
      <c r="X104"/>
      <c r="Y104"/>
      <c r="Z104"/>
      <c r="AS104" s="247"/>
      <c r="AT104" s="247"/>
      <c r="AU104" s="247"/>
      <c r="AV104" s="247"/>
      <c r="AW104" s="247"/>
      <c r="AX104" s="247"/>
      <c r="AY104" s="247"/>
      <c r="AZ104" s="247"/>
      <c r="BA104" s="247"/>
      <c r="BB104" s="247"/>
      <c r="BC104" s="247"/>
      <c r="BD104" s="247"/>
      <c r="BE104" s="247"/>
      <c r="BF104" s="247"/>
      <c r="BG104" s="247"/>
      <c r="BH104" s="247"/>
      <c r="BI104" s="247"/>
      <c r="BJ104" s="247"/>
      <c r="BK104" s="247"/>
      <c r="BL104" s="247"/>
      <c r="BM104" s="247"/>
      <c r="BN104" s="247"/>
      <c r="BO104" s="247"/>
      <c r="BP104" s="247"/>
      <c r="BQ104" s="247"/>
      <c r="BR104" s="247"/>
      <c r="BS104" s="247"/>
      <c r="BT104" s="247"/>
      <c r="BU104" s="247"/>
      <c r="BV104" s="247"/>
      <c r="BW104" s="247"/>
      <c r="BX104" s="247"/>
      <c r="BY104" s="247"/>
      <c r="BZ104" s="247"/>
      <c r="CA104" s="247"/>
      <c r="CB104" s="247"/>
      <c r="CC104" s="247"/>
      <c r="CD104" s="247"/>
      <c r="CE104" s="247"/>
      <c r="CF104" s="247"/>
    </row>
    <row r="105" ht="12.75" customHeight="1">
      <c r="A105" s="713"/>
      <c r="B105" s="713"/>
      <c r="C105" s="713"/>
      <c r="D105" s="713"/>
      <c r="E105" s="713"/>
      <c r="F105" s="713"/>
      <c r="G105" s="713"/>
      <c r="H105" s="713"/>
      <c r="I105" s="713"/>
      <c r="J105" s="713"/>
      <c r="K105" s="713"/>
      <c r="L105" s="713"/>
      <c r="M105" s="713"/>
      <c r="N105" s="713"/>
      <c r="O105" s="713"/>
      <c r="P105" s="713"/>
      <c r="Q105" s="713"/>
      <c r="R105" s="713"/>
      <c r="S105" s="713"/>
      <c r="T105" s="713"/>
      <c r="U105" s="713"/>
      <c r="V105" s="713"/>
      <c r="W105" s="713"/>
      <c r="X105" s="713"/>
      <c r="Y105" s="713"/>
      <c r="Z105" s="713"/>
      <c r="AA105" s="713"/>
      <c r="AB105" s="713"/>
      <c r="AC105" s="713"/>
      <c r="AD105" s="713"/>
      <c r="AE105" s="713"/>
      <c r="AF105" s="713"/>
      <c r="AG105" s="713"/>
      <c r="AH105" s="713"/>
      <c r="AI105" s="713"/>
      <c r="AJ105" s="713"/>
      <c r="AK105" s="713"/>
      <c r="AL105" s="713"/>
      <c r="AM105" s="713"/>
      <c r="AN105" s="713"/>
      <c r="AO105" s="713"/>
      <c r="AP105" s="713"/>
      <c r="AQ105" s="713"/>
      <c r="AR105" s="713"/>
      <c r="AS105" s="713"/>
      <c r="AT105" s="713"/>
      <c r="AU105" s="713"/>
      <c r="AV105" s="713"/>
      <c r="AW105" s="713"/>
      <c r="AX105" s="713"/>
      <c r="AY105" s="713"/>
      <c r="AZ105" s="713"/>
      <c r="BA105" s="713"/>
      <c r="BB105" s="713"/>
      <c r="BC105" s="713"/>
      <c r="BD105" s="713"/>
      <c r="BE105" s="713"/>
      <c r="BF105" s="713"/>
      <c r="BG105" s="713"/>
      <c r="BH105" s="713"/>
      <c r="BI105" s="713"/>
      <c r="BJ105" s="713"/>
      <c r="BK105" s="713"/>
      <c r="BL105" s="713"/>
      <c r="BM105" s="713"/>
      <c r="BN105" s="713"/>
      <c r="BO105" s="713"/>
      <c r="BP105" s="713"/>
      <c r="BQ105" s="713"/>
      <c r="BR105" s="244"/>
      <c r="BS105" s="244"/>
      <c r="BT105" s="244"/>
      <c r="BU105" s="244"/>
      <c r="BV105" s="244"/>
      <c r="BW105" s="244"/>
      <c r="BX105" s="244"/>
      <c r="BY105" s="244"/>
      <c r="BZ105" s="244"/>
      <c r="CA105" s="244"/>
      <c r="CB105" s="244"/>
      <c r="CC105" s="244"/>
      <c r="CD105" s="244"/>
      <c r="CE105" s="244"/>
      <c r="CF105" s="244"/>
    </row>
    <row r="106" ht="12.75" customHeight="1">
      <c r="A106" s="713"/>
      <c r="B106" s="713"/>
      <c r="C106" s="713"/>
      <c r="D106" s="713"/>
      <c r="E106" s="713"/>
      <c r="F106" s="713"/>
      <c r="G106" s="713"/>
      <c r="H106" s="713"/>
      <c r="I106" s="713"/>
      <c r="J106" s="713"/>
      <c r="K106" s="713"/>
      <c r="L106" s="713"/>
      <c r="M106" s="713"/>
      <c r="N106" s="713"/>
      <c r="O106" s="713"/>
      <c r="P106" s="713"/>
      <c r="Q106" s="713"/>
      <c r="R106" s="713"/>
      <c r="S106" s="713"/>
      <c r="T106" s="713"/>
      <c r="U106" s="713"/>
      <c r="V106" s="713"/>
      <c r="W106" s="713"/>
      <c r="X106" s="713"/>
      <c r="Y106" s="713"/>
      <c r="Z106" s="713"/>
      <c r="AA106" s="713"/>
      <c r="AB106" s="713"/>
      <c r="AC106" s="713"/>
      <c r="AD106" s="713"/>
      <c r="AE106" s="713"/>
      <c r="AF106" s="713"/>
      <c r="AG106" s="713"/>
      <c r="AH106" s="713"/>
      <c r="AI106" s="713"/>
      <c r="AJ106" s="713"/>
      <c r="AK106" s="713"/>
      <c r="AL106" s="713"/>
      <c r="AM106" s="713"/>
      <c r="AN106" s="713"/>
      <c r="AO106" s="713"/>
      <c r="AP106" s="713"/>
      <c r="AQ106" s="713"/>
      <c r="AR106" s="713"/>
      <c r="AS106" s="713"/>
      <c r="AT106" s="713"/>
      <c r="AU106" s="713"/>
      <c r="AV106" s="713"/>
      <c r="AW106" s="713"/>
      <c r="AX106" s="713"/>
      <c r="AY106" s="713"/>
      <c r="AZ106" s="713"/>
      <c r="BA106" s="713"/>
      <c r="BB106" s="713"/>
      <c r="BC106" s="713"/>
      <c r="BD106" s="713"/>
      <c r="BE106" s="713"/>
      <c r="BF106" s="713"/>
      <c r="BG106" s="713"/>
      <c r="BH106" s="713"/>
      <c r="BI106" s="713"/>
      <c r="BJ106" s="713"/>
      <c r="BK106" s="713"/>
      <c r="BL106" s="713"/>
      <c r="BM106" s="713"/>
      <c r="BN106" s="713"/>
      <c r="BO106" s="713"/>
      <c r="BP106" s="713"/>
      <c r="BQ106" s="713"/>
      <c r="BR106" s="244"/>
      <c r="BS106" s="244"/>
      <c r="BT106" s="244"/>
      <c r="BU106" s="244"/>
      <c r="BV106" s="244"/>
      <c r="BW106" s="244"/>
      <c r="BX106" s="244"/>
      <c r="BY106" s="244"/>
      <c r="BZ106" s="244"/>
      <c r="CA106" s="244"/>
      <c r="CB106" s="244"/>
      <c r="CC106" s="244"/>
      <c r="CD106" s="244"/>
      <c r="CE106" s="244"/>
      <c r="CF106" s="244"/>
    </row>
    <row r="107" ht="12.75" customHeight="1">
      <c r="A107" s="713"/>
      <c r="B107" s="713"/>
      <c r="C107" s="713"/>
      <c r="D107" s="713"/>
      <c r="E107" s="713"/>
      <c r="F107" s="713"/>
      <c r="G107" s="713"/>
      <c r="H107" s="713"/>
      <c r="I107" s="713"/>
      <c r="J107" s="713"/>
      <c r="K107" s="713"/>
      <c r="L107" s="713"/>
      <c r="M107" s="713"/>
      <c r="N107" s="713"/>
      <c r="O107" s="713"/>
      <c r="P107" s="713"/>
      <c r="Q107" s="713"/>
      <c r="R107" s="713"/>
      <c r="S107" s="713"/>
      <c r="T107" s="713"/>
      <c r="U107" s="713"/>
      <c r="V107" s="713"/>
      <c r="W107" s="713"/>
      <c r="X107" s="713"/>
      <c r="Y107" s="713"/>
      <c r="Z107" s="713"/>
      <c r="AA107" s="713"/>
      <c r="AB107" s="713"/>
      <c r="AC107" s="713"/>
      <c r="AD107" s="713"/>
      <c r="AE107" s="713"/>
      <c r="AF107" s="713"/>
      <c r="AG107" s="713"/>
      <c r="AH107" s="713"/>
      <c r="AI107" s="713"/>
      <c r="AJ107" s="713"/>
      <c r="AK107" s="713"/>
      <c r="AL107" s="713"/>
      <c r="AM107" s="713"/>
      <c r="AN107" s="713"/>
      <c r="AO107" s="713"/>
      <c r="AP107" s="713"/>
      <c r="AQ107" s="713"/>
      <c r="AR107" s="713"/>
      <c r="AS107" s="713"/>
      <c r="AT107" s="713"/>
      <c r="AU107" s="713"/>
      <c r="AV107" s="713"/>
      <c r="AW107" s="713"/>
      <c r="AX107" s="713"/>
      <c r="AY107" s="713"/>
      <c r="AZ107" s="713"/>
      <c r="BA107" s="713"/>
      <c r="BB107" s="713"/>
      <c r="BC107" s="713"/>
      <c r="BD107" s="713"/>
      <c r="BE107" s="713"/>
      <c r="BF107" s="713"/>
      <c r="BG107" s="713"/>
      <c r="BH107" s="713"/>
      <c r="BI107" s="713"/>
      <c r="BJ107" s="713"/>
      <c r="BK107" s="713"/>
      <c r="BL107" s="713"/>
      <c r="BM107" s="713"/>
      <c r="BN107" s="713"/>
      <c r="BO107" s="713"/>
      <c r="BP107" s="713"/>
      <c r="BQ107" s="713"/>
      <c r="BR107" s="244"/>
      <c r="BS107" s="244"/>
      <c r="BT107" s="244"/>
      <c r="BU107" s="244"/>
      <c r="BV107" s="244"/>
      <c r="BW107" s="244"/>
      <c r="BX107" s="244"/>
      <c r="BY107" s="244"/>
      <c r="BZ107" s="244"/>
      <c r="CA107" s="244"/>
      <c r="CB107" s="244"/>
      <c r="CC107" s="244"/>
      <c r="CD107" s="244"/>
      <c r="CE107" s="244"/>
      <c r="CF107" s="244"/>
    </row>
    <row r="108" ht="12.75" customHeight="1">
      <c r="A108" s="713"/>
      <c r="B108" s="713"/>
      <c r="C108" s="713"/>
      <c r="D108" s="713"/>
      <c r="E108" s="713"/>
      <c r="F108" s="713"/>
      <c r="G108" s="713"/>
      <c r="H108" s="713"/>
      <c r="I108" s="713"/>
      <c r="J108" s="713"/>
      <c r="K108" s="713"/>
      <c r="L108" s="713"/>
      <c r="M108" s="713"/>
      <c r="N108" s="713"/>
      <c r="O108" s="713"/>
      <c r="P108" s="713"/>
      <c r="Q108" s="713"/>
      <c r="R108" s="713"/>
      <c r="S108" s="713"/>
      <c r="T108" s="713"/>
      <c r="U108" s="713"/>
      <c r="V108" s="713"/>
      <c r="W108" s="713"/>
      <c r="X108" s="713"/>
      <c r="Y108" s="713"/>
      <c r="Z108" s="713"/>
      <c r="AA108" s="713"/>
      <c r="AB108" s="713"/>
      <c r="AC108" s="713"/>
      <c r="AD108" s="713"/>
      <c r="AE108" s="713"/>
      <c r="AF108" s="713"/>
      <c r="AG108" s="713"/>
      <c r="AH108" s="713"/>
      <c r="AI108" s="713"/>
      <c r="AJ108" s="713"/>
      <c r="AK108" s="713"/>
      <c r="AL108" s="713"/>
      <c r="AM108" s="713"/>
      <c r="AN108" s="713"/>
      <c r="AO108" s="713"/>
      <c r="AP108" s="713"/>
      <c r="AQ108" s="713"/>
      <c r="AR108" s="713"/>
      <c r="AS108" s="713"/>
      <c r="AT108" s="713"/>
      <c r="AU108" s="713"/>
      <c r="AV108" s="713"/>
      <c r="AW108" s="713"/>
      <c r="AX108" s="713"/>
      <c r="AY108" s="713"/>
      <c r="AZ108" s="713"/>
      <c r="BA108" s="713"/>
      <c r="BB108" s="713"/>
      <c r="BC108" s="713"/>
      <c r="BD108" s="713"/>
      <c r="BE108" s="713"/>
      <c r="BF108" s="713"/>
      <c r="BG108" s="713"/>
      <c r="BH108" s="713"/>
      <c r="BI108" s="713"/>
      <c r="BJ108" s="713"/>
      <c r="BK108" s="713"/>
      <c r="BL108" s="713"/>
      <c r="BM108" s="713"/>
      <c r="BN108" s="713"/>
      <c r="BO108" s="713"/>
      <c r="BP108" s="713"/>
      <c r="BQ108" s="713"/>
      <c r="BR108" s="244"/>
      <c r="BS108" s="244"/>
      <c r="BT108" s="244"/>
      <c r="BU108" s="244"/>
      <c r="BV108" s="244"/>
      <c r="BW108" s="244"/>
      <c r="BX108" s="244"/>
      <c r="BY108" s="244"/>
      <c r="BZ108" s="244"/>
      <c r="CA108" s="244"/>
      <c r="CB108" s="244"/>
      <c r="CC108" s="244"/>
      <c r="CD108" s="244"/>
      <c r="CE108" s="244"/>
      <c r="CF108" s="244"/>
    </row>
    <row r="109" ht="12.75" customHeight="1">
      <c r="A109" s="713"/>
      <c r="B109" s="713"/>
      <c r="C109" s="713"/>
      <c r="D109" s="713"/>
      <c r="E109" s="713"/>
      <c r="F109" s="713"/>
      <c r="G109" s="713"/>
      <c r="H109" s="713"/>
      <c r="I109" s="713"/>
      <c r="J109" s="713"/>
      <c r="K109" s="713"/>
      <c r="L109" s="713"/>
      <c r="M109" s="713"/>
      <c r="N109" s="713"/>
      <c r="O109" s="713"/>
      <c r="P109" s="713"/>
      <c r="Q109" s="713"/>
      <c r="R109" s="713"/>
      <c r="S109" s="713"/>
      <c r="T109" s="713"/>
      <c r="U109" s="713"/>
      <c r="V109" s="713"/>
      <c r="W109" s="713"/>
      <c r="X109" s="713"/>
      <c r="Y109" s="713"/>
      <c r="Z109" s="713"/>
      <c r="AA109" s="713"/>
      <c r="AB109" s="713"/>
      <c r="AC109" s="713"/>
      <c r="AD109" s="713"/>
      <c r="AE109" s="713"/>
      <c r="AF109" s="713"/>
      <c r="AG109" s="713"/>
      <c r="AH109" s="713"/>
      <c r="AI109" s="713"/>
      <c r="AJ109" s="713"/>
      <c r="AK109" s="713"/>
      <c r="AL109" s="713"/>
      <c r="AM109" s="713"/>
      <c r="AN109" s="713"/>
      <c r="AO109" s="713"/>
      <c r="AP109" s="713"/>
      <c r="AQ109" s="713"/>
      <c r="AR109" s="713"/>
      <c r="AS109" s="713"/>
      <c r="AT109" s="713"/>
      <c r="AU109" s="713"/>
      <c r="AV109" s="713"/>
      <c r="AW109" s="713"/>
      <c r="AX109" s="713"/>
      <c r="AY109" s="713"/>
      <c r="AZ109" s="713"/>
      <c r="BA109" s="713"/>
      <c r="BB109" s="713"/>
      <c r="BC109" s="713"/>
      <c r="BD109" s="713"/>
      <c r="BE109" s="713"/>
      <c r="BF109" s="713"/>
      <c r="BG109" s="713"/>
      <c r="BH109" s="713"/>
      <c r="BI109" s="713"/>
      <c r="BJ109" s="713"/>
      <c r="BK109" s="713"/>
      <c r="BL109" s="713"/>
      <c r="BM109" s="713"/>
      <c r="BN109" s="713"/>
      <c r="BO109" s="713"/>
      <c r="BP109" s="713"/>
      <c r="BQ109" s="713"/>
      <c r="BR109" s="244"/>
      <c r="BS109" s="244"/>
      <c r="BT109" s="244"/>
      <c r="BU109" s="244"/>
      <c r="BV109" s="244"/>
      <c r="BW109" s="244"/>
      <c r="BX109" s="244"/>
      <c r="BY109" s="244"/>
      <c r="BZ109" s="244"/>
      <c r="CA109" s="244"/>
      <c r="CB109" s="244"/>
      <c r="CC109" s="244"/>
      <c r="CD109" s="244"/>
      <c r="CE109" s="244"/>
      <c r="CF109" s="244"/>
    </row>
    <row r="110" ht="12.75" customHeight="1">
      <c r="A110" s="713"/>
      <c r="B110" s="713"/>
      <c r="C110" s="713"/>
      <c r="D110" s="713"/>
      <c r="E110" s="713"/>
      <c r="F110" s="713"/>
      <c r="G110" s="713"/>
      <c r="H110" s="713"/>
      <c r="I110" s="713"/>
      <c r="J110" s="713"/>
      <c r="K110" s="713"/>
      <c r="L110" s="713"/>
      <c r="M110" s="713"/>
      <c r="N110" s="713"/>
      <c r="O110" s="713"/>
      <c r="P110" s="713"/>
      <c r="Q110" s="713"/>
      <c r="R110" s="713"/>
      <c r="S110" s="713"/>
      <c r="T110" s="713"/>
      <c r="U110" s="713"/>
      <c r="V110" s="713"/>
      <c r="W110" s="713"/>
      <c r="X110" s="713"/>
      <c r="Y110" s="713"/>
      <c r="Z110" s="713"/>
      <c r="AA110" s="713"/>
      <c r="AB110" s="713"/>
      <c r="AC110" s="713"/>
      <c r="AD110" s="713"/>
      <c r="AE110" s="713"/>
      <c r="AF110" s="713"/>
      <c r="AG110" s="713"/>
      <c r="AH110" s="713"/>
      <c r="AI110" s="713"/>
      <c r="AJ110" s="713"/>
      <c r="AK110" s="713"/>
      <c r="AL110" s="713"/>
      <c r="AM110" s="713"/>
      <c r="AN110" s="713"/>
      <c r="AO110" s="713"/>
      <c r="AP110" s="713"/>
      <c r="AQ110" s="713"/>
      <c r="AR110" s="713"/>
      <c r="AS110" s="713"/>
      <c r="AT110" s="713"/>
      <c r="AU110" s="713"/>
      <c r="AV110" s="713"/>
      <c r="AW110" s="713"/>
      <c r="AX110" s="713"/>
      <c r="AY110" s="713"/>
      <c r="AZ110" s="713"/>
      <c r="BA110" s="713"/>
      <c r="BB110" s="713"/>
      <c r="BC110" s="713"/>
      <c r="BD110" s="713"/>
      <c r="BE110" s="713"/>
      <c r="BF110" s="713"/>
      <c r="BG110" s="713"/>
      <c r="BH110" s="713"/>
      <c r="BI110" s="713"/>
      <c r="BJ110" s="713"/>
      <c r="BK110" s="713"/>
      <c r="BL110" s="713"/>
      <c r="BM110" s="713"/>
      <c r="BN110" s="713"/>
      <c r="BO110" s="713"/>
      <c r="BP110" s="713"/>
      <c r="BQ110" s="713"/>
      <c r="BR110" s="244"/>
      <c r="BS110" s="244"/>
      <c r="BT110" s="244"/>
      <c r="BU110" s="244"/>
      <c r="BV110" s="244"/>
      <c r="BW110" s="244"/>
      <c r="BX110" s="244"/>
      <c r="BY110" s="244"/>
      <c r="BZ110" s="244"/>
      <c r="CA110" s="244"/>
      <c r="CB110" s="244"/>
      <c r="CC110" s="244"/>
      <c r="CD110" s="244"/>
      <c r="CE110" s="244"/>
      <c r="CF110" s="244"/>
    </row>
    <row r="111" ht="12.75" customHeight="1">
      <c r="A111" s="713"/>
      <c r="B111" s="713"/>
      <c r="C111" s="713"/>
      <c r="D111" s="713"/>
      <c r="E111" s="713"/>
      <c r="F111" s="713"/>
      <c r="G111" s="713"/>
      <c r="H111" s="713"/>
      <c r="I111" s="713"/>
      <c r="J111" s="713"/>
      <c r="K111" s="713"/>
      <c r="L111" s="713"/>
      <c r="M111" s="713"/>
      <c r="N111" s="713"/>
      <c r="O111" s="713"/>
      <c r="P111" s="713"/>
      <c r="Q111" s="713"/>
      <c r="R111" s="713"/>
      <c r="S111" s="713"/>
      <c r="T111" s="713"/>
      <c r="U111" s="713"/>
      <c r="V111" s="713"/>
      <c r="W111" s="713"/>
      <c r="X111" s="713"/>
      <c r="Y111" s="713"/>
      <c r="Z111" s="713"/>
      <c r="AA111" s="713"/>
      <c r="AB111" s="713"/>
      <c r="AC111" s="713"/>
      <c r="AD111" s="713"/>
      <c r="AE111" s="713"/>
      <c r="AF111" s="713"/>
      <c r="AG111" s="713"/>
      <c r="AH111" s="713"/>
      <c r="AI111" s="713"/>
      <c r="AJ111" s="713"/>
      <c r="AK111" s="713"/>
      <c r="AL111" s="713"/>
      <c r="AM111" s="713"/>
      <c r="AN111" s="713"/>
      <c r="AO111" s="713"/>
      <c r="AP111" s="713"/>
      <c r="AQ111" s="713"/>
      <c r="AR111" s="713"/>
      <c r="AS111" s="713"/>
      <c r="AT111" s="713"/>
      <c r="AU111" s="713"/>
      <c r="AV111" s="713"/>
      <c r="AW111" s="713"/>
      <c r="AX111" s="713"/>
      <c r="AY111" s="713"/>
      <c r="AZ111" s="713"/>
      <c r="BA111" s="713"/>
      <c r="BB111" s="713"/>
      <c r="BC111" s="713"/>
      <c r="BD111" s="713"/>
      <c r="BE111" s="713"/>
      <c r="BF111" s="713"/>
      <c r="BG111" s="713"/>
      <c r="BH111" s="713"/>
      <c r="BI111" s="713"/>
      <c r="BJ111" s="713"/>
      <c r="BK111" s="713"/>
      <c r="BL111" s="713"/>
      <c r="BM111" s="713"/>
      <c r="BN111" s="713"/>
      <c r="BO111" s="713"/>
      <c r="BP111" s="713"/>
      <c r="BQ111" s="713"/>
      <c r="BR111" s="244"/>
      <c r="BS111" s="244"/>
      <c r="BT111" s="244"/>
      <c r="BU111" s="244"/>
      <c r="BV111" s="244"/>
      <c r="BW111" s="244"/>
      <c r="BX111" s="244"/>
      <c r="BY111" s="244"/>
      <c r="BZ111" s="244"/>
      <c r="CA111" s="244"/>
      <c r="CB111" s="244"/>
      <c r="CC111" s="244"/>
      <c r="CD111" s="244"/>
      <c r="CE111" s="244"/>
      <c r="CF111" s="244"/>
    </row>
    <row r="112" ht="12.75" customHeight="1">
      <c r="A112" s="713"/>
      <c r="B112" s="713"/>
      <c r="C112" s="713"/>
      <c r="D112" s="713"/>
      <c r="E112" s="713"/>
      <c r="F112" s="713"/>
      <c r="G112" s="713"/>
      <c r="H112" s="713"/>
      <c r="I112" s="713"/>
      <c r="J112" s="713"/>
      <c r="K112" s="713"/>
      <c r="L112" s="713"/>
      <c r="M112" s="713"/>
      <c r="N112" s="713"/>
      <c r="O112" s="713"/>
      <c r="P112" s="713"/>
      <c r="Q112" s="713"/>
      <c r="R112" s="713"/>
      <c r="S112" s="713"/>
      <c r="T112" s="713"/>
      <c r="U112" s="713"/>
      <c r="V112" s="713"/>
      <c r="W112" s="713"/>
      <c r="X112" s="713"/>
      <c r="Y112" s="713"/>
      <c r="Z112" s="713"/>
      <c r="AA112" s="713"/>
      <c r="AB112" s="713"/>
      <c r="AC112" s="713"/>
      <c r="AD112" s="713"/>
      <c r="AE112" s="713"/>
      <c r="AF112" s="713"/>
      <c r="AG112" s="713"/>
      <c r="AH112" s="713"/>
      <c r="AI112" s="713"/>
      <c r="AJ112" s="713"/>
      <c r="AK112" s="713"/>
      <c r="AL112" s="713"/>
      <c r="AM112" s="713"/>
      <c r="AN112" s="713"/>
      <c r="AO112" s="713"/>
      <c r="AP112" s="713"/>
      <c r="AQ112" s="713"/>
      <c r="AR112" s="713"/>
      <c r="AS112" s="713"/>
      <c r="AT112" s="713"/>
      <c r="AU112" s="713"/>
      <c r="AV112" s="713"/>
      <c r="AW112" s="713"/>
      <c r="AX112" s="713"/>
      <c r="AY112" s="713"/>
      <c r="AZ112" s="713"/>
      <c r="BA112" s="713"/>
      <c r="BB112" s="713"/>
      <c r="BC112" s="713"/>
      <c r="BD112" s="713"/>
      <c r="BE112" s="713"/>
      <c r="BF112" s="713"/>
      <c r="BG112" s="713"/>
      <c r="BH112" s="713"/>
      <c r="BI112" s="713"/>
      <c r="BJ112" s="713"/>
      <c r="BK112" s="713"/>
      <c r="BL112" s="713"/>
      <c r="BM112" s="713"/>
      <c r="BN112" s="713"/>
      <c r="BO112" s="713"/>
      <c r="BP112" s="713"/>
      <c r="BQ112" s="713"/>
      <c r="BR112" s="244"/>
      <c r="BS112" s="244"/>
      <c r="BT112" s="244"/>
      <c r="BU112" s="244"/>
      <c r="BV112" s="244"/>
      <c r="BW112" s="244"/>
      <c r="BX112" s="244"/>
      <c r="BY112" s="244"/>
      <c r="BZ112" s="244"/>
      <c r="CA112" s="244"/>
      <c r="CB112" s="244"/>
      <c r="CC112" s="244"/>
      <c r="CD112" s="244"/>
      <c r="CE112" s="244"/>
      <c r="CF112" s="244"/>
    </row>
    <row r="113" ht="12.75" customHeight="1">
      <c r="A113" s="713"/>
      <c r="B113" s="713"/>
      <c r="C113" s="713"/>
      <c r="D113" s="713"/>
      <c r="E113" s="713"/>
      <c r="F113" s="713"/>
      <c r="G113" s="713"/>
      <c r="H113" s="713"/>
      <c r="I113" s="713"/>
      <c r="J113" s="713"/>
      <c r="K113" s="713"/>
      <c r="L113" s="713"/>
      <c r="M113" s="713"/>
      <c r="N113" s="713"/>
      <c r="O113" s="713"/>
      <c r="P113" s="713"/>
      <c r="Q113" s="713"/>
      <c r="R113" s="713"/>
      <c r="S113" s="713"/>
      <c r="T113" s="713"/>
      <c r="U113" s="713"/>
      <c r="V113" s="713"/>
      <c r="W113" s="713"/>
      <c r="X113" s="713"/>
      <c r="Y113" s="713"/>
      <c r="Z113" s="713"/>
      <c r="AA113" s="713"/>
      <c r="AB113" s="713"/>
      <c r="AC113" s="713"/>
      <c r="AD113" s="713"/>
      <c r="AE113" s="713"/>
      <c r="AF113" s="713"/>
      <c r="AG113" s="713"/>
      <c r="AH113" s="713"/>
      <c r="AI113" s="713"/>
      <c r="AJ113" s="713"/>
      <c r="AK113" s="713"/>
      <c r="AL113" s="713"/>
      <c r="AM113" s="713"/>
      <c r="AN113" s="713"/>
      <c r="AO113" s="713"/>
      <c r="AP113" s="713"/>
      <c r="AQ113" s="713"/>
      <c r="AR113" s="713"/>
      <c r="AS113" s="713"/>
      <c r="AT113" s="713"/>
      <c r="AU113" s="713"/>
      <c r="AV113" s="713"/>
      <c r="AW113" s="713"/>
      <c r="AX113" s="713"/>
      <c r="AY113" s="713"/>
      <c r="AZ113" s="713"/>
      <c r="BA113" s="713"/>
      <c r="BB113" s="713"/>
      <c r="BC113" s="713"/>
      <c r="BD113" s="713"/>
      <c r="BE113" s="713"/>
      <c r="BF113" s="713"/>
      <c r="BG113" s="713"/>
      <c r="BH113" s="713"/>
      <c r="BI113" s="713"/>
      <c r="BJ113" s="713"/>
      <c r="BK113" s="713"/>
      <c r="BL113" s="713"/>
      <c r="BM113" s="713"/>
      <c r="BN113" s="713"/>
      <c r="BO113" s="713"/>
      <c r="BP113" s="713"/>
      <c r="BQ113" s="713"/>
      <c r="BR113" s="244"/>
      <c r="BS113" s="244"/>
      <c r="BT113" s="244"/>
      <c r="BU113" s="244"/>
      <c r="BV113" s="244"/>
      <c r="BW113" s="244"/>
      <c r="BX113" s="244"/>
      <c r="BY113" s="244"/>
      <c r="BZ113" s="244"/>
      <c r="CA113" s="244"/>
      <c r="CB113" s="244"/>
      <c r="CC113" s="244"/>
      <c r="CD113" s="244"/>
      <c r="CE113" s="244"/>
      <c r="CF113" s="244"/>
    </row>
    <row r="114">
      <c r="A114" s="713"/>
      <c r="B114" s="713"/>
      <c r="C114" s="713"/>
      <c r="D114" s="713"/>
      <c r="E114" s="713"/>
      <c r="F114" s="713"/>
      <c r="G114" s="713"/>
      <c r="H114" s="713"/>
      <c r="I114" s="713"/>
      <c r="J114" s="713"/>
      <c r="K114" s="713"/>
      <c r="L114" s="713"/>
      <c r="M114" s="713"/>
      <c r="N114" s="713"/>
      <c r="O114" s="713"/>
      <c r="P114" s="713"/>
      <c r="Q114" s="713"/>
      <c r="R114" s="713"/>
      <c r="S114" s="713"/>
      <c r="T114" s="713"/>
      <c r="U114" s="713"/>
      <c r="V114" s="713"/>
      <c r="W114" s="713"/>
      <c r="X114" s="713"/>
      <c r="Y114" s="713"/>
      <c r="Z114" s="713"/>
      <c r="AA114" s="713"/>
      <c r="AB114" s="713"/>
      <c r="AC114" s="713"/>
      <c r="AD114" s="713"/>
      <c r="AE114" s="713"/>
      <c r="AF114" s="713"/>
      <c r="AG114" s="713"/>
      <c r="AH114" s="713"/>
      <c r="AI114" s="713"/>
      <c r="AJ114" s="713"/>
      <c r="AK114" s="713"/>
      <c r="AL114" s="713"/>
      <c r="AM114" s="713"/>
      <c r="AN114" s="713"/>
      <c r="AO114" s="713"/>
      <c r="AP114" s="713"/>
      <c r="AQ114" s="713"/>
      <c r="AR114" s="713"/>
      <c r="AS114" s="713"/>
      <c r="AT114" s="713"/>
      <c r="AU114" s="713"/>
      <c r="AV114" s="713"/>
      <c r="AW114" s="713"/>
      <c r="AX114" s="713"/>
      <c r="AY114" s="713"/>
      <c r="AZ114" s="713"/>
      <c r="BA114" s="713"/>
      <c r="BB114" s="713"/>
      <c r="BC114" s="713"/>
      <c r="BD114" s="713"/>
      <c r="BE114" s="713"/>
      <c r="BF114" s="713"/>
      <c r="BG114" s="713"/>
      <c r="BH114" s="713"/>
      <c r="BI114" s="713"/>
      <c r="BJ114" s="713"/>
      <c r="BK114" s="713"/>
      <c r="BL114" s="713"/>
      <c r="BM114" s="713"/>
      <c r="BN114" s="713"/>
      <c r="BO114" s="713"/>
      <c r="BP114" s="713"/>
      <c r="BQ114" s="713"/>
      <c r="BR114" s="244"/>
      <c r="BS114" s="244"/>
      <c r="BT114" s="244"/>
      <c r="BU114" s="244"/>
      <c r="BV114" s="244"/>
      <c r="BW114" s="244"/>
      <c r="BX114" s="244"/>
      <c r="BY114" s="244"/>
      <c r="BZ114" s="244"/>
      <c r="CA114" s="244"/>
      <c r="CB114" s="244"/>
      <c r="CC114" s="244"/>
      <c r="CD114" s="244"/>
      <c r="CE114" s="244"/>
      <c r="CF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row>
  </sheetData>
  <mergeCells count="187">
    <mergeCell ref="I94:N94"/>
    <mergeCell ref="I95:N95"/>
    <mergeCell ref="I96:N96"/>
    <mergeCell ref="I97:N97"/>
    <mergeCell ref="C103:AO103"/>
    <mergeCell ref="I98:N98"/>
    <mergeCell ref="I99:N99"/>
    <mergeCell ref="I100:N100"/>
    <mergeCell ref="I88:N88"/>
    <mergeCell ref="I89:N89"/>
    <mergeCell ref="I90:N90"/>
    <mergeCell ref="I91:N91"/>
    <mergeCell ref="I92:N92"/>
    <mergeCell ref="I93:N93"/>
    <mergeCell ref="I82:N82"/>
    <mergeCell ref="I83:N83"/>
    <mergeCell ref="I84:N84"/>
    <mergeCell ref="I85:N85"/>
    <mergeCell ref="I86:N86"/>
    <mergeCell ref="I87:N87"/>
    <mergeCell ref="I76:N76"/>
    <mergeCell ref="I77:N77"/>
    <mergeCell ref="I78:N78"/>
    <mergeCell ref="I79:N79"/>
    <mergeCell ref="I80:N80"/>
    <mergeCell ref="I81:N81"/>
    <mergeCell ref="I70:N70"/>
    <mergeCell ref="I71:N71"/>
    <mergeCell ref="I72:N72"/>
    <mergeCell ref="I73:N73"/>
    <mergeCell ref="I74:N74"/>
    <mergeCell ref="I75:N75"/>
    <mergeCell ref="I64:N64"/>
    <mergeCell ref="I65:N65"/>
    <mergeCell ref="I66:N66"/>
    <mergeCell ref="I67:N67"/>
    <mergeCell ref="I68:N68"/>
    <mergeCell ref="I69:N69"/>
    <mergeCell ref="I58:N58"/>
    <mergeCell ref="I59:N59"/>
    <mergeCell ref="I60:N60"/>
    <mergeCell ref="I61:N61"/>
    <mergeCell ref="I62:N62"/>
    <mergeCell ref="I63:N63"/>
    <mergeCell ref="I52:N52"/>
    <mergeCell ref="I53:N53"/>
    <mergeCell ref="I54:N54"/>
    <mergeCell ref="I55:N55"/>
    <mergeCell ref="I56:N56"/>
    <mergeCell ref="I57:N57"/>
    <mergeCell ref="I46:N46"/>
    <mergeCell ref="I47:N47"/>
    <mergeCell ref="I48:N48"/>
    <mergeCell ref="I49:N49"/>
    <mergeCell ref="I50:N50"/>
    <mergeCell ref="I51:N51"/>
    <mergeCell ref="I40:N40"/>
    <mergeCell ref="I41:N41"/>
    <mergeCell ref="I42:N42"/>
    <mergeCell ref="I43:N43"/>
    <mergeCell ref="I44:N44"/>
    <mergeCell ref="I45:N45"/>
    <mergeCell ref="I34:N34"/>
    <mergeCell ref="I35:N35"/>
    <mergeCell ref="I36:N36"/>
    <mergeCell ref="I37:N37"/>
    <mergeCell ref="I38:N38"/>
    <mergeCell ref="I39:N39"/>
    <mergeCell ref="I28:N28"/>
    <mergeCell ref="I29:N29"/>
    <mergeCell ref="I30:N30"/>
    <mergeCell ref="I31:N31"/>
    <mergeCell ref="I32:N32"/>
    <mergeCell ref="I33:N33"/>
    <mergeCell ref="I24:N24"/>
    <mergeCell ref="I25:N25"/>
    <mergeCell ref="I22:N22"/>
    <mergeCell ref="I23:N23"/>
    <mergeCell ref="I26:N26"/>
    <mergeCell ref="I27:N27"/>
    <mergeCell ref="S6:T6"/>
    <mergeCell ref="U6:V6"/>
    <mergeCell ref="AV20:BB20"/>
    <mergeCell ref="Q19:W20"/>
    <mergeCell ref="Z19:AF20"/>
    <mergeCell ref="AI19:AO20"/>
    <mergeCell ref="AM7:AN7"/>
    <mergeCell ref="Q7:R7"/>
    <mergeCell ref="S7:T7"/>
    <mergeCell ref="U7:V7"/>
    <mergeCell ref="I7:J7"/>
    <mergeCell ref="K7:L7"/>
    <mergeCell ref="M7:N7"/>
    <mergeCell ref="O7:P7"/>
    <mergeCell ref="AI7:AJ7"/>
    <mergeCell ref="AK7:AL7"/>
    <mergeCell ref="AG9:AH9"/>
    <mergeCell ref="AI9:AJ9"/>
    <mergeCell ref="H5:V5"/>
    <mergeCell ref="I6:J6"/>
    <mergeCell ref="K6:L6"/>
    <mergeCell ref="M6:N6"/>
    <mergeCell ref="O6:P6"/>
    <mergeCell ref="Q6:R6"/>
    <mergeCell ref="AC7:AD7"/>
    <mergeCell ref="AE7:AF7"/>
    <mergeCell ref="AG7:AH7"/>
    <mergeCell ref="AB5:AP5"/>
    <mergeCell ref="AC6:AD6"/>
    <mergeCell ref="AE6:AF6"/>
    <mergeCell ref="AG6:AH6"/>
    <mergeCell ref="AI6:AJ6"/>
    <mergeCell ref="AK6:AL6"/>
    <mergeCell ref="AM6:AN6"/>
    <mergeCell ref="AO6:AP6"/>
    <mergeCell ref="AO7:AP7"/>
    <mergeCell ref="AE8:AF8"/>
    <mergeCell ref="AG11:AH11"/>
    <mergeCell ref="AI11:AJ11"/>
    <mergeCell ref="AG10:AH10"/>
    <mergeCell ref="AI10:AJ10"/>
    <mergeCell ref="AK10:AL10"/>
    <mergeCell ref="AM10:AN10"/>
    <mergeCell ref="AK12:AL12"/>
    <mergeCell ref="AM12:AN12"/>
    <mergeCell ref="AM9:AN9"/>
    <mergeCell ref="AI8:AJ8"/>
    <mergeCell ref="AK8:AL8"/>
    <mergeCell ref="AM8:AN8"/>
    <mergeCell ref="AC8:AD8"/>
    <mergeCell ref="AG8:AH8"/>
    <mergeCell ref="AM11:AN11"/>
    <mergeCell ref="AO11:AP11"/>
    <mergeCell ref="I12:J12"/>
    <mergeCell ref="AE11:AF11"/>
    <mergeCell ref="K12:L12"/>
    <mergeCell ref="M12:N12"/>
    <mergeCell ref="O12:P12"/>
    <mergeCell ref="U9:V9"/>
    <mergeCell ref="AC9:AD9"/>
    <mergeCell ref="AE9:AF9"/>
    <mergeCell ref="U11:V11"/>
    <mergeCell ref="AC11:AD11"/>
    <mergeCell ref="AK11:AL11"/>
    <mergeCell ref="I11:J11"/>
    <mergeCell ref="K11:L11"/>
    <mergeCell ref="M11:N11"/>
    <mergeCell ref="O11:P11"/>
    <mergeCell ref="Q11:R11"/>
    <mergeCell ref="S11:T11"/>
    <mergeCell ref="AO12:AP12"/>
    <mergeCell ref="AO10:AP10"/>
    <mergeCell ref="AK9:AL9"/>
    <mergeCell ref="AO8:AP8"/>
    <mergeCell ref="I9:J9"/>
    <mergeCell ref="K9:L9"/>
    <mergeCell ref="M9:N9"/>
    <mergeCell ref="O9:P9"/>
    <mergeCell ref="Q9:R9"/>
    <mergeCell ref="S9:T9"/>
    <mergeCell ref="AO9:AP9"/>
    <mergeCell ref="I10:J10"/>
    <mergeCell ref="K10:L10"/>
    <mergeCell ref="M10:N10"/>
    <mergeCell ref="O10:P10"/>
    <mergeCell ref="Q10:R10"/>
    <mergeCell ref="S10:T10"/>
    <mergeCell ref="I8:J8"/>
    <mergeCell ref="K8:L8"/>
    <mergeCell ref="M8:N8"/>
    <mergeCell ref="O8:P8"/>
    <mergeCell ref="Q8:R8"/>
    <mergeCell ref="S8:T8"/>
    <mergeCell ref="U10:V10"/>
    <mergeCell ref="AC10:AD10"/>
    <mergeCell ref="AE10:AF10"/>
    <mergeCell ref="U8:V8"/>
    <mergeCell ref="O14:U14"/>
    <mergeCell ref="W14:AC14"/>
    <mergeCell ref="AE14:AK14"/>
    <mergeCell ref="S12:T12"/>
    <mergeCell ref="U12:V12"/>
    <mergeCell ref="AC12:AD12"/>
    <mergeCell ref="AE12:AF12"/>
    <mergeCell ref="AG12:AH12"/>
    <mergeCell ref="AI12:AJ12"/>
    <mergeCell ref="Q12:R12"/>
  </mergeCells>
  <phoneticPr fontId="0" type="noConversion"/>
  <printOptions horizontalCentered="1" verticalCentered="1"/>
  <pageMargins left="0.25" right="0.25" top="0.25" bottom="0.25" header="0.17" footer="0.32"/>
  <pageSetup scale="56" orientation="landscape" r:id="rId1"/>
  <headerFooter alignWithMargins="0">
    <oddHeader/>
    <oddFooter/>
  </headerFooter>
  <drawing r:id="rId5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29005795</Manager>
  <Company>131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634</cp:category>
  <dcterms:created xsi:type="dcterms:W3CDTF">2003-06-11T18:24:11Z</dcterms:created>
  <dc:creator>STR, Inc.</dc:creator>
  <cp:keywords>60180</cp:keywords>
  <cp:lastModifiedBy>Jim Hawkins</cp:lastModifiedBy>
  <cp:lastPrinted>2016-02-16T16:32:42Z</cp:lastPrinted>
  <dcterms:modified xsi:type="dcterms:W3CDTF">2023-04-05T19:50:13Z</dcterms:modified>
  <dc:subject>60180</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