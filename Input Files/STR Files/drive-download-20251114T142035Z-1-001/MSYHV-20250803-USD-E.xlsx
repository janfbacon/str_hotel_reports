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4.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8.xml" ContentType="application/vnd.openxmlformats-officedocument.spreadsheetml.worksheet+xml"/>
  <Override PartName="/xl/printerSettings/printerSettings19.bin" ContentType="application/vnd.openxmlformats-officedocument.spreadsheetml.printerSettings"/>
  <Override PartName="/xl/drawings/drawing20.xml" ContentType="application/vnd.openxmlformats-officedocument.drawing+xml"/>
  <Override PartName="/xl/worksheets/sheet22.xml" ContentType="application/vnd.openxmlformats-officedocument.spreadsheetml.worksheet+xml"/>
  <Override PartName="/xl/printerSettings/printerSettings23.bin" ContentType="application/vnd.openxmlformats-officedocument.spreadsheetml.printerSettings"/>
  <Override PartName="/xl/drawings/drawing24.xml" ContentType="application/vnd.openxmlformats-officedocument.drawing+xml"/>
  <Override PartName="/xl/charts/chart25.xml" ContentType="application/vnd.openxmlformats-officedocument.drawingml.chart+xml"/>
  <Override PartName="/xl/drawings/drawing26.xml" ContentType="application/vnd.openxmlformats-officedocument.drawing+xml"/>
  <Override PartName="/xl/charts/chart27.xml" ContentType="application/vnd.openxmlformats-officedocument.drawingml.chart+xml"/>
  <Override PartName="/xl/drawings/drawing28.xml" ContentType="application/vnd.openxmlformats-officedocument.drawing+xml"/>
  <Override PartName="/xl/charts/chart29.xml" ContentType="application/vnd.openxmlformats-officedocument.drawingml.chart+xml"/>
  <Override PartName="/xl/drawings/drawing30.xml" ContentType="application/vnd.openxmlformats-officedocument.drawing+xml"/>
  <Override PartName="/xl/charts/chart31.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21"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6026"/>
  <workbookPr codeName="ThisWorkbook"/>
  <bookViews>
    <workbookView xWindow="4080" yWindow="1170" windowWidth="21420" windowHeight="11400" tabRatio="898"/>
  </bookViews>
  <sheets>
    <sheet name="Table of Contents" sheetId="1" r:id="rId3"/>
    <sheet name="Glance" sheetId="19" r:id="rId2"/>
    <sheet name="Daily by Month" sheetId="20" r:id="rId1"/>
    <sheet name="Occ" sheetId="4" r:id="rId4"/>
    <sheet name="ADR" sheetId="6" r:id="rId5"/>
    <sheet name="RevPAR" sheetId="8" r:id="rId6"/>
    <sheet name="Response" sheetId="12" r:id="rId7"/>
    <sheet name="Help" sheetId="18" r:id="rId8"/>
  </sheets>
  <definedNames>
    <definedName name="_xlnm.Print_Area" localSheetId="4">ADR!$A$1:$AI$61</definedName>
    <definedName name="_xlnm.Print_Area" localSheetId="7">Help!$A$1:$J$16</definedName>
    <definedName name="_xlnm.Print_Area" localSheetId="3">Occ!$A$1:$AI$58</definedName>
    <definedName name="_xlnm.Print_Area" localSheetId="6">Response!$A$1:$AZ$104</definedName>
    <definedName name="_xlnm.Print_Area" localSheetId="5">RevPAR!$A$1:$AI$61</definedName>
    <definedName name="_xlnm.Print_Area" localSheetId="0">'Table of Contents'!$A$1:$H$48</definedName>
    <definedName name="_xlnm.Print_Area" localSheetId="1">Glance!$A$1:$AC$42</definedName>
    <definedName name="_xlnm.Print_Area" localSheetId="2">'Daily by Month'!$A$1:$AL$63</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<sst xmlns="http://schemas.openxmlformats.org/spreadsheetml/2006/main" xmlns:r="http://schemas.openxmlformats.org/officeDocument/2006/relationships" xmlns:xdr="http://schemas.openxmlformats.org/drawingml/2006/spreadsheetDrawing" xmlns:s="http://schemas.openxmlformats.org/officeDocument/2006/sharedTypes" xmlns:vt="http://schemas.openxmlformats.org/officeDocument/2006/docPropsVTypes" xmlns:a="http://schemas.openxmlformats.org/drawingml/2006/main" xmlns:cdr="http://schemas.openxmlformats.org/drawingml/2006/chartDrawing" count="969" uniqueCount="114">
  <si>
    <t>Sun</t>
  </si>
  <si>
    <t>Mon</t>
  </si>
  <si>
    <t>Tue</t>
  </si>
  <si>
    <t>Wed</t>
  </si>
  <si>
    <t>Thu</t>
  </si>
  <si>
    <t>Fri</t>
  </si>
  <si>
    <t>Sat</t>
  </si>
  <si>
    <t>This Year</t>
  </si>
  <si>
    <t>Last Year</t>
  </si>
  <si>
    <t>Last Week</t>
  </si>
  <si>
    <t>ADR ($)</t>
  </si>
  <si>
    <t>RevPAR ($)</t>
  </si>
  <si>
    <t>ADR</t>
  </si>
  <si>
    <t>RevPAR</t>
  </si>
  <si>
    <t>Last 4 Sundays</t>
  </si>
  <si>
    <t>Last 4 Mondays</t>
  </si>
  <si>
    <t>Last 4 Tuesdays</t>
  </si>
  <si>
    <t>Last 4 Wednesdays</t>
  </si>
  <si>
    <t>Last 4 Thursdays</t>
  </si>
  <si>
    <t>Last 4 Fridays</t>
  </si>
  <si>
    <t>Last 4 Saturdays</t>
  </si>
  <si>
    <t>Transient</t>
  </si>
  <si>
    <t>Index</t>
  </si>
  <si>
    <t>Total</t>
  </si>
  <si>
    <t>Group</t>
  </si>
  <si>
    <t>Contract</t>
  </si>
  <si>
    <t>Comp Set</t>
  </si>
  <si>
    <t>Comp set</t>
  </si>
  <si>
    <t>Occupancy</t>
  </si>
  <si>
    <t>Other</t>
  </si>
  <si>
    <t>F&amp;B</t>
  </si>
  <si>
    <t>MTD</t>
  </si>
  <si>
    <t>My Property</t>
  </si>
  <si>
    <t>Room</t>
  </si>
  <si>
    <t>STR ID</t>
  </si>
  <si>
    <t>Name</t>
  </si>
  <si>
    <t>City, State</t>
  </si>
  <si>
    <t>PLUS Default</t>
  </si>
  <si>
    <t>Plus Default</t>
  </si>
  <si>
    <t>Monday</t>
  </si>
  <si>
    <t>Sunday</t>
  </si>
  <si>
    <t>Tuesday</t>
  </si>
  <si>
    <t>Wednesday</t>
  </si>
  <si>
    <t>Thursday</t>
  </si>
  <si>
    <t>Friday</t>
  </si>
  <si>
    <t>Saturday</t>
  </si>
  <si>
    <t xml:space="preserve"> </t>
  </si>
  <si>
    <t>Mo</t>
  </si>
  <si>
    <t>Tu</t>
  </si>
  <si>
    <t>Su</t>
  </si>
  <si>
    <t>We</t>
  </si>
  <si>
    <t>Th</t>
  </si>
  <si>
    <t>Fr</t>
  </si>
  <si>
    <t>Sa</t>
  </si>
  <si>
    <t>Occupancy (%)</t>
  </si>
  <si>
    <t>Rank</t>
  </si>
  <si>
    <t>Your rank</t>
  </si>
  <si>
    <t>% Chg</t>
  </si>
  <si>
    <t>Current</t>
  </si>
  <si>
    <t>Run</t>
  </si>
  <si>
    <t>Week</t>
  </si>
  <si>
    <t>Running 28 Days</t>
  </si>
  <si>
    <t>% of Total Revenue</t>
  </si>
  <si>
    <t>My Prop</t>
  </si>
  <si>
    <t>This Week</t>
  </si>
  <si>
    <t>TY</t>
  </si>
  <si>
    <t>LY</t>
  </si>
  <si>
    <t>Property</t>
  </si>
  <si>
    <t>Compset</t>
  </si>
  <si>
    <t>Running 28 Days (by Day of Week)</t>
  </si>
  <si>
    <t>Rooms</t>
  </si>
  <si>
    <t>Open Date</t>
  </si>
  <si>
    <t>Current Week</t>
  </si>
  <si>
    <t>Phone</t>
  </si>
  <si>
    <t>Zip</t>
  </si>
  <si>
    <t>Occ (%)</t>
  </si>
  <si>
    <t>Occ % Chg</t>
  </si>
  <si>
    <t>Index % Chg</t>
  </si>
  <si>
    <t>ADR % Chg</t>
  </si>
  <si>
    <t>RevPAR % Chg</t>
  </si>
  <si>
    <t>Start Date - EndDate</t>
  </si>
  <si>
    <t>Combined Summary - My Hotel vs. Comp Set 2</t>
  </si>
  <si>
    <t>Exchange Rate*</t>
  </si>
  <si>
    <t>Revenue Per Room Sold</t>
  </si>
  <si>
    <t xml:space="preserve">Segmentation </t>
  </si>
  <si>
    <t>Additional Revenue</t>
  </si>
  <si>
    <t>Percent Change (%)</t>
  </si>
  <si>
    <t xml:space="preserve">     % Chg</t>
  </si>
  <si>
    <t>WD</t>
  </si>
  <si>
    <t>WE</t>
  </si>
  <si>
    <t>Weekly STAR</t>
  </si>
  <si>
    <t>Index (MPI)</t>
  </si>
  <si>
    <t>Index (ARI)</t>
  </si>
  <si>
    <t>Index (RGI)</t>
  </si>
  <si>
    <t>Total (TrevPOR**)</t>
  </si>
  <si>
    <t xml:space="preserve">** TrevPOR = Total revenue per occupied room (sum of Room, F&amp;B, and Other revenue divided by total occupied rooms).  </t>
  </si>
  <si>
    <t>Job #</t>
  </si>
  <si>
    <t>Title</t>
  </si>
  <si>
    <t>Options</t>
  </si>
  <si>
    <t>Table Of Contents</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</si>
  <si>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</si>
  <si>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</si>
  <si>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</si>
  <si>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</si>
  <si>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</si>
  <si>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</si>
  <si>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</si>
  <si>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</si>
  <si>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</si>
  <si>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</si>
  <si>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</si>
  <si>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</si>
  <si>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</si>
  <si>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</si>
  <si>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</si>
  <si>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Weekly Performance at a Glance - My Property vs. Competitive Set</t>
  </si>
  <si>
    <t>Weekly Performance at a Glance</t>
  </si>
  <si>
    <t>Tab 3 - Daily Data for the Month</t>
  </si>
  <si>
    <t>Daily Data for the Month</t>
  </si>
  <si>
    <t>Tab 4 - Occupancy Perspectives</t>
  </si>
  <si>
    <t>Occupancy Perspectives</t>
  </si>
  <si>
    <t>Tab 5 - ADR Perspectives</t>
  </si>
  <si>
    <t>ADR Perspectives</t>
  </si>
  <si>
    <t>Tab 6 - RevPAR Perspectives</t>
  </si>
  <si>
    <t>RevPAR Perspectives</t>
  </si>
  <si>
    <t>Tab 7 - Response Report</t>
  </si>
  <si>
    <t>Response Report</t>
  </si>
  <si>
    <t>Help</t>
  </si>
  <si>
    <t>Weekly STAR Report : TownePlace Suites New Orleans Harvey/West Bank</t>
  </si>
  <si>
    <t>STR # 64264 / Created August 12, 2025</t>
  </si>
  <si>
    <t>For the Week of: August 03, 2025 - August 09, 2025</t>
  </si>
  <si>
    <t>Currency: US Dollar  /  Competitive Set Data Excludes Subject Property</t>
  </si>
  <si>
    <t>TownePlace Suites New Orleans Harvey/West Bank        1800 Central Blvd        Harvey, LA 70058        Phone: (504) 495-1144</t>
  </si>
  <si>
    <t>STR # 64264        Chain ID: MSYHV        Mgt Co: Desai Hotel Group        Owner: Desai Hotel Group</t>
  </si>
  <si>
    <t>For the Week of: August 03, 2025 - August 09, 2025        Date Created: August 12, 2025        Competitive Set Data Excludes Subject Property</t>
  </si>
  <si>
    <t>August 03, 2025 - August 09, 2025</t>
  </si>
  <si>
    <t>Aug</t>
  </si>
  <si>
    <t>Submarket Scale: New Orleans East/Slidell, LA Midscale Chains</t>
  </si>
  <si>
    <t>Submarket Scale</t>
  </si>
  <si>
    <t>Jul</t>
  </si>
  <si>
    <t>2 of 5</t>
  </si>
  <si>
    <t>1 of 5</t>
  </si>
  <si>
    <t>4 of 5</t>
  </si>
  <si>
    <t>3 of 5</t>
  </si>
  <si>
    <t>Submarket Scale*: New Orleans East/Slidell, LA Midscale Chains</t>
  </si>
  <si>
    <t>For the Week of: August 03, 2025 - August 09, 2025        Date Created: August 12, 2025</t>
  </si>
  <si>
    <t>TownePlace Suites New Orleans Harvey/West Bank</t>
  </si>
  <si>
    <t>Harvey, LA</t>
  </si>
  <si>
    <t>70058</t>
  </si>
  <si>
    <t>(504) 495-1144</t>
  </si>
  <si>
    <t>201601</t>
  </si>
  <si>
    <t>X</t>
  </si>
  <si>
    <t>Best Western Plus Westbank</t>
  </si>
  <si>
    <t>(504) 366-5369</t>
  </si>
  <si>
    <t>198406</t>
  </si>
  <si>
    <t>Holiday Inn Express Harvey Marrero</t>
  </si>
  <si>
    <t>(504) 366-5055</t>
  </si>
  <si>
    <t>200304</t>
  </si>
  <si>
    <t>Comfort Suites Harvey New Orleans West</t>
  </si>
  <si>
    <t>(504) 361-9110</t>
  </si>
  <si>
    <t>201105</t>
  </si>
  <si>
    <t>Hampton by Hilton Inn &amp; Suites Harvey/New Orleans West Bank</t>
  </si>
  <si>
    <t>(504) 324-5688</t>
  </si>
  <si>
    <t>201404</t>
  </si>
  <si>
    <t>Data received: X = Both years, T = This year only, L = Last year only, blank = No data</t>
  </si>
  <si>
    <t>2025 (This Year)</t>
  </si>
  <si>
    <t>Jun/Jul</t>
  </si>
  <si>
    <t>Jul/Aug</t>
  </si>
  <si>
    <t>2024 (Last Year)</t>
  </si>
  <si>
    <t>- Independence Day</t>
  </si>
  <si>
    <t>July 4th</t>
  </si>
  <si>
    <t>- Labor Day</t>
  </si>
  <si>
    <t>Sep 2nd</t>
  </si>
  <si>
    <t>- Rosh Hashanah</t>
  </si>
  <si>
    <t>Oct 3rd</t>
  </si>
  <si>
    <t>- Yom Kippur</t>
  </si>
  <si>
    <t>Oct 12th</t>
  </si>
  <si>
    <t>- Columbus Day</t>
  </si>
  <si>
    <t>Oct 14th</t>
  </si>
  <si>
    <t>- Halloween</t>
  </si>
  <si>
    <t>Oct 31st</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</si>
</sst>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mmm\ dd"/>
    <numFmt numFmtId="170" formatCode="[$-409]d\-mmm;@"/>
  </numFmts>
  <fonts count="84">
    <font>
      <sz val="10"/>
      <name val="Arial"/>
    </font>
    <font>
      <sz val="10"/>
      <name val="Arial"/>
    </font>
    <font>
      <u/>
      <sz val="10"/>
      <color indexed="36"/>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sz val="25"/>
      <name val="Arial"/>
      <family val="2"/>
    </font>
    <font>
      <b/>
      <sz val="13"/>
      <name val="Arial"/>
      <family val="2"/>
    </font>
    <font>
      <sz val="7.5"/>
      <name val="Arial"/>
      <family val="2"/>
    </font>
    <font>
      <sz val="10"/>
      <color indexed="8"/>
      <name val="Arial"/>
      <family val="2"/>
    </font>
    <font>
      <b/>
      <sz val="12"/>
      <color indexed="9"/>
      <name val="Arial"/>
      <family val="2"/>
    </font>
    <font>
      <b/>
      <sz val="14"/>
      <name val="Arial"/>
      <family val="2"/>
    </font>
    <font>
      <b/>
      <sz val="12"/>
      <color indexed="8"/>
      <name val="Arial"/>
      <family val="2"/>
    </font>
    <font>
      <b/>
      <i/>
      <sz val="14"/>
      <color indexed="10"/>
      <name val="Arial"/>
      <family val="2"/>
    </font>
    <font>
      <b/>
      <sz val="14"/>
      <color indexed="8"/>
      <name val="Arial"/>
      <family val="2"/>
    </font>
    <font>
      <b/>
      <sz val="9"/>
      <color indexed="8"/>
      <name val="Arial"/>
      <family val="2"/>
    </font>
    <font>
      <sz val="13"/>
      <name val="Arial"/>
      <family val="2"/>
    </font>
    <font>
      <sz val="8"/>
      <name val="Wingdings"/>
      <charset val="2"/>
    </font>
    <font>
      <b/>
      <sz val="18"/>
      <name val="Arial"/>
      <family val="2"/>
    </font>
    <font>
      <b/>
      <sz val="14"/>
      <color indexed="9"/>
      <name val="Arial"/>
      <family val="2"/>
    </font>
    <font>
      <sz val="10"/>
      <color indexed="9"/>
      <name val="Arial"/>
      <family val="2"/>
    </font>
    <font>
      <sz val="10"/>
      <color indexed="55"/>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12"/>
      <name val="Arial"/>
      <family val="2"/>
    </font>
    <font>
      <sz val="7"/>
      <name val="Webdings"/>
      <family val="1"/>
      <charset val="2"/>
    </font>
    <font>
      <sz val="8"/>
      <name val="Arial"/>
      <family val="2"/>
    </font>
    <font>
      <b/>
      <sz val="12"/>
      <name val="Arial"/>
      <family val="2"/>
    </font>
    <font>
      <sz val="10"/>
      <name val="Webdings"/>
      <family val="1"/>
      <charset val="2"/>
    </font>
    <font>
      <sz val="11"/>
      <name val="Arial"/>
      <family val="2"/>
    </font>
    <font>
      <b/>
      <sz val="11"/>
      <name val="Arial"/>
      <family val="2"/>
    </font>
    <font>
      <b/>
      <sz val="11"/>
      <name val="Arial"/>
      <family val="2"/>
    </font>
    <font>
      <sz val="13"/>
      <name val="Arial"/>
      <family val="2"/>
    </font>
    <font>
      <b/>
      <sz val="13"/>
      <name val="Arial"/>
      <family val="2"/>
    </font>
    <font>
      <sz val="10"/>
      <name val="Webdings"/>
      <family val="1"/>
      <charset val="2"/>
    </font>
    <font>
      <u/>
      <sz val="10"/>
      <color indexed="39"/>
      <name val="Arial"/>
      <family val="2"/>
    </font>
    <font>
      <sz val="24"/>
      <color indexed="9"/>
      <name val="Arial"/>
      <family val="2"/>
    </font>
    <font>
      <b/>
      <sz val="14"/>
      <name val="Arial"/>
      <family val="2"/>
    </font>
    <font>
      <b/>
      <sz val="14"/>
      <color indexed="8"/>
      <name val="Arial"/>
      <family val="2"/>
    </font>
    <font>
      <sz val="10"/>
      <color indexed="8"/>
      <name val="Arial"/>
      <family val="2"/>
    </font>
    <font>
      <b/>
      <sz val="9"/>
      <color indexed="8"/>
      <name val="Arial"/>
      <family val="2"/>
    </font>
    <font>
      <sz val="10"/>
      <color indexed="9"/>
      <name val="Arial"/>
      <family val="2"/>
    </font>
    <font>
      <b/>
      <sz val="14"/>
      <color indexed="9"/>
      <name val="Arial"/>
      <family val="2"/>
    </font>
    <font>
      <b/>
      <sz val="13"/>
      <color indexed="9"/>
      <name val="Arial"/>
      <family val="2"/>
    </font>
    <font>
      <b/>
      <sz val="16"/>
      <color indexed="9"/>
      <name val="Arial"/>
      <family val="2"/>
    </font>
    <font>
      <sz val="11"/>
      <color indexed="55"/>
      <name val="Arial"/>
      <family val="2"/>
    </font>
    <font>
      <sz val="10"/>
      <name val="Arial"/>
      <family val="2"/>
    </font>
    <font>
      <b/>
      <sz val="16"/>
      <name val="Arial"/>
      <family val="2"/>
    </font>
    <font>
      <sz val="13"/>
      <color indexed="9"/>
      <name val="Arial"/>
      <family val="2"/>
    </font>
    <font>
      <b/>
      <sz val="12"/>
      <color indexed="38"/>
      <name val="Arial"/>
      <family val="2"/>
    </font>
    <font>
      <sz val="9"/>
      <color indexed="9"/>
      <name val="Arial"/>
      <family val="2"/>
    </font>
    <font>
      <sz val="12"/>
      <color indexed="38"/>
      <name val="Arial"/>
      <family val="2"/>
    </font>
    <font>
      <sz val="24"/>
      <color indexed="9"/>
      <name val="Arial"/>
      <family val="2"/>
    </font>
    <font>
      <b/>
      <sz val="10"/>
      <color indexed="9"/>
      <name val="Arial"/>
      <family val="2"/>
    </font>
    <font>
      <sz val="8"/>
      <color indexed="9"/>
      <name val="Arial"/>
      <family val="2"/>
    </font>
    <font>
      <sz val="19"/>
      <color indexed="9"/>
      <name val="Arial"/>
      <family val="2"/>
    </font>
    <font>
      <sz val="10"/>
      <name val="Arial"/>
      <family val="2"/>
    </font>
    <font>
      <u/>
      <sz val="11"/>
      <name val="Arial"/>
      <family val="2"/>
    </font>
    <font>
      <b/>
      <i/>
      <sz val="10"/>
      <color indexed="10"/>
      <name val="Arial"/>
      <family val="2"/>
    </font>
    <font>
      <b/>
      <i/>
      <sz val="9"/>
      <color indexed="10"/>
      <name val="Arial"/>
      <family val="2"/>
    </font>
    <font>
      <sz val="11"/>
      <color theme="1"/>
      <name val="Calibri"/>
      <family val="2"/>
      <scheme val="minor"/>
    </font>
    <font>
      <u/>
      <sz val="11"/>
      <color theme="10"/>
      <name val="Calibri"/>
      <family val="2"/>
      <scheme val="minor"/>
    </font>
    <font>
      <sz val="11"/>
      <color rgb="FFFF0000"/>
      <name val="Calibri"/>
      <family val="2"/>
      <scheme val="minor"/>
    </font>
    <font>
      <b/>
      <sz val="18"/>
      <color theme="1"/>
      <name val="Arial"/>
      <family val="2"/>
    </font>
    <font>
      <sz val="18"/>
      <color theme="1"/>
      <name val="Arial"/>
      <family val="2"/>
    </font>
    <font>
      <b/>
      <sz val="11"/>
      <color theme="1"/>
      <name val="Arial"/>
      <family val="2"/>
    </font>
    <font>
      <sz val="11"/>
      <color theme="1"/>
      <name val="Arial"/>
      <family val="2"/>
    </font>
    <font>
      <u/>
      <color rgb="FF0000FF"/>
    </font>
    <font/>
    <font>
      <color rgb="FFFFFFFF"/>
    </font>
    <font>
      <color rgb="FFA0A0A0"/>
    </font>
  </fonts>
  <fills count="18">
    <fill>
      <patternFill patternType="none"/>
    </fill>
    <fill>
      <patternFill patternType="gray125"/>
    </fill>
    <fill>
      <patternFill patternType="solid">
        <fgColor indexed="59"/>
      </patternFill>
    </fill>
    <fill>
      <patternFill patternType="solid">
        <fgColor indexed="9"/>
      </patternFill>
    </fill>
    <fill>
      <patternFill patternType="solid">
        <fgColor indexed="63"/>
      </patternFill>
    </fill>
    <fill>
      <patternFill patternType="solid">
        <fgColor indexed="55"/>
      </patternFill>
    </fill>
    <fill>
      <patternFill patternType="solid">
        <fgColor indexed="22"/>
      </patternFill>
    </fill>
    <fill>
      <patternFill patternType="solid">
        <fgColor indexed="61"/>
      </patternFill>
    </fill>
    <fill>
      <patternFill patternType="solid">
        <fgColor indexed="60"/>
      </patternFill>
    </fill>
    <fill>
      <patternFill patternType="solid">
        <fgColor indexed="57"/>
      </patternFill>
    </fill>
    <fill>
      <patternFill patternType="solid">
        <fgColor indexed="31"/>
      </patternFill>
    </fill>
    <fill>
      <patternFill patternType="solid">
        <fgColor indexed="39"/>
      </patternFill>
    </fill>
    <fill>
      <patternFill patternType="solid">
        <fgColor indexed="45"/>
      </patternFill>
    </fill>
    <fill>
      <patternFill patternType="solid">
        <fgColor theme="0"/>
      </patternFill>
    </fill>
    <fill>
      <patternFill patternType="solid">
        <fgColor rgb="FFFFFFFF"/>
      </patternFill>
    </fill>
    <fill>
      <patternFill patternType="solid">
        <fgColor rgb="FFFFFFFF"/>
      </patternFill>
    </fill>
    <fill>
      <patternFill patternType="solid">
        <fgColor rgb="FFEAEAEA"/>
      </patternFill>
    </fill>
    <fill>
      <patternFill patternType="solid">
        <fgColor rgb="FFA0A0A0"/>
      </patternFill>
    </fill>
  </fills>
  <borders count="56">
    <border>
      <left>
        <color/>
      </left>
      <right>
        <color/>
      </right>
      <top>
        <color/>
      </top>
      <bottom>
        <color/>
      </bottom>
      <diagonal>
        <color/>
      </diagonal>
    </border>
    <border>
      <left style="thin">
        <color indexed="39"/>
      </left>
      <right style="thin">
        <color indexed="39"/>
      </right>
      <top style="thin">
        <color indexed="39"/>
      </top>
      <bottom style="thin">
        <color indexed="39"/>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style="medium">
        <color indexed="64"/>
      </left>
      <right>
        <color/>
      </right>
      <top>
        <color/>
      </top>
      <bottom>
        <color/>
      </bottom>
      <diagonal>
        <color/>
      </diagonal>
    </border>
    <border>
      <left>
        <color/>
      </left>
      <right style="medium">
        <color indexed="64"/>
      </right>
      <top>
        <color/>
      </top>
      <bottom>
        <color/>
      </bottom>
      <diagonal>
        <color/>
      </diagonal>
    </border>
    <border>
      <left>
        <color/>
      </left>
      <right style="thin">
        <color indexed="55"/>
      </right>
      <top>
        <color/>
      </top>
      <bottom>
        <color/>
      </bottom>
      <diagonal>
        <color/>
      </diagonal>
    </border>
    <border>
      <left>
        <color/>
      </left>
      <right style="thin">
        <color indexed="55"/>
      </right>
      <top>
        <color/>
      </top>
      <bottom style="thin">
        <color indexed="55"/>
      </bottom>
      <diagonal>
        <color/>
      </diagonal>
    </border>
    <border>
      <left>
        <color/>
      </left>
      <right style="thin">
        <color indexed="55"/>
      </right>
      <top style="thin">
        <color indexed="55"/>
      </top>
      <bottom>
        <color/>
      </bottom>
      <diagonal>
        <color/>
      </diagonal>
    </border>
    <border>
      <left>
        <color/>
      </left>
      <right>
        <color/>
      </right>
      <top>
        <color/>
      </top>
      <bottom style="thin">
        <color indexed="55"/>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style="medium">
        <color indexed="64"/>
      </left>
      <right>
        <color/>
      </right>
      <top>
        <color/>
      </top>
      <bottom style="medium">
        <color indexed="64"/>
      </bottom>
      <diagonal>
        <color/>
      </diagonal>
    </border>
    <border>
      <left>
        <color/>
      </left>
      <right>
        <color/>
      </right>
      <top>
        <color/>
      </top>
      <bottom style="medium">
        <color indexed="64"/>
      </bottom>
      <diagonal>
        <color/>
      </diagonal>
    </border>
    <border>
      <left>
        <color/>
      </left>
      <right style="medium">
        <color indexed="64"/>
      </right>
      <top>
        <color/>
      </top>
      <bottom style="medium">
        <color indexed="64"/>
      </bottom>
      <diagonal>
        <color/>
      </diagonal>
    </border>
    <border>
      <left>
        <color/>
      </left>
      <right>
        <color/>
      </right>
      <top>
        <color/>
      </top>
      <bottom style="thin">
        <color indexed="64"/>
      </bottom>
      <diagonal>
        <color/>
      </diagonal>
    </border>
    <border>
      <left style="thin">
        <color indexed="64"/>
      </left>
      <right>
        <color/>
      </right>
      <top>
        <color/>
      </top>
      <bottom>
        <color/>
      </bottom>
      <diagonal>
        <color/>
      </diagonal>
    </border>
    <border>
      <left style="thin">
        <color indexed="64"/>
      </left>
      <right>
        <color/>
      </right>
      <top>
        <color/>
      </top>
      <bottom style="thin">
        <color indexed="64"/>
      </bottom>
      <diagonal>
        <color/>
      </diagonal>
    </border>
    <border>
      <left style="thin">
        <color indexed="39"/>
      </left>
      <right>
        <color/>
      </right>
      <top>
        <color/>
      </top>
      <bottom>
        <color/>
      </bottom>
      <diagonal>
        <color/>
      </diagonal>
    </border>
    <border>
      <left>
        <color/>
      </left>
      <right style="thin">
        <color indexed="39"/>
      </right>
      <top>
        <color/>
      </top>
      <bottom>
        <color/>
      </bottom>
      <diagonal>
        <color/>
      </diagonal>
    </border>
    <border>
      <left style="thin">
        <color indexed="39"/>
      </left>
      <right>
        <color/>
      </right>
      <top style="thin">
        <color indexed="39"/>
      </top>
      <bottom>
        <color/>
      </bottom>
      <diagonal>
        <color/>
      </diagonal>
    </border>
    <border>
      <left>
        <color/>
      </left>
      <right>
        <color/>
      </right>
      <top style="thin">
        <color indexed="39"/>
      </top>
      <bottom>
        <color/>
      </bottom>
      <diagonal>
        <color/>
      </diagonal>
    </border>
    <border>
      <left>
        <color/>
      </left>
      <right style="thin">
        <color indexed="39"/>
      </right>
      <top style="thin">
        <color indexed="39"/>
      </top>
      <bottom>
        <color/>
      </bottom>
      <diagonal>
        <color/>
      </diagonal>
    </border>
    <border>
      <left style="thin">
        <color indexed="39"/>
      </left>
      <right>
        <color/>
      </right>
      <top>
        <color/>
      </top>
      <bottom style="thin">
        <color indexed="39"/>
      </bottom>
      <diagonal>
        <color/>
      </diagonal>
    </border>
    <border>
      <left>
        <color/>
      </left>
      <right>
        <color/>
      </right>
      <top>
        <color/>
      </top>
      <bottom style="thin">
        <color indexed="39"/>
      </bottom>
      <diagonal>
        <color/>
      </diagonal>
    </border>
    <border>
      <left>
        <color/>
      </left>
      <right style="thin">
        <color indexed="39"/>
      </right>
      <top>
        <color/>
      </top>
      <bottom style="thin">
        <color indexed="39"/>
      </bottom>
      <diagonal>
        <color/>
      </diagonal>
    </border>
    <border>
      <left style="thin">
        <color indexed="39"/>
      </left>
      <right>
        <color/>
      </right>
      <top style="thin">
        <color indexed="39"/>
      </top>
      <bottom style="thin">
        <color indexed="39"/>
      </bottom>
      <diagonal>
        <color/>
      </diagonal>
    </border>
    <border>
      <left>
        <color/>
      </left>
      <right>
        <color/>
      </right>
      <top style="thin">
        <color indexed="39"/>
      </top>
      <bottom style="thin">
        <color indexed="39"/>
      </bottom>
      <diagonal>
        <color/>
      </diagonal>
    </border>
    <border>
      <left>
        <color/>
      </left>
      <right style="thin">
        <color indexed="39"/>
      </right>
      <top style="thin">
        <color indexed="39"/>
      </top>
      <bottom style="thin">
        <color indexed="39"/>
      </bottom>
      <diagonal>
        <color/>
      </diagonal>
    </border>
    <border>
      <left style="thin">
        <color indexed="39"/>
      </left>
      <right style="thin">
        <color indexed="39"/>
      </right>
      <top style="thin">
        <color indexed="39"/>
      </top>
      <bottom>
        <color/>
      </bottom>
      <diagonal>
        <color/>
      </diagonal>
    </border>
    <border>
      <left style="thin">
        <color indexed="39"/>
      </left>
      <right style="thin">
        <color indexed="39"/>
      </right>
      <top>
        <color/>
      </top>
      <bottom>
        <color/>
      </bottom>
      <diagonal>
        <color/>
      </diagonal>
    </border>
    <border>
      <left style="thin">
        <color indexed="39"/>
      </left>
      <right style="thin">
        <color indexed="39"/>
      </right>
      <top>
        <color/>
      </top>
      <bottom style="thin">
        <color indexed="39"/>
      </bottom>
      <diagonal>
        <color/>
      </diagonal>
    </border>
    <border>
      <left style="medium">
        <color indexed="64"/>
      </left>
      <right>
        <color/>
      </right>
      <top style="thin">
        <color indexed="39"/>
      </top>
      <bottom>
        <color/>
      </bottom>
      <diagonal>
        <color/>
      </diagonal>
    </border>
    <border>
      <left style="medium">
        <color indexed="64"/>
      </left>
      <right>
        <color/>
      </right>
      <top>
        <color/>
      </top>
      <bottom style="thin">
        <color indexed="39"/>
      </bottom>
      <diagonal>
        <color/>
      </diagonal>
    </border>
    <border>
      <left>
        <color/>
      </left>
      <right style="medium">
        <color indexed="64"/>
      </right>
      <top style="thin">
        <color indexed="39"/>
      </top>
      <bottom>
        <color/>
      </bottom>
      <diagonal>
        <color/>
      </diagonal>
    </border>
    <border>
      <left>
        <color/>
      </left>
      <right style="medium">
        <color indexed="64"/>
      </right>
      <top>
        <color/>
      </top>
      <bottom style="thin">
        <color indexed="39"/>
      </bottom>
      <diagonal>
        <color/>
      </diagonal>
    </border>
    <border>
      <left style="medium">
        <color indexed="64"/>
      </left>
      <right>
        <color/>
      </right>
      <top style="thin">
        <color indexed="39"/>
      </top>
      <bottom style="thin">
        <color indexed="39"/>
      </bottom>
      <diagonal>
        <color/>
      </diagonal>
    </border>
    <border>
      <left>
        <color/>
      </left>
      <right style="medium">
        <color indexed="64"/>
      </right>
      <top style="thin">
        <color indexed="39"/>
      </top>
      <bottom style="thin">
        <color indexed="39"/>
      </bottom>
      <diagonal>
        <color/>
      </diagonal>
    </border>
    <border>
      <left style="medium">
        <color indexed="64"/>
      </left>
      <right>
        <color/>
      </right>
      <top style="medium">
        <color indexed="64"/>
      </top>
      <bottom>
        <color/>
      </bottom>
      <diagonal>
        <color/>
      </diagonal>
    </border>
    <border>
      <left>
        <color/>
      </left>
      <right>
        <color/>
      </right>
      <top style="medium">
        <color indexed="64"/>
      </top>
      <bottom>
        <color/>
      </bottom>
      <diagonal>
        <color/>
      </diagonal>
    </border>
    <border>
      <left>
        <color/>
      </left>
      <right style="medium">
        <color indexed="64"/>
      </right>
      <top style="medium">
        <color indexed="64"/>
      </top>
      <bottom>
        <color/>
      </bottom>
      <diagonal>
        <color/>
      </diagonal>
    </border>
    <border>
      <left style="medium">
        <color indexed="64"/>
      </left>
      <right style="medium">
        <color indexed="64"/>
      </right>
      <top style="medium">
        <color indexed="64"/>
      </top>
      <bottom>
        <color/>
      </bottom>
      <diagonal>
        <color/>
      </diagonal>
    </border>
    <border>
      <left style="medium">
        <color indexed="64"/>
      </left>
      <right style="medium">
        <color indexed="64"/>
      </right>
      <top>
        <color/>
      </top>
      <bottom>
        <color/>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0" diagonalDown="0">
      <left>
        <color auto="1" indexed="64"/>
      </left>
      <right>
        <color auto="1" indexed="64"/>
      </right>
      <top>
        <color auto="1" indexed="64"/>
      </top>
      <bottom>
        <color auto="1" indexed="64"/>
      </bottom>
      <diagonal>
        <color/>
      </diagonal>
    </border>
    <border diagonalUp="1" diagonalDown="1">
      <left>
        <color rgb="FFFFFFFF"/>
      </left>
      <right>
        <color rgb="FFFFFFFF"/>
      </right>
      <top>
        <color rgb="FFFFFFFF"/>
      </top>
      <bottom>
        <color rgb="FFFFFFFF"/>
      </bottom>
      <diagonal>
        <color rgb="FFFFFFFF"/>
      </diagonal>
    </border>
    <border>
      <left style="thin">
        <color rgb="FFA0A0A0"/>
      </left>
      <right>
        <color/>
      </right>
      <top style="thin">
        <color indexed="39"/>
      </top>
      <bottom>
        <color/>
      </bottom>
      <diagonal>
        <color/>
      </diagonal>
    </border>
    <border>
      <left style="thin">
        <color rgb="FFA0A0A0"/>
      </left>
      <right>
        <color/>
      </right>
      <top>
        <color/>
      </top>
      <bottom>
        <color/>
      </bottom>
      <diagonal>
        <color/>
      </diagonal>
    </border>
    <border>
      <left style="thin">
        <color rgb="FFA0A0A0"/>
      </left>
      <right>
        <color/>
      </right>
      <top>
        <color/>
      </top>
      <bottom style="thin">
        <color indexed="39"/>
      </bottom>
      <diagonal>
        <color/>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s>
  <cellStyleXfs count="176">
    <xf numFmtId="0" fontId="1" fillId="0" borderId="0" applyFont="1" applyFill="1"/>
    <xf numFmtId="43" fontId="1" fillId="0" borderId="0" applyNumberFormat="1" applyFont="1" applyFill="1" applyBorder="0"/>
    <xf numFmtId="43" fontId="1" fillId="0" borderId="0" applyNumberFormat="1" applyFont="1" applyFill="1" applyBorder="0"/>
    <xf numFmtId="44" fontId="1" fillId="0" borderId="0" applyNumberFormat="1" applyFont="1" applyFill="1" applyBorder="0"/>
    <xf numFmtId="0" fontId="1" fillId="0" borderId="0" applyFont="1" applyFill="1"/>
    <xf numFmtId="43" fontId="1" fillId="0" borderId="0" applyNumberFormat="1" applyFont="1" applyFill="1" applyBorder="0"/>
    <xf numFmtId="41" fontId="1" fillId="0" borderId="0" applyNumberFormat="1" applyFont="1" applyFill="1" applyBorder="0"/>
    <xf numFmtId="44" fontId="1" fillId="0" borderId="0" applyNumberFormat="1" applyFont="1" applyFill="1" applyBorder="0"/>
    <xf numFmtId="42"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74" fillId="0" borderId="0" applyNumberFormat="0" applyFont="1" applyFill="1" applyBorder="0"/>
    <xf numFmtId="0" fontId="73" fillId="0" borderId="0" applyFont="1" applyFill="1"/>
    <xf numFmtId="9" fontId="1" fillId="0" borderId="0" applyNumberFormat="1" applyFont="1" applyFill="1" applyBorder="0"/>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9" fillId="3" borderId="3" applyNumberFormat="0" applyFont="1" applyFill="1" applyBorder="1"/>
    <xf numFmtId="0" fontId="69" fillId="6" borderId="3" applyNumberFormat="0" applyFont="1" applyFill="1" applyBorder="1"/>
    <xf numFmtId="0" fontId="65" fillId="2" borderId="0" applyNumberFormat="0" applyFont="1" applyFill="1" applyBorder="0" applyAlignment="1">
      <alignment horizontal="center" wrapText="1"/>
    </xf>
    <xf numFmtId="0" fontId="65" fillId="2" borderId="0" applyNumberFormat="0" applyFont="1" applyFill="1" applyBorder="0" applyAlignment="1">
      <alignment horizontal="center" wrapText="1"/>
    </xf>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6" borderId="2" applyNumberFormat="0" applyFont="1" applyFill="1" applyBorder="1"/>
    <xf numFmtId="0" fontId="1" fillId="6" borderId="3" applyNumberFormat="0" applyFont="1" applyFill="1" applyBorder="1"/>
    <xf numFmtId="0" fontId="1" fillId="6" borderId="4" applyNumberFormat="0" applyFont="1" applyFill="1" applyBorder="1"/>
    <xf numFmtId="0" fontId="1" fillId="6" borderId="5" applyNumberFormat="0" applyFont="1" applyFill="1" applyBorder="1"/>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xf>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applyAlignment="1">
      <alignment horizontal="left"/>
    </xf>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56" fillId="7" borderId="0" applyNumberFormat="0" applyFont="1" applyFill="1" applyBorder="0" applyAlignment="1">
      <alignment horizontal="left"/>
    </xf>
    <xf numFmtId="0" fontId="61" fillId="8" borderId="0" applyNumberFormat="0" applyFont="1" applyFill="1" applyBorder="0" applyAlignment="1">
      <alignment horizontal="center"/>
    </xf>
    <xf numFmtId="0" fontId="65" fillId="2" borderId="0" applyNumberFormat="0" applyFont="1" applyFill="1" applyBorder="0" applyAlignment="1">
      <alignment horizontal="center" wrapText="1"/>
    </xf>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80" borderId="0" applyFont="1" applyAlignment="1">
      <alignment vertical="top"/>
    </xf>
  </cellStyleXfs>
  <cellXfs count="680">
    <xf numFmtId="0" fontId="1" fillId="0" borderId="0" applyFont="1" applyFill="1"/>
    <xf numFmtId="0" fontId="1" fillId="3" borderId="0" applyFont="1" applyFill="1"/>
    <xf numFmtId="0" fontId="1" fillId="3" borderId="0" applyFont="1" applyFill="1" applyAlignment="1">
      <alignment horizontal="centerContinuous"/>
    </xf>
    <xf numFmtId="0" fontId="1" fillId="3" borderId="0" applyFont="1" applyFill="1" applyAlignment="1">
      <alignment horizontal="center"/>
    </xf>
    <xf numFmtId="0" fontId="69" fillId="0" borderId="0" applyFont="1" applyFill="1"/>
    <xf numFmtId="0" fontId="35" fillId="0" borderId="0" applyFont="1" applyFill="1"/>
    <xf numFmtId="0" fontId="37" fillId="0" borderId="0" applyFont="1" applyFill="1"/>
    <xf numFmtId="164" fontId="37" fillId="3" borderId="0" applyNumberFormat="1" applyFont="1" applyFill="1" applyAlignment="1">
      <alignment horizontal="left"/>
    </xf>
    <xf numFmtId="0" fontId="40" fillId="0" borderId="0" applyFont="1" applyFill="1"/>
    <xf numFmtId="0" fontId="36" fillId="0" borderId="0" applyFont="1" applyFill="1"/>
    <xf numFmtId="164" fontId="69" fillId="3" borderId="0" applyNumberFormat="1" applyFont="1" applyFill="1" applyAlignment="1">
      <alignment horizontal="left"/>
    </xf>
    <xf numFmtId="0" fontId="46" fillId="3" borderId="0" applyFont="1" applyFill="1" applyAlignment="1">
      <alignment horizontal="left"/>
    </xf>
    <xf numFmtId="0" fontId="1" fillId="3" borderId="0" applyFont="1" applyFill="1" applyAlignment="1">
      <alignment horizontal="right"/>
    </xf>
    <xf numFmtId="0" fontId="17" fillId="3" borderId="0" applyFont="1" applyFill="1"/>
    <xf numFmtId="0" fontId="32" fillId="3" borderId="0" applyFont="1" applyFill="1" applyAlignment="1">
      <alignment horizontal="centerContinuous"/>
    </xf>
    <xf numFmtId="0" fontId="32" fillId="3" borderId="0" applyFont="1" applyFill="1" applyAlignment="1">
      <alignment horizontal="right"/>
    </xf>
    <xf numFmtId="0" fontId="7" fillId="3" borderId="0" applyFont="1" applyFill="1" applyAlignment="1">
      <alignment horizontal="right"/>
    </xf>
    <xf numFmtId="0" fontId="42" fillId="3" borderId="0" applyFont="1" applyFill="1" applyAlignment="1">
      <alignment horizontal="left"/>
    </xf>
    <xf numFmtId="44" fontId="69" fillId="3" borderId="0" applyNumberFormat="1" applyFont="1" applyFill="1" applyAlignment="1">
      <alignment horizontal="right"/>
    </xf>
    <xf numFmtId="165" fontId="69" fillId="3" borderId="0" applyNumberFormat="1" applyFont="1" applyFill="1" applyAlignment="1">
      <alignment horizontal="right"/>
    </xf>
    <xf numFmtId="0" fontId="35" fillId="3" borderId="0" applyFont="1" applyFill="1" applyAlignment="1">
      <alignment horizontal="left"/>
    </xf>
    <xf numFmtId="0" fontId="1" fillId="0" borderId="0" applyFont="1" applyFill="1" applyAlignment="1">
      <alignment horizontal="center"/>
    </xf>
    <xf numFmtId="0" fontId="42" fillId="0" borderId="0" applyFont="1" applyFill="1"/>
    <xf numFmtId="0" fontId="69" fillId="0" borderId="0" applyFont="1" applyFill="1" applyAlignment="1">
      <alignment horizontal="center"/>
    </xf>
    <xf numFmtId="0" fontId="33" fillId="3" borderId="0" applyFont="1" applyFill="1" applyAlignment="1">
      <alignment horizontal="right"/>
    </xf>
    <xf numFmtId="0" fontId="52" fillId="0" borderId="0" applyFont="1" applyFill="1"/>
    <xf numFmtId="0" fontId="1" fillId="0" borderId="0" applyFont="1" applyFill="1" applyAlignment="1">
      <alignment horizontal="centerContinuous"/>
    </xf>
    <xf numFmtId="0" fontId="1" fillId="0" borderId="6" applyFont="1" applyFill="1" applyBorder="1"/>
    <xf numFmtId="0" fontId="1" fillId="0" borderId="7" applyFont="1" applyFill="1" applyBorder="1"/>
    <xf numFmtId="0" fontId="50" fillId="0" borderId="0" applyFont="1" applyFill="1"/>
    <xf numFmtId="0" fontId="1" fillId="0" borderId="0" applyFont="1" applyFill="1" applyAlignment="1">
      <alignment horizontal="left"/>
    </xf>
    <xf numFmtId="166" fontId="42" fillId="0" borderId="8" applyNumberFormat="1" applyFont="1" applyFill="1" applyBorder="1" applyAlignment="1">
      <alignment horizontal="center"/>
    </xf>
    <xf numFmtId="166" fontId="42" fillId="10" borderId="8" applyNumberFormat="1" applyFont="1" applyFill="1" applyBorder="1" applyAlignment="1">
      <alignment horizontal="center"/>
    </xf>
    <xf numFmtId="166" fontId="42" fillId="10" borderId="9" applyNumberFormat="1" applyFont="1" applyFill="1" applyBorder="1" applyAlignment="1">
      <alignment horizontal="center"/>
    </xf>
    <xf numFmtId="166" fontId="42" fillId="0" borderId="10" applyNumberFormat="1" applyFont="1" applyFill="1" applyBorder="1" applyAlignment="1">
      <alignment horizontal="center"/>
    </xf>
    <xf numFmtId="166" fontId="42" fillId="0" borderId="0" applyNumberFormat="1" applyFont="1" applyFill="1" applyAlignment="1">
      <alignment horizontal="center"/>
    </xf>
    <xf numFmtId="166" fontId="42" fillId="10" borderId="0" applyNumberFormat="1" applyFont="1" applyFill="1" applyAlignment="1">
      <alignment horizontal="center"/>
    </xf>
    <xf numFmtId="166" fontId="42" fillId="10" borderId="11" applyNumberFormat="1" applyFont="1" applyFill="1" applyBorder="1" applyAlignment="1">
      <alignment horizontal="center"/>
    </xf>
    <xf numFmtId="166" fontId="42" fillId="0" borderId="12" applyNumberFormat="1" applyFont="1" applyFill="1" applyBorder="1" applyAlignment="1">
      <alignment horizontal="center"/>
    </xf>
    <xf numFmtId="0" fontId="35" fillId="0" borderId="0" applyFont="1" applyFill="1" applyAlignment="1">
      <alignment vertical="center"/>
    </xf>
    <xf numFmtId="0" fontId="69" fillId="0" borderId="0" applyFont="1" applyFill="1" applyAlignment="1">
      <alignment horizontal="right"/>
    </xf>
    <xf numFmtId="0" fontId="51" fillId="0" borderId="0" applyFont="1" applyFill="1"/>
    <xf numFmtId="0" fontId="53" fillId="0" borderId="0" applyFont="1" applyFill="1" applyAlignment="1">
      <alignment horizontal="center"/>
    </xf>
    <xf numFmtId="166" fontId="42" fillId="0" borderId="0" applyNumberFormat="1" applyFont="1" applyFill="1"/>
    <xf numFmtId="0" fontId="69" fillId="0" borderId="6" applyFont="1" applyFill="1" applyBorder="1" applyAlignment="1">
      <alignment horizontal="center"/>
    </xf>
    <xf numFmtId="0" fontId="69" fillId="0" borderId="7" applyFont="1" applyFill="1" applyBorder="1" applyAlignment="1">
      <alignment horizontal="center"/>
    </xf>
    <xf numFmtId="0" fontId="42" fillId="0" borderId="13" applyFont="1" applyFill="1" applyBorder="1" applyAlignment="1">
      <alignment horizontal="right"/>
    </xf>
    <xf numFmtId="0" fontId="42" fillId="10" borderId="14" applyFont="1" applyFill="1" applyBorder="1" applyAlignment="1">
      <alignment horizontal="right"/>
    </xf>
    <xf numFmtId="0" fontId="42" fillId="10" borderId="15" applyFont="1" applyFill="1" applyBorder="1" applyAlignment="1">
      <alignment horizontal="right"/>
    </xf>
    <xf numFmtId="0" fontId="42" fillId="0" borderId="15" applyFont="1" applyFill="1" applyBorder="1" applyAlignment="1">
      <alignment horizontal="right"/>
    </xf>
    <xf numFmtId="0" fontId="45" fillId="0" borderId="0" applyFont="1" applyFill="1" applyAlignment="1">
      <alignment horizontal="center"/>
    </xf>
    <xf numFmtId="0" fontId="45" fillId="0" borderId="6" applyFont="1" applyFill="1" applyBorder="1" applyAlignment="1">
      <alignment horizontal="center"/>
    </xf>
    <xf numFmtId="0" fontId="45" fillId="0" borderId="7" applyFont="1" applyFill="1" applyBorder="1" applyAlignment="1">
      <alignment horizontal="center"/>
    </xf>
    <xf numFmtId="0" fontId="42" fillId="0" borderId="0" applyFont="1" applyFill="1" applyAlignment="1">
      <alignment horizontal="right"/>
    </xf>
    <xf numFmtId="1" fontId="42" fillId="0" borderId="0" applyNumberFormat="1" applyFont="1" applyFill="1" applyAlignment="1">
      <alignment horizontal="left"/>
    </xf>
    <xf numFmtId="166" fontId="42" fillId="0" borderId="9" applyNumberFormat="1" applyFont="1" applyFill="1" applyBorder="1" applyAlignment="1">
      <alignment horizontal="center"/>
    </xf>
    <xf numFmtId="166" fontId="42" fillId="0" borderId="11" applyNumberFormat="1" applyFont="1" applyFill="1" applyBorder="1" applyAlignment="1">
      <alignment horizontal="center"/>
    </xf>
    <xf numFmtId="0" fontId="32" fillId="3" borderId="0" applyFont="1" applyFill="1" applyAlignment="1">
      <alignment horizontal="right" vertical="center"/>
    </xf>
    <xf numFmtId="0" fontId="1" fillId="3" borderId="0" applyFont="1" applyFill="1" applyAlignment="1">
      <alignment horizontal="center" vertical="center"/>
    </xf>
    <xf numFmtId="1" fontId="69" fillId="0" borderId="0" applyNumberFormat="1" applyFont="1" applyFill="1"/>
    <xf numFmtId="1" fontId="69" fillId="10" borderId="16" applyNumberFormat="1" applyFont="1" applyFill="1" applyBorder="1" applyAlignment="1">
      <alignment horizontal="center"/>
    </xf>
    <xf numFmtId="1" fontId="69" fillId="10" borderId="17" applyNumberFormat="1" applyFont="1" applyFill="1" applyBorder="1" applyAlignment="1">
      <alignment horizontal="center"/>
    </xf>
    <xf numFmtId="1" fontId="69" fillId="10" borderId="18" applyNumberFormat="1" applyFont="1" applyFill="1" applyBorder="1" applyAlignment="1">
      <alignment horizontal="center"/>
    </xf>
    <xf numFmtId="166" fontId="26" fillId="0" borderId="0" applyNumberFormat="1" applyFont="1" applyFill="1" applyAlignment="1">
      <alignment horizontal="right"/>
    </xf>
    <xf numFmtId="0" fontId="32" fillId="3" borderId="0" applyFont="1" applyFill="1"/>
    <xf numFmtId="0" fontId="32" fillId="3" borderId="0" applyFont="1" applyFill="1" applyAlignment="1">
      <alignment horizontal="center"/>
    </xf>
    <xf numFmtId="0" fontId="69" fillId="3" borderId="0" applyFont="1" applyFill="1" applyAlignment="1">
      <alignment horizontal="center"/>
    </xf>
    <xf numFmtId="165" fontId="69" fillId="3" borderId="0" applyNumberFormat="1" applyFont="1" applyFill="1" applyAlignment="1">
      <alignment horizontal="center"/>
    </xf>
    <xf numFmtId="166" fontId="69" fillId="3" borderId="0" applyNumberFormat="1" applyFont="1" applyFill="1" applyAlignment="1">
      <alignment horizontal="center"/>
    </xf>
    <xf numFmtId="166" fontId="69" fillId="3" borderId="0" applyNumberFormat="1" applyFont="1" applyFill="1" applyAlignment="1">
      <alignment horizontal="center"/>
    </xf>
    <xf numFmtId="167" fontId="69" fillId="3" borderId="0" applyNumberFormat="1" applyFont="1" applyFill="1" applyAlignment="1">
      <alignment horizontal="center"/>
    </xf>
    <xf numFmtId="167" fontId="69" fillId="3" borderId="0" applyNumberFormat="1" applyFont="1" applyFill="1" applyAlignment="1">
      <alignment horizontal="center"/>
    </xf>
    <xf numFmtId="0" fontId="27" fillId="3" borderId="0" applyFont="1" applyFill="1" applyAlignment="1">
      <alignment horizontal="left"/>
    </xf>
    <xf numFmtId="166" fontId="69" fillId="3" borderId="0" applyNumberFormat="1" applyFont="1" applyFill="1" applyBorder="1" applyAlignment="1">
      <alignment horizontal="center"/>
    </xf>
    <xf numFmtId="166" fontId="69" fillId="3" borderId="0" applyNumberFormat="1" applyFont="1" applyFill="1" applyAlignment="1">
      <alignment horizontal="right"/>
    </xf>
    <xf numFmtId="166" fontId="1" fillId="3" borderId="0" applyNumberFormat="1" applyFont="1" applyFill="1"/>
    <xf numFmtId="167" fontId="42" fillId="3" borderId="0" applyNumberFormat="1" applyFont="1" applyFill="1" applyAlignment="1">
      <alignment horizontal="left"/>
    </xf>
    <xf numFmtId="167" fontId="1" fillId="3" borderId="0" applyNumberFormat="1" applyFont="1" applyFill="1"/>
    <xf numFmtId="0" fontId="37" fillId="3" borderId="0" applyFont="1" applyFill="1"/>
    <xf numFmtId="0" fontId="69" fillId="3" borderId="0" applyFont="1" applyFill="1" applyAlignment="1">
      <alignment horizontal="right"/>
    </xf>
    <xf numFmtId="0" fontId="40" fillId="3" borderId="0" applyFont="1" applyFill="1" applyAlignment="1">
      <alignment horizontal="centerContinuous"/>
    </xf>
    <xf numFmtId="166" fontId="69" fillId="10" borderId="0" applyNumberFormat="1" applyFont="1" applyFill="1" applyBorder="1" applyAlignment="1">
      <alignment horizontal="center"/>
    </xf>
    <xf numFmtId="166" fontId="69" fillId="10" borderId="6" applyNumberFormat="1" applyFont="1" applyFill="1" applyBorder="1" applyAlignment="1">
      <alignment horizontal="center"/>
    </xf>
    <xf numFmtId="166" fontId="69" fillId="10" borderId="7" applyNumberFormat="1" applyFont="1" applyFill="1" applyBorder="1" applyAlignment="1">
      <alignment horizontal="center"/>
    </xf>
    <xf numFmtId="0" fontId="54" fillId="0" borderId="0" applyFont="1" applyFill="1"/>
    <xf numFmtId="2" fontId="69" fillId="10" borderId="0" applyNumberFormat="1" applyFont="1" applyFill="1" applyBorder="1" applyAlignment="1">
      <alignment horizontal="center"/>
    </xf>
    <xf numFmtId="2" fontId="69" fillId="10" borderId="6" applyNumberFormat="1" applyFont="1" applyFill="1" applyBorder="1" applyAlignment="1">
      <alignment horizontal="center"/>
    </xf>
    <xf numFmtId="2" fontId="69" fillId="10" borderId="7" applyNumberFormat="1" applyFont="1" applyFill="1" applyBorder="1" applyAlignment="1">
      <alignment horizontal="center"/>
    </xf>
    <xf numFmtId="166" fontId="69" fillId="0" borderId="0" applyNumberFormat="1" applyFont="1" applyFill="1"/>
    <xf numFmtId="166" fontId="69" fillId="10" borderId="16" applyNumberFormat="1" applyFont="1" applyFill="1" applyBorder="1" applyAlignment="1">
      <alignment horizontal="center"/>
    </xf>
    <xf numFmtId="166" fontId="69" fillId="10" borderId="17" applyNumberFormat="1" applyFont="1" applyFill="1" applyBorder="1" applyAlignment="1">
      <alignment horizontal="center"/>
    </xf>
    <xf numFmtId="166" fontId="69" fillId="10" borderId="18" applyNumberFormat="1" applyFont="1" applyFill="1" applyBorder="1" applyAlignment="1">
      <alignment horizontal="center"/>
    </xf>
    <xf numFmtId="0" fontId="50" fillId="0" borderId="0" applyFont="1" applyFill="1" applyAlignment="1">
      <alignment horizontal="right"/>
    </xf>
    <xf numFmtId="0" fontId="50" fillId="0" borderId="0" applyFont="1" applyFill="1" applyAlignment="1">
      <alignment horizontal="right" vertical="top"/>
    </xf>
    <xf numFmtId="0" fontId="31" fillId="0" borderId="3" applyFont="1" applyFill="1" applyBorder="1" applyAlignment="1">
      <alignment horizontal="center" wrapText="1"/>
    </xf>
    <xf numFmtId="0" fontId="31" fillId="0" borderId="5" applyFont="1" applyFill="1" applyBorder="1" applyAlignment="1">
      <alignment horizontal="center" wrapText="1"/>
    </xf>
    <xf numFmtId="0" fontId="39" fillId="0" borderId="0" applyFont="1" applyFill="1"/>
    <xf numFmtId="0" fontId="34" fillId="0" borderId="0" applyFont="1" applyFill="1" applyAlignment="1">
      <alignment horizontal="right"/>
    </xf>
    <xf numFmtId="0" fontId="35" fillId="0" borderId="0" applyFont="1" applyFill="1"/>
    <xf numFmtId="164" fontId="1" fillId="3" borderId="0" applyNumberFormat="1" applyFont="1" applyFill="1" applyAlignment="1">
      <alignment horizontal="left"/>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1" fillId="0" borderId="0" applyFont="1" applyFill="1" applyAlignment="1">
      <alignment horizontal="left"/>
    </xf>
    <xf numFmtId="49" fontId="1" fillId="0" borderId="0" applyNumberFormat="1" applyFont="1" applyFill="1" applyAlignment="1">
      <alignment horizontal="left"/>
    </xf>
    <xf numFmtId="16" fontId="1" fillId="0" borderId="0" applyNumberFormat="1" applyFont="1" applyFill="1" applyAlignment="1">
      <alignment horizontal="left"/>
    </xf>
    <xf numFmtId="49" fontId="1" fillId="0" borderId="0" applyNumberFormat="1" applyFont="1" applyFill="1"/>
    <xf numFmtId="0" fontId="37" fillId="0" borderId="0" applyFont="1" applyFill="1" applyAlignment="1">
      <alignment horizontal="center"/>
    </xf>
    <xf numFmtId="0" fontId="37" fillId="0" borderId="0" applyFont="1" applyFill="1"/>
    <xf numFmtId="0" fontId="1" fillId="0" borderId="0" applyFont="1" applyFill="1"/>
    <xf numFmtId="0" fontId="1" fillId="0" borderId="0" applyFont="1" applyFill="1" applyAlignment="1">
      <alignment horizontal="left" textRotation="90"/>
    </xf>
    <xf numFmtId="16" fontId="33" fillId="0" borderId="0" applyNumberFormat="1" applyFont="1" applyFill="1" applyAlignment="1">
      <alignment horizontal="left"/>
    </xf>
    <xf numFmtId="16" fontId="34" fillId="3" borderId="0" applyNumberFormat="1" applyFont="1" applyFill="1" applyAlignment="1">
      <alignment horizontal="left" textRotation="90" wrapText="1"/>
    </xf>
    <xf numFmtId="166" fontId="1" fillId="0" borderId="0" applyNumberFormat="1" applyFont="1" applyFill="1" applyAlignment="1">
      <alignment horizontal="left"/>
    </xf>
    <xf numFmtId="1" fontId="1" fillId="0" borderId="0" applyNumberFormat="1" applyFont="1" applyFill="1" applyAlignment="1">
      <alignment horizontal="center"/>
    </xf>
    <xf numFmtId="166" fontId="38" fillId="0" borderId="0" applyNumberFormat="1" applyFont="1" applyFill="1" applyAlignment="1">
      <alignment horizontal="right"/>
    </xf>
    <xf numFmtId="0" fontId="1" fillId="0" borderId="0" applyFont="1" applyFill="1" applyAlignment="1">
      <alignment horizontal="center"/>
    </xf>
    <xf numFmtId="0" fontId="47" fillId="0" borderId="0" applyFont="1" applyFill="1"/>
    <xf numFmtId="0" fontId="1" fillId="3" borderId="0" applyFont="1" applyFill="1" applyBorder="1"/>
    <xf numFmtId="169" fontId="34" fillId="3" borderId="0" applyNumberFormat="1" applyFont="1" applyFill="1" applyAlignment="1">
      <alignment textRotation="90" wrapText="1"/>
    </xf>
    <xf numFmtId="16" fontId="34" fillId="3" borderId="0" applyNumberFormat="1" applyFont="1" applyFill="1" applyAlignment="1">
      <alignment textRotation="90" wrapText="1"/>
    </xf>
    <xf numFmtId="166" fontId="38" fillId="0" borderId="0" applyNumberFormat="1" applyFont="1" applyFill="1"/>
    <xf numFmtId="0" fontId="15" fillId="3" borderId="0" applyFont="1" applyFill="1" applyAlignment="1">
      <alignment vertical="center"/>
    </xf>
    <xf numFmtId="0" fontId="37" fillId="3" borderId="0" applyFont="1" applyFill="1"/>
    <xf numFmtId="0" fontId="40" fillId="3" borderId="0" applyFont="1" applyFill="1" applyAlignment="1">
      <alignment horizontal="center"/>
    </xf>
    <xf numFmtId="170" fontId="42" fillId="3" borderId="0" applyNumberFormat="1" applyFont="1" applyFill="1" applyAlignment="1">
      <alignment wrapText="1"/>
    </xf>
    <xf numFmtId="0" fontId="50" fillId="3" borderId="0" applyFont="1" applyFill="1" applyAlignment="1">
      <alignment horizontal="center"/>
    </xf>
    <xf numFmtId="0" fontId="44" fillId="3" borderId="0" applyFont="1" applyFill="1" applyAlignment="1">
      <alignment horizontal="center" vertical="top"/>
    </xf>
    <xf numFmtId="0" fontId="44" fillId="3" borderId="6" applyFont="1" applyFill="1" applyBorder="1" applyAlignment="1">
      <alignment horizontal="center" vertical="top"/>
    </xf>
    <xf numFmtId="0" fontId="44" fillId="3" borderId="7" applyFont="1" applyFill="1" applyBorder="1" applyAlignment="1">
      <alignment horizontal="center" vertical="top"/>
    </xf>
    <xf numFmtId="170" fontId="44" fillId="3" borderId="0" applyNumberFormat="1" applyFont="1" applyFill="1" applyAlignment="1">
      <alignment horizontal="center" vertical="top" wrapText="1"/>
    </xf>
    <xf numFmtId="170" fontId="44" fillId="3" borderId="6" applyNumberFormat="1" applyFont="1" applyFill="1" applyBorder="1" applyAlignment="1">
      <alignment horizontal="center" vertical="top" wrapText="1"/>
    </xf>
    <xf numFmtId="170" fontId="44" fillId="3" borderId="7" applyNumberFormat="1" applyFont="1" applyFill="1" applyBorder="1" applyAlignment="1">
      <alignment horizontal="center" vertical="top" wrapText="1"/>
    </xf>
    <xf numFmtId="0" fontId="1" fillId="3" borderId="0" applyFont="1" applyFill="1" applyAlignment="1">
      <alignment wrapText="1"/>
    </xf>
    <xf numFmtId="0" fontId="44" fillId="3" borderId="0" applyFont="1" applyFill="1" applyAlignment="1">
      <alignment horizontal="center" vertical="top" wrapText="1"/>
    </xf>
    <xf numFmtId="0" fontId="44" fillId="3" borderId="6" applyFont="1" applyFill="1" applyBorder="1" applyAlignment="1">
      <alignment horizontal="center" vertical="top" wrapText="1"/>
    </xf>
    <xf numFmtId="0" fontId="44" fillId="3" borderId="7" applyFont="1" applyFill="1" applyBorder="1" applyAlignment="1">
      <alignment horizontal="center" vertical="top" wrapText="1"/>
    </xf>
    <xf numFmtId="1" fontId="45" fillId="6" borderId="0" applyNumberFormat="1" applyFont="1" applyFill="1" applyAlignment="1">
      <alignment horizontal="center"/>
    </xf>
    <xf numFmtId="1" fontId="45" fillId="6" borderId="6" applyNumberFormat="1" applyFont="1" applyFill="1" applyBorder="1" applyAlignment="1">
      <alignment horizontal="center"/>
    </xf>
    <xf numFmtId="1" fontId="45" fillId="6" borderId="7" applyNumberFormat="1" applyFont="1" applyFill="1" applyBorder="1" applyAlignment="1">
      <alignment horizontal="center"/>
    </xf>
    <xf numFmtId="1" fontId="45" fillId="3" borderId="0" applyNumberFormat="1" applyFont="1" applyFill="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46" fillId="3" borderId="0" applyFont="1" applyFill="1" applyAlignment="1">
      <alignment horizontal="center"/>
    </xf>
    <xf numFmtId="0" fontId="46" fillId="3" borderId="0" applyFont="1" applyFill="1" applyAlignment="1">
      <alignment horizontal="center" vertical="top"/>
    </xf>
    <xf numFmtId="0" fontId="46" fillId="3" borderId="6" applyFont="1" applyFill="1" applyBorder="1" applyAlignment="1">
      <alignment horizontal="center" vertical="top"/>
    </xf>
    <xf numFmtId="0" fontId="46" fillId="3" borderId="7" applyFont="1" applyFill="1" applyBorder="1" applyAlignment="1">
      <alignment horizontal="center" vertical="top"/>
    </xf>
    <xf numFmtId="0" fontId="45" fillId="3" borderId="0" applyFont="1" applyFill="1" applyAlignment="1">
      <alignment horizontal="center"/>
    </xf>
    <xf numFmtId="0" fontId="46" fillId="0" borderId="0" applyFont="1" applyFill="1" applyAlignment="1">
      <alignment horizontal="center"/>
    </xf>
    <xf numFmtId="1" fontId="45" fillId="6" borderId="16" applyNumberFormat="1" applyFont="1" applyFill="1" applyBorder="1" applyAlignment="1">
      <alignment horizontal="center"/>
    </xf>
    <xf numFmtId="1" fontId="45" fillId="6" borderId="17" applyNumberFormat="1" applyFont="1" applyFill="1" applyBorder="1" applyAlignment="1">
      <alignment horizontal="center"/>
    </xf>
    <xf numFmtId="1" fontId="45" fillId="6" borderId="18" applyNumberFormat="1" applyFont="1" applyFill="1" applyBorder="1" applyAlignment="1">
      <alignment horizontal="center"/>
    </xf>
    <xf numFmtId="1" fontId="1" fillId="3" borderId="0" applyNumberFormat="1" applyFont="1" applyFill="1" applyAlignment="1">
      <alignment horizontal="center"/>
    </xf>
    <xf numFmtId="170" fontId="42" fillId="0" borderId="0" applyNumberFormat="1" applyFont="1" applyFill="1" applyAlignment="1">
      <alignment wrapText="1"/>
    </xf>
    <xf numFmtId="0" fontId="1" fillId="0" borderId="0" applyFont="1" applyFill="1" applyAlignment="1">
      <alignment wrapText="1"/>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69" fillId="0" borderId="0" applyFont="1" applyFill="1" applyAlignment="1">
      <alignment horizontal="left"/>
    </xf>
    <xf numFmtId="49" fontId="69" fillId="0" borderId="0" applyNumberFormat="1" applyFont="1" applyFill="1" applyAlignment="1">
      <alignment horizontal="left"/>
    </xf>
    <xf numFmtId="16" fontId="69" fillId="0" borderId="0" applyNumberFormat="1" applyFont="1" applyFill="1" applyAlignment="1">
      <alignment horizontal="left"/>
    </xf>
    <xf numFmtId="0" fontId="34" fillId="0" borderId="0" applyFont="1" applyFill="1" applyAlignment="1">
      <alignment horizontal="right"/>
    </xf>
    <xf numFmtId="49" fontId="69" fillId="0" borderId="0" applyNumberFormat="1" applyFont="1" applyFill="1"/>
    <xf numFmtId="0" fontId="34" fillId="3" borderId="0" applyFont="1" applyFill="1" applyAlignment="1">
      <alignment horizontal="center"/>
    </xf>
    <xf numFmtId="0" fontId="34" fillId="3" borderId="0" applyFont="1" applyFill="1" applyAlignment="1">
      <alignment horizontal="right"/>
    </xf>
    <xf numFmtId="16" fontId="33" fillId="0" borderId="0" applyNumberFormat="1" applyFont="1" applyFill="1" applyAlignment="1">
      <alignment horizontal="left"/>
    </xf>
    <xf numFmtId="169" fontId="34" fillId="3" borderId="0" applyNumberFormat="1" applyFont="1" applyFill="1" applyAlignment="1">
      <alignment textRotation="90" wrapText="1"/>
    </xf>
    <xf numFmtId="0" fontId="47" fillId="0" borderId="0" applyFont="1" applyFill="1"/>
    <xf numFmtId="166" fontId="39" fillId="0" borderId="0" applyNumberFormat="1" applyFont="1" applyFill="1" applyAlignment="1">
      <alignment horizontal="right"/>
    </xf>
    <xf numFmtId="2" fontId="69" fillId="0" borderId="0" applyNumberFormat="1" applyFont="1" applyFill="1"/>
    <xf numFmtId="166" fontId="69" fillId="0" borderId="0" applyNumberFormat="1" applyFont="1" applyFill="1" applyAlignment="1">
      <alignment horizontal="center"/>
    </xf>
    <xf numFmtId="166" fontId="69" fillId="10" borderId="0" applyNumberFormat="1" applyFont="1" applyFill="1" applyAlignment="1">
      <alignment horizontal="center"/>
    </xf>
    <xf numFmtId="2" fontId="69" fillId="10" borderId="0" applyNumberFormat="1" applyFont="1" applyFill="1" applyAlignment="1">
      <alignment horizontal="center"/>
    </xf>
    <xf numFmtId="2" fontId="69" fillId="0" borderId="0" applyNumberFormat="1" applyFont="1" applyFill="1" applyAlignment="1">
      <alignment horizontal="center"/>
    </xf>
    <xf numFmtId="166" fontId="69" fillId="3" borderId="0" applyNumberFormat="1" applyFont="1" applyFill="1" applyAlignment="1">
      <alignment horizontal="center" vertical="center"/>
    </xf>
    <xf numFmtId="0" fontId="69" fillId="3" borderId="0" applyFont="1" applyFill="1"/>
    <xf numFmtId="0" fontId="1" fillId="0" borderId="0" applyFont="1" applyFill="1" applyAlignment="1">
      <alignment horizontal="right"/>
    </xf>
    <xf numFmtId="0" fontId="69" fillId="3" borderId="0" applyFont="1" applyFill="1" applyAlignment="1">
      <alignment horizontal="center" vertical="center"/>
    </xf>
    <xf numFmtId="167" fontId="69" fillId="3" borderId="0" applyNumberFormat="1" applyFont="1" applyFill="1" applyAlignment="1">
      <alignment horizontal="center" vertical="center"/>
    </xf>
    <xf numFmtId="0" fontId="36" fillId="0" borderId="0" applyFont="1" applyFill="1"/>
    <xf numFmtId="165" fontId="69" fillId="10" borderId="0" applyNumberFormat="1" applyFont="1" applyFill="1" applyAlignment="1">
      <alignment horizontal="center"/>
    </xf>
    <xf numFmtId="0" fontId="69" fillId="10" borderId="0" applyFont="1" applyFill="1" applyAlignment="1">
      <alignment horizontal="center"/>
    </xf>
    <xf numFmtId="17" fontId="69" fillId="10" borderId="0" applyNumberFormat="1" applyFont="1" applyFill="1" applyAlignment="1">
      <alignment horizontal="center"/>
    </xf>
    <xf numFmtId="0" fontId="69" fillId="10" borderId="0" applyFont="1" applyFill="1" applyAlignment="1">
      <alignment horizontal="center" vertical="center"/>
    </xf>
    <xf numFmtId="167" fontId="69" fillId="10" borderId="0" applyNumberFormat="1" applyFont="1" applyFill="1" applyAlignment="1">
      <alignment horizontal="center"/>
    </xf>
    <xf numFmtId="167" fontId="69" fillId="10" borderId="0" applyNumberFormat="1" applyFont="1" applyFill="1" applyAlignment="1">
      <alignment horizontal="center"/>
    </xf>
    <xf numFmtId="167" fontId="69" fillId="10" borderId="0" applyNumberFormat="1" applyFont="1" applyFill="1" applyAlignment="1">
      <alignment horizontal="center" vertical="center"/>
    </xf>
    <xf numFmtId="17" fontId="42" fillId="10" borderId="0" applyNumberFormat="1" applyFont="1" applyFill="1" applyAlignment="1">
      <alignment horizontal="left"/>
    </xf>
    <xf numFmtId="167" fontId="1" fillId="10" borderId="0" applyNumberFormat="1" applyFont="1" applyFill="1"/>
    <xf numFmtId="167" fontId="42" fillId="10" borderId="0" applyNumberFormat="1" applyFont="1" applyFill="1" applyAlignment="1">
      <alignment horizontal="left"/>
    </xf>
    <xf numFmtId="165" fontId="69" fillId="10" borderId="0" applyNumberFormat="1" applyFont="1" applyFill="1" applyAlignment="1">
      <alignment horizontal="right"/>
    </xf>
    <xf numFmtId="0" fontId="1" fillId="10" borderId="0" applyFont="1" applyFill="1"/>
    <xf numFmtId="0" fontId="1" fillId="3" borderId="0" applyFont="1" applyFill="1" applyBorder="1"/>
    <xf numFmtId="0" fontId="1" fillId="0" borderId="0" applyFont="1" applyFill="1" applyAlignment="1">
      <alignment horizontal="right"/>
    </xf>
    <xf numFmtId="0" fontId="40" fillId="0" borderId="0" applyFont="1" applyFill="1"/>
    <xf numFmtId="0" fontId="50" fillId="0" borderId="0" applyFont="1" applyFill="1"/>
    <xf numFmtId="0" fontId="45" fillId="0" borderId="0" applyFont="1" applyFill="1" applyAlignment="1">
      <alignment horizontal="center"/>
    </xf>
    <xf numFmtId="0" fontId="51" fillId="0" borderId="0" applyFont="1" applyFill="1"/>
    <xf numFmtId="0" fontId="52" fillId="0" borderId="0" applyFont="1" applyFill="1"/>
    <xf numFmtId="0" fontId="53" fillId="0" borderId="0" applyFont="1" applyFill="1" applyAlignment="1">
      <alignment horizontal="center"/>
    </xf>
    <xf numFmtId="0" fontId="42" fillId="0" borderId="13" applyFont="1" applyFill="1" applyBorder="1" applyAlignment="1">
      <alignment horizontal="right"/>
    </xf>
    <xf numFmtId="0" fontId="42" fillId="6" borderId="14" applyFont="1" applyFill="1" applyBorder="1" applyAlignment="1">
      <alignment horizontal="right"/>
    </xf>
    <xf numFmtId="166" fontId="1" fillId="6" borderId="0" applyNumberFormat="1" applyFont="1" applyFill="1" applyBorder="1" applyAlignment="1">
      <alignment horizontal="center"/>
    </xf>
    <xf numFmtId="0" fontId="33" fillId="3" borderId="0" applyFont="1" applyFill="1" applyAlignment="1">
      <alignment horizontal="right"/>
    </xf>
    <xf numFmtId="0" fontId="42" fillId="0" borderId="15" applyFont="1" applyFill="1" applyBorder="1" applyAlignment="1">
      <alignment horizontal="right"/>
    </xf>
    <xf numFmtId="0" fontId="42" fillId="0" borderId="0" applyFont="1" applyFill="1"/>
    <xf numFmtId="166" fontId="42" fillId="0" borderId="0" applyNumberFormat="1" applyFont="1" applyFill="1"/>
    <xf numFmtId="2" fontId="1" fillId="6" borderId="0" applyNumberFormat="1" applyFont="1" applyFill="1" applyBorder="1" applyAlignment="1">
      <alignment horizontal="center"/>
    </xf>
    <xf numFmtId="0" fontId="54" fillId="0" borderId="0" applyFont="1" applyFill="1"/>
    <xf numFmtId="1" fontId="69" fillId="0" borderId="0" applyNumberFormat="1" applyFont="1" applyFill="1" applyAlignment="1">
      <alignment horizontal="left"/>
    </xf>
    <xf numFmtId="0" fontId="50" fillId="3" borderId="0" applyFont="1" applyFill="1"/>
    <xf numFmtId="0" fontId="22" fillId="0" borderId="0" applyFont="1" applyFill="1" applyAlignment="1">
      <alignment vertical="top"/>
    </xf>
    <xf numFmtId="0" fontId="34" fillId="0" borderId="0" applyFont="1" applyFill="1" applyAlignment="1">
      <alignment vertical="top" wrapText="1"/>
    </xf>
    <xf numFmtId="166" fontId="38" fillId="3" borderId="0" applyNumberFormat="1" applyFont="1" applyFill="1" applyAlignment="1">
      <alignment horizontal="center"/>
    </xf>
    <xf numFmtId="0" fontId="1" fillId="0" borderId="19" applyFont="1" applyFill="1" applyBorder="1"/>
    <xf numFmtId="0" fontId="1" fillId="0" borderId="20" applyFont="1" applyFill="1" applyBorder="1"/>
    <xf numFmtId="0" fontId="36" fillId="0" borderId="0" applyFont="1" applyFill="1" applyAlignment="1">
      <alignment horizontal="right"/>
    </xf>
    <xf numFmtId="0" fontId="1" fillId="6" borderId="0" applyFont="1" applyFill="1"/>
    <xf numFmtId="166" fontId="1" fillId="0" borderId="0" applyNumberFormat="1" applyFont="1" applyFill="1"/>
    <xf numFmtId="166" fontId="1" fillId="6" borderId="0" applyNumberFormat="1" applyFont="1" applyFill="1"/>
    <xf numFmtId="0" fontId="50" fillId="3" borderId="0" applyFont="1" applyFill="1" applyAlignment="1">
      <alignment horizontal="right" vertical="center"/>
    </xf>
    <xf numFmtId="165" fontId="1" fillId="6" borderId="0" applyNumberFormat="1" applyFont="1" applyFill="1"/>
    <xf numFmtId="165" fontId="1" fillId="6" borderId="20" applyNumberFormat="1" applyFont="1" applyFill="1" applyBorder="1"/>
    <xf numFmtId="166" fontId="36" fillId="0" borderId="0" applyNumberFormat="1" applyFont="1" applyFill="1"/>
    <xf numFmtId="166" fontId="36" fillId="0" borderId="20" applyNumberFormat="1" applyFont="1" applyFill="1" applyBorder="1"/>
    <xf numFmtId="167" fontId="1" fillId="6" borderId="0" applyNumberFormat="1" applyFont="1" applyFill="1"/>
    <xf numFmtId="0" fontId="1" fillId="0" borderId="20" applyFont="1" applyFill="1" applyBorder="1" applyAlignment="1">
      <alignment horizontal="right"/>
    </xf>
    <xf numFmtId="0" fontId="36" fillId="0" borderId="19" applyFont="1" applyFill="1" applyBorder="1" applyAlignment="1">
      <alignment horizontal="right"/>
    </xf>
    <xf numFmtId="166" fontId="1" fillId="0" borderId="19" applyNumberFormat="1" applyFont="1" applyFill="1" applyBorder="1" applyAlignment="1">
      <alignment horizontal="right"/>
    </xf>
    <xf numFmtId="0" fontId="1" fillId="0" borderId="19" applyFont="1" applyFill="1" applyBorder="1" applyAlignment="1">
      <alignment horizontal="right"/>
    </xf>
    <xf numFmtId="0" fontId="36" fillId="0" borderId="21" applyFont="1" applyFill="1" applyBorder="1" applyAlignment="1">
      <alignment horizontal="right"/>
    </xf>
    <xf numFmtId="166" fontId="36" fillId="0" borderId="0" applyNumberFormat="1" applyFont="1" applyFill="1" applyAlignment="1">
      <alignment horizontal="right"/>
    </xf>
    <xf numFmtId="166" fontId="1" fillId="0" borderId="0" applyNumberFormat="1" applyFont="1" applyFill="1" applyAlignment="1">
      <alignment horizontal="right"/>
    </xf>
    <xf numFmtId="166" fontId="36" fillId="0" borderId="20" applyNumberFormat="1" applyFont="1" applyFill="1" applyBorder="1" applyAlignment="1">
      <alignment horizontal="right"/>
    </xf>
    <xf numFmtId="0" fontId="36" fillId="3" borderId="0" applyFont="1" applyFill="1" applyAlignment="1">
      <alignment horizontal="right"/>
    </xf>
    <xf numFmtId="0" fontId="42" fillId="0" borderId="0" applyFont="1" applyFill="1" applyAlignment="1">
      <alignment horizontal="right"/>
    </xf>
    <xf numFmtId="0" fontId="44" fillId="10" borderId="14" applyFont="1" applyFill="1" applyBorder="1" applyAlignment="1">
      <alignment horizontal="right"/>
    </xf>
    <xf numFmtId="4" fontId="69" fillId="3" borderId="0" applyNumberFormat="1" applyFont="1" applyFill="1" applyAlignment="1">
      <alignment horizontal="center"/>
    </xf>
    <xf numFmtId="4" fontId="69" fillId="10" borderId="0" applyNumberFormat="1" applyFont="1" applyFill="1" applyAlignment="1">
      <alignment horizontal="center"/>
    </xf>
    <xf numFmtId="4" fontId="69" fillId="3" borderId="0" applyNumberFormat="1" applyFont="1" applyFill="1" applyAlignment="1">
      <alignment horizontal="right"/>
    </xf>
    <xf numFmtId="4" fontId="69" fillId="10" borderId="0" applyNumberFormat="1" applyFont="1" applyFill="1" applyAlignment="1">
      <alignment horizontal="right"/>
    </xf>
    <xf numFmtId="0" fontId="40" fillId="3" borderId="0" applyFont="1" applyFill="1" applyAlignment="1">
      <alignment horizontal="right"/>
    </xf>
    <xf numFmtId="0" fontId="40" fillId="0" borderId="0" applyFont="1" applyFill="1" applyAlignment="1">
      <alignment horizontal="right"/>
    </xf>
    <xf numFmtId="0" fontId="69" fillId="0" borderId="0" applyFont="1" applyFill="1"/>
    <xf numFmtId="0" fontId="1" fillId="11" borderId="0" applyFont="1" applyFill="1"/>
    <xf numFmtId="0" fontId="37" fillId="11" borderId="0" applyFont="1" applyFill="1"/>
    <xf numFmtId="0" fontId="1" fillId="11" borderId="0" applyFont="1" applyFill="1" applyAlignment="1">
      <alignment horizontal="center"/>
    </xf>
    <xf numFmtId="0" fontId="47" fillId="11" borderId="0" applyFont="1" applyFill="1"/>
    <xf numFmtId="0" fontId="52" fillId="11" borderId="0" applyFont="1" applyFill="1"/>
    <xf numFmtId="0" fontId="54" fillId="11" borderId="0" applyFont="1" applyFill="1"/>
    <xf numFmtId="168" fontId="54" fillId="11" borderId="0" applyNumberFormat="1" applyFont="1" applyFill="1"/>
    <xf numFmtId="0" fontId="1" fillId="11" borderId="0" applyFont="1" applyFill="1"/>
    <xf numFmtId="0" fontId="1" fillId="11" borderId="0" applyFont="1" applyFill="1" applyAlignment="1">
      <alignment horizontal="center"/>
    </xf>
    <xf numFmtId="0" fontId="51" fillId="11" borderId="0" applyFont="1" applyFill="1"/>
    <xf numFmtId="0" fontId="53" fillId="11" borderId="0" applyFont="1" applyFill="1" applyAlignment="1">
      <alignment horizontal="center"/>
    </xf>
    <xf numFmtId="0" fontId="52" fillId="11" borderId="0" applyFont="1" applyFill="1"/>
    <xf numFmtId="0" fontId="30" fillId="11" borderId="0" applyFont="1" applyFill="1"/>
    <xf numFmtId="0" fontId="54" fillId="11" borderId="0" applyFont="1" applyFill="1"/>
    <xf numFmtId="16" fontId="30" fillId="11" borderId="0" applyNumberFormat="1" applyFont="1" applyFill="1"/>
    <xf numFmtId="168" fontId="30" fillId="11" borderId="0" applyNumberFormat="1" applyFont="1" applyFill="1"/>
    <xf numFmtId="0" fontId="58" fillId="11" borderId="0" applyFont="1" applyFill="1" applyAlignment="1">
      <alignment horizontal="right"/>
    </xf>
    <xf numFmtId="0" fontId="69" fillId="11" borderId="0" applyFont="1" applyFill="1"/>
    <xf numFmtId="0" fontId="69" fillId="11" borderId="0" applyFont="1" applyFill="1" applyAlignment="1">
      <alignment horizontal="center"/>
    </xf>
    <xf numFmtId="0" fontId="51" fillId="11" borderId="0" applyFont="1" applyFill="1"/>
    <xf numFmtId="0" fontId="53" fillId="11" borderId="0" applyFont="1" applyFill="1" applyAlignment="1">
      <alignment horizontal="center"/>
    </xf>
    <xf numFmtId="0" fontId="1" fillId="11" borderId="0" applyFont="1" applyFill="1" applyAlignment="1">
      <alignment horizontal="left"/>
    </xf>
    <xf numFmtId="0" fontId="19" fillId="11" borderId="0" applyFont="1" applyFill="1" applyAlignment="1">
      <alignment horizontal="center"/>
    </xf>
    <xf numFmtId="0" fontId="37" fillId="11" borderId="0" applyFont="1" applyFill="1"/>
    <xf numFmtId="170" fontId="42" fillId="11" borderId="0" applyNumberFormat="1" applyFont="1" applyFill="1" applyAlignment="1">
      <alignment wrapText="1"/>
    </xf>
    <xf numFmtId="0" fontId="1" fillId="11" borderId="0" applyFont="1" applyFill="1" applyAlignment="1">
      <alignment wrapText="1"/>
    </xf>
    <xf numFmtId="16" fontId="34" fillId="11" borderId="0" applyNumberFormat="1" applyFont="1" applyFill="1" applyAlignment="1">
      <alignment horizontal="left" textRotation="90" wrapText="1"/>
    </xf>
    <xf numFmtId="166" fontId="38" fillId="11" borderId="0" applyNumberFormat="1" applyFont="1" applyFill="1" applyAlignment="1">
      <alignment horizontal="center"/>
    </xf>
    <xf numFmtId="0" fontId="47" fillId="11" borderId="0" applyFont="1" applyFill="1"/>
    <xf numFmtId="1" fontId="45" fillId="3" borderId="22" applyNumberFormat="1" applyFont="1" applyFill="1" applyBorder="1" applyAlignment="1">
      <alignment horizontal="center"/>
    </xf>
    <xf numFmtId="1" fontId="45" fillId="3" borderId="23" applyNumberFormat="1"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2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29" applyFont="1" applyFill="1" applyBorder="1" applyAlignment="1">
      <alignment horizontal="center"/>
    </xf>
    <xf numFmtId="0" fontId="44" fillId="6" borderId="0" applyFont="1" applyFill="1" applyAlignment="1">
      <alignment horizontal="right"/>
    </xf>
    <xf numFmtId="166" fontId="1" fillId="0" borderId="0" applyNumberFormat="1" applyFont="1" applyFill="1"/>
    <xf numFmtId="0" fontId="53" fillId="0" borderId="22" applyFont="1" applyFill="1" applyBorder="1" applyAlignment="1">
      <alignment horizontal="center"/>
    </xf>
    <xf numFmtId="0" fontId="53" fillId="0" borderId="23" applyFont="1" applyFill="1" applyBorder="1" applyAlignment="1">
      <alignment horizontal="center"/>
    </xf>
    <xf numFmtId="166" fontId="1" fillId="0" borderId="24" applyNumberFormat="1" applyFont="1" applyFill="1" applyBorder="1" applyAlignment="1">
      <alignment horizontal="center"/>
    </xf>
    <xf numFmtId="166" fontId="1" fillId="0" borderId="25" applyNumberFormat="1" applyFont="1" applyFill="1" applyBorder="1" applyAlignment="1">
      <alignment horizontal="center"/>
    </xf>
    <xf numFmtId="166" fontId="1" fillId="0" borderId="26" applyNumberFormat="1" applyFont="1" applyFill="1" applyBorder="1" applyAlignment="1">
      <alignment horizontal="center"/>
    </xf>
    <xf numFmtId="166" fontId="1" fillId="6" borderId="22" applyNumberFormat="1" applyFont="1" applyFill="1" applyBorder="1" applyAlignment="1">
      <alignment horizontal="center"/>
    </xf>
    <xf numFmtId="166" fontId="1" fillId="6" borderId="23" applyNumberFormat="1" applyFont="1" applyFill="1" applyBorder="1" applyAlignment="1">
      <alignment horizontal="center"/>
    </xf>
    <xf numFmtId="166" fontId="1" fillId="0" borderId="27" applyNumberFormat="1" applyFont="1" applyFill="1" applyBorder="1" applyAlignment="1">
      <alignment horizontal="center"/>
    </xf>
    <xf numFmtId="166" fontId="1" fillId="0" borderId="28" applyNumberFormat="1" applyFont="1" applyFill="1" applyBorder="1" applyAlignment="1">
      <alignment horizontal="center"/>
    </xf>
    <xf numFmtId="166" fontId="1" fillId="0" borderId="29" applyNumberFormat="1" applyFont="1" applyFill="1" applyBorder="1" applyAlignment="1">
      <alignment horizontal="center"/>
    </xf>
    <xf numFmtId="2" fontId="1" fillId="0" borderId="24" applyNumberFormat="1" applyFont="1" applyFill="1" applyBorder="1" applyAlignment="1">
      <alignment horizontal="center"/>
    </xf>
    <xf numFmtId="2" fontId="1" fillId="0" borderId="25" applyNumberFormat="1" applyFont="1" applyFill="1" applyBorder="1" applyAlignment="1">
      <alignment horizontal="center"/>
    </xf>
    <xf numFmtId="2" fontId="1" fillId="0" borderId="26" applyNumberFormat="1" applyFont="1" applyFill="1" applyBorder="1" applyAlignment="1">
      <alignment horizontal="center"/>
    </xf>
    <xf numFmtId="2" fontId="1" fillId="6" borderId="22" applyNumberFormat="1" applyFont="1" applyFill="1" applyBorder="1" applyAlignment="1">
      <alignment horizontal="center"/>
    </xf>
    <xf numFmtId="2" fontId="1" fillId="6" borderId="23" applyNumberFormat="1" applyFont="1" applyFill="1" applyBorder="1" applyAlignment="1">
      <alignment horizontal="center"/>
    </xf>
    <xf numFmtId="0" fontId="36" fillId="6" borderId="30" applyFont="1" applyFill="1" applyBorder="1"/>
    <xf numFmtId="0" fontId="36" fillId="6" borderId="31" applyFont="1" applyFill="1" applyBorder="1"/>
    <xf numFmtId="0" fontId="36" fillId="6" borderId="32" applyFont="1" applyFill="1" applyBorder="1"/>
    <xf numFmtId="166" fontId="1" fillId="0" borderId="33" applyNumberFormat="1" applyFont="1" applyFill="1" applyBorder="1" applyAlignment="1">
      <alignment horizontal="center"/>
    </xf>
    <xf numFmtId="166" fontId="1" fillId="6" borderId="34" applyNumberFormat="1" applyFont="1" applyFill="1" applyBorder="1" applyAlignment="1">
      <alignment horizontal="center"/>
    </xf>
    <xf numFmtId="166" fontId="1" fillId="0" borderId="35" applyNumberFormat="1" applyFont="1" applyFill="1" applyBorder="1" applyAlignment="1">
      <alignment horizontal="center"/>
    </xf>
    <xf numFmtId="2" fontId="1" fillId="0" borderId="33" applyNumberFormat="1" applyFont="1" applyFill="1" applyBorder="1" applyAlignment="1">
      <alignment horizontal="center"/>
    </xf>
    <xf numFmtId="2" fontId="1" fillId="6" borderId="34" applyNumberFormat="1" applyFont="1" applyFill="1" applyBorder="1" applyAlignment="1">
      <alignment horizontal="center"/>
    </xf>
    <xf numFmtId="0" fontId="52" fillId="0" borderId="33" applyFont="1" applyFill="1" applyBorder="1" applyAlignment="1">
      <alignment horizontal="center"/>
    </xf>
    <xf numFmtId="0" fontId="52" fillId="0" borderId="35"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3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37" applyFont="1" applyFill="1" applyBorder="1" applyAlignment="1">
      <alignment horizontal="center"/>
    </xf>
    <xf numFmtId="0" fontId="52" fillId="0" borderId="24" applyFont="1" applyFill="1" applyBorder="1" applyAlignment="1">
      <alignment horizontal="center"/>
    </xf>
    <xf numFmtId="0" fontId="52" fillId="0" borderId="25" applyFont="1" applyFill="1" applyBorder="1" applyAlignment="1">
      <alignment horizontal="center"/>
    </xf>
    <xf numFmtId="0" fontId="52" fillId="0" borderId="26" applyFont="1" applyFill="1" applyBorder="1" applyAlignment="1">
      <alignment horizontal="center"/>
    </xf>
    <xf numFmtId="0" fontId="52" fillId="0" borderId="27" applyFont="1" applyFill="1" applyBorder="1" applyAlignment="1">
      <alignment horizontal="center"/>
    </xf>
    <xf numFmtId="0" fontId="52" fillId="0" borderId="28" applyFont="1" applyFill="1" applyBorder="1" applyAlignment="1">
      <alignment horizontal="center"/>
    </xf>
    <xf numFmtId="0" fontId="52" fillId="0" borderId="29" applyFont="1" applyFill="1" applyBorder="1" applyAlignment="1">
      <alignment horizontal="center"/>
    </xf>
    <xf numFmtId="0" fontId="53" fillId="0" borderId="22" applyFont="1" applyFill="1" applyBorder="1" applyAlignment="1">
      <alignment horizontal="center"/>
    </xf>
    <xf numFmtId="0" fontId="53" fillId="0" borderId="6" applyFont="1" applyFill="1" applyBorder="1" applyAlignment="1">
      <alignment horizontal="center"/>
    </xf>
    <xf numFmtId="0" fontId="52" fillId="0" borderId="22" applyFont="1" applyFill="1" applyBorder="1" applyAlignment="1">
      <alignment horizontal="center"/>
    </xf>
    <xf numFmtId="0" fontId="52" fillId="0" borderId="0" applyFont="1" applyFill="1" applyAlignment="1">
      <alignment horizontal="center"/>
    </xf>
    <xf numFmtId="0" fontId="52" fillId="0" borderId="23"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37" applyNumberFormat="1" applyFont="1" applyFill="1" applyBorder="1" applyAlignment="1">
      <alignment horizontal="center"/>
    </xf>
    <xf numFmtId="166" fontId="69" fillId="10" borderId="29" applyNumberFormat="1" applyFont="1" applyFill="1" applyBorder="1" applyAlignment="1">
      <alignment horizontal="center"/>
    </xf>
    <xf numFmtId="1" fontId="69" fillId="10" borderId="27" applyNumberFormat="1" applyFont="1" applyFill="1" applyBorder="1" applyAlignment="1">
      <alignment horizontal="center"/>
    </xf>
    <xf numFmtId="1" fontId="69" fillId="10" borderId="28" applyNumberFormat="1" applyFont="1" applyFill="1" applyBorder="1" applyAlignment="1">
      <alignment horizontal="center"/>
    </xf>
    <xf numFmtId="1" fontId="69" fillId="10" borderId="29" applyNumberFormat="1" applyFont="1" applyFill="1" applyBorder="1" applyAlignment="1">
      <alignment horizontal="center"/>
    </xf>
    <xf numFmtId="0" fontId="51" fillId="0" borderId="38" applyFont="1" applyFill="1" applyBorder="1"/>
    <xf numFmtId="0" fontId="53" fillId="0" borderId="7" applyFont="1" applyFill="1" applyBorder="1" applyAlignment="1">
      <alignment horizontal="center"/>
    </xf>
    <xf numFmtId="166" fontId="69" fillId="10" borderId="39" applyNumberFormat="1" applyFont="1" applyFill="1" applyBorder="1" applyAlignment="1">
      <alignment horizontal="center"/>
    </xf>
    <xf numFmtId="0" fontId="31" fillId="0" borderId="30" applyFont="1" applyFill="1" applyBorder="1" applyAlignment="1">
      <alignment horizontal="center" wrapText="1"/>
    </xf>
    <xf numFmtId="0" fontId="31" fillId="0" borderId="31" applyFont="1" applyFill="1" applyBorder="1" applyAlignment="1">
      <alignment horizontal="center" wrapText="1"/>
    </xf>
    <xf numFmtId="0" fontId="31" fillId="0" borderId="32" applyFont="1" applyFill="1" applyBorder="1" applyAlignment="1">
      <alignment horizontal="center" wrapText="1"/>
    </xf>
    <xf numFmtId="0" fontId="42" fillId="0" borderId="24" applyFont="1" applyFill="1" applyBorder="1" applyAlignment="1">
      <alignment horizontal="center"/>
    </xf>
    <xf numFmtId="0" fontId="42" fillId="0" borderId="26" applyFont="1" applyFill="1" applyBorder="1" applyAlignment="1">
      <alignment horizontal="center"/>
    </xf>
    <xf numFmtId="0" fontId="42" fillId="10" borderId="22" applyFont="1" applyFill="1" applyBorder="1" applyAlignment="1">
      <alignment horizontal="center"/>
    </xf>
    <xf numFmtId="0" fontId="42" fillId="10" borderId="23" applyFont="1" applyFill="1" applyBorder="1" applyAlignment="1">
      <alignment horizontal="center"/>
    </xf>
    <xf numFmtId="0" fontId="42" fillId="0" borderId="22" applyFont="1" applyFill="1" applyBorder="1" applyAlignment="1">
      <alignment horizontal="center"/>
    </xf>
    <xf numFmtId="0" fontId="42" fillId="0" borderId="23" applyFont="1" applyFill="1" applyBorder="1" applyAlignment="1">
      <alignment horizontal="center"/>
    </xf>
    <xf numFmtId="0" fontId="42" fillId="10" borderId="27" applyFont="1" applyFill="1" applyBorder="1" applyAlignment="1">
      <alignment horizontal="center"/>
    </xf>
    <xf numFmtId="0" fontId="42" fillId="10" borderId="29" applyFont="1" applyFill="1" applyBorder="1" applyAlignment="1">
      <alignment horizontal="center"/>
    </xf>
    <xf numFmtId="0" fontId="42" fillId="0" borderId="25" applyFont="1" applyFill="1" applyBorder="1" applyAlignment="1">
      <alignment horizontal="center"/>
    </xf>
    <xf numFmtId="0" fontId="42" fillId="10" borderId="0" applyFont="1" applyFill="1" applyAlignment="1">
      <alignment horizontal="center"/>
    </xf>
    <xf numFmtId="0" fontId="42" fillId="0" borderId="0" applyFont="1" applyFill="1" applyAlignment="1">
      <alignment horizontal="center"/>
    </xf>
    <xf numFmtId="0" fontId="42" fillId="10" borderId="28" applyFont="1" applyFill="1" applyBorder="1" applyAlignment="1">
      <alignment horizontal="center"/>
    </xf>
    <xf numFmtId="166" fontId="69" fillId="0" borderId="24" applyNumberFormat="1" applyFont="1" applyFill="1" applyBorder="1" applyAlignment="1">
      <alignment horizontal="center"/>
    </xf>
    <xf numFmtId="166" fontId="69" fillId="0" borderId="25" applyNumberFormat="1" applyFont="1" applyFill="1" applyBorder="1" applyAlignment="1">
      <alignment horizontal="center"/>
    </xf>
    <xf numFmtId="166" fontId="69" fillId="0" borderId="26" applyNumberFormat="1"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0" borderId="22" applyNumberFormat="1" applyFont="1" applyFill="1" applyBorder="1" applyAlignment="1">
      <alignment horizontal="center"/>
    </xf>
    <xf numFmtId="166" fontId="69" fillId="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29" applyNumberFormat="1" applyFont="1" applyFill="1" applyBorder="1" applyAlignment="1">
      <alignment horizontal="center"/>
    </xf>
    <xf numFmtId="166" fontId="69" fillId="0" borderId="27" applyNumberFormat="1" applyFont="1" applyFill="1" applyBorder="1" applyAlignment="1">
      <alignment horizontal="center"/>
    </xf>
    <xf numFmtId="166" fontId="69" fillId="0" borderId="28" applyNumberFormat="1" applyFont="1" applyFill="1" applyBorder="1" applyAlignment="1">
      <alignment horizontal="center"/>
    </xf>
    <xf numFmtId="166" fontId="69" fillId="0" borderId="29" applyNumberFormat="1" applyFont="1" applyFill="1" applyBorder="1" applyAlignment="1">
      <alignment horizontal="center"/>
    </xf>
    <xf numFmtId="2" fontId="69" fillId="10" borderId="30" applyNumberFormat="1" applyFont="1" applyFill="1" applyBorder="1" applyAlignment="1">
      <alignment horizontal="center"/>
    </xf>
    <xf numFmtId="2" fontId="69" fillId="10" borderId="31" applyNumberFormat="1" applyFont="1" applyFill="1" applyBorder="1" applyAlignment="1">
      <alignment horizontal="center"/>
    </xf>
    <xf numFmtId="2" fontId="69" fillId="10" borderId="40"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10" borderId="41" applyNumberFormat="1" applyFont="1" applyFill="1" applyBorder="1" applyAlignment="1">
      <alignment horizontal="center"/>
    </xf>
    <xf numFmtId="0" fontId="53" fillId="0" borderId="39" applyFont="1" applyFill="1" applyBorder="1" applyAlignment="1">
      <alignment horizontal="center"/>
    </xf>
    <xf numFmtId="2" fontId="69" fillId="0" borderId="24" applyNumberFormat="1" applyFont="1" applyFill="1" applyBorder="1" applyAlignment="1">
      <alignment horizontal="center"/>
    </xf>
    <xf numFmtId="2" fontId="69" fillId="0" borderId="26"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0" borderId="22" applyNumberFormat="1" applyFont="1" applyFill="1" applyBorder="1" applyAlignment="1">
      <alignment horizontal="center"/>
    </xf>
    <xf numFmtId="2" fontId="69" fillId="0" borderId="23" applyNumberFormat="1" applyFont="1" applyFill="1" applyBorder="1" applyAlignment="1">
      <alignment horizontal="center"/>
    </xf>
    <xf numFmtId="2" fontId="69" fillId="10" borderId="27" applyNumberFormat="1" applyFont="1" applyFill="1" applyBorder="1" applyAlignment="1">
      <alignment horizontal="center"/>
    </xf>
    <xf numFmtId="2" fontId="69" fillId="10" borderId="29" applyNumberFormat="1" applyFont="1" applyFill="1" applyBorder="1" applyAlignment="1">
      <alignment horizontal="center"/>
    </xf>
    <xf numFmtId="2" fontId="69" fillId="0" borderId="25" applyNumberFormat="1" applyFont="1" applyFill="1" applyBorder="1" applyAlignment="1">
      <alignment horizontal="center"/>
    </xf>
    <xf numFmtId="2" fontId="69" fillId="10" borderId="28" applyNumberFormat="1" applyFont="1" applyFill="1" applyBorder="1" applyAlignment="1">
      <alignment horizontal="center"/>
    </xf>
    <xf numFmtId="2" fontId="69" fillId="0" borderId="27" applyNumberFormat="1" applyFont="1" applyFill="1" applyBorder="1" applyAlignment="1">
      <alignment horizontal="center"/>
    </xf>
    <xf numFmtId="2" fontId="69" fillId="0" borderId="28" applyNumberFormat="1" applyFont="1" applyFill="1" applyBorder="1" applyAlignment="1">
      <alignment horizontal="center"/>
    </xf>
    <xf numFmtId="2" fontId="69" fillId="0" borderId="29" applyNumberFormat="1" applyFont="1" applyFill="1" applyBorder="1" applyAlignment="1">
      <alignment horizontal="center"/>
    </xf>
    <xf numFmtId="0" fontId="46" fillId="3" borderId="0" applyFont="1" applyFill="1"/>
    <xf numFmtId="0" fontId="45" fillId="3" borderId="33" applyFont="1" applyFill="1" applyBorder="1" applyAlignment="1">
      <alignment horizontal="center"/>
    </xf>
    <xf numFmtId="0" fontId="45" fillId="6" borderId="34" applyFont="1" applyFill="1" applyBorder="1" applyAlignment="1">
      <alignment horizontal="center"/>
    </xf>
    <xf numFmtId="0" fontId="45" fillId="3" borderId="34" applyFont="1" applyFill="1" applyBorder="1" applyAlignment="1">
      <alignment horizontal="center"/>
    </xf>
    <xf numFmtId="0" fontId="45" fillId="6" borderId="35" applyFont="1" applyFill="1" applyBorder="1" applyAlignment="1">
      <alignment horizontal="center"/>
    </xf>
    <xf numFmtId="1" fontId="45" fillId="3" borderId="24" applyNumberFormat="1" applyFont="1" applyFill="1" applyBorder="1" applyAlignment="1">
      <alignment horizontal="center"/>
    </xf>
    <xf numFmtId="1" fontId="45" fillId="3" borderId="25" applyNumberFormat="1" applyFont="1" applyFill="1" applyBorder="1" applyAlignment="1">
      <alignment horizontal="center"/>
    </xf>
    <xf numFmtId="1" fontId="45" fillId="3" borderId="26" applyNumberFormat="1" applyFont="1" applyFill="1" applyBorder="1" applyAlignment="1">
      <alignment horizontal="center"/>
    </xf>
    <xf numFmtId="1" fontId="45" fillId="6" borderId="22" applyNumberFormat="1" applyFont="1" applyFill="1" applyBorder="1" applyAlignment="1">
      <alignment horizontal="center"/>
    </xf>
    <xf numFmtId="1" fontId="45" fillId="6" borderId="23" applyNumberFormat="1" applyFont="1" applyFill="1" applyBorder="1" applyAlignment="1">
      <alignment horizontal="center"/>
    </xf>
    <xf numFmtId="1" fontId="45" fillId="6" borderId="27" applyNumberFormat="1" applyFont="1" applyFill="1" applyBorder="1" applyAlignment="1">
      <alignment horizontal="center"/>
    </xf>
    <xf numFmtId="1" fontId="45" fillId="6" borderId="28" applyNumberFormat="1" applyFont="1" applyFill="1" applyBorder="1" applyAlignment="1">
      <alignment horizontal="center"/>
    </xf>
    <xf numFmtId="1" fontId="45" fillId="6" borderId="29" applyNumberFormat="1" applyFont="1" applyFill="1" applyBorder="1" applyAlignment="1">
      <alignment horizontal="center"/>
    </xf>
    <xf numFmtId="1" fontId="45" fillId="3" borderId="36" applyNumberFormat="1" applyFont="1" applyFill="1" applyBorder="1" applyAlignment="1">
      <alignment horizontal="center"/>
    </xf>
    <xf numFmtId="1" fontId="45" fillId="3" borderId="38" applyNumberFormat="1" applyFont="1" applyFill="1" applyBorder="1" applyAlignment="1">
      <alignment horizontal="center"/>
    </xf>
    <xf numFmtId="1" fontId="45" fillId="6" borderId="37" applyNumberFormat="1" applyFont="1" applyFill="1" applyBorder="1" applyAlignment="1">
      <alignment horizontal="center"/>
    </xf>
    <xf numFmtId="1" fontId="45" fillId="6" borderId="39" applyNumberFormat="1" applyFont="1" applyFill="1" applyBorder="1" applyAlignment="1">
      <alignment horizontal="center"/>
    </xf>
    <xf numFmtId="0" fontId="42" fillId="0" borderId="14" applyFont="1" applyFill="1" applyBorder="1" applyAlignment="1">
      <alignment horizontal="right"/>
    </xf>
    <xf numFmtId="0" fontId="32" fillId="0" borderId="0" applyFont="1" applyFill="1"/>
    <xf numFmtId="17" fontId="42" fillId="0" borderId="0" applyNumberFormat="1" applyFont="1" applyFill="1" applyAlignment="1">
      <alignment horizontal="left"/>
    </xf>
    <xf numFmtId="0" fontId="1" fillId="12" borderId="0" applyFont="1" applyFill="1"/>
    <xf numFmtId="0" fontId="62" fillId="12" borderId="0" applyFont="1" applyFill="1" applyAlignment="1">
      <alignment horizontal="right"/>
    </xf>
    <xf numFmtId="0" fontId="63" fillId="12" borderId="0" applyFont="1" applyFill="1" applyAlignment="1">
      <alignment horizontal="left" vertical="top"/>
    </xf>
    <xf numFmtId="0" fontId="64" fillId="12" borderId="0" applyFont="1" applyFill="1" applyAlignment="1">
      <alignment horizontal="right"/>
    </xf>
    <xf numFmtId="0" fontId="65" fillId="12" borderId="0" applyFont="1" applyFill="1"/>
    <xf numFmtId="0" fontId="63" fillId="12" borderId="0" applyFont="1" applyFill="1"/>
    <xf numFmtId="0" fontId="65" fillId="12" borderId="0" applyFont="1" applyFill="1" applyAlignment="1">
      <alignment wrapText="1"/>
    </xf>
    <xf numFmtId="0" fontId="66" fillId="12" borderId="0" applyFont="1" applyFill="1"/>
    <xf numFmtId="0" fontId="69" fillId="12" borderId="0" applyFont="1" applyFill="1"/>
    <xf numFmtId="0" fontId="36" fillId="12" borderId="0" applyFont="1" applyFill="1"/>
    <xf numFmtId="0" fontId="55" fillId="12" borderId="1" applyFont="1" applyFill="1" applyBorder="1"/>
    <xf numFmtId="0" fontId="55" fillId="12" borderId="30" applyFont="1" applyFill="1" applyBorder="1"/>
    <xf numFmtId="0" fontId="56" fillId="12" borderId="1" applyFont="1" applyFill="1" applyBorder="1" applyAlignment="1">
      <alignment horizontal="center"/>
    </xf>
    <xf numFmtId="0" fontId="1" fillId="12" borderId="0" applyFont="1" applyFill="1" applyAlignment="1">
      <alignment horizontal="right"/>
    </xf>
    <xf numFmtId="0" fontId="63" fillId="12" borderId="0" applyFont="1" applyFill="1" applyAlignment="1">
      <alignment horizontal="right" vertical="top"/>
    </xf>
    <xf numFmtId="0" fontId="65" fillId="12" borderId="0" applyFont="1" applyFill="1" applyAlignment="1">
      <alignment horizontal="right"/>
    </xf>
    <xf numFmtId="0" fontId="54" fillId="12" borderId="0" applyFont="1" applyFill="1" applyAlignment="1">
      <alignment horizontal="right"/>
    </xf>
    <xf numFmtId="0" fontId="63" fillId="12" borderId="0" applyFont="1" applyFill="1" applyAlignment="1">
      <alignment horizontal="right"/>
    </xf>
    <xf numFmtId="0" fontId="1" fillId="11" borderId="0" applyFont="1" applyFill="1" applyAlignment="1">
      <alignment horizontal="right"/>
    </xf>
    <xf numFmtId="0" fontId="33" fillId="3" borderId="0" applyFont="1" applyFill="1" applyAlignment="1">
      <alignment horizontal="centerContinuous"/>
    </xf>
    <xf numFmtId="0" fontId="34" fillId="11" borderId="0" applyFont="1" applyFill="1"/>
    <xf numFmtId="0" fontId="54" fillId="12" borderId="0" applyFont="1" applyFill="1" applyAlignment="1">
      <alignment horizontal="left" vertical="top"/>
    </xf>
    <xf numFmtId="0" fontId="68" fillId="12" borderId="0" applyFont="1" applyFill="1"/>
    <xf numFmtId="0" fontId="63" fillId="12" borderId="0" applyFont="1" applyFill="1" applyAlignment="1">
      <alignment vertical="top"/>
    </xf>
    <xf numFmtId="0" fontId="34" fillId="12" borderId="0" applyFont="1" applyFill="1" applyAlignment="1">
      <alignment horizontal="right" vertical="top"/>
    </xf>
    <xf numFmtId="0" fontId="69" fillId="3" borderId="0" applyFont="1" applyFill="1" applyAlignment="1">
      <alignment horizontal="left"/>
    </xf>
    <xf numFmtId="0" fontId="73" fillId="0" borderId="0" applyFont="1" applyFill="1"/>
    <xf numFmtId="0" fontId="76" fillId="0" borderId="0" applyFont="1" applyFill="1"/>
    <xf numFmtId="0" fontId="77" fillId="0" borderId="0" applyFont="1" applyFill="1"/>
    <xf numFmtId="0" fontId="75" fillId="0" borderId="0" applyFont="1" applyFill="1" applyAlignment="1">
      <alignment vertical="top"/>
    </xf>
    <xf numFmtId="0" fontId="78" fillId="0" borderId="0" applyFont="1" applyFill="1"/>
    <xf numFmtId="0" fontId="79" fillId="0" borderId="0" applyFont="1" applyFill="1"/>
    <xf numFmtId="0" fontId="79" fillId="0" borderId="0" applyFont="1" applyFill="1" applyAlignment="1">
      <alignment vertical="top" wrapText="1"/>
    </xf>
    <xf numFmtId="0" fontId="73" fillId="0" borderId="0" applyFont="1" applyFill="1" applyAlignment="1">
      <alignment vertical="top" wrapText="1"/>
    </xf>
    <xf numFmtId="0" fontId="35" fillId="3" borderId="0" applyFont="1" applyFill="1" applyAlignment="1">
      <alignment vertical="center"/>
    </xf>
    <xf numFmtId="0" fontId="71" fillId="0" borderId="0" applyFont="1" applyFill="1" applyAlignment="1">
      <alignment vertical="top"/>
    </xf>
    <xf numFmtId="0" fontId="72" fillId="0" borderId="0" applyFont="1" applyFill="1" applyAlignment="1">
      <alignment vertical="top"/>
    </xf>
    <xf numFmtId="166" fontId="69" fillId="13" borderId="24" applyNumberFormat="1" applyFont="1" applyFill="1" applyBorder="1" applyAlignment="1">
      <alignment horizontal="center"/>
    </xf>
    <xf numFmtId="166" fontId="69" fillId="13" borderId="25" applyNumberFormat="1" applyFont="1" applyFill="1" applyBorder="1" applyAlignment="1">
      <alignment horizontal="center"/>
    </xf>
    <xf numFmtId="166" fontId="69" fillId="13" borderId="36" applyNumberFormat="1" applyFont="1" applyFill="1" applyBorder="1" applyAlignment="1">
      <alignment horizontal="center"/>
    </xf>
    <xf numFmtId="166" fontId="69" fillId="13" borderId="38" applyNumberFormat="1" applyFont="1" applyFill="1" applyBorder="1" applyAlignment="1">
      <alignment horizontal="center"/>
    </xf>
    <xf numFmtId="166" fontId="69" fillId="13" borderId="0" applyNumberFormat="1" applyFont="1" applyFill="1"/>
    <xf numFmtId="166" fontId="69" fillId="13" borderId="26" applyNumberFormat="1" applyFont="1" applyFill="1" applyBorder="1" applyAlignment="1">
      <alignment horizontal="center"/>
    </xf>
    <xf numFmtId="166" fontId="69" fillId="13" borderId="27" applyNumberFormat="1" applyFont="1" applyFill="1" applyBorder="1" applyAlignment="1">
      <alignment horizontal="center"/>
    </xf>
    <xf numFmtId="166" fontId="69" fillId="13" borderId="28" applyNumberFormat="1" applyFont="1" applyFill="1" applyBorder="1" applyAlignment="1">
      <alignment horizontal="center"/>
    </xf>
    <xf numFmtId="166" fontId="69" fillId="13" borderId="37" applyNumberFormat="1" applyFont="1" applyFill="1" applyBorder="1" applyAlignment="1">
      <alignment horizontal="center"/>
    </xf>
    <xf numFmtId="166" fontId="69" fillId="13" borderId="39" applyNumberFormat="1" applyFont="1" applyFill="1" applyBorder="1" applyAlignment="1">
      <alignment horizontal="center"/>
    </xf>
    <xf numFmtId="166" fontId="69" fillId="13" borderId="29" applyNumberFormat="1" applyFont="1" applyFill="1" applyBorder="1" applyAlignment="1">
      <alignment horizontal="center"/>
    </xf>
    <xf numFmtId="1" fontId="69" fillId="13" borderId="24" applyNumberFormat="1" applyFont="1" applyFill="1" applyBorder="1" applyAlignment="1">
      <alignment horizontal="center"/>
    </xf>
    <xf numFmtId="1" fontId="69" fillId="13" borderId="25" applyNumberFormat="1" applyFont="1" applyFill="1" applyBorder="1" applyAlignment="1">
      <alignment horizontal="center"/>
    </xf>
    <xf numFmtId="1" fontId="69" fillId="13" borderId="36" applyNumberFormat="1" applyFont="1" applyFill="1" applyBorder="1" applyAlignment="1">
      <alignment horizontal="center"/>
    </xf>
    <xf numFmtId="1" fontId="69" fillId="13" borderId="38" applyNumberFormat="1" applyFont="1" applyFill="1" applyBorder="1" applyAlignment="1">
      <alignment horizontal="center"/>
    </xf>
    <xf numFmtId="1" fontId="69" fillId="13" borderId="0" applyNumberFormat="1" applyFont="1" applyFill="1"/>
    <xf numFmtId="1" fontId="69" fillId="13" borderId="26" applyNumberFormat="1" applyFont="1" applyFill="1" applyBorder="1" applyAlignment="1">
      <alignment horizontal="center"/>
    </xf>
    <xf numFmtId="2" fontId="69" fillId="13" borderId="24" applyNumberFormat="1" applyFont="1" applyFill="1" applyBorder="1" applyAlignment="1">
      <alignment horizontal="center"/>
    </xf>
    <xf numFmtId="2" fontId="69" fillId="13" borderId="25" applyNumberFormat="1" applyFont="1" applyFill="1" applyBorder="1" applyAlignment="1">
      <alignment horizontal="center"/>
    </xf>
    <xf numFmtId="2" fontId="69" fillId="13" borderId="36" applyNumberFormat="1" applyFont="1" applyFill="1" applyBorder="1" applyAlignment="1">
      <alignment horizontal="center"/>
    </xf>
    <xf numFmtId="2" fontId="69" fillId="13" borderId="38" applyNumberFormat="1" applyFont="1" applyFill="1" applyBorder="1" applyAlignment="1">
      <alignment horizontal="center"/>
    </xf>
    <xf numFmtId="2" fontId="69" fillId="13" borderId="0" applyNumberFormat="1" applyFont="1" applyFill="1"/>
    <xf numFmtId="2" fontId="69" fillId="13" borderId="26" applyNumberFormat="1" applyFont="1" applyFill="1" applyBorder="1" applyAlignment="1">
      <alignment horizontal="center"/>
    </xf>
    <xf numFmtId="2" fontId="69" fillId="13" borderId="27" applyNumberFormat="1" applyFont="1" applyFill="1" applyBorder="1" applyAlignment="1">
      <alignment horizontal="center"/>
    </xf>
    <xf numFmtId="2" fontId="69" fillId="13" borderId="28" applyNumberFormat="1" applyFont="1" applyFill="1" applyBorder="1" applyAlignment="1">
      <alignment horizontal="center"/>
    </xf>
    <xf numFmtId="2" fontId="69" fillId="13" borderId="37" applyNumberFormat="1" applyFont="1" applyFill="1" applyBorder="1" applyAlignment="1">
      <alignment horizontal="center"/>
    </xf>
    <xf numFmtId="2" fontId="69" fillId="13" borderId="39" applyNumberFormat="1" applyFont="1" applyFill="1" applyBorder="1" applyAlignment="1">
      <alignment horizontal="center"/>
    </xf>
    <xf numFmtId="2" fontId="69" fillId="13" borderId="29" applyNumberFormat="1" applyFont="1" applyFill="1" applyBorder="1" applyAlignment="1">
      <alignment horizontal="center"/>
    </xf>
    <xf numFmtId="166" fontId="42" fillId="13" borderId="0" applyNumberFormat="1" applyFont="1" applyFill="1" applyBorder="1" applyAlignment="1">
      <alignment horizontal="center"/>
    </xf>
    <xf numFmtId="166" fontId="42" fillId="13" borderId="6" applyNumberFormat="1" applyFont="1" applyFill="1" applyBorder="1" applyAlignment="1">
      <alignment horizontal="center"/>
    </xf>
    <xf numFmtId="166" fontId="42" fillId="13" borderId="7" applyNumberFormat="1" applyFont="1" applyFill="1" applyBorder="1" applyAlignment="1">
      <alignment horizontal="center"/>
    </xf>
    <xf numFmtId="0" fontId="42" fillId="13" borderId="0" applyFont="1" applyFill="1"/>
    <xf numFmtId="0" fontId="1" fillId="12" borderId="0" applyFont="1" applyFill="1" applyAlignment="1">
      <alignment vertical="top"/>
    </xf>
    <xf numFmtId="0" fontId="69" fillId="12" borderId="0" applyFont="1" applyFill="1" applyAlignment="1">
      <alignment vertical="top"/>
    </xf>
    <xf numFmtId="0" fontId="1" fillId="11" borderId="0" applyFont="1" applyFill="1" applyAlignment="1">
      <alignment vertical="top"/>
    </xf>
    <xf numFmtId="0" fontId="1" fillId="0" borderId="0" applyFont="1" applyFill="1" applyAlignment="1">
      <alignment vertical="top"/>
    </xf>
    <xf numFmtId="0" fontId="34" fillId="12" borderId="0" applyFont="1" applyFill="1"/>
    <xf numFmtId="0" fontId="63" fillId="12" borderId="0" applyFont="1" applyFill="1" applyAlignment="1">
      <alignment horizontal="center"/>
    </xf>
    <xf numFmtId="0" fontId="34" fillId="12" borderId="0" applyFont="1" applyFill="1" applyAlignment="1">
      <alignment horizontal="right"/>
    </xf>
    <xf numFmtId="0" fontId="34" fillId="11" borderId="0" applyFont="1" applyFill="1"/>
    <xf numFmtId="0" fontId="39" fillId="12" borderId="0" applyFont="1" applyFill="1"/>
    <xf numFmtId="0" fontId="39" fillId="12" borderId="0" applyFont="1" applyFill="1" applyAlignment="1">
      <alignment horizontal="right"/>
    </xf>
    <xf numFmtId="0" fontId="39" fillId="11" borderId="0" applyFont="1" applyFill="1"/>
    <xf numFmtId="0" fontId="67" fillId="12" borderId="0" applyFont="1" applyFill="1" applyAlignment="1">
      <alignment horizontal="left"/>
    </xf>
    <xf numFmtId="0" fontId="67" fillId="12" borderId="0" applyFont="1" applyFill="1"/>
    <xf numFmtId="2" fontId="69" fillId="14" borderId="0" applyNumberFormat="1" applyFont="1" applyFill="1" applyBorder="1" applyAlignment="1">
      <alignment horizontal="center"/>
    </xf>
    <xf numFmtId="2" fontId="69" fillId="14" borderId="6" applyNumberFormat="1" applyFont="1" applyFill="1" applyBorder="1" applyAlignment="1">
      <alignment horizontal="center"/>
    </xf>
    <xf numFmtId="2" fontId="69" fillId="14" borderId="7" applyNumberFormat="1" applyFont="1" applyFill="1" applyBorder="1" applyAlignment="1">
      <alignment horizontal="center"/>
    </xf>
    <xf numFmtId="2" fontId="69" fillId="13" borderId="0" applyNumberFormat="1" applyFont="1" applyFill="1" applyBorder="1" applyAlignment="1">
      <alignment horizontal="center"/>
    </xf>
    <xf numFmtId="2" fontId="69" fillId="13" borderId="6" applyNumberFormat="1" applyFont="1" applyFill="1" applyBorder="1" applyAlignment="1">
      <alignment horizontal="center"/>
    </xf>
    <xf numFmtId="2" fontId="69" fillId="13" borderId="7" applyNumberFormat="1" applyFont="1" applyFill="1" applyBorder="1" applyAlignment="1">
      <alignment horizontal="center"/>
    </xf>
    <xf numFmtId="0" fontId="54" fillId="12" borderId="0" applyFont="1" applyFill="1" applyAlignment="1">
      <alignment horizontal="left" wrapText="1"/>
    </xf>
    <xf numFmtId="0" fontId="67" fillId="12" borderId="0" applyFont="1" applyFill="1" applyAlignment="1">
      <alignment horizontal="left" wrapText="1"/>
    </xf>
    <xf numFmtId="0" fontId="39" fillId="3" borderId="0" applyFont="1" applyFill="1" applyAlignment="1">
      <alignment horizontal="left" wrapText="1"/>
    </xf>
    <xf numFmtId="0" fontId="32" fillId="3" borderId="0" applyFont="1" applyFill="1" applyAlignment="1">
      <alignment horizontal="right" vertical="center"/>
    </xf>
    <xf numFmtId="0" fontId="55" fillId="12" borderId="30" applyFont="1" applyFill="1" applyBorder="1" applyAlignment="1">
      <alignment horizontal="center"/>
    </xf>
    <xf numFmtId="0" fontId="55" fillId="12" borderId="31" applyFont="1" applyFill="1" applyBorder="1" applyAlignment="1">
      <alignment horizontal="center"/>
    </xf>
    <xf numFmtId="0" fontId="55" fillId="12" borderId="32" applyFont="1" applyFill="1" applyBorder="1" applyAlignment="1">
      <alignment horizontal="center"/>
    </xf>
    <xf numFmtId="0" fontId="32" fillId="3" borderId="0" applyFont="1" applyFill="1" applyAlignment="1">
      <alignment horizontal="center"/>
    </xf>
    <xf numFmtId="0" fontId="69" fillId="3" borderId="0" applyFont="1" applyFill="1" applyAlignment="1">
      <alignment horizontal="right"/>
    </xf>
    <xf numFmtId="0" fontId="1" fillId="0" borderId="0" applyFont="1" applyFill="1" applyAlignment="1">
      <alignment horizontal="center"/>
    </xf>
    <xf numFmtId="0" fontId="3" fillId="12" borderId="30" applyFont="1" applyFill="1" applyBorder="1" applyAlignment="1">
      <alignment horizontal="center"/>
    </xf>
    <xf numFmtId="0" fontId="1" fillId="12" borderId="31" applyFont="1" applyFill="1" applyBorder="1" applyAlignment="1">
      <alignment horizontal="center"/>
    </xf>
    <xf numFmtId="0" fontId="1" fillId="12" borderId="32" applyFont="1" applyFill="1" applyBorder="1" applyAlignment="1">
      <alignment horizontal="center"/>
    </xf>
    <xf numFmtId="0" fontId="1" fillId="0" borderId="0" applyFont="1" applyFill="1"/>
    <xf numFmtId="0" fontId="1" fillId="0" borderId="20" applyFont="1" applyFill="1" applyBorder="1" applyAlignment="1">
      <alignment horizontal="center"/>
    </xf>
    <xf numFmtId="0" fontId="39" fillId="0" borderId="0" applyFont="1" applyFill="1" applyAlignment="1">
      <alignment horizontal="left" wrapText="1"/>
    </xf>
    <xf numFmtId="0" fontId="3" fillId="12" borderId="31" applyFont="1" applyFill="1" applyBorder="1" applyAlignment="1">
      <alignment horizontal="center"/>
    </xf>
    <xf numFmtId="0" fontId="3" fillId="12" borderId="32" applyFont="1" applyFill="1" applyBorder="1" applyAlignment="1">
      <alignment horizontal="center"/>
    </xf>
    <xf numFmtId="0" fontId="36" fillId="0" borderId="0" applyFont="1" applyFill="1" applyAlignment="1">
      <alignment horizontal="right"/>
    </xf>
    <xf numFmtId="0" fontId="55" fillId="12" borderId="33" applyFont="1" applyFill="1" applyBorder="1" applyAlignment="1">
      <alignment horizontal="center" vertical="center"/>
    </xf>
    <xf numFmtId="0" fontId="55" fillId="12" borderId="35" applyFont="1" applyFill="1" applyBorder="1" applyAlignment="1">
      <alignment horizontal="center" vertical="center"/>
    </xf>
    <xf numFmtId="0" fontId="37" fillId="0" borderId="0" applyFont="1" applyFill="1" applyAlignment="1">
      <alignment horizontal="center"/>
    </xf>
    <xf numFmtId="0" fontId="37" fillId="0" borderId="42" applyFont="1" applyFill="1" applyBorder="1" applyAlignment="1">
      <alignment horizontal="center"/>
    </xf>
    <xf numFmtId="0" fontId="37" fillId="0" borderId="43" applyFont="1" applyFill="1" applyBorder="1" applyAlignment="1">
      <alignment horizontal="center"/>
    </xf>
    <xf numFmtId="0" fontId="37" fillId="0" borderId="44" applyFont="1" applyFill="1" applyBorder="1" applyAlignment="1">
      <alignment horizontal="center"/>
    </xf>
    <xf numFmtId="0" fontId="69" fillId="0" borderId="0" applyFont="1" applyFill="1" applyAlignment="1">
      <alignment horizontal="right"/>
    </xf>
    <xf numFmtId="0" fontId="21" fillId="0" borderId="30" applyFont="1" applyFill="1" applyBorder="1" applyAlignment="1">
      <alignment horizontal="center"/>
    </xf>
    <xf numFmtId="0" fontId="21" fillId="0" borderId="31" applyFont="1" applyFill="1" applyBorder="1" applyAlignment="1">
      <alignment horizontal="center"/>
    </xf>
    <xf numFmtId="0" fontId="21" fillId="0" borderId="32" applyFont="1" applyFill="1" applyBorder="1" applyAlignment="1">
      <alignment horizontal="center"/>
    </xf>
    <xf numFmtId="0" fontId="69" fillId="0" borderId="0" applyFont="1" applyFill="1" applyAlignment="1">
      <alignment horizontal="right" shrinkToFit="1"/>
    </xf>
    <xf numFmtId="0" fontId="19" fillId="12" borderId="30" applyFont="1" applyFill="1" applyBorder="1" applyAlignment="1">
      <alignment horizontal="center"/>
    </xf>
    <xf numFmtId="0" fontId="19" fillId="12" borderId="31" applyFont="1" applyFill="1" applyBorder="1" applyAlignment="1">
      <alignment horizontal="center"/>
    </xf>
    <xf numFmtId="0" fontId="19" fillId="12" borderId="32" applyFont="1" applyFill="1" applyBorder="1" applyAlignment="1">
      <alignment horizontal="center"/>
    </xf>
    <xf numFmtId="0" fontId="21" fillId="0" borderId="24" applyFont="1" applyFill="1" applyBorder="1" applyAlignment="1">
      <alignment horizontal="center"/>
    </xf>
    <xf numFmtId="0" fontId="21" fillId="0" borderId="25" applyFont="1" applyFill="1" applyBorder="1" applyAlignment="1">
      <alignment horizontal="center"/>
    </xf>
    <xf numFmtId="0" fontId="21" fillId="0" borderId="26" applyFont="1" applyFill="1" applyBorder="1" applyAlignment="1">
      <alignment horizontal="center"/>
    </xf>
    <xf numFmtId="0" fontId="69" fillId="0" borderId="0" applyFont="1" applyFill="1" applyAlignment="1">
      <alignment horizontal="right" wrapText="1"/>
    </xf>
    <xf numFmtId="0" fontId="21" fillId="0" borderId="11" applyFont="1" applyFill="1" applyBorder="1" applyAlignment="1">
      <alignment horizontal="center"/>
    </xf>
    <xf numFmtId="0" fontId="21" fillId="0" borderId="9" applyFont="1" applyFill="1" applyBorder="1" applyAlignment="1">
      <alignment horizontal="center"/>
    </xf>
    <xf numFmtId="0" fontId="21" fillId="0" borderId="27" applyFont="1" applyFill="1" applyBorder="1" applyAlignment="1">
      <alignment horizontal="center"/>
    </xf>
    <xf numFmtId="0" fontId="21" fillId="0" borderId="28" applyFont="1" applyFill="1" applyBorder="1" applyAlignment="1">
      <alignment horizontal="center"/>
    </xf>
    <xf numFmtId="0" fontId="21" fillId="0" borderId="29" applyFont="1" applyFill="1" applyBorder="1" applyAlignment="1">
      <alignment horizontal="center"/>
    </xf>
    <xf numFmtId="1" fontId="45" fillId="3" borderId="22" applyNumberFormat="1" applyFont="1" applyFill="1" applyBorder="1" applyAlignment="1">
      <alignment horizontal="center"/>
    </xf>
    <xf numFmtId="1" fontId="45" fillId="3" borderId="0" applyNumberFormat="1" applyFont="1" applyFill="1" applyAlignment="1">
      <alignment horizontal="center"/>
    </xf>
    <xf numFmtId="1" fontId="45" fillId="3" borderId="23" applyNumberFormat="1" applyFont="1" applyFill="1" applyBorder="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55" fillId="12" borderId="33" applyFont="1" applyFill="1" applyBorder="1" applyAlignment="1">
      <alignment horizontal="center"/>
    </xf>
    <xf numFmtId="0" fontId="55" fillId="12" borderId="35" applyFont="1" applyFill="1" applyBorder="1" applyAlignment="1">
      <alignment horizontal="center"/>
    </xf>
    <xf numFmtId="0" fontId="40" fillId="3" borderId="42" applyFont="1" applyFill="1" applyBorder="1" applyAlignment="1">
      <alignment horizontal="center"/>
    </xf>
    <xf numFmtId="0" fontId="40" fillId="3" borderId="43" applyFont="1" applyFill="1" applyBorder="1" applyAlignment="1">
      <alignment horizontal="center"/>
    </xf>
    <xf numFmtId="0" fontId="40" fillId="3" borderId="44" applyFont="1" applyFill="1" applyBorder="1" applyAlignment="1">
      <alignment horizontal="center"/>
    </xf>
    <xf numFmtId="0" fontId="40" fillId="3" borderId="0" applyFont="1" applyFill="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10" borderId="28" applyFont="1" applyFill="1" applyBorder="1" applyAlignment="1">
      <alignment horizontal="center"/>
    </xf>
    <xf numFmtId="0" fontId="34" fillId="10" borderId="29" applyFont="1" applyFill="1" applyBorder="1" applyAlignment="1">
      <alignment horizontal="center"/>
    </xf>
    <xf numFmtId="0" fontId="34" fillId="10" borderId="0" applyFont="1" applyFill="1" applyAlignment="1">
      <alignment horizontal="center"/>
    </xf>
    <xf numFmtId="0" fontId="34" fillId="10" borderId="23" applyFont="1" applyFill="1" applyBorder="1" applyAlignment="1">
      <alignment horizontal="center"/>
    </xf>
    <xf numFmtId="1" fontId="69" fillId="0" borderId="0" applyNumberFormat="1" applyFont="1" applyFill="1" applyAlignment="1">
      <alignment horizontal="left"/>
    </xf>
    <xf numFmtId="0" fontId="1" fillId="0" borderId="0" applyFont="1" applyFill="1" applyAlignment="1">
      <alignment horizontal="right"/>
    </xf>
    <xf numFmtId="0" fontId="1" fillId="0" borderId="23" applyFont="1" applyFill="1" applyBorder="1" applyAlignment="1">
      <alignment horizontal="right"/>
    </xf>
    <xf numFmtId="0" fontId="34" fillId="0" borderId="22" applyFont="1" applyFill="1" applyBorder="1" applyAlignment="1">
      <alignment horizontal="center"/>
    </xf>
    <xf numFmtId="0" fontId="33" fillId="0" borderId="0" applyFont="1" applyFill="1" applyAlignment="1">
      <alignment horizontal="center"/>
    </xf>
    <xf numFmtId="166" fontId="69" fillId="0" borderId="0" applyNumberFormat="1" applyFont="1" applyFill="1"/>
    <xf numFmtId="0" fontId="34" fillId="10" borderId="27" applyFont="1" applyFill="1" applyBorder="1" applyAlignment="1">
      <alignment horizontal="center"/>
    </xf>
    <xf numFmtId="0" fontId="33" fillId="0" borderId="28"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34" fillId="10" borderId="22" applyFont="1" applyFill="1" applyBorder="1" applyAlignment="1">
      <alignment horizontal="center"/>
    </xf>
    <xf numFmtId="0" fontId="32" fillId="0" borderId="0" applyFont="1" applyFill="1" applyAlignment="1">
      <alignment horizontal="center"/>
    </xf>
    <xf numFmtId="0" fontId="34" fillId="0" borderId="24" applyFont="1" applyFill="1" applyBorder="1" applyAlignment="1">
      <alignment horizontal="center"/>
    </xf>
    <xf numFmtId="0" fontId="57" fillId="12" borderId="24" applyFont="1" applyFill="1" applyBorder="1" applyAlignment="1">
      <alignment horizontal="center" vertical="center"/>
    </xf>
    <xf numFmtId="0" fontId="57" fillId="12" borderId="25" applyFont="1" applyFill="1" applyBorder="1" applyAlignment="1">
      <alignment horizontal="center" vertical="center"/>
    </xf>
    <xf numFmtId="0" fontId="57" fillId="12" borderId="26" applyFont="1" applyFill="1" applyBorder="1" applyAlignment="1">
      <alignment horizontal="center" vertical="center"/>
    </xf>
    <xf numFmtId="0" fontId="57" fillId="12" borderId="27" applyFont="1" applyFill="1" applyBorder="1" applyAlignment="1">
      <alignment horizontal="center" vertical="center"/>
    </xf>
    <xf numFmtId="0" fontId="57" fillId="12" borderId="28" applyFont="1" applyFill="1" applyBorder="1" applyAlignment="1">
      <alignment horizontal="center" vertical="center"/>
    </xf>
    <xf numFmtId="0" fontId="57" fillId="12" borderId="29" applyFont="1" applyFill="1" applyBorder="1" applyAlignment="1">
      <alignment horizontal="center" vertical="center"/>
    </xf>
    <xf numFmtId="1" fontId="34" fillId="0" borderId="0" applyNumberFormat="1" applyFont="1" applyFill="1" applyAlignment="1">
      <alignment horizontal="left" wrapText="1"/>
    </xf>
    <xf numFmtId="0" fontId="34" fillId="6" borderId="28" applyFont="1" applyFill="1" applyBorder="1" applyAlignment="1">
      <alignment horizontal="center"/>
    </xf>
    <xf numFmtId="0" fontId="34" fillId="6" borderId="29" applyFont="1" applyFill="1" applyBorder="1" applyAlignment="1">
      <alignment horizontal="center"/>
    </xf>
    <xf numFmtId="0" fontId="34" fillId="6" borderId="27" applyFont="1" applyFill="1" applyBorder="1" applyAlignment="1">
      <alignment horizontal="center"/>
    </xf>
    <xf numFmtId="0" fontId="34" fillId="6" borderId="0" applyFont="1" applyFill="1" applyAlignment="1">
      <alignment horizontal="center"/>
    </xf>
    <xf numFmtId="0" fontId="34" fillId="6" borderId="23" applyFont="1" applyFill="1" applyBorder="1" applyAlignment="1">
      <alignment horizontal="center"/>
    </xf>
    <xf numFmtId="0" fontId="34" fillId="0" borderId="22" applyFont="1" applyFill="1" applyBorder="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6" borderId="22" applyFont="1" applyFill="1" applyBorder="1" applyAlignment="1">
      <alignment horizontal="center"/>
    </xf>
    <xf numFmtId="0" fontId="32" fillId="0" borderId="0" applyFont="1" applyFill="1" applyAlignment="1">
      <alignment horizontal="center"/>
    </xf>
    <xf numFmtId="0" fontId="33" fillId="0" borderId="0" applyFont="1" applyFill="1" applyAlignment="1">
      <alignment horizontal="center"/>
    </xf>
    <xf numFmtId="0" fontId="34" fillId="0" borderId="24"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1" fillId="3" borderId="0" applyFont="1" applyFill="1" applyBorder="1"/>
    <xf numFmtId="0" fontId="37" fillId="11" borderId="0" applyFont="1" applyFill="1" applyAlignment="1">
      <alignment horizontal="center"/>
    </xf>
    <xf numFmtId="0" fontId="19" fillId="12" borderId="24" applyFont="1" applyFill="1" applyBorder="1" applyAlignment="1">
      <alignment horizontal="center" vertical="center" wrapText="1"/>
    </xf>
    <xf numFmtId="0" fontId="19" fillId="12" borderId="25" applyFont="1" applyFill="1" applyBorder="1" applyAlignment="1">
      <alignment horizontal="center" vertical="center" wrapText="1"/>
    </xf>
    <xf numFmtId="0" fontId="19" fillId="12" borderId="26" applyFont="1" applyFill="1" applyBorder="1" applyAlignment="1">
      <alignment horizontal="center" vertical="center" wrapText="1"/>
    </xf>
    <xf numFmtId="0" fontId="19" fillId="12" borderId="27" applyFont="1" applyFill="1" applyBorder="1" applyAlignment="1">
      <alignment horizontal="center" vertical="center" wrapText="1"/>
    </xf>
    <xf numFmtId="0" fontId="19" fillId="12" borderId="28" applyFont="1" applyFill="1" applyBorder="1" applyAlignment="1">
      <alignment horizontal="center" vertical="center" wrapText="1"/>
    </xf>
    <xf numFmtId="0" fontId="19" fillId="12" borderId="29" applyFont="1" applyFill="1" applyBorder="1" applyAlignment="1">
      <alignment horizontal="center" vertical="center" wrapText="1"/>
    </xf>
    <xf numFmtId="0" fontId="1" fillId="0" borderId="0" applyFont="1" applyFill="1" applyAlignment="1">
      <alignment horizontal="left" wrapText="1"/>
    </xf>
    <xf numFmtId="0" fontId="42" fillId="0" borderId="0" applyFont="1" applyFill="1" applyAlignment="1">
      <alignment horizontal="left" vertical="top" wrapText="1"/>
    </xf>
    <xf numFmtId="2" fontId="1" fillId="6" borderId="0" applyNumberFormat="1" applyFont="1" applyFill="1"/>
    <xf numFmtId="2" fontId="1" fillId="6" borderId="20" applyNumberFormat="1" applyFont="1" applyFill="1" applyBorder="1"/>
    <xf numFmtId="0" fontId="54" fillId="12" borderId="0" applyFont="1" applyFill="1" applyBorder="1" applyAlignment="1">
      <alignment horizontal="left" wrapText="1"/>
    </xf>
    <xf numFmtId="0" fontId="67" fillId="12" borderId="0" applyFont="1" applyFill="1" applyBorder="1" applyAlignment="1">
      <alignment horizontal="left" wrapText="1"/>
    </xf>
    <xf numFmtId="0" borderId="0"/>
    <xf numFmtId="0" fontId="69" fillId="3" borderId="0" applyFont="1" applyFill="1" applyBorder="1" applyAlignment="1">
      <alignment horizontal="right"/>
    </xf>
    <xf numFmtId="0" fontId="32" fillId="3" borderId="0" applyFont="1" applyFill="1" applyBorder="1" applyAlignment="1">
      <alignment horizontal="center"/>
    </xf>
    <xf numFmtId="0" fontId="69" fillId="3" borderId="0" applyFont="1" applyFill="1" applyBorder="1" applyAlignment="1">
      <alignment horizontal="center"/>
    </xf>
    <xf numFmtId="0" fontId="32" fillId="3" borderId="0" applyFont="1" applyFill="1" applyBorder="1" applyAlignment="1">
      <alignment horizontal="right" vertical="center"/>
    </xf>
    <xf numFmtId="0" fontId="55" fillId="12" borderId="1" applyFont="1" applyFill="1" applyBorder="1" applyAlignment="1">
      <alignment horizontal="center"/>
    </xf>
    <xf numFmtId="0" fontId="39" fillId="3" borderId="0" applyFont="1" applyFill="1" applyBorder="1" applyAlignment="1">
      <alignment horizontal="left" wrapText="1"/>
    </xf>
    <xf numFmtId="0" fontId="66" fillId="12" borderId="30" applyFont="1" applyFill="1" applyBorder="1" applyAlignment="1">
      <alignment horizontal="center"/>
    </xf>
    <xf numFmtId="0" fontId="66" fillId="12" borderId="1" applyFont="1" applyFill="1" applyBorder="1" applyAlignment="1">
      <alignment horizontal="center"/>
    </xf>
    <xf numFmtId="0" fontId="39" fillId="0" borderId="0" applyFont="1" applyFill="1" applyBorder="1" applyAlignment="1">
      <alignment horizontal="left" wrapText="1"/>
    </xf>
    <xf numFmtId="0" fontId="3" fillId="12" borderId="1" applyFont="1" applyFill="1" applyBorder="1" applyAlignment="1">
      <alignment horizontal="center"/>
    </xf>
    <xf numFmtId="0" fontId="1" fillId="0" borderId="0" applyFont="1" applyFill="1" applyBorder="1" applyAlignment="1">
      <alignment horizontal="center"/>
    </xf>
    <xf numFmtId="0" fontId="36" fillId="0" borderId="0" applyFont="1" applyFill="1" applyBorder="1" applyAlignment="1">
      <alignment horizontal="right"/>
    </xf>
    <xf numFmtId="0" fontId="55" fillId="12" borderId="1" applyFont="1" applyFill="1" applyBorder="1" applyAlignment="1">
      <alignment horizontal="center" vertical="center"/>
    </xf>
    <xf numFmtId="0" fontId="37" fillId="0" borderId="0" applyFont="1" applyFill="1" applyBorder="1" applyAlignment="1">
      <alignment horizontal="center"/>
    </xf>
    <xf numFmtId="0" fontId="37" fillId="0" borderId="45" applyFont="1" applyFill="1" applyBorder="1" applyAlignment="1">
      <alignment horizontal="center"/>
    </xf>
    <xf numFmtId="0" fontId="69" fillId="0" borderId="0" applyFont="1" applyFill="1" applyBorder="1" applyAlignment="1">
      <alignment horizontal="right"/>
    </xf>
    <xf numFmtId="0" fontId="21" fillId="0" borderId="1" applyFont="1" applyFill="1" applyBorder="1" applyAlignment="1">
      <alignment horizontal="center"/>
    </xf>
    <xf numFmtId="0" fontId="69" fillId="0" borderId="0" applyFont="1" applyFill="1" applyBorder="1" applyAlignment="1">
      <alignment horizontal="right" shrinkToFit="1"/>
    </xf>
    <xf numFmtId="0" fontId="19" fillId="12" borderId="1" applyFont="1" applyFill="1" applyBorder="1" applyAlignment="1">
      <alignment horizontal="center"/>
    </xf>
    <xf numFmtId="0" fontId="21" fillId="0" borderId="33" applyFont="1" applyFill="1" applyBorder="1" applyAlignment="1">
      <alignment horizontal="center"/>
    </xf>
    <xf numFmtId="0" fontId="69" fillId="0" borderId="0" applyFont="1" applyFill="1" applyBorder="1" applyAlignment="1">
      <alignment horizontal="right" wrapText="1"/>
    </xf>
    <xf numFmtId="0" fontId="21" fillId="0" borderId="35" applyFont="1" applyFill="1" applyBorder="1" applyAlignment="1">
      <alignment horizontal="center"/>
    </xf>
    <xf numFmtId="0" fontId="40" fillId="3" borderId="45" applyFont="1" applyFill="1" applyBorder="1" applyAlignment="1">
      <alignment horizontal="center"/>
    </xf>
    <xf numFmtId="0" fontId="40" fillId="3" borderId="0" applyFont="1" applyFill="1" applyBorder="1" applyAlignment="1">
      <alignment horizontal="center"/>
    </xf>
    <xf numFmtId="1" fontId="45" fillId="3" borderId="34" applyNumberFormat="1" applyFont="1" applyFill="1" applyBorder="1" applyAlignment="1">
      <alignment horizontal="center"/>
    </xf>
    <xf numFmtId="1" fontId="45" fillId="3" borderId="46" applyNumberFormat="1" applyFont="1" applyFill="1" applyBorder="1" applyAlignment="1">
      <alignment horizontal="center"/>
    </xf>
    <xf numFmtId="1" fontId="45" fillId="3" borderId="0" applyNumberFormat="1" applyFont="1" applyFill="1" applyBorder="1" applyAlignment="1">
      <alignment horizontal="center"/>
    </xf>
    <xf numFmtId="0" fontId="34" fillId="10" borderId="0" applyFont="1" applyFill="1" applyBorder="1" applyAlignment="1">
      <alignment horizontal="center"/>
    </xf>
    <xf numFmtId="0" fontId="34" fillId="0" borderId="0" applyFont="1" applyFill="1" applyBorder="1" applyAlignment="1">
      <alignment horizontal="center"/>
    </xf>
    <xf numFmtId="1" fontId="69" fillId="0" borderId="0" applyNumberFormat="1" applyFont="1" applyFill="1" applyBorder="1" applyAlignment="1">
      <alignment horizontal="left"/>
    </xf>
    <xf numFmtId="166" fontId="69" fillId="0" borderId="0" applyNumberFormat="1" applyFont="1" applyFill="1" applyBorder="1"/>
    <xf numFmtId="1" fontId="34" fillId="0" borderId="0" applyNumberFormat="1" applyFont="1" applyFill="1" applyBorder="1" applyAlignment="1">
      <alignment horizontal="left" wrapText="1"/>
    </xf>
    <xf numFmtId="0" fontId="57" fillId="12" borderId="30" applyFont="1" applyFill="1" applyBorder="1" applyAlignment="1">
      <alignment horizontal="center" vertical="center"/>
    </xf>
    <xf numFmtId="0" fontId="57" fillId="12" borderId="33" applyFont="1" applyFill="1" applyBorder="1" applyAlignment="1">
      <alignment horizontal="center" vertical="center"/>
    </xf>
    <xf numFmtId="0" fontId="57" fillId="12" borderId="1" applyFont="1" applyFill="1" applyBorder="1" applyAlignment="1">
      <alignment horizontal="center" vertical="center"/>
    </xf>
    <xf numFmtId="0" fontId="33" fillId="0" borderId="0" applyFont="1" applyFill="1" applyBorder="1" applyAlignment="1">
      <alignment horizontal="center"/>
    </xf>
    <xf numFmtId="0" fontId="32" fillId="0" borderId="0" applyFont="1" applyFill="1" applyBorder="1" applyAlignment="1">
      <alignment horizontal="center"/>
    </xf>
    <xf numFmtId="0" fontId="1" fillId="0" borderId="0" applyFont="1" applyFill="1" applyBorder="1" applyAlignment="1">
      <alignment horizontal="right"/>
    </xf>
    <xf numFmtId="0" fontId="1" fillId="0" borderId="0" applyFont="1" applyFill="1" applyBorder="1" applyAlignment="1">
      <alignment horizontal="left" wrapText="1"/>
    </xf>
    <xf numFmtId="0" fontId="37" fillId="11" borderId="0" applyFont="1" applyFill="1" applyBorder="1" applyAlignment="1">
      <alignment horizontal="center"/>
    </xf>
    <xf numFmtId="0" fontId="19" fillId="12" borderId="30" applyFont="1" applyFill="1" applyBorder="1" applyAlignment="1">
      <alignment horizontal="center" vertical="center" wrapText="1"/>
    </xf>
    <xf numFmtId="0" fontId="19" fillId="12" borderId="33" applyFont="1" applyFill="1" applyBorder="1" applyAlignment="1">
      <alignment horizontal="center" vertical="center" wrapText="1"/>
    </xf>
    <xf numFmtId="0" fontId="19" fillId="12" borderId="1" applyFont="1" applyFill="1" applyBorder="1" applyAlignment="1">
      <alignment horizontal="center" vertical="center" wrapText="1"/>
    </xf>
    <xf numFmtId="0" fontId="34" fillId="6" borderId="0" applyFont="1" applyFill="1" applyBorder="1" applyAlignment="1">
      <alignment horizontal="center"/>
    </xf>
    <xf numFmtId="0" fontId="42" fillId="0" borderId="0" applyFont="1" applyFill="1" applyBorder="1" applyAlignment="1">
      <alignment horizontal="left" vertical="top" wrapText="1"/>
    </xf>
    <xf numFmtId="0" fontId="81" fillId="15" borderId="47" applyFont="1" applyFill="1" applyBorder="1" applyAlignment="1">
      <alignment horizontal="left"/>
    </xf>
    <xf numFmtId="0" fontId="81" fillId="16" borderId="47" applyFont="1" applyFill="1" applyBorder="1" applyAlignment="1">
      <alignment horizontal="left"/>
    </xf>
    <xf numFmtId="0" fontId="32" fillId="3" borderId="48" applyFont="1" applyFill="1" applyBorder="1" applyAlignment="1">
      <alignment horizontal="center"/>
    </xf>
    <xf numFmtId="0" fontId="69" fillId="3" borderId="48" applyFont="1" applyFill="1" applyBorder="1" applyAlignment="1">
      <alignment horizontal="right"/>
    </xf>
    <xf numFmtId="0" fontId="32" fillId="3" borderId="48" applyFont="1" applyFill="1" applyBorder="1" applyAlignment="1">
      <alignment horizontal="right" vertical="center"/>
    </xf>
    <xf numFmtId="0" fontId="39" fillId="3" borderId="48" applyFont="1" applyFill="1" applyBorder="1" applyAlignment="1">
      <alignment horizontal="left" wrapText="1"/>
    </xf>
    <xf numFmtId="0" fontId="36" fillId="0" borderId="48" applyFont="1" applyFill="1" applyBorder="1" applyAlignment="1">
      <alignment horizontal="right"/>
    </xf>
    <xf numFmtId="0" fontId="37" fillId="0" borderId="48" applyFont="1" applyFill="1" applyBorder="1" applyAlignment="1">
      <alignment horizontal="center"/>
    </xf>
    <xf numFmtId="0" fontId="82" fillId="15" borderId="49" applyFont="1" applyFill="1" applyBorder="1"/>
    <xf numFmtId="0" fontId="39" fillId="0" borderId="48" applyFont="1" applyFill="1" applyBorder="1" applyAlignment="1">
      <alignment horizontal="left" wrapText="1"/>
    </xf>
    <xf numFmtId="0" fontId="51" fillId="0" borderId="50" applyFont="1" applyFill="1" applyBorder="1"/>
    <xf numFmtId="0" fontId="53" fillId="0" borderId="51" applyFont="1" applyFill="1" applyBorder="1" applyAlignment="1">
      <alignment horizontal="center"/>
    </xf>
    <xf numFmtId="166" fontId="69" fillId="13" borderId="50" applyNumberFormat="1" applyFont="1" applyFill="1" applyBorder="1" applyAlignment="1">
      <alignment horizontal="center"/>
    </xf>
    <xf numFmtId="166" fontId="69" fillId="10" borderId="51" applyNumberFormat="1" applyFont="1" applyFill="1" applyBorder="1" applyAlignment="1">
      <alignment horizontal="center"/>
    </xf>
    <xf numFmtId="166" fontId="69" fillId="13" borderId="52" applyNumberFormat="1" applyFont="1" applyFill="1" applyBorder="1" applyAlignment="1">
      <alignment horizontal="center"/>
    </xf>
    <xf numFmtId="166" fontId="69" fillId="10" borderId="52" applyNumberFormat="1" applyFont="1" applyFill="1" applyBorder="1" applyAlignment="1">
      <alignment horizontal="center"/>
    </xf>
    <xf numFmtId="1" fontId="69" fillId="13" borderId="50" applyNumberFormat="1" applyFont="1" applyFill="1" applyBorder="1" applyAlignment="1">
      <alignment horizontal="center"/>
    </xf>
    <xf numFmtId="1" fontId="69" fillId="10" borderId="52" applyNumberFormat="1" applyFont="1" applyFill="1" applyBorder="1" applyAlignment="1">
      <alignment horizontal="center"/>
    </xf>
    <xf numFmtId="0" fontId="83" fillId="17" borderId="0" applyFont="1" applyFill="1"/>
    <xf numFmtId="2" fontId="69" fillId="13" borderId="50" applyNumberFormat="1" applyFont="1" applyFill="1" applyBorder="1" applyAlignment="1">
      <alignment horizontal="center"/>
    </xf>
    <xf numFmtId="2" fontId="69" fillId="10" borderId="51" applyNumberFormat="1" applyFont="1" applyFill="1" applyBorder="1" applyAlignment="1">
      <alignment horizontal="center"/>
    </xf>
    <xf numFmtId="2" fontId="69" fillId="13" borderId="52" applyNumberFormat="1" applyFont="1" applyFill="1" applyBorder="1" applyAlignment="1">
      <alignment horizontal="center"/>
    </xf>
    <xf numFmtId="0" fontId="53" fillId="0" borderId="52" applyFont="1" applyFill="1" applyBorder="1" applyAlignment="1">
      <alignment horizontal="center"/>
    </xf>
    <xf numFmtId="0" fontId="81" fillId="15" borderId="47" applyFont="1" applyFill="1" applyBorder="1" applyAlignment="1">
      <alignment horizontal="right"/>
    </xf>
    <xf numFmtId="0" fontId="81" fillId="15" borderId="53" applyFont="1" applyFill="1" applyBorder="1"/>
    <xf numFmtId="0" fontId="81" fillId="15" borderId="54" applyFont="1" applyFill="1" applyBorder="1"/>
    <xf numFmtId="0" fontId="81" fillId="15" borderId="55" applyFont="1" applyFill="1" applyBorder="1"/>
    <xf numFmtId="0" fontId="81" fillId="16" borderId="47" applyFont="1" applyFill="1" applyBorder="1" applyAlignment="1">
      <alignment horizontal="right"/>
    </xf>
    <xf numFmtId="0" fontId="81" fillId="16" borderId="53" applyFont="1" applyFill="1" applyBorder="1"/>
    <xf numFmtId="0" fontId="81" fillId="16" borderId="54" applyFont="1" applyFill="1" applyBorder="1"/>
    <xf numFmtId="0" fontId="81" fillId="16" borderId="55" applyFont="1" applyFill="1" applyBorder="1"/>
    <xf numFmtId="0" fontId="81" fillId="17" borderId="55" applyFont="1" applyFill="1" applyBorder="1" applyAlignment="1">
      <alignment horizontal="center" vertical="center"/>
    </xf>
  </cellXfs>
  <cellStyles count="176">
    <cellStyle name="Comma" xfId="1" builtinId="3"/>
    <cellStyle name="Comma_MTD Classic Sample" xfId="2"/>
    <cellStyle name="Currency" xfId="3" builtinId="4"/>
    <cellStyle name="ExtStyle 0" xfId="4"/>
    <cellStyle name="ExtStyle 16" xfId="5"/>
    <cellStyle name="ExtStyle 17" xfId="6"/>
    <cellStyle name="ExtStyle 18" xfId="7"/>
    <cellStyle name="ExtStyle 19" xfId="8"/>
    <cellStyle name="ExtStyle 20" xfId="9"/>
    <cellStyle name="ExtStyle 21" xfId="10"/>
    <cellStyle name="ExtStyle 22" xfId="11"/>
    <cellStyle name="ExtStyle 28" xfId="12"/>
    <cellStyle name="ExtStyle 29" xfId="13"/>
    <cellStyle name="ExtStyle 30" xfId="14"/>
    <cellStyle name="ExtStyle 31" xfId="15"/>
    <cellStyle name="ExtStyle 32" xfId="16"/>
    <cellStyle name="ExtStyle 33" xfId="17"/>
    <cellStyle name="ExtStyle 34" xfId="18"/>
    <cellStyle name="ExtStyle 35" xfId="19"/>
    <cellStyle name="ExtStyle 36" xfId="20"/>
    <cellStyle name="ExtStyle 37" xfId="21"/>
    <cellStyle name="ExtStyle 38" xfId="22"/>
    <cellStyle name="ExtStyle 39" xfId="23"/>
    <cellStyle name="Hyperlink 2" xfId="24"/>
    <cellStyle name="Normal" xfId="0" builtinId="0"/>
    <cellStyle name="Normal 2" xfId="25"/>
    <cellStyle name="Percent" xfId="26" builtinId="5"/>
    <cellStyle name="Style 1025" xfId="27"/>
    <cellStyle name="Style 1101" xfId="28"/>
    <cellStyle name="Style 1103" xfId="29"/>
    <cellStyle name="Style 1104" xfId="30"/>
    <cellStyle name="Style 1105" xfId="31"/>
    <cellStyle name="Style 1106" xfId="32"/>
    <cellStyle name="Style 1107" xfId="33"/>
    <cellStyle name="Style 1108" xfId="34"/>
    <cellStyle name="Style 1109" xfId="35"/>
    <cellStyle name="Style 1110" xfId="36"/>
    <cellStyle name="Style 1111" xfId="37"/>
    <cellStyle name="Style 1112" xfId="38"/>
    <cellStyle name="Style 1113" xfId="39"/>
    <cellStyle name="Style 1114" xfId="40"/>
    <cellStyle name="Style 1115" xfId="41"/>
    <cellStyle name="Style 1177" xfId="42"/>
    <cellStyle name="Style 1178" xfId="43"/>
    <cellStyle name="Style 1179" xfId="44"/>
    <cellStyle name="Style 1180" xfId="45"/>
    <cellStyle name="Style 1181" xfId="46"/>
    <cellStyle name="Style 1182" xfId="47"/>
    <cellStyle name="Style 1183" xfId="48"/>
    <cellStyle name="Style 1184" xfId="49"/>
    <cellStyle name="Style 1185" xfId="50"/>
    <cellStyle name="Style 1299" xfId="51"/>
    <cellStyle name="Style 1331" xfId="52"/>
    <cellStyle name="Style 1332" xfId="53"/>
    <cellStyle name="Style 1333" xfId="54"/>
    <cellStyle name="Style 1334" xfId="55"/>
    <cellStyle name="Style 1335" xfId="56"/>
    <cellStyle name="Style 1336" xfId="57"/>
    <cellStyle name="Style 1337" xfId="58"/>
    <cellStyle name="Style 1338" xfId="59"/>
    <cellStyle name="Style 1339" xfId="60"/>
    <cellStyle name="Style 1376" xfId="61"/>
    <cellStyle name="Style 1377" xfId="62"/>
    <cellStyle name="Style 1378" xfId="63"/>
    <cellStyle name="Style 1379" xfId="64"/>
    <cellStyle name="Style 1380" xfId="65"/>
    <cellStyle name="Style 1381" xfId="66"/>
    <cellStyle name="Style 1382" xfId="67"/>
    <cellStyle name="Style 1383" xfId="68"/>
    <cellStyle name="Style 1384" xfId="69"/>
    <cellStyle name="Style 1385" xfId="70"/>
    <cellStyle name="Style 1386" xfId="71"/>
    <cellStyle name="Style 1556" xfId="72"/>
    <cellStyle name="Style 1663" xfId="73"/>
    <cellStyle name="Style 1665" xfId="74"/>
    <cellStyle name="Style 1666" xfId="75"/>
    <cellStyle name="Style 1667" xfId="76"/>
    <cellStyle name="Style 1668" xfId="77"/>
    <cellStyle name="Style 1669" xfId="78"/>
    <cellStyle name="Style 1670" xfId="79"/>
    <cellStyle name="Style 1671" xfId="80"/>
    <cellStyle name="Style 1672" xfId="81"/>
    <cellStyle name="Style 1673" xfId="82"/>
    <cellStyle name="Style 1887" xfId="83"/>
    <cellStyle name="Style 1888" xfId="84"/>
    <cellStyle name="Style 1889" xfId="85"/>
    <cellStyle name="Style 1890" xfId="86"/>
    <cellStyle name="Style 1891" xfId="87"/>
    <cellStyle name="Style 1892" xfId="88"/>
    <cellStyle name="Style 1893" xfId="89"/>
    <cellStyle name="Style 1894" xfId="90"/>
    <cellStyle name="Style 1895" xfId="91"/>
    <cellStyle name="Style 297" xfId="92"/>
    <cellStyle name="Style 300" xfId="93"/>
    <cellStyle name="Style 528" xfId="94"/>
    <cellStyle name="Style 561" xfId="95"/>
    <cellStyle name="Style 669" xfId="96"/>
    <cellStyle name="Style 670" xfId="97"/>
    <cellStyle name="Style 671" xfId="98"/>
    <cellStyle name="Style 672" xfId="99"/>
    <cellStyle name="Style 673" xfId="100"/>
    <cellStyle name="Style 674" xfId="101"/>
    <cellStyle name="Style 675" xfId="102"/>
    <cellStyle name="Style 676" xfId="103"/>
    <cellStyle name="Style 707" xfId="104"/>
    <cellStyle name="Style 708" xfId="105"/>
    <cellStyle name="Style 709" xfId="106"/>
    <cellStyle name="Style 710" xfId="107"/>
    <cellStyle name="Style 711" xfId="108"/>
    <cellStyle name="Style 712" xfId="109"/>
    <cellStyle name="Style 713" xfId="110"/>
    <cellStyle name="Style 714" xfId="111"/>
    <cellStyle name="Style 723" xfId="112"/>
    <cellStyle name="Style 740" xfId="113"/>
    <cellStyle name="Style 741" xfId="114"/>
    <cellStyle name="Style 742" xfId="115"/>
    <cellStyle name="Style 743" xfId="116"/>
    <cellStyle name="Style 744" xfId="117"/>
    <cellStyle name="Style 745" xfId="118"/>
    <cellStyle name="Style 746" xfId="119"/>
    <cellStyle name="Style 747" xfId="120"/>
    <cellStyle name="Style 835" xfId="121"/>
    <cellStyle name="Style 843" xfId="122"/>
    <cellStyle name="Style 868" xfId="123"/>
    <cellStyle name="Style 902" xfId="124"/>
    <cellStyle name="Style 903" xfId="125"/>
    <cellStyle name="Style 904" xfId="126"/>
    <cellStyle name="Style 905" xfId="127"/>
    <cellStyle name="Style 910" xfId="128"/>
    <cellStyle name="Style 911" xfId="129"/>
    <cellStyle name="Style 912" xfId="130"/>
    <cellStyle name="Style 913" xfId="131"/>
    <cellStyle name="Style 918" xfId="132"/>
    <cellStyle name="Style 919" xfId="133"/>
    <cellStyle name="Style 920" xfId="134"/>
    <cellStyle name="Style 921" xfId="135"/>
    <cellStyle name="Style 926" xfId="136"/>
    <cellStyle name="Style 927" xfId="137"/>
    <cellStyle name="Style 928" xfId="138"/>
    <cellStyle name="Style 929" xfId="139"/>
    <cellStyle name="Style 934" xfId="140"/>
    <cellStyle name="Style 935" xfId="141"/>
    <cellStyle name="Style 936" xfId="142"/>
    <cellStyle name="Style 937" xfId="143"/>
    <cellStyle name="Style 942" xfId="144"/>
    <cellStyle name="Style 943" xfId="145"/>
    <cellStyle name="Style 944" xfId="146"/>
    <cellStyle name="Style 945" xfId="147"/>
    <cellStyle name="Style 950" xfId="148"/>
    <cellStyle name="Style 951" xfId="149"/>
    <cellStyle name="Style 952" xfId="150"/>
    <cellStyle name="Style 953" xfId="151"/>
    <cellStyle name="Style 958" xfId="152"/>
    <cellStyle name="Style 959" xfId="153"/>
    <cellStyle name="Style 960" xfId="154"/>
    <cellStyle name="Style 961" xfId="155"/>
    <cellStyle name="Style 966" xfId="156"/>
    <cellStyle name="Style 967" xfId="157"/>
    <cellStyle name="Style 968" xfId="158"/>
    <cellStyle name="Style 969" xfId="159"/>
    <cellStyle name="Style 974" xfId="160"/>
    <cellStyle name="Style 975" xfId="161"/>
    <cellStyle name="Style 976" xfId="162"/>
    <cellStyle name="Style 977" xfId="163"/>
    <cellStyle name="Style 979" xfId="164"/>
    <cellStyle name="Style 981" xfId="165"/>
    <cellStyle name="Style 982" xfId="166"/>
    <cellStyle name="Style 983" xfId="167"/>
    <cellStyle name="Style 984" xfId="168"/>
    <cellStyle name="Style 985" xfId="169"/>
    <cellStyle name="Style 986" xfId="170"/>
    <cellStyle name="Style 987" xfId="171"/>
    <cellStyle name="Style 988" xfId="172"/>
    <cellStyle name="Style 989" xfId="173"/>
    <cellStyle name="Style 991" xfId="174"/>
    <cellStyle name="Hyperlink" xfId="175"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FF00FF"/>
      <rgbColor rgb="00FFFF00"/>
      <rgbColor rgb="0000FFFF"/>
      <rgbColor rgb="00800080"/>
      <rgbColor rgb="00CC6633"/>
      <rgbColor rgb="00666666"/>
      <rgbColor rgb="00A0A0A0"/>
      <rgbColor rgb="00FFFF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B57792"/>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5" Type="http://schemas.openxmlformats.org/officeDocument/2006/relationships/worksheet" Target="worksheets/sheet8.xml" />
<Relationship Id="rId9" Type="http://schemas.openxmlformats.org/officeDocument/2006/relationships/styles" Target="/xl/styles.xml" />
<Relationship Id="rId10" Type="http://schemas.openxmlformats.org/officeDocument/2006/relationships/theme" Target="/xl/theme/theme1.xml" />
<Relationship Id="rId8" Type="http://schemas.openxmlformats.org/officeDocument/2006/relationships/worksheet" Target="worksheets/sheet16.xml" />
<Relationship Id="rId3" Type="http://schemas.openxmlformats.org/officeDocument/2006/relationships/worksheet" Target="worksheets/sheet1.xml" />
<Relationship Id="rId4" Type="http://schemas.openxmlformats.org/officeDocument/2006/relationships/worksheet" Target="worksheets/sheet6.xml" />
<Relationship Id="rId6" Type="http://schemas.openxmlformats.org/officeDocument/2006/relationships/worksheet" Target="worksheets/sheet10.xml" />
<Relationship Id="rId11" Type="http://schemas.openxmlformats.org/officeDocument/2006/relationships/sharedStrings" Target="/xl/sharedStrings.xml" />
<Relationship Id="rId7" Type="http://schemas.openxmlformats.org/officeDocument/2006/relationships/worksheet" Target="worksheets/sheet14.xml" />
<Relationship Id="rId2" Type="http://schemas.openxmlformats.org/officeDocument/2006/relationships/worksheet" Target="worksheets/sheet18.xml" />
<Relationship Id="rId1" Type="http://schemas.openxmlformats.org/officeDocument/2006/relationships/worksheet" Target="worksheets/sheet22.xml" />
</Relationships>
</file>

<file path=xl/charts/chart2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Daily Indexes for the Month of August</a:t>
            </a:r>
          </a:p>
        </rich>
      </tx>
      <overlay val="0"/>
    </title>
    <plotArea>
      <lineChart>
        <grouping/>
        <ser>
          <idx val="0"/>
          <order val="0"/>
          <tx>
            <v>Occupancy Index</v>
          </tx>
          <spPr>
            <a:ln w="38100">
              <a:solidFill>
                <a:srgbClr val="009CDE"/>
              </a:solidFill>
              <a:prstDash val="solid"/>
            </a:ln>
          </spPr>
          <marker>
            <symbol val="circle"/>
            <size val="8"/>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Month'!$C$28:$AG$28</f>
              <numCache>
                <formatCode>General</formatCode>
                <ptCount val="31"/>
                <pt idx="0">
                  <v>94.180045871497</v>
                </pt>
                <pt idx="0">
                  <v>89.0243902439719</v>
                </pt>
                <pt idx="0">
                  <v>83.4130527210672</v>
                </pt>
                <pt idx="0">
                  <v>83.9817603748225</v>
                </pt>
                <pt idx="0">
                  <v>89.8674242424537</v>
                </pt>
                <pt idx="0">
                  <v>75.4825367647114</v>
                </pt>
                <pt idx="0">
                  <v>84.1682569974651</v>
                </pt>
                <pt idx="0">
                  <v>83.8694852941238</v>
                </pt>
                <pt idx="0">
                  <v>71.1076653944102</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numCache>
            </numRef>
          </val>
          <smooth val="0"/>
        </ser>
        <ser>
          <idx val="1"/>
          <order val="1"/>
          <tx>
            <v>ADR Index</v>
          </tx>
          <spPr>
            <a:ln w="38100">
              <a:solidFill>
                <a:srgbClr val="D22630"/>
              </a:solidFill>
              <a:prstDash val="solid"/>
            </a:ln>
          </spPr>
          <marker>
            <symbol val="diamond"/>
            <size val="8"/>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Month'!$C$40:$AG$40</f>
              <numCache>
                <formatCode>General</formatCode>
                <ptCount val="31"/>
                <pt idx="0">
                  <v>102.507248452041</v>
                </pt>
                <pt idx="0">
                  <v>107.600896217703</v>
                </pt>
                <pt idx="0">
                  <v>115.920449739681</v>
                </pt>
                <pt idx="0">
                  <v>104.769919008331</v>
                </pt>
                <pt idx="0">
                  <v>102.796465607379</v>
                </pt>
                <pt idx="0">
                  <v>109.96497829864</v>
                </pt>
                <pt idx="0">
                  <v>115.194240206351</v>
                </pt>
                <pt idx="0">
                  <v>120.321993194584</v>
                </pt>
                <pt idx="0">
                  <v>106.427213758453</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numCache>
            </numRef>
          </val>
          <smooth val="0"/>
        </ser>
        <ser>
          <idx val="2"/>
          <order val="2"/>
          <tx>
            <v>RevPAR Index</v>
          </tx>
          <spPr>
            <a:ln w="38100">
              <a:solidFill>
                <a:srgbClr val="84BD00"/>
              </a:solidFill>
              <a:prstDash val="lgDash"/>
            </a:ln>
          </spPr>
          <marker>
            <symbol val="square"/>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Month'!$C$52:$AG$52</f>
              <numCache>
                <formatCode>General</formatCode>
                <ptCount val="31"/>
                <pt idx="0">
                  <v>96.5413736138376</v>
                </pt>
                <pt idx="0">
                  <v>95.7910417547364</v>
                </pt>
                <pt idx="0">
                  <v>96.6927858558213</v>
                </pt>
                <pt idx="0">
                  <v>87.987622326534</v>
                </pt>
                <pt idx="0">
                  <v>92.3805358536294</v>
                </pt>
                <pt idx="0">
                  <v>83.00435517262</v>
                </pt>
                <pt idx="0">
                  <v>96.9569841430997</v>
                </pt>
                <pt idx="0">
                  <v>100.913436387903</v>
                </pt>
                <pt idx="0">
                  <v>75.6779070478992</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Month'!$C$61:$AG$61</f>
              <numCache>
                <formatCode>General</formatCode>
                <ptCount val="31"/>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25"/>
          <min val="66"/>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legendEntry>
        <idx val="3"/>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27.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Occupancy (%) - May 18, 2025 to Aug 09,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Occ!$B$73:$M$73</f>
              <numCache>
                <formatCode>General</formatCode>
                <ptCount val="12"/>
                <pt idx="0">
                  <v>63.0952380952381</v>
                </pt>
                <pt idx="0">
                  <v>51.0416666666667</v>
                </pt>
                <pt idx="0">
                  <v>46.7013888888889</v>
                </pt>
                <pt idx="0">
                  <v>41.2202380952381</v>
                </pt>
                <pt idx="0">
                  <v>48.0654761904762</v>
                </pt>
                <pt idx="0">
                  <v>60.7142857142857</v>
                </pt>
                <pt idx="0">
                  <v>55.2083333333333</v>
                </pt>
                <pt idx="0">
                  <v>55.9523809523809</v>
                </pt>
                <pt idx="0">
                  <v>64.8809523809524</v>
                </pt>
                <pt idx="0">
                  <v>57.8869047619048</v>
                </pt>
                <pt idx="0">
                  <v>52.2321428571429</v>
                </pt>
                <pt idx="0">
                  <v>57.1428571428571</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Occ!$B$74:$M$74</f>
              <numCache>
                <formatCode>General</formatCode>
                <ptCount val="12"/>
                <pt idx="0">
                  <v>65.4794520547945</v>
                </pt>
                <pt idx="0">
                  <v>60.1174168297456</v>
                </pt>
                <pt idx="0">
                  <v>68.9236790606654</v>
                </pt>
                <pt idx="0">
                  <v>64.8923679060665</v>
                </pt>
                <pt idx="0">
                  <v>58.0430528375734</v>
                </pt>
                <pt idx="0">
                  <v>62.5440313111546</v>
                </pt>
                <pt idx="0">
                  <v>56.8688845401174</v>
                </pt>
                <pt idx="0">
                  <v>60.3131115459883</v>
                </pt>
                <pt idx="0">
                  <v>75.0293542074364</v>
                </pt>
                <pt idx="0">
                  <v>65.3228962818004</v>
                </pt>
                <pt idx="0">
                  <v>61.7221135029354</v>
                </pt>
                <pt idx="0">
                  <v>69.9804305283757</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Occ!$B$75:$M$75</f>
              <numCache>
                <formatCode>General</formatCode>
                <ptCount val="12"/>
                <pt idx="0">
                  <v>51.8355108160206</v>
                </pt>
                <pt idx="0">
                  <v>42.9813664596273</v>
                </pt>
                <pt idx="0">
                  <v>48.8902782119412</v>
                </pt>
                <pt idx="0">
                  <v>47.787254945742</v>
                </pt>
                <pt idx="0">
                  <v>47.6890099584692</v>
                </pt>
                <pt idx="0">
                  <v>51.1141874692984</v>
                </pt>
                <pt idx="0">
                  <v>49.1894788549993</v>
                </pt>
                <pt idx="0">
                  <v>49.8727280846693</v>
                </pt>
                <pt idx="0">
                  <v>56.0130397892198</v>
                </pt>
                <pt idx="0">
                  <v>52.5833965971509</v>
                </pt>
                <pt idx="0">
                  <v>49.7968115035949</v>
                </pt>
                <pt idx="0">
                  <v>51.3687312999598</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80"/>
          <min val="36"/>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29.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ADR - May 18, 2025 to Aug 09,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ADR!$B$73:$M$73</f>
              <numCache>
                <formatCode>General</formatCode>
                <ptCount val="12"/>
                <pt idx="0">
                  <v>137.219339622642</v>
                </pt>
                <pt idx="0">
                  <v>139.840136054422</v>
                </pt>
                <pt idx="0">
                  <v>141.171003717472</v>
                </pt>
                <pt idx="0">
                  <v>136.967509025271</v>
                </pt>
                <pt idx="0">
                  <v>141.640866873065</v>
                </pt>
                <pt idx="0">
                  <v>140.65931372549</v>
                </pt>
                <pt idx="0">
                  <v>149.978436657682</v>
                </pt>
                <pt idx="0">
                  <v>138.228723404255</v>
                </pt>
                <pt idx="0">
                  <v>133.917431192661</v>
                </pt>
                <pt idx="0">
                  <v>137.46529562982</v>
                </pt>
                <pt idx="0">
                  <v>135.97150997151</v>
                </pt>
                <pt idx="0">
                  <v>132.973958333333</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ADR!$B$74:$M$74</f>
              <numCache>
                <formatCode>General</formatCode>
                <ptCount val="12"/>
                <pt idx="0">
                  <v>125.199701135684</v>
                </pt>
                <pt idx="0">
                  <v>126.034186197917</v>
                </pt>
                <pt idx="0">
                  <v>125.11886996025</v>
                </pt>
                <pt idx="0">
                  <v>123.679137515078</v>
                </pt>
                <pt idx="0">
                  <v>121.129669588672</v>
                </pt>
                <pt idx="0">
                  <v>120.556239048811</v>
                </pt>
                <pt idx="0">
                  <v>132.295746730902</v>
                </pt>
                <pt idx="0">
                  <v>119.945561323816</v>
                </pt>
                <pt idx="0">
                  <v>120.107313510694</v>
                </pt>
                <pt idx="0">
                  <v>118.573636908328</v>
                </pt>
                <pt idx="0">
                  <v>123.182974001268</v>
                </pt>
                <pt idx="0">
                  <v>120.253383668904</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ADR!$B$75:$M$75</f>
              <numCache>
                <formatCode>General</formatCode>
                <ptCount val="12"/>
                <pt idx="0">
                  <v>110.666804396331</v>
                </pt>
                <pt idx="0">
                  <v>109.217261311541</v>
                </pt>
                <pt idx="0">
                  <v>109.003744976251</v>
                </pt>
                <pt idx="0">
                  <v>108.007756284459</v>
                </pt>
                <pt idx="0">
                  <v>105.793988201142</v>
                </pt>
                <pt idx="0">
                  <v>106.416215271711</v>
                </pt>
                <pt idx="0">
                  <v>112.457285519746</v>
                </pt>
                <pt idx="0">
                  <v>105.563574498567</v>
                </pt>
                <pt idx="0">
                  <v>106.555847883282</v>
                </pt>
                <pt idx="0">
                  <v>104.667430997877</v>
                </pt>
                <pt idx="0">
                  <v>103.301407945476</v>
                </pt>
                <pt idx="0">
                  <v>101.745892375902</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55"/>
          <min val="97"/>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31.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RevPAR - May 18, 2025 to Aug 09,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RevPAR!$B$73:$M$73</f>
              <numCache>
                <formatCode>General</formatCode>
                <ptCount val="12"/>
                <pt idx="0">
                  <v>86.5788690476191</v>
                </pt>
                <pt idx="0">
                  <v>71.3767361111111</v>
                </pt>
                <pt idx="0">
                  <v>65.9288194444444</v>
                </pt>
                <pt idx="0">
                  <v>56.4583333333333</v>
                </pt>
                <pt idx="0">
                  <v>68.0803571428571</v>
                </pt>
                <pt idx="0">
                  <v>85.4002976190476</v>
                </pt>
                <pt idx="0">
                  <v>82.8005952380952</v>
                </pt>
                <pt idx="0">
                  <v>77.3422619047619</v>
                </pt>
                <pt idx="0">
                  <v>86.8869047619048</v>
                </pt>
                <pt idx="0">
                  <v>79.5744047619048</v>
                </pt>
                <pt idx="0">
                  <v>71.0208333333333</v>
                </pt>
                <pt idx="0">
                  <v>75.9851190476191</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RevPAR!$B$74:$M$74</f>
              <numCache>
                <formatCode>General</formatCode>
                <ptCount val="12"/>
                <pt idx="0">
                  <v>81.9800782778865</v>
                </pt>
                <pt idx="0">
                  <v>75.7684970645793</v>
                </pt>
                <pt idx="0">
                  <v>86.2365283757339</v>
                </pt>
                <pt idx="0">
                  <v>80.2583209393346</v>
                </pt>
                <pt idx="0">
                  <v>70.3073581213307</v>
                </pt>
                <pt idx="0">
                  <v>75.4007318982387</v>
                </pt>
                <pt idx="0">
                  <v>75.2351154598826</v>
                </pt>
                <pt idx="0">
                  <v>72.3429001956947</v>
                </pt>
                <pt idx="0">
                  <v>90.1157416829746</v>
                </pt>
                <pt idx="0">
                  <v>77.4557338551859</v>
                </pt>
                <pt idx="0">
                  <v>76.0311350293542</v>
                </pt>
                <pt idx="0">
                  <v>84.1538356164384</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RevPAR!$B$75:$M$75</f>
              <numCache>
                <formatCode>General</formatCode>
                <ptCount val="12"/>
                <pt idx="0">
                  <v>57.3647033626044</v>
                </pt>
                <pt idx="0">
                  <v>46.9430713214821</v>
                </pt>
                <pt idx="0">
                  <v>53.2922341803242</v>
                </pt>
                <pt idx="0">
                  <v>51.6139418568303</v>
                </pt>
                <pt idx="0">
                  <v>50.4521055687045</v>
                </pt>
                <pt idx="0">
                  <v>54.3937837717144</v>
                </pt>
                <pt idx="0">
                  <v>55.3171526816416</v>
                </pt>
                <pt idx="0">
                  <v>52.6474344661278</v>
                </pt>
                <pt idx="0">
                  <v>59.685169472603</v>
                </pt>
                <pt idx="0">
                  <v>55.0376903496628</v>
                </pt>
                <pt idx="0">
                  <v>51.4408073951681</v>
                </pt>
                <pt idx="0">
                  <v>52.2655740633234</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95"/>
          <min val="42"/>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24.xml.rels><?xml version="1.0" encoding="utf-8" standalone="yes" ?>
<Relationships xmlns="http://schemas.openxmlformats.org/package/2006/relationships">
<Relationship Id="rId30" Type="http://schemas.openxmlformats.org/officeDocument/2006/relationships/chart" Target="/xl/charts/chart25.xml" />
</Relationships>
</file>

<file path=xl/drawings/_rels/drawing26.xml.rels><?xml version="1.0" encoding="utf-8" standalone="yes" ?>
<Relationships xmlns="http://schemas.openxmlformats.org/package/2006/relationships">
<Relationship Id="rId32" Type="http://schemas.openxmlformats.org/officeDocument/2006/relationships/chart" Target="/xl/charts/chart27.xml" />
</Relationships>
</file>

<file path=xl/drawings/_rels/drawing28.xml.rels><?xml version="1.0" encoding="utf-8" standalone="yes" ?>
<Relationships xmlns="http://schemas.openxmlformats.org/package/2006/relationships">
<Relationship Id="rId34" Type="http://schemas.openxmlformats.org/officeDocument/2006/relationships/chart" Target="/xl/charts/chart29.xml" />
</Relationships>
</file>

<file path=xl/drawings/_rels/drawing30.xml.rels><?xml version="1.0" encoding="utf-8" standalone="yes" ?>
<Relationships xmlns="http://schemas.openxmlformats.org/package/2006/relationships">
<Relationship Id="rId36" Type="http://schemas.openxmlformats.org/officeDocument/2006/relationships/chart" Target="/xl/charts/chart31.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10700" y="581025"/>
          <a:ext cx="1038225" cy="1038225"/>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1905000</xdr:colOff>
      <xdr:row>1</xdr:row>
      <xdr:rowOff>838200</xdr:rowOff>
    </xdr:to>
    <xdr:pic>
      <xdr:nvPicPr>
        <xdr:cNvPr id="1054" name="Picture 1">
          <a:extLst>
            <a:ext uri="{FF2B5EF4-FFF2-40B4-BE49-F238E27FC236}">
              <a16:creationId xmlns:a16="http://schemas.microsoft.com/office/drawing/2014/main" id="{00000000-0008-0000-0F00-00001E04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86475"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103632</xdr:rowOff>
    </xdr:from>
    <xdr:ext cx="18923000" cy="4670425"/>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0"/>
        </a:graphicData>
      </a:graphic>
    </xdr:graphicFrame>
    <xdr:clientData/>
  </xdr:oneCellAnchor>
</xdr:wsDr>
</file>

<file path=xl/drawings/drawing2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923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2"/>
        </a:graphicData>
      </a:graphic>
    </xdr:graphicFrame>
    <xdr:clientData/>
  </xdr:oneCellAnchor>
</xdr:wsDr>
</file>

<file path=xl/drawings/drawing2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542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4"/>
        </a:graphicData>
      </a:graphic>
    </xdr:graphicFrame>
    <xdr:clientData/>
  </xdr:oneCellAnchor>
</xdr:wsDr>
</file>

<file path=xl/drawings/drawing3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118110</xdr:rowOff>
    </xdr:from>
    <xdr:ext cx="18415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6"/>
        </a:graphicData>
      </a:graphic>
    </xdr:graphicFrame>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
<Relationships xmlns="http://schemas.openxmlformats.org/package/2006/relationships">
<Relationship Id="rId3" Type="http://schemas.openxmlformats.org/officeDocument/2006/relationships/printerSettings" Target="../printerSettings/printerSettings1.bin" />
<Relationship Id="rId4" Type="http://schemas.openxmlformats.org/officeDocument/2006/relationships/drawing" Target="../drawings/drawing1.xml" />
<Relationship Id="rId37" Type="http://schemas.openxmlformats.org/officeDocument/2006/relationships/hyperlink" Target="http://www.strglobal.com/" TargetMode="External" />
<Relationship Id="rId38" Type="http://schemas.openxmlformats.org/officeDocument/2006/relationships/hyperlink" Target="http://www.str.com/" TargetMode="External" />
</Relationships>
</file>

<file path=xl/worksheets/_rels/sheet6.xml.rels><?xml version="1.0" encoding="utf-8" standalone="yes" ?>
<Relationships xmlns="http://schemas.openxmlformats.org/package/2006/relationships">
<Relationship Id="rId1" Type="http://schemas.openxmlformats.org/officeDocument/2006/relationships/printerSettings" Target="../printerSettings/printerSettings6.bin" />
<Relationship Id="rId31" Type="http://schemas.openxmlformats.org/officeDocument/2006/relationships/drawing" Target="../drawings/drawing26.xml" />
</Relationships>
</file>

<file path=xl/worksheets/_rels/sheet8.xml.rels><?xml version="1.0" encoding="utf-8" standalone="yes" ?>
<Relationships xmlns="http://schemas.openxmlformats.org/package/2006/relationships">
<Relationship Id="rId1" Type="http://schemas.openxmlformats.org/officeDocument/2006/relationships/printerSettings" Target="../printerSettings/printerSettings8.bin" />
<Relationship Id="rId33" Type="http://schemas.openxmlformats.org/officeDocument/2006/relationships/drawing" Target="../drawings/drawing28.xml" />
</Relationships>
</file>

<file path=xl/worksheets/_rels/sheet10.xml.rels><?xml version="1.0" encoding="utf-8" standalone="yes" ?>
<Relationships xmlns="http://schemas.openxmlformats.org/package/2006/relationships">
<Relationship Id="rId1" Type="http://schemas.openxmlformats.org/officeDocument/2006/relationships/printerSettings" Target="../printerSettings/printerSettings10.bin" />
<Relationship Id="rId35" Type="http://schemas.openxmlformats.org/officeDocument/2006/relationships/drawing" Target="../drawings/drawing30.xml" />
</Relationships>
</file>

<file path=xl/worksheets/_rels/sheet14.xml.rels><?xml version="1.0" encoding="utf-8" standalone="yes" ?>
<Relationships xmlns="http://schemas.openxmlformats.org/package/2006/relationships">
<Relationship Id="rId1" Type="http://schemas.openxmlformats.org/officeDocument/2006/relationships/printerSettings" Target="../printerSettings/printerSettings14.bin" />
</Relationships>
</file>

<file path=xl/worksheets/_rels/sheet1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16.bin" />
<Relationship Id="rId39" Type="http://schemas.openxmlformats.org/officeDocument/2006/relationships/hyperlink" Target="http://www.str.com/data-insights/resources/glossary" TargetMode="External" />
<Relationship Id="rId40" Type="http://schemas.openxmlformats.org/officeDocument/2006/relationships/hyperlink" Target="http://www.hotelnewsnow.com/" TargetMode="External" />
<Relationship Id="rId41" Type="http://schemas.openxmlformats.org/officeDocument/2006/relationships/hyperlink" Target="http://www.hoteldataconference.com/" TargetMode="External" />
<Relationship Id="rId42" Type="http://schemas.openxmlformats.org/officeDocument/2006/relationships/hyperlink" Target="http://www.str.com/data-insights/resources/FAQ" TargetMode="External" />
<Relationship Id="rId43" Type="http://schemas.openxmlformats.org/officeDocument/2006/relationships/hyperlink" Target="https://str.com/contact" TargetMode="External" />
</Relationships>
</file>

<file path=xl/worksheets/_rels/sheet18.xml.rels><?xml version="1.0" encoding="utf-8" standalone="yes" ?>
<Relationships xmlns="http://schemas.openxmlformats.org/package/2006/relationships">
<Relationship Id="rId1" Type="http://schemas.openxmlformats.org/officeDocument/2006/relationships/printerSettings" Target="../printerSettings/printerSettings19.bin" />
<Relationship Id="rId22" Type="http://schemas.openxmlformats.org/officeDocument/2006/relationships/drawing" Target="../drawings/drawing20.xml" />
</Relationships>
</file>

<file path=xl/worksheets/_rels/sheet22.xml.rels><?xml version="1.0" encoding="utf-8" standalone="yes" ?>
<Relationships xmlns="http://schemas.openxmlformats.org/package/2006/relationships">
<Relationship Id="rId1" Type="http://schemas.openxmlformats.org/officeDocument/2006/relationships/printerSettings" Target="../printerSettings/printerSettings23.bin" />
<Relationship Id="rId26" Type="http://schemas.openxmlformats.org/officeDocument/2006/relationships/drawing" Target="../drawings/drawing24.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Z117"/>
  <sheetViews>
    <sheetView showGridLines="0" tabSelected="1" zoomScaleNormal="100" workbookViewId="0"/>
  </sheetViews>
  <sheetFormatPr defaultRowHeight="12.75"/>
  <cols>
    <col min="1" max="1" width="13.28515625" customWidth="1"/>
    <col min="2" max="2" width="57.5703125" customWidth="1"/>
    <col min="3" max="3" width="5.42578125" style="176" customWidth="1"/>
    <col min="4" max="4" width="1.85546875" customWidth="1"/>
    <col min="5" max="5" width="57.5703125" customWidth="1"/>
    <col min="6" max="6" width="5.42578125" style="176" customWidth="1"/>
    <col min="7" max="7" width="15.5703125" customWidth="1"/>
    <col min="8" max="8" width="4.140625" customWidth="1"/>
    <col min="9" max="13" width="7.140625" customWidth="1"/>
    <col min="14" max="14" width="1.42578125" customWidth="1"/>
    <col min="15" max="15" width="13.140625" customWidth="1"/>
  </cols>
  <sheetData>
    <row r="1" ht="45.75" customHeight="1">
      <c r="A1" s="407"/>
      <c r="B1" s="407"/>
      <c r="C1" s="420"/>
      <c r="D1" s="407"/>
      <c r="E1" s="407"/>
      <c r="F1" s="420"/>
      <c r="G1" s="407"/>
      <c r="H1" s="408"/>
      <c r="I1" s="244"/>
      <c r="J1" s="244"/>
      <c r="K1" s="244"/>
      <c r="L1" s="244"/>
      <c r="M1" s="244"/>
      <c r="N1" s="244"/>
      <c r="O1" s="244"/>
      <c r="P1" s="244"/>
      <c r="Q1" s="244"/>
      <c r="R1" s="244"/>
      <c r="S1" s="244"/>
      <c r="T1" s="244"/>
      <c r="U1" s="244"/>
      <c r="V1" s="244"/>
      <c r="W1" s="244"/>
      <c r="X1" s="244"/>
      <c r="Y1" s="244"/>
      <c r="Z1" s="244"/>
    </row>
    <row r="2" ht="24.75" customHeight="1">
      <c r="A2" s="407"/>
      <c r="B2" s="428" t="s">
        <v>129</v>
      </c>
      <c r="C2" s="421"/>
      <c r="D2" s="409"/>
      <c r="E2" s="409"/>
      <c r="F2" s="421"/>
      <c r="G2" s="407"/>
      <c r="H2" s="410"/>
      <c r="I2" s="244"/>
      <c r="J2" s="244"/>
      <c r="K2" s="244"/>
      <c r="L2" s="244"/>
      <c r="M2" s="244"/>
      <c r="N2" s="244"/>
      <c r="O2" s="244"/>
      <c r="P2" s="244"/>
      <c r="Q2" s="244"/>
      <c r="R2" s="244"/>
      <c r="S2" s="244"/>
      <c r="T2" s="244"/>
      <c r="U2" s="244"/>
      <c r="V2" s="244"/>
      <c r="W2" s="244"/>
      <c r="X2" s="244"/>
      <c r="Y2" s="244"/>
      <c r="Z2" s="244"/>
    </row>
    <row r="3" ht="25.5" customHeight="1">
      <c r="A3" s="407"/>
      <c r="B3" s="429" t="s">
        <v>128</v>
      </c>
      <c r="C3" s="422"/>
      <c r="D3" s="411"/>
      <c r="E3" s="411"/>
      <c r="F3" s="422"/>
      <c r="G3" s="407"/>
      <c r="H3" s="410"/>
      <c r="I3" s="244"/>
      <c r="J3" s="244"/>
      <c r="K3" s="244"/>
      <c r="L3" s="244"/>
      <c r="M3" s="244"/>
      <c r="N3" s="244"/>
      <c r="O3" s="244"/>
      <c r="P3" s="244"/>
      <c r="Q3" s="244"/>
      <c r="R3" s="244"/>
      <c r="S3" s="244"/>
      <c r="T3" s="244"/>
      <c r="U3" s="244"/>
      <c r="V3" s="244"/>
      <c r="W3" s="244"/>
      <c r="X3" s="244"/>
      <c r="Y3" s="244"/>
      <c r="Z3" s="244"/>
    </row>
    <row r="4" ht="14.25" customHeight="1">
      <c r="A4" s="407"/>
      <c r="B4" s="600" t="s">
        <v>130</v>
      </c>
      <c r="C4" s="600"/>
      <c r="D4" s="600"/>
      <c r="E4" s="600"/>
      <c r="F4" s="423"/>
      <c r="G4" s="407"/>
      <c r="H4" s="410"/>
      <c r="I4" s="244"/>
      <c r="J4" s="244"/>
      <c r="K4" s="244"/>
      <c r="L4" s="244"/>
      <c r="M4" s="244"/>
      <c r="N4" s="244"/>
      <c r="O4" s="244"/>
      <c r="P4" s="244"/>
      <c r="Q4" s="244"/>
      <c r="R4" s="244"/>
      <c r="S4" s="244"/>
      <c r="T4" s="244"/>
      <c r="U4" s="244"/>
      <c r="V4" s="244"/>
      <c r="W4" s="244"/>
      <c r="X4" s="244"/>
      <c r="Y4" s="244"/>
      <c r="Z4" s="244"/>
    </row>
    <row r="5" ht="14.25" customHeight="1">
      <c r="A5" s="407"/>
      <c r="B5" s="600" t="s">
        <v>131</v>
      </c>
      <c r="C5" s="600"/>
      <c r="D5" s="600"/>
      <c r="E5" s="600"/>
      <c r="F5" s="423"/>
      <c r="G5" s="407"/>
      <c r="H5" s="410"/>
      <c r="I5" s="244"/>
      <c r="J5" s="244"/>
      <c r="K5" s="244"/>
      <c r="L5" s="244"/>
      <c r="M5" s="244"/>
      <c r="N5" s="244"/>
      <c r="O5" s="244"/>
      <c r="P5" s="244"/>
      <c r="Q5" s="244"/>
      <c r="R5" s="244"/>
      <c r="S5" s="244"/>
      <c r="T5" s="244"/>
      <c r="U5" s="244"/>
      <c r="V5" s="244"/>
      <c r="W5" s="244"/>
      <c r="X5" s="244"/>
      <c r="Y5" s="244"/>
      <c r="Z5" s="244"/>
    </row>
    <row r="6" ht="14.25" customHeight="1">
      <c r="A6" s="407"/>
      <c r="B6" s="412"/>
      <c r="C6" s="424"/>
      <c r="D6" s="412"/>
      <c r="E6" s="412"/>
      <c r="F6" s="424"/>
      <c r="G6" s="407"/>
      <c r="H6" s="410"/>
      <c r="I6" s="244"/>
      <c r="J6" s="244"/>
      <c r="K6" s="244"/>
      <c r="L6" s="244"/>
      <c r="M6" s="244"/>
      <c r="N6" s="244"/>
      <c r="O6" s="244"/>
      <c r="P6" s="244"/>
      <c r="Q6" s="244"/>
      <c r="R6" s="244"/>
      <c r="S6" s="244"/>
      <c r="T6" s="244"/>
      <c r="U6" s="244"/>
      <c r="V6" s="244"/>
      <c r="W6" s="244"/>
      <c r="X6" s="244"/>
      <c r="Y6" s="244"/>
      <c r="Z6" s="244"/>
    </row>
    <row r="7" ht="15.75" customHeight="1">
      <c r="A7" s="407"/>
      <c r="B7" s="430" t="s">
        <v>99</v>
      </c>
      <c r="C7" s="421">
        <v>1</v>
      </c>
      <c r="D7" s="430"/>
      <c r="E7" s="430"/>
      <c r="F7" s="421"/>
      <c r="G7" s="407"/>
      <c r="H7" s="410"/>
      <c r="I7" s="244"/>
      <c r="J7" s="244"/>
      <c r="K7" s="244"/>
      <c r="L7" s="244"/>
      <c r="M7" s="244"/>
      <c r="N7" s="244"/>
      <c r="O7" s="244"/>
      <c r="P7" s="244"/>
      <c r="Q7" s="244"/>
      <c r="R7" s="244"/>
      <c r="S7" s="244"/>
      <c r="T7" s="244"/>
      <c r="U7" s="244"/>
      <c r="V7" s="244"/>
      <c r="W7" s="244"/>
      <c r="X7" s="244"/>
      <c r="Y7" s="244"/>
      <c r="Z7" s="244"/>
    </row>
    <row r="8" ht="15.75" customHeight="1">
      <c r="A8" s="407"/>
      <c r="B8" s="430" t="str">
        <f>HYPERLINK("#'Glance'!A1", "Weekly Performance at a Glance")</f>
      </c>
      <c r="C8" s="421" t="str">
        <f>HYPERLINK("#'Glance'!A1", "2")</f>
      </c>
      <c r="D8" s="430"/>
      <c r="E8" s="430"/>
      <c r="F8" s="421"/>
      <c r="G8" s="407"/>
      <c r="H8" s="410"/>
      <c r="I8" s="244"/>
      <c r="J8" s="244"/>
      <c r="K8" s="244"/>
      <c r="L8" s="244"/>
      <c r="M8" s="244"/>
      <c r="N8" s="244"/>
      <c r="O8" s="244"/>
      <c r="P8" s="244"/>
      <c r="Q8" s="244"/>
      <c r="R8" s="244"/>
      <c r="S8" s="244"/>
      <c r="T8" s="244"/>
      <c r="U8" s="244"/>
      <c r="V8" s="244"/>
      <c r="W8" s="244"/>
      <c r="X8" s="244"/>
      <c r="Y8" s="244"/>
      <c r="Z8" s="244"/>
    </row>
    <row r="9" ht="15.75" customHeight="1">
      <c r="A9" s="407"/>
      <c r="B9" s="430" t="str">
        <f>HYPERLINK("#'Daily by Month'!A1", "Daily Data for the Month")</f>
      </c>
      <c r="C9" s="421" t="str">
        <f>HYPERLINK("#'Daily by Month'!A1", "3")</f>
      </c>
      <c r="D9" s="430"/>
      <c r="E9" s="430"/>
      <c r="F9" s="421"/>
      <c r="G9" s="407"/>
      <c r="H9" s="407"/>
      <c r="I9" s="244"/>
      <c r="J9" s="244"/>
      <c r="K9" s="244"/>
      <c r="L9" s="244"/>
      <c r="M9" s="244"/>
      <c r="N9" s="244"/>
      <c r="O9" s="244"/>
      <c r="P9" s="244"/>
      <c r="Q9" s="244"/>
      <c r="R9" s="244"/>
      <c r="S9" s="244"/>
      <c r="T9" s="244"/>
      <c r="U9" s="244"/>
      <c r="V9" s="244"/>
      <c r="W9" s="244"/>
      <c r="X9" s="244"/>
      <c r="Y9" s="244"/>
      <c r="Z9" s="244"/>
    </row>
    <row r="10" ht="15.75" customHeight="1">
      <c r="A10" s="407"/>
      <c r="B10" s="430" t="str">
        <f>HYPERLINK("#'Occ'!A1", "Occupancy Perspectives")</f>
      </c>
      <c r="C10" s="421" t="str">
        <f>HYPERLINK("#'Occ'!A1", "4")</f>
      </c>
      <c r="D10" s="430"/>
      <c r="E10" s="430"/>
      <c r="F10" s="421"/>
      <c r="G10" s="407"/>
      <c r="H10" s="407"/>
      <c r="I10" s="244"/>
      <c r="J10" s="244"/>
      <c r="K10" s="244"/>
      <c r="L10" s="244"/>
      <c r="M10" s="244"/>
      <c r="N10" s="244"/>
      <c r="O10" s="244"/>
      <c r="P10" s="244"/>
      <c r="Q10" s="244"/>
      <c r="R10" s="244"/>
      <c r="S10" s="244"/>
      <c r="T10" s="244"/>
      <c r="U10" s="244"/>
      <c r="V10" s="244"/>
      <c r="W10" s="244"/>
      <c r="X10" s="244"/>
      <c r="Y10" s="244"/>
      <c r="Z10" s="244"/>
    </row>
    <row r="11" ht="15.75" customHeight="1">
      <c r="A11" s="407"/>
      <c r="B11" s="430" t="str">
        <f>HYPERLINK("#'ADR'!A1", "ADR Perspectives")</f>
      </c>
      <c r="C11" s="421" t="str">
        <f>HYPERLINK("#'ADR'!A1", "5")</f>
      </c>
      <c r="D11" s="430"/>
      <c r="E11" s="430"/>
      <c r="F11" s="421"/>
      <c r="G11" s="413"/>
      <c r="H11" s="413"/>
      <c r="I11" s="244"/>
      <c r="J11" s="244"/>
      <c r="K11" s="244"/>
      <c r="L11" s="244"/>
      <c r="M11" s="244"/>
      <c r="N11" s="244"/>
      <c r="O11" s="244"/>
      <c r="P11" s="244"/>
      <c r="Q11" s="244"/>
      <c r="R11" s="244"/>
      <c r="S11" s="244"/>
      <c r="T11" s="244"/>
      <c r="U11" s="244"/>
      <c r="V11" s="244"/>
      <c r="W11" s="244"/>
      <c r="X11" s="244"/>
      <c r="Y11" s="244"/>
      <c r="Z11" s="244"/>
    </row>
    <row r="12" ht="15.75" customHeight="1">
      <c r="A12" s="407"/>
      <c r="B12" s="430" t="str">
        <f>HYPERLINK("#'RevPAR'!A1", "RevPAR Perspectives")</f>
      </c>
      <c r="C12" s="421" t="str">
        <f>HYPERLINK("#'RevPAR'!A1", "6")</f>
      </c>
      <c r="D12" s="430"/>
      <c r="E12" s="430"/>
      <c r="F12" s="421"/>
      <c r="G12" s="413"/>
      <c r="H12" s="413"/>
      <c r="I12" s="244"/>
      <c r="J12" s="244"/>
      <c r="K12" s="244"/>
      <c r="L12" s="244"/>
      <c r="M12" s="244"/>
      <c r="N12" s="244"/>
      <c r="O12" s="244"/>
      <c r="P12" s="244"/>
      <c r="Q12" s="244"/>
      <c r="R12" s="244"/>
      <c r="S12" s="244"/>
      <c r="T12" s="244"/>
      <c r="U12" s="244"/>
      <c r="V12" s="244"/>
      <c r="W12" s="244"/>
      <c r="X12" s="244"/>
      <c r="Y12" s="244"/>
      <c r="Z12" s="244"/>
    </row>
    <row r="13" ht="15.75" customHeight="1">
      <c r="A13" s="407"/>
      <c r="B13" s="430" t="str">
        <f>HYPERLINK("#'Response'!A1", "Response Report")</f>
      </c>
      <c r="C13" s="421" t="str">
        <f>HYPERLINK("#'Response'!A1", "7")</f>
      </c>
      <c r="D13" s="430"/>
      <c r="E13" s="430"/>
      <c r="F13" s="421"/>
      <c r="G13" s="407"/>
      <c r="H13" s="407"/>
      <c r="I13" s="244"/>
      <c r="J13" s="244"/>
      <c r="K13" s="244"/>
      <c r="L13" s="244"/>
      <c r="M13" s="244"/>
      <c r="N13" s="244"/>
      <c r="O13" s="244"/>
      <c r="P13" s="244"/>
      <c r="Q13" s="244"/>
      <c r="R13" s="244"/>
      <c r="S13" s="244"/>
      <c r="T13" s="244"/>
      <c r="U13" s="244"/>
      <c r="V13" s="244"/>
      <c r="W13" s="244"/>
      <c r="X13" s="244"/>
      <c r="Y13" s="244"/>
      <c r="Z13" s="244"/>
    </row>
    <row r="14" ht="15.75" customHeight="1">
      <c r="A14" s="407"/>
      <c r="B14" s="430" t="str">
        <f>HYPERLINK("#'Help'!A1", "Help")</f>
      </c>
      <c r="C14" s="421" t="str">
        <f>HYPERLINK("#'Help'!A1", "8")</f>
      </c>
      <c r="D14" s="430"/>
      <c r="E14" s="430"/>
      <c r="F14" s="421"/>
      <c r="G14" s="407"/>
      <c r="H14" s="414"/>
      <c r="I14" s="244"/>
      <c r="J14" s="244"/>
      <c r="K14" s="244"/>
      <c r="L14" s="244"/>
      <c r="M14" s="244"/>
      <c r="N14" s="244"/>
      <c r="O14" s="244"/>
      <c r="P14" s="244"/>
      <c r="Q14" s="244"/>
      <c r="R14" s="244"/>
      <c r="S14" s="244"/>
      <c r="T14" s="244"/>
      <c r="U14" s="244"/>
      <c r="V14" s="244"/>
      <c r="W14" s="244"/>
      <c r="X14" s="244"/>
      <c r="Y14" s="244"/>
      <c r="Z14" s="244"/>
    </row>
    <row r="15" ht="15.75" customHeight="1">
      <c r="A15" s="407"/>
      <c r="B15" s="430"/>
      <c r="C15" s="421"/>
      <c r="D15" s="430"/>
      <c r="E15" s="430"/>
      <c r="F15" s="421"/>
      <c r="G15" s="407"/>
      <c r="H15" s="415"/>
      <c r="I15" s="244"/>
      <c r="J15" s="244"/>
      <c r="K15" s="244"/>
      <c r="L15" s="244"/>
      <c r="M15" s="244"/>
      <c r="N15" s="244"/>
      <c r="O15" s="244"/>
      <c r="P15" s="244"/>
      <c r="Q15" s="244"/>
      <c r="R15" s="244"/>
      <c r="S15" s="244"/>
      <c r="T15" s="244"/>
      <c r="U15" s="244"/>
      <c r="V15" s="244"/>
      <c r="W15" s="244"/>
      <c r="X15" s="244"/>
      <c r="Y15" s="244"/>
      <c r="Z15" s="244"/>
    </row>
    <row r="16" ht="15.75" customHeight="1">
      <c r="A16" s="407"/>
      <c r="B16" s="430"/>
      <c r="C16" s="421"/>
      <c r="D16" s="430"/>
      <c r="E16" s="430"/>
      <c r="F16" s="421"/>
      <c r="G16" s="407"/>
      <c r="H16" s="415"/>
      <c r="I16" s="244"/>
      <c r="J16" s="244"/>
      <c r="K16" s="244"/>
      <c r="L16" s="244"/>
      <c r="M16" s="244"/>
      <c r="N16" s="244"/>
      <c r="O16" s="244"/>
      <c r="P16" s="244"/>
      <c r="Q16" s="244"/>
      <c r="R16" s="244"/>
      <c r="S16" s="244"/>
      <c r="T16" s="244"/>
      <c r="U16" s="244"/>
      <c r="V16" s="244"/>
      <c r="W16" s="244"/>
      <c r="X16" s="244"/>
      <c r="Y16" s="244"/>
      <c r="Z16" s="244"/>
    </row>
    <row r="17" ht="15.75" customHeight="1">
      <c r="A17" s="407"/>
      <c r="B17" s="430"/>
      <c r="C17" s="421"/>
      <c r="D17" s="430"/>
      <c r="E17" s="430"/>
      <c r="F17" s="421"/>
      <c r="G17" s="407"/>
      <c r="H17" s="415"/>
      <c r="I17" s="244"/>
      <c r="J17" s="244"/>
      <c r="K17" s="244"/>
      <c r="L17" s="244"/>
      <c r="M17" s="244"/>
      <c r="N17" s="244"/>
      <c r="O17" s="244"/>
      <c r="P17" s="244"/>
      <c r="Q17" s="244"/>
      <c r="R17" s="244"/>
      <c r="S17" s="244"/>
      <c r="T17" s="244"/>
      <c r="U17" s="244"/>
      <c r="V17" s="244"/>
      <c r="W17" s="244"/>
      <c r="X17" s="244"/>
      <c r="Y17" s="244"/>
      <c r="Z17" s="244"/>
    </row>
    <row r="18" ht="15.75" customHeight="1">
      <c r="A18" s="407"/>
      <c r="B18" s="430"/>
      <c r="C18" s="421"/>
      <c r="D18" s="430"/>
      <c r="E18" s="430"/>
      <c r="F18" s="421"/>
      <c r="G18" s="407"/>
      <c r="H18" s="415"/>
      <c r="I18" s="244"/>
      <c r="J18" s="244"/>
      <c r="K18" s="244"/>
      <c r="L18" s="244"/>
      <c r="M18" s="244"/>
      <c r="N18" s="244"/>
      <c r="O18" s="244"/>
      <c r="P18" s="244"/>
      <c r="Q18" s="244"/>
      <c r="R18" s="244"/>
      <c r="S18" s="244"/>
      <c r="T18" s="244"/>
      <c r="U18" s="244"/>
      <c r="V18" s="244"/>
      <c r="W18" s="244"/>
      <c r="X18" s="244"/>
      <c r="Y18" s="244"/>
      <c r="Z18" s="244"/>
    </row>
    <row r="19" ht="15.75" customHeight="1">
      <c r="A19" s="407"/>
      <c r="B19" s="430"/>
      <c r="C19" s="421"/>
      <c r="D19" s="430"/>
      <c r="E19" s="430"/>
      <c r="F19" s="421"/>
      <c r="G19" s="407"/>
      <c r="H19" s="415"/>
      <c r="I19" s="244"/>
      <c r="J19" s="244"/>
      <c r="K19" s="244"/>
      <c r="L19" s="244"/>
      <c r="M19" s="244"/>
      <c r="N19" s="244"/>
      <c r="O19" s="244"/>
      <c r="P19" s="244"/>
      <c r="Q19" s="244"/>
      <c r="R19" s="244"/>
      <c r="S19" s="244"/>
      <c r="T19" s="244"/>
      <c r="U19" s="244"/>
      <c r="V19" s="244"/>
      <c r="W19" s="244"/>
      <c r="X19" s="244"/>
      <c r="Y19" s="244"/>
      <c r="Z19" s="244"/>
    </row>
    <row r="20" ht="15.75" customHeight="1">
      <c r="A20" s="407"/>
      <c r="B20" s="430"/>
      <c r="C20" s="421"/>
      <c r="D20" s="430"/>
      <c r="E20" s="430"/>
      <c r="F20" s="421"/>
      <c r="G20" s="407"/>
      <c r="H20" s="415"/>
      <c r="I20" s="244"/>
      <c r="J20" s="244"/>
      <c r="K20" s="244"/>
      <c r="L20" s="244"/>
      <c r="M20" s="244"/>
      <c r="N20" s="244"/>
      <c r="O20" s="244"/>
      <c r="P20" s="244"/>
      <c r="Q20" s="244"/>
      <c r="R20" s="244"/>
      <c r="S20" s="244"/>
      <c r="T20" s="244"/>
      <c r="U20" s="244"/>
      <c r="V20" s="244"/>
      <c r="W20" s="244"/>
      <c r="X20" s="244"/>
      <c r="Y20" s="244"/>
      <c r="Z20" s="244"/>
    </row>
    <row r="21" ht="15.75" customHeight="1">
      <c r="A21" s="407"/>
      <c r="B21" s="430"/>
      <c r="C21" s="421"/>
      <c r="D21" s="430"/>
      <c r="E21" s="430"/>
      <c r="F21" s="421"/>
      <c r="G21" s="407"/>
      <c r="H21" s="415"/>
      <c r="I21" s="244"/>
      <c r="J21" s="244"/>
      <c r="K21" s="244"/>
      <c r="L21" s="244"/>
      <c r="M21" s="244"/>
      <c r="N21" s="244"/>
      <c r="O21" s="244"/>
      <c r="P21" s="244"/>
      <c r="Q21" s="244"/>
      <c r="R21" s="244"/>
      <c r="S21" s="244"/>
      <c r="T21" s="244"/>
      <c r="U21" s="244"/>
      <c r="V21" s="244"/>
      <c r="W21" s="244"/>
      <c r="X21" s="244"/>
      <c r="Y21" s="244"/>
      <c r="Z21" s="244"/>
    </row>
    <row r="22" ht="15.75" customHeight="1">
      <c r="A22" s="416"/>
      <c r="B22" s="430"/>
      <c r="C22" s="421"/>
      <c r="D22" s="430"/>
      <c r="E22" s="430"/>
      <c r="F22" s="421"/>
      <c r="G22" s="407"/>
      <c r="H22" s="415"/>
      <c r="I22" s="244"/>
      <c r="J22" s="244"/>
      <c r="K22" s="244"/>
      <c r="L22" s="244"/>
      <c r="M22" s="244"/>
      <c r="N22" s="244"/>
      <c r="O22" s="244"/>
      <c r="P22" s="244"/>
      <c r="Q22" s="244"/>
      <c r="R22" s="244"/>
      <c r="S22" s="244"/>
      <c r="T22" s="244"/>
      <c r="U22" s="244"/>
      <c r="V22" s="244"/>
      <c r="W22" s="244"/>
      <c r="X22" s="244"/>
      <c r="Y22" s="244"/>
      <c r="Z22" s="244"/>
    </row>
    <row r="23" ht="15.75" customHeight="1">
      <c r="A23" s="416"/>
      <c r="B23" s="430"/>
      <c r="C23" s="421"/>
      <c r="D23" s="430"/>
      <c r="E23" s="430"/>
      <c r="F23" s="421"/>
      <c r="G23" s="407"/>
      <c r="H23" s="415"/>
      <c r="I23" s="244"/>
      <c r="J23" s="244"/>
      <c r="K23" s="244"/>
      <c r="L23" s="244"/>
      <c r="M23" s="244"/>
      <c r="N23" s="244"/>
      <c r="O23" s="244"/>
      <c r="P23" s="244"/>
      <c r="Q23" s="244"/>
      <c r="R23" s="244"/>
      <c r="S23" s="244"/>
      <c r="T23" s="244"/>
      <c r="U23" s="244"/>
      <c r="V23" s="244"/>
      <c r="W23" s="244"/>
      <c r="X23" s="244"/>
      <c r="Y23" s="244"/>
      <c r="Z23" s="244"/>
    </row>
    <row r="24" ht="15.75" customHeight="1">
      <c r="A24" s="407"/>
      <c r="B24" s="430"/>
      <c r="C24" s="421"/>
      <c r="D24" s="430"/>
      <c r="E24" s="430"/>
      <c r="F24" s="421"/>
      <c r="G24" s="407"/>
      <c r="H24" s="415"/>
      <c r="I24" s="244"/>
      <c r="J24" s="244"/>
      <c r="K24" s="244"/>
      <c r="L24" s="244"/>
      <c r="M24" s="244"/>
      <c r="N24" s="244"/>
      <c r="O24" s="244"/>
      <c r="P24" s="244"/>
      <c r="Q24" s="244"/>
      <c r="R24" s="244"/>
      <c r="S24" s="244"/>
      <c r="T24" s="244"/>
      <c r="U24" s="244"/>
      <c r="V24" s="244"/>
      <c r="W24" s="244"/>
      <c r="X24" s="244"/>
      <c r="Y24" s="244"/>
      <c r="Z24" s="244"/>
    </row>
    <row r="25" ht="15.75" customHeight="1">
      <c r="A25" s="407"/>
      <c r="B25" s="430"/>
      <c r="C25" s="421"/>
      <c r="D25" s="430"/>
      <c r="E25" s="430"/>
      <c r="F25" s="421"/>
      <c r="G25" s="407"/>
      <c r="H25" s="415"/>
      <c r="I25" s="244"/>
      <c r="J25" s="244"/>
      <c r="K25" s="244"/>
      <c r="L25" s="244"/>
      <c r="M25" s="244"/>
      <c r="N25" s="244"/>
      <c r="O25" s="244"/>
      <c r="P25" s="244"/>
      <c r="Q25" s="244"/>
      <c r="R25" s="244"/>
      <c r="S25" s="244"/>
      <c r="T25" s="244"/>
      <c r="U25" s="244"/>
      <c r="V25" s="244"/>
      <c r="W25" s="244"/>
      <c r="X25" s="244"/>
      <c r="Y25" s="244"/>
      <c r="Z25" s="244"/>
    </row>
    <row r="26" ht="15.75" customHeight="1">
      <c r="A26" s="407"/>
      <c r="B26" s="430"/>
      <c r="C26" s="421"/>
      <c r="D26" s="430"/>
      <c r="E26" s="430"/>
      <c r="F26" s="421"/>
      <c r="G26" s="407"/>
      <c r="H26" s="415"/>
      <c r="I26" s="244"/>
      <c r="J26" s="244"/>
      <c r="K26" s="244"/>
      <c r="L26" s="244"/>
      <c r="M26" s="244"/>
      <c r="N26" s="244"/>
      <c r="O26" s="244"/>
      <c r="P26" s="244"/>
      <c r="Q26" s="244"/>
      <c r="R26" s="244"/>
      <c r="S26" s="244"/>
      <c r="T26" s="244"/>
      <c r="U26" s="244"/>
      <c r="V26" s="244"/>
      <c r="W26" s="244"/>
      <c r="X26" s="244"/>
      <c r="Y26" s="244"/>
      <c r="Z26" s="244"/>
    </row>
    <row r="27" ht="15.75" customHeight="1">
      <c r="A27" s="407"/>
      <c r="B27" s="430"/>
      <c r="C27" s="421"/>
      <c r="D27" s="430"/>
      <c r="E27" s="430"/>
      <c r="F27" s="421"/>
      <c r="G27" s="407"/>
      <c r="H27" s="415"/>
      <c r="I27" s="244"/>
      <c r="J27" s="244"/>
      <c r="K27" s="244"/>
      <c r="L27" s="244"/>
      <c r="M27" s="244"/>
      <c r="N27" s="244"/>
      <c r="O27" s="244"/>
      <c r="P27" s="244"/>
      <c r="Q27" s="244"/>
      <c r="R27" s="244"/>
      <c r="S27" s="244"/>
      <c r="T27" s="244"/>
      <c r="U27" s="244"/>
      <c r="V27" s="244"/>
      <c r="W27" s="244"/>
      <c r="X27" s="244"/>
      <c r="Y27" s="244"/>
      <c r="Z27" s="244"/>
    </row>
    <row r="28" ht="15.75" customHeight="1">
      <c r="A28" s="407"/>
      <c r="B28" s="430"/>
      <c r="C28" s="421"/>
      <c r="D28" s="430"/>
      <c r="E28" s="430"/>
      <c r="F28" s="421"/>
      <c r="G28" s="407"/>
      <c r="H28" s="415"/>
      <c r="I28" s="244"/>
      <c r="J28" s="244"/>
      <c r="K28" s="244"/>
      <c r="L28" s="244"/>
      <c r="M28" s="244"/>
      <c r="N28" s="244"/>
      <c r="O28" s="244"/>
      <c r="P28" s="244"/>
      <c r="Q28" s="244"/>
      <c r="R28" s="244"/>
      <c r="S28" s="244"/>
      <c r="T28" s="244"/>
      <c r="U28" s="244"/>
      <c r="V28" s="244"/>
      <c r="W28" s="244"/>
      <c r="X28" s="244"/>
      <c r="Y28" s="244"/>
      <c r="Z28" s="244"/>
    </row>
    <row r="29" ht="15.75" customHeight="1">
      <c r="A29" s="407"/>
      <c r="B29" s="430"/>
      <c r="C29" s="421"/>
      <c r="D29" s="430"/>
      <c r="E29" s="430"/>
      <c r="F29" s="421"/>
      <c r="G29" s="407"/>
      <c r="H29" s="415"/>
      <c r="I29" s="244"/>
      <c r="J29" s="244"/>
      <c r="K29" s="244"/>
      <c r="L29" s="244"/>
      <c r="M29" s="244"/>
      <c r="N29" s="244"/>
      <c r="O29" s="244"/>
      <c r="P29" s="244"/>
      <c r="Q29" s="244"/>
      <c r="R29" s="244"/>
      <c r="S29" s="244"/>
      <c r="T29" s="244"/>
      <c r="U29" s="244"/>
      <c r="V29" s="244"/>
      <c r="W29" s="244"/>
      <c r="X29" s="244"/>
      <c r="Y29" s="244"/>
      <c r="Z29" s="244"/>
    </row>
    <row r="30" ht="15.75" customHeight="1">
      <c r="A30" s="407"/>
      <c r="B30" s="430"/>
      <c r="C30" s="421"/>
      <c r="D30" s="430"/>
      <c r="E30" s="430"/>
      <c r="F30" s="421"/>
      <c r="G30" s="407"/>
      <c r="H30" s="415"/>
      <c r="I30" s="244"/>
      <c r="J30" s="244"/>
      <c r="K30" s="244"/>
      <c r="L30" s="244"/>
      <c r="M30" s="244"/>
      <c r="N30" s="244"/>
      <c r="O30" s="244"/>
      <c r="P30" s="244"/>
      <c r="Q30" s="244"/>
      <c r="R30" s="244"/>
      <c r="S30" s="244"/>
      <c r="T30" s="244"/>
      <c r="U30" s="244"/>
      <c r="V30" s="244"/>
      <c r="W30" s="244"/>
      <c r="X30" s="244"/>
      <c r="Y30" s="244"/>
      <c r="Z30" s="244"/>
    </row>
    <row r="31" ht="15.75" customHeight="1">
      <c r="A31" s="407"/>
      <c r="B31" s="430"/>
      <c r="C31" s="421"/>
      <c r="D31" s="430"/>
      <c r="E31" s="430"/>
      <c r="F31" s="421"/>
      <c r="G31" s="407"/>
      <c r="H31" s="415"/>
      <c r="I31" s="244"/>
      <c r="J31" s="244"/>
      <c r="K31" s="244"/>
      <c r="L31" s="244"/>
      <c r="M31" s="244"/>
      <c r="N31" s="244"/>
      <c r="O31" s="244"/>
      <c r="P31" s="244"/>
      <c r="Q31" s="244"/>
      <c r="R31" s="244"/>
      <c r="S31" s="244"/>
      <c r="T31" s="244"/>
      <c r="U31" s="244"/>
      <c r="V31" s="244"/>
      <c r="W31" s="244"/>
      <c r="X31" s="244"/>
      <c r="Y31" s="244"/>
      <c r="Z31" s="244"/>
    </row>
    <row r="32" ht="15.75" customHeight="1">
      <c r="A32" s="407"/>
      <c r="B32" s="430"/>
      <c r="C32" s="421"/>
      <c r="D32" s="430"/>
      <c r="E32" s="430"/>
      <c r="F32" s="421"/>
      <c r="G32" s="407"/>
      <c r="H32" s="415"/>
      <c r="I32" s="244"/>
      <c r="J32" s="244"/>
      <c r="K32" s="244"/>
      <c r="L32" s="244"/>
      <c r="M32" s="244"/>
      <c r="N32" s="244"/>
      <c r="O32" s="244"/>
      <c r="P32" s="244"/>
      <c r="Q32" s="244"/>
      <c r="R32" s="244"/>
      <c r="S32" s="244"/>
      <c r="T32" s="244"/>
      <c r="U32" s="244"/>
      <c r="V32" s="244"/>
      <c r="W32" s="244"/>
      <c r="X32" s="244"/>
      <c r="Y32" s="244"/>
      <c r="Z32" s="244"/>
    </row>
    <row r="33" ht="15.75" customHeight="1">
      <c r="A33" s="407"/>
      <c r="B33" s="430"/>
      <c r="C33" s="421"/>
      <c r="D33" s="430"/>
      <c r="E33" s="430"/>
      <c r="F33" s="421"/>
      <c r="G33" s="407"/>
      <c r="H33" s="415"/>
      <c r="I33" s="244"/>
      <c r="J33" s="244"/>
      <c r="K33" s="244"/>
      <c r="L33" s="244"/>
      <c r="M33" s="244"/>
      <c r="N33" s="244"/>
      <c r="O33" s="244"/>
      <c r="P33" s="244"/>
      <c r="Q33" s="244"/>
      <c r="R33" s="244"/>
      <c r="S33" s="244"/>
      <c r="T33" s="244"/>
      <c r="U33" s="244"/>
      <c r="V33" s="244"/>
      <c r="W33" s="244"/>
      <c r="X33" s="244"/>
      <c r="Y33" s="244"/>
      <c r="Z33" s="244"/>
    </row>
    <row r="34" ht="15.75" customHeight="1">
      <c r="A34" s="407"/>
      <c r="B34" s="430"/>
      <c r="C34" s="421"/>
      <c r="D34" s="430"/>
      <c r="E34" s="430"/>
      <c r="F34" s="421"/>
      <c r="G34" s="407"/>
      <c r="H34" s="415"/>
      <c r="I34" s="244"/>
      <c r="J34" s="244"/>
      <c r="K34" s="244"/>
      <c r="L34" s="244"/>
      <c r="M34" s="244"/>
      <c r="N34" s="244"/>
      <c r="O34" s="244"/>
      <c r="P34" s="244"/>
      <c r="Q34" s="244"/>
      <c r="R34" s="244"/>
      <c r="S34" s="244"/>
      <c r="T34" s="244"/>
      <c r="U34" s="244"/>
      <c r="V34" s="244"/>
      <c r="W34" s="244"/>
      <c r="X34" s="244"/>
      <c r="Y34" s="244"/>
      <c r="Z34" s="244"/>
    </row>
    <row r="35" ht="15.75" customHeight="1">
      <c r="A35" s="407"/>
      <c r="B35" s="430"/>
      <c r="C35" s="421"/>
      <c r="D35" s="430"/>
      <c r="E35" s="430"/>
      <c r="F35" s="421"/>
      <c r="G35" s="407"/>
      <c r="H35" s="415"/>
      <c r="I35" s="244"/>
      <c r="J35" s="244"/>
      <c r="K35" s="244"/>
      <c r="L35" s="244"/>
      <c r="M35" s="244"/>
      <c r="N35" s="244"/>
      <c r="O35" s="244"/>
      <c r="P35" s="244"/>
      <c r="Q35" s="244"/>
      <c r="R35" s="244"/>
      <c r="S35" s="244"/>
      <c r="T35" s="244"/>
      <c r="U35" s="244"/>
      <c r="V35" s="244"/>
      <c r="W35" s="244"/>
      <c r="X35" s="244"/>
      <c r="Y35" s="244"/>
      <c r="Z35" s="244"/>
    </row>
    <row r="36" ht="15.75" customHeight="1">
      <c r="A36" s="407"/>
      <c r="B36" s="430"/>
      <c r="C36" s="421"/>
      <c r="D36" s="430"/>
      <c r="E36" s="430"/>
      <c r="F36" s="421"/>
      <c r="G36" s="407"/>
      <c r="H36" s="415"/>
      <c r="I36" s="244"/>
      <c r="J36" s="244"/>
      <c r="K36" s="244"/>
      <c r="L36" s="244"/>
      <c r="M36" s="244"/>
      <c r="N36" s="244"/>
      <c r="O36" s="244"/>
      <c r="P36" s="244"/>
      <c r="Q36" s="244"/>
      <c r="R36" s="244"/>
      <c r="S36" s="244"/>
      <c r="T36" s="244"/>
      <c r="U36" s="244"/>
      <c r="V36" s="244"/>
      <c r="W36" s="244"/>
      <c r="X36" s="244"/>
      <c r="Y36" s="244"/>
      <c r="Z36" s="244"/>
    </row>
    <row r="37" ht="15.75" customHeight="1">
      <c r="A37" s="407"/>
      <c r="B37" s="430"/>
      <c r="C37" s="421"/>
      <c r="D37" s="430"/>
      <c r="E37" s="430"/>
      <c r="F37" s="421"/>
      <c r="G37" s="407"/>
      <c r="H37" s="415"/>
      <c r="I37" s="244"/>
      <c r="J37" s="244"/>
      <c r="K37" s="244"/>
      <c r="L37" s="244"/>
      <c r="M37" s="244"/>
      <c r="N37" s="244"/>
      <c r="O37" s="244"/>
      <c r="P37" s="244"/>
      <c r="Q37" s="244"/>
      <c r="R37" s="244"/>
      <c r="S37" s="244"/>
      <c r="T37" s="244"/>
      <c r="U37" s="244"/>
      <c r="V37" s="244"/>
      <c r="W37" s="244"/>
      <c r="X37" s="244"/>
      <c r="Y37" s="244"/>
      <c r="Z37" s="244"/>
    </row>
    <row r="38" ht="15.75" customHeight="1">
      <c r="A38" s="407"/>
      <c r="B38" s="430"/>
      <c r="C38" s="421"/>
      <c r="D38" s="430"/>
      <c r="E38" s="430"/>
      <c r="F38" s="421"/>
      <c r="G38" s="407"/>
      <c r="H38" s="415"/>
      <c r="I38" s="244"/>
      <c r="J38" s="244"/>
      <c r="K38" s="244"/>
      <c r="L38" s="244"/>
      <c r="M38" s="244"/>
      <c r="N38" s="244"/>
      <c r="O38" s="244"/>
      <c r="P38" s="244"/>
      <c r="Q38" s="244"/>
      <c r="R38" s="244"/>
      <c r="S38" s="244"/>
      <c r="T38" s="244"/>
      <c r="U38" s="244"/>
      <c r="V38" s="244"/>
      <c r="W38" s="244"/>
      <c r="X38" s="244"/>
      <c r="Y38" s="244"/>
      <c r="Z38" s="244"/>
    </row>
    <row r="39" ht="15.75" customHeight="1">
      <c r="A39" s="407"/>
      <c r="B39" s="430"/>
      <c r="C39" s="421"/>
      <c r="D39" s="430"/>
      <c r="E39" s="430"/>
      <c r="F39" s="421"/>
      <c r="G39" s="407"/>
      <c r="H39" s="415"/>
      <c r="I39" s="244"/>
      <c r="J39" s="244"/>
      <c r="K39" s="244"/>
      <c r="L39" s="244"/>
      <c r="M39" s="244"/>
      <c r="N39" s="244"/>
      <c r="O39" s="244"/>
      <c r="P39" s="244"/>
      <c r="Q39" s="244"/>
      <c r="R39" s="244"/>
      <c r="S39" s="244"/>
      <c r="T39" s="244"/>
      <c r="U39" s="244"/>
      <c r="V39" s="244"/>
      <c r="W39" s="244"/>
      <c r="X39" s="244"/>
      <c r="Y39" s="244"/>
      <c r="Z39" s="244"/>
    </row>
    <row r="40" ht="15.75" customHeight="1">
      <c r="A40" s="407"/>
      <c r="B40" s="430"/>
      <c r="C40" s="421"/>
      <c r="D40" s="430"/>
      <c r="E40" s="430"/>
      <c r="F40" s="421"/>
      <c r="G40" s="407"/>
      <c r="H40" s="415"/>
      <c r="I40" s="244"/>
      <c r="J40" s="244"/>
      <c r="K40" s="244"/>
      <c r="L40" s="244"/>
      <c r="M40" s="244"/>
      <c r="N40" s="244"/>
      <c r="O40" s="244"/>
      <c r="P40" s="244"/>
      <c r="Q40" s="244"/>
      <c r="R40" s="244"/>
      <c r="S40" s="244"/>
      <c r="T40" s="244"/>
      <c r="U40" s="244"/>
      <c r="V40" s="244"/>
      <c r="W40" s="244"/>
      <c r="X40" s="244"/>
      <c r="Y40" s="244"/>
      <c r="Z40" s="244"/>
    </row>
    <row r="41" s="479" customFormat="1" ht="15.75" customHeight="1">
      <c r="A41" s="476"/>
      <c r="B41" s="430"/>
      <c r="C41" s="430"/>
      <c r="D41" s="430"/>
      <c r="E41" s="430"/>
      <c r="F41" s="431"/>
      <c r="G41" s="476"/>
      <c r="H41" s="477"/>
      <c r="I41" s="478"/>
      <c r="J41" s="478"/>
      <c r="K41" s="478"/>
      <c r="L41" s="478"/>
      <c r="M41" s="478"/>
      <c r="N41" s="478"/>
      <c r="O41" s="478"/>
      <c r="P41" s="478"/>
      <c r="Q41" s="478"/>
      <c r="R41" s="478"/>
      <c r="S41" s="478"/>
      <c r="T41" s="478"/>
      <c r="U41" s="478"/>
      <c r="V41" s="478"/>
      <c r="W41" s="478"/>
      <c r="X41" s="478"/>
      <c r="Y41" s="478"/>
      <c r="Z41" s="478"/>
    </row>
    <row r="42" s="100" customFormat="1" ht="10.5" customHeight="1">
      <c r="A42" s="480"/>
      <c r="B42" s="412" t="s">
        <v>106</v>
      </c>
      <c r="C42" s="424"/>
      <c r="D42" s="481"/>
      <c r="E42" s="412" t="s">
        <v>107</v>
      </c>
      <c r="F42" s="482"/>
      <c r="G42" s="480"/>
      <c r="H42" s="480"/>
      <c r="I42" s="483"/>
      <c r="J42" s="483"/>
      <c r="K42" s="483"/>
      <c r="L42" s="483"/>
      <c r="M42" s="483"/>
      <c r="N42" s="483"/>
      <c r="O42" s="483"/>
      <c r="P42" s="483"/>
      <c r="Q42" s="483"/>
      <c r="R42" s="483"/>
      <c r="S42" s="483"/>
      <c r="T42" s="483"/>
      <c r="U42" s="483"/>
      <c r="V42" s="483"/>
      <c r="W42" s="483"/>
      <c r="X42" s="483"/>
      <c r="Y42" s="483"/>
      <c r="Z42" s="483"/>
    </row>
    <row r="43" s="100" customFormat="1" ht="10.5" customHeight="1">
      <c r="A43" s="480"/>
      <c r="B43" s="412" t="s">
        <v>112</v>
      </c>
      <c r="C43" s="424"/>
      <c r="D43" s="481"/>
      <c r="E43" s="412" t="s">
        <v>108</v>
      </c>
      <c r="F43" s="482"/>
      <c r="G43" s="480"/>
      <c r="H43" s="480"/>
      <c r="I43" s="483"/>
      <c r="J43" s="483"/>
      <c r="K43" s="483"/>
      <c r="L43" s="483"/>
      <c r="M43" s="483"/>
      <c r="N43" s="483"/>
      <c r="O43" s="483"/>
      <c r="P43" s="483"/>
      <c r="Q43" s="483"/>
      <c r="R43" s="483"/>
      <c r="S43" s="483"/>
      <c r="T43" s="483"/>
      <c r="U43" s="483"/>
      <c r="V43" s="483"/>
      <c r="W43" s="483"/>
      <c r="X43" s="483"/>
      <c r="Y43" s="483"/>
      <c r="Z43" s="483"/>
    </row>
    <row r="44" s="100" customFormat="1" ht="10.5" customHeight="1">
      <c r="A44" s="480"/>
      <c r="B44" s="412" t="s">
        <v>100</v>
      </c>
      <c r="C44" s="424"/>
      <c r="D44" s="481"/>
      <c r="E44" s="412" t="s">
        <v>113</v>
      </c>
      <c r="F44" s="482"/>
      <c r="G44" s="480"/>
      <c r="H44" s="480"/>
      <c r="I44" s="483"/>
      <c r="J44" s="483"/>
      <c r="K44" s="483"/>
      <c r="L44" s="483"/>
      <c r="M44" s="483"/>
      <c r="N44" s="483"/>
      <c r="O44" s="483"/>
      <c r="P44" s="483"/>
      <c r="Q44" s="483"/>
      <c r="R44" s="483"/>
      <c r="S44" s="483"/>
      <c r="T44" s="483"/>
      <c r="U44" s="483"/>
      <c r="V44" s="483"/>
      <c r="W44" s="483"/>
      <c r="X44" s="483"/>
      <c r="Y44" s="483"/>
      <c r="Z44" s="483"/>
    </row>
    <row r="45" s="100" customFormat="1" ht="15.75" customHeight="1">
      <c r="A45" s="480"/>
      <c r="B45" s="412"/>
      <c r="C45" s="424"/>
      <c r="D45" s="481"/>
      <c r="E45" s="412"/>
      <c r="F45" s="482"/>
      <c r="G45" s="480"/>
      <c r="H45" s="480"/>
      <c r="I45" s="483"/>
      <c r="J45" s="483"/>
      <c r="K45" s="483"/>
      <c r="L45" s="483"/>
      <c r="M45" s="483"/>
      <c r="N45" s="483"/>
      <c r="O45" s="483"/>
      <c r="P45" s="483"/>
      <c r="Q45" s="483"/>
      <c r="R45" s="483"/>
      <c r="S45" s="483"/>
      <c r="T45" s="483"/>
      <c r="U45" s="483"/>
      <c r="V45" s="483"/>
      <c r="W45" s="483"/>
      <c r="X45" s="483"/>
      <c r="Y45" s="483"/>
      <c r="Z45" s="483"/>
    </row>
    <row r="46" s="96" customFormat="1" ht="23.1" customHeight="1">
      <c r="A46" s="484"/>
      <c r="B46" s="601" t="s">
        <v>114</v>
      </c>
      <c r="C46" s="601"/>
      <c r="D46" s="601"/>
      <c r="E46" s="601"/>
      <c r="F46" s="601"/>
      <c r="G46" s="487"/>
      <c r="H46" s="487"/>
      <c r="I46" s="486"/>
      <c r="J46" s="486"/>
      <c r="K46" s="486"/>
      <c r="L46" s="486"/>
      <c r="M46" s="486"/>
      <c r="N46" s="486"/>
      <c r="O46" s="486"/>
      <c r="P46" s="486"/>
      <c r="Q46" s="486"/>
      <c r="R46" s="486"/>
      <c r="S46" s="486"/>
      <c r="T46" s="486"/>
      <c r="U46" s="486"/>
      <c r="V46" s="486"/>
      <c r="W46" s="486"/>
      <c r="X46" s="486"/>
      <c r="Y46" s="486"/>
      <c r="Z46" s="486"/>
    </row>
    <row r="47" s="96" customFormat="1" ht="23.1" customHeight="1">
      <c r="A47" s="484"/>
      <c r="B47" s="601"/>
      <c r="C47" s="601"/>
      <c r="D47" s="601"/>
      <c r="E47" s="601"/>
      <c r="F47" s="601"/>
      <c r="G47" s="487"/>
      <c r="H47" s="487"/>
      <c r="I47" s="486"/>
      <c r="J47" s="486"/>
      <c r="K47" s="486"/>
      <c r="L47" s="486"/>
      <c r="M47" s="486"/>
      <c r="N47" s="486"/>
      <c r="O47" s="486"/>
      <c r="P47" s="486"/>
      <c r="Q47" s="486"/>
      <c r="R47" s="486"/>
      <c r="S47" s="486"/>
      <c r="T47" s="486"/>
      <c r="U47" s="486"/>
      <c r="V47" s="486"/>
      <c r="W47" s="486"/>
      <c r="X47" s="486"/>
      <c r="Y47" s="486"/>
      <c r="Z47" s="486"/>
    </row>
    <row r="48" s="96" customFormat="1" ht="15.75" customHeight="1">
      <c r="A48" s="484"/>
      <c r="B48" s="488"/>
      <c r="C48" s="488"/>
      <c r="D48" s="488"/>
      <c r="E48" s="488"/>
      <c r="F48" s="485"/>
      <c r="G48" s="484"/>
      <c r="H48" s="484"/>
      <c r="I48" s="486"/>
      <c r="J48" s="486"/>
      <c r="K48" s="486"/>
      <c r="L48" s="486"/>
      <c r="M48" s="486"/>
      <c r="N48" s="486"/>
      <c r="O48" s="486"/>
      <c r="P48" s="486"/>
      <c r="Q48" s="486"/>
      <c r="R48" s="486"/>
      <c r="S48" s="486"/>
      <c r="T48" s="486"/>
      <c r="U48" s="486"/>
      <c r="V48" s="486"/>
      <c r="W48" s="486"/>
      <c r="X48" s="486"/>
      <c r="Y48" s="486"/>
      <c r="Z48" s="486"/>
    </row>
    <row r="49" ht="15.75" customHeight="1">
      <c r="A49" s="244"/>
      <c r="B49" s="244"/>
      <c r="C49" s="425"/>
      <c r="D49" s="244"/>
      <c r="E49" s="244"/>
      <c r="F49" s="425"/>
      <c r="G49" s="244"/>
      <c r="H49" s="244"/>
      <c r="I49" s="244"/>
      <c r="J49" s="244"/>
      <c r="K49" s="244"/>
      <c r="L49" s="244"/>
      <c r="M49" s="244"/>
      <c r="N49" s="244"/>
      <c r="O49" s="244"/>
      <c r="P49" s="244"/>
      <c r="Q49" s="244"/>
      <c r="R49" s="244"/>
      <c r="S49" s="244"/>
      <c r="T49" s="244"/>
      <c r="U49" s="244"/>
      <c r="V49" s="244"/>
      <c r="W49" s="244"/>
      <c r="X49" s="244"/>
      <c r="Y49" s="244"/>
      <c r="Z49" s="244"/>
    </row>
    <row r="50" ht="15.75" customHeight="1">
      <c r="A50" s="244"/>
      <c r="B50" s="244"/>
      <c r="C50" s="425"/>
      <c r="D50" s="244"/>
      <c r="E50" s="244"/>
      <c r="F50" s="425"/>
      <c r="G50" s="244"/>
      <c r="H50" s="244"/>
      <c r="I50" s="244"/>
      <c r="J50" s="244"/>
      <c r="K50" s="244"/>
      <c r="L50" s="244"/>
      <c r="M50" s="244"/>
      <c r="N50" s="244"/>
      <c r="O50" s="244"/>
      <c r="P50" s="244"/>
      <c r="Q50" s="244"/>
      <c r="R50" s="244"/>
      <c r="S50" s="244"/>
      <c r="T50" s="244"/>
      <c r="U50" s="244"/>
      <c r="V50" s="244"/>
      <c r="W50" s="244"/>
      <c r="X50" s="244"/>
      <c r="Y50" s="244"/>
      <c r="Z50" s="244"/>
    </row>
    <row r="51" ht="15.75" customHeight="1">
      <c r="A51" s="244"/>
      <c r="B51" s="244"/>
      <c r="C51" s="425"/>
      <c r="D51" s="244"/>
      <c r="E51" s="244"/>
      <c r="F51" s="425"/>
      <c r="G51" s="244"/>
      <c r="H51" s="244"/>
      <c r="I51" s="244"/>
      <c r="J51" s="244"/>
      <c r="K51" s="244"/>
      <c r="L51" s="244"/>
      <c r="M51" s="244"/>
      <c r="N51" s="244"/>
      <c r="O51" s="244"/>
      <c r="P51" s="244"/>
      <c r="Q51" s="244"/>
      <c r="R51" s="244"/>
      <c r="S51" s="244"/>
      <c r="T51" s="244"/>
      <c r="U51" s="244"/>
      <c r="V51" s="244"/>
      <c r="W51" s="244"/>
      <c r="X51" s="244"/>
      <c r="Y51" s="244"/>
      <c r="Z51" s="244"/>
    </row>
    <row r="52" ht="15.75" customHeight="1">
      <c r="A52" s="244"/>
      <c r="B52" s="244"/>
      <c r="C52" s="425"/>
      <c r="D52" s="244"/>
      <c r="E52" s="244"/>
      <c r="F52" s="425"/>
      <c r="G52" s="244"/>
      <c r="H52" s="244"/>
      <c r="I52" s="244"/>
      <c r="J52" s="244"/>
      <c r="K52" s="244"/>
      <c r="L52" s="244"/>
      <c r="M52" s="244"/>
      <c r="N52" s="244"/>
      <c r="O52" s="244"/>
      <c r="P52" s="244"/>
      <c r="Q52" s="244"/>
      <c r="R52" s="244"/>
      <c r="S52" s="244"/>
      <c r="T52" s="244"/>
      <c r="U52" s="244"/>
      <c r="V52" s="244"/>
      <c r="W52" s="244"/>
      <c r="X52" s="244"/>
      <c r="Y52" s="244"/>
      <c r="Z52" s="244"/>
    </row>
    <row r="53" ht="15.75" customHeight="1">
      <c r="A53" s="244"/>
      <c r="B53" s="244"/>
      <c r="C53" s="425"/>
      <c r="D53" s="244"/>
      <c r="E53" s="244"/>
      <c r="F53" s="425"/>
      <c r="G53" s="244"/>
      <c r="H53" s="244"/>
      <c r="I53" s="244"/>
      <c r="J53" s="244"/>
      <c r="K53" s="244"/>
      <c r="L53" s="244"/>
      <c r="M53" s="244"/>
      <c r="N53" s="244"/>
      <c r="O53" s="244"/>
      <c r="P53" s="244"/>
      <c r="Q53" s="244"/>
      <c r="R53" s="244"/>
      <c r="S53" s="244"/>
      <c r="T53" s="244"/>
      <c r="U53" s="244"/>
      <c r="V53" s="244"/>
      <c r="W53" s="244"/>
      <c r="X53" s="244"/>
      <c r="Y53" s="244"/>
      <c r="Z53" s="244"/>
    </row>
    <row r="54" ht="15.75" customHeight="1">
      <c r="A54" s="244"/>
      <c r="B54" s="244"/>
      <c r="C54" s="425"/>
      <c r="D54" s="244"/>
      <c r="E54" s="244"/>
      <c r="F54" s="425"/>
      <c r="G54" s="244"/>
      <c r="H54" s="244"/>
      <c r="I54" s="244"/>
      <c r="J54" s="244"/>
      <c r="K54" s="244"/>
      <c r="L54" s="244"/>
      <c r="M54" s="244"/>
      <c r="N54" s="244"/>
      <c r="O54" s="244"/>
      <c r="P54" s="244"/>
      <c r="Q54" s="244"/>
      <c r="R54" s="244"/>
      <c r="S54" s="244"/>
      <c r="T54" s="244"/>
      <c r="U54" s="244"/>
      <c r="V54" s="244"/>
      <c r="W54" s="244"/>
      <c r="X54" s="244"/>
      <c r="Y54" s="244"/>
      <c r="Z54" s="244"/>
    </row>
    <row r="55" ht="15.75" customHeight="1">
      <c r="A55" s="244"/>
      <c r="B55" s="244"/>
      <c r="C55" s="425"/>
      <c r="D55" s="244"/>
      <c r="E55" s="244"/>
      <c r="F55" s="425"/>
      <c r="G55" s="244"/>
      <c r="H55" s="244"/>
      <c r="I55" s="244"/>
      <c r="J55" s="244"/>
      <c r="K55" s="244"/>
      <c r="L55" s="244"/>
      <c r="M55" s="244"/>
      <c r="N55" s="244"/>
      <c r="O55" s="244"/>
      <c r="P55" s="244"/>
      <c r="Q55" s="244"/>
      <c r="R55" s="244"/>
      <c r="S55" s="244"/>
      <c r="T55" s="244"/>
      <c r="U55" s="244"/>
      <c r="V55" s="244"/>
      <c r="W55" s="244"/>
      <c r="X55" s="244"/>
      <c r="Y55" s="244"/>
      <c r="Z55" s="244"/>
    </row>
    <row r="56" ht="15.75" customHeight="1">
      <c r="A56" s="244"/>
      <c r="B56" s="244"/>
      <c r="C56" s="425"/>
      <c r="D56" s="244"/>
      <c r="E56" s="244"/>
      <c r="F56" s="425"/>
      <c r="G56" s="244"/>
      <c r="H56" s="244"/>
      <c r="I56" s="244"/>
      <c r="J56" s="244"/>
      <c r="K56" s="244"/>
      <c r="L56" s="244"/>
      <c r="M56" s="244"/>
      <c r="N56" s="244"/>
      <c r="O56" s="244"/>
      <c r="P56" s="244"/>
      <c r="Q56" s="244"/>
      <c r="R56" s="244"/>
      <c r="S56" s="244"/>
      <c r="T56" s="244"/>
      <c r="U56" s="244"/>
      <c r="V56" s="244"/>
      <c r="W56" s="244"/>
      <c r="X56" s="244"/>
      <c r="Y56" s="244"/>
      <c r="Z56" s="244"/>
    </row>
    <row r="57" ht="15.75" customHeight="1">
      <c r="A57" s="244"/>
      <c r="B57" s="244"/>
      <c r="C57" s="425"/>
      <c r="D57" s="244"/>
      <c r="E57" s="244"/>
      <c r="F57" s="425"/>
      <c r="G57" s="244"/>
      <c r="H57" s="244"/>
      <c r="I57" s="244"/>
      <c r="J57" s="244"/>
      <c r="K57" s="244"/>
      <c r="L57" s="244"/>
      <c r="M57" s="244"/>
      <c r="N57" s="244"/>
      <c r="O57" s="244"/>
      <c r="P57" s="244"/>
      <c r="Q57" s="244"/>
      <c r="R57" s="244"/>
      <c r="S57" s="244"/>
      <c r="T57" s="244"/>
      <c r="U57" s="244"/>
      <c r="V57" s="244"/>
      <c r="W57" s="244"/>
      <c r="X57" s="244"/>
      <c r="Y57" s="244"/>
      <c r="Z57" s="244"/>
    </row>
    <row r="58" ht="15.75" customHeight="1">
      <c r="A58" s="244"/>
      <c r="B58" s="244"/>
      <c r="C58" s="425"/>
      <c r="D58" s="244"/>
      <c r="E58" s="244"/>
      <c r="F58" s="425"/>
      <c r="G58" s="244"/>
      <c r="H58" s="244"/>
      <c r="I58" s="244"/>
      <c r="J58" s="244"/>
      <c r="K58" s="244"/>
      <c r="L58" s="244"/>
      <c r="M58" s="244"/>
      <c r="N58" s="244"/>
      <c r="O58" s="244"/>
      <c r="P58" s="244"/>
      <c r="Q58" s="244"/>
      <c r="R58" s="244"/>
      <c r="S58" s="244"/>
      <c r="T58" s="244"/>
      <c r="U58" s="244"/>
      <c r="V58" s="244"/>
      <c r="W58" s="244"/>
      <c r="X58" s="244"/>
      <c r="Y58" s="244"/>
      <c r="Z58" s="244"/>
    </row>
    <row r="59" ht="15.75" customHeight="1">
      <c r="A59" s="244"/>
      <c r="B59" s="244"/>
      <c r="C59" s="425"/>
      <c r="D59" s="244"/>
      <c r="E59" s="244"/>
      <c r="F59" s="425"/>
      <c r="G59" s="244"/>
      <c r="H59" s="244"/>
      <c r="I59" s="244"/>
      <c r="J59" s="244"/>
      <c r="K59" s="244"/>
      <c r="L59" s="244"/>
      <c r="M59" s="244"/>
      <c r="N59" s="244"/>
      <c r="O59" s="244"/>
      <c r="P59" s="244"/>
      <c r="Q59" s="244"/>
      <c r="R59" s="244"/>
      <c r="S59" s="244"/>
      <c r="T59" s="244"/>
      <c r="U59" s="244"/>
      <c r="V59" s="244"/>
      <c r="W59" s="244"/>
      <c r="X59" s="244"/>
      <c r="Y59" s="244"/>
      <c r="Z59" s="244"/>
    </row>
    <row r="60" ht="15.75" customHeight="1">
      <c r="A60" s="244"/>
      <c r="B60" s="244"/>
      <c r="C60" s="425"/>
      <c r="D60" s="244"/>
      <c r="E60" s="244"/>
      <c r="F60" s="425"/>
      <c r="G60" s="244"/>
      <c r="H60" s="244"/>
      <c r="I60" s="244"/>
      <c r="J60" s="244"/>
      <c r="K60" s="244"/>
      <c r="L60" s="244"/>
      <c r="M60" s="244"/>
      <c r="N60" s="244"/>
      <c r="O60" s="244"/>
      <c r="P60" s="244"/>
      <c r="Q60" s="244"/>
      <c r="R60" s="244"/>
      <c r="S60" s="244"/>
      <c r="T60" s="244"/>
      <c r="U60" s="244"/>
      <c r="V60" s="244"/>
      <c r="W60" s="244"/>
      <c r="X60" s="244"/>
      <c r="Y60" s="244"/>
      <c r="Z60" s="244"/>
    </row>
    <row r="61" ht="15.75" customHeight="1">
      <c r="A61" s="244"/>
      <c r="B61" s="244"/>
      <c r="C61" s="425"/>
      <c r="D61" s="244"/>
      <c r="E61" s="244"/>
      <c r="F61" s="425"/>
      <c r="G61" s="244"/>
      <c r="H61" s="244"/>
      <c r="I61" s="244"/>
      <c r="J61" s="244"/>
      <c r="K61" s="244"/>
      <c r="L61" s="244"/>
      <c r="M61" s="244"/>
      <c r="N61" s="244"/>
      <c r="O61" s="244"/>
      <c r="P61" s="244"/>
      <c r="Q61" s="244"/>
      <c r="R61" s="244"/>
      <c r="S61" s="244"/>
      <c r="T61" s="244"/>
      <c r="U61" s="244"/>
      <c r="V61" s="244"/>
      <c r="W61" s="244"/>
      <c r="X61" s="244"/>
      <c r="Y61" s="244"/>
      <c r="Z61" s="244"/>
    </row>
    <row r="62" ht="15.75" customHeight="1">
      <c r="A62" s="244"/>
      <c r="B62" s="244"/>
      <c r="C62" s="425"/>
      <c r="D62" s="244"/>
      <c r="E62" s="244"/>
      <c r="F62" s="425"/>
      <c r="G62" s="244"/>
      <c r="H62" s="244"/>
      <c r="I62" s="244"/>
      <c r="J62" s="244"/>
      <c r="K62" s="244"/>
      <c r="L62" s="244"/>
      <c r="M62" s="244"/>
      <c r="N62" s="244"/>
      <c r="O62" s="244"/>
      <c r="P62" s="244"/>
      <c r="Q62" s="244"/>
      <c r="R62" s="244"/>
      <c r="S62" s="244"/>
      <c r="T62" s="244"/>
      <c r="U62" s="244"/>
      <c r="V62" s="244"/>
      <c r="W62" s="244"/>
      <c r="X62" s="244"/>
      <c r="Y62" s="244"/>
      <c r="Z62" s="244"/>
    </row>
    <row r="63" ht="15.75" customHeight="1">
      <c r="A63" s="244"/>
      <c r="B63" s="244"/>
      <c r="C63" s="425"/>
      <c r="D63" s="244"/>
      <c r="E63" s="244"/>
      <c r="F63" s="425"/>
      <c r="G63" s="244"/>
      <c r="H63" s="244"/>
      <c r="I63" s="244"/>
      <c r="J63" s="244"/>
      <c r="K63" s="244"/>
      <c r="L63" s="244"/>
      <c r="M63" s="244"/>
      <c r="N63" s="244"/>
      <c r="O63" s="244"/>
      <c r="P63" s="244"/>
      <c r="Q63" s="244"/>
      <c r="R63" s="244"/>
      <c r="S63" s="244"/>
      <c r="T63" s="244"/>
      <c r="U63" s="244"/>
      <c r="V63" s="244"/>
      <c r="W63" s="244"/>
      <c r="X63" s="244"/>
      <c r="Y63" s="244"/>
      <c r="Z63" s="244"/>
    </row>
    <row r="64" ht="15.75" customHeight="1">
      <c r="A64" s="244"/>
      <c r="B64" s="244"/>
      <c r="C64" s="425"/>
      <c r="D64" s="244"/>
      <c r="E64" s="244"/>
      <c r="F64" s="425"/>
      <c r="G64" s="244"/>
      <c r="H64" s="244"/>
      <c r="I64" s="244"/>
      <c r="J64" s="244"/>
      <c r="K64" s="244"/>
      <c r="L64" s="244"/>
      <c r="M64" s="244"/>
      <c r="N64" s="244"/>
      <c r="O64" s="244"/>
      <c r="P64" s="244"/>
      <c r="Q64" s="244"/>
      <c r="R64" s="244"/>
      <c r="S64" s="244"/>
      <c r="T64" s="244"/>
      <c r="U64" s="244"/>
      <c r="V64" s="244"/>
      <c r="W64" s="244"/>
      <c r="X64" s="244"/>
      <c r="Y64" s="244"/>
      <c r="Z64" s="244"/>
    </row>
    <row r="65" ht="15.75" customHeight="1">
      <c r="A65" s="244"/>
      <c r="B65" s="244"/>
      <c r="C65" s="425"/>
      <c r="D65" s="244"/>
      <c r="E65" s="244"/>
      <c r="F65" s="425"/>
      <c r="G65" s="244"/>
      <c r="H65" s="244"/>
      <c r="I65" s="244"/>
      <c r="J65" s="244"/>
      <c r="K65" s="244"/>
      <c r="L65" s="244"/>
      <c r="M65" s="244"/>
      <c r="N65" s="244"/>
      <c r="O65" s="244"/>
      <c r="P65" s="244"/>
      <c r="Q65" s="244"/>
      <c r="R65" s="244"/>
      <c r="S65" s="244"/>
      <c r="T65" s="244"/>
      <c r="U65" s="244"/>
      <c r="V65" s="244"/>
      <c r="W65" s="244"/>
      <c r="X65" s="244"/>
      <c r="Y65" s="244"/>
      <c r="Z65" s="244"/>
    </row>
    <row r="66" ht="15.75" customHeight="1">
      <c r="A66" s="244"/>
      <c r="B66" s="244"/>
      <c r="C66" s="425"/>
      <c r="D66" s="244"/>
      <c r="E66" s="244"/>
      <c r="F66" s="425"/>
      <c r="G66" s="244"/>
      <c r="H66" s="244"/>
      <c r="I66" s="244"/>
      <c r="J66" s="244"/>
      <c r="K66" s="244"/>
      <c r="L66" s="244"/>
      <c r="M66" s="244"/>
      <c r="N66" s="244"/>
      <c r="O66" s="244"/>
      <c r="P66" s="244"/>
      <c r="Q66" s="244"/>
      <c r="R66" s="244"/>
      <c r="S66" s="244"/>
      <c r="T66" s="244"/>
      <c r="U66" s="244"/>
      <c r="V66" s="244"/>
      <c r="W66" s="244"/>
      <c r="X66" s="244"/>
      <c r="Y66" s="244"/>
      <c r="Z66" s="244"/>
    </row>
    <row r="67" ht="15.75" customHeight="1">
      <c r="A67" s="244"/>
      <c r="B67" s="244"/>
      <c r="C67" s="425"/>
      <c r="D67" s="244"/>
      <c r="E67" s="244"/>
      <c r="F67" s="425"/>
      <c r="G67" s="244"/>
      <c r="H67" s="244"/>
      <c r="I67" s="244"/>
      <c r="J67" s="244"/>
      <c r="K67" s="244"/>
      <c r="L67" s="244"/>
      <c r="M67" s="244"/>
      <c r="N67" s="244"/>
      <c r="O67" s="244"/>
      <c r="P67" s="244"/>
      <c r="Q67" s="244"/>
      <c r="R67" s="244"/>
      <c r="S67" s="244"/>
      <c r="T67" s="244"/>
      <c r="U67" s="244"/>
      <c r="V67" s="244"/>
      <c r="W67" s="244"/>
      <c r="X67" s="244"/>
      <c r="Y67" s="244"/>
      <c r="Z67" s="244"/>
    </row>
    <row r="68" ht="15.75" customHeight="1">
      <c r="A68" s="244"/>
      <c r="B68" s="244"/>
      <c r="C68" s="425"/>
      <c r="D68" s="244"/>
      <c r="E68" s="244"/>
      <c r="F68" s="425"/>
      <c r="G68" s="244"/>
      <c r="H68" s="244"/>
      <c r="I68" s="244"/>
      <c r="J68" s="244"/>
      <c r="K68" s="244"/>
      <c r="L68" s="244"/>
      <c r="M68" s="244"/>
      <c r="N68" s="244"/>
      <c r="O68" s="244"/>
      <c r="P68" s="244"/>
      <c r="Q68" s="244"/>
      <c r="R68" s="244"/>
      <c r="S68" s="244"/>
      <c r="T68" s="244"/>
      <c r="U68" s="244"/>
      <c r="V68" s="244"/>
      <c r="W68" s="244"/>
      <c r="X68" s="244"/>
      <c r="Y68" s="244"/>
      <c r="Z68" s="244"/>
    </row>
    <row r="69" ht="15.75" customHeight="1">
      <c r="A69" s="244"/>
      <c r="B69" s="244"/>
      <c r="C69" s="425"/>
      <c r="D69" s="244"/>
      <c r="E69" s="244"/>
      <c r="F69" s="425"/>
      <c r="G69" s="244"/>
      <c r="H69" s="244"/>
      <c r="I69" s="244"/>
      <c r="J69" s="244"/>
      <c r="K69" s="244"/>
      <c r="L69" s="244"/>
      <c r="M69" s="244"/>
      <c r="N69" s="244"/>
      <c r="O69" s="244"/>
      <c r="P69" s="244"/>
      <c r="Q69" s="244"/>
      <c r="R69" s="244"/>
      <c r="S69" s="244"/>
      <c r="T69" s="244"/>
      <c r="U69" s="244"/>
      <c r="V69" s="244"/>
      <c r="W69" s="244"/>
      <c r="X69" s="244"/>
      <c r="Y69" s="244"/>
      <c r="Z69" s="244"/>
    </row>
    <row r="70" ht="15.75" customHeight="1">
      <c r="A70" s="244"/>
      <c r="B70" s="244"/>
      <c r="C70" s="425"/>
      <c r="D70" s="244"/>
      <c r="E70" s="244"/>
      <c r="F70" s="425"/>
      <c r="G70" s="244"/>
      <c r="H70" s="244"/>
      <c r="I70" s="244"/>
      <c r="J70" s="244"/>
      <c r="K70" s="244"/>
      <c r="L70" s="244"/>
      <c r="M70" s="244"/>
      <c r="N70" s="244"/>
      <c r="O70" s="244"/>
      <c r="P70" s="244"/>
      <c r="Q70" s="244"/>
      <c r="R70" s="244"/>
      <c r="S70" s="244"/>
      <c r="T70" s="244"/>
      <c r="U70" s="244"/>
      <c r="V70" s="244"/>
      <c r="W70" s="244"/>
      <c r="X70" s="244"/>
      <c r="Y70" s="244"/>
      <c r="Z70" s="244"/>
    </row>
    <row r="71" ht="15.75" customHeight="1">
      <c r="A71" s="244"/>
      <c r="B71" s="244"/>
      <c r="C71" s="425"/>
      <c r="D71" s="244"/>
      <c r="E71" s="244"/>
      <c r="F71" s="425"/>
      <c r="G71" s="244"/>
      <c r="H71" s="244"/>
      <c r="I71" s="244"/>
      <c r="J71" s="244"/>
      <c r="K71" s="244"/>
      <c r="L71" s="244"/>
      <c r="M71" s="244"/>
      <c r="N71" s="244"/>
      <c r="O71" s="244"/>
      <c r="P71" s="244"/>
      <c r="Q71" s="244"/>
      <c r="R71" s="244"/>
      <c r="S71" s="244"/>
      <c r="T71" s="244"/>
      <c r="U71" s="244"/>
      <c r="V71" s="244"/>
      <c r="W71" s="244"/>
      <c r="X71" s="244"/>
      <c r="Y71" s="244"/>
      <c r="Z71" s="244"/>
    </row>
    <row r="72" ht="15.75" customHeight="1">
      <c r="A72" s="244"/>
      <c r="B72" s="244"/>
      <c r="C72" s="425"/>
      <c r="D72" s="244"/>
      <c r="E72" s="244"/>
      <c r="F72" s="425"/>
      <c r="G72" s="244"/>
      <c r="H72" s="244"/>
      <c r="I72" s="244"/>
      <c r="J72" s="244"/>
      <c r="K72" s="244"/>
      <c r="L72" s="244"/>
      <c r="M72" s="244"/>
      <c r="N72" s="244"/>
      <c r="O72" s="244"/>
      <c r="P72" s="244"/>
      <c r="Q72" s="244"/>
      <c r="R72" s="244"/>
      <c r="S72" s="244"/>
      <c r="T72" s="244"/>
      <c r="U72" s="244"/>
      <c r="V72" s="244"/>
      <c r="W72" s="244"/>
      <c r="X72" s="244"/>
      <c r="Y72" s="244"/>
      <c r="Z72" s="244"/>
    </row>
    <row r="73">
      <c r="A73" s="244"/>
      <c r="B73" s="244"/>
      <c r="C73" s="425"/>
      <c r="D73" s="244"/>
      <c r="E73" s="244"/>
      <c r="F73" s="425"/>
      <c r="G73" s="244"/>
      <c r="H73" s="244"/>
      <c r="I73" s="244"/>
      <c r="J73" s="244"/>
      <c r="K73" s="244"/>
      <c r="L73" s="244"/>
      <c r="M73" s="244"/>
      <c r="N73" s="244"/>
      <c r="O73" s="244"/>
      <c r="P73" s="244"/>
      <c r="Q73" s="244"/>
      <c r="R73" s="244"/>
      <c r="S73" s="244"/>
      <c r="T73" s="244"/>
      <c r="U73" s="244"/>
      <c r="V73" s="244"/>
      <c r="W73" s="244"/>
      <c r="X73" s="244"/>
      <c r="Y73" s="244"/>
      <c r="Z73" s="244"/>
    </row>
    <row r="74">
      <c r="A74" s="244"/>
      <c r="B74" s="244"/>
      <c r="C74" s="425"/>
      <c r="D74" s="244"/>
      <c r="E74" s="244"/>
      <c r="F74" s="425"/>
      <c r="G74" s="244"/>
      <c r="H74" s="244"/>
      <c r="I74" s="244"/>
      <c r="J74" s="244"/>
      <c r="K74" s="244"/>
      <c r="L74" s="244"/>
      <c r="M74" s="244"/>
      <c r="N74" s="244"/>
      <c r="O74" s="244"/>
      <c r="P74" s="244"/>
      <c r="Q74" s="244"/>
      <c r="R74" s="244"/>
      <c r="S74" s="244"/>
      <c r="T74" s="244"/>
      <c r="U74" s="244"/>
      <c r="V74" s="244"/>
      <c r="W74" s="244"/>
      <c r="X74" s="244"/>
      <c r="Y74" s="244"/>
      <c r="Z74" s="244"/>
    </row>
    <row r="75">
      <c r="A75" s="244"/>
      <c r="B75" s="244"/>
      <c r="C75" s="425"/>
      <c r="D75" s="244"/>
      <c r="E75" s="244"/>
      <c r="F75" s="425"/>
      <c r="G75" s="244"/>
      <c r="H75" s="244"/>
      <c r="I75" s="244"/>
      <c r="J75" s="244"/>
      <c r="K75" s="244"/>
      <c r="L75" s="244"/>
      <c r="M75" s="244"/>
      <c r="N75" s="244"/>
      <c r="O75" s="244"/>
      <c r="P75" s="244"/>
      <c r="Q75" s="244"/>
      <c r="R75" s="244"/>
      <c r="S75" s="244"/>
      <c r="T75" s="244"/>
      <c r="U75" s="244"/>
      <c r="V75" s="244"/>
      <c r="W75" s="244"/>
      <c r="X75" s="244"/>
      <c r="Y75" s="244"/>
      <c r="Z75" s="244"/>
    </row>
    <row r="76">
      <c r="A76" s="244"/>
      <c r="B76" s="244"/>
      <c r="C76" s="425"/>
      <c r="D76" s="244"/>
      <c r="E76" s="244"/>
      <c r="F76" s="425"/>
      <c r="G76" s="244"/>
      <c r="H76" s="244"/>
      <c r="I76" s="244"/>
      <c r="J76" s="244"/>
      <c r="K76" s="244"/>
      <c r="L76" s="244"/>
      <c r="M76" s="244"/>
      <c r="N76" s="244"/>
      <c r="O76" s="244"/>
      <c r="P76" s="244"/>
      <c r="Q76" s="244"/>
      <c r="R76" s="244"/>
      <c r="S76" s="244"/>
      <c r="T76" s="244"/>
      <c r="U76" s="244"/>
      <c r="V76" s="244"/>
      <c r="W76" s="244"/>
      <c r="X76" s="244"/>
      <c r="Y76" s="244"/>
      <c r="Z76" s="244"/>
    </row>
    <row r="77">
      <c r="A77" s="244"/>
      <c r="B77" s="244"/>
      <c r="C77" s="425"/>
      <c r="D77" s="244"/>
      <c r="E77" s="244"/>
      <c r="F77" s="425"/>
      <c r="G77" s="244"/>
      <c r="H77" s="244"/>
      <c r="I77" s="244"/>
      <c r="J77" s="244"/>
      <c r="K77" s="244"/>
      <c r="L77" s="244"/>
      <c r="M77" s="244"/>
      <c r="N77" s="244"/>
      <c r="O77" s="244"/>
      <c r="P77" s="244"/>
      <c r="Q77" s="244"/>
      <c r="R77" s="244"/>
      <c r="S77" s="244"/>
      <c r="T77" s="244"/>
      <c r="U77" s="244"/>
      <c r="V77" s="244"/>
      <c r="W77" s="244"/>
      <c r="X77" s="244"/>
      <c r="Y77" s="244"/>
      <c r="Z77" s="244"/>
    </row>
    <row r="78">
      <c r="A78" s="244"/>
      <c r="B78" s="244"/>
      <c r="C78" s="425"/>
      <c r="D78" s="244"/>
      <c r="E78" s="244"/>
      <c r="F78" s="425"/>
      <c r="G78" s="244"/>
      <c r="H78" s="244"/>
      <c r="I78" s="244"/>
      <c r="J78" s="244"/>
      <c r="K78" s="244"/>
      <c r="L78" s="244"/>
      <c r="M78" s="244"/>
      <c r="N78" s="244"/>
      <c r="O78" s="244"/>
      <c r="P78" s="244"/>
      <c r="Q78" s="244"/>
      <c r="R78" s="244"/>
      <c r="S78" s="244"/>
      <c r="T78" s="244"/>
      <c r="U78" s="244"/>
      <c r="V78" s="244"/>
      <c r="W78" s="244"/>
      <c r="X78" s="244"/>
      <c r="Y78" s="244"/>
      <c r="Z78" s="244"/>
    </row>
    <row r="79">
      <c r="A79" s="244"/>
      <c r="B79" s="244"/>
      <c r="C79" s="425"/>
      <c r="D79" s="244"/>
      <c r="E79" s="244"/>
      <c r="F79" s="425"/>
      <c r="G79" s="244"/>
      <c r="H79" s="244"/>
      <c r="I79" s="244"/>
      <c r="J79" s="244"/>
      <c r="K79" s="244"/>
      <c r="L79" s="244"/>
      <c r="M79" s="244"/>
      <c r="N79" s="244"/>
      <c r="O79" s="244"/>
      <c r="P79" s="244"/>
      <c r="Q79" s="244"/>
      <c r="R79" s="244"/>
      <c r="S79" s="244"/>
      <c r="T79" s="244"/>
      <c r="U79" s="244"/>
      <c r="V79" s="244"/>
      <c r="W79" s="244"/>
      <c r="X79" s="244"/>
      <c r="Y79" s="244"/>
      <c r="Z79" s="244"/>
    </row>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sheetData>
  <sheetProtection sheet="1" objects="1" scenarios="1"/>
  <mergeCells count="3">
    <mergeCell ref="B5:E5"/>
    <mergeCell ref="B4:E4"/>
    <mergeCell ref="B46:F47"/>
  </mergeCells>
  <phoneticPr fontId="0" type="noConversion"/>
  <hyperlinks>
    <hyperlink ref="H8" r:id="rId37" display="www.strglobal.com"/>
    <hyperlink ref="M8" r:id="rId38" display="www.str.com"/>
  </hyperlinks>
  <printOptions horizontalCentered="1" verticalCentered="1"/>
  <pageMargins left="0.25" right="0.25" top="0.3" bottom="0.3" header="0" footer="0"/>
  <pageSetup scale="72" orientation="landscape" r:id="rId3"/>
  <headerFooter alignWithMargins="0">
    <oddHeader/>
    <oddFooter/>
  </headerFooter>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pageSetUpPr fitToPage="1"/>
  </sheetPr>
  <dimension ref="A1:BK113"/>
  <sheetViews>
    <sheetView showGridLines="0" zoomScale="65" zoomScaleNormal="7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6"/>
      <c r="B1" s="39" t="s">
        <v>119</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132</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133</v>
      </c>
      <c r="AG3" s="40"/>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134</v>
      </c>
      <c r="R4" s="618" t="s">
        <v>137</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7" t="s">
        <v>75</v>
      </c>
      <c r="C24" s="309" t="s">
        <v>139</v>
      </c>
      <c r="D24" s="310"/>
      <c r="E24" s="310"/>
      <c r="F24" s="310"/>
      <c r="G24" s="310"/>
      <c r="H24" s="310"/>
      <c r="I24" s="310"/>
      <c r="J24" s="310"/>
      <c r="K24" s="310"/>
      <c r="L24" s="310"/>
      <c r="M24" s="310"/>
      <c r="N24" s="310"/>
      <c r="O24" s="310"/>
      <c r="P24" s="310"/>
      <c r="Q24" s="310"/>
      <c r="R24" s="310"/>
      <c r="S24" s="311"/>
      <c r="T24" s="311"/>
      <c r="U24" s="311"/>
      <c r="V24" s="658" t="s">
        <v>136</v>
      </c>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13</v>
      </c>
      <c r="D25" s="42">
        <v>14</v>
      </c>
      <c r="E25" s="42">
        <v>15</v>
      </c>
      <c r="F25" s="42">
        <v>16</v>
      </c>
      <c r="G25" s="42">
        <v>17</v>
      </c>
      <c r="H25" s="42">
        <v>18</v>
      </c>
      <c r="I25" s="42">
        <v>19</v>
      </c>
      <c r="J25" s="42">
        <v>20</v>
      </c>
      <c r="K25" s="42">
        <v>21</v>
      </c>
      <c r="L25" s="42">
        <v>22</v>
      </c>
      <c r="M25" s="42">
        <v>23</v>
      </c>
      <c r="N25" s="42">
        <v>24</v>
      </c>
      <c r="O25" s="42">
        <v>25</v>
      </c>
      <c r="P25" s="42">
        <v>26</v>
      </c>
      <c r="Q25" s="42">
        <v>27</v>
      </c>
      <c r="R25" s="42">
        <v>28</v>
      </c>
      <c r="S25" s="42">
        <v>29</v>
      </c>
      <c r="T25" s="42">
        <v>30</v>
      </c>
      <c r="U25" s="42">
        <v>31</v>
      </c>
      <c r="V25" s="659">
        <v>1</v>
      </c>
      <c r="W25" s="42">
        <v>2</v>
      </c>
      <c r="X25" s="323">
        <v>3</v>
      </c>
      <c r="Y25" s="42">
        <v>4</v>
      </c>
      <c r="Z25" s="42">
        <v>5</v>
      </c>
      <c r="AA25" s="42">
        <v>6</v>
      </c>
      <c r="AB25" s="42">
        <v>7</v>
      </c>
      <c r="AC25" s="42">
        <v>8</v>
      </c>
      <c r="AD25" s="337">
        <v>9</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44">
        <v>63.541666666666666666666666670</v>
      </c>
      <c r="D26" s="445">
        <v>65.62500</v>
      </c>
      <c r="E26" s="445">
        <v>65.62500</v>
      </c>
      <c r="F26" s="445">
        <v>64.583333333333333333333333330</v>
      </c>
      <c r="G26" s="445">
        <v>63.541666666666666666666666670</v>
      </c>
      <c r="H26" s="445">
        <v>63.541666666666666666666666670</v>
      </c>
      <c r="I26" s="445">
        <v>67.708333333333333333333333330</v>
      </c>
      <c r="J26" s="445">
        <v>65.62500</v>
      </c>
      <c r="K26" s="445">
        <v>60.416666666666666666666666670</v>
      </c>
      <c r="L26" s="445">
        <v>57.291666666666666666666666670</v>
      </c>
      <c r="M26" s="445">
        <v>58.333333333333333333333333330</v>
      </c>
      <c r="N26" s="445">
        <v>56.2500</v>
      </c>
      <c r="O26" s="445">
        <v>55.208333333333333333333333330</v>
      </c>
      <c r="P26" s="445">
        <v>52.083333333333333333333333330</v>
      </c>
      <c r="Q26" s="445">
        <v>48.958333333333333333333333330</v>
      </c>
      <c r="R26" s="445">
        <v>53.12500</v>
      </c>
      <c r="S26" s="445">
        <v>48.958333333333333333333333330</v>
      </c>
      <c r="T26" s="445">
        <v>56.2500</v>
      </c>
      <c r="U26" s="445">
        <v>52.083333333333333333333333330</v>
      </c>
      <c r="V26" s="660">
        <v>56.2500</v>
      </c>
      <c r="W26" s="445">
        <v>50.0</v>
      </c>
      <c r="X26" s="446">
        <v>44.791666666666666666666666670</v>
      </c>
      <c r="Y26" s="445">
        <v>57.291666666666666666666666670</v>
      </c>
      <c r="Z26" s="445">
        <v>67.708333333333333333333333330</v>
      </c>
      <c r="AA26" s="445">
        <v>56.2500</v>
      </c>
      <c r="AB26" s="445">
        <v>60.416666666666666666666666670</v>
      </c>
      <c r="AC26" s="445">
        <v>62.500</v>
      </c>
      <c r="AD26" s="447">
        <v>51.041666666666666666666666670</v>
      </c>
      <c r="AE26" s="448"/>
      <c r="AF26" s="444">
        <v>57.142857142857142857142857140</v>
      </c>
      <c r="AG26" s="445">
        <v>58.035714285714285714285714290</v>
      </c>
      <c r="AH26" s="449">
        <v>56.2500</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27">
        <v>58.356164383561643835616438360</v>
      </c>
      <c r="D27" s="81">
        <v>69.863013698630136986301369860</v>
      </c>
      <c r="E27" s="81">
        <v>79.72602739726027397260273973</v>
      </c>
      <c r="F27" s="81">
        <v>82.73972602739726027397260274</v>
      </c>
      <c r="G27" s="81">
        <v>80.82191780821917808219178082</v>
      </c>
      <c r="H27" s="81">
        <v>73.150684931506849315068493150</v>
      </c>
      <c r="I27" s="81">
        <v>80.54794520547945205479452055</v>
      </c>
      <c r="J27" s="81">
        <v>56.712328767123287671232876710</v>
      </c>
      <c r="K27" s="81">
        <v>75.068493150684931506849315070</v>
      </c>
      <c r="L27" s="81">
        <v>73.150684931506849315068493150</v>
      </c>
      <c r="M27" s="81">
        <v>69.589041095890410958904109590</v>
      </c>
      <c r="N27" s="81">
        <v>63.013698630136986301369863010</v>
      </c>
      <c r="O27" s="81">
        <v>61.095890410958904109589041100</v>
      </c>
      <c r="P27" s="81">
        <v>58.630136986301369863013698630</v>
      </c>
      <c r="Q27" s="81">
        <v>50.958904109589041095890410960</v>
      </c>
      <c r="R27" s="81">
        <v>63.561643835616438356164383560</v>
      </c>
      <c r="S27" s="81">
        <v>67.945205479452054794520547950</v>
      </c>
      <c r="T27" s="81">
        <v>68.767123287671232876712328770</v>
      </c>
      <c r="U27" s="81">
        <v>64.931506849315068493150684930</v>
      </c>
      <c r="V27" s="661">
        <v>59.726027397260273972602739730</v>
      </c>
      <c r="W27" s="81">
        <v>56.164383561643835616438356160</v>
      </c>
      <c r="X27" s="82">
        <v>53.698630136986301369863013700</v>
      </c>
      <c r="Y27" s="81">
        <v>68.219178082191780821917808220</v>
      </c>
      <c r="Z27" s="81">
        <v>75.342465753424657534246575340</v>
      </c>
      <c r="AA27" s="81">
        <v>74.520547945205479452054794520</v>
      </c>
      <c r="AB27" s="81">
        <v>71.780821917808219178082191780</v>
      </c>
      <c r="AC27" s="81">
        <v>74.520547945205479452054794520</v>
      </c>
      <c r="AD27" s="83">
        <v>71.780821917808219178082191780</v>
      </c>
      <c r="AE27" s="88"/>
      <c r="AF27" s="327">
        <v>69.980430528375733855185909980</v>
      </c>
      <c r="AG27" s="81">
        <v>68.013698630136986301369863010</v>
      </c>
      <c r="AH27" s="328">
        <v>67.305936073059360730593607310</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138</v>
      </c>
      <c r="C28" s="450">
        <v>45.107846201938105658018130670</v>
      </c>
      <c r="D28" s="451">
        <v>55.142231947483588621444201310</v>
      </c>
      <c r="E28" s="451">
        <v>57.643013441700531416067521100</v>
      </c>
      <c r="F28" s="451">
        <v>57.236636448890278211941231630</v>
      </c>
      <c r="G28" s="451">
        <v>52.641450453266645826820881530</v>
      </c>
      <c r="H28" s="451">
        <v>57.580493904345107846201938110</v>
      </c>
      <c r="I28" s="451">
        <v>66.739606126914660831509846830</v>
      </c>
      <c r="J28" s="451">
        <v>48.515160987808690215692403880</v>
      </c>
      <c r="K28" s="451">
        <v>56.205064082525789309159112220</v>
      </c>
      <c r="L28" s="451">
        <v>55.048452641450453266645826820</v>
      </c>
      <c r="M28" s="451">
        <v>52.797749296655204751484839010</v>
      </c>
      <c r="N28" s="451">
        <v>47.702407002188183807439824950</v>
      </c>
      <c r="O28" s="451">
        <v>52.422632072522663332291341040</v>
      </c>
      <c r="P28" s="451">
        <v>55.392310096905282900906533290</v>
      </c>
      <c r="Q28" s="451">
        <v>43.794935917474210690840887780</v>
      </c>
      <c r="R28" s="451">
        <v>50.609565489215379806189434200</v>
      </c>
      <c r="S28" s="451">
        <v>51.078462019381056580181306660</v>
      </c>
      <c r="T28" s="451">
        <v>54.048140043763676148796498910</v>
      </c>
      <c r="U28" s="451">
        <v>47.421069084088777743044701470</v>
      </c>
      <c r="V28" s="662">
        <v>48.859018443263519849953110350</v>
      </c>
      <c r="W28" s="451">
        <v>52.766489527977492966552047510</v>
      </c>
      <c r="X28" s="452">
        <v>43.888715223507346045639262270</v>
      </c>
      <c r="Y28" s="451">
        <v>51.672397624257580493904345110</v>
      </c>
      <c r="Z28" s="451">
        <v>53.673022819631134729603000940</v>
      </c>
      <c r="AA28" s="451">
        <v>53.172866520787746170678336980</v>
      </c>
      <c r="AB28" s="451">
        <v>47.264770240700218818380743980</v>
      </c>
      <c r="AC28" s="451">
        <v>53.360425132854016880275085960</v>
      </c>
      <c r="AD28" s="453">
        <v>56.548921537980618943419818690</v>
      </c>
      <c r="AE28" s="448"/>
      <c r="AF28" s="450">
        <v>51.368731299959808868842941990</v>
      </c>
      <c r="AG28" s="451">
        <v>52.440494797481355780824364760</v>
      </c>
      <c r="AH28" s="454">
        <v>51.245180785662186099822861310</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2" customHeight="1">
      <c r="B29" s="4"/>
      <c r="X29" s="27"/>
      <c r="AD29" s="28"/>
      <c r="AF29" s="22"/>
      <c r="AG29" s="22"/>
      <c r="AH29" s="2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18">
      <c r="B30" s="29"/>
      <c r="X30" s="27"/>
      <c r="AD30" s="28"/>
      <c r="AF30" s="22"/>
      <c r="AG30" s="22"/>
      <c r="AH30" s="2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s="41" customFormat="1" ht="18">
      <c r="B31" s="417" t="s">
        <v>76</v>
      </c>
      <c r="C31" s="309" t="s">
        <v>139</v>
      </c>
      <c r="D31" s="310"/>
      <c r="E31" s="310"/>
      <c r="F31" s="310"/>
      <c r="G31" s="310"/>
      <c r="H31" s="310"/>
      <c r="I31" s="310"/>
      <c r="J31" s="310"/>
      <c r="K31" s="310"/>
      <c r="L31" s="310"/>
      <c r="M31" s="310"/>
      <c r="N31" s="310"/>
      <c r="O31" s="310"/>
      <c r="P31" s="310"/>
      <c r="Q31" s="310"/>
      <c r="R31" s="310"/>
      <c r="S31" s="311"/>
      <c r="T31" s="311"/>
      <c r="U31" s="311"/>
      <c r="V31" s="658" t="s">
        <v>136</v>
      </c>
      <c r="W31" s="311"/>
      <c r="X31" s="312"/>
      <c r="Y31" s="311"/>
      <c r="Z31" s="311"/>
      <c r="AA31" s="311"/>
      <c r="AB31" s="311"/>
      <c r="AC31" s="311"/>
      <c r="AD31" s="336"/>
      <c r="AE31" s="25"/>
      <c r="AF31" s="316" t="s">
        <v>58</v>
      </c>
      <c r="AG31" s="317" t="s">
        <v>59</v>
      </c>
      <c r="AH31" s="318" t="s">
        <v>59</v>
      </c>
      <c r="AI31" s="25"/>
      <c r="AJ31" s="255"/>
      <c r="AK31" s="255"/>
      <c r="AL31" s="255"/>
      <c r="AM31" s="255"/>
      <c r="AN31" s="263"/>
      <c r="AO31" s="263"/>
      <c r="AP31" s="263"/>
      <c r="AQ31" s="263"/>
      <c r="AR31" s="263"/>
      <c r="AS31" s="263"/>
      <c r="AT31" s="263"/>
      <c r="AU31" s="263"/>
      <c r="AV31" s="263"/>
      <c r="AW31" s="263"/>
      <c r="AX31" s="263"/>
      <c r="AY31" s="263"/>
      <c r="AZ31" s="263"/>
      <c r="BA31" s="263"/>
      <c r="BB31" s="263"/>
      <c r="BC31" s="263"/>
      <c r="BD31" s="263"/>
      <c r="BE31" s="263"/>
      <c r="BF31" s="263"/>
      <c r="BG31" s="263"/>
      <c r="BH31" s="263"/>
      <c r="BI31" s="263"/>
      <c r="BJ31" s="263"/>
      <c r="BK31" s="263"/>
    </row>
    <row r="32" s="42" customFormat="1">
      <c r="C32" s="322">
        <v>13</v>
      </c>
      <c r="D32" s="42">
        <v>14</v>
      </c>
      <c r="E32" s="42">
        <v>15</v>
      </c>
      <c r="F32" s="42">
        <v>16</v>
      </c>
      <c r="G32" s="42">
        <v>17</v>
      </c>
      <c r="H32" s="42">
        <v>18</v>
      </c>
      <c r="I32" s="42">
        <v>19</v>
      </c>
      <c r="J32" s="42">
        <v>20</v>
      </c>
      <c r="K32" s="42">
        <v>21</v>
      </c>
      <c r="L32" s="42">
        <v>22</v>
      </c>
      <c r="M32" s="42">
        <v>23</v>
      </c>
      <c r="N32" s="42">
        <v>24</v>
      </c>
      <c r="O32" s="42">
        <v>25</v>
      </c>
      <c r="P32" s="42">
        <v>26</v>
      </c>
      <c r="Q32" s="42">
        <v>27</v>
      </c>
      <c r="R32" s="42">
        <v>28</v>
      </c>
      <c r="S32" s="42">
        <v>29</v>
      </c>
      <c r="T32" s="42">
        <v>30</v>
      </c>
      <c r="U32" s="42">
        <v>31</v>
      </c>
      <c r="V32" s="659">
        <v>1</v>
      </c>
      <c r="W32" s="42">
        <v>2</v>
      </c>
      <c r="X32" s="323">
        <v>3</v>
      </c>
      <c r="Y32" s="42">
        <v>4</v>
      </c>
      <c r="Z32" s="42">
        <v>5</v>
      </c>
      <c r="AA32" s="42">
        <v>6</v>
      </c>
      <c r="AB32" s="42">
        <v>7</v>
      </c>
      <c r="AC32" s="42">
        <v>8</v>
      </c>
      <c r="AD32" s="337">
        <v>9</v>
      </c>
      <c r="AE32" s="25"/>
      <c r="AF32" s="324" t="s">
        <v>60</v>
      </c>
      <c r="AG32" s="325">
        <v>28</v>
      </c>
      <c r="AH32" s="326" t="s">
        <v>31</v>
      </c>
      <c r="AI32" s="25"/>
      <c r="AJ32" s="255"/>
      <c r="AK32" s="255"/>
      <c r="AL32" s="255"/>
      <c r="AM32" s="255"/>
      <c r="AN32" s="264"/>
      <c r="AO32" s="264"/>
      <c r="AP32" s="264"/>
      <c r="AQ32" s="264"/>
      <c r="AR32" s="264"/>
      <c r="AS32" s="264"/>
      <c r="AT32" s="264"/>
      <c r="AU32" s="264"/>
      <c r="AV32" s="264"/>
      <c r="AW32" s="264"/>
      <c r="AX32" s="264"/>
      <c r="AY32" s="264"/>
      <c r="AZ32" s="264"/>
      <c r="BA32" s="264"/>
      <c r="BB32" s="264"/>
      <c r="BC32" s="264"/>
      <c r="BD32" s="264"/>
      <c r="BE32" s="264"/>
      <c r="BF32" s="264"/>
      <c r="BG32" s="264"/>
      <c r="BH32" s="264"/>
      <c r="BI32" s="264"/>
      <c r="BJ32" s="264"/>
      <c r="BK32" s="264"/>
    </row>
    <row r="33" ht="14.25" customHeight="1">
      <c r="B33" s="46" t="s">
        <v>32</v>
      </c>
      <c r="C33" s="444">
        <v>-8.955223880640498997549544830</v>
      </c>
      <c r="D33" s="445">
        <v>-18.181818181784179456906715500</v>
      </c>
      <c r="E33" s="445">
        <v>-25.882352941204373702422134820</v>
      </c>
      <c r="F33" s="445">
        <v>-18.421052631613296398891952300</v>
      </c>
      <c r="G33" s="445">
        <v>-21.794871794871794871794871790</v>
      </c>
      <c r="H33" s="445">
        <v>-21.794871794871794871794871790</v>
      </c>
      <c r="I33" s="445">
        <v>-10.958904109628072809157423310</v>
      </c>
      <c r="J33" s="445">
        <v>-12.500</v>
      </c>
      <c r="K33" s="445">
        <v>-29.268292682954431885782261680</v>
      </c>
      <c r="L33" s="445">
        <v>-35.294117647083183391003451030</v>
      </c>
      <c r="M33" s="445">
        <v>-32.530120481901698359703865720</v>
      </c>
      <c r="N33" s="445">
        <v>-34.939759036119494846857299080</v>
      </c>
      <c r="O33" s="445">
        <v>-36.144578313228393090434015770</v>
      </c>
      <c r="P33" s="445">
        <v>-33.333333333333333333333333340</v>
      </c>
      <c r="Q33" s="445">
        <v>-39.743589743589743589743589750</v>
      </c>
      <c r="R33" s="445">
        <v>-37.804878048804759071980954240</v>
      </c>
      <c r="S33" s="445">
        <v>-44.047619047619047619047619050</v>
      </c>
      <c r="T33" s="445">
        <v>-35.714285714285714285714285710</v>
      </c>
      <c r="U33" s="445">
        <v>-40.476190476190476190476190480</v>
      </c>
      <c r="V33" s="660">
        <v>-34.939759036119494846857299080</v>
      </c>
      <c r="W33" s="445">
        <v>-42.168674698772884308317599180</v>
      </c>
      <c r="X33" s="446">
        <v>-49.411764705901397923875425350</v>
      </c>
      <c r="Y33" s="445">
        <v>-36.781609195402298850574712640</v>
      </c>
      <c r="Z33" s="445">
        <v>-23.529411764734671280276805770</v>
      </c>
      <c r="AA33" s="445">
        <v>-37.931034482758620689655172410</v>
      </c>
      <c r="AB33" s="445">
        <v>-34.090909090933057851239660700</v>
      </c>
      <c r="AC33" s="445">
        <v>-27.710843373466105385396998980</v>
      </c>
      <c r="AD33" s="447">
        <v>-41.666666666666666666666666660</v>
      </c>
      <c r="AE33" s="448"/>
      <c r="AF33" s="444">
        <v>-35.893155258761182939846878730</v>
      </c>
      <c r="AG33" s="445">
        <v>-31.398416886531951183854190090</v>
      </c>
      <c r="AH33" s="449">
        <v>-36.470588235318034602076115560</v>
      </c>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row>
    <row r="34" ht="14.25" customHeight="1">
      <c r="B34" s="47" t="s">
        <v>26</v>
      </c>
      <c r="C34" s="327">
        <v>-35.843373493983633328494700760</v>
      </c>
      <c r="D34" s="81">
        <v>-28.770949720654473955244838990</v>
      </c>
      <c r="E34" s="81">
        <v>-19.166666666665543981481481460</v>
      </c>
      <c r="F34" s="81">
        <v>-15.406162465001396637086204230</v>
      </c>
      <c r="G34" s="81">
        <v>-15.472779369658992947512734470</v>
      </c>
      <c r="H34" s="81">
        <v>-13.029315960916301499220150670</v>
      </c>
      <c r="I34" s="81">
        <v>-5.1612903225638189386056161600</v>
      </c>
      <c r="J34" s="81">
        <v>-27.622377622413051982982035570</v>
      </c>
      <c r="K34" s="81">
        <v>-13.836477987388869111190209630</v>
      </c>
      <c r="L34" s="81">
        <v>-22.832369942159732199538891200</v>
      </c>
      <c r="M34" s="81">
        <v>-29.050279329593083861302702360</v>
      </c>
      <c r="N34" s="81">
        <v>-34.659090909102046745867766700</v>
      </c>
      <c r="O34" s="81">
        <v>-36.103151862487984499306236560</v>
      </c>
      <c r="P34" s="81">
        <v>-38.150289017311545658057388450</v>
      </c>
      <c r="Q34" s="81">
        <v>-37.583892617420341426061875330</v>
      </c>
      <c r="R34" s="81">
        <v>-29.483282674795613492114809980</v>
      </c>
      <c r="S34" s="81">
        <v>-21.766561514201753425748091340</v>
      </c>
      <c r="T34" s="81">
        <v>-25.074626865664932056137223720</v>
      </c>
      <c r="U34" s="81">
        <v>-25.705329153628305539450273260</v>
      </c>
      <c r="V34" s="661">
        <v>-32.507739938056465604002713600</v>
      </c>
      <c r="W34" s="81">
        <v>-40.058479532172506070243834430</v>
      </c>
      <c r="X34" s="82">
        <v>-36.569579288044364847456556660</v>
      </c>
      <c r="Y34" s="81">
        <v>-28.242074927965264224435048730</v>
      </c>
      <c r="Z34" s="81">
        <v>-21.875000000013316761363634100</v>
      </c>
      <c r="AA34" s="81">
        <v>-23.163841807938906444508271890</v>
      </c>
      <c r="AB34" s="81">
        <v>-21.321321321296512728945153560</v>
      </c>
      <c r="AC34" s="81">
        <v>-15.527950310566876277921375760</v>
      </c>
      <c r="AD34" s="83">
        <v>-15.755627009690997818467527290</v>
      </c>
      <c r="AE34" s="88"/>
      <c r="AF34" s="327">
        <v>-23.195876288673980143125373790</v>
      </c>
      <c r="AG34" s="81">
        <v>-25.410451765236952669518760340</v>
      </c>
      <c r="AH34" s="328">
        <v>-26.324558480469058631017232690</v>
      </c>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row>
    <row r="35" ht="14.25" customHeight="1">
      <c r="A35" s="24"/>
      <c r="B35" s="49" t="s">
        <v>138</v>
      </c>
      <c r="C35" s="450">
        <v>-16.076619092709463058795013040</v>
      </c>
      <c r="D35" s="451">
        <v>-9.830487516796255353731637470</v>
      </c>
      <c r="E35" s="451">
        <v>-9.045274311375586418225436460</v>
      </c>
      <c r="F35" s="451">
        <v>-10.600511455000331968568163070</v>
      </c>
      <c r="G35" s="451">
        <v>-17.459631872690432393419096810</v>
      </c>
      <c r="H35" s="451">
        <v>-16.725399043273033857550055500</v>
      </c>
      <c r="I35" s="451">
        <v>-5.7092138372251651173892840700</v>
      </c>
      <c r="J35" s="451">
        <v>-9.477468761392376576047110570</v>
      </c>
      <c r="K35" s="451">
        <v>-8.415981552876973504720422420</v>
      </c>
      <c r="L35" s="451">
        <v>-11.720912908963573881588724520</v>
      </c>
      <c r="M35" s="451">
        <v>-14.054492480906818822514021660</v>
      </c>
      <c r="N35" s="451">
        <v>-26.309103386968178844439031100</v>
      </c>
      <c r="O35" s="451">
        <v>-22.560733570163462956255344680</v>
      </c>
      <c r="P35" s="451">
        <v>-18.211172198614249226688476120</v>
      </c>
      <c r="Q35" s="451">
        <v>-15.712952904699950580260493370</v>
      </c>
      <c r="R35" s="451">
        <v>-16.441364365500987993891271500</v>
      </c>
      <c r="S35" s="451">
        <v>-16.009489901220496250640815390</v>
      </c>
      <c r="T35" s="451">
        <v>-14.717613494776783577609424960</v>
      </c>
      <c r="U35" s="451">
        <v>-23.007638605042475857071529850</v>
      </c>
      <c r="V35" s="662">
        <v>-22.306553294192644243440715340</v>
      </c>
      <c r="W35" s="451">
        <v>-19.875920457724216571763164800</v>
      </c>
      <c r="X35" s="452">
        <v>-20.188585641787087953309869330</v>
      </c>
      <c r="Y35" s="451">
        <v>-15.542173010642062765776553030</v>
      </c>
      <c r="Z35" s="451">
        <v>-15.289735669552697567170994240</v>
      </c>
      <c r="AA35" s="451">
        <v>-15.616393280759539930426898050</v>
      </c>
      <c r="AB35" s="451">
        <v>-19.892793050266213007832610720</v>
      </c>
      <c r="AC35" s="451">
        <v>-13.541910966865146071391696810</v>
      </c>
      <c r="AD35" s="453">
        <v>-8.046283724104908430250422200</v>
      </c>
      <c r="AE35" s="448"/>
      <c r="AF35" s="450">
        <v>-15.345492038174828427319126900</v>
      </c>
      <c r="AG35" s="451">
        <v>-15.459827843983725468308647980</v>
      </c>
      <c r="AH35" s="454">
        <v>-16.689668436929373954186459050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3.5" customHeight="1">
      <c r="B36" s="40"/>
      <c r="C36" s="23"/>
      <c r="D36" s="23"/>
      <c r="E36" s="23"/>
      <c r="F36" s="23"/>
      <c r="G36" s="23"/>
      <c r="H36" s="23"/>
      <c r="I36" s="23"/>
      <c r="J36" s="23"/>
      <c r="K36" s="23"/>
      <c r="L36" s="23"/>
      <c r="M36" s="23"/>
      <c r="N36" s="23"/>
      <c r="O36" s="23"/>
      <c r="P36" s="23"/>
      <c r="Q36" s="23"/>
      <c r="R36" s="23"/>
      <c r="S36" s="23"/>
      <c r="T36" s="23"/>
      <c r="U36" s="23"/>
      <c r="V36" s="23"/>
      <c r="W36" s="23"/>
      <c r="X36" s="44"/>
      <c r="Y36" s="23"/>
      <c r="Z36" s="23"/>
      <c r="AA36" s="23"/>
      <c r="AB36" s="23"/>
      <c r="AC36" s="23"/>
      <c r="AD36" s="45"/>
      <c r="AF36" s="43"/>
      <c r="AG36" s="43"/>
      <c r="AH36" s="43"/>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8">
      <c r="B37" s="29"/>
      <c r="X37" s="27"/>
      <c r="AD37" s="28"/>
      <c r="AF37" s="43"/>
      <c r="AG37" s="43"/>
      <c r="AH37" s="43"/>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s="41" customFormat="1" ht="18">
      <c r="B38" s="417" t="s">
        <v>91</v>
      </c>
      <c r="C38" s="309" t="s">
        <v>139</v>
      </c>
      <c r="D38" s="310"/>
      <c r="E38" s="310"/>
      <c r="F38" s="310"/>
      <c r="G38" s="310"/>
      <c r="H38" s="310"/>
      <c r="I38" s="310"/>
      <c r="J38" s="310"/>
      <c r="K38" s="310"/>
      <c r="L38" s="310"/>
      <c r="M38" s="310"/>
      <c r="N38" s="310"/>
      <c r="O38" s="310"/>
      <c r="P38" s="310"/>
      <c r="Q38" s="310"/>
      <c r="R38" s="310"/>
      <c r="S38" s="311"/>
      <c r="T38" s="311"/>
      <c r="U38" s="311"/>
      <c r="V38" s="658" t="s">
        <v>136</v>
      </c>
      <c r="W38" s="311"/>
      <c r="X38" s="312"/>
      <c r="Y38" s="311"/>
      <c r="Z38" s="311"/>
      <c r="AA38" s="311"/>
      <c r="AB38" s="311"/>
      <c r="AC38" s="311"/>
      <c r="AD38" s="336"/>
      <c r="AE38" s="25"/>
      <c r="AF38" s="316" t="s">
        <v>58</v>
      </c>
      <c r="AG38" s="317" t="s">
        <v>59</v>
      </c>
      <c r="AH38" s="318" t="s">
        <v>59</v>
      </c>
      <c r="AI38" s="25"/>
      <c r="AJ38" s="255"/>
      <c r="AK38" s="255"/>
      <c r="AL38" s="255"/>
      <c r="AM38" s="255"/>
      <c r="AN38" s="263"/>
      <c r="AO38" s="263"/>
      <c r="AP38" s="263"/>
      <c r="AQ38" s="263"/>
      <c r="AR38" s="263"/>
      <c r="AS38" s="263"/>
      <c r="AT38" s="263"/>
      <c r="AU38" s="263"/>
      <c r="AV38" s="263"/>
      <c r="AW38" s="263"/>
      <c r="AX38" s="263"/>
      <c r="AY38" s="263"/>
      <c r="AZ38" s="263"/>
      <c r="BA38" s="263"/>
      <c r="BB38" s="263"/>
      <c r="BC38" s="263"/>
      <c r="BD38" s="263"/>
      <c r="BE38" s="263"/>
      <c r="BF38" s="263"/>
      <c r="BG38" s="263"/>
      <c r="BH38" s="263"/>
      <c r="BI38" s="263"/>
      <c r="BJ38" s="263"/>
      <c r="BK38" s="263"/>
    </row>
    <row r="39" s="42" customFormat="1">
      <c r="C39" s="313">
        <v>13</v>
      </c>
      <c r="D39" s="42">
        <v>14</v>
      </c>
      <c r="E39" s="42">
        <v>15</v>
      </c>
      <c r="F39" s="42">
        <v>16</v>
      </c>
      <c r="G39" s="42">
        <v>17</v>
      </c>
      <c r="H39" s="42">
        <v>18</v>
      </c>
      <c r="I39" s="42">
        <v>19</v>
      </c>
      <c r="J39" s="42">
        <v>20</v>
      </c>
      <c r="K39" s="42">
        <v>21</v>
      </c>
      <c r="L39" s="42">
        <v>22</v>
      </c>
      <c r="M39" s="42">
        <v>23</v>
      </c>
      <c r="N39" s="42">
        <v>24</v>
      </c>
      <c r="O39" s="42">
        <v>25</v>
      </c>
      <c r="P39" s="42">
        <v>26</v>
      </c>
      <c r="Q39" s="42">
        <v>27</v>
      </c>
      <c r="R39" s="42">
        <v>28</v>
      </c>
      <c r="S39" s="42">
        <v>29</v>
      </c>
      <c r="T39" s="42">
        <v>30</v>
      </c>
      <c r="U39" s="42">
        <v>31</v>
      </c>
      <c r="V39" s="659">
        <v>1</v>
      </c>
      <c r="W39" s="42">
        <v>2</v>
      </c>
      <c r="X39" s="323">
        <v>3</v>
      </c>
      <c r="Y39" s="42">
        <v>4</v>
      </c>
      <c r="Z39" s="42">
        <v>5</v>
      </c>
      <c r="AA39" s="42">
        <v>6</v>
      </c>
      <c r="AB39" s="42">
        <v>7</v>
      </c>
      <c r="AC39" s="42">
        <v>8</v>
      </c>
      <c r="AD39" s="337">
        <v>9</v>
      </c>
      <c r="AE39" s="25"/>
      <c r="AF39" s="324" t="s">
        <v>60</v>
      </c>
      <c r="AG39" s="325">
        <v>28</v>
      </c>
      <c r="AH39" s="326" t="s">
        <v>31</v>
      </c>
      <c r="AI39" s="25"/>
      <c r="AJ39" s="255"/>
      <c r="AK39" s="255"/>
      <c r="AL39" s="255"/>
      <c r="AM39" s="255"/>
      <c r="AN39" s="264"/>
      <c r="AO39" s="264"/>
      <c r="AP39" s="264"/>
      <c r="AQ39" s="264"/>
      <c r="AR39" s="264"/>
      <c r="AS39" s="264"/>
      <c r="AT39" s="264"/>
      <c r="AU39" s="264"/>
      <c r="AV39" s="264"/>
      <c r="AW39" s="264"/>
      <c r="AX39" s="264"/>
      <c r="AY39" s="264"/>
      <c r="AZ39" s="264"/>
      <c r="BA39" s="264"/>
      <c r="BB39" s="264"/>
      <c r="BC39" s="264"/>
      <c r="BD39" s="264"/>
      <c r="BE39" s="264"/>
      <c r="BF39" s="264"/>
      <c r="BG39" s="264"/>
      <c r="BH39" s="264"/>
      <c r="BI39" s="264"/>
      <c r="BJ39" s="264"/>
      <c r="BK39" s="264"/>
    </row>
    <row r="40" ht="14.25" customHeight="1">
      <c r="A40" s="1"/>
      <c r="B40" s="46" t="s">
        <v>26</v>
      </c>
      <c r="C40" s="444">
        <v>108.88595461651685117223953510</v>
      </c>
      <c r="D40" s="445">
        <v>93.93382352945228517877741079</v>
      </c>
      <c r="E40" s="445">
        <v>82.31314432985589207584938452</v>
      </c>
      <c r="F40" s="445">
        <v>78.056015452536046710305103660</v>
      </c>
      <c r="G40" s="445">
        <v>78.619350282504531145264775090</v>
      </c>
      <c r="H40" s="445">
        <v>86.86407615481462522560750450</v>
      </c>
      <c r="I40" s="445">
        <v>84.05966553285837480187653839</v>
      </c>
      <c r="J40" s="445">
        <v>115.71557971019244359553317081</v>
      </c>
      <c r="K40" s="445">
        <v>80.48205596105440445348713629</v>
      </c>
      <c r="L40" s="445">
        <v>78.320068664177121105055946680</v>
      </c>
      <c r="M40" s="445">
        <v>83.82545931757375108500217159</v>
      </c>
      <c r="N40" s="445">
        <v>89.26630434787848239603027650</v>
      </c>
      <c r="O40" s="445">
        <v>90.36341554552965091629971847</v>
      </c>
      <c r="P40" s="445">
        <v>88.83372274143509736112324225</v>
      </c>
      <c r="Q40" s="445">
        <v>96.07414874549905215439164894</v>
      </c>
      <c r="R40" s="445">
        <v>83.58028017243540869314804364</v>
      </c>
      <c r="S40" s="445">
        <v>72.055611559088939252596072990</v>
      </c>
      <c r="T40" s="445">
        <v>81.79780876490602083697085605</v>
      </c>
      <c r="U40" s="445">
        <v>80.21272855135476104108435096</v>
      </c>
      <c r="V40" s="660">
        <v>94.18004587149699033646161897</v>
      </c>
      <c r="W40" s="445">
        <v>89.02439024397192147531236833</v>
      </c>
      <c r="X40" s="446">
        <v>83.41305272106715653416979580</v>
      </c>
      <c r="Y40" s="445">
        <v>83.98176037482254570490798658</v>
      </c>
      <c r="Z40" s="445">
        <v>89.86742424245365358126722725</v>
      </c>
      <c r="AA40" s="445">
        <v>75.482536764711432539467993490</v>
      </c>
      <c r="AB40" s="445">
        <v>84.16825699746510832459258507</v>
      </c>
      <c r="AC40" s="445">
        <v>83.86948529412381393274221499</v>
      </c>
      <c r="AD40" s="447">
        <v>71.107665394410177722500632210</v>
      </c>
      <c r="AE40" s="448"/>
      <c r="AF40" s="444">
        <v>81.65548098431173020234324761</v>
      </c>
      <c r="AG40" s="445">
        <v>85.32944900019026691371323828</v>
      </c>
      <c r="AH40" s="449">
        <v>83.57360922654383954395412211</v>
      </c>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row>
    <row r="41" ht="14.25" customHeight="1">
      <c r="A41" s="24"/>
      <c r="B41" s="48" t="s">
        <v>138</v>
      </c>
      <c r="C41" s="329">
        <v>140.86610649122549026367253676</v>
      </c>
      <c r="D41" s="330">
        <v>119.01041666663124689980159784</v>
      </c>
      <c r="E41" s="330">
        <v>113.84727494577111464407487967</v>
      </c>
      <c r="F41" s="330">
        <v>112.83565446930542951654471837</v>
      </c>
      <c r="G41" s="330">
        <v>120.70652711789659905120657423</v>
      </c>
      <c r="H41" s="330">
        <v>110.35276420566010081727222269</v>
      </c>
      <c r="I41" s="330">
        <v>101.45150273226272322628326208</v>
      </c>
      <c r="J41" s="330">
        <v>135.26699420105515736107467354</v>
      </c>
      <c r="K41" s="330">
        <v>107.49327956994179567425576677</v>
      </c>
      <c r="L41" s="330">
        <v>104.07498107126729575336099263</v>
      </c>
      <c r="M41" s="330">
        <v>110.48450759809059149434296596</v>
      </c>
      <c r="N41" s="330">
        <v>117.91857798162216695774767157</v>
      </c>
      <c r="O41" s="330">
        <v>105.31392864246254378747711310</v>
      </c>
      <c r="P41" s="330">
        <v>94.02628856283816240186255811</v>
      </c>
      <c r="Q41" s="330">
        <v>111.78994170823776347710495158</v>
      </c>
      <c r="R41" s="330">
        <v>104.97027486105722382657914772</v>
      </c>
      <c r="S41" s="330">
        <v>95.84927070579880579882840835</v>
      </c>
      <c r="T41" s="330">
        <v>104.07388663960616896687378695</v>
      </c>
      <c r="U41" s="330">
        <v>109.83163041087271178511261043</v>
      </c>
      <c r="V41" s="663">
        <v>115.12715930893515457779044957</v>
      </c>
      <c r="W41" s="330">
        <v>94.75710900469891876867098150</v>
      </c>
      <c r="X41" s="331">
        <v>102.05736585946627503393421742</v>
      </c>
      <c r="Y41" s="330">
        <v>110.87479834634979405039967937</v>
      </c>
      <c r="Z41" s="330">
        <v>126.14965540679031938853727227</v>
      </c>
      <c r="AA41" s="330">
        <v>105.78703703701265813138241684</v>
      </c>
      <c r="AB41" s="330">
        <v>127.82600308642034487347107911</v>
      </c>
      <c r="AC41" s="330">
        <v>117.12800234319139115908211216</v>
      </c>
      <c r="AD41" s="338">
        <v>90.26107886490365107671112571</v>
      </c>
      <c r="AE41" s="88"/>
      <c r="AF41" s="329">
        <v>111.24054594444917283200034403</v>
      </c>
      <c r="AG41" s="330">
        <v>110.66965426207425310341955549</v>
      </c>
      <c r="AH41" s="332">
        <v>109.76641927604751070850899219</v>
      </c>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row>
    <row r="42" ht="12" customHeight="1">
      <c r="B42" s="4"/>
      <c r="X42" s="27"/>
      <c r="AD42" s="28"/>
      <c r="AF42" s="43"/>
      <c r="AG42" s="43"/>
      <c r="AH42" s="43"/>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8">
      <c r="B43" s="29"/>
      <c r="X43" s="27"/>
      <c r="AD43" s="28"/>
      <c r="AF43" s="43"/>
      <c r="AG43" s="43"/>
      <c r="AH43" s="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s="41" customFormat="1" ht="18">
      <c r="B44" s="417" t="s">
        <v>77</v>
      </c>
      <c r="C44" s="309" t="s">
        <v>139</v>
      </c>
      <c r="D44" s="310"/>
      <c r="E44" s="310"/>
      <c r="F44" s="310"/>
      <c r="G44" s="310"/>
      <c r="H44" s="310"/>
      <c r="I44" s="310"/>
      <c r="J44" s="310"/>
      <c r="K44" s="310"/>
      <c r="L44" s="310"/>
      <c r="M44" s="310"/>
      <c r="N44" s="310"/>
      <c r="O44" s="310"/>
      <c r="P44" s="310"/>
      <c r="Q44" s="310"/>
      <c r="R44" s="310"/>
      <c r="S44" s="311"/>
      <c r="T44" s="311"/>
      <c r="U44" s="311"/>
      <c r="V44" s="658" t="s">
        <v>136</v>
      </c>
      <c r="W44" s="311"/>
      <c r="X44" s="312"/>
      <c r="Y44" s="311"/>
      <c r="Z44" s="311"/>
      <c r="AA44" s="311"/>
      <c r="AB44" s="311"/>
      <c r="AC44" s="311"/>
      <c r="AD44" s="336"/>
      <c r="AE44" s="25"/>
      <c r="AF44" s="316" t="s">
        <v>58</v>
      </c>
      <c r="AG44" s="317" t="s">
        <v>59</v>
      </c>
      <c r="AH44" s="318" t="s">
        <v>59</v>
      </c>
      <c r="AI44" s="25"/>
      <c r="AJ44" s="255"/>
      <c r="AK44" s="255"/>
      <c r="AL44" s="255"/>
      <c r="AM44" s="255"/>
      <c r="AN44" s="263"/>
      <c r="AO44" s="263"/>
      <c r="AP44" s="263"/>
      <c r="AQ44" s="263"/>
      <c r="AR44" s="263"/>
      <c r="AS44" s="263"/>
      <c r="AT44" s="263"/>
      <c r="AU44" s="263"/>
      <c r="AV44" s="263"/>
      <c r="AW44" s="263"/>
      <c r="AX44" s="263"/>
      <c r="AY44" s="263"/>
      <c r="AZ44" s="263"/>
      <c r="BA44" s="263"/>
      <c r="BB44" s="263"/>
      <c r="BC44" s="263"/>
      <c r="BD44" s="263"/>
      <c r="BE44" s="263"/>
      <c r="BF44" s="263"/>
      <c r="BG44" s="263"/>
      <c r="BH44" s="263"/>
      <c r="BI44" s="263"/>
      <c r="BJ44" s="263"/>
      <c r="BK44" s="263"/>
    </row>
    <row r="45" s="42" customFormat="1">
      <c r="C45" s="322">
        <v>13</v>
      </c>
      <c r="D45" s="42">
        <v>14</v>
      </c>
      <c r="E45" s="42">
        <v>15</v>
      </c>
      <c r="F45" s="42">
        <v>16</v>
      </c>
      <c r="G45" s="42">
        <v>17</v>
      </c>
      <c r="H45" s="42">
        <v>18</v>
      </c>
      <c r="I45" s="42">
        <v>19</v>
      </c>
      <c r="J45" s="42">
        <v>20</v>
      </c>
      <c r="K45" s="42">
        <v>21</v>
      </c>
      <c r="L45" s="42">
        <v>22</v>
      </c>
      <c r="M45" s="42">
        <v>23</v>
      </c>
      <c r="N45" s="42">
        <v>24</v>
      </c>
      <c r="O45" s="42">
        <v>25</v>
      </c>
      <c r="P45" s="42">
        <v>26</v>
      </c>
      <c r="Q45" s="42">
        <v>27</v>
      </c>
      <c r="R45" s="42">
        <v>28</v>
      </c>
      <c r="S45" s="42">
        <v>29</v>
      </c>
      <c r="T45" s="42">
        <v>30</v>
      </c>
      <c r="U45" s="42">
        <v>31</v>
      </c>
      <c r="V45" s="659">
        <v>1</v>
      </c>
      <c r="W45" s="42">
        <v>2</v>
      </c>
      <c r="X45" s="323">
        <v>3</v>
      </c>
      <c r="Y45" s="42">
        <v>4</v>
      </c>
      <c r="Z45" s="42">
        <v>5</v>
      </c>
      <c r="AA45" s="42">
        <v>6</v>
      </c>
      <c r="AB45" s="42">
        <v>7</v>
      </c>
      <c r="AC45" s="42">
        <v>8</v>
      </c>
      <c r="AD45" s="337">
        <v>9</v>
      </c>
      <c r="AE45" s="25"/>
      <c r="AF45" s="324" t="s">
        <v>60</v>
      </c>
      <c r="AG45" s="325">
        <v>28</v>
      </c>
      <c r="AH45" s="326" t="s">
        <v>31</v>
      </c>
      <c r="AI45" s="25"/>
      <c r="AJ45" s="255"/>
      <c r="AK45" s="255"/>
      <c r="AL45" s="255"/>
      <c r="AM45" s="255"/>
      <c r="AN45" s="264"/>
      <c r="AO45" s="264"/>
      <c r="AP45" s="264"/>
      <c r="AQ45" s="264"/>
      <c r="AR45" s="264"/>
      <c r="AS45" s="264"/>
      <c r="AT45" s="264"/>
      <c r="AU45" s="264"/>
      <c r="AV45" s="264"/>
      <c r="AW45" s="264"/>
      <c r="AX45" s="264"/>
      <c r="AY45" s="264"/>
      <c r="AZ45" s="264"/>
      <c r="BA45" s="264"/>
      <c r="BB45" s="264"/>
      <c r="BC45" s="264"/>
      <c r="BD45" s="264"/>
      <c r="BE45" s="264"/>
      <c r="BF45" s="264"/>
      <c r="BG45" s="264"/>
      <c r="BH45" s="264"/>
      <c r="BI45" s="264"/>
      <c r="BJ45" s="264"/>
      <c r="BK45" s="264"/>
    </row>
    <row r="46" ht="14.25" customHeight="1">
      <c r="A46" s="1"/>
      <c r="B46" s="46" t="s">
        <v>26</v>
      </c>
      <c r="C46" s="444">
        <v>41.910167472482131168018200790</v>
      </c>
      <c r="D46" s="445">
        <v>14.866310160458001429614023300</v>
      </c>
      <c r="E46" s="445">
        <v>-8.308065494246791719483372440</v>
      </c>
      <c r="F46" s="445">
        <v>-3.5639595678204336424915426700</v>
      </c>
      <c r="G46" s="445">
        <v>-7.4793568013010466620981271100</v>
      </c>
      <c r="H46" s="445">
        <v>-10.078747719142649611437069090</v>
      </c>
      <c r="I46" s="445">
        <v>-6.1131301835760431952570022800</v>
      </c>
      <c r="J46" s="445">
        <v>20.893719806918033145704231390</v>
      </c>
      <c r="K46" s="445">
        <v>-17.909916325497302142007290840</v>
      </c>
      <c r="L46" s="445">
        <v>-16.148931482776638885622995130</v>
      </c>
      <c r="M46" s="445">
        <v>-4.904658002103607408573661600</v>
      </c>
      <c r="N46" s="445">
        <v>-0.4295442639507629221545199600</v>
      </c>
      <c r="O46" s="445">
        <v>-0.0648333243922313356533273400</v>
      </c>
      <c r="P46" s="445">
        <v>7.7881619937319211547258958400</v>
      </c>
      <c r="Q46" s="445">
        <v>-3.4601599118280823807481891300</v>
      </c>
      <c r="R46" s="445">
        <v>-11.800883094980429048001324420</v>
      </c>
      <c r="S46" s="445">
        <v>-28.480222734328973255702357170</v>
      </c>
      <c r="T46" s="445">
        <v>-14.200341491193888204232024310</v>
      </c>
      <c r="U46" s="445">
        <v>-19.881454691535337163069962880</v>
      </c>
      <c r="V46" s="660">
        <v>-3.603404443572570637412619700</v>
      </c>
      <c r="W46" s="445">
        <v>-3.5204231559926342700056338800</v>
      </c>
      <c r="X46" s="446">
        <v>-20.246098439408352463272460220</v>
      </c>
      <c r="Y46" s="445">
        <v>-11.900475465058691189646965800</v>
      </c>
      <c r="Z46" s="445">
        <v>-2.1176470587753418383483895700</v>
      </c>
      <c r="AA46" s="445">
        <v>-19.219066937073684823447551480</v>
      </c>
      <c r="AB46" s="445">
        <v>-16.230048577387676634451354950</v>
      </c>
      <c r="AC46" s="445">
        <v>-14.422395464235306481220118950</v>
      </c>
      <c r="AD46" s="447">
        <v>-30.756997455451968933620590160</v>
      </c>
      <c r="AE46" s="448"/>
      <c r="AF46" s="444">
        <v>-16.532027652329649358348633160</v>
      </c>
      <c r="AG46" s="445">
        <v>-8.027887637090526993680428320</v>
      </c>
      <c r="AH46" s="449">
        <v>-13.771250698479465249734935670</v>
      </c>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row>
    <row r="47" ht="14.25" customHeight="1">
      <c r="A47" s="24"/>
      <c r="B47" s="48" t="s">
        <v>138</v>
      </c>
      <c r="C47" s="329">
        <v>8.485591423011660405633574530</v>
      </c>
      <c r="D47" s="330">
        <v>-9.261811930695350108675619300</v>
      </c>
      <c r="E47" s="330">
        <v>-18.511494045332538970068700390</v>
      </c>
      <c r="F47" s="330">
        <v>-8.747858968643306081439894690</v>
      </c>
      <c r="G47" s="330">
        <v>-5.2522662796111127615563236500</v>
      </c>
      <c r="H47" s="330">
        <v>-6.0876578132186820712842218200</v>
      </c>
      <c r="I47" s="330">
        <v>-5.567553825772649585186566300</v>
      </c>
      <c r="J47" s="330">
        <v>-3.338982237064396997882742500</v>
      </c>
      <c r="K47" s="330">
        <v>-22.768504247314211306244214260</v>
      </c>
      <c r="L47" s="330">
        <v>-26.703045437992814497282984070</v>
      </c>
      <c r="M47" s="330">
        <v>-21.496909535338108192582707980</v>
      </c>
      <c r="N47" s="330">
        <v>-11.711969925527290156693200790</v>
      </c>
      <c r="O47" s="330">
        <v>-17.541287991624288751254149380</v>
      </c>
      <c r="P47" s="330">
        <v>-18.489274808312356834640335870</v>
      </c>
      <c r="Q47" s="330">
        <v>-28.510474227153226877232907680</v>
      </c>
      <c r="R47" s="330">
        <v>-25.567092522533323705176497020</v>
      </c>
      <c r="S47" s="330">
        <v>-33.382496562329210468186409120</v>
      </c>
      <c r="T47" s="330">
        <v>-24.620174317315418869818020260</v>
      </c>
      <c r="U47" s="330">
        <v>-22.688681779133142995249048260</v>
      </c>
      <c r="V47" s="663">
        <v>-16.260323460560074586524687780</v>
      </c>
      <c r="W47" s="330">
        <v>-27.822789813560329012204349420</v>
      </c>
      <c r="X47" s="331">
        <v>-36.615287799481451136181620270</v>
      </c>
      <c r="Y47" s="330">
        <v>-25.147978514161661430232064170</v>
      </c>
      <c r="Z47" s="330">
        <v>-9.726892201623144828924744400</v>
      </c>
      <c r="AA47" s="330">
        <v>-26.444284701230564954627121690</v>
      </c>
      <c r="AB47" s="330">
        <v>-17.723893493820880262576802540</v>
      </c>
      <c r="AC47" s="330">
        <v>-16.388209090818258091965045580</v>
      </c>
      <c r="AD47" s="338">
        <v>-36.562288403545626991490733360</v>
      </c>
      <c r="AE47" s="88"/>
      <c r="AF47" s="329">
        <v>-24.272379245162757780464154440</v>
      </c>
      <c r="AG47" s="330">
        <v>-18.853272516612033171783673190</v>
      </c>
      <c r="AH47" s="332">
        <v>-23.743657511968186585868832670</v>
      </c>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row>
    <row r="48" ht="14.25" customHeight="1">
      <c r="A48" s="24"/>
      <c r="B48" s="53"/>
      <c r="C48" s="472"/>
      <c r="D48" s="472"/>
      <c r="E48" s="472"/>
      <c r="F48" s="472"/>
      <c r="G48" s="472"/>
      <c r="H48" s="472"/>
      <c r="I48" s="472"/>
      <c r="J48" s="472"/>
      <c r="K48" s="472"/>
      <c r="L48" s="472"/>
      <c r="M48" s="472"/>
      <c r="N48" s="472"/>
      <c r="O48" s="472"/>
      <c r="P48" s="472"/>
      <c r="Q48" s="472"/>
      <c r="R48" s="472"/>
      <c r="S48" s="472"/>
      <c r="T48" s="472"/>
      <c r="U48" s="472"/>
      <c r="V48" s="472"/>
      <c r="W48" s="472"/>
      <c r="X48" s="473"/>
      <c r="Y48" s="472"/>
      <c r="Z48" s="472"/>
      <c r="AA48" s="472"/>
      <c r="AB48" s="472"/>
      <c r="AC48" s="472"/>
      <c r="AD48" s="474"/>
      <c r="AE48" s="475"/>
      <c r="AF48" s="472"/>
      <c r="AG48" s="472"/>
      <c r="AH48" s="472"/>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8">
      <c r="B49" s="29"/>
      <c r="X49" s="27"/>
      <c r="AD49" s="28"/>
      <c r="AF49" s="43"/>
      <c r="AG49" s="43"/>
      <c r="AH49" s="43"/>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s="41" customFormat="1" ht="18">
      <c r="B50" s="417" t="s">
        <v>55</v>
      </c>
      <c r="C50" s="309" t="s">
        <v>139</v>
      </c>
      <c r="D50" s="310"/>
      <c r="E50" s="310"/>
      <c r="F50" s="310"/>
      <c r="G50" s="310"/>
      <c r="H50" s="310"/>
      <c r="I50" s="310"/>
      <c r="J50" s="310"/>
      <c r="K50" s="310"/>
      <c r="L50" s="310"/>
      <c r="M50" s="310"/>
      <c r="N50" s="310"/>
      <c r="O50" s="310"/>
      <c r="P50" s="310"/>
      <c r="Q50" s="310"/>
      <c r="R50" s="310"/>
      <c r="S50" s="311"/>
      <c r="T50" s="311"/>
      <c r="U50" s="311"/>
      <c r="V50" s="658" t="s">
        <v>136</v>
      </c>
      <c r="W50" s="311"/>
      <c r="X50" s="312"/>
      <c r="Y50" s="311"/>
      <c r="Z50" s="311"/>
      <c r="AA50" s="311"/>
      <c r="AB50" s="311"/>
      <c r="AC50" s="311"/>
      <c r="AD50" s="336"/>
      <c r="AE50" s="25"/>
      <c r="AF50" s="316" t="s">
        <v>58</v>
      </c>
      <c r="AG50" s="317" t="s">
        <v>59</v>
      </c>
      <c r="AH50" s="318" t="s">
        <v>59</v>
      </c>
      <c r="AI50" s="25"/>
      <c r="AJ50" s="255"/>
      <c r="AK50" s="255"/>
      <c r="AL50" s="255"/>
      <c r="AM50" s="255"/>
      <c r="AN50" s="263"/>
      <c r="AO50" s="263"/>
      <c r="AP50" s="263"/>
      <c r="AQ50" s="263"/>
      <c r="AR50" s="263"/>
      <c r="AS50" s="263"/>
      <c r="AT50" s="263"/>
      <c r="AU50" s="263"/>
      <c r="AV50" s="263"/>
      <c r="AW50" s="263"/>
      <c r="AX50" s="263"/>
      <c r="AY50" s="263"/>
      <c r="AZ50" s="263"/>
      <c r="BA50" s="263"/>
      <c r="BB50" s="263"/>
      <c r="BC50" s="263"/>
      <c r="BD50" s="263"/>
      <c r="BE50" s="263"/>
      <c r="BF50" s="263"/>
      <c r="BG50" s="263"/>
      <c r="BH50" s="263"/>
      <c r="BI50" s="263"/>
      <c r="BJ50" s="263"/>
      <c r="BK50" s="263"/>
    </row>
    <row r="51" s="42" customFormat="1">
      <c r="C51" s="322">
        <v>13</v>
      </c>
      <c r="D51" s="42">
        <v>14</v>
      </c>
      <c r="E51" s="42">
        <v>15</v>
      </c>
      <c r="F51" s="42">
        <v>16</v>
      </c>
      <c r="G51" s="42">
        <v>17</v>
      </c>
      <c r="H51" s="42">
        <v>18</v>
      </c>
      <c r="I51" s="42">
        <v>19</v>
      </c>
      <c r="J51" s="42">
        <v>20</v>
      </c>
      <c r="K51" s="42">
        <v>21</v>
      </c>
      <c r="L51" s="42">
        <v>22</v>
      </c>
      <c r="M51" s="42">
        <v>23</v>
      </c>
      <c r="N51" s="42">
        <v>24</v>
      </c>
      <c r="O51" s="42">
        <v>25</v>
      </c>
      <c r="P51" s="42">
        <v>26</v>
      </c>
      <c r="Q51" s="42">
        <v>27</v>
      </c>
      <c r="R51" s="42">
        <v>28</v>
      </c>
      <c r="S51" s="42">
        <v>29</v>
      </c>
      <c r="T51" s="42">
        <v>30</v>
      </c>
      <c r="U51" s="42">
        <v>31</v>
      </c>
      <c r="V51" s="659">
        <v>1</v>
      </c>
      <c r="W51" s="42">
        <v>2</v>
      </c>
      <c r="X51" s="323">
        <v>3</v>
      </c>
      <c r="Y51" s="42">
        <v>4</v>
      </c>
      <c r="Z51" s="42">
        <v>5</v>
      </c>
      <c r="AA51" s="42">
        <v>6</v>
      </c>
      <c r="AB51" s="42">
        <v>7</v>
      </c>
      <c r="AC51" s="42">
        <v>8</v>
      </c>
      <c r="AD51" s="337">
        <v>9</v>
      </c>
      <c r="AE51" s="25"/>
      <c r="AF51" s="324" t="s">
        <v>60</v>
      </c>
      <c r="AG51" s="325">
        <v>28</v>
      </c>
      <c r="AH51" s="326" t="s">
        <v>31</v>
      </c>
      <c r="AI51" s="25"/>
      <c r="AJ51" s="255"/>
      <c r="AK51" s="255"/>
      <c r="AL51" s="255"/>
      <c r="AM51" s="255"/>
      <c r="AN51" s="264"/>
      <c r="AO51" s="264"/>
      <c r="AP51" s="264"/>
      <c r="AQ51" s="264"/>
      <c r="AR51" s="264"/>
      <c r="AS51" s="264"/>
      <c r="AT51" s="264"/>
      <c r="AU51" s="264"/>
      <c r="AV51" s="264"/>
      <c r="AW51" s="264"/>
      <c r="AX51" s="264"/>
      <c r="AY51" s="264"/>
      <c r="AZ51" s="264"/>
      <c r="BA51" s="264"/>
      <c r="BB51" s="264"/>
      <c r="BC51" s="264"/>
      <c r="BD51" s="264"/>
      <c r="BE51" s="264"/>
      <c r="BF51" s="264"/>
      <c r="BG51" s="264"/>
      <c r="BH51" s="264"/>
      <c r="BI51" s="264"/>
      <c r="BJ51" s="264"/>
      <c r="BK51" s="264"/>
    </row>
    <row r="52" ht="14.25" customHeight="1">
      <c r="A52" s="1"/>
      <c r="B52" s="46" t="s">
        <v>56</v>
      </c>
      <c r="C52" s="455" t="s">
        <v>140</v>
      </c>
      <c r="D52" s="456" t="s">
        <v>142</v>
      </c>
      <c r="E52" s="456" t="s">
        <v>142</v>
      </c>
      <c r="F52" s="456" t="s">
        <v>142</v>
      </c>
      <c r="G52" s="456" t="s">
        <v>142</v>
      </c>
      <c r="H52" s="456" t="s">
        <v>142</v>
      </c>
      <c r="I52" s="456" t="s">
        <v>143</v>
      </c>
      <c r="J52" s="456" t="s">
        <v>140</v>
      </c>
      <c r="K52" s="456" t="s">
        <v>142</v>
      </c>
      <c r="L52" s="456" t="s">
        <v>142</v>
      </c>
      <c r="M52" s="456" t="s">
        <v>142</v>
      </c>
      <c r="N52" s="456" t="s">
        <v>142</v>
      </c>
      <c r="O52" s="456" t="s">
        <v>143</v>
      </c>
      <c r="P52" s="456" t="s">
        <v>143</v>
      </c>
      <c r="Q52" s="456" t="s">
        <v>143</v>
      </c>
      <c r="R52" s="456" t="s">
        <v>142</v>
      </c>
      <c r="S52" s="456" t="s">
        <v>142</v>
      </c>
      <c r="T52" s="456" t="s">
        <v>142</v>
      </c>
      <c r="U52" s="456" t="s">
        <v>142</v>
      </c>
      <c r="V52" s="664" t="s">
        <v>142</v>
      </c>
      <c r="W52" s="456" t="s">
        <v>142</v>
      </c>
      <c r="X52" s="457" t="s">
        <v>142</v>
      </c>
      <c r="Y52" s="456" t="s">
        <v>142</v>
      </c>
      <c r="Z52" s="456" t="s">
        <v>142</v>
      </c>
      <c r="AA52" s="456" t="s">
        <v>142</v>
      </c>
      <c r="AB52" s="456" t="s">
        <v>142</v>
      </c>
      <c r="AC52" s="456" t="s">
        <v>143</v>
      </c>
      <c r="AD52" s="458" t="s">
        <v>142</v>
      </c>
      <c r="AE52" s="459"/>
      <c r="AF52" s="455" t="s">
        <v>142</v>
      </c>
      <c r="AG52" s="456" t="s">
        <v>142</v>
      </c>
      <c r="AH52" s="460" t="s">
        <v>142</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ht="14.25" customHeight="1" thickBot="1">
      <c r="B53" s="48" t="s">
        <v>76</v>
      </c>
      <c r="C53" s="333" t="s">
        <v>141</v>
      </c>
      <c r="D53" s="334" t="s">
        <v>140</v>
      </c>
      <c r="E53" s="334" t="s">
        <v>143</v>
      </c>
      <c r="F53" s="334" t="s">
        <v>142</v>
      </c>
      <c r="G53" s="334" t="s">
        <v>142</v>
      </c>
      <c r="H53" s="334" t="s">
        <v>143</v>
      </c>
      <c r="I53" s="334" t="s">
        <v>143</v>
      </c>
      <c r="J53" s="334" t="s">
        <v>140</v>
      </c>
      <c r="K53" s="334" t="s">
        <v>142</v>
      </c>
      <c r="L53" s="334" t="s">
        <v>142</v>
      </c>
      <c r="M53" s="334" t="s">
        <v>142</v>
      </c>
      <c r="N53" s="334" t="s">
        <v>143</v>
      </c>
      <c r="O53" s="334" t="s">
        <v>140</v>
      </c>
      <c r="P53" s="334" t="s">
        <v>140</v>
      </c>
      <c r="Q53" s="334" t="s">
        <v>143</v>
      </c>
      <c r="R53" s="334" t="s">
        <v>142</v>
      </c>
      <c r="S53" s="334" t="s">
        <v>142</v>
      </c>
      <c r="T53" s="334" t="s">
        <v>142</v>
      </c>
      <c r="U53" s="334" t="s">
        <v>142</v>
      </c>
      <c r="V53" s="665" t="s">
        <v>143</v>
      </c>
      <c r="W53" s="334" t="s">
        <v>142</v>
      </c>
      <c r="X53" s="60" t="s">
        <v>142</v>
      </c>
      <c r="Y53" s="61" t="s">
        <v>142</v>
      </c>
      <c r="Z53" s="61" t="s">
        <v>142</v>
      </c>
      <c r="AA53" s="61" t="s">
        <v>142</v>
      </c>
      <c r="AB53" s="61" t="s">
        <v>142</v>
      </c>
      <c r="AC53" s="61" t="s">
        <v>142</v>
      </c>
      <c r="AD53" s="62" t="s">
        <v>142</v>
      </c>
      <c r="AE53" s="59"/>
      <c r="AF53" s="333" t="s">
        <v>142</v>
      </c>
      <c r="AG53" s="334" t="s">
        <v>142</v>
      </c>
      <c r="AH53" s="335" t="s">
        <v>142</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9.95" customHeight="1">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9.95" customHeight="1">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24.95" customHeight="1">
      <c r="B56" s="611" t="s">
        <v>114</v>
      </c>
      <c r="C56" s="611"/>
      <c r="D56" s="611"/>
      <c r="E56" s="611"/>
      <c r="F56" s="611"/>
      <c r="G56" s="611"/>
      <c r="H56" s="611"/>
      <c r="I56" s="611"/>
      <c r="J56" s="611"/>
      <c r="K56" s="611"/>
      <c r="L56" s="611"/>
      <c r="M56" s="611"/>
      <c r="N56" s="611"/>
      <c r="O56" s="611"/>
      <c r="P56" s="611"/>
      <c r="Q56" s="611"/>
      <c r="R56" s="611"/>
      <c r="S56" s="611"/>
      <c r="T56" s="611"/>
      <c r="U56" s="611"/>
      <c r="V56" s="611"/>
      <c r="W56" s="611"/>
      <c r="X56" s="611"/>
      <c r="Y56" s="611"/>
      <c r="Z56" s="611"/>
      <c r="AA56" s="611"/>
      <c r="AB56" s="611"/>
      <c r="AC56" s="611"/>
      <c r="AD56" s="611"/>
      <c r="AE56" s="611"/>
      <c r="AF56" s="611"/>
      <c r="AG56" s="611"/>
      <c r="AH56" s="61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B57" s="235"/>
      <c r="AF57" s="80"/>
      <c r="AG57" s="242"/>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9.95" customHeight="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s="25" customFormat="1">
      <c r="A65" s="255"/>
      <c r="B65" s="255"/>
      <c r="C65" s="255"/>
      <c r="D65" s="255"/>
      <c r="E65" s="255"/>
      <c r="F65" s="255"/>
      <c r="G65" s="255"/>
      <c r="H65" s="255"/>
      <c r="I65" s="255"/>
      <c r="J65" s="255"/>
      <c r="K65" s="255"/>
      <c r="L65" s="255"/>
      <c r="M65" s="255"/>
      <c r="N65" s="255"/>
      <c r="O65" s="255"/>
      <c r="P65" s="255"/>
      <c r="Q65" s="255"/>
      <c r="R65" s="255"/>
      <c r="S65" s="255"/>
      <c r="T65" s="255"/>
      <c r="U65" s="255"/>
      <c r="V65" s="255"/>
      <c r="W65" s="255"/>
      <c r="X65" s="255"/>
      <c r="Y65" s="255"/>
      <c r="Z65" s="255"/>
      <c r="AA65" s="255"/>
      <c r="AB65" s="255"/>
      <c r="AC65" s="255"/>
      <c r="AD65" s="255"/>
      <c r="AE65" s="255"/>
      <c r="AF65" s="255"/>
      <c r="AG65" s="255"/>
      <c r="AH65" s="255"/>
      <c r="AI65" s="255"/>
      <c r="AJ65" s="255"/>
      <c r="AK65" s="255"/>
      <c r="AL65" s="255"/>
      <c r="AM65" s="255"/>
      <c r="AN65" s="255"/>
      <c r="AO65" s="255"/>
      <c r="AP65" s="255"/>
      <c r="AQ65" s="255"/>
      <c r="AR65" s="255"/>
      <c r="AS65" s="255"/>
      <c r="AT65" s="255"/>
      <c r="AU65" s="255"/>
      <c r="AV65" s="255"/>
      <c r="AW65" s="255"/>
      <c r="AX65" s="255"/>
      <c r="AY65" s="255"/>
      <c r="AZ65" s="255"/>
      <c r="BA65" s="255"/>
      <c r="BB65" s="255"/>
      <c r="BC65" s="255"/>
      <c r="BD65" s="255"/>
      <c r="BE65" s="255"/>
      <c r="BF65" s="255"/>
      <c r="BG65" s="255"/>
      <c r="BH65" s="255"/>
      <c r="BI65" s="255"/>
      <c r="BJ65" s="255"/>
      <c r="BK65" s="255"/>
    </row>
    <row r="66" s="25" customFormat="1" ht="10.5" customHeight="1">
      <c r="A66" s="255"/>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666"/>
      <c r="AI66" s="255"/>
      <c r="AJ66" s="255"/>
      <c r="AK66" s="255"/>
      <c r="AL66" s="255"/>
      <c r="AM66" s="255"/>
      <c r="AN66" s="255"/>
      <c r="AO66" s="255"/>
      <c r="AP66" s="255"/>
      <c r="AQ66" s="255"/>
      <c r="AR66" s="255"/>
      <c r="AS66" s="255"/>
      <c r="AT66" s="255"/>
      <c r="AU66" s="255"/>
      <c r="AV66" s="255"/>
      <c r="AW66" s="255"/>
      <c r="AX66" s="255"/>
      <c r="AY66" s="255"/>
      <c r="AZ66" s="255"/>
      <c r="BA66" s="255"/>
      <c r="BB66" s="255"/>
      <c r="BC66" s="255"/>
      <c r="BD66" s="255"/>
      <c r="BE66" s="255"/>
      <c r="BF66" s="255"/>
      <c r="BG66" s="255"/>
      <c r="BH66" s="255"/>
      <c r="BI66" s="255"/>
      <c r="BJ66" s="255"/>
      <c r="BK66" s="255"/>
    </row>
    <row r="67" s="25" customFormat="1">
      <c r="A67" s="255"/>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666"/>
      <c r="AI67" s="255"/>
      <c r="AJ67" s="255"/>
      <c r="AK67" s="255"/>
      <c r="AL67" s="255"/>
      <c r="AM67" s="255"/>
      <c r="AN67" s="255"/>
      <c r="AO67" s="255"/>
      <c r="AP67" s="255"/>
      <c r="AQ67" s="255"/>
      <c r="AR67" s="255"/>
      <c r="AS67" s="255"/>
      <c r="AT67" s="255"/>
      <c r="AU67" s="255"/>
      <c r="AV67" s="255"/>
      <c r="AW67" s="255"/>
      <c r="AX67" s="255"/>
      <c r="AY67" s="255"/>
      <c r="AZ67" s="255"/>
      <c r="BA67" s="255"/>
      <c r="BB67" s="255"/>
      <c r="BC67" s="255"/>
      <c r="BD67" s="255"/>
      <c r="BE67" s="255"/>
      <c r="BF67" s="255"/>
      <c r="BG67" s="255"/>
      <c r="BH67" s="255"/>
      <c r="BI67" s="255"/>
      <c r="BJ67" s="255"/>
      <c r="BK67" s="255"/>
    </row>
    <row r="68" s="84" customFormat="1">
      <c r="A68" s="257"/>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257"/>
      <c r="AJ68" s="257"/>
      <c r="AK68" s="257"/>
      <c r="AL68" s="257"/>
      <c r="AM68" s="257"/>
      <c r="AN68" s="257"/>
      <c r="AO68" s="257"/>
      <c r="AP68" s="257"/>
      <c r="AQ68" s="257"/>
      <c r="AR68" s="257"/>
      <c r="AS68" s="257"/>
      <c r="AT68" s="257"/>
      <c r="AU68" s="257"/>
      <c r="AV68" s="257"/>
      <c r="AW68" s="257"/>
      <c r="AX68" s="257"/>
      <c r="AY68" s="257"/>
      <c r="AZ68" s="257"/>
      <c r="BA68" s="257"/>
      <c r="BB68" s="257"/>
      <c r="BC68" s="257"/>
      <c r="BD68" s="257"/>
      <c r="BE68" s="257"/>
      <c r="BF68" s="257"/>
      <c r="BG68" s="257"/>
      <c r="BH68" s="257"/>
      <c r="BI68" s="257"/>
      <c r="BJ68" s="257"/>
      <c r="BK68" s="257"/>
    </row>
    <row r="69" s="84" customFormat="1">
      <c r="A69" s="257"/>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666"/>
      <c r="AI69" s="257"/>
      <c r="AJ69" s="257"/>
      <c r="AK69" s="257"/>
      <c r="AL69" s="257"/>
      <c r="AM69" s="257"/>
      <c r="AN69" s="257"/>
      <c r="AO69" s="257"/>
      <c r="AP69" s="257"/>
      <c r="AQ69" s="257"/>
      <c r="AR69" s="257"/>
      <c r="AS69" s="257"/>
      <c r="AT69" s="257"/>
      <c r="AU69" s="257"/>
      <c r="AV69" s="257"/>
      <c r="AW69" s="257"/>
      <c r="AX69" s="257"/>
      <c r="AY69" s="257"/>
      <c r="AZ69" s="257"/>
      <c r="BA69" s="257"/>
      <c r="BB69" s="257"/>
      <c r="BC69" s="257"/>
      <c r="BD69" s="257"/>
      <c r="BE69" s="257"/>
      <c r="BF69" s="257"/>
      <c r="BG69" s="257"/>
      <c r="BH69" s="257"/>
      <c r="BI69" s="257"/>
      <c r="BJ69" s="257"/>
      <c r="BK69" s="257"/>
    </row>
    <row r="70" s="84" customFormat="1">
      <c r="A70" s="257"/>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666"/>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7"/>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666"/>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6" t="n">
        <v>45801</v>
      </c>
      <c r="C72" s="666">
        <v>45808</v>
      </c>
      <c r="D72" s="666">
        <v>45815</v>
      </c>
      <c r="E72" s="666">
        <v>45822</v>
      </c>
      <c r="F72" s="666">
        <v>45829</v>
      </c>
      <c r="G72" s="666">
        <v>45836</v>
      </c>
      <c r="H72" s="666">
        <v>45843</v>
      </c>
      <c r="I72" s="666">
        <v>45850</v>
      </c>
      <c r="J72" s="666">
        <v>45857</v>
      </c>
      <c r="K72" s="666">
        <v>45864</v>
      </c>
      <c r="L72" s="666">
        <v>45871</v>
      </c>
      <c r="M72" s="666">
        <v>45878</v>
      </c>
      <c r="N72" s="666"/>
      <c r="O72" s="666"/>
      <c r="P72" s="666"/>
      <c r="Q72" s="666"/>
      <c r="R72" s="666"/>
      <c r="S72" s="666"/>
      <c r="T72" s="666"/>
      <c r="U72" s="666"/>
      <c r="V72" s="666"/>
      <c r="W72" s="666"/>
      <c r="X72" s="666"/>
      <c r="Y72" s="666"/>
      <c r="Z72" s="666"/>
      <c r="AA72" s="666"/>
      <c r="AB72" s="666"/>
      <c r="AC72" s="666"/>
      <c r="AD72" s="666"/>
      <c r="AE72" s="666"/>
      <c r="AF72" s="666"/>
      <c r="AG72" s="666"/>
      <c r="AH72" s="666"/>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6">
        <v>63.095238095238095238095238100</v>
      </c>
      <c r="C73" s="666">
        <v>51.041666666666666666666666670</v>
      </c>
      <c r="D73" s="666">
        <v>46.701388888888888888888888890</v>
      </c>
      <c r="E73" s="666">
        <v>41.220238095238095238095238100</v>
      </c>
      <c r="F73" s="666">
        <v>48.065476190476190476190476190</v>
      </c>
      <c r="G73" s="666">
        <v>60.714285714285714285714285710</v>
      </c>
      <c r="H73" s="666">
        <v>55.208333333333333333333333330</v>
      </c>
      <c r="I73" s="666">
        <v>55.952380952380952380952380950</v>
      </c>
      <c r="J73" s="666">
        <v>64.880952380952380952380952380</v>
      </c>
      <c r="K73" s="666">
        <v>57.886904761904761904761904760</v>
      </c>
      <c r="L73" s="666">
        <v>52.232142857142857142857142860</v>
      </c>
      <c r="M73" s="666">
        <v>57.142857142857142857142857140</v>
      </c>
      <c r="N73" s="666"/>
      <c r="O73" s="666"/>
      <c r="P73" s="666"/>
      <c r="Q73" s="666"/>
      <c r="R73" s="666"/>
      <c r="S73" s="666"/>
      <c r="T73" s="666"/>
      <c r="U73" s="666"/>
      <c r="V73" s="666"/>
      <c r="W73" s="666"/>
      <c r="X73" s="666"/>
      <c r="Y73" s="666"/>
      <c r="Z73" s="666"/>
      <c r="AA73" s="666"/>
      <c r="AB73" s="666"/>
      <c r="AC73" s="666"/>
      <c r="AD73" s="666"/>
      <c r="AE73" s="666"/>
      <c r="AF73" s="666"/>
      <c r="AG73" s="666"/>
      <c r="AH73" s="666"/>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6">
        <v>65.479452054794520547945205480</v>
      </c>
      <c r="C74" s="666">
        <v>60.117416829745596868884540120</v>
      </c>
      <c r="D74" s="666">
        <v>68.923679060665362035225048920</v>
      </c>
      <c r="E74" s="666">
        <v>64.892367906066536203522504890</v>
      </c>
      <c r="F74" s="666">
        <v>58.043052837573385518590998040</v>
      </c>
      <c r="G74" s="666">
        <v>62.544031311154598825831702540</v>
      </c>
      <c r="H74" s="666">
        <v>56.868884540117416829745596870</v>
      </c>
      <c r="I74" s="666">
        <v>60.313111545988258317025440310</v>
      </c>
      <c r="J74" s="666">
        <v>75.029354207436399217221135030</v>
      </c>
      <c r="K74" s="666">
        <v>65.322896281800391389432485320</v>
      </c>
      <c r="L74" s="666">
        <v>61.722113502935420743639921720</v>
      </c>
      <c r="M74" s="666">
        <v>69.980430528375733855185909980</v>
      </c>
      <c r="N74" s="666"/>
      <c r="O74" s="666"/>
      <c r="P74" s="666"/>
      <c r="Q74" s="666"/>
      <c r="R74" s="666"/>
      <c r="S74" s="666"/>
      <c r="T74" s="666"/>
      <c r="U74" s="666"/>
      <c r="V74" s="666"/>
      <c r="W74" s="666"/>
      <c r="X74" s="666"/>
      <c r="Y74" s="666"/>
      <c r="Z74" s="666"/>
      <c r="AA74" s="666"/>
      <c r="AB74" s="666"/>
      <c r="AC74" s="666"/>
      <c r="AD74" s="666"/>
      <c r="AE74" s="666"/>
      <c r="AF74" s="666"/>
      <c r="AG74" s="666"/>
      <c r="AH74" s="666"/>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ht="14.25">
      <c r="A75" s="260" t="s">
        <v>138</v>
      </c>
      <c r="B75" s="666">
        <v>51.835510816020561147997429860</v>
      </c>
      <c r="C75" s="666">
        <v>42.981366459627329192546583850</v>
      </c>
      <c r="D75" s="666">
        <v>48.890278211941231634885901840</v>
      </c>
      <c r="E75" s="666">
        <v>47.787254945741972937971687580</v>
      </c>
      <c r="F75" s="666">
        <v>47.689009958469164471040057160</v>
      </c>
      <c r="G75" s="666">
        <v>51.114187469298441477247354080</v>
      </c>
      <c r="H75" s="666">
        <v>49.189478854999330147814049030</v>
      </c>
      <c r="I75" s="666">
        <v>49.872728084669316304202206050</v>
      </c>
      <c r="J75" s="666">
        <v>56.013039789219845487429107310</v>
      </c>
      <c r="K75" s="666">
        <v>52.583396597150895369088554460</v>
      </c>
      <c r="L75" s="666">
        <v>49.796811503594873397936855270</v>
      </c>
      <c r="M75" s="666">
        <v>51.368731299959808868842941990</v>
      </c>
      <c r="N75" s="666"/>
      <c r="O75" s="666"/>
      <c r="P75" s="666"/>
      <c r="Q75" s="666"/>
      <c r="R75" s="666"/>
      <c r="S75" s="666"/>
      <c r="T75" s="666"/>
      <c r="U75" s="666"/>
      <c r="V75" s="666"/>
      <c r="W75" s="666"/>
      <c r="X75" s="666"/>
      <c r="Y75" s="666"/>
      <c r="Z75" s="666"/>
      <c r="AA75" s="666"/>
      <c r="AB75" s="666"/>
      <c r="AC75" s="666"/>
      <c r="AD75" s="666"/>
      <c r="AE75" s="666"/>
      <c r="AF75" s="666"/>
      <c r="AG75" s="666"/>
      <c r="AH75" s="666"/>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row>
    <row r="76">
      <c r="A76" s="25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row>
    <row r="77">
      <c r="A77" s="25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44"/>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44"/>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6:AH56"/>
  </mergeCells>
  <phoneticPr fontId="0" type="noConversion"/>
  <printOptions horizontalCentered="1" verticalCentered="1"/>
  <pageMargins left="0.25" right="0.25" top="0.25" bottom="0.25" header="0" footer="0"/>
  <pageSetup scale="55" orientation="landscape" r:id="rId1"/>
  <headerFooter alignWithMargins="0">
    <oddHeader/>
    <oddFooter/>
  </headerFooter>
  <drawing r:id="rId31"/>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K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style="1" customWidth="1"/>
    <col min="35" max="35" width="2" style="1" customWidth="1"/>
    <col min="36" max="39" width="9.28515625" style="1" bestFit="1" customWidth="1"/>
  </cols>
  <sheetData>
    <row r="1" ht="36" customHeight="1">
      <c r="A1" s="6"/>
      <c r="B1" s="39" t="s">
        <v>121</v>
      </c>
      <c r="AF1"/>
      <c r="AG1"/>
      <c r="AH1"/>
      <c r="AI1"/>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132</v>
      </c>
      <c r="AF2"/>
      <c r="AG2" s="216"/>
      <c r="AH2"/>
      <c r="AI2"/>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133</v>
      </c>
      <c r="AF3"/>
      <c r="AG3"/>
      <c r="AH3"/>
      <c r="AI3"/>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134</v>
      </c>
      <c r="R4" s="618" t="s">
        <v>137</v>
      </c>
      <c r="S4" s="618"/>
      <c r="T4" s="618"/>
      <c r="U4" s="618"/>
      <c r="V4" s="618"/>
      <c r="W4" s="618"/>
      <c r="X4" s="618"/>
      <c r="Y4" s="618"/>
      <c r="Z4" s="618"/>
      <c r="AA4" s="618"/>
      <c r="AB4" s="618"/>
      <c r="AC4" s="618"/>
      <c r="AD4" s="618"/>
      <c r="AE4" s="618"/>
      <c r="AF4" s="618"/>
      <c r="AG4" s="618"/>
      <c r="AH4"/>
      <c r="AI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F5"/>
      <c r="AG5"/>
      <c r="AH5"/>
      <c r="AI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F6"/>
      <c r="AG6"/>
      <c r="AH6"/>
      <c r="AI6"/>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F7"/>
      <c r="AG7"/>
      <c r="AH7"/>
      <c r="AI7"/>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F8"/>
      <c r="AG8"/>
      <c r="AH8"/>
      <c r="AI8"/>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F9"/>
      <c r="AG9"/>
      <c r="AH9"/>
      <c r="AI9"/>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F10"/>
      <c r="AG10"/>
      <c r="AH10"/>
      <c r="AI10"/>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F11"/>
      <c r="AG11"/>
      <c r="AH11"/>
      <c r="AI11"/>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F12"/>
      <c r="AG12"/>
      <c r="AH12"/>
      <c r="AI12"/>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F13"/>
      <c r="AG13"/>
      <c r="AH13"/>
      <c r="AI13"/>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F14"/>
      <c r="AG14"/>
      <c r="AH14"/>
      <c r="AI1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F15"/>
      <c r="AG15"/>
      <c r="AH15"/>
      <c r="AI1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F16"/>
      <c r="AG16"/>
      <c r="AH16"/>
      <c r="AI16"/>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F17"/>
      <c r="AG17"/>
      <c r="AH17"/>
      <c r="AI17"/>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F18"/>
      <c r="AG18"/>
      <c r="AH18"/>
      <c r="AI18"/>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F19"/>
      <c r="AG19"/>
      <c r="AH19"/>
      <c r="AI19"/>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F20"/>
      <c r="AG20"/>
      <c r="AH20"/>
      <c r="AI20"/>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F21"/>
      <c r="AG21"/>
      <c r="AH21"/>
      <c r="AI2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F22"/>
      <c r="AG22"/>
      <c r="AH22"/>
      <c r="AI22"/>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8" t="s">
        <v>12</v>
      </c>
      <c r="C24" s="309" t="s">
        <v>139</v>
      </c>
      <c r="D24" s="310"/>
      <c r="E24" s="310"/>
      <c r="F24" s="310"/>
      <c r="G24" s="310"/>
      <c r="H24" s="310"/>
      <c r="I24" s="310"/>
      <c r="J24" s="310"/>
      <c r="K24" s="310"/>
      <c r="L24" s="310"/>
      <c r="M24" s="310"/>
      <c r="N24" s="310"/>
      <c r="O24" s="310"/>
      <c r="P24" s="310"/>
      <c r="Q24" s="310"/>
      <c r="R24" s="310"/>
      <c r="S24" s="311"/>
      <c r="T24" s="311"/>
      <c r="U24" s="311"/>
      <c r="V24" s="658" t="s">
        <v>136</v>
      </c>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13</v>
      </c>
      <c r="D25" s="42">
        <v>14</v>
      </c>
      <c r="E25" s="42">
        <v>15</v>
      </c>
      <c r="F25" s="42">
        <v>16</v>
      </c>
      <c r="G25" s="42">
        <v>17</v>
      </c>
      <c r="H25" s="42">
        <v>18</v>
      </c>
      <c r="I25" s="42">
        <v>19</v>
      </c>
      <c r="J25" s="42">
        <v>20</v>
      </c>
      <c r="K25" s="42">
        <v>21</v>
      </c>
      <c r="L25" s="42">
        <v>22</v>
      </c>
      <c r="M25" s="42">
        <v>23</v>
      </c>
      <c r="N25" s="42">
        <v>24</v>
      </c>
      <c r="O25" s="42">
        <v>25</v>
      </c>
      <c r="P25" s="42">
        <v>26</v>
      </c>
      <c r="Q25" s="42">
        <v>27</v>
      </c>
      <c r="R25" s="42">
        <v>28</v>
      </c>
      <c r="S25" s="42">
        <v>29</v>
      </c>
      <c r="T25" s="42">
        <v>30</v>
      </c>
      <c r="U25" s="42">
        <v>31</v>
      </c>
      <c r="V25" s="659">
        <v>1</v>
      </c>
      <c r="W25" s="42">
        <v>2</v>
      </c>
      <c r="X25" s="323">
        <v>3</v>
      </c>
      <c r="Y25" s="42">
        <v>4</v>
      </c>
      <c r="Z25" s="42">
        <v>5</v>
      </c>
      <c r="AA25" s="42">
        <v>6</v>
      </c>
      <c r="AB25" s="42">
        <v>7</v>
      </c>
      <c r="AC25" s="42">
        <v>8</v>
      </c>
      <c r="AD25" s="337">
        <v>9</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61">
        <v>140.04918032786885245901639344</v>
      </c>
      <c r="D26" s="462">
        <v>139.14285714285714285714285714</v>
      </c>
      <c r="E26" s="462">
        <v>138.3968253968253968253968254</v>
      </c>
      <c r="F26" s="462">
        <v>140.17741935483870967741935484</v>
      </c>
      <c r="G26" s="462">
        <v>141.40983606557377049180327869</v>
      </c>
      <c r="H26" s="462">
        <v>104.72131147540983606557377049</v>
      </c>
      <c r="I26" s="462">
        <v>133.15384615384615384615384615</v>
      </c>
      <c r="J26" s="462">
        <v>134.61904761904761904761904762</v>
      </c>
      <c r="K26" s="462">
        <v>136.91379310344827586206896552</v>
      </c>
      <c r="L26" s="462">
        <v>138.05454545454545454545454545</v>
      </c>
      <c r="M26" s="462">
        <v>129.96428571428571428571428571</v>
      </c>
      <c r="N26" s="462">
        <v>136.22222222222222222222222222</v>
      </c>
      <c r="O26" s="462">
        <v>143.58490566037735849056603774</v>
      </c>
      <c r="P26" s="462">
        <v>144.300000000</v>
      </c>
      <c r="Q26" s="462">
        <v>140.76595744680851063829787234</v>
      </c>
      <c r="R26" s="462">
        <v>137.98039215686274509803921569</v>
      </c>
      <c r="S26" s="462">
        <v>139.93617021276595744680851064</v>
      </c>
      <c r="T26" s="462">
        <v>129.57407407407407407407407407</v>
      </c>
      <c r="U26" s="462">
        <v>135.680000000</v>
      </c>
      <c r="V26" s="667">
        <v>132.55555555555555555555555556</v>
      </c>
      <c r="W26" s="462">
        <v>136.60416666666666666666666667</v>
      </c>
      <c r="X26" s="463">
        <v>140.04651162790697674418604651</v>
      </c>
      <c r="Y26" s="462">
        <v>129.32727272727272727272727273</v>
      </c>
      <c r="Z26" s="462">
        <v>127.83076923076923076923076923</v>
      </c>
      <c r="AA26" s="462">
        <v>133.74074074074074074074074074</v>
      </c>
      <c r="AB26" s="462">
        <v>133.65517241379310344827586207</v>
      </c>
      <c r="AC26" s="462">
        <v>141.300000000</v>
      </c>
      <c r="AD26" s="464">
        <v>125.83673469387755102040816327</v>
      </c>
      <c r="AE26" s="465"/>
      <c r="AF26" s="461">
        <v>132.97395833333333333333333333</v>
      </c>
      <c r="AG26" s="462">
        <v>135.03205128205128205128205128</v>
      </c>
      <c r="AH26" s="466">
        <v>133.28600823045267489711934156</v>
      </c>
      <c r="AI26"/>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70">
        <v>115.53605633802816901408450704</v>
      </c>
      <c r="D27" s="85">
        <v>118.12894117647058823529411766</v>
      </c>
      <c r="E27" s="85">
        <v>118.39800687285223367697594502</v>
      </c>
      <c r="F27" s="85">
        <v>118.98099337748344370860927152</v>
      </c>
      <c r="G27" s="85">
        <v>120.25020338983050847457627118</v>
      </c>
      <c r="H27" s="85">
        <v>124.71610486891385767790262172</v>
      </c>
      <c r="I27" s="85">
        <v>123.65499999999999999999999999</v>
      </c>
      <c r="J27" s="85">
        <v>115.99560386473429951690821257</v>
      </c>
      <c r="K27" s="85">
        <v>119.9516788321167883211678832</v>
      </c>
      <c r="L27" s="85">
        <v>119.02344569288389513108614232</v>
      </c>
      <c r="M27" s="85">
        <v>118.74858267716535433070866142</v>
      </c>
      <c r="N27" s="85">
        <v>116.45117391304347826086956522</v>
      </c>
      <c r="O27" s="85">
        <v>117.89484304932735426008968609</v>
      </c>
      <c r="P27" s="85">
        <v>121.52257009345794392523364486</v>
      </c>
      <c r="Q27" s="85">
        <v>118.28591397849462365591397849</v>
      </c>
      <c r="R27" s="85">
        <v>123.11280172413793103448275863</v>
      </c>
      <c r="S27" s="85">
        <v>124.52516129032258064516129031</v>
      </c>
      <c r="T27" s="85">
        <v>119.84334661354581673306772908</v>
      </c>
      <c r="U27" s="85">
        <v>120.32616033755274261603375528</v>
      </c>
      <c r="V27" s="668">
        <v>129.31334862385321100917431192</v>
      </c>
      <c r="W27" s="85">
        <v>126.95448780487804878048780489</v>
      </c>
      <c r="X27" s="86">
        <v>120.8126020408163265306122449</v>
      </c>
      <c r="Y27" s="85">
        <v>123.43931726907630522088353413</v>
      </c>
      <c r="Z27" s="85">
        <v>124.35327272727272727272727273</v>
      </c>
      <c r="AA27" s="85">
        <v>121.62121323529411764705882352</v>
      </c>
      <c r="AB27" s="85">
        <v>116.02591603053435114503816794</v>
      </c>
      <c r="AC27" s="85">
        <v>117.43488970588235294117647059</v>
      </c>
      <c r="AD27" s="87">
        <v>118.23736641221374045801526718</v>
      </c>
      <c r="AE27" s="169"/>
      <c r="AF27" s="370">
        <v>120.25338366890380313199105145</v>
      </c>
      <c r="AG27" s="85">
        <v>120.47442382391022874406560207</v>
      </c>
      <c r="AH27" s="371">
        <v>121.76799185888738127544097693</v>
      </c>
      <c r="AI27"/>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138</v>
      </c>
      <c r="C28" s="467">
        <v>103.97089397089397089397089397</v>
      </c>
      <c r="D28" s="468">
        <v>105.29931972789115646258503401</v>
      </c>
      <c r="E28" s="468">
        <v>107.13937093275488069414316703</v>
      </c>
      <c r="F28" s="468">
        <v>105.83342435827416712179137084</v>
      </c>
      <c r="G28" s="468">
        <v>107.12707838479809976247030879</v>
      </c>
      <c r="H28" s="468">
        <v>108.44191096634093376764386536</v>
      </c>
      <c r="I28" s="468">
        <v>107.37892271662763466042154567</v>
      </c>
      <c r="J28" s="468">
        <v>100.82152061855670103092783505</v>
      </c>
      <c r="K28" s="468">
        <v>104.85984427141268075639599555</v>
      </c>
      <c r="L28" s="468">
        <v>105.63373083475298126064735945</v>
      </c>
      <c r="M28" s="468">
        <v>104.27294256956779159265837774</v>
      </c>
      <c r="N28" s="468">
        <v>103.59633027522935779816513761</v>
      </c>
      <c r="O28" s="468">
        <v>107.87477638640429338103756708</v>
      </c>
      <c r="P28" s="468">
        <v>105.14334085778781038374717833</v>
      </c>
      <c r="Q28" s="468">
        <v>100.36188436830835117773019272</v>
      </c>
      <c r="R28" s="468">
        <v>104.17047560222359481161210624</v>
      </c>
      <c r="S28" s="468">
        <v>102.95654834761321909424724602</v>
      </c>
      <c r="T28" s="468">
        <v>101.46963562753036437246963563</v>
      </c>
      <c r="U28" s="468">
        <v>101.63546473302570863546473303</v>
      </c>
      <c r="V28" s="669">
        <v>107.97248880358285348688419706</v>
      </c>
      <c r="W28" s="468">
        <v>104.28969194312796208530805687</v>
      </c>
      <c r="X28" s="469">
        <v>99.77492877492877492877492877</v>
      </c>
      <c r="Y28" s="468">
        <v>102.60435571687840290381125227</v>
      </c>
      <c r="Z28" s="468">
        <v>101.68899242865463016889924287</v>
      </c>
      <c r="AA28" s="468">
        <v>101.74897119341563786008230453</v>
      </c>
      <c r="AB28" s="468">
        <v>99.81547619047619047619047619</v>
      </c>
      <c r="AC28" s="468">
        <v>104.29056824838898652606912712</v>
      </c>
      <c r="AD28" s="470">
        <v>101.75456053067993366500829187</v>
      </c>
      <c r="AE28" s="465"/>
      <c r="AF28" s="467">
        <v>101.74589237590193862470659828</v>
      </c>
      <c r="AG28" s="468">
        <v>104.13195094950183087796985438</v>
      </c>
      <c r="AH28" s="471">
        <v>102.69655686593466178663413312</v>
      </c>
      <c r="AI28"/>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4.25">
      <c r="A29" s="24"/>
      <c r="B29" s="53"/>
      <c r="C29" s="489"/>
      <c r="D29" s="489"/>
      <c r="E29" s="489"/>
      <c r="F29" s="489"/>
      <c r="G29" s="489"/>
      <c r="H29" s="489"/>
      <c r="I29" s="489"/>
      <c r="J29" s="489"/>
      <c r="K29" s="489"/>
      <c r="L29" s="489"/>
      <c r="M29" s="489"/>
      <c r="N29" s="489"/>
      <c r="O29" s="489"/>
      <c r="P29" s="489"/>
      <c r="Q29" s="489"/>
      <c r="R29" s="489"/>
      <c r="S29" s="489"/>
      <c r="T29" s="489"/>
      <c r="U29" s="489"/>
      <c r="V29" s="489"/>
      <c r="W29" s="489"/>
      <c r="X29" s="490"/>
      <c r="Y29" s="489"/>
      <c r="Z29" s="489"/>
      <c r="AA29" s="489"/>
      <c r="AB29" s="489"/>
      <c r="AC29" s="489"/>
      <c r="AD29" s="491"/>
      <c r="AE29" s="169"/>
      <c r="AF29" s="489"/>
      <c r="AG29" s="489"/>
      <c r="AH29" s="489"/>
      <c r="AI29"/>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89"/>
      <c r="AG30" s="489"/>
      <c r="AH30" s="489"/>
      <c r="AI30"/>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ht="0" hidden="1" customHeight="1">
      <c r="B31" s="4"/>
      <c r="X31" s="27"/>
      <c r="AD31" s="28"/>
      <c r="AF31" s="22"/>
      <c r="AG31" s="22"/>
      <c r="AH31" s="22"/>
      <c r="AI31"/>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row>
    <row r="32" ht="18">
      <c r="B32" s="29"/>
      <c r="X32" s="27"/>
      <c r="AD32" s="28"/>
      <c r="AF32" s="22"/>
      <c r="AG32" s="22"/>
      <c r="AH32" s="22"/>
      <c r="AI3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row>
    <row r="33" s="41" customFormat="1" ht="18">
      <c r="B33" s="418" t="s">
        <v>78</v>
      </c>
      <c r="C33" s="309" t="s">
        <v>139</v>
      </c>
      <c r="D33" s="310"/>
      <c r="E33" s="310"/>
      <c r="F33" s="310"/>
      <c r="G33" s="310"/>
      <c r="H33" s="310"/>
      <c r="I33" s="310"/>
      <c r="J33" s="310"/>
      <c r="K33" s="310"/>
      <c r="L33" s="310"/>
      <c r="M33" s="310"/>
      <c r="N33" s="310"/>
      <c r="O33" s="310"/>
      <c r="P33" s="310"/>
      <c r="Q33" s="310"/>
      <c r="R33" s="310"/>
      <c r="S33" s="311"/>
      <c r="T33" s="311"/>
      <c r="U33" s="311"/>
      <c r="V33" s="658" t="s">
        <v>136</v>
      </c>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c r="BK33" s="263"/>
    </row>
    <row r="34" s="42" customFormat="1">
      <c r="C34" s="322">
        <v>13</v>
      </c>
      <c r="D34" s="42">
        <v>14</v>
      </c>
      <c r="E34" s="42">
        <v>15</v>
      </c>
      <c r="F34" s="42">
        <v>16</v>
      </c>
      <c r="G34" s="42">
        <v>17</v>
      </c>
      <c r="H34" s="42">
        <v>18</v>
      </c>
      <c r="I34" s="42">
        <v>19</v>
      </c>
      <c r="J34" s="42">
        <v>20</v>
      </c>
      <c r="K34" s="42">
        <v>21</v>
      </c>
      <c r="L34" s="42">
        <v>22</v>
      </c>
      <c r="M34" s="42">
        <v>23</v>
      </c>
      <c r="N34" s="42">
        <v>24</v>
      </c>
      <c r="O34" s="42">
        <v>25</v>
      </c>
      <c r="P34" s="42">
        <v>26</v>
      </c>
      <c r="Q34" s="42">
        <v>27</v>
      </c>
      <c r="R34" s="42">
        <v>28</v>
      </c>
      <c r="S34" s="42">
        <v>29</v>
      </c>
      <c r="T34" s="42">
        <v>30</v>
      </c>
      <c r="U34" s="42">
        <v>31</v>
      </c>
      <c r="V34" s="659">
        <v>1</v>
      </c>
      <c r="W34" s="42">
        <v>2</v>
      </c>
      <c r="X34" s="323">
        <v>3</v>
      </c>
      <c r="Y34" s="42">
        <v>4</v>
      </c>
      <c r="Z34" s="42">
        <v>5</v>
      </c>
      <c r="AA34" s="42">
        <v>6</v>
      </c>
      <c r="AB34" s="42">
        <v>7</v>
      </c>
      <c r="AC34" s="42">
        <v>8</v>
      </c>
      <c r="AD34" s="337">
        <v>9</v>
      </c>
      <c r="AE34" s="25"/>
      <c r="AF34" s="324" t="s">
        <v>60</v>
      </c>
      <c r="AG34" s="325">
        <v>28</v>
      </c>
      <c r="AH34" s="326"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c r="BK34" s="264"/>
    </row>
    <row r="35" ht="14.25" customHeight="1">
      <c r="B35" s="46" t="s">
        <v>32</v>
      </c>
      <c r="C35" s="444">
        <v>15.972006945536843882398907980</v>
      </c>
      <c r="D35" s="445">
        <v>16.684818122367668770938736260</v>
      </c>
      <c r="E35" s="445">
        <v>3.2721460690774264592019488900</v>
      </c>
      <c r="F35" s="445">
        <v>8.377251993532796169075055120</v>
      </c>
      <c r="G35" s="445">
        <v>13.488704734145245546127170190</v>
      </c>
      <c r="H35" s="445">
        <v>-16.514081203170479954239979160</v>
      </c>
      <c r="I35" s="445">
        <v>9.523726977206145623121191660</v>
      </c>
      <c r="J35" s="445">
        <v>16.413300847591848006507214680</v>
      </c>
      <c r="K35" s="445">
        <v>12.314236039234294785927784100</v>
      </c>
      <c r="L35" s="445">
        <v>11.070860043847384347014687220</v>
      </c>
      <c r="M35" s="445">
        <v>1.6685741214526009426085911800</v>
      </c>
      <c r="N35" s="445">
        <v>8.642687080255241164752177230</v>
      </c>
      <c r="O35" s="445">
        <v>12.217958284489449982812424630</v>
      </c>
      <c r="P35" s="445">
        <v>16.121244635161984644679409340</v>
      </c>
      <c r="Q35" s="445">
        <v>14.599151245736806259467938620</v>
      </c>
      <c r="R35" s="445">
        <v>9.296678485944078744290326200</v>
      </c>
      <c r="S35" s="445">
        <v>11.039470034698930108560291760</v>
      </c>
      <c r="T35" s="445">
        <v>-0.2545617465264812298560202600</v>
      </c>
      <c r="U35" s="445">
        <v>6.6546883773041375981608866800</v>
      </c>
      <c r="V35" s="660">
        <v>1.6079711037237968145753124800</v>
      </c>
      <c r="W35" s="445">
        <v>5.8551566924839624339121561200</v>
      </c>
      <c r="X35" s="446">
        <v>15.628494301839782352033518690</v>
      </c>
      <c r="Y35" s="445">
        <v>-0.7193794469952147852871993800</v>
      </c>
      <c r="Z35" s="445">
        <v>-0.5890632697449608468840877400</v>
      </c>
      <c r="AA35" s="445">
        <v>4.222899000723724856497842300</v>
      </c>
      <c r="AB35" s="445">
        <v>6.7882256438436426152453705600</v>
      </c>
      <c r="AC35" s="445">
        <v>15.216622457971206908278168560</v>
      </c>
      <c r="AD35" s="447">
        <v>3.5490371697349400275435305100</v>
      </c>
      <c r="AE35" s="448"/>
      <c r="AF35" s="444">
        <v>6.0279821647944071882645494700</v>
      </c>
      <c r="AG35" s="445">
        <v>7.5545577384436760208225991300</v>
      </c>
      <c r="AH35" s="449">
        <v>4.9658187114127867386900799400</v>
      </c>
      <c r="AI35"/>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4.25" customHeight="1">
      <c r="B36" s="47" t="s">
        <v>26</v>
      </c>
      <c r="C36" s="327">
        <v>0.8508908114063970449504516400</v>
      </c>
      <c r="D36" s="81">
        <v>0.2235788786218192229028087800</v>
      </c>
      <c r="E36" s="81">
        <v>1.0520564696449823076978951800</v>
      </c>
      <c r="F36" s="81">
        <v>1.2210631869821451893549568300</v>
      </c>
      <c r="G36" s="81">
        <v>4.1163463002331742945219545200</v>
      </c>
      <c r="H36" s="81">
        <v>4.0565709207939872677642034600</v>
      </c>
      <c r="I36" s="81">
        <v>2.1638734856958110851277103400</v>
      </c>
      <c r="J36" s="81">
        <v>5.5786461365414532282517229400</v>
      </c>
      <c r="K36" s="81">
        <v>6.9377573066182528449741866800</v>
      </c>
      <c r="L36" s="81">
        <v>5.24598571488225953355921100</v>
      </c>
      <c r="M36" s="81">
        <v>2.558047397957064832316392200</v>
      </c>
      <c r="N36" s="81">
        <v>2.0044718266234709843624124300</v>
      </c>
      <c r="O36" s="81">
        <v>-2.313267102461014553265272800</v>
      </c>
      <c r="P36" s="81">
        <v>-0.5802504708239386968622762900</v>
      </c>
      <c r="Q36" s="81">
        <v>2.4984671860249206656725213200</v>
      </c>
      <c r="R36" s="81">
        <v>5.8572357371884869032575431900</v>
      </c>
      <c r="S36" s="81">
        <v>9.713188628703057480637526400</v>
      </c>
      <c r="T36" s="81">
        <v>3.4702991378945998227617346700</v>
      </c>
      <c r="U36" s="81">
        <v>6.3348889825676696677684029200</v>
      </c>
      <c r="V36" s="661">
        <v>11.375779371873720211064979400</v>
      </c>
      <c r="W36" s="81">
        <v>7.0636833139722817523467486900</v>
      </c>
      <c r="X36" s="82">
        <v>6.9140214520769305000287129300</v>
      </c>
      <c r="Y36" s="81">
        <v>6.3542040112766509631498529600</v>
      </c>
      <c r="Z36" s="81">
        <v>8.181919736683264479479087250</v>
      </c>
      <c r="AA36" s="81">
        <v>6.5428954845558624891568811700</v>
      </c>
      <c r="AB36" s="81">
        <v>2.0665525578355535215248902400</v>
      </c>
      <c r="AC36" s="81">
        <v>1.2405245667488126150623414400</v>
      </c>
      <c r="AD36" s="83">
        <v>1.9014781888804436477390254200</v>
      </c>
      <c r="AE36" s="88"/>
      <c r="AF36" s="327">
        <v>4.7114319541697469863885941400</v>
      </c>
      <c r="AG36" s="81">
        <v>3.9337476424445862457821560200</v>
      </c>
      <c r="AH36" s="328">
        <v>5.7913326318236508241411301600</v>
      </c>
      <c r="AI36"/>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4.25" customHeight="1">
      <c r="A37" s="24"/>
      <c r="B37" s="49" t="s">
        <v>138</v>
      </c>
      <c r="C37" s="450">
        <v>-1.5340426460121831119247693100</v>
      </c>
      <c r="D37" s="451">
        <v>-1.0256505550201674759768225600</v>
      </c>
      <c r="E37" s="451">
        <v>-2.6720795132369472930662250800</v>
      </c>
      <c r="F37" s="451">
        <v>-3.1043260044547826983483954500</v>
      </c>
      <c r="G37" s="451">
        <v>0.1667719253854485288856327200</v>
      </c>
      <c r="H37" s="451">
        <v>-2.7498809573975987194537073100</v>
      </c>
      <c r="I37" s="451">
        <v>-4.0748123135666109345783222200</v>
      </c>
      <c r="J37" s="451">
        <v>-1.8467558292247728092194597600</v>
      </c>
      <c r="K37" s="451">
        <v>-0.8852248236529366866787849900</v>
      </c>
      <c r="L37" s="451">
        <v>-2.7288893873785842807092972900</v>
      </c>
      <c r="M37" s="451">
        <v>-3.7415075988331936559594683300</v>
      </c>
      <c r="N37" s="451">
        <v>-1.2651156510305878239876315800</v>
      </c>
      <c r="O37" s="451">
        <v>-3.1019924374978327275910851400</v>
      </c>
      <c r="P37" s="451">
        <v>-6.8777076753477623623308492900</v>
      </c>
      <c r="Q37" s="451">
        <v>-2.9278470847446104034480941100</v>
      </c>
      <c r="R37" s="451">
        <v>-2.6837975276034457439991397800</v>
      </c>
      <c r="S37" s="451">
        <v>-3.4630831546312887862874969100</v>
      </c>
      <c r="T37" s="451">
        <v>-4.8968142464514173434218899100</v>
      </c>
      <c r="U37" s="451">
        <v>-3.440118767639735047306844600</v>
      </c>
      <c r="V37" s="662">
        <v>-1.3368343042473928223633295300</v>
      </c>
      <c r="W37" s="451">
        <v>-6.6006298236071210763432968700</v>
      </c>
      <c r="X37" s="452">
        <v>-4.0826987017777851123160000100</v>
      </c>
      <c r="Y37" s="451">
        <v>-3.8217608116286882637129600500</v>
      </c>
      <c r="Z37" s="451">
        <v>-6.8832280480592227161351621700</v>
      </c>
      <c r="AA37" s="451">
        <v>-4.5372171678057739877284499900</v>
      </c>
      <c r="AB37" s="451">
        <v>-3.3840229220015214945329492700</v>
      </c>
      <c r="AC37" s="451">
        <v>-1.3793614035583630594061073800</v>
      </c>
      <c r="AD37" s="453">
        <v>-4.9396963916201890827348409500</v>
      </c>
      <c r="AE37" s="448"/>
      <c r="AF37" s="450">
        <v>-4.1471881077599233073188886700</v>
      </c>
      <c r="AG37" s="451">
        <v>-3.2497567424806749051710114200</v>
      </c>
      <c r="AH37" s="454">
        <v>-4.0027651944565715290956700600</v>
      </c>
      <c r="AI37"/>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I38"/>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row>
    <row r="39" ht="18">
      <c r="B39" s="29"/>
      <c r="X39" s="27"/>
      <c r="AD39" s="28"/>
      <c r="AF39" s="43"/>
      <c r="AG39" s="43"/>
      <c r="AH39" s="43"/>
      <c r="AI39"/>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row>
    <row r="40" s="41" customFormat="1" ht="18">
      <c r="B40" s="418" t="s">
        <v>92</v>
      </c>
      <c r="C40" s="309" t="s">
        <v>139</v>
      </c>
      <c r="D40" s="310"/>
      <c r="E40" s="310"/>
      <c r="F40" s="310"/>
      <c r="G40" s="310"/>
      <c r="H40" s="310"/>
      <c r="I40" s="310"/>
      <c r="J40" s="310"/>
      <c r="K40" s="310"/>
      <c r="L40" s="310"/>
      <c r="M40" s="310"/>
      <c r="N40" s="310"/>
      <c r="O40" s="310"/>
      <c r="P40" s="310"/>
      <c r="Q40" s="310"/>
      <c r="R40" s="310"/>
      <c r="S40" s="311"/>
      <c r="T40" s="311"/>
      <c r="U40" s="311"/>
      <c r="V40" s="658" t="s">
        <v>136</v>
      </c>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row>
    <row r="41" s="42" customFormat="1">
      <c r="C41" s="313">
        <v>13</v>
      </c>
      <c r="D41" s="314">
        <v>14</v>
      </c>
      <c r="E41" s="314">
        <v>15</v>
      </c>
      <c r="F41" s="314">
        <v>16</v>
      </c>
      <c r="G41" s="314">
        <v>17</v>
      </c>
      <c r="H41" s="314">
        <v>18</v>
      </c>
      <c r="I41" s="314">
        <v>19</v>
      </c>
      <c r="J41" s="314">
        <v>20</v>
      </c>
      <c r="K41" s="314">
        <v>21</v>
      </c>
      <c r="L41" s="314">
        <v>22</v>
      </c>
      <c r="M41" s="314">
        <v>23</v>
      </c>
      <c r="N41" s="314">
        <v>24</v>
      </c>
      <c r="O41" s="314">
        <v>25</v>
      </c>
      <c r="P41" s="314">
        <v>26</v>
      </c>
      <c r="Q41" s="314">
        <v>27</v>
      </c>
      <c r="R41" s="314">
        <v>28</v>
      </c>
      <c r="S41" s="314">
        <v>29</v>
      </c>
      <c r="T41" s="314">
        <v>30</v>
      </c>
      <c r="U41" s="314">
        <v>31</v>
      </c>
      <c r="V41" s="670">
        <v>1</v>
      </c>
      <c r="W41" s="314">
        <v>2</v>
      </c>
      <c r="X41" s="315">
        <v>3</v>
      </c>
      <c r="Y41" s="314">
        <v>4</v>
      </c>
      <c r="Z41" s="314">
        <v>5</v>
      </c>
      <c r="AA41" s="314">
        <v>6</v>
      </c>
      <c r="AB41" s="314">
        <v>7</v>
      </c>
      <c r="AC41" s="314">
        <v>8</v>
      </c>
      <c r="AD41" s="373">
        <v>9</v>
      </c>
      <c r="AE41" s="25"/>
      <c r="AF41" s="324" t="s">
        <v>60</v>
      </c>
      <c r="AG41" s="325">
        <v>28</v>
      </c>
      <c r="AH41" s="326"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c r="BK41" s="264"/>
    </row>
    <row r="42" ht="14.25" customHeight="1">
      <c r="A42" s="1"/>
      <c r="B42" s="46" t="s">
        <v>26</v>
      </c>
      <c r="C42" s="444">
        <v>121.21686057740785587087881951</v>
      </c>
      <c r="D42" s="445">
        <v>117.78896497087840623538855744</v>
      </c>
      <c r="E42" s="445">
        <v>116.89117836704302339304453675</v>
      </c>
      <c r="F42" s="445">
        <v>117.81496806812429714740247050</v>
      </c>
      <c r="G42" s="445">
        <v>117.59633836724853057941906883</v>
      </c>
      <c r="H42" s="445">
        <v>83.96775347136727920306384931</v>
      </c>
      <c r="I42" s="445">
        <v>107.68173236330609667716941988</v>
      </c>
      <c r="J42" s="445">
        <v>116.05530135096364667015558759</v>
      </c>
      <c r="K42" s="445">
        <v>114.14078938827580833194010374</v>
      </c>
      <c r="L42" s="445">
        <v>115.98937054027893922232025428</v>
      </c>
      <c r="M42" s="445">
        <v>109.44491528591452820000924368</v>
      </c>
      <c r="N42" s="445">
        <v>116.97797252262399545830692808</v>
      </c>
      <c r="O42" s="445">
        <v>121.79065847717746556676575515</v>
      </c>
      <c r="P42" s="445">
        <v>118.74337408184746688082108407</v>
      </c>
      <c r="Q42" s="445">
        <v>119.00483558202420474887066972</v>
      </c>
      <c r="R42" s="445">
        <v>112.07639678778615065193724154</v>
      </c>
      <c r="S42" s="445">
        <v>112.37581928244923455257237751</v>
      </c>
      <c r="T42" s="445">
        <v>108.11953916136545563330399984</v>
      </c>
      <c r="U42" s="445">
        <v>112.76018416886371030698238355</v>
      </c>
      <c r="V42" s="660">
        <v>102.50724845204134105573511925</v>
      </c>
      <c r="W42" s="445">
        <v>107.60089621770284732856779495</v>
      </c>
      <c r="X42" s="446">
        <v>115.92044973968148889831542494</v>
      </c>
      <c r="Y42" s="445">
        <v>104.76991900833093172518828459</v>
      </c>
      <c r="Z42" s="445">
        <v>102.79646560737906149084911494</v>
      </c>
      <c r="AA42" s="445">
        <v>109.96497829864034229295181863</v>
      </c>
      <c r="AB42" s="445">
        <v>115.19424020635084681024095840</v>
      </c>
      <c r="AC42" s="445">
        <v>120.32199319458380893895415757</v>
      </c>
      <c r="AD42" s="447">
        <v>106.42721375845312378496691734</v>
      </c>
      <c r="AE42" s="448"/>
      <c r="AF42" s="444">
        <v>110.57814281505588582354021014</v>
      </c>
      <c r="AG42" s="445">
        <v>112.08358338316726244654184896</v>
      </c>
      <c r="AH42" s="449">
        <v>109.45898523554474238556300827</v>
      </c>
      <c r="AI42"/>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4.25" customHeight="1">
      <c r="A43" s="24"/>
      <c r="B43" s="48" t="s">
        <v>138</v>
      </c>
      <c r="C43" s="329">
        <v>134.70037140112179908421566229</v>
      </c>
      <c r="D43" s="330">
        <v>132.14031914205234301861330395</v>
      </c>
      <c r="E43" s="330">
        <v>129.17457344754311669623839757</v>
      </c>
      <c r="F43" s="330">
        <v>132.45099098397006316440694437</v>
      </c>
      <c r="G43" s="330">
        <v>132.00195337879957286819913290</v>
      </c>
      <c r="H43" s="330">
        <v>96.56903916784867638964678005</v>
      </c>
      <c r="I43" s="330">
        <v>124.00370834905157626452075077</v>
      </c>
      <c r="J43" s="330">
        <v>133.52213574351952573042666035</v>
      </c>
      <c r="K43" s="330">
        <v>130.56837348440620436684087273</v>
      </c>
      <c r="L43" s="330">
        <v>130.69172542097200461555248586</v>
      </c>
      <c r="M43" s="330">
        <v>124.63855196906645471834079414</v>
      </c>
      <c r="N43" s="330">
        <v>131.49328925103108401946736820</v>
      </c>
      <c r="O43" s="330">
        <v>133.10331707763281130946946749</v>
      </c>
      <c r="P43" s="330">
        <v>137.24121644104595247659796584</v>
      </c>
      <c r="Q43" s="330">
        <v>140.25838427887312412270793581</v>
      </c>
      <c r="R43" s="330">
        <v>132.45633310130409519778608517</v>
      </c>
      <c r="S43" s="330">
        <v>135.91769776538743316677807899</v>
      </c>
      <c r="T43" s="330">
        <v>127.69738776804801340772812471</v>
      </c>
      <c r="U43" s="330">
        <v>133.49670841417039954098204478</v>
      </c>
      <c r="V43" s="663">
        <v>122.76789858634425698858871012</v>
      </c>
      <c r="W43" s="330">
        <v>130.98530077277177384546672742</v>
      </c>
      <c r="X43" s="331">
        <v>140.36242706207568442460972551</v>
      </c>
      <c r="Y43" s="330">
        <v>126.04462239800525942727047784</v>
      </c>
      <c r="Z43" s="330">
        <v>125.70757776009899371574691504</v>
      </c>
      <c r="AA43" s="330">
        <v>131.44186046513648044771557204</v>
      </c>
      <c r="AB43" s="330">
        <v>133.90225395379501037123378274</v>
      </c>
      <c r="AC43" s="330">
        <v>135.48684447039417633197746702</v>
      </c>
      <c r="AD43" s="338">
        <v>123.66692366177711067430986574</v>
      </c>
      <c r="AE43" s="88"/>
      <c r="AF43" s="329">
        <v>130.69221295151779184222784522</v>
      </c>
      <c r="AG43" s="330">
        <v>129.67398579475058992953190630</v>
      </c>
      <c r="AH43" s="332">
        <v>129.78624824247616576890681920</v>
      </c>
      <c r="AI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ht="12" customHeight="1">
      <c r="B44" s="4"/>
      <c r="X44" s="27"/>
      <c r="AD44" s="28"/>
      <c r="AF44" s="43"/>
      <c r="AG44" s="43"/>
      <c r="AH44" s="43"/>
      <c r="AI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row>
    <row r="45" ht="18">
      <c r="B45" s="29"/>
      <c r="X45" s="27"/>
      <c r="AD45" s="28"/>
      <c r="AF45" s="43"/>
      <c r="AG45" s="43"/>
      <c r="AH45" s="43"/>
      <c r="AI45"/>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row>
    <row r="46" s="41" customFormat="1" ht="18">
      <c r="B46" s="418" t="s">
        <v>77</v>
      </c>
      <c r="C46" s="309" t="s">
        <v>139</v>
      </c>
      <c r="D46" s="310"/>
      <c r="E46" s="310"/>
      <c r="F46" s="310"/>
      <c r="G46" s="310"/>
      <c r="H46" s="310"/>
      <c r="I46" s="310"/>
      <c r="J46" s="310"/>
      <c r="K46" s="310"/>
      <c r="L46" s="310"/>
      <c r="M46" s="310"/>
      <c r="N46" s="310"/>
      <c r="O46" s="310"/>
      <c r="P46" s="310"/>
      <c r="Q46" s="310"/>
      <c r="R46" s="310"/>
      <c r="S46" s="311"/>
      <c r="T46" s="311"/>
      <c r="U46" s="311"/>
      <c r="V46" s="658" t="s">
        <v>136</v>
      </c>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c r="BK46" s="263"/>
    </row>
    <row r="47" s="42" customFormat="1">
      <c r="C47" s="322">
        <v>13</v>
      </c>
      <c r="D47" s="42">
        <v>14</v>
      </c>
      <c r="E47" s="42">
        <v>15</v>
      </c>
      <c r="F47" s="42">
        <v>16</v>
      </c>
      <c r="G47" s="42">
        <v>17</v>
      </c>
      <c r="H47" s="42">
        <v>18</v>
      </c>
      <c r="I47" s="42">
        <v>19</v>
      </c>
      <c r="J47" s="42">
        <v>20</v>
      </c>
      <c r="K47" s="42">
        <v>21</v>
      </c>
      <c r="L47" s="42">
        <v>22</v>
      </c>
      <c r="M47" s="42">
        <v>23</v>
      </c>
      <c r="N47" s="42">
        <v>24</v>
      </c>
      <c r="O47" s="42">
        <v>25</v>
      </c>
      <c r="P47" s="42">
        <v>26</v>
      </c>
      <c r="Q47" s="42">
        <v>27</v>
      </c>
      <c r="R47" s="42">
        <v>28</v>
      </c>
      <c r="S47" s="42">
        <v>29</v>
      </c>
      <c r="T47" s="42">
        <v>30</v>
      </c>
      <c r="U47" s="42">
        <v>31</v>
      </c>
      <c r="V47" s="659">
        <v>1</v>
      </c>
      <c r="W47" s="42">
        <v>2</v>
      </c>
      <c r="X47" s="323">
        <v>3</v>
      </c>
      <c r="Y47" s="42">
        <v>4</v>
      </c>
      <c r="Z47" s="42">
        <v>5</v>
      </c>
      <c r="AA47" s="42">
        <v>6</v>
      </c>
      <c r="AB47" s="42">
        <v>7</v>
      </c>
      <c r="AC47" s="42">
        <v>8</v>
      </c>
      <c r="AD47" s="337">
        <v>9</v>
      </c>
      <c r="AE47" s="25"/>
      <c r="AF47" s="324" t="s">
        <v>60</v>
      </c>
      <c r="AG47" s="325">
        <v>28</v>
      </c>
      <c r="AH47" s="326"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c r="BK47" s="264"/>
    </row>
    <row r="48" ht="14.25" customHeight="1">
      <c r="A48" s="1"/>
      <c r="B48" s="46" t="s">
        <v>26</v>
      </c>
      <c r="C48" s="444">
        <v>14.993537501262533859653303710</v>
      </c>
      <c r="D48" s="445">
        <v>16.424517491720171234418611260</v>
      </c>
      <c r="E48" s="445">
        <v>2.1969761694834552680809103200</v>
      </c>
      <c r="F48" s="445">
        <v>7.0698613324336399008687964600</v>
      </c>
      <c r="G48" s="445">
        <v>9.001812651920241464514220260</v>
      </c>
      <c r="H48" s="445">
        <v>-19.76871997790301534805125700</v>
      </c>
      <c r="I48" s="445">
        <v>7.2039687224404476443301975600</v>
      </c>
      <c r="J48" s="445">
        <v>10.262164848266732176827182890</v>
      </c>
      <c r="K48" s="445">
        <v>5.0276711127147088414780006700</v>
      </c>
      <c r="L48" s="445">
        <v>5.5345334925964138839719941800</v>
      </c>
      <c r="M48" s="445">
        <v>-0.867287647420921032015121300</v>
      </c>
      <c r="N48" s="445">
        <v>6.5077688603098109374652920400</v>
      </c>
      <c r="O48" s="445">
        <v>14.875331537789690654403583730</v>
      </c>
      <c r="P48" s="445">
        <v>16.798971215572889908453991040</v>
      </c>
      <c r="Q48" s="445">
        <v>11.805721970181441674047395940</v>
      </c>
      <c r="R48" s="445">
        <v>3.2491333490806590123115297200</v>
      </c>
      <c r="S48" s="445">
        <v>1.2088623278511406867870312700</v>
      </c>
      <c r="T48" s="445">
        <v>-3.5999324592432071319887637700</v>
      </c>
      <c r="U48" s="445">
        <v>0.3007473819561067921806120800</v>
      </c>
      <c r="V48" s="660">
        <v>-8.770136849579656927899976870</v>
      </c>
      <c r="W48" s="445">
        <v>-1.1287923075716997146942580200</v>
      </c>
      <c r="X48" s="446">
        <v>8.150916719279946099048900130</v>
      </c>
      <c r="Y48" s="445">
        <v>-6.6509674196836995531186766300</v>
      </c>
      <c r="Z48" s="445">
        <v>-8.107623739528972911507867460</v>
      </c>
      <c r="AA48" s="445">
        <v>-2.1775234033841490194158554300</v>
      </c>
      <c r="AB48" s="445">
        <v>4.6260728590086469289468805100</v>
      </c>
      <c r="AC48" s="445">
        <v>13.804845392773634432042115720</v>
      </c>
      <c r="AD48" s="447">
        <v>1.6168155851361472031903843200</v>
      </c>
      <c r="AE48" s="448"/>
      <c r="AF48" s="444">
        <v>1.2573127747799007865322504300</v>
      </c>
      <c r="AG48" s="445">
        <v>3.4837674750483152272194351900</v>
      </c>
      <c r="AH48" s="449">
        <v>-0.7803228297549382114454330800</v>
      </c>
      <c r="AI48"/>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4.25" customHeight="1">
      <c r="A49" s="24"/>
      <c r="B49" s="48" t="s">
        <v>138</v>
      </c>
      <c r="C49" s="329">
        <v>17.778783715700838334374984960</v>
      </c>
      <c r="D49" s="330">
        <v>17.893998573055092082169108950</v>
      </c>
      <c r="E49" s="330">
        <v>6.1074207201142870983654647400</v>
      </c>
      <c r="F49" s="330">
        <v>11.849422708536235446442830930</v>
      </c>
      <c r="G49" s="330">
        <v>13.299752555392103124136544350</v>
      </c>
      <c r="H49" s="330">
        <v>-14.153401950834971148943345110</v>
      </c>
      <c r="I49" s="330">
        <v>14.176192529607102862918796390</v>
      </c>
      <c r="J49" s="330">
        <v>18.603620115743835170001072790</v>
      </c>
      <c r="K49" s="330">
        <v>13.317349345139645069985819470</v>
      </c>
      <c r="L49" s="330">
        <v>14.186894078142372139386325150</v>
      </c>
      <c r="M49" s="330">
        <v>5.620368224461041270404654700</v>
      </c>
      <c r="N49" s="330">
        <v>10.034753974414515375217205210</v>
      </c>
      <c r="O49" s="330">
        <v>15.810387754509809381347555100</v>
      </c>
      <c r="P49" s="330">
        <v>24.697579641130203797612584020</v>
      </c>
      <c r="Q49" s="330">
        <v>18.055639855557339013135227930</v>
      </c>
      <c r="R49" s="330">
        <v>12.310874971710803269729352830</v>
      </c>
      <c r="S49" s="330">
        <v>15.022805433629423760389654920</v>
      </c>
      <c r="T49" s="330">
        <v>4.8812796997226180791343371900</v>
      </c>
      <c r="U49" s="330">
        <v>10.454452735620211488961453940</v>
      </c>
      <c r="V49" s="663">
        <v>2.9847059813840863271935793100</v>
      </c>
      <c r="W49" s="330">
        <v>13.336049796269881483973387780</v>
      </c>
      <c r="X49" s="331">
        <v>20.550195571457498855487840180</v>
      </c>
      <c r="Y49" s="330">
        <v>3.225658309848104473492683200</v>
      </c>
      <c r="Z49" s="330">
        <v>6.7594318899645082122518144600</v>
      </c>
      <c r="AA49" s="330">
        <v>9.176472661553985670520722320</v>
      </c>
      <c r="AB49" s="330">
        <v>10.528536659763107807693637790</v>
      </c>
      <c r="AC49" s="330">
        <v>16.828104236333630804225035190</v>
      </c>
      <c r="AD49" s="338">
        <v>8.929840573915389324607900890</v>
      </c>
      <c r="AE49" s="88"/>
      <c r="AF49" s="329">
        <v>10.615411349693749459362028720</v>
      </c>
      <c r="AG49" s="330">
        <v>11.167222031815566816623106770</v>
      </c>
      <c r="AH49" s="332">
        <v>9.342544005634937765064100160</v>
      </c>
      <c r="AI49"/>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I50"/>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row>
    <row r="51" ht="18">
      <c r="B51" s="29"/>
      <c r="X51" s="27"/>
      <c r="AD51" s="28"/>
      <c r="AF51" s="43"/>
      <c r="AG51" s="43"/>
      <c r="AH51" s="43"/>
      <c r="AI51"/>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row>
    <row r="52" ht="18">
      <c r="B52" s="418" t="s">
        <v>55</v>
      </c>
      <c r="C52" s="309" t="s">
        <v>139</v>
      </c>
      <c r="D52" s="310"/>
      <c r="E52" s="310"/>
      <c r="F52" s="310"/>
      <c r="G52" s="310"/>
      <c r="H52" s="310"/>
      <c r="I52" s="310"/>
      <c r="J52" s="310"/>
      <c r="K52" s="310"/>
      <c r="L52" s="310"/>
      <c r="M52" s="310"/>
      <c r="N52" s="310"/>
      <c r="O52" s="310"/>
      <c r="P52" s="310"/>
      <c r="Q52" s="310"/>
      <c r="R52" s="310"/>
      <c r="S52" s="311"/>
      <c r="T52" s="311"/>
      <c r="U52" s="311"/>
      <c r="V52" s="658" t="s">
        <v>136</v>
      </c>
      <c r="W52" s="311"/>
      <c r="X52" s="312"/>
      <c r="Y52" s="311"/>
      <c r="Z52" s="311"/>
      <c r="AA52" s="311"/>
      <c r="AB52" s="311"/>
      <c r="AC52" s="311"/>
      <c r="AD52" s="336"/>
      <c r="AE52" s="25"/>
      <c r="AF52" s="316" t="s">
        <v>58</v>
      </c>
      <c r="AG52" s="317" t="s">
        <v>59</v>
      </c>
      <c r="AH52" s="318" t="s">
        <v>59</v>
      </c>
      <c r="AI52"/>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c r="B53" s="42"/>
      <c r="C53" s="322">
        <v>13</v>
      </c>
      <c r="D53" s="42">
        <v>14</v>
      </c>
      <c r="E53" s="42">
        <v>15</v>
      </c>
      <c r="F53" s="42">
        <v>16</v>
      </c>
      <c r="G53" s="42">
        <v>17</v>
      </c>
      <c r="H53" s="42">
        <v>18</v>
      </c>
      <c r="I53" s="42">
        <v>19</v>
      </c>
      <c r="J53" s="42">
        <v>20</v>
      </c>
      <c r="K53" s="42">
        <v>21</v>
      </c>
      <c r="L53" s="42">
        <v>22</v>
      </c>
      <c r="M53" s="42">
        <v>23</v>
      </c>
      <c r="N53" s="42">
        <v>24</v>
      </c>
      <c r="O53" s="42">
        <v>25</v>
      </c>
      <c r="P53" s="42">
        <v>26</v>
      </c>
      <c r="Q53" s="42">
        <v>27</v>
      </c>
      <c r="R53" s="42">
        <v>28</v>
      </c>
      <c r="S53" s="42">
        <v>29</v>
      </c>
      <c r="T53" s="42">
        <v>30</v>
      </c>
      <c r="U53" s="42">
        <v>31</v>
      </c>
      <c r="V53" s="659">
        <v>1</v>
      </c>
      <c r="W53" s="42">
        <v>2</v>
      </c>
      <c r="X53" s="323">
        <v>3</v>
      </c>
      <c r="Y53" s="42">
        <v>4</v>
      </c>
      <c r="Z53" s="42">
        <v>5</v>
      </c>
      <c r="AA53" s="42">
        <v>6</v>
      </c>
      <c r="AB53" s="42">
        <v>7</v>
      </c>
      <c r="AC53" s="42">
        <v>8</v>
      </c>
      <c r="AD53" s="337">
        <v>9</v>
      </c>
      <c r="AE53" s="25"/>
      <c r="AF53" s="324" t="s">
        <v>60</v>
      </c>
      <c r="AG53" s="325">
        <v>28</v>
      </c>
      <c r="AH53" s="326" t="s">
        <v>31</v>
      </c>
      <c r="AI53"/>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14.25" customHeight="1">
      <c r="B54" s="46" t="s">
        <v>56</v>
      </c>
      <c r="C54" s="455" t="s">
        <v>141</v>
      </c>
      <c r="D54" s="456" t="s">
        <v>140</v>
      </c>
      <c r="E54" s="456" t="s">
        <v>141</v>
      </c>
      <c r="F54" s="456" t="s">
        <v>141</v>
      </c>
      <c r="G54" s="456" t="s">
        <v>141</v>
      </c>
      <c r="H54" s="456" t="s">
        <v>142</v>
      </c>
      <c r="I54" s="456" t="s">
        <v>140</v>
      </c>
      <c r="J54" s="456" t="s">
        <v>141</v>
      </c>
      <c r="K54" s="456" t="s">
        <v>140</v>
      </c>
      <c r="L54" s="456" t="s">
        <v>140</v>
      </c>
      <c r="M54" s="456" t="s">
        <v>140</v>
      </c>
      <c r="N54" s="456" t="s">
        <v>141</v>
      </c>
      <c r="O54" s="456" t="s">
        <v>141</v>
      </c>
      <c r="P54" s="456" t="s">
        <v>141</v>
      </c>
      <c r="Q54" s="456" t="s">
        <v>141</v>
      </c>
      <c r="R54" s="456" t="s">
        <v>140</v>
      </c>
      <c r="S54" s="456" t="s">
        <v>140</v>
      </c>
      <c r="T54" s="456" t="s">
        <v>140</v>
      </c>
      <c r="U54" s="456" t="s">
        <v>140</v>
      </c>
      <c r="V54" s="664" t="s">
        <v>143</v>
      </c>
      <c r="W54" s="456" t="s">
        <v>141</v>
      </c>
      <c r="X54" s="457" t="s">
        <v>141</v>
      </c>
      <c r="Y54" s="456" t="s">
        <v>143</v>
      </c>
      <c r="Z54" s="456" t="s">
        <v>143</v>
      </c>
      <c r="AA54" s="456" t="s">
        <v>140</v>
      </c>
      <c r="AB54" s="456" t="s">
        <v>140</v>
      </c>
      <c r="AC54" s="456" t="s">
        <v>141</v>
      </c>
      <c r="AD54" s="458" t="s">
        <v>143</v>
      </c>
      <c r="AE54" s="459"/>
      <c r="AF54" s="455" t="s">
        <v>140</v>
      </c>
      <c r="AG54" s="456" t="s">
        <v>140</v>
      </c>
      <c r="AH54" s="460" t="s">
        <v>140</v>
      </c>
      <c r="AI5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14.25" customHeight="1" thickBot="1">
      <c r="B55" s="48" t="s">
        <v>78</v>
      </c>
      <c r="C55" s="333" t="s">
        <v>141</v>
      </c>
      <c r="D55" s="334" t="s">
        <v>141</v>
      </c>
      <c r="E55" s="334" t="s">
        <v>140</v>
      </c>
      <c r="F55" s="334" t="s">
        <v>140</v>
      </c>
      <c r="G55" s="334" t="s">
        <v>140</v>
      </c>
      <c r="H55" s="334" t="s">
        <v>142</v>
      </c>
      <c r="I55" s="334" t="s">
        <v>140</v>
      </c>
      <c r="J55" s="334" t="s">
        <v>141</v>
      </c>
      <c r="K55" s="334" t="s">
        <v>140</v>
      </c>
      <c r="L55" s="334" t="s">
        <v>140</v>
      </c>
      <c r="M55" s="334" t="s">
        <v>143</v>
      </c>
      <c r="N55" s="334" t="s">
        <v>140</v>
      </c>
      <c r="O55" s="334" t="s">
        <v>140</v>
      </c>
      <c r="P55" s="334" t="s">
        <v>141</v>
      </c>
      <c r="Q55" s="334" t="s">
        <v>140</v>
      </c>
      <c r="R55" s="334" t="s">
        <v>143</v>
      </c>
      <c r="S55" s="334" t="s">
        <v>140</v>
      </c>
      <c r="T55" s="334" t="s">
        <v>143</v>
      </c>
      <c r="U55" s="334" t="s">
        <v>142</v>
      </c>
      <c r="V55" s="665" t="s">
        <v>143</v>
      </c>
      <c r="W55" s="334" t="s">
        <v>143</v>
      </c>
      <c r="X55" s="60" t="s">
        <v>140</v>
      </c>
      <c r="Y55" s="61" t="s">
        <v>142</v>
      </c>
      <c r="Z55" s="61" t="s">
        <v>142</v>
      </c>
      <c r="AA55" s="61" t="s">
        <v>143</v>
      </c>
      <c r="AB55" s="61" t="s">
        <v>140</v>
      </c>
      <c r="AC55" s="61" t="s">
        <v>140</v>
      </c>
      <c r="AD55" s="62" t="s">
        <v>143</v>
      </c>
      <c r="AE55" s="59"/>
      <c r="AF55" s="333" t="s">
        <v>142</v>
      </c>
      <c r="AG55" s="334" t="s">
        <v>140</v>
      </c>
      <c r="AH55" s="335" t="s">
        <v>142</v>
      </c>
      <c r="AI55"/>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9.95" customHeight="1">
      <c r="AF56"/>
      <c r="AG56"/>
      <c r="AH56"/>
      <c r="AI56"/>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AF57"/>
      <c r="AG57"/>
      <c r="AH57"/>
      <c r="AI57"/>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I58"/>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ht="9.95" customHeight="1">
      <c r="AF59" s="80"/>
      <c r="AG59" s="242"/>
      <c r="AH59"/>
      <c r="AI59"/>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ht="9.95" customHeight="1">
      <c r="B60" s="235"/>
      <c r="AF60"/>
      <c r="AG60"/>
      <c r="AH60"/>
      <c r="AI60"/>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ht="9.95" customHeight="1">
      <c r="AF61"/>
      <c r="AG61"/>
      <c r="AH61"/>
      <c r="AI6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row>
    <row r="66">
      <c r="A66" s="244"/>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666"/>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row>
    <row r="67">
      <c r="A67" s="244"/>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666"/>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row>
    <row r="68" s="25" customFormat="1">
      <c r="A68" s="255"/>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c r="BK68" s="255"/>
    </row>
    <row r="69" s="25" customFormat="1" ht="10.5" customHeight="1">
      <c r="A69" s="255"/>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666"/>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c r="BK69" s="255"/>
    </row>
    <row r="70" s="84" customFormat="1">
      <c r="A70" s="256"/>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666"/>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6"/>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666"/>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6" t="n">
        <v>45801</v>
      </c>
      <c r="C72" s="666">
        <v>45808</v>
      </c>
      <c r="D72" s="666">
        <v>45815</v>
      </c>
      <c r="E72" s="666">
        <v>45822</v>
      </c>
      <c r="F72" s="666">
        <v>45829</v>
      </c>
      <c r="G72" s="666">
        <v>45836</v>
      </c>
      <c r="H72" s="666">
        <v>45843</v>
      </c>
      <c r="I72" s="666">
        <v>45850</v>
      </c>
      <c r="J72" s="666">
        <v>45857</v>
      </c>
      <c r="K72" s="666">
        <v>45864</v>
      </c>
      <c r="L72" s="666">
        <v>45871</v>
      </c>
      <c r="M72" s="666">
        <v>45878</v>
      </c>
      <c r="N72" s="666"/>
      <c r="O72" s="666"/>
      <c r="P72" s="666"/>
      <c r="Q72" s="666"/>
      <c r="R72" s="666"/>
      <c r="S72" s="666"/>
      <c r="T72" s="666"/>
      <c r="U72" s="666"/>
      <c r="V72" s="666"/>
      <c r="W72" s="666"/>
      <c r="X72" s="666"/>
      <c r="Y72" s="666"/>
      <c r="Z72" s="666"/>
      <c r="AA72" s="666"/>
      <c r="AB72" s="666"/>
      <c r="AC72" s="666"/>
      <c r="AD72" s="666"/>
      <c r="AE72" s="666"/>
      <c r="AF72" s="666"/>
      <c r="AG72" s="666"/>
      <c r="AH72" s="666"/>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6">
        <v>137.21933962264150943396226415</v>
      </c>
      <c r="C73" s="666">
        <v>139.8401360544217687074829932</v>
      </c>
      <c r="D73" s="666">
        <v>141.17100371747211895910780669</v>
      </c>
      <c r="E73" s="666">
        <v>136.96750902527075812274368231</v>
      </c>
      <c r="F73" s="666">
        <v>141.64086687306501547987616099</v>
      </c>
      <c r="G73" s="666">
        <v>140.65931372549019607843137255</v>
      </c>
      <c r="H73" s="666">
        <v>149.97843665768194070080862534</v>
      </c>
      <c r="I73" s="666">
        <v>138.22872340425531914893617021</v>
      </c>
      <c r="J73" s="666">
        <v>133.91743119266055045871559633</v>
      </c>
      <c r="K73" s="666">
        <v>137.46529562982005141388174807</v>
      </c>
      <c r="L73" s="666">
        <v>135.97150997150997150997150997</v>
      </c>
      <c r="M73" s="666">
        <v>132.97395833333333333333333333</v>
      </c>
      <c r="N73" s="666"/>
      <c r="O73" s="666"/>
      <c r="P73" s="666"/>
      <c r="Q73" s="666"/>
      <c r="R73" s="666"/>
      <c r="S73" s="666"/>
      <c r="T73" s="666"/>
      <c r="U73" s="666"/>
      <c r="V73" s="666"/>
      <c r="W73" s="666"/>
      <c r="X73" s="666"/>
      <c r="Y73" s="666"/>
      <c r="Z73" s="666"/>
      <c r="AA73" s="666"/>
      <c r="AB73" s="666"/>
      <c r="AC73" s="666"/>
      <c r="AD73" s="666"/>
      <c r="AE73" s="666"/>
      <c r="AF73" s="666"/>
      <c r="AG73" s="666"/>
      <c r="AH73" s="666"/>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6">
        <v>125.19970113568439928272564256</v>
      </c>
      <c r="C74" s="666">
        <v>126.03418619791666666666666667</v>
      </c>
      <c r="D74" s="666">
        <v>125.1188699602498580352072686</v>
      </c>
      <c r="E74" s="666">
        <v>123.67913751507840772014475271</v>
      </c>
      <c r="F74" s="666">
        <v>121.12966958867161159811193527</v>
      </c>
      <c r="G74" s="666">
        <v>120.55623904881101376720901126</v>
      </c>
      <c r="H74" s="666">
        <v>132.29574673090158293186510668</v>
      </c>
      <c r="I74" s="666">
        <v>119.94556132381570408825438027</v>
      </c>
      <c r="J74" s="666">
        <v>120.107313510693792383933229</v>
      </c>
      <c r="K74" s="666">
        <v>118.57363690832834032354703415</v>
      </c>
      <c r="L74" s="666">
        <v>123.18297400126823081800887762</v>
      </c>
      <c r="M74" s="666">
        <v>120.25338366890380313199105145</v>
      </c>
      <c r="N74" s="666"/>
      <c r="O74" s="666"/>
      <c r="P74" s="666"/>
      <c r="Q74" s="666"/>
      <c r="R74" s="666"/>
      <c r="S74" s="666"/>
      <c r="T74" s="666"/>
      <c r="U74" s="666"/>
      <c r="V74" s="666"/>
      <c r="W74" s="666"/>
      <c r="X74" s="666"/>
      <c r="Y74" s="666"/>
      <c r="Z74" s="666"/>
      <c r="AA74" s="666"/>
      <c r="AB74" s="666"/>
      <c r="AC74" s="666"/>
      <c r="AD74" s="666"/>
      <c r="AE74" s="666"/>
      <c r="AF74" s="666"/>
      <c r="AG74" s="666"/>
      <c r="AH74" s="666"/>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s="84" customFormat="1" ht="14.25">
      <c r="A75" s="260" t="s">
        <v>138</v>
      </c>
      <c r="B75" s="666">
        <v>110.66680439633088174531030493</v>
      </c>
      <c r="C75" s="666">
        <v>109.21726131154076141120191349</v>
      </c>
      <c r="D75" s="666">
        <v>109.00374497625137011326269638</v>
      </c>
      <c r="E75" s="666">
        <v>108.00775628445939631810111205</v>
      </c>
      <c r="F75" s="666">
        <v>105.79398820114242906639198427</v>
      </c>
      <c r="G75" s="666">
        <v>106.41621527171064127206010833</v>
      </c>
      <c r="H75" s="666">
        <v>112.45728551974580118020880617</v>
      </c>
      <c r="I75" s="666">
        <v>105.5635744985673352435530086</v>
      </c>
      <c r="J75" s="666">
        <v>106.55584788328151160009567089</v>
      </c>
      <c r="K75" s="666">
        <v>104.66743099787685774946921444</v>
      </c>
      <c r="L75" s="666">
        <v>103.30140794547574208591157744</v>
      </c>
      <c r="M75" s="666">
        <v>101.74589237590193862470659828</v>
      </c>
      <c r="N75" s="666"/>
      <c r="O75" s="666"/>
      <c r="P75" s="666"/>
      <c r="Q75" s="666"/>
      <c r="R75" s="666"/>
      <c r="S75" s="666"/>
      <c r="T75" s="666"/>
      <c r="U75" s="666"/>
      <c r="V75" s="666"/>
      <c r="W75" s="666"/>
      <c r="X75" s="666"/>
      <c r="Y75" s="666"/>
      <c r="Z75" s="666"/>
      <c r="AA75" s="666"/>
      <c r="AB75" s="666"/>
      <c r="AC75" s="666"/>
      <c r="AD75" s="666"/>
      <c r="AE75" s="666"/>
      <c r="AF75" s="666"/>
      <c r="AG75" s="666"/>
      <c r="AH75" s="666"/>
      <c r="AI75" s="257"/>
      <c r="AJ75" s="257"/>
      <c r="AK75" s="257"/>
      <c r="AL75" s="257"/>
      <c r="AM75" s="257"/>
      <c r="AN75" s="257"/>
      <c r="AO75" s="257"/>
      <c r="AP75" s="257"/>
      <c r="AQ75" s="257"/>
      <c r="AR75" s="257"/>
      <c r="AS75" s="257"/>
      <c r="AT75" s="257"/>
      <c r="AU75" s="257"/>
      <c r="AV75" s="257"/>
      <c r="AW75" s="257"/>
      <c r="AX75" s="257"/>
      <c r="AY75" s="257"/>
      <c r="AZ75" s="257"/>
      <c r="BA75" s="257"/>
      <c r="BB75" s="257"/>
      <c r="BC75" s="257"/>
      <c r="BD75" s="257"/>
      <c r="BE75" s="257"/>
      <c r="BF75" s="257"/>
      <c r="BG75" s="257"/>
      <c r="BH75" s="257"/>
      <c r="BI75" s="257"/>
      <c r="BJ75" s="257"/>
      <c r="BK75" s="257"/>
    </row>
    <row r="76" s="84" customFormat="1">
      <c r="A76" s="25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257"/>
      <c r="AJ76" s="257"/>
      <c r="AK76" s="257"/>
      <c r="AL76" s="257"/>
      <c r="AM76" s="257"/>
      <c r="AN76" s="257"/>
      <c r="AO76" s="257"/>
      <c r="AP76" s="257"/>
      <c r="AQ76" s="257"/>
      <c r="AR76" s="257"/>
      <c r="AS76" s="257"/>
      <c r="AT76" s="257"/>
      <c r="AU76" s="257"/>
      <c r="AV76" s="257"/>
      <c r="AW76" s="257"/>
      <c r="AX76" s="257"/>
      <c r="AY76" s="257"/>
      <c r="AZ76" s="257"/>
      <c r="BA76" s="257"/>
      <c r="BB76" s="257"/>
      <c r="BC76" s="257"/>
      <c r="BD76" s="257"/>
      <c r="BE76" s="257"/>
      <c r="BF76" s="257"/>
      <c r="BG76" s="257"/>
      <c r="BH76" s="257"/>
      <c r="BI76" s="257"/>
      <c r="BJ76" s="257"/>
      <c r="BK76" s="257"/>
    </row>
    <row r="77">
      <c r="A77" s="25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5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5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8:AH58"/>
  </mergeCells>
  <phoneticPr fontId="0" type="noConversion"/>
  <printOptions horizontalCentered="1" verticalCentered="1"/>
  <pageMargins left="0.25" right="0.25" top="0.25" bottom="0.25" header="0.19" footer="0.28"/>
  <pageSetup scale="55" orientation="landscape" r:id="rId1"/>
  <headerFooter alignWithMargins="0">
    <oddHeader/>
    <oddFooter/>
  </headerFooter>
  <drawing r:id="rId33"/>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J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4"/>
      <c r="B1" s="39" t="s">
        <v>123</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row>
    <row r="2" ht="17.1" customHeight="1">
      <c r="A2" s="5"/>
      <c r="B2" s="10" t="s">
        <v>132</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row>
    <row r="3" ht="17.1" customHeight="1">
      <c r="A3" s="5"/>
      <c r="B3" s="10" t="s">
        <v>133</v>
      </c>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row>
    <row r="4" ht="17.1" customHeight="1">
      <c r="A4" s="5"/>
      <c r="B4" s="4" t="s">
        <v>134</v>
      </c>
      <c r="R4" s="618" t="s">
        <v>144</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row>
    <row r="24" s="41" customFormat="1" ht="18">
      <c r="B24" s="417" t="s">
        <v>13</v>
      </c>
      <c r="C24" s="309" t="s">
        <v>139</v>
      </c>
      <c r="D24" s="310"/>
      <c r="E24" s="310"/>
      <c r="F24" s="310"/>
      <c r="G24" s="310"/>
      <c r="H24" s="310"/>
      <c r="I24" s="310"/>
      <c r="J24" s="310"/>
      <c r="K24" s="310"/>
      <c r="L24" s="310"/>
      <c r="M24" s="310"/>
      <c r="N24" s="310"/>
      <c r="O24" s="310"/>
      <c r="P24" s="310"/>
      <c r="Q24" s="310"/>
      <c r="R24" s="310"/>
      <c r="S24" s="311"/>
      <c r="T24" s="311"/>
      <c r="U24" s="311"/>
      <c r="V24" s="658" t="s">
        <v>136</v>
      </c>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row>
    <row r="25" s="42" customFormat="1">
      <c r="C25" s="313">
        <v>13</v>
      </c>
      <c r="D25" s="314">
        <v>14</v>
      </c>
      <c r="E25" s="314">
        <v>15</v>
      </c>
      <c r="F25" s="314">
        <v>16</v>
      </c>
      <c r="G25" s="314">
        <v>17</v>
      </c>
      <c r="H25" s="314">
        <v>18</v>
      </c>
      <c r="I25" s="314">
        <v>19</v>
      </c>
      <c r="J25" s="314">
        <v>20</v>
      </c>
      <c r="K25" s="314">
        <v>21</v>
      </c>
      <c r="L25" s="314">
        <v>22</v>
      </c>
      <c r="M25" s="314">
        <v>23</v>
      </c>
      <c r="N25" s="314">
        <v>24</v>
      </c>
      <c r="O25" s="314">
        <v>25</v>
      </c>
      <c r="P25" s="314">
        <v>26</v>
      </c>
      <c r="Q25" s="314">
        <v>27</v>
      </c>
      <c r="R25" s="314">
        <v>28</v>
      </c>
      <c r="S25" s="314">
        <v>29</v>
      </c>
      <c r="T25" s="314">
        <v>30</v>
      </c>
      <c r="U25" s="314">
        <v>31</v>
      </c>
      <c r="V25" s="670">
        <v>1</v>
      </c>
      <c r="W25" s="314">
        <v>2</v>
      </c>
      <c r="X25" s="315">
        <v>3</v>
      </c>
      <c r="Y25" s="314">
        <v>4</v>
      </c>
      <c r="Z25" s="314">
        <v>5</v>
      </c>
      <c r="AA25" s="314">
        <v>6</v>
      </c>
      <c r="AB25" s="314">
        <v>7</v>
      </c>
      <c r="AC25" s="314">
        <v>8</v>
      </c>
      <c r="AD25" s="373">
        <v>9</v>
      </c>
      <c r="AE25" s="25"/>
      <c r="AF25" s="319" t="s">
        <v>60</v>
      </c>
      <c r="AG25" s="320">
        <v>28</v>
      </c>
      <c r="AH25" s="321"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row>
    <row r="26" ht="14.25" customHeight="1">
      <c r="B26" s="46" t="s">
        <v>32</v>
      </c>
      <c r="C26" s="461">
        <v>88.98958333333333333333333333</v>
      </c>
      <c r="D26" s="462">
        <v>91.312500000</v>
      </c>
      <c r="E26" s="462">
        <v>90.82291666666666666666666667</v>
      </c>
      <c r="F26" s="462">
        <v>90.531250000</v>
      </c>
      <c r="G26" s="462">
        <v>89.85416666666666666666666667</v>
      </c>
      <c r="H26" s="462">
        <v>66.541666666666666666666666667</v>
      </c>
      <c r="I26" s="462">
        <v>90.156250000</v>
      </c>
      <c r="J26" s="462">
        <v>88.343750000</v>
      </c>
      <c r="K26" s="462">
        <v>82.718750000</v>
      </c>
      <c r="L26" s="462">
        <v>79.093750000</v>
      </c>
      <c r="M26" s="462">
        <v>75.812500000</v>
      </c>
      <c r="N26" s="462">
        <v>76.625000000</v>
      </c>
      <c r="O26" s="462">
        <v>79.27083333333333333333333333</v>
      </c>
      <c r="P26" s="462">
        <v>75.156250000</v>
      </c>
      <c r="Q26" s="462">
        <v>68.916666666666666666666666667</v>
      </c>
      <c r="R26" s="462">
        <v>73.302083333333333333333333333</v>
      </c>
      <c r="S26" s="462">
        <v>68.510416666666666666666666667</v>
      </c>
      <c r="T26" s="462">
        <v>72.885416666666666666666666667</v>
      </c>
      <c r="U26" s="462">
        <v>70.666666666666666666666666667</v>
      </c>
      <c r="V26" s="667">
        <v>74.562500000</v>
      </c>
      <c r="W26" s="462">
        <v>68.302083333333333333333333333</v>
      </c>
      <c r="X26" s="463">
        <v>62.729166666666666666666666667</v>
      </c>
      <c r="Y26" s="462">
        <v>74.093750000</v>
      </c>
      <c r="Z26" s="462">
        <v>86.55208333333333333333333333</v>
      </c>
      <c r="AA26" s="462">
        <v>75.229166666666666666666666667</v>
      </c>
      <c r="AB26" s="462">
        <v>80.750000000</v>
      </c>
      <c r="AC26" s="462">
        <v>88.312500000</v>
      </c>
      <c r="AD26" s="464">
        <v>64.229166666666666666666666667</v>
      </c>
      <c r="AE26" s="465"/>
      <c r="AF26" s="461">
        <v>75.985119047619047619047619048</v>
      </c>
      <c r="AG26" s="462">
        <v>78.366815476190476190476190476</v>
      </c>
      <c r="AH26" s="466">
        <v>74.97337962962962962962962963</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row>
    <row r="27" ht="14.25" customHeight="1">
      <c r="B27" s="47" t="s">
        <v>26</v>
      </c>
      <c r="C27" s="370">
        <v>67.42241095890410958904109589</v>
      </c>
      <c r="D27" s="85">
        <v>82.52843835616438356164383562</v>
      </c>
      <c r="E27" s="85">
        <v>94.39402739726027397260273973</v>
      </c>
      <c r="F27" s="85">
        <v>98.44454794520547945205479452</v>
      </c>
      <c r="G27" s="85">
        <v>97.18852054794520547945205479</v>
      </c>
      <c r="H27" s="85">
        <v>91.23068493150684931506849315</v>
      </c>
      <c r="I27" s="85">
        <v>99.60156164383561643835616438</v>
      </c>
      <c r="J27" s="85">
        <v>65.783808219178082191780821918</v>
      </c>
      <c r="K27" s="85">
        <v>90.04591780821917808219178082</v>
      </c>
      <c r="L27" s="85">
        <v>87.06646575342465753424657534</v>
      </c>
      <c r="M27" s="85">
        <v>82.636000000</v>
      </c>
      <c r="N27" s="85">
        <v>73.380191780821917808219178082</v>
      </c>
      <c r="O27" s="85">
        <v>72.028904109589041095890410959</v>
      </c>
      <c r="P27" s="85">
        <v>71.248849315068493150684931507</v>
      </c>
      <c r="Q27" s="85">
        <v>60.277205479452054794520547945</v>
      </c>
      <c r="R27" s="85">
        <v>78.252520547945205479452054795</v>
      </c>
      <c r="S27" s="85">
        <v>84.60887671232876712328767123</v>
      </c>
      <c r="T27" s="85">
        <v>82.41282191780821917808219178</v>
      </c>
      <c r="U27" s="85">
        <v>78.12958904109589041095890411</v>
      </c>
      <c r="V27" s="668">
        <v>77.23372602739726027397260274</v>
      </c>
      <c r="W27" s="85">
        <v>71.303205479452054794520547945</v>
      </c>
      <c r="X27" s="86">
        <v>64.874712328767123287671232877</v>
      </c>
      <c r="Y27" s="85">
        <v>84.20928767123287671232876712</v>
      </c>
      <c r="Z27" s="85">
        <v>93.69082191780821917808219178</v>
      </c>
      <c r="AA27" s="85">
        <v>90.63279452054794520547945205</v>
      </c>
      <c r="AB27" s="85">
        <v>83.28435616438356164383561644</v>
      </c>
      <c r="AC27" s="85">
        <v>87.51312328767123287671232877</v>
      </c>
      <c r="AD27" s="87">
        <v>84.87175342465753424657534247</v>
      </c>
      <c r="AE27" s="169"/>
      <c r="AF27" s="370">
        <v>84.15383561643835616438356164</v>
      </c>
      <c r="AG27" s="85">
        <v>81.93911154598825831702544031</v>
      </c>
      <c r="AH27" s="371">
        <v>81.9570867579908675799086758</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row>
    <row r="28" ht="14.25" customHeight="1">
      <c r="A28" s="24"/>
      <c r="B28" s="49" t="s">
        <v>138</v>
      </c>
      <c r="C28" s="467">
        <v>46.899030947170990934667083464</v>
      </c>
      <c r="D28" s="468">
        <v>58.064395123476086276961550485</v>
      </c>
      <c r="E28" s="468">
        <v>61.758361988121287902469521726</v>
      </c>
      <c r="F28" s="468">
        <v>60.575492341356673960612691466</v>
      </c>
      <c r="G28" s="468">
        <v>56.393247889965614254454517037</v>
      </c>
      <c r="H28" s="468">
        <v>62.441387933729290403251015942</v>
      </c>
      <c r="I28" s="468">
        <v>71.664270084401375429821819319</v>
      </c>
      <c r="J28" s="468">
        <v>48.913723038449515473585495467</v>
      </c>
      <c r="K28" s="468">
        <v>58.93654266958424507658643326</v>
      </c>
      <c r="L28" s="468">
        <v>58.149734291966239449828071272</v>
      </c>
      <c r="M28" s="468">
        <v>55.053766802125664270084401375</v>
      </c>
      <c r="N28" s="468">
        <v>49.417943107221006564551422319</v>
      </c>
      <c r="O28" s="468">
        <v>56.550797124101281650515786183</v>
      </c>
      <c r="P28" s="468">
        <v>58.241325414191934979681150359</v>
      </c>
      <c r="Q28" s="468">
        <v>43.953422944670209440450140669</v>
      </c>
      <c r="R28" s="468">
        <v>52.720225070334479524851516099</v>
      </c>
      <c r="S28" s="468">
        <v>52.588621444201312910284463895</v>
      </c>
      <c r="T28" s="468">
        <v>54.842450765864332603938730853</v>
      </c>
      <c r="U28" s="468">
        <v>48.196623944982807127227258518</v>
      </c>
      <c r="V28" s="669">
        <v>52.754298218193185370428258831</v>
      </c>
      <c r="W28" s="468">
        <v>55.030009377930603313535479837</v>
      </c>
      <c r="X28" s="469">
        <v>43.789934354485776805251641138</v>
      </c>
      <c r="Y28" s="468">
        <v>53.018130665833072835261019068</v>
      </c>
      <c r="Z28" s="468">
        <v>54.579556111284776492653954361</v>
      </c>
      <c r="AA28" s="468">
        <v>54.102844638949671772428884026</v>
      </c>
      <c r="AB28" s="468">
        <v>47.177555486089402938418255705</v>
      </c>
      <c r="AC28" s="468">
        <v>55.64989059080962800875273523</v>
      </c>
      <c r="AD28" s="470">
        <v>57.541106595811190997186620819</v>
      </c>
      <c r="AE28" s="465"/>
      <c r="AF28" s="467">
        <v>52.26557406332335997856473005</v>
      </c>
      <c r="AG28" s="468">
        <v>54.607310320189344884562139954</v>
      </c>
      <c r="AH28" s="471">
        <v>52.627036226598589837101872113</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row>
    <row r="29" ht="0" hidden="1" customHeight="1">
      <c r="A29" s="24"/>
      <c r="B29" s="53"/>
      <c r="C29" s="492"/>
      <c r="D29" s="492"/>
      <c r="E29" s="492"/>
      <c r="F29" s="492"/>
      <c r="G29" s="492"/>
      <c r="H29" s="492"/>
      <c r="I29" s="492"/>
      <c r="J29" s="492"/>
      <c r="K29" s="492"/>
      <c r="L29" s="492"/>
      <c r="M29" s="492"/>
      <c r="N29" s="492"/>
      <c r="O29" s="492"/>
      <c r="P29" s="492"/>
      <c r="Q29" s="492"/>
      <c r="R29" s="492"/>
      <c r="S29" s="492"/>
      <c r="T29" s="492"/>
      <c r="U29" s="492"/>
      <c r="V29" s="492"/>
      <c r="W29" s="492"/>
      <c r="X29" s="493"/>
      <c r="Y29" s="492"/>
      <c r="Z29" s="492"/>
      <c r="AA29" s="492"/>
      <c r="AB29" s="492"/>
      <c r="AC29" s="492"/>
      <c r="AD29" s="494"/>
      <c r="AE29" s="169"/>
      <c r="AF29" s="492"/>
      <c r="AG29" s="492"/>
      <c r="AH29" s="49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92"/>
      <c r="AG30" s="492"/>
      <c r="AH30" s="49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row>
    <row r="31" ht="12" customHeight="1">
      <c r="B31" s="4"/>
      <c r="X31" s="27"/>
      <c r="AD31" s="28"/>
      <c r="AF31" s="22"/>
      <c r="AG31" s="22"/>
      <c r="AH31" s="22"/>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row>
    <row r="32" ht="18">
      <c r="B32" s="29"/>
      <c r="X32" s="27"/>
      <c r="AD32" s="28"/>
      <c r="AF32" s="22"/>
      <c r="AG32" s="22"/>
      <c r="AH32" s="2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row>
    <row r="33" s="41" customFormat="1" ht="18">
      <c r="B33" s="417" t="s">
        <v>79</v>
      </c>
      <c r="C33" s="309" t="s">
        <v>139</v>
      </c>
      <c r="D33" s="310"/>
      <c r="E33" s="310"/>
      <c r="F33" s="310"/>
      <c r="G33" s="310"/>
      <c r="H33" s="310"/>
      <c r="I33" s="310"/>
      <c r="J33" s="310"/>
      <c r="K33" s="310"/>
      <c r="L33" s="310"/>
      <c r="M33" s="310"/>
      <c r="N33" s="310"/>
      <c r="O33" s="310"/>
      <c r="P33" s="310"/>
      <c r="Q33" s="310"/>
      <c r="R33" s="310"/>
      <c r="S33" s="311"/>
      <c r="T33" s="311"/>
      <c r="U33" s="311"/>
      <c r="V33" s="658" t="s">
        <v>136</v>
      </c>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row>
    <row r="34" s="42" customFormat="1">
      <c r="C34" s="313">
        <v>13</v>
      </c>
      <c r="D34" s="314">
        <v>14</v>
      </c>
      <c r="E34" s="314">
        <v>15</v>
      </c>
      <c r="F34" s="314">
        <v>16</v>
      </c>
      <c r="G34" s="314">
        <v>17</v>
      </c>
      <c r="H34" s="314">
        <v>18</v>
      </c>
      <c r="I34" s="314">
        <v>19</v>
      </c>
      <c r="J34" s="314">
        <v>20</v>
      </c>
      <c r="K34" s="314">
        <v>21</v>
      </c>
      <c r="L34" s="314">
        <v>22</v>
      </c>
      <c r="M34" s="314">
        <v>23</v>
      </c>
      <c r="N34" s="314">
        <v>24</v>
      </c>
      <c r="O34" s="314">
        <v>25</v>
      </c>
      <c r="P34" s="314">
        <v>26</v>
      </c>
      <c r="Q34" s="314">
        <v>27</v>
      </c>
      <c r="R34" s="314">
        <v>28</v>
      </c>
      <c r="S34" s="314">
        <v>29</v>
      </c>
      <c r="T34" s="314">
        <v>30</v>
      </c>
      <c r="U34" s="314">
        <v>31</v>
      </c>
      <c r="V34" s="670">
        <v>1</v>
      </c>
      <c r="W34" s="314">
        <v>2</v>
      </c>
      <c r="X34" s="315">
        <v>3</v>
      </c>
      <c r="Y34" s="314">
        <v>4</v>
      </c>
      <c r="Z34" s="314">
        <v>5</v>
      </c>
      <c r="AA34" s="314">
        <v>6</v>
      </c>
      <c r="AB34" s="314">
        <v>7</v>
      </c>
      <c r="AC34" s="314">
        <v>8</v>
      </c>
      <c r="AD34" s="373">
        <v>9</v>
      </c>
      <c r="AE34" s="25"/>
      <c r="AF34" s="319" t="s">
        <v>60</v>
      </c>
      <c r="AG34" s="320">
        <v>28</v>
      </c>
      <c r="AH34" s="321"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row>
    <row r="35" ht="14.25" customHeight="1">
      <c r="B35" s="46" t="s">
        <v>32</v>
      </c>
      <c r="C35" s="444">
        <v>5.5864540847855642071437399500</v>
      </c>
      <c r="D35" s="445">
        <v>-4.5306033543557501558194226100</v>
      </c>
      <c r="E35" s="445">
        <v>-23.457115266438416293565095250</v>
      </c>
      <c r="F35" s="445">
        <v>-11.586978636797261274835986900</v>
      </c>
      <c r="G35" s="445">
        <v>-11.246012964267515921543950610</v>
      </c>
      <c r="H35" s="445">
        <v>-34.709730171730266645896408740</v>
      </c>
      <c r="I35" s="445">
        <v>-2.478873239471782265423514400</v>
      </c>
      <c r="J35" s="445">
        <v>1.8616382416135050153287096800</v>
      </c>
      <c r="K35" s="445">
        <v>-20.558223289315726290516206480</v>
      </c>
      <c r="L35" s="445">
        <v>-28.130619971582585706001804470</v>
      </c>
      <c r="M35" s="445">
        <v>-31.404335532495805266136096760</v>
      </c>
      <c r="N35" s="445">
        <v>-29.316805995964254828480830210</v>
      </c>
      <c r="O35" s="445">
        <v>-28.342749529190207156308851230</v>
      </c>
      <c r="P35" s="445">
        <v>-22.585836909844664665033423060</v>
      </c>
      <c r="Q35" s="445">
        <v>-30.946665275000420554104999620</v>
      </c>
      <c r="R35" s="445">
        <v>-32.022797527026900401090271070</v>
      </c>
      <c r="S35" s="445">
        <v>-37.870772718666274936019245430</v>
      </c>
      <c r="T35" s="445">
        <v>-35.877932551338452219193155880</v>
      </c>
      <c r="U35" s="445">
        <v>-36.515066442073741343814336510</v>
      </c>
      <c r="V35" s="660">
        <v>-33.893609161452857448345340860</v>
      </c>
      <c r="W35" s="445">
        <v>-38.782559985080374923727732500</v>
      </c>
      <c r="X35" s="446">
        <v>-41.505585235533056617071753840</v>
      </c>
      <c r="Y35" s="445">
        <v>-37.236389305550088806651174470</v>
      </c>
      <c r="Z35" s="445">
        <v>-23.97987191219060058644839800</v>
      </c>
      <c r="AA35" s="445">
        <v>-35.309924758169742766102996850</v>
      </c>
      <c r="AB35" s="445">
        <v>-29.616851280209299625558682610</v>
      </c>
      <c r="AC35" s="445">
        <v>-16.710875331564986737400530500</v>
      </c>
      <c r="AD35" s="447">
        <v>-39.596394984307083509399469300</v>
      </c>
      <c r="AE35" s="448"/>
      <c r="AF35" s="444">
        <v>-32.028806091326157808886139560</v>
      </c>
      <c r="AG35" s="445">
        <v>-26.215870680747473686054046480</v>
      </c>
      <c r="AH35" s="449">
        <v>-33.315832818638672761167019510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row>
    <row r="36" ht="14.25" customHeight="1">
      <c r="B36" s="47" t="s">
        <v>26</v>
      </c>
      <c r="C36" s="327">
        <v>-35.297470654165419236916943840</v>
      </c>
      <c r="D36" s="81">
        <v>-28.61169660882962509882028300</v>
      </c>
      <c r="E36" s="81">
        <v>-18.316254353723005032864938560</v>
      </c>
      <c r="F36" s="81">
        <v>-14.373218256432284277562991810</v>
      </c>
      <c r="G36" s="81">
        <v>-11.993346250480373013907391430</v>
      </c>
      <c r="H36" s="81">
        <v>-9.501288482572695688881537280</v>
      </c>
      <c r="I36" s="81">
        <v>-3.1091006296562059309439408700</v>
      </c>
      <c r="J36" s="81">
        <v>-23.584686187957138969681611480</v>
      </c>
      <c r="K36" s="81">
        <v>-7.8586619433631251039118181400</v>
      </c>
      <c r="L36" s="81">
        <v>-18.784167092833538336867948410</v>
      </c>
      <c r="M36" s="81">
        <v>-27.235351846150444654926151900</v>
      </c>
      <c r="N36" s="81">
        <v>-33.349350795087396202939603400</v>
      </c>
      <c r="O36" s="81">
        <v>-37.581256629922230609203448140</v>
      </c>
      <c r="P36" s="81">
        <v>-38.509172256571761913113117240</v>
      </c>
      <c r="Q36" s="81">
        <v>-36.024446655702380266290213750</v>
      </c>
      <c r="R36" s="81">
        <v>-25.352952306906793990625656030</v>
      </c>
      <c r="S36" s="81">
        <v>-14.167600063329704400010142950</v>
      </c>
      <c r="T36" s="81">
        <v>-22.474492287699759290960308760</v>
      </c>
      <c r="U36" s="81">
        <v>-20.998844235537582989566540700</v>
      </c>
      <c r="V36" s="661">
        <v>-24.829969340340881270167604240</v>
      </c>
      <c r="W36" s="81">
        <v>-35.824400352713916526783384040</v>
      </c>
      <c r="X36" s="82">
        <v>-32.183986392841425404787262920</v>
      </c>
      <c r="Y36" s="81">
        <v>-23.682429974635992401366498710</v>
      </c>
      <c r="Z36" s="81">
        <v>-15.482875205717244031795140540</v>
      </c>
      <c r="AA36" s="81">
        <v>-18.136532283029420448541769680</v>
      </c>
      <c r="AB36" s="81">
        <v>-19.695385074630508535218522070</v>
      </c>
      <c r="AC36" s="81">
        <v>-14.480053782100040478885281650</v>
      </c>
      <c r="AD36" s="83">
        <v>-14.153738631903710815207362450</v>
      </c>
      <c r="AE36" s="88"/>
      <c r="AF36" s="327">
        <v>-19.577302262066577411933879340</v>
      </c>
      <c r="AG36" s="81">
        <v>-22.476287170077599373840822790</v>
      </c>
      <c r="AH36" s="328">
        <v>-22.057768594136209112498998740</v>
      </c>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row>
    <row r="37" ht="14.25" customHeight="1">
      <c r="A37" s="24"/>
      <c r="B37" s="49" t="s">
        <v>138</v>
      </c>
      <c r="C37" s="450">
        <v>-17.364039545802701867329871210</v>
      </c>
      <c r="D37" s="451">
        <v>-10.755311621969216732183656780</v>
      </c>
      <c r="E37" s="451">
        <v>-11.475656902673893733510115070</v>
      </c>
      <c r="F37" s="451">
        <v>-13.375763025809570591521264930</v>
      </c>
      <c r="G37" s="451">
        <v>-17.321977711658950784676205390</v>
      </c>
      <c r="H37" s="451">
        <v>-19.015351437315316432596155800</v>
      </c>
      <c r="I37" s="451">
        <v>-9.551386402333195201770353270</v>
      </c>
      <c r="J37" s="451">
        <v>-11.149198883782713504939236930</v>
      </c>
      <c r="K37" s="451">
        <v>-9.226706018571370079800416450</v>
      </c>
      <c r="L37" s="451">
        <v>-14.129951547932568808533240590</v>
      </c>
      <c r="M37" s="451">
        <v>-17.270150175641468731941964960</v>
      </c>
      <c r="N37" s="451">
        <v>-27.241378453376637848442008720</v>
      </c>
      <c r="O37" s="451">
        <v>-24.962893758502603107269038100</v>
      </c>
      <c r="P37" s="451">
        <v>-23.836368685861563145516892140</v>
      </c>
      <c r="Q37" s="451">
        <v>-18.180748755779123753776770320</v>
      </c>
      <c r="R37" s="451">
        <v>-18.683908962694779215712548090</v>
      </c>
      <c r="S37" s="451">
        <v>-18.918151107922296286153022300</v>
      </c>
      <c r="T37" s="451">
        <v>-18.893733546811993292427703120</v>
      </c>
      <c r="U37" s="451">
        <v>-25.656267279047840132014891160</v>
      </c>
      <c r="V37" s="662">
        <v>-23.345185941797348343899911430</v>
      </c>
      <c r="W37" s="451">
        <v>-25.164614347928437750814306510</v>
      </c>
      <c r="X37" s="452">
        <v>-23.447045219662419528061672610</v>
      </c>
      <c r="Y37" s="451">
        <v>-18.769949144927553265598161430</v>
      </c>
      <c r="Z37" s="451">
        <v>-21.120536343511875981617318540</v>
      </c>
      <c r="AA37" s="451">
        <v>-19.445060771702920403251181540</v>
      </c>
      <c r="AB37" s="451">
        <v>-22.603639295560521640886832650</v>
      </c>
      <c r="AC37" s="451">
        <v>-14.734480477305230383814391820</v>
      </c>
      <c r="AD37" s="453">
        <v>-12.588518128885215272990175910</v>
      </c>
      <c r="AE37" s="448"/>
      <c r="AF37" s="450">
        <v>-18.856273725151291361790331820</v>
      </c>
      <c r="AG37" s="451">
        <v>-18.207177788663101028253411110</v>
      </c>
      <c r="AH37" s="454">
        <v>-20.024385392042972995717809200</v>
      </c>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row>
    <row r="39" ht="18">
      <c r="B39" s="29"/>
      <c r="X39" s="27"/>
      <c r="AD39" s="28"/>
      <c r="AF39" s="43"/>
      <c r="AG39" s="43"/>
      <c r="AH39" s="43"/>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row>
    <row r="40" s="41" customFormat="1" ht="18">
      <c r="B40" s="417" t="s">
        <v>93</v>
      </c>
      <c r="C40" s="309" t="s">
        <v>139</v>
      </c>
      <c r="D40" s="310"/>
      <c r="E40" s="310"/>
      <c r="F40" s="310"/>
      <c r="G40" s="310"/>
      <c r="H40" s="310"/>
      <c r="I40" s="310"/>
      <c r="J40" s="310"/>
      <c r="K40" s="310"/>
      <c r="L40" s="310"/>
      <c r="M40" s="310"/>
      <c r="N40" s="310"/>
      <c r="O40" s="310"/>
      <c r="P40" s="310"/>
      <c r="Q40" s="310"/>
      <c r="R40" s="310"/>
      <c r="S40" s="311"/>
      <c r="T40" s="311"/>
      <c r="U40" s="311"/>
      <c r="V40" s="658" t="s">
        <v>136</v>
      </c>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row>
    <row r="41" s="42" customFormat="1">
      <c r="C41" s="313">
        <v>13</v>
      </c>
      <c r="D41" s="314">
        <v>14</v>
      </c>
      <c r="E41" s="314">
        <v>15</v>
      </c>
      <c r="F41" s="314">
        <v>16</v>
      </c>
      <c r="G41" s="314">
        <v>17</v>
      </c>
      <c r="H41" s="314">
        <v>18</v>
      </c>
      <c r="I41" s="314">
        <v>19</v>
      </c>
      <c r="J41" s="314">
        <v>20</v>
      </c>
      <c r="K41" s="314">
        <v>21</v>
      </c>
      <c r="L41" s="314">
        <v>22</v>
      </c>
      <c r="M41" s="314">
        <v>23</v>
      </c>
      <c r="N41" s="314">
        <v>24</v>
      </c>
      <c r="O41" s="314">
        <v>25</v>
      </c>
      <c r="P41" s="314">
        <v>26</v>
      </c>
      <c r="Q41" s="314">
        <v>27</v>
      </c>
      <c r="R41" s="314">
        <v>28</v>
      </c>
      <c r="S41" s="314">
        <v>29</v>
      </c>
      <c r="T41" s="314">
        <v>30</v>
      </c>
      <c r="U41" s="314">
        <v>31</v>
      </c>
      <c r="V41" s="670">
        <v>1</v>
      </c>
      <c r="W41" s="314">
        <v>2</v>
      </c>
      <c r="X41" s="315">
        <v>3</v>
      </c>
      <c r="Y41" s="314">
        <v>4</v>
      </c>
      <c r="Z41" s="314">
        <v>5</v>
      </c>
      <c r="AA41" s="314">
        <v>6</v>
      </c>
      <c r="AB41" s="314">
        <v>7</v>
      </c>
      <c r="AC41" s="314">
        <v>8</v>
      </c>
      <c r="AD41" s="373">
        <v>9</v>
      </c>
      <c r="AE41" s="25"/>
      <c r="AF41" s="319" t="s">
        <v>60</v>
      </c>
      <c r="AG41" s="320">
        <v>28</v>
      </c>
      <c r="AH41" s="321"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row>
    <row r="42" ht="14.25" customHeight="1">
      <c r="A42" s="1"/>
      <c r="B42" s="46" t="s">
        <v>26</v>
      </c>
      <c r="C42" s="444">
        <v>131.98813579594544185829680569</v>
      </c>
      <c r="D42" s="445">
        <v>110.64367849284535981219568017</v>
      </c>
      <c r="E42" s="445">
        <v>96.21680435817967905068696963</v>
      </c>
      <c r="F42" s="445">
        <v>91.96166968067647076302357138</v>
      </c>
      <c r="G42" s="445">
        <v>92.45347718034400070662860881</v>
      </c>
      <c r="H42" s="445">
        <v>72.937813320846016657055888680</v>
      </c>
      <c r="I42" s="445">
        <v>90.51690406463827573129981451</v>
      </c>
      <c r="J42" s="445">
        <v>134.29406474253878718050949331</v>
      </c>
      <c r="K42" s="445">
        <v>91.86285398988653095035620200</v>
      </c>
      <c r="L42" s="445">
        <v>90.84295465032280759815845005</v>
      </c>
      <c r="M42" s="445">
        <v>91.74270293818674669635509947</v>
      </c>
      <c r="N42" s="445">
        <v>104.42191297195411158712069410</v>
      </c>
      <c r="O42" s="445">
        <v>110.05419881540045567214855013</v>
      </c>
      <c r="P42" s="445">
        <v>105.48415970568087740954180928</v>
      </c>
      <c r="Q42" s="445">
        <v>114.33288275134935980184629731</v>
      </c>
      <c r="R42" s="445">
        <v>93.67376644240309065498056757</v>
      </c>
      <c r="S42" s="445">
        <v>80.97308382857537376542418473</v>
      </c>
      <c r="T42" s="445">
        <v>88.43941388072339626547589694</v>
      </c>
      <c r="U42" s="445">
        <v>90.44802044138812795400235124</v>
      </c>
      <c r="V42" s="660">
        <v>96.54137361383764345359757173</v>
      </c>
      <c r="W42" s="445">
        <v>95.79104175473639385406634218</v>
      </c>
      <c r="X42" s="446">
        <v>96.69278585582127404700666355</v>
      </c>
      <c r="Y42" s="445">
        <v>87.98762232653398305617277786</v>
      </c>
      <c r="Z42" s="445">
        <v>92.38053585362943427373999163</v>
      </c>
      <c r="AA42" s="445">
        <v>83.00435517261996578543054157</v>
      </c>
      <c r="AB42" s="445">
        <v>96.95698414309971739319694638</v>
      </c>
      <c r="AC42" s="445">
        <v>100.91343638790269604708763904</v>
      </c>
      <c r="AD42" s="447">
        <v>75.677907047899193780336775510</v>
      </c>
      <c r="AE42" s="448"/>
      <c r="AF42" s="444">
        <v>90.29311437922263505343434031</v>
      </c>
      <c r="AG42" s="445">
        <v>95.64030412045160667267969022</v>
      </c>
      <c r="AH42" s="449">
        <v>91.47882458414900120018932900</v>
      </c>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row>
    <row r="43" ht="14.25" customHeight="1">
      <c r="A43" s="24"/>
      <c r="B43" s="48" t="s">
        <v>138</v>
      </c>
      <c r="C43" s="329">
        <v>189.74716862171382254272637665</v>
      </c>
      <c r="D43" s="330">
        <v>157.26074439556802524416811511</v>
      </c>
      <c r="E43" s="330">
        <v>147.06173179296272907955238747</v>
      </c>
      <c r="F43" s="330">
        <v>149.45194252779831851815011355</v>
      </c>
      <c r="G43" s="330">
        <v>159.33497365134056063438886047</v>
      </c>
      <c r="H43" s="330">
        <v>106.56660408849387713376600022</v>
      </c>
      <c r="I43" s="330">
        <v>125.80362556378756111541120620</v>
      </c>
      <c r="J43" s="330">
        <v>180.61137961353959956881792409</v>
      </c>
      <c r="K43" s="330">
        <v>140.35222673939962367147383689</v>
      </c>
      <c r="L43" s="330">
        <v>136.01738849369323959145838981</v>
      </c>
      <c r="M43" s="330">
        <v>137.70629042063688165505620859</v>
      </c>
      <c r="N43" s="330">
        <v>155.05501682613746582365971129</v>
      </c>
      <c r="O43" s="330">
        <v>140.17633236782587673319868561</v>
      </c>
      <c r="P43" s="330">
        <v>129.04282219799194207191779366</v>
      </c>
      <c r="Q43" s="330">
        <v>156.79476602624139712435629707</v>
      </c>
      <c r="R43" s="330">
        <v>139.03977692733361846125998050</v>
      </c>
      <c r="S43" s="330">
        <v>130.27612206827049608204999913</v>
      </c>
      <c r="T43" s="330">
        <v>132.89963458741971841451110104</v>
      </c>
      <c r="U43" s="330">
        <v>146.62161139607735374682926179</v>
      </c>
      <c r="V43" s="663">
        <v>141.33919418584221950312423273</v>
      </c>
      <c r="W43" s="330">
        <v>124.11788423347677230985844610</v>
      </c>
      <c r="X43" s="331">
        <v>143.25019571585726266212840268</v>
      </c>
      <c r="Y43" s="330">
        <v>139.75172091043769778056262674</v>
      </c>
      <c r="Z43" s="330">
        <v>158.57967616452239692499496616</v>
      </c>
      <c r="AA43" s="330">
        <v>139.04844961253076103024756784</v>
      </c>
      <c r="AB43" s="330">
        <v>171.16189927176600745830392810</v>
      </c>
      <c r="AC43" s="330">
        <v>158.69303436618033380588279307</v>
      </c>
      <c r="AD43" s="338">
        <v>111.62309949623881033512952408</v>
      </c>
      <c r="AE43" s="88"/>
      <c r="AF43" s="329">
        <v>145.38273119432645812526419600</v>
      </c>
      <c r="AG43" s="330">
        <v>143.50975174692225472529434401</v>
      </c>
      <c r="AH43" s="332">
        <v>142.46171740854145382969068456</v>
      </c>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row>
    <row r="44" ht="12" customHeight="1">
      <c r="B44" s="4"/>
      <c r="X44" s="27"/>
      <c r="AD44" s="28"/>
      <c r="AF44" s="43"/>
      <c r="AG44" s="43"/>
      <c r="AH44" s="43"/>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row>
    <row r="45" ht="18">
      <c r="B45" s="29"/>
      <c r="X45" s="27"/>
      <c r="AD45" s="28"/>
      <c r="AF45" s="43"/>
      <c r="AG45" s="43"/>
      <c r="AH45" s="43"/>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row>
    <row r="46" s="41" customFormat="1" ht="18">
      <c r="B46" s="417" t="s">
        <v>77</v>
      </c>
      <c r="C46" s="309" t="s">
        <v>139</v>
      </c>
      <c r="D46" s="310"/>
      <c r="E46" s="310"/>
      <c r="F46" s="310"/>
      <c r="G46" s="310"/>
      <c r="H46" s="310"/>
      <c r="I46" s="310"/>
      <c r="J46" s="310"/>
      <c r="K46" s="310"/>
      <c r="L46" s="310"/>
      <c r="M46" s="310"/>
      <c r="N46" s="310"/>
      <c r="O46" s="310"/>
      <c r="P46" s="310"/>
      <c r="Q46" s="310"/>
      <c r="R46" s="310"/>
      <c r="S46" s="311"/>
      <c r="T46" s="311"/>
      <c r="U46" s="311"/>
      <c r="V46" s="658" t="s">
        <v>136</v>
      </c>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row>
    <row r="47" s="42" customFormat="1">
      <c r="C47" s="313">
        <v>13</v>
      </c>
      <c r="D47" s="314">
        <v>14</v>
      </c>
      <c r="E47" s="314">
        <v>15</v>
      </c>
      <c r="F47" s="314">
        <v>16</v>
      </c>
      <c r="G47" s="314">
        <v>17</v>
      </c>
      <c r="H47" s="314">
        <v>18</v>
      </c>
      <c r="I47" s="314">
        <v>19</v>
      </c>
      <c r="J47" s="314">
        <v>20</v>
      </c>
      <c r="K47" s="314">
        <v>21</v>
      </c>
      <c r="L47" s="314">
        <v>22</v>
      </c>
      <c r="M47" s="314">
        <v>23</v>
      </c>
      <c r="N47" s="314">
        <v>24</v>
      </c>
      <c r="O47" s="314">
        <v>25</v>
      </c>
      <c r="P47" s="314">
        <v>26</v>
      </c>
      <c r="Q47" s="314">
        <v>27</v>
      </c>
      <c r="R47" s="314">
        <v>28</v>
      </c>
      <c r="S47" s="314">
        <v>29</v>
      </c>
      <c r="T47" s="314">
        <v>30</v>
      </c>
      <c r="U47" s="314">
        <v>31</v>
      </c>
      <c r="V47" s="670">
        <v>1</v>
      </c>
      <c r="W47" s="314">
        <v>2</v>
      </c>
      <c r="X47" s="315">
        <v>3</v>
      </c>
      <c r="Y47" s="314">
        <v>4</v>
      </c>
      <c r="Z47" s="314">
        <v>5</v>
      </c>
      <c r="AA47" s="314">
        <v>6</v>
      </c>
      <c r="AB47" s="314">
        <v>7</v>
      </c>
      <c r="AC47" s="314">
        <v>8</v>
      </c>
      <c r="AD47" s="373">
        <v>9</v>
      </c>
      <c r="AE47" s="25"/>
      <c r="AF47" s="319" t="s">
        <v>60</v>
      </c>
      <c r="AG47" s="320">
        <v>28</v>
      </c>
      <c r="AH47" s="321"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row>
    <row r="48" ht="14.25" customHeight="1">
      <c r="A48" s="1"/>
      <c r="B48" s="46" t="s">
        <v>26</v>
      </c>
      <c r="C48" s="444">
        <v>63.187521650734386527601537440</v>
      </c>
      <c r="D48" s="445">
        <v>33.732547364850749561779411140</v>
      </c>
      <c r="E48" s="445">
        <v>-6.2936155438017438359299780100</v>
      </c>
      <c r="F48" s="445">
        <v>3.2539347653072107414015238300</v>
      </c>
      <c r="G48" s="445">
        <v>0.8491781636805144537222725900</v>
      </c>
      <c r="H48" s="445">
        <v>-27.855028283255917815884709210</v>
      </c>
      <c r="I48" s="445">
        <v>0.650450552461413868017211400</v>
      </c>
      <c r="J48" s="445">
        <v>33.300032624565232946355607800</v>
      </c>
      <c r="K48" s="445">
        <v>-13.782696902186326349161499340</v>
      </c>
      <c r="L48" s="445">
        <v>-11.508166011692827788400024150</v>
      </c>
      <c r="M48" s="445">
        <v>-5.7294081564733838016259385900</v>
      </c>
      <c r="N48" s="445">
        <v>6.0502708484413209854708011200</v>
      </c>
      <c r="O48" s="445">
        <v>14.800854041406183485089868050</v>
      </c>
      <c r="P48" s="445">
        <v>25.895464301006260663824503450</v>
      </c>
      <c r="Q48" s="445">
        <v>7.937065199442180908231238050</v>
      </c>
      <c r="R48" s="445">
        <v>-8.935176174032676598198370870</v>
      </c>
      <c r="S48" s="445">
        <v>-27.615647089950694677342106220</v>
      </c>
      <c r="T48" s="445">
        <v>-17.289071247812025966422369650</v>
      </c>
      <c r="U48" s="445">
        <v>-19.640500264101221672337196380</v>
      </c>
      <c r="V48" s="660">
        <v>-12.057517792061301555508374060</v>
      </c>
      <c r="W48" s="445">
        <v>-4.6094771979606605691062866400</v>
      </c>
      <c r="X48" s="446">
        <v>-13.745424342908992967344666560</v>
      </c>
      <c r="Y48" s="445">
        <v>-17.759946138757051487620406060</v>
      </c>
      <c r="Z48" s="445">
        <v>-10.053579942645347249446882730</v>
      </c>
      <c r="AA48" s="445">
        <v>-20.978090660027111979745251480</v>
      </c>
      <c r="AB48" s="445">
        <v>-12.354789590629578482724707530</v>
      </c>
      <c r="AC48" s="445">
        <v>-2.6085394672388638610863974400</v>
      </c>
      <c r="AD48" s="447">
        <v>-29.637465798726530928048233800</v>
      </c>
      <c r="AE48" s="448"/>
      <c r="AF48" s="444">
        <v>-15.482574173024274233456353030</v>
      </c>
      <c r="AG48" s="445">
        <v>-4.8237931003773371169323864700</v>
      </c>
      <c r="AH48" s="449">
        <v>-14.444113314984748621749526580</v>
      </c>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row>
    <row r="49" ht="14.25" customHeight="1">
      <c r="A49" s="24"/>
      <c r="B49" s="48" t="s">
        <v>138</v>
      </c>
      <c r="C49" s="329">
        <v>27.773010084719152439547261990</v>
      </c>
      <c r="D49" s="330">
        <v>6.974878147568003482120369900</v>
      </c>
      <c r="E49" s="330">
        <v>-13.534648148216365201180605850</v>
      </c>
      <c r="F49" s="330">
        <v>2.0649929528051151814734048100</v>
      </c>
      <c r="G49" s="330">
        <v>7.3489478571586871184434491500</v>
      </c>
      <c r="H49" s="330">
        <v>-19.379449084393565541695981570</v>
      </c>
      <c r="I49" s="330">
        <v>7.8193715542458583508620350700</v>
      </c>
      <c r="J49" s="330">
        <v>14.643466307629519548707272470</v>
      </c>
      <c r="K49" s="330">
        <v>-12.483316153641641271798319470</v>
      </c>
      <c r="L49" s="330">
        <v>-16.304484131645543937448396050</v>
      </c>
      <c r="M49" s="330">
        <v>-17.084746783486421263377235830</v>
      </c>
      <c r="N49" s="330">
        <v>-2.8524833187263747125468215300</v>
      </c>
      <c r="O49" s="330">
        <v>-4.5042458858027544948265801500</v>
      </c>
      <c r="P49" s="330">
        <v>1.6419014618904114408130459600</v>
      </c>
      <c r="Q49" s="330">
        <v>-15.602582919237252329791308250</v>
      </c>
      <c r="R49" s="330">
        <v>-16.403750345302156394634423500</v>
      </c>
      <c r="S49" s="330">
        <v>-23.374678636150134909124585290</v>
      </c>
      <c r="T49" s="330">
        <v>-20.940674188662009978393339360</v>
      </c>
      <c r="U49" s="330">
        <v>-14.606206556524033289552355370</v>
      </c>
      <c r="V49" s="663">
        <v>-13.760940326125701520078331070</v>
      </c>
      <c r="W49" s="330">
        <v>-18.197201121432608643512720350</v>
      </c>
      <c r="X49" s="331">
        <v>-23.589605479934130502299648500</v>
      </c>
      <c r="Y49" s="330">
        <v>-22.733508062844361611915136800</v>
      </c>
      <c r="Z49" s="330">
        <v>-3.6249429650246377209041256600</v>
      </c>
      <c r="AA49" s="330">
        <v>-19.694464595674346098286778250</v>
      </c>
      <c r="AB49" s="330">
        <v>-9.061423458148933332497042880</v>
      </c>
      <c r="AC49" s="330">
        <v>-2.3179297625851259914616764800</v>
      </c>
      <c r="AD49" s="338">
        <v>-30.897401894231095991527505700</v>
      </c>
      <c r="AE49" s="88"/>
      <c r="AF49" s="329">
        <v>-16.233580796535490844372716960</v>
      </c>
      <c r="AG49" s="330">
        <v>-9.791437287009816690355453160</v>
      </c>
      <c r="AH49" s="332">
        <v>-16.619375157925528611644318750</v>
      </c>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row>
    <row r="51" ht="18">
      <c r="B51" s="29"/>
      <c r="X51" s="27"/>
      <c r="AD51" s="28"/>
      <c r="AF51" s="43"/>
      <c r="AG51" s="43"/>
      <c r="AH51" s="43"/>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row>
    <row r="52" ht="18">
      <c r="B52" s="417" t="s">
        <v>55</v>
      </c>
      <c r="C52" s="309" t="s">
        <v>139</v>
      </c>
      <c r="D52" s="310"/>
      <c r="E52" s="310"/>
      <c r="F52" s="310"/>
      <c r="G52" s="310"/>
      <c r="H52" s="310"/>
      <c r="I52" s="310"/>
      <c r="J52" s="310"/>
      <c r="K52" s="310"/>
      <c r="L52" s="310"/>
      <c r="M52" s="310"/>
      <c r="N52" s="310"/>
      <c r="O52" s="310"/>
      <c r="P52" s="310"/>
      <c r="Q52" s="310"/>
      <c r="R52" s="310"/>
      <c r="S52" s="311"/>
      <c r="T52" s="311"/>
      <c r="U52" s="311"/>
      <c r="V52" s="658" t="s">
        <v>136</v>
      </c>
      <c r="W52" s="311"/>
      <c r="X52" s="312"/>
      <c r="Y52" s="311"/>
      <c r="Z52" s="311"/>
      <c r="AA52" s="311"/>
      <c r="AB52" s="311"/>
      <c r="AC52" s="311"/>
      <c r="AD52" s="336"/>
      <c r="AE52" s="25"/>
      <c r="AF52" s="316" t="s">
        <v>58</v>
      </c>
      <c r="AG52" s="317" t="s">
        <v>59</v>
      </c>
      <c r="AH52" s="318" t="s">
        <v>59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row>
    <row r="53">
      <c r="B53" s="42"/>
      <c r="C53" s="313">
        <v>13</v>
      </c>
      <c r="D53" s="314">
        <v>14</v>
      </c>
      <c r="E53" s="314">
        <v>15</v>
      </c>
      <c r="F53" s="314">
        <v>16</v>
      </c>
      <c r="G53" s="314">
        <v>17</v>
      </c>
      <c r="H53" s="314">
        <v>18</v>
      </c>
      <c r="I53" s="314">
        <v>19</v>
      </c>
      <c r="J53" s="314">
        <v>20</v>
      </c>
      <c r="K53" s="314">
        <v>21</v>
      </c>
      <c r="L53" s="314">
        <v>22</v>
      </c>
      <c r="M53" s="314">
        <v>23</v>
      </c>
      <c r="N53" s="314">
        <v>24</v>
      </c>
      <c r="O53" s="314">
        <v>25</v>
      </c>
      <c r="P53" s="314">
        <v>26</v>
      </c>
      <c r="Q53" s="314">
        <v>27</v>
      </c>
      <c r="R53" s="314">
        <v>28</v>
      </c>
      <c r="S53" s="314">
        <v>29</v>
      </c>
      <c r="T53" s="314">
        <v>30</v>
      </c>
      <c r="U53" s="314">
        <v>31</v>
      </c>
      <c r="V53" s="670">
        <v>1</v>
      </c>
      <c r="W53" s="314">
        <v>2</v>
      </c>
      <c r="X53" s="315">
        <v>3</v>
      </c>
      <c r="Y53" s="314">
        <v>4</v>
      </c>
      <c r="Z53" s="314">
        <v>5</v>
      </c>
      <c r="AA53" s="314">
        <v>6</v>
      </c>
      <c r="AB53" s="314">
        <v>7</v>
      </c>
      <c r="AC53" s="314">
        <v>8</v>
      </c>
      <c r="AD53" s="373">
        <v>9</v>
      </c>
      <c r="AE53" s="25"/>
      <c r="AF53" s="319" t="s">
        <v>60</v>
      </c>
      <c r="AG53" s="320">
        <v>28</v>
      </c>
      <c r="AH53" s="321" t="s">
        <v>31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row>
    <row r="54" ht="14.25" customHeight="1">
      <c r="B54" s="46" t="s">
        <v>56</v>
      </c>
      <c r="C54" s="444" t="s">
        <v>141</v>
      </c>
      <c r="D54" s="445" t="s">
        <v>143</v>
      </c>
      <c r="E54" s="445" t="s">
        <v>143</v>
      </c>
      <c r="F54" s="445" t="s">
        <v>142</v>
      </c>
      <c r="G54" s="445" t="s">
        <v>142</v>
      </c>
      <c r="H54" s="445" t="s">
        <v>142</v>
      </c>
      <c r="I54" s="445" t="s">
        <v>143</v>
      </c>
      <c r="J54" s="445" t="s">
        <v>140</v>
      </c>
      <c r="K54" s="445" t="s">
        <v>143</v>
      </c>
      <c r="L54" s="445" t="s">
        <v>142</v>
      </c>
      <c r="M54" s="445" t="s">
        <v>143</v>
      </c>
      <c r="N54" s="445" t="s">
        <v>143</v>
      </c>
      <c r="O54" s="445" t="s">
        <v>140</v>
      </c>
      <c r="P54" s="445" t="s">
        <v>140</v>
      </c>
      <c r="Q54" s="445" t="s">
        <v>140</v>
      </c>
      <c r="R54" s="445" t="s">
        <v>143</v>
      </c>
      <c r="S54" s="445" t="s">
        <v>142</v>
      </c>
      <c r="T54" s="445" t="s">
        <v>143</v>
      </c>
      <c r="U54" s="445" t="s">
        <v>143</v>
      </c>
      <c r="V54" s="660" t="s">
        <v>142</v>
      </c>
      <c r="W54" s="445" t="s">
        <v>142</v>
      </c>
      <c r="X54" s="446" t="s">
        <v>142</v>
      </c>
      <c r="Y54" s="445" t="s">
        <v>143</v>
      </c>
      <c r="Z54" s="445" t="s">
        <v>143</v>
      </c>
      <c r="AA54" s="445" t="s">
        <v>142</v>
      </c>
      <c r="AB54" s="445" t="s">
        <v>142</v>
      </c>
      <c r="AC54" s="445" t="s">
        <v>140</v>
      </c>
      <c r="AD54" s="447" t="s">
        <v>142</v>
      </c>
      <c r="AE54" s="448"/>
      <c r="AF54" s="444" t="s">
        <v>142</v>
      </c>
      <c r="AG54" s="445" t="s">
        <v>142</v>
      </c>
      <c r="AH54" s="449" t="s">
        <v>142</v>
      </c>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row>
    <row r="55" ht="14.25" customHeight="1" thickBot="1">
      <c r="B55" s="48" t="s">
        <v>79</v>
      </c>
      <c r="C55" s="329" t="s">
        <v>141</v>
      </c>
      <c r="D55" s="330" t="s">
        <v>141</v>
      </c>
      <c r="E55" s="330" t="s">
        <v>142</v>
      </c>
      <c r="F55" s="330" t="s">
        <v>143</v>
      </c>
      <c r="G55" s="330" t="s">
        <v>142</v>
      </c>
      <c r="H55" s="330" t="s">
        <v>142</v>
      </c>
      <c r="I55" s="330" t="s">
        <v>143</v>
      </c>
      <c r="J55" s="330" t="s">
        <v>141</v>
      </c>
      <c r="K55" s="330" t="s">
        <v>142</v>
      </c>
      <c r="L55" s="330" t="s">
        <v>142</v>
      </c>
      <c r="M55" s="330" t="s">
        <v>142</v>
      </c>
      <c r="N55" s="330" t="s">
        <v>143</v>
      </c>
      <c r="O55" s="330" t="s">
        <v>143</v>
      </c>
      <c r="P55" s="330" t="s">
        <v>140</v>
      </c>
      <c r="Q55" s="330" t="s">
        <v>143</v>
      </c>
      <c r="R55" s="330" t="s">
        <v>142</v>
      </c>
      <c r="S55" s="330" t="s">
        <v>142</v>
      </c>
      <c r="T55" s="330" t="s">
        <v>142</v>
      </c>
      <c r="U55" s="330" t="s">
        <v>142</v>
      </c>
      <c r="V55" s="663" t="s">
        <v>142</v>
      </c>
      <c r="W55" s="330" t="s">
        <v>142</v>
      </c>
      <c r="X55" s="89" t="s">
        <v>142</v>
      </c>
      <c r="Y55" s="90" t="s">
        <v>142</v>
      </c>
      <c r="Z55" s="90" t="s">
        <v>142</v>
      </c>
      <c r="AA55" s="90" t="s">
        <v>142</v>
      </c>
      <c r="AB55" s="90" t="s">
        <v>142</v>
      </c>
      <c r="AC55" s="90" t="s">
        <v>143</v>
      </c>
      <c r="AD55" s="91" t="s">
        <v>142</v>
      </c>
      <c r="AE55" s="88"/>
      <c r="AF55" s="329" t="s">
        <v>142</v>
      </c>
      <c r="AG55" s="330" t="s">
        <v>142</v>
      </c>
      <c r="AH55" s="332" t="s">
        <v>142</v>
      </c>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row>
    <row r="56" ht="9.95" customHeight="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row>
    <row r="57" ht="9.95" customHeight="1">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row>
    <row r="59" ht="9.95" customHeight="1">
      <c r="AF59" s="80"/>
      <c r="AG59" s="242"/>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row>
    <row r="60" ht="9.95" customHeight="1">
      <c r="B60" s="235"/>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row>
    <row r="61" ht="9.95" customHeight="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row>
    <row r="65">
      <c r="A65" s="666"/>
      <c r="B65" s="666"/>
      <c r="C65" s="666"/>
      <c r="D65" s="666"/>
      <c r="E65" s="666"/>
      <c r="F65" s="666"/>
      <c r="G65" s="666"/>
      <c r="H65" s="666"/>
      <c r="I65" s="666"/>
      <c r="J65" s="666"/>
      <c r="K65" s="666"/>
      <c r="L65" s="666"/>
      <c r="M65" s="666"/>
      <c r="N65" s="666"/>
      <c r="O65" s="666"/>
      <c r="P65" s="666"/>
      <c r="Q65" s="666"/>
      <c r="R65" s="666"/>
      <c r="S65" s="666"/>
      <c r="T65" s="666"/>
      <c r="U65" s="666"/>
      <c r="V65" s="666"/>
      <c r="W65" s="666"/>
      <c r="X65" s="666"/>
      <c r="Y65" s="666"/>
      <c r="Z65" s="666"/>
      <c r="AA65" s="666"/>
      <c r="AB65" s="666"/>
      <c r="AC65" s="666"/>
      <c r="AD65" s="666"/>
      <c r="AE65" s="666"/>
      <c r="AF65" s="666"/>
      <c r="AG65" s="666"/>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row>
    <row r="66">
      <c r="A66" s="666"/>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row>
    <row r="67">
      <c r="A67" s="666"/>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row>
    <row r="68" s="25" customFormat="1">
      <c r="A68" s="666"/>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255"/>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row>
    <row r="69" s="25" customFormat="1" ht="10.5" customHeight="1">
      <c r="A69" s="666"/>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255"/>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row>
    <row r="70" s="25" customFormat="1">
      <c r="A70" s="666"/>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255"/>
      <c r="AI70" s="255"/>
      <c r="AJ70" s="255"/>
      <c r="AK70" s="255"/>
      <c r="AL70" s="255"/>
      <c r="AM70" s="255"/>
      <c r="AN70" s="255"/>
      <c r="AO70" s="255"/>
      <c r="AP70" s="255"/>
      <c r="AQ70" s="255"/>
      <c r="AR70" s="255"/>
      <c r="AS70" s="255"/>
      <c r="AT70" s="255"/>
      <c r="AU70" s="255"/>
      <c r="AV70" s="255"/>
      <c r="AW70" s="255"/>
      <c r="AX70" s="255"/>
      <c r="AY70" s="255"/>
      <c r="AZ70" s="255"/>
      <c r="BA70" s="255"/>
      <c r="BB70" s="255"/>
      <c r="BC70" s="255"/>
      <c r="BD70" s="255"/>
      <c r="BE70" s="255"/>
      <c r="BF70" s="255"/>
      <c r="BG70" s="255"/>
      <c r="BH70" s="255"/>
      <c r="BI70" s="255"/>
      <c r="BJ70" s="255"/>
    </row>
    <row r="71" s="25" customFormat="1">
      <c r="A71" s="666"/>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255"/>
      <c r="AI71" s="255"/>
      <c r="AJ71" s="255"/>
      <c r="AK71" s="255"/>
      <c r="AL71" s="255"/>
      <c r="AM71" s="255"/>
      <c r="AN71" s="255"/>
      <c r="AO71" s="255"/>
      <c r="AP71" s="255"/>
      <c r="AQ71" s="255"/>
      <c r="AR71" s="255"/>
      <c r="AS71" s="255"/>
      <c r="AT71" s="255"/>
      <c r="AU71" s="255"/>
      <c r="AV71" s="255"/>
      <c r="AW71" s="255"/>
      <c r="AX71" s="255"/>
      <c r="AY71" s="255"/>
      <c r="AZ71" s="255"/>
      <c r="BA71" s="255"/>
      <c r="BB71" s="255"/>
      <c r="BC71" s="255"/>
      <c r="BD71" s="255"/>
      <c r="BE71" s="255"/>
      <c r="BF71" s="255"/>
      <c r="BG71" s="255"/>
      <c r="BH71" s="255"/>
      <c r="BI71" s="255"/>
      <c r="BJ71" s="255"/>
    </row>
    <row r="72" s="25" customFormat="1">
      <c r="A72" s="666"/>
      <c r="B72" s="666" t="n">
        <v>45801</v>
      </c>
      <c r="C72" s="666">
        <v>45808</v>
      </c>
      <c r="D72" s="666">
        <v>45815</v>
      </c>
      <c r="E72" s="666">
        <v>45822</v>
      </c>
      <c r="F72" s="666">
        <v>45829</v>
      </c>
      <c r="G72" s="666">
        <v>45836</v>
      </c>
      <c r="H72" s="666">
        <v>45843</v>
      </c>
      <c r="I72" s="666">
        <v>45850</v>
      </c>
      <c r="J72" s="666">
        <v>45857</v>
      </c>
      <c r="K72" s="666">
        <v>45864</v>
      </c>
      <c r="L72" s="666">
        <v>45871</v>
      </c>
      <c r="M72" s="666">
        <v>45878</v>
      </c>
      <c r="N72" s="666"/>
      <c r="O72" s="666"/>
      <c r="P72" s="666"/>
      <c r="Q72" s="666"/>
      <c r="R72" s="666"/>
      <c r="S72" s="666"/>
      <c r="T72" s="666"/>
      <c r="U72" s="666"/>
      <c r="V72" s="666"/>
      <c r="W72" s="666"/>
      <c r="X72" s="666"/>
      <c r="Y72" s="666"/>
      <c r="Z72" s="666"/>
      <c r="AA72" s="666"/>
      <c r="AB72" s="666"/>
      <c r="AC72" s="666"/>
      <c r="AD72" s="666"/>
      <c r="AE72" s="666"/>
      <c r="AF72" s="666"/>
      <c r="AG72" s="666"/>
      <c r="AH72" s="255"/>
      <c r="AI72" s="255"/>
      <c r="AJ72" s="255"/>
      <c r="AK72" s="255"/>
      <c r="AL72" s="255"/>
      <c r="AM72" s="255"/>
      <c r="AN72" s="255"/>
      <c r="AO72" s="255"/>
      <c r="AP72" s="255"/>
      <c r="AQ72" s="255"/>
      <c r="AR72" s="255"/>
      <c r="AS72" s="255"/>
      <c r="AT72" s="255"/>
      <c r="AU72" s="255"/>
      <c r="AV72" s="255"/>
      <c r="AW72" s="255"/>
      <c r="AX72" s="255"/>
      <c r="AY72" s="255"/>
      <c r="AZ72" s="255"/>
      <c r="BA72" s="255"/>
      <c r="BB72" s="255"/>
      <c r="BC72" s="255"/>
      <c r="BD72" s="255"/>
      <c r="BE72" s="255"/>
      <c r="BF72" s="255"/>
      <c r="BG72" s="255"/>
      <c r="BH72" s="255"/>
      <c r="BI72" s="255"/>
      <c r="BJ72" s="255"/>
    </row>
    <row r="73" s="25" customFormat="1" ht="14.25">
      <c r="A73" s="666" t="s">
        <v>32</v>
      </c>
      <c r="B73" s="666">
        <v>86.57886904761904761904761905</v>
      </c>
      <c r="C73" s="666">
        <v>71.376736111111111111111111111</v>
      </c>
      <c r="D73" s="666">
        <v>65.928819444444444444444444444</v>
      </c>
      <c r="E73" s="666">
        <v>56.458333333333333333333333333</v>
      </c>
      <c r="F73" s="666">
        <v>68.080357142857142857142857143</v>
      </c>
      <c r="G73" s="666">
        <v>85.40029761904761904761904762</v>
      </c>
      <c r="H73" s="666">
        <v>82.80059523809523809523809524</v>
      </c>
      <c r="I73" s="666">
        <v>77.342261904761904761904761905</v>
      </c>
      <c r="J73" s="666">
        <v>86.88690476190476190476190476</v>
      </c>
      <c r="K73" s="666">
        <v>79.57440476190476190476190476</v>
      </c>
      <c r="L73" s="666">
        <v>71.020833333333333333333333333</v>
      </c>
      <c r="M73" s="666">
        <v>75.985119047619047619047619048</v>
      </c>
      <c r="N73" s="666"/>
      <c r="O73" s="666"/>
      <c r="P73" s="666"/>
      <c r="Q73" s="666"/>
      <c r="R73" s="666"/>
      <c r="S73" s="666"/>
      <c r="T73" s="666"/>
      <c r="U73" s="666"/>
      <c r="V73" s="666"/>
      <c r="W73" s="666"/>
      <c r="X73" s="666"/>
      <c r="Y73" s="666"/>
      <c r="Z73" s="666"/>
      <c r="AA73" s="666"/>
      <c r="AB73" s="666"/>
      <c r="AC73" s="666"/>
      <c r="AD73" s="666"/>
      <c r="AE73" s="666"/>
      <c r="AF73" s="666"/>
      <c r="AG73" s="666"/>
      <c r="AH73" s="255"/>
      <c r="AI73" s="255"/>
      <c r="AJ73" s="255"/>
      <c r="AK73" s="255"/>
      <c r="AL73" s="255"/>
      <c r="AM73" s="255"/>
      <c r="AN73" s="255"/>
      <c r="AO73" s="255"/>
      <c r="AP73" s="255"/>
      <c r="AQ73" s="255"/>
      <c r="AR73" s="255"/>
      <c r="AS73" s="255"/>
      <c r="AT73" s="255"/>
      <c r="AU73" s="255"/>
      <c r="AV73" s="255"/>
      <c r="AW73" s="255"/>
      <c r="AX73" s="255"/>
      <c r="AY73" s="255"/>
      <c r="AZ73" s="255"/>
      <c r="BA73" s="255"/>
      <c r="BB73" s="255"/>
      <c r="BC73" s="255"/>
      <c r="BD73" s="255"/>
      <c r="BE73" s="255"/>
      <c r="BF73" s="255"/>
      <c r="BG73" s="255"/>
      <c r="BH73" s="255"/>
      <c r="BI73" s="255"/>
      <c r="BJ73" s="255"/>
    </row>
    <row r="74" s="25" customFormat="1" ht="14.25">
      <c r="A74" s="666" t="s">
        <v>26</v>
      </c>
      <c r="B74" s="666">
        <v>81.98007827788649706457925636</v>
      </c>
      <c r="C74" s="666">
        <v>75.768497064579256360078277886</v>
      </c>
      <c r="D74" s="666">
        <v>86.23652837573385518590998043</v>
      </c>
      <c r="E74" s="666">
        <v>80.25832093933463796477495108</v>
      </c>
      <c r="F74" s="666">
        <v>70.307358121330724070450097847</v>
      </c>
      <c r="G74" s="666">
        <v>75.400731898238747553816046967</v>
      </c>
      <c r="H74" s="666">
        <v>75.235115459882583170254403131</v>
      </c>
      <c r="I74" s="666">
        <v>72.342900195694716242661448141</v>
      </c>
      <c r="J74" s="666">
        <v>90.11574168297455968688845401</v>
      </c>
      <c r="K74" s="666">
        <v>77.455733855185909980430528376</v>
      </c>
      <c r="L74" s="666">
        <v>76.031135029354207436399217221</v>
      </c>
      <c r="M74" s="666">
        <v>84.15383561643835616438356164</v>
      </c>
      <c r="N74" s="666"/>
      <c r="O74" s="666"/>
      <c r="P74" s="666"/>
      <c r="Q74" s="666"/>
      <c r="R74" s="666"/>
      <c r="S74" s="666"/>
      <c r="T74" s="666"/>
      <c r="U74" s="666"/>
      <c r="V74" s="666"/>
      <c r="W74" s="666"/>
      <c r="X74" s="666"/>
      <c r="Y74" s="666"/>
      <c r="Z74" s="666"/>
      <c r="AA74" s="666"/>
      <c r="AB74" s="666"/>
      <c r="AC74" s="666"/>
      <c r="AD74" s="666"/>
      <c r="AE74" s="666"/>
      <c r="AF74" s="666"/>
      <c r="AG74" s="666"/>
      <c r="AH74" s="255"/>
      <c r="AI74" s="255"/>
      <c r="AJ74" s="255"/>
      <c r="AK74" s="255"/>
      <c r="AL74" s="255"/>
      <c r="AM74" s="255"/>
      <c r="AN74" s="255"/>
      <c r="AO74" s="255"/>
      <c r="AP74" s="255"/>
      <c r="AQ74" s="255"/>
      <c r="AR74" s="255"/>
      <c r="AS74" s="255"/>
      <c r="AT74" s="255"/>
      <c r="AU74" s="255"/>
      <c r="AV74" s="255"/>
      <c r="AW74" s="255"/>
      <c r="AX74" s="255"/>
      <c r="AY74" s="255"/>
      <c r="AZ74" s="255"/>
      <c r="BA74" s="255"/>
      <c r="BB74" s="255"/>
      <c r="BC74" s="255"/>
      <c r="BD74" s="255"/>
      <c r="BE74" s="255"/>
      <c r="BF74" s="255"/>
      <c r="BG74" s="255"/>
      <c r="BH74" s="255"/>
      <c r="BI74" s="255"/>
      <c r="BJ74" s="255"/>
    </row>
    <row r="75" s="25" customFormat="1" ht="14.25">
      <c r="A75" s="666" t="s">
        <v>138</v>
      </c>
      <c r="B75" s="666">
        <v>57.36470336260441207967444849</v>
      </c>
      <c r="C75" s="666">
        <v>46.943071321482116084814735489</v>
      </c>
      <c r="D75" s="666">
        <v>53.292234180324208458000267941</v>
      </c>
      <c r="E75" s="666">
        <v>51.613941856830259456080025008</v>
      </c>
      <c r="F75" s="666">
        <v>50.45210556870450587237083017</v>
      </c>
      <c r="G75" s="666">
        <v>54.393783771714375027910507748</v>
      </c>
      <c r="H75" s="666">
        <v>55.31715268164158442370383602</v>
      </c>
      <c r="I75" s="666">
        <v>52.647434466127807797079444469</v>
      </c>
      <c r="J75" s="666">
        <v>59.685169472603045594605457062</v>
      </c>
      <c r="K75" s="666">
        <v>55.037690349662841066404680034</v>
      </c>
      <c r="L75" s="666">
        <v>51.440807395168132898673692672</v>
      </c>
      <c r="M75" s="666">
        <v>52.26557406332335997856473005</v>
      </c>
      <c r="N75" s="666"/>
      <c r="O75" s="666"/>
      <c r="P75" s="666"/>
      <c r="Q75" s="666"/>
      <c r="R75" s="666"/>
      <c r="S75" s="666"/>
      <c r="T75" s="666"/>
      <c r="U75" s="666"/>
      <c r="V75" s="666"/>
      <c r="W75" s="666"/>
      <c r="X75" s="666"/>
      <c r="Y75" s="666"/>
      <c r="Z75" s="666"/>
      <c r="AA75" s="666"/>
      <c r="AB75" s="666"/>
      <c r="AC75" s="666"/>
      <c r="AD75" s="666"/>
      <c r="AE75" s="666"/>
      <c r="AF75" s="666"/>
      <c r="AG75" s="666"/>
      <c r="AH75" s="255"/>
      <c r="AI75" s="255"/>
      <c r="AJ75" s="255"/>
      <c r="AK75" s="255"/>
      <c r="AL75" s="255"/>
      <c r="AM75" s="255"/>
      <c r="AN75" s="255"/>
      <c r="AO75" s="255"/>
      <c r="AP75" s="255"/>
      <c r="AQ75" s="255"/>
      <c r="AR75" s="255"/>
      <c r="AS75" s="255"/>
      <c r="AT75" s="255"/>
      <c r="AU75" s="255"/>
      <c r="AV75" s="255"/>
      <c r="AW75" s="255"/>
      <c r="AX75" s="255"/>
      <c r="AY75" s="255"/>
      <c r="AZ75" s="255"/>
      <c r="BA75" s="255"/>
      <c r="BB75" s="255"/>
      <c r="BC75" s="255"/>
      <c r="BD75" s="255"/>
      <c r="BE75" s="255"/>
      <c r="BF75" s="255"/>
      <c r="BG75" s="255"/>
      <c r="BH75" s="255"/>
      <c r="BI75" s="255"/>
      <c r="BJ75" s="255"/>
    </row>
    <row r="76" s="25" customFormat="1">
      <c r="A76" s="66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255"/>
      <c r="AI76" s="255"/>
      <c r="AJ76" s="255"/>
      <c r="AK76" s="255"/>
      <c r="AL76" s="255"/>
      <c r="AM76" s="255"/>
      <c r="AN76" s="255"/>
      <c r="AO76" s="255"/>
      <c r="AP76" s="255"/>
      <c r="AQ76" s="255"/>
      <c r="AR76" s="255"/>
      <c r="AS76" s="255"/>
      <c r="AT76" s="255"/>
      <c r="AU76" s="255"/>
      <c r="AV76" s="255"/>
      <c r="AW76" s="255"/>
      <c r="AX76" s="255"/>
      <c r="AY76" s="255"/>
      <c r="AZ76" s="255"/>
      <c r="BA76" s="255"/>
      <c r="BB76" s="255"/>
      <c r="BC76" s="255"/>
      <c r="BD76" s="255"/>
      <c r="BE76" s="255"/>
      <c r="BF76" s="255"/>
      <c r="BG76" s="255"/>
      <c r="BH76" s="255"/>
      <c r="BI76" s="255"/>
      <c r="BJ76" s="255"/>
    </row>
    <row r="77" s="25" customFormat="1">
      <c r="A77" s="66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255"/>
      <c r="AI77" s="255"/>
      <c r="AJ77" s="255"/>
      <c r="AK77" s="255"/>
      <c r="AL77" s="255"/>
      <c r="AM77" s="255"/>
      <c r="AN77" s="255"/>
      <c r="AO77" s="255"/>
      <c r="AP77" s="255"/>
      <c r="AQ77" s="255"/>
      <c r="AR77" s="255"/>
      <c r="AS77" s="255"/>
      <c r="AT77" s="255"/>
      <c r="AU77" s="255"/>
      <c r="AV77" s="255"/>
      <c r="AW77" s="255"/>
      <c r="AX77" s="255"/>
      <c r="AY77" s="255"/>
      <c r="AZ77" s="255"/>
      <c r="BA77" s="255"/>
      <c r="BB77" s="255"/>
      <c r="BC77" s="255"/>
      <c r="BD77" s="255"/>
      <c r="BE77" s="255"/>
      <c r="BF77" s="255"/>
      <c r="BG77" s="255"/>
      <c r="BH77" s="255"/>
      <c r="BI77" s="255"/>
      <c r="BJ77" s="255"/>
    </row>
    <row r="78">
      <c r="A78" s="66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row>
    <row r="79">
      <c r="A79" s="66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row>
    <row r="80">
      <c r="A80" s="666"/>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row>
    <row r="81">
      <c r="A81" s="666"/>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row>
    <row r="82">
      <c r="A82" s="666"/>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row>
    <row r="83">
      <c r="A83" s="666"/>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row>
    <row r="84">
      <c r="A84" s="666"/>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row>
    <row r="85">
      <c r="A85" s="666"/>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row>
    <row r="86">
      <c r="A86" s="666"/>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row>
    <row r="87">
      <c r="A87" s="666"/>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row>
    <row r="88">
      <c r="A88" s="666"/>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row>
    <row r="89">
      <c r="A89" s="666"/>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row>
    <row r="90">
      <c r="A90" s="666"/>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row>
    <row r="91">
      <c r="A91" s="666"/>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row>
    <row r="92">
      <c r="A92" s="666"/>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row>
    <row r="93">
      <c r="A93" s="666"/>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row>
    <row r="94">
      <c r="A94" s="666"/>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row>
  </sheetData>
  <mergeCells count="3">
    <mergeCell ref="X22:AD22"/>
    <mergeCell ref="R4:AG4"/>
    <mergeCell ref="B58:AH58"/>
  </mergeCells>
  <phoneticPr fontId="0" type="noConversion"/>
  <printOptions horizontalCentered="1" verticalCentered="1"/>
  <pageMargins left="0.25" right="0.25" top="0.25" bottom="0.25" header="0.23" footer="0.28"/>
  <pageSetup scale="55" orientation="landscape" r:id="rId1"/>
  <headerFooter alignWithMargins="0">
    <oddHeader/>
    <oddFooter/>
  </headerFooter>
  <drawing r:id="rId35"/>
</worksheet>
</file>

<file path=xl/worksheets/sheet1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CM148"/>
  <sheetViews>
    <sheetView showGridLines="0" zoomScale="80" workbookViewId="0"/>
  </sheetViews>
  <sheetFormatPr defaultRowHeight="12.75"/>
  <cols>
    <col min="1" max="1" width="1" customWidth="1"/>
    <col min="2" max="2" width="1.28515625" style="21" customWidth="1"/>
    <col min="3" max="3" width="8.28515625" customWidth="1"/>
    <col min="4" max="4" width="1.7109375" customWidth="1"/>
    <col min="5" max="5" width="40.85546875" customWidth="1"/>
    <col min="6" max="6" width="28.7109375" customWidth="1"/>
    <col min="7" max="7" width="11.7109375" customWidth="1"/>
    <col min="8" max="8" width="14.7109375" customWidth="1"/>
    <col min="9" max="9" width="7.7109375" customWidth="1"/>
    <col min="10" max="50" width="2.7109375" customWidth="1"/>
    <col min="51" max="52" width="1.28515625" customWidth="1"/>
    <col min="53" max="76" width="2.42578125" customWidth="1"/>
  </cols>
  <sheetData>
    <row r="1" ht="48" customHeight="1">
      <c r="B1" s="5" t="s">
        <v>125</v>
      </c>
      <c r="C1" s="5"/>
      <c r="E1" s="5"/>
      <c r="F1" s="5"/>
      <c r="G1" s="5"/>
      <c r="H1" s="5"/>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c r="CG1" s="244"/>
      <c r="CH1" s="244"/>
      <c r="CI1" s="244"/>
      <c r="CJ1" s="244"/>
      <c r="CK1" s="244"/>
      <c r="CL1" s="244"/>
      <c r="CM1" s="244"/>
    </row>
    <row r="2" ht="15" customHeight="1">
      <c r="C2" s="10" t="s">
        <v>132</v>
      </c>
      <c r="D2" s="10"/>
      <c r="E2" s="155"/>
      <c r="F2" s="155"/>
      <c r="G2" s="155"/>
      <c r="H2" s="155"/>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c r="CG2" s="244"/>
      <c r="CH2" s="244"/>
      <c r="CI2" s="244"/>
      <c r="CJ2" s="244"/>
      <c r="CK2" s="244"/>
      <c r="CL2" s="244"/>
      <c r="CM2" s="244"/>
    </row>
    <row r="3" ht="15" customHeight="1">
      <c r="C3" s="10" t="s">
        <v>133</v>
      </c>
      <c r="D3" s="10"/>
      <c r="E3" s="155"/>
      <c r="F3" s="155"/>
      <c r="G3" s="155"/>
      <c r="H3" s="155"/>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c r="CG3" s="244"/>
      <c r="CH3" s="244"/>
      <c r="CI3" s="244"/>
      <c r="CJ3" s="244"/>
      <c r="CK3" s="244"/>
      <c r="CL3" s="244"/>
      <c r="CM3" s="244"/>
    </row>
    <row r="4" ht="15" customHeight="1">
      <c r="C4" s="4" t="s">
        <v>145</v>
      </c>
      <c r="D4" s="155"/>
      <c r="E4" s="155"/>
      <c r="F4" s="155"/>
      <c r="G4" s="155"/>
      <c r="H4" s="155"/>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c r="CG4" s="244"/>
      <c r="CH4" s="244"/>
      <c r="CI4" s="244"/>
      <c r="CJ4" s="244"/>
      <c r="CK4" s="244"/>
      <c r="CL4" s="244"/>
      <c r="CM4" s="244"/>
    </row>
    <row r="5" ht="18" customHeight="1">
      <c r="C5" s="155"/>
      <c r="D5" s="155"/>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c r="CG5" s="244"/>
      <c r="CH5" s="244"/>
      <c r="CI5" s="244"/>
      <c r="CJ5" s="244"/>
      <c r="CK5" s="244"/>
      <c r="CL5" s="244"/>
      <c r="CM5" s="244"/>
    </row>
    <row r="6" ht="15" customHeight="1">
      <c r="B6" s="156" t="s">
        <v>7</v>
      </c>
      <c r="E6" s="157"/>
      <c r="I6" s="405"/>
      <c r="J6" s="405"/>
      <c r="K6" s="405"/>
      <c r="L6" s="405"/>
      <c r="M6" s="405"/>
      <c r="N6" s="405"/>
      <c r="O6" s="405"/>
      <c r="P6" s="639" t="s">
        <v>165</v>
      </c>
      <c r="Q6" s="639"/>
      <c r="R6" s="639"/>
      <c r="S6" s="639"/>
      <c r="T6" s="639"/>
      <c r="U6" s="639"/>
      <c r="V6" s="639"/>
      <c r="W6" s="639"/>
      <c r="X6" s="639"/>
      <c r="Y6" s="639"/>
      <c r="Z6" s="639"/>
      <c r="AA6" s="639"/>
      <c r="AB6" s="639"/>
      <c r="AC6" s="639"/>
      <c r="AD6" s="639"/>
      <c r="AJ6" s="639" t="s">
        <v>168</v>
      </c>
      <c r="AK6" s="639"/>
      <c r="AL6" s="639"/>
      <c r="AM6" s="639"/>
      <c r="AN6" s="639"/>
      <c r="AO6" s="639"/>
      <c r="AP6" s="639"/>
      <c r="AQ6" s="639"/>
      <c r="AR6" s="639"/>
      <c r="AS6" s="639"/>
      <c r="AT6" s="639"/>
      <c r="AU6" s="639"/>
      <c r="AV6" s="639"/>
      <c r="AW6" s="639"/>
      <c r="AX6" s="639"/>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c r="CG6" s="244"/>
      <c r="CH6" s="244"/>
      <c r="CI6" s="244"/>
      <c r="CJ6" s="244"/>
      <c r="CK6" s="244"/>
      <c r="CL6" s="244"/>
      <c r="CM6" s="244"/>
    </row>
    <row r="7" ht="15" customHeight="1">
      <c r="C7" s="158" t="s">
        <v>170</v>
      </c>
      <c r="D7" s="159" t="s">
        <v>169</v>
      </c>
      <c r="Q7" s="638" t="s">
        <v>0</v>
      </c>
      <c r="R7" s="638"/>
      <c r="S7" s="638" t="s">
        <v>1</v>
      </c>
      <c r="T7" s="638"/>
      <c r="U7" s="638" t="s">
        <v>2</v>
      </c>
      <c r="V7" s="638"/>
      <c r="W7" s="561" t="s">
        <v>3</v>
      </c>
      <c r="X7" s="561"/>
      <c r="Y7" s="561" t="s">
        <v>4</v>
      </c>
      <c r="Z7" s="561"/>
      <c r="AA7" s="561" t="s">
        <v>5</v>
      </c>
      <c r="AB7" s="561"/>
      <c r="AC7" s="561" t="s">
        <v>6</v>
      </c>
      <c r="AD7" s="561"/>
      <c r="AK7" s="638" t="s">
        <v>0</v>
      </c>
      <c r="AL7" s="638"/>
      <c r="AM7" s="638" t="s">
        <v>1</v>
      </c>
      <c r="AN7" s="638"/>
      <c r="AO7" s="638" t="s">
        <v>2</v>
      </c>
      <c r="AP7" s="638"/>
      <c r="AQ7" s="638" t="s">
        <v>3</v>
      </c>
      <c r="AR7" s="638"/>
      <c r="AS7" s="638" t="s">
        <v>4</v>
      </c>
      <c r="AT7" s="638"/>
      <c r="AU7" s="638" t="s">
        <v>5</v>
      </c>
      <c r="AV7" s="638"/>
      <c r="AW7" s="638" t="s">
        <v>6</v>
      </c>
      <c r="AX7" s="638"/>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c r="CG7" s="244"/>
      <c r="CH7" s="244"/>
      <c r="CI7" s="244"/>
      <c r="CJ7" s="244"/>
      <c r="CK7" s="244"/>
      <c r="CL7" s="244"/>
      <c r="CM7" s="244"/>
    </row>
    <row r="8" ht="15" customHeight="1">
      <c r="C8" s="160"/>
      <c r="D8" s="159"/>
      <c r="I8" s="161"/>
      <c r="M8" s="640" t="s">
        <v>166</v>
      </c>
      <c r="N8" s="640"/>
      <c r="O8" s="640"/>
      <c r="P8" s="556"/>
      <c r="Q8" s="566">
        <v>29</v>
      </c>
      <c r="R8" s="566"/>
      <c r="S8" s="562">
        <v>30</v>
      </c>
      <c r="T8" s="562"/>
      <c r="U8" s="562">
        <v>1</v>
      </c>
      <c r="V8" s="562"/>
      <c r="W8" s="562">
        <v>2</v>
      </c>
      <c r="X8" s="562"/>
      <c r="Y8" s="562">
        <v>3</v>
      </c>
      <c r="Z8" s="562"/>
      <c r="AA8" s="562">
        <v>4</v>
      </c>
      <c r="AB8" s="562"/>
      <c r="AC8" s="562">
        <v>5</v>
      </c>
      <c r="AD8" s="563"/>
      <c r="AG8" s="640" t="s">
        <v>166</v>
      </c>
      <c r="AH8" s="640"/>
      <c r="AI8" s="640"/>
      <c r="AJ8" s="556"/>
      <c r="AK8" s="566">
        <v>30</v>
      </c>
      <c r="AL8" s="566"/>
      <c r="AM8" s="562">
        <v>1</v>
      </c>
      <c r="AN8" s="562"/>
      <c r="AO8" s="562">
        <v>2</v>
      </c>
      <c r="AP8" s="562"/>
      <c r="AQ8" s="562">
        <v>3</v>
      </c>
      <c r="AR8" s="562"/>
      <c r="AS8" s="562">
        <v>4</v>
      </c>
      <c r="AT8" s="562"/>
      <c r="AU8" s="562">
        <v>5</v>
      </c>
      <c r="AV8" s="562"/>
      <c r="AW8" s="562">
        <v>6</v>
      </c>
      <c r="AX8" s="563"/>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c r="CG8" s="244"/>
      <c r="CH8" s="244"/>
      <c r="CI8" s="244"/>
      <c r="CJ8" s="244"/>
      <c r="CK8" s="244"/>
      <c r="CL8" s="244"/>
      <c r="CM8" s="244"/>
    </row>
    <row r="9" ht="15" customHeight="1">
      <c r="C9" s="160"/>
      <c r="D9" s="159"/>
      <c r="I9" s="161"/>
      <c r="M9" s="640" t="s">
        <v>139</v>
      </c>
      <c r="N9" s="640"/>
      <c r="O9" s="640"/>
      <c r="P9" s="556"/>
      <c r="Q9" s="564">
        <v>6</v>
      </c>
      <c r="R9" s="564"/>
      <c r="S9" s="630">
        <v>7</v>
      </c>
      <c r="T9" s="630"/>
      <c r="U9" s="630">
        <v>8</v>
      </c>
      <c r="V9" s="630"/>
      <c r="W9" s="630">
        <v>9</v>
      </c>
      <c r="X9" s="630"/>
      <c r="Y9" s="630">
        <v>10</v>
      </c>
      <c r="Z9" s="630"/>
      <c r="AA9" s="630">
        <v>11</v>
      </c>
      <c r="AB9" s="630"/>
      <c r="AC9" s="630">
        <v>12</v>
      </c>
      <c r="AD9" s="553"/>
      <c r="AG9" s="640" t="s">
        <v>139</v>
      </c>
      <c r="AH9" s="640"/>
      <c r="AI9" s="640"/>
      <c r="AJ9" s="556"/>
      <c r="AK9" s="564">
        <v>7</v>
      </c>
      <c r="AL9" s="564"/>
      <c r="AM9" s="630">
        <v>8</v>
      </c>
      <c r="AN9" s="630"/>
      <c r="AO9" s="630">
        <v>9</v>
      </c>
      <c r="AP9" s="630"/>
      <c r="AQ9" s="630">
        <v>10</v>
      </c>
      <c r="AR9" s="630"/>
      <c r="AS9" s="630">
        <v>11</v>
      </c>
      <c r="AT9" s="630"/>
      <c r="AU9" s="630">
        <v>12</v>
      </c>
      <c r="AV9" s="630"/>
      <c r="AW9" s="630">
        <v>13</v>
      </c>
      <c r="AX9" s="553"/>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c r="CG9" s="244"/>
      <c r="CH9" s="244"/>
      <c r="CI9" s="244"/>
      <c r="CJ9" s="244"/>
      <c r="CK9" s="244"/>
      <c r="CL9" s="244"/>
      <c r="CM9" s="244"/>
    </row>
    <row r="10" ht="15" customHeight="1">
      <c r="C10" s="160"/>
      <c r="D10" s="159"/>
      <c r="I10" s="161"/>
      <c r="M10" s="640" t="s">
        <v>139</v>
      </c>
      <c r="N10" s="640"/>
      <c r="O10" s="640"/>
      <c r="P10" s="556"/>
      <c r="Q10" s="557">
        <v>13</v>
      </c>
      <c r="R10" s="557"/>
      <c r="S10" s="631">
        <v>14</v>
      </c>
      <c r="T10" s="631"/>
      <c r="U10" s="631">
        <v>15</v>
      </c>
      <c r="V10" s="631"/>
      <c r="W10" s="631">
        <v>16</v>
      </c>
      <c r="X10" s="631"/>
      <c r="Y10" s="631">
        <v>17</v>
      </c>
      <c r="Z10" s="631"/>
      <c r="AA10" s="631">
        <v>18</v>
      </c>
      <c r="AB10" s="631"/>
      <c r="AC10" s="631">
        <v>19</v>
      </c>
      <c r="AD10" s="549"/>
      <c r="AG10" s="640" t="s">
        <v>139</v>
      </c>
      <c r="AH10" s="640"/>
      <c r="AI10" s="640"/>
      <c r="AJ10" s="556"/>
      <c r="AK10" s="557">
        <v>14</v>
      </c>
      <c r="AL10" s="557"/>
      <c r="AM10" s="631">
        <v>15</v>
      </c>
      <c r="AN10" s="631"/>
      <c r="AO10" s="631">
        <v>16</v>
      </c>
      <c r="AP10" s="631"/>
      <c r="AQ10" s="631">
        <v>17</v>
      </c>
      <c r="AR10" s="631"/>
      <c r="AS10" s="631">
        <v>18</v>
      </c>
      <c r="AT10" s="631"/>
      <c r="AU10" s="631">
        <v>19</v>
      </c>
      <c r="AV10" s="631"/>
      <c r="AW10" s="631">
        <v>20</v>
      </c>
      <c r="AX10" s="549"/>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c r="CG10" s="244"/>
      <c r="CH10" s="244"/>
      <c r="CI10" s="244"/>
      <c r="CJ10" s="244"/>
      <c r="CK10" s="244"/>
      <c r="CL10" s="244"/>
      <c r="CM10" s="244"/>
    </row>
    <row r="11" ht="15" customHeight="1">
      <c r="I11" s="161"/>
      <c r="M11" s="640" t="s">
        <v>139</v>
      </c>
      <c r="N11" s="640"/>
      <c r="O11" s="640"/>
      <c r="P11" s="556"/>
      <c r="Q11" s="564">
        <v>20</v>
      </c>
      <c r="R11" s="564"/>
      <c r="S11" s="630">
        <v>21</v>
      </c>
      <c r="T11" s="630"/>
      <c r="U11" s="630">
        <v>22</v>
      </c>
      <c r="V11" s="630"/>
      <c r="W11" s="630">
        <v>23</v>
      </c>
      <c r="X11" s="630"/>
      <c r="Y11" s="630">
        <v>24</v>
      </c>
      <c r="Z11" s="630"/>
      <c r="AA11" s="630">
        <v>25</v>
      </c>
      <c r="AB11" s="630"/>
      <c r="AC11" s="630">
        <v>26</v>
      </c>
      <c r="AD11" s="553"/>
      <c r="AG11" s="640" t="s">
        <v>139</v>
      </c>
      <c r="AH11" s="640"/>
      <c r="AI11" s="640"/>
      <c r="AJ11" s="556"/>
      <c r="AK11" s="564">
        <v>21</v>
      </c>
      <c r="AL11" s="564"/>
      <c r="AM11" s="630">
        <v>22</v>
      </c>
      <c r="AN11" s="630"/>
      <c r="AO11" s="630">
        <v>23</v>
      </c>
      <c r="AP11" s="630"/>
      <c r="AQ11" s="630">
        <v>24</v>
      </c>
      <c r="AR11" s="630"/>
      <c r="AS11" s="630">
        <v>25</v>
      </c>
      <c r="AT11" s="630"/>
      <c r="AU11" s="630">
        <v>26</v>
      </c>
      <c r="AV11" s="630"/>
      <c r="AW11" s="630">
        <v>27</v>
      </c>
      <c r="AX11" s="553"/>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c r="CG11" s="244"/>
      <c r="CH11" s="244"/>
      <c r="CI11" s="244"/>
      <c r="CJ11" s="244"/>
      <c r="CK11" s="244"/>
      <c r="CL11" s="244"/>
      <c r="CM11" s="244"/>
    </row>
    <row r="12" ht="15" customHeight="1">
      <c r="B12" s="156"/>
      <c r="I12" s="161"/>
      <c r="M12" s="640" t="s">
        <v>167</v>
      </c>
      <c r="N12" s="640"/>
      <c r="O12" s="640"/>
      <c r="P12" s="556"/>
      <c r="Q12" s="557">
        <v>27</v>
      </c>
      <c r="R12" s="557"/>
      <c r="S12" s="631">
        <v>28</v>
      </c>
      <c r="T12" s="631"/>
      <c r="U12" s="631">
        <v>29</v>
      </c>
      <c r="V12" s="631"/>
      <c r="W12" s="631">
        <v>30</v>
      </c>
      <c r="X12" s="631"/>
      <c r="Y12" s="631">
        <v>31</v>
      </c>
      <c r="Z12" s="631"/>
      <c r="AA12" s="631">
        <v>1</v>
      </c>
      <c r="AB12" s="631"/>
      <c r="AC12" s="631">
        <v>2</v>
      </c>
      <c r="AD12" s="549"/>
      <c r="AG12" s="640" t="s">
        <v>167</v>
      </c>
      <c r="AH12" s="640"/>
      <c r="AI12" s="640"/>
      <c r="AJ12" s="556"/>
      <c r="AK12" s="557">
        <v>28</v>
      </c>
      <c r="AL12" s="557"/>
      <c r="AM12" s="631">
        <v>29</v>
      </c>
      <c r="AN12" s="631"/>
      <c r="AO12" s="631">
        <v>30</v>
      </c>
      <c r="AP12" s="631"/>
      <c r="AQ12" s="631">
        <v>31</v>
      </c>
      <c r="AR12" s="631"/>
      <c r="AS12" s="631">
        <v>1</v>
      </c>
      <c r="AT12" s="631"/>
      <c r="AU12" s="631">
        <v>2</v>
      </c>
      <c r="AV12" s="631"/>
      <c r="AW12" s="631">
        <v>3</v>
      </c>
      <c r="AX12" s="549"/>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c r="CG12" s="244"/>
      <c r="CH12" s="244"/>
      <c r="CI12" s="244"/>
      <c r="CJ12" s="244"/>
      <c r="CK12" s="244"/>
      <c r="CL12" s="244"/>
      <c r="CM12" s="244"/>
    </row>
    <row r="13" ht="15" customHeight="1">
      <c r="C13" s="158"/>
      <c r="D13" s="162"/>
      <c r="I13" s="161"/>
      <c r="M13" s="640" t="s">
        <v>136</v>
      </c>
      <c r="N13" s="640"/>
      <c r="O13" s="640"/>
      <c r="P13" s="556"/>
      <c r="Q13" s="560">
        <v>3</v>
      </c>
      <c r="R13" s="560"/>
      <c r="S13" s="550">
        <v>4</v>
      </c>
      <c r="T13" s="550"/>
      <c r="U13" s="550">
        <v>5</v>
      </c>
      <c r="V13" s="550"/>
      <c r="W13" s="550">
        <v>6</v>
      </c>
      <c r="X13" s="550"/>
      <c r="Y13" s="550">
        <v>7</v>
      </c>
      <c r="Z13" s="550"/>
      <c r="AA13" s="550">
        <v>8</v>
      </c>
      <c r="AB13" s="550"/>
      <c r="AC13" s="550">
        <v>9</v>
      </c>
      <c r="AD13" s="551"/>
      <c r="AG13" s="640" t="s">
        <v>136</v>
      </c>
      <c r="AH13" s="640"/>
      <c r="AI13" s="640"/>
      <c r="AJ13" s="556"/>
      <c r="AK13" s="560">
        <v>4</v>
      </c>
      <c r="AL13" s="560"/>
      <c r="AM13" s="550">
        <v>5</v>
      </c>
      <c r="AN13" s="550"/>
      <c r="AO13" s="550">
        <v>6</v>
      </c>
      <c r="AP13" s="550"/>
      <c r="AQ13" s="550">
        <v>7</v>
      </c>
      <c r="AR13" s="550"/>
      <c r="AS13" s="550">
        <v>8</v>
      </c>
      <c r="AT13" s="550"/>
      <c r="AU13" s="550">
        <v>9</v>
      </c>
      <c r="AV13" s="550"/>
      <c r="AW13" s="550">
        <v>10</v>
      </c>
      <c r="AX13" s="551"/>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c r="CG13" s="244"/>
      <c r="CH13" s="244"/>
      <c r="CI13" s="244"/>
      <c r="CJ13" s="244"/>
      <c r="CK13" s="244"/>
      <c r="CL13" s="244"/>
      <c r="CM13" s="244"/>
    </row>
    <row r="14" ht="15" customHeight="1">
      <c r="B14" s="156" t="s">
        <v>8</v>
      </c>
      <c r="C14" s="158"/>
      <c r="D14" s="159"/>
      <c r="I14" s="161"/>
      <c r="J14" s="163"/>
      <c r="K14" s="163"/>
      <c r="L14" s="163"/>
      <c r="M14" s="163"/>
      <c r="N14" s="163"/>
      <c r="O14" s="163"/>
      <c r="P14" s="163"/>
      <c r="Q14" s="163"/>
      <c r="R14" s="163"/>
      <c r="S14" s="163"/>
      <c r="T14" s="163"/>
      <c r="U14" s="163"/>
      <c r="V14" s="163"/>
      <c r="W14" s="163"/>
      <c r="X14" s="163"/>
      <c r="Y14" s="163"/>
      <c r="Z14" s="163"/>
      <c r="AA14" s="163"/>
      <c r="AB14" s="163"/>
      <c r="AC14" s="163"/>
      <c r="AD14" s="1"/>
      <c r="AE14" s="1"/>
      <c r="AF14" s="1"/>
      <c r="AG14" s="3"/>
      <c r="AH14" s="1"/>
      <c r="AI14" s="1"/>
      <c r="AJ14" s="164"/>
      <c r="AK14" s="163"/>
      <c r="AL14" s="163"/>
      <c r="AM14" s="163"/>
      <c r="AN14" s="163"/>
      <c r="AO14" s="163"/>
      <c r="AP14" s="163"/>
      <c r="AQ14" s="163"/>
      <c r="AR14" s="163"/>
      <c r="AS14" s="163"/>
      <c r="AT14" s="163"/>
      <c r="AU14" s="163"/>
      <c r="AV14" s="163"/>
      <c r="AW14" s="163"/>
      <c r="AX14" s="163"/>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c r="CG14" s="244"/>
      <c r="CH14" s="244"/>
      <c r="CI14" s="244"/>
      <c r="CJ14" s="244"/>
      <c r="CK14" s="244"/>
      <c r="CL14" s="244"/>
      <c r="CM14" s="244"/>
    </row>
    <row r="15" ht="15" customHeight="1">
      <c r="C15" s="158" t="s">
        <v>170</v>
      </c>
      <c r="D15" s="162" t="s">
        <v>169</v>
      </c>
      <c r="I15" s="161"/>
      <c r="J15" s="163"/>
      <c r="K15" s="163"/>
      <c r="L15" s="163"/>
      <c r="M15" s="163"/>
      <c r="N15" s="163"/>
      <c r="O15" s="163"/>
      <c r="P15" s="163"/>
      <c r="Q15" s="163"/>
      <c r="R15" s="163"/>
      <c r="S15" s="163"/>
      <c r="T15" s="163"/>
      <c r="U15" s="163"/>
      <c r="V15" s="163"/>
      <c r="W15" s="163"/>
      <c r="X15" s="163"/>
      <c r="Y15" s="163"/>
      <c r="Z15" s="163"/>
      <c r="AA15" s="163"/>
      <c r="AB15" s="163"/>
      <c r="AC15" s="163"/>
      <c r="AD15" s="1"/>
      <c r="AE15" s="1"/>
      <c r="AF15" s="1"/>
      <c r="AG15" s="3"/>
      <c r="AH15" s="1"/>
      <c r="AI15" s="1"/>
      <c r="AJ15" s="164"/>
      <c r="AK15" s="163"/>
      <c r="AL15" s="163"/>
      <c r="AM15" s="163"/>
      <c r="AN15" s="163"/>
      <c r="AO15" s="163"/>
      <c r="AP15" s="163"/>
      <c r="AQ15" s="163"/>
      <c r="AR15" s="163"/>
      <c r="AS15" s="163"/>
      <c r="AT15" s="163"/>
      <c r="AU15" s="163"/>
      <c r="AV15" s="163"/>
      <c r="AW15" s="163"/>
      <c r="AX15" s="163"/>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c r="CG15" s="244"/>
      <c r="CH15" s="244"/>
      <c r="CI15" s="244"/>
      <c r="CJ15" s="244"/>
      <c r="CK15" s="244"/>
      <c r="CL15" s="244"/>
      <c r="CM15" s="244"/>
    </row>
    <row r="16" ht="15" customHeight="1">
      <c r="C16" s="158" t="s">
        <v>172</v>
      </c>
      <c r="D16" s="159" t="s">
        <v>171</v>
      </c>
      <c r="I16" s="161"/>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c r="CG16" s="244"/>
      <c r="CH16" s="244"/>
      <c r="CI16" s="244"/>
      <c r="CJ16" s="244"/>
      <c r="CK16" s="244"/>
      <c r="CL16" s="244"/>
      <c r="CM16" s="244"/>
    </row>
    <row r="17" ht="15" customHeight="1">
      <c r="C17" s="160" t="s">
        <v>174</v>
      </c>
      <c r="D17" s="159" t="s">
        <v>173</v>
      </c>
      <c r="I17" s="161"/>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c r="CG17" s="244"/>
      <c r="CH17" s="244"/>
      <c r="CI17" s="244"/>
      <c r="CJ17" s="244"/>
      <c r="CK17" s="244"/>
      <c r="CL17" s="244"/>
      <c r="CM17" s="244"/>
    </row>
    <row r="18" ht="15" customHeight="1">
      <c r="C18" s="160" t="s">
        <v>176</v>
      </c>
      <c r="D18" s="160" t="s">
        <v>175</v>
      </c>
      <c r="E18" s="159"/>
      <c r="I18" s="161"/>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c r="CG18" s="244"/>
      <c r="CH18" s="244"/>
      <c r="CI18" s="244"/>
      <c r="CJ18" s="244"/>
      <c r="CK18" s="244"/>
      <c r="CL18" s="244"/>
      <c r="CM18" s="244"/>
    </row>
    <row r="19" ht="15" customHeight="1">
      <c r="C19" s="160" t="s">
        <v>178</v>
      </c>
      <c r="D19" s="160" t="s">
        <v>177</v>
      </c>
      <c r="E19" s="159"/>
      <c r="I19" s="161"/>
      <c r="P19" s="567" t="s">
        <v>90</v>
      </c>
      <c r="Q19" s="567"/>
      <c r="R19" s="567"/>
      <c r="S19" s="567"/>
      <c r="T19" s="567"/>
      <c r="U19" s="567"/>
      <c r="V19" s="567"/>
      <c r="W19" s="567"/>
      <c r="X19" s="567"/>
      <c r="Y19" s="567"/>
      <c r="Z19" s="567"/>
      <c r="AA19" s="567"/>
      <c r="AB19" s="567"/>
      <c r="AC19" s="567"/>
      <c r="AD19" s="567"/>
      <c r="AE19" s="567"/>
      <c r="AF19" s="567"/>
      <c r="AG19" s="567"/>
      <c r="AH19" s="567"/>
      <c r="AI19" s="567"/>
      <c r="AJ19" s="567"/>
      <c r="AK19" s="567"/>
      <c r="AL19" s="567"/>
      <c r="AM19" s="567"/>
      <c r="AN19" s="567"/>
      <c r="AO19" s="567"/>
      <c r="AP19" s="567"/>
      <c r="AQ19" s="567"/>
      <c r="AR19" s="567"/>
      <c r="AS19" s="567"/>
      <c r="AT19" s="567"/>
      <c r="AU19" s="567"/>
      <c r="AV19" s="567"/>
      <c r="AW19" s="567"/>
      <c r="AX19" s="636"/>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c r="CG19" s="244"/>
      <c r="CH19" s="244"/>
      <c r="CI19" s="244"/>
      <c r="CJ19" s="244"/>
      <c r="CK19" s="244"/>
      <c r="CL19" s="244"/>
      <c r="CM19" s="244"/>
    </row>
    <row r="20" ht="15" customHeight="1">
      <c r="C20" s="160" t="s">
        <v>180</v>
      </c>
      <c r="D20" s="160" t="s">
        <v>179</v>
      </c>
      <c r="E20" s="159"/>
      <c r="I20" s="161"/>
      <c r="P20" s="635"/>
      <c r="Q20" s="635"/>
      <c r="R20" s="635"/>
      <c r="S20" s="635"/>
      <c r="T20" s="635"/>
      <c r="U20" s="635"/>
      <c r="V20" s="635"/>
      <c r="W20" s="635"/>
      <c r="X20" s="635"/>
      <c r="Y20" s="635"/>
      <c r="Z20" s="635"/>
      <c r="AA20" s="635"/>
      <c r="AB20" s="635"/>
      <c r="AC20" s="635"/>
      <c r="AD20" s="635"/>
      <c r="AE20" s="635"/>
      <c r="AF20" s="635"/>
      <c r="AG20" s="635"/>
      <c r="AH20" s="635"/>
      <c r="AI20" s="635"/>
      <c r="AJ20" s="635"/>
      <c r="AK20" s="635"/>
      <c r="AL20" s="635"/>
      <c r="AM20" s="635"/>
      <c r="AN20" s="635"/>
      <c r="AO20" s="635"/>
      <c r="AP20" s="635"/>
      <c r="AQ20" s="635"/>
      <c r="AR20" s="635"/>
      <c r="AS20" s="635"/>
      <c r="AT20" s="635"/>
      <c r="AU20" s="635"/>
      <c r="AV20" s="635"/>
      <c r="AW20" s="635"/>
      <c r="AX20" s="637"/>
      <c r="BA20" s="244"/>
      <c r="BB20" s="244"/>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c r="CG20" s="244"/>
      <c r="CH20" s="244"/>
      <c r="CI20" s="244"/>
      <c r="CJ20" s="244"/>
      <c r="CK20" s="244"/>
      <c r="CL20" s="244"/>
      <c r="CM20" s="244"/>
    </row>
    <row r="21" ht="60" customHeight="1">
      <c r="C21" s="156" t="s">
        <v>34</v>
      </c>
      <c r="D21" s="156"/>
      <c r="E21" s="156" t="s">
        <v>35</v>
      </c>
      <c r="F21" s="165" t="s">
        <v>36</v>
      </c>
      <c r="G21" s="165" t="s">
        <v>74</v>
      </c>
      <c r="H21" s="165" t="s">
        <v>73</v>
      </c>
      <c r="I21" s="165" t="s">
        <v>70</v>
      </c>
      <c r="J21" s="165" t="s">
        <v>71</v>
      </c>
      <c r="K21" s="4"/>
      <c r="L21" s="4"/>
      <c r="M21" s="4"/>
      <c r="N21" s="4"/>
      <c r="O21" s="4"/>
      <c r="P21" s="166">
        <v>45844</v>
      </c>
      <c r="Q21" s="166">
        <v>45845</v>
      </c>
      <c r="R21" s="166">
        <v>45846</v>
      </c>
      <c r="S21" s="166">
        <v>45847</v>
      </c>
      <c r="T21" s="166">
        <v>45848</v>
      </c>
      <c r="U21" s="166">
        <v>45849</v>
      </c>
      <c r="V21" s="166">
        <v>45850</v>
      </c>
      <c r="W21" s="166">
        <v>45851</v>
      </c>
      <c r="X21" s="166">
        <v>45852</v>
      </c>
      <c r="Y21" s="166">
        <v>45853</v>
      </c>
      <c r="Z21" s="166">
        <v>45854</v>
      </c>
      <c r="AA21" s="166">
        <v>45855</v>
      </c>
      <c r="AB21" s="166">
        <v>45856</v>
      </c>
      <c r="AC21" s="166">
        <v>45857</v>
      </c>
      <c r="AD21" s="166">
        <v>45858</v>
      </c>
      <c r="AE21" s="166">
        <v>45859</v>
      </c>
      <c r="AF21" s="166">
        <v>45860</v>
      </c>
      <c r="AG21" s="166">
        <v>45861</v>
      </c>
      <c r="AH21" s="166">
        <v>45862</v>
      </c>
      <c r="AI21" s="166">
        <v>45863</v>
      </c>
      <c r="AJ21" s="166">
        <v>45864</v>
      </c>
      <c r="AK21" s="166">
        <v>45865</v>
      </c>
      <c r="AL21" s="166">
        <v>45866</v>
      </c>
      <c r="AM21" s="166">
        <v>45867</v>
      </c>
      <c r="AN21" s="166">
        <v>45868</v>
      </c>
      <c r="AO21" s="166">
        <v>45869</v>
      </c>
      <c r="AP21" s="166">
        <v>45870</v>
      </c>
      <c r="AQ21" s="166">
        <v>45871</v>
      </c>
      <c r="AR21" s="166">
        <v>45872</v>
      </c>
      <c r="AS21" s="166">
        <v>45873</v>
      </c>
      <c r="AT21" s="166">
        <v>45874</v>
      </c>
      <c r="AU21" s="166">
        <v>45875</v>
      </c>
      <c r="AV21" s="166">
        <v>45876</v>
      </c>
      <c r="AW21" s="166">
        <v>45877</v>
      </c>
      <c r="AX21" s="166">
        <v>45878</v>
      </c>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c r="CG21" s="244"/>
      <c r="CH21" s="244"/>
      <c r="CI21" s="244"/>
      <c r="CJ21" s="244"/>
      <c r="CK21" s="244"/>
      <c r="CL21" s="244"/>
      <c r="CM21" s="244"/>
    </row>
    <row r="22" ht="18" customHeight="1">
      <c r="C22" s="648">
        <v>64264</v>
      </c>
      <c r="D22" s="648"/>
      <c r="E22" s="648" t="s">
        <v>146</v>
      </c>
      <c r="F22" s="648" t="s">
        <v>147</v>
      </c>
      <c r="G22" s="648" t="s">
        <v>148</v>
      </c>
      <c r="H22" s="648" t="s">
        <v>149</v>
      </c>
      <c r="I22" s="671">
        <v>96</v>
      </c>
      <c r="J22" s="671" t="s">
        <v>150</v>
      </c>
      <c r="K22" s="671"/>
      <c r="L22" s="671"/>
      <c r="M22" s="671"/>
      <c r="N22" s="671"/>
      <c r="P22" s="672" t="s">
        <v>151</v>
      </c>
      <c r="Q22" s="673" t="s">
        <v>151</v>
      </c>
      <c r="R22" s="673" t="s">
        <v>151</v>
      </c>
      <c r="S22" s="673" t="s">
        <v>151</v>
      </c>
      <c r="T22" s="673" t="s">
        <v>151</v>
      </c>
      <c r="U22" s="673" t="s">
        <v>151</v>
      </c>
      <c r="V22" s="673" t="s">
        <v>151</v>
      </c>
      <c r="W22" s="673" t="s">
        <v>151</v>
      </c>
      <c r="X22" s="673" t="s">
        <v>151</v>
      </c>
      <c r="Y22" s="673" t="s">
        <v>151</v>
      </c>
      <c r="Z22" s="673" t="s">
        <v>151</v>
      </c>
      <c r="AA22" s="673" t="s">
        <v>151</v>
      </c>
      <c r="AB22" s="673" t="s">
        <v>151</v>
      </c>
      <c r="AC22" s="673" t="s">
        <v>151</v>
      </c>
      <c r="AD22" s="673" t="s">
        <v>151</v>
      </c>
      <c r="AE22" s="673" t="s">
        <v>151</v>
      </c>
      <c r="AF22" s="673" t="s">
        <v>151</v>
      </c>
      <c r="AG22" s="673" t="s">
        <v>151</v>
      </c>
      <c r="AH22" s="673" t="s">
        <v>151</v>
      </c>
      <c r="AI22" s="673" t="s">
        <v>151</v>
      </c>
      <c r="AJ22" s="673" t="s">
        <v>151</v>
      </c>
      <c r="AK22" s="673" t="s">
        <v>151</v>
      </c>
      <c r="AL22" s="673" t="s">
        <v>151</v>
      </c>
      <c r="AM22" s="673" t="s">
        <v>151</v>
      </c>
      <c r="AN22" s="673" t="s">
        <v>151</v>
      </c>
      <c r="AO22" s="673" t="s">
        <v>151</v>
      </c>
      <c r="AP22" s="673" t="s">
        <v>151</v>
      </c>
      <c r="AQ22" s="673" t="s">
        <v>151</v>
      </c>
      <c r="AR22" s="673" t="s">
        <v>151</v>
      </c>
      <c r="AS22" s="673" t="s">
        <v>151</v>
      </c>
      <c r="AT22" s="673" t="s">
        <v>151</v>
      </c>
      <c r="AU22" s="673" t="s">
        <v>151</v>
      </c>
      <c r="AV22" s="673" t="s">
        <v>151</v>
      </c>
      <c r="AW22" s="673" t="s">
        <v>151</v>
      </c>
      <c r="AX22" s="674" t="s">
        <v>151</v>
      </c>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c r="CG22" s="244"/>
      <c r="CH22" s="244"/>
      <c r="CI22" s="244"/>
      <c r="CJ22" s="244"/>
      <c r="CK22" s="244"/>
      <c r="CL22" s="244"/>
      <c r="CM22" s="244"/>
    </row>
    <row r="23" ht="18" customHeight="1">
      <c r="C23" s="649">
        <v>2554</v>
      </c>
      <c r="D23" s="649"/>
      <c r="E23" s="649" t="s">
        <v>152</v>
      </c>
      <c r="F23" s="649" t="s">
        <v>147</v>
      </c>
      <c r="G23" s="649" t="s">
        <v>148</v>
      </c>
      <c r="H23" s="649" t="s">
        <v>153</v>
      </c>
      <c r="I23" s="675">
        <v>138</v>
      </c>
      <c r="J23" s="675" t="s">
        <v>154</v>
      </c>
      <c r="K23" s="675"/>
      <c r="L23" s="675"/>
      <c r="M23" s="675"/>
      <c r="N23" s="675"/>
      <c r="P23" s="676" t="s">
        <v>151</v>
      </c>
      <c r="Q23" s="677" t="s">
        <v>151</v>
      </c>
      <c r="R23" s="677" t="s">
        <v>151</v>
      </c>
      <c r="S23" s="677" t="s">
        <v>151</v>
      </c>
      <c r="T23" s="677" t="s">
        <v>151</v>
      </c>
      <c r="U23" s="677" t="s">
        <v>151</v>
      </c>
      <c r="V23" s="677" t="s">
        <v>151</v>
      </c>
      <c r="W23" s="677" t="s">
        <v>151</v>
      </c>
      <c r="X23" s="677" t="s">
        <v>151</v>
      </c>
      <c r="Y23" s="677" t="s">
        <v>151</v>
      </c>
      <c r="Z23" s="677" t="s">
        <v>151</v>
      </c>
      <c r="AA23" s="677" t="s">
        <v>151</v>
      </c>
      <c r="AB23" s="677" t="s">
        <v>151</v>
      </c>
      <c r="AC23" s="677" t="s">
        <v>151</v>
      </c>
      <c r="AD23" s="677" t="s">
        <v>151</v>
      </c>
      <c r="AE23" s="677" t="s">
        <v>151</v>
      </c>
      <c r="AF23" s="677" t="s">
        <v>151</v>
      </c>
      <c r="AG23" s="677" t="s">
        <v>151</v>
      </c>
      <c r="AH23" s="677" t="s">
        <v>151</v>
      </c>
      <c r="AI23" s="677" t="s">
        <v>151</v>
      </c>
      <c r="AJ23" s="677" t="s">
        <v>151</v>
      </c>
      <c r="AK23" s="677" t="s">
        <v>151</v>
      </c>
      <c r="AL23" s="677" t="s">
        <v>151</v>
      </c>
      <c r="AM23" s="677" t="s">
        <v>151</v>
      </c>
      <c r="AN23" s="677" t="s">
        <v>151</v>
      </c>
      <c r="AO23" s="677" t="s">
        <v>151</v>
      </c>
      <c r="AP23" s="677" t="s">
        <v>151</v>
      </c>
      <c r="AQ23" s="677" t="s">
        <v>151</v>
      </c>
      <c r="AR23" s="677" t="s">
        <v>151</v>
      </c>
      <c r="AS23" s="677" t="s">
        <v>151</v>
      </c>
      <c r="AT23" s="677" t="s">
        <v>151</v>
      </c>
      <c r="AU23" s="677" t="s">
        <v>151</v>
      </c>
      <c r="AV23" s="677" t="s">
        <v>151</v>
      </c>
      <c r="AW23" s="677" t="s">
        <v>151</v>
      </c>
      <c r="AX23" s="678" t="s">
        <v>151</v>
      </c>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c r="CG23" s="244"/>
      <c r="CH23" s="244"/>
      <c r="CI23" s="244"/>
      <c r="CJ23" s="244"/>
      <c r="CK23" s="244"/>
      <c r="CL23" s="244"/>
      <c r="CM23" s="244"/>
    </row>
    <row r="24" ht="18" customHeight="1">
      <c r="C24" s="648">
        <v>49075</v>
      </c>
      <c r="D24" s="648"/>
      <c r="E24" s="648" t="s">
        <v>155</v>
      </c>
      <c r="F24" s="648" t="s">
        <v>147</v>
      </c>
      <c r="G24" s="648" t="s">
        <v>148</v>
      </c>
      <c r="H24" s="648" t="s">
        <v>156</v>
      </c>
      <c r="I24" s="671">
        <v>89</v>
      </c>
      <c r="J24" s="671" t="s">
        <v>157</v>
      </c>
      <c r="K24" s="671"/>
      <c r="L24" s="671"/>
      <c r="M24" s="671"/>
      <c r="N24" s="671"/>
      <c r="P24" s="672" t="s">
        <v>151</v>
      </c>
      <c r="Q24" s="673" t="s">
        <v>151</v>
      </c>
      <c r="R24" s="673" t="s">
        <v>151</v>
      </c>
      <c r="S24" s="673" t="s">
        <v>151</v>
      </c>
      <c r="T24" s="673" t="s">
        <v>151</v>
      </c>
      <c r="U24" s="673" t="s">
        <v>151</v>
      </c>
      <c r="V24" s="673" t="s">
        <v>151</v>
      </c>
      <c r="W24" s="673" t="s">
        <v>151</v>
      </c>
      <c r="X24" s="673" t="s">
        <v>151</v>
      </c>
      <c r="Y24" s="673" t="s">
        <v>151</v>
      </c>
      <c r="Z24" s="673" t="s">
        <v>151</v>
      </c>
      <c r="AA24" s="673" t="s">
        <v>151</v>
      </c>
      <c r="AB24" s="673" t="s">
        <v>151</v>
      </c>
      <c r="AC24" s="673" t="s">
        <v>151</v>
      </c>
      <c r="AD24" s="673" t="s">
        <v>151</v>
      </c>
      <c r="AE24" s="673" t="s">
        <v>151</v>
      </c>
      <c r="AF24" s="673" t="s">
        <v>151</v>
      </c>
      <c r="AG24" s="673" t="s">
        <v>151</v>
      </c>
      <c r="AH24" s="673" t="s">
        <v>151</v>
      </c>
      <c r="AI24" s="673" t="s">
        <v>151</v>
      </c>
      <c r="AJ24" s="673" t="s">
        <v>151</v>
      </c>
      <c r="AK24" s="673" t="s">
        <v>151</v>
      </c>
      <c r="AL24" s="673" t="s">
        <v>151</v>
      </c>
      <c r="AM24" s="673" t="s">
        <v>151</v>
      </c>
      <c r="AN24" s="673" t="s">
        <v>151</v>
      </c>
      <c r="AO24" s="673" t="s">
        <v>151</v>
      </c>
      <c r="AP24" s="673" t="s">
        <v>151</v>
      </c>
      <c r="AQ24" s="673" t="s">
        <v>151</v>
      </c>
      <c r="AR24" s="673" t="s">
        <v>151</v>
      </c>
      <c r="AS24" s="673" t="s">
        <v>151</v>
      </c>
      <c r="AT24" s="673" t="s">
        <v>151</v>
      </c>
      <c r="AU24" s="673" t="s">
        <v>151</v>
      </c>
      <c r="AV24" s="673" t="s">
        <v>151</v>
      </c>
      <c r="AW24" s="673" t="s">
        <v>151</v>
      </c>
      <c r="AX24" s="674" t="s">
        <v>151</v>
      </c>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c r="CG24" s="244"/>
      <c r="CH24" s="244"/>
      <c r="CI24" s="244"/>
      <c r="CJ24" s="244"/>
      <c r="CK24" s="244"/>
      <c r="CL24" s="244"/>
      <c r="CM24" s="244"/>
    </row>
    <row r="25" ht="18" customHeight="1">
      <c r="C25" s="649">
        <v>61682</v>
      </c>
      <c r="D25" s="649"/>
      <c r="E25" s="649" t="s">
        <v>158</v>
      </c>
      <c r="F25" s="649" t="s">
        <v>147</v>
      </c>
      <c r="G25" s="649" t="s">
        <v>148</v>
      </c>
      <c r="H25" s="649" t="s">
        <v>159</v>
      </c>
      <c r="I25" s="675">
        <v>55</v>
      </c>
      <c r="J25" s="675" t="s">
        <v>160</v>
      </c>
      <c r="K25" s="675"/>
      <c r="L25" s="675"/>
      <c r="M25" s="675"/>
      <c r="N25" s="675"/>
      <c r="P25" s="676" t="s">
        <v>151</v>
      </c>
      <c r="Q25" s="677" t="s">
        <v>151</v>
      </c>
      <c r="R25" s="677" t="s">
        <v>151</v>
      </c>
      <c r="S25" s="677" t="s">
        <v>151</v>
      </c>
      <c r="T25" s="677" t="s">
        <v>151</v>
      </c>
      <c r="U25" s="677" t="s">
        <v>151</v>
      </c>
      <c r="V25" s="677" t="s">
        <v>151</v>
      </c>
      <c r="W25" s="677" t="s">
        <v>151</v>
      </c>
      <c r="X25" s="677" t="s">
        <v>151</v>
      </c>
      <c r="Y25" s="677" t="s">
        <v>151</v>
      </c>
      <c r="Z25" s="677" t="s">
        <v>151</v>
      </c>
      <c r="AA25" s="677" t="s">
        <v>151</v>
      </c>
      <c r="AB25" s="677" t="s">
        <v>151</v>
      </c>
      <c r="AC25" s="677" t="s">
        <v>151</v>
      </c>
      <c r="AD25" s="677" t="s">
        <v>151</v>
      </c>
      <c r="AE25" s="677" t="s">
        <v>151</v>
      </c>
      <c r="AF25" s="677" t="s">
        <v>151</v>
      </c>
      <c r="AG25" s="677" t="s">
        <v>151</v>
      </c>
      <c r="AH25" s="677" t="s">
        <v>151</v>
      </c>
      <c r="AI25" s="677" t="s">
        <v>151</v>
      </c>
      <c r="AJ25" s="677" t="s">
        <v>151</v>
      </c>
      <c r="AK25" s="677" t="s">
        <v>151</v>
      </c>
      <c r="AL25" s="677" t="s">
        <v>151</v>
      </c>
      <c r="AM25" s="677" t="s">
        <v>151</v>
      </c>
      <c r="AN25" s="677" t="s">
        <v>151</v>
      </c>
      <c r="AO25" s="677" t="s">
        <v>151</v>
      </c>
      <c r="AP25" s="677" t="s">
        <v>151</v>
      </c>
      <c r="AQ25" s="677" t="s">
        <v>151</v>
      </c>
      <c r="AR25" s="677" t="s">
        <v>151</v>
      </c>
      <c r="AS25" s="677" t="s">
        <v>151</v>
      </c>
      <c r="AT25" s="677" t="s">
        <v>151</v>
      </c>
      <c r="AU25" s="677" t="s">
        <v>151</v>
      </c>
      <c r="AV25" s="677" t="s">
        <v>151</v>
      </c>
      <c r="AW25" s="677" t="s">
        <v>151</v>
      </c>
      <c r="AX25" s="678" t="s">
        <v>151</v>
      </c>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c r="CG25" s="244"/>
      <c r="CH25" s="244"/>
      <c r="CI25" s="244"/>
      <c r="CJ25" s="244"/>
      <c r="CK25" s="244"/>
      <c r="CL25" s="244"/>
      <c r="CM25" s="244"/>
    </row>
    <row r="26" ht="18" customHeight="1">
      <c r="C26" s="648">
        <v>62998</v>
      </c>
      <c r="D26" s="648"/>
      <c r="E26" s="648" t="s">
        <v>161</v>
      </c>
      <c r="F26" s="648" t="s">
        <v>147</v>
      </c>
      <c r="G26" s="648" t="s">
        <v>148</v>
      </c>
      <c r="H26" s="648" t="s">
        <v>162</v>
      </c>
      <c r="I26" s="671">
        <v>83</v>
      </c>
      <c r="J26" s="671" t="s">
        <v>163</v>
      </c>
      <c r="K26" s="671"/>
      <c r="L26" s="671"/>
      <c r="M26" s="671"/>
      <c r="N26" s="671"/>
      <c r="P26" s="672" t="s">
        <v>151</v>
      </c>
      <c r="Q26" s="673" t="s">
        <v>151</v>
      </c>
      <c r="R26" s="673" t="s">
        <v>151</v>
      </c>
      <c r="S26" s="673" t="s">
        <v>151</v>
      </c>
      <c r="T26" s="673" t="s">
        <v>151</v>
      </c>
      <c r="U26" s="673" t="s">
        <v>151</v>
      </c>
      <c r="V26" s="673" t="s">
        <v>151</v>
      </c>
      <c r="W26" s="673" t="s">
        <v>151</v>
      </c>
      <c r="X26" s="673" t="s">
        <v>151</v>
      </c>
      <c r="Y26" s="673" t="s">
        <v>151</v>
      </c>
      <c r="Z26" s="673" t="s">
        <v>151</v>
      </c>
      <c r="AA26" s="673" t="s">
        <v>151</v>
      </c>
      <c r="AB26" s="673" t="s">
        <v>151</v>
      </c>
      <c r="AC26" s="673" t="s">
        <v>151</v>
      </c>
      <c r="AD26" s="673" t="s">
        <v>151</v>
      </c>
      <c r="AE26" s="673" t="s">
        <v>151</v>
      </c>
      <c r="AF26" s="673" t="s">
        <v>151</v>
      </c>
      <c r="AG26" s="673" t="s">
        <v>151</v>
      </c>
      <c r="AH26" s="673" t="s">
        <v>151</v>
      </c>
      <c r="AI26" s="673" t="s">
        <v>151</v>
      </c>
      <c r="AJ26" s="673" t="s">
        <v>151</v>
      </c>
      <c r="AK26" s="673" t="s">
        <v>151</v>
      </c>
      <c r="AL26" s="673" t="s">
        <v>151</v>
      </c>
      <c r="AM26" s="673" t="s">
        <v>151</v>
      </c>
      <c r="AN26" s="673" t="s">
        <v>151</v>
      </c>
      <c r="AO26" s="673" t="s">
        <v>151</v>
      </c>
      <c r="AP26" s="673" t="s">
        <v>151</v>
      </c>
      <c r="AQ26" s="673" t="s">
        <v>151</v>
      </c>
      <c r="AR26" s="673" t="s">
        <v>151</v>
      </c>
      <c r="AS26" s="673" t="s">
        <v>151</v>
      </c>
      <c r="AT26" s="673" t="s">
        <v>151</v>
      </c>
      <c r="AU26" s="673" t="s">
        <v>151</v>
      </c>
      <c r="AV26" s="673" t="s">
        <v>151</v>
      </c>
      <c r="AW26" s="673" t="s">
        <v>151</v>
      </c>
      <c r="AX26" s="674" t="s">
        <v>151</v>
      </c>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c r="CG26" s="244"/>
      <c r="CH26" s="244"/>
      <c r="CI26" s="244"/>
      <c r="CJ26" s="244"/>
      <c r="CK26" s="244"/>
      <c r="CL26" s="244"/>
      <c r="CM26" s="244"/>
    </row>
    <row r="27" ht="18" customHeight="1">
      <c r="C27" s="632"/>
      <c r="D27" s="632"/>
      <c r="E27" s="4"/>
      <c r="F27" s="88"/>
      <c r="G27" s="88"/>
      <c r="H27" s="88"/>
      <c r="I27" s="671">
        <v>461</v>
      </c>
      <c r="J27" s="633"/>
      <c r="K27" s="633"/>
      <c r="L27" s="633"/>
      <c r="M27" s="633"/>
      <c r="N27" s="633"/>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c r="CG27" s="244"/>
      <c r="CH27" s="244"/>
      <c r="CI27" s="244"/>
      <c r="CJ27" s="244"/>
      <c r="CK27" s="244"/>
      <c r="CL27" s="244"/>
      <c r="CM27" s="244"/>
    </row>
    <row r="28" ht="18" customHeight="1">
      <c r="C28" s="632"/>
      <c r="D28" s="632"/>
      <c r="E28" s="4"/>
      <c r="F28" s="88"/>
      <c r="G28" s="88"/>
      <c r="H28" s="88"/>
      <c r="I28" s="88"/>
      <c r="J28" s="633"/>
      <c r="K28" s="633"/>
      <c r="L28" s="633"/>
      <c r="M28" s="633"/>
      <c r="N28" s="633"/>
      <c r="P28" t="s">
        <v>164</v>
      </c>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c r="CG28" s="244"/>
      <c r="CH28" s="244"/>
      <c r="CI28" s="244"/>
      <c r="CJ28" s="244"/>
      <c r="CK28" s="244"/>
      <c r="CL28" s="244"/>
      <c r="CM28" s="244"/>
    </row>
    <row r="29" ht="18" customHeight="1">
      <c r="C29" s="632"/>
      <c r="D29" s="632"/>
      <c r="E29" s="4"/>
      <c r="F29" s="88"/>
      <c r="G29" s="88"/>
      <c r="H29" s="88"/>
      <c r="I29" s="88"/>
      <c r="J29" s="633"/>
      <c r="K29" s="633"/>
      <c r="L29" s="633"/>
      <c r="M29" s="633"/>
      <c r="N29" s="633"/>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c r="CG29" s="244"/>
      <c r="CH29" s="244"/>
      <c r="CI29" s="244"/>
      <c r="CJ29" s="244"/>
      <c r="CK29" s="244"/>
      <c r="CL29" s="244"/>
      <c r="CM29" s="244"/>
    </row>
    <row r="30" ht="18" customHeight="1">
      <c r="C30" s="632"/>
      <c r="D30" s="632"/>
      <c r="E30" s="4"/>
      <c r="F30" s="88"/>
      <c r="G30" s="88"/>
      <c r="H30" s="88"/>
      <c r="I30" s="88"/>
      <c r="J30" s="633"/>
      <c r="K30" s="633"/>
      <c r="L30" s="633"/>
      <c r="M30" s="633"/>
      <c r="N30" s="633"/>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c r="CG30" s="244"/>
      <c r="CH30" s="244"/>
      <c r="CI30" s="244"/>
      <c r="CJ30" s="244"/>
      <c r="CK30" s="244"/>
      <c r="CL30" s="244"/>
      <c r="CM30" s="244"/>
    </row>
    <row r="31" ht="18" customHeight="1">
      <c r="C31" s="632"/>
      <c r="D31" s="632"/>
      <c r="E31" s="4"/>
      <c r="F31" s="88"/>
      <c r="G31" s="88"/>
      <c r="H31" s="88"/>
      <c r="I31" s="88"/>
      <c r="J31" s="633"/>
      <c r="K31" s="633"/>
      <c r="L31" s="633"/>
      <c r="M31" s="633"/>
      <c r="N31" s="633"/>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c r="CG31" s="244"/>
      <c r="CH31" s="244"/>
      <c r="CI31" s="244"/>
      <c r="CJ31" s="244"/>
      <c r="CK31" s="244"/>
      <c r="CL31" s="244"/>
      <c r="CM31" s="244"/>
    </row>
    <row r="32" ht="18" customHeight="1">
      <c r="C32" s="632"/>
      <c r="D32" s="632"/>
      <c r="E32" s="4"/>
      <c r="F32" s="88"/>
      <c r="G32" s="88"/>
      <c r="H32" s="88"/>
      <c r="I32" s="88"/>
      <c r="J32" s="633"/>
      <c r="K32" s="633"/>
      <c r="L32" s="633"/>
      <c r="M32" s="633"/>
      <c r="N32" s="633"/>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c r="CG32" s="244"/>
      <c r="CH32" s="244"/>
      <c r="CI32" s="244"/>
      <c r="CJ32" s="244"/>
      <c r="CK32" s="244"/>
      <c r="CL32" s="244"/>
      <c r="CM32" s="244"/>
    </row>
    <row r="33" ht="18" customHeight="1">
      <c r="C33" s="632"/>
      <c r="D33" s="632"/>
      <c r="E33" s="4"/>
      <c r="F33" s="88"/>
      <c r="G33" s="88"/>
      <c r="H33" s="88"/>
      <c r="I33" s="88"/>
      <c r="J33" s="633"/>
      <c r="K33" s="633"/>
      <c r="L33" s="633"/>
      <c r="M33" s="633"/>
      <c r="N33" s="633"/>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c r="CG33" s="244"/>
      <c r="CH33" s="244"/>
      <c r="CI33" s="244"/>
      <c r="CJ33" s="244"/>
      <c r="CK33" s="244"/>
      <c r="CL33" s="244"/>
      <c r="CM33" s="244"/>
    </row>
    <row r="34" ht="18" customHeight="1">
      <c r="C34" s="632"/>
      <c r="D34" s="632"/>
      <c r="E34" s="4"/>
      <c r="F34" s="88"/>
      <c r="G34" s="88"/>
      <c r="H34" s="88"/>
      <c r="I34" s="88"/>
      <c r="J34" s="633"/>
      <c r="K34" s="633"/>
      <c r="L34" s="633"/>
      <c r="M34" s="633"/>
      <c r="N34" s="633"/>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c r="CG34" s="244"/>
      <c r="CH34" s="244"/>
      <c r="CI34" s="244"/>
      <c r="CJ34" s="244"/>
      <c r="CK34" s="244"/>
      <c r="CL34" s="244"/>
      <c r="CM34" s="244"/>
    </row>
    <row r="35" ht="18" customHeight="1">
      <c r="C35" s="632"/>
      <c r="D35" s="632"/>
      <c r="E35" s="4"/>
      <c r="F35" s="88"/>
      <c r="G35" s="88"/>
      <c r="H35" s="88"/>
      <c r="I35" s="88"/>
      <c r="J35" s="633"/>
      <c r="K35" s="633"/>
      <c r="L35" s="633"/>
      <c r="M35" s="633"/>
      <c r="N35" s="633"/>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c r="CG35" s="244"/>
      <c r="CH35" s="244"/>
      <c r="CI35" s="244"/>
      <c r="CJ35" s="244"/>
      <c r="CK35" s="244"/>
      <c r="CL35" s="244"/>
      <c r="CM35" s="244"/>
    </row>
    <row r="36" ht="18" customHeight="1">
      <c r="C36" s="632"/>
      <c r="D36" s="632"/>
      <c r="E36" s="4"/>
      <c r="F36" s="88"/>
      <c r="G36" s="88"/>
      <c r="H36" s="88"/>
      <c r="I36" s="88"/>
      <c r="J36" s="633"/>
      <c r="K36" s="633"/>
      <c r="L36" s="633"/>
      <c r="M36" s="633"/>
      <c r="N36" s="633"/>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c r="CG36" s="244"/>
      <c r="CH36" s="244"/>
      <c r="CI36" s="244"/>
      <c r="CJ36" s="244"/>
      <c r="CK36" s="244"/>
      <c r="CL36" s="244"/>
      <c r="CM36" s="244"/>
    </row>
    <row r="37" ht="18" customHeight="1">
      <c r="C37" s="632"/>
      <c r="D37" s="632"/>
      <c r="E37" s="4"/>
      <c r="F37" s="88"/>
      <c r="G37" s="88"/>
      <c r="H37" s="88"/>
      <c r="I37" s="88"/>
      <c r="J37" s="633"/>
      <c r="K37" s="633"/>
      <c r="L37" s="633"/>
      <c r="M37" s="633"/>
      <c r="N37" s="633"/>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c r="CG37" s="244"/>
      <c r="CH37" s="244"/>
      <c r="CI37" s="244"/>
      <c r="CJ37" s="244"/>
      <c r="CK37" s="244"/>
      <c r="CL37" s="244"/>
      <c r="CM37" s="244"/>
    </row>
    <row r="38" ht="18" customHeight="1">
      <c r="C38" s="632"/>
      <c r="D38" s="632"/>
      <c r="E38" s="4"/>
      <c r="F38" s="88"/>
      <c r="G38" s="88"/>
      <c r="H38" s="88"/>
      <c r="I38" s="88"/>
      <c r="J38" s="633"/>
      <c r="K38" s="633"/>
      <c r="L38" s="633"/>
      <c r="M38" s="633"/>
      <c r="N38" s="633"/>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c r="CG38" s="244"/>
      <c r="CH38" s="244"/>
      <c r="CI38" s="244"/>
      <c r="CJ38" s="244"/>
      <c r="CK38" s="244"/>
      <c r="CL38" s="244"/>
      <c r="CM38" s="244"/>
    </row>
    <row r="39" ht="18" customHeight="1">
      <c r="C39" s="632"/>
      <c r="D39" s="632"/>
      <c r="E39" s="4"/>
      <c r="F39" s="88"/>
      <c r="G39" s="88"/>
      <c r="H39" s="88"/>
      <c r="I39" s="88"/>
      <c r="J39" s="633"/>
      <c r="K39" s="633"/>
      <c r="L39" s="633"/>
      <c r="M39" s="633"/>
      <c r="N39" s="633"/>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c r="CG39" s="244"/>
      <c r="CH39" s="244"/>
      <c r="CI39" s="244"/>
      <c r="CJ39" s="244"/>
      <c r="CK39" s="244"/>
      <c r="CL39" s="244"/>
      <c r="CM39" s="244"/>
    </row>
    <row r="40" ht="18" customHeight="1">
      <c r="C40" s="632"/>
      <c r="D40" s="632"/>
      <c r="E40" s="4"/>
      <c r="F40" s="88"/>
      <c r="G40" s="88"/>
      <c r="H40" s="88"/>
      <c r="I40" s="88"/>
      <c r="J40" s="633"/>
      <c r="K40" s="633"/>
      <c r="L40" s="633"/>
      <c r="M40" s="633"/>
      <c r="N40" s="633"/>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c r="CG40" s="244"/>
      <c r="CH40" s="244"/>
      <c r="CI40" s="244"/>
      <c r="CJ40" s="244"/>
      <c r="CK40" s="244"/>
      <c r="CL40" s="244"/>
      <c r="CM40" s="244"/>
    </row>
    <row r="41" ht="18" customHeight="1">
      <c r="C41" s="632"/>
      <c r="D41" s="632"/>
      <c r="E41" s="4"/>
      <c r="F41" s="88"/>
      <c r="G41" s="88"/>
      <c r="H41" s="88"/>
      <c r="I41" s="88"/>
      <c r="J41" s="633"/>
      <c r="K41" s="633"/>
      <c r="L41" s="633"/>
      <c r="M41" s="633"/>
      <c r="N41" s="633"/>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c r="CG41" s="244"/>
      <c r="CH41" s="244"/>
      <c r="CI41" s="244"/>
      <c r="CJ41" s="244"/>
      <c r="CK41" s="244"/>
      <c r="CL41" s="244"/>
      <c r="CM41" s="244"/>
    </row>
    <row r="42" ht="0" hidden="1" customHeight="1">
      <c r="C42" s="632"/>
      <c r="D42" s="632"/>
      <c r="E42" s="4"/>
      <c r="F42" s="88"/>
      <c r="G42" s="88"/>
      <c r="H42" s="88"/>
      <c r="I42" s="88"/>
      <c r="J42" s="633"/>
      <c r="K42" s="633"/>
      <c r="L42" s="633"/>
      <c r="M42" s="633"/>
      <c r="N42" s="633"/>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c r="CG42" s="244"/>
      <c r="CH42" s="244"/>
      <c r="CI42" s="244"/>
      <c r="CJ42" s="244"/>
      <c r="CK42" s="244"/>
      <c r="CL42" s="244"/>
      <c r="CM42" s="244"/>
    </row>
    <row r="43" ht="0" hidden="1" customHeight="1">
      <c r="C43" s="632"/>
      <c r="D43" s="632"/>
      <c r="E43" s="4"/>
      <c r="F43" s="88"/>
      <c r="G43" s="88"/>
      <c r="H43" s="88"/>
      <c r="I43" s="88"/>
      <c r="J43" s="633"/>
      <c r="K43" s="633"/>
      <c r="L43" s="633"/>
      <c r="M43" s="633"/>
      <c r="N43" s="633"/>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c r="CG43" s="244"/>
      <c r="CH43" s="244"/>
      <c r="CI43" s="244"/>
      <c r="CJ43" s="244"/>
      <c r="CK43" s="244"/>
      <c r="CL43" s="244"/>
      <c r="CM43" s="244"/>
    </row>
    <row r="44" ht="0" hidden="1" customHeight="1">
      <c r="C44" s="632"/>
      <c r="D44" s="632"/>
      <c r="E44" s="4"/>
      <c r="F44" s="88"/>
      <c r="G44" s="88"/>
      <c r="H44" s="88"/>
      <c r="I44" s="88"/>
      <c r="J44" s="633"/>
      <c r="K44" s="633"/>
      <c r="L44" s="633"/>
      <c r="M44" s="633"/>
      <c r="N44" s="633"/>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c r="CG44" s="244"/>
      <c r="CH44" s="244"/>
      <c r="CI44" s="244"/>
      <c r="CJ44" s="244"/>
      <c r="CK44" s="244"/>
      <c r="CL44" s="244"/>
      <c r="CM44" s="244"/>
    </row>
    <row r="45" ht="0" hidden="1" customHeight="1">
      <c r="C45" s="632"/>
      <c r="D45" s="632"/>
      <c r="E45" s="4"/>
      <c r="F45" s="88"/>
      <c r="G45" s="88"/>
      <c r="H45" s="88"/>
      <c r="I45" s="88"/>
      <c r="J45" s="633"/>
      <c r="K45" s="633"/>
      <c r="L45" s="633"/>
      <c r="M45" s="633"/>
      <c r="N45" s="633"/>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c r="CG45" s="244"/>
      <c r="CH45" s="244"/>
      <c r="CI45" s="244"/>
      <c r="CJ45" s="244"/>
      <c r="CK45" s="244"/>
      <c r="CL45" s="244"/>
      <c r="CM45" s="244"/>
    </row>
    <row r="46" ht="0" hidden="1" customHeight="1">
      <c r="C46" s="632"/>
      <c r="D46" s="632"/>
      <c r="E46" s="4"/>
      <c r="F46" s="88"/>
      <c r="G46" s="88"/>
      <c r="H46" s="88"/>
      <c r="I46" s="88"/>
      <c r="J46" s="633"/>
      <c r="K46" s="633"/>
      <c r="L46" s="633"/>
      <c r="M46" s="633"/>
      <c r="N46" s="633"/>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c r="CG46" s="244"/>
      <c r="CH46" s="244"/>
      <c r="CI46" s="244"/>
      <c r="CJ46" s="244"/>
      <c r="CK46" s="244"/>
      <c r="CL46" s="244"/>
      <c r="CM46" s="244"/>
    </row>
    <row r="47" ht="0" hidden="1" customHeight="1">
      <c r="C47" s="632"/>
      <c r="D47" s="632"/>
      <c r="E47" s="4"/>
      <c r="F47" s="88"/>
      <c r="G47" s="88"/>
      <c r="H47" s="88"/>
      <c r="I47" s="88"/>
      <c r="J47" s="633"/>
      <c r="K47" s="633"/>
      <c r="L47" s="633"/>
      <c r="M47" s="633"/>
      <c r="N47" s="633"/>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c r="CG47" s="244"/>
      <c r="CH47" s="244"/>
      <c r="CI47" s="244"/>
      <c r="CJ47" s="244"/>
      <c r="CK47" s="244"/>
      <c r="CL47" s="244"/>
      <c r="CM47" s="244"/>
    </row>
    <row r="48" ht="0" hidden="1" customHeight="1">
      <c r="C48" s="632"/>
      <c r="D48" s="632"/>
      <c r="E48" s="4"/>
      <c r="F48" s="88"/>
      <c r="G48" s="88"/>
      <c r="H48" s="88"/>
      <c r="I48" s="88"/>
      <c r="J48" s="633"/>
      <c r="K48" s="633"/>
      <c r="L48" s="633"/>
      <c r="M48" s="633"/>
      <c r="N48" s="633"/>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c r="CG48" s="244"/>
      <c r="CH48" s="244"/>
      <c r="CI48" s="244"/>
      <c r="CJ48" s="244"/>
      <c r="CK48" s="244"/>
      <c r="CL48" s="244"/>
      <c r="CM48" s="244"/>
    </row>
    <row r="49" ht="0" hidden="1" customHeight="1">
      <c r="C49" s="632"/>
      <c r="D49" s="632"/>
      <c r="E49" s="4"/>
      <c r="F49" s="88"/>
      <c r="G49" s="88"/>
      <c r="H49" s="88"/>
      <c r="I49" s="88"/>
      <c r="J49" s="633"/>
      <c r="K49" s="633"/>
      <c r="L49" s="633"/>
      <c r="M49" s="633"/>
      <c r="N49" s="633"/>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c r="CG49" s="244"/>
      <c r="CH49" s="244"/>
      <c r="CI49" s="244"/>
      <c r="CJ49" s="244"/>
      <c r="CK49" s="244"/>
      <c r="CL49" s="244"/>
      <c r="CM49" s="244"/>
    </row>
    <row r="50" ht="0" hidden="1" customHeight="1">
      <c r="C50" s="632"/>
      <c r="D50" s="632"/>
      <c r="E50" s="4"/>
      <c r="F50" s="88"/>
      <c r="G50" s="88"/>
      <c r="H50" s="88"/>
      <c r="I50" s="88"/>
      <c r="J50" s="633"/>
      <c r="K50" s="633"/>
      <c r="L50" s="633"/>
      <c r="M50" s="633"/>
      <c r="N50" s="633"/>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c r="CG50" s="244"/>
      <c r="CH50" s="244"/>
      <c r="CI50" s="244"/>
      <c r="CJ50" s="244"/>
      <c r="CK50" s="244"/>
      <c r="CL50" s="244"/>
      <c r="CM50" s="244"/>
    </row>
    <row r="51" ht="0" hidden="1" customHeight="1">
      <c r="C51" s="632"/>
      <c r="D51" s="632"/>
      <c r="E51" s="4"/>
      <c r="F51" s="88"/>
      <c r="G51" s="88"/>
      <c r="H51" s="88"/>
      <c r="I51" s="88"/>
      <c r="J51" s="633"/>
      <c r="K51" s="633"/>
      <c r="L51" s="633"/>
      <c r="M51" s="633"/>
      <c r="N51" s="633"/>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c r="CG51" s="244"/>
      <c r="CH51" s="244"/>
      <c r="CI51" s="244"/>
      <c r="CJ51" s="244"/>
      <c r="CK51" s="244"/>
      <c r="CL51" s="244"/>
      <c r="CM51" s="244"/>
    </row>
    <row r="52" ht="0" hidden="1" customHeight="1">
      <c r="C52" s="632"/>
      <c r="D52" s="632"/>
      <c r="E52" s="4"/>
      <c r="F52" s="88"/>
      <c r="G52" s="88"/>
      <c r="H52" s="88"/>
      <c r="I52" s="88"/>
      <c r="J52" s="633"/>
      <c r="K52" s="633"/>
      <c r="L52" s="633"/>
      <c r="M52" s="633"/>
      <c r="N52" s="633"/>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c r="CG52" s="244"/>
      <c r="CH52" s="244"/>
      <c r="CI52" s="244"/>
      <c r="CJ52" s="244"/>
      <c r="CK52" s="244"/>
      <c r="CL52" s="244"/>
      <c r="CM52" s="244"/>
    </row>
    <row r="53" ht="0" hidden="1" customHeight="1">
      <c r="C53" s="632"/>
      <c r="D53" s="632"/>
      <c r="E53" s="4"/>
      <c r="F53" s="88"/>
      <c r="G53" s="88"/>
      <c r="H53" s="88"/>
      <c r="I53" s="88"/>
      <c r="J53" s="633"/>
      <c r="K53" s="633"/>
      <c r="L53" s="633"/>
      <c r="M53" s="633"/>
      <c r="N53" s="633"/>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c r="CG53" s="244"/>
      <c r="CH53" s="244"/>
      <c r="CI53" s="244"/>
      <c r="CJ53" s="244"/>
      <c r="CK53" s="244"/>
      <c r="CL53" s="244"/>
      <c r="CM53" s="244"/>
    </row>
    <row r="54" ht="0" hidden="1" customHeight="1">
      <c r="C54" s="632"/>
      <c r="D54" s="632"/>
      <c r="E54" s="4"/>
      <c r="F54" s="88"/>
      <c r="G54" s="88"/>
      <c r="H54" s="88"/>
      <c r="I54" s="88"/>
      <c r="J54" s="633"/>
      <c r="K54" s="633"/>
      <c r="L54" s="633"/>
      <c r="M54" s="633"/>
      <c r="N54" s="633"/>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c r="CG54" s="244"/>
      <c r="CH54" s="244"/>
      <c r="CI54" s="244"/>
      <c r="CJ54" s="244"/>
      <c r="CK54" s="244"/>
      <c r="CL54" s="244"/>
      <c r="CM54" s="244"/>
    </row>
    <row r="55" ht="0" hidden="1" customHeight="1">
      <c r="C55" s="632"/>
      <c r="D55" s="632"/>
      <c r="E55" s="4"/>
      <c r="F55" s="88"/>
      <c r="G55" s="88"/>
      <c r="H55" s="88"/>
      <c r="I55" s="88"/>
      <c r="J55" s="633"/>
      <c r="K55" s="633"/>
      <c r="L55" s="633"/>
      <c r="M55" s="633"/>
      <c r="N55" s="633"/>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c r="CG55" s="244"/>
      <c r="CH55" s="244"/>
      <c r="CI55" s="244"/>
      <c r="CJ55" s="244"/>
      <c r="CK55" s="244"/>
      <c r="CL55" s="244"/>
      <c r="CM55" s="244"/>
    </row>
    <row r="56" ht="0" hidden="1" customHeight="1">
      <c r="C56" s="632"/>
      <c r="D56" s="632"/>
      <c r="E56" s="4"/>
      <c r="F56" s="88"/>
      <c r="G56" s="88"/>
      <c r="H56" s="88"/>
      <c r="I56" s="88"/>
      <c r="J56" s="633"/>
      <c r="K56" s="633"/>
      <c r="L56" s="633"/>
      <c r="M56" s="633"/>
      <c r="N56" s="633"/>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c r="CG56" s="244"/>
      <c r="CH56" s="244"/>
      <c r="CI56" s="244"/>
      <c r="CJ56" s="244"/>
      <c r="CK56" s="244"/>
      <c r="CL56" s="244"/>
      <c r="CM56" s="244"/>
    </row>
    <row r="57" ht="0" hidden="1" customHeight="1">
      <c r="C57" s="632"/>
      <c r="D57" s="632"/>
      <c r="E57" s="4"/>
      <c r="F57" s="88"/>
      <c r="G57" s="88"/>
      <c r="H57" s="88"/>
      <c r="I57" s="88"/>
      <c r="J57" s="633"/>
      <c r="K57" s="633"/>
      <c r="L57" s="633"/>
      <c r="M57" s="633"/>
      <c r="N57" s="633"/>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c r="CG57" s="244"/>
      <c r="CH57" s="244"/>
      <c r="CI57" s="244"/>
      <c r="CJ57" s="244"/>
      <c r="CK57" s="244"/>
      <c r="CL57" s="244"/>
      <c r="CM57" s="244"/>
    </row>
    <row r="58" ht="0" hidden="1" customHeight="1">
      <c r="C58" s="632"/>
      <c r="D58" s="632"/>
      <c r="E58" s="4"/>
      <c r="F58" s="88"/>
      <c r="G58" s="88"/>
      <c r="H58" s="88"/>
      <c r="I58" s="88"/>
      <c r="J58" s="633"/>
      <c r="K58" s="633"/>
      <c r="L58" s="633"/>
      <c r="M58" s="633"/>
      <c r="N58" s="633"/>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c r="CG58" s="244"/>
      <c r="CH58" s="244"/>
      <c r="CI58" s="244"/>
      <c r="CJ58" s="244"/>
      <c r="CK58" s="244"/>
      <c r="CL58" s="244"/>
      <c r="CM58" s="244"/>
    </row>
    <row r="59" ht="0" hidden="1" customHeight="1">
      <c r="C59" s="632"/>
      <c r="D59" s="632"/>
      <c r="E59" s="4"/>
      <c r="F59" s="88"/>
      <c r="G59" s="88"/>
      <c r="H59" s="88"/>
      <c r="I59" s="88"/>
      <c r="J59" s="633"/>
      <c r="K59" s="633"/>
      <c r="L59" s="633"/>
      <c r="M59" s="633"/>
      <c r="N59" s="633"/>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c r="CG59" s="244"/>
      <c r="CH59" s="244"/>
      <c r="CI59" s="244"/>
      <c r="CJ59" s="244"/>
      <c r="CK59" s="244"/>
      <c r="CL59" s="244"/>
      <c r="CM59" s="244"/>
    </row>
    <row r="60" ht="0" hidden="1" customHeight="1">
      <c r="C60" s="632"/>
      <c r="D60" s="632"/>
      <c r="E60" s="4"/>
      <c r="F60" s="88"/>
      <c r="G60" s="88"/>
      <c r="H60" s="88"/>
      <c r="I60" s="88"/>
      <c r="J60" s="633"/>
      <c r="K60" s="633"/>
      <c r="L60" s="633"/>
      <c r="M60" s="633"/>
      <c r="N60" s="633"/>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c r="CG60" s="244"/>
      <c r="CH60" s="244"/>
      <c r="CI60" s="244"/>
      <c r="CJ60" s="244"/>
      <c r="CK60" s="244"/>
      <c r="CL60" s="244"/>
      <c r="CM60" s="244"/>
    </row>
    <row r="61" ht="0" hidden="1" customHeight="1">
      <c r="C61" s="632"/>
      <c r="D61" s="632"/>
      <c r="E61" s="4"/>
      <c r="F61" s="88"/>
      <c r="G61" s="88"/>
      <c r="H61" s="88"/>
      <c r="I61" s="88"/>
      <c r="J61" s="633"/>
      <c r="K61" s="633"/>
      <c r="L61" s="633"/>
      <c r="M61" s="633"/>
      <c r="N61" s="633"/>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c r="CG61" s="244"/>
      <c r="CH61" s="244"/>
      <c r="CI61" s="244"/>
      <c r="CJ61" s="244"/>
      <c r="CK61" s="244"/>
      <c r="CL61" s="244"/>
      <c r="CM61" s="244"/>
    </row>
    <row r="62" ht="0" hidden="1" customHeight="1">
      <c r="C62" s="632"/>
      <c r="D62" s="632"/>
      <c r="E62" s="4"/>
      <c r="F62" s="88"/>
      <c r="G62" s="88"/>
      <c r="H62" s="88"/>
      <c r="I62" s="88"/>
      <c r="J62" s="633"/>
      <c r="K62" s="633"/>
      <c r="L62" s="633"/>
      <c r="M62" s="633"/>
      <c r="N62" s="633"/>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c r="CG62" s="244"/>
      <c r="CH62" s="244"/>
      <c r="CI62" s="244"/>
      <c r="CJ62" s="244"/>
      <c r="CK62" s="244"/>
      <c r="CL62" s="244"/>
      <c r="CM62" s="244"/>
    </row>
    <row r="63" ht="0" hidden="1" customHeight="1">
      <c r="C63" s="632"/>
      <c r="D63" s="632"/>
      <c r="E63" s="4"/>
      <c r="F63" s="88"/>
      <c r="G63" s="88"/>
      <c r="H63" s="88"/>
      <c r="I63" s="88"/>
      <c r="J63" s="633"/>
      <c r="K63" s="633"/>
      <c r="L63" s="633"/>
      <c r="M63" s="633"/>
      <c r="N63" s="633"/>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c r="CG63" s="244"/>
      <c r="CH63" s="244"/>
      <c r="CI63" s="244"/>
      <c r="CJ63" s="244"/>
      <c r="CK63" s="244"/>
      <c r="CL63" s="244"/>
      <c r="CM63" s="244"/>
    </row>
    <row r="64" ht="0" hidden="1" customHeight="1">
      <c r="C64" s="632"/>
      <c r="D64" s="632"/>
      <c r="E64" s="4"/>
      <c r="F64" s="88"/>
      <c r="G64" s="88"/>
      <c r="H64" s="88"/>
      <c r="I64" s="88"/>
      <c r="J64" s="633"/>
      <c r="K64" s="633"/>
      <c r="L64" s="633"/>
      <c r="M64" s="633"/>
      <c r="N64" s="633"/>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c r="CG64" s="244"/>
      <c r="CH64" s="244"/>
      <c r="CI64" s="244"/>
      <c r="CJ64" s="244"/>
      <c r="CK64" s="244"/>
      <c r="CL64" s="244"/>
      <c r="CM64" s="244"/>
    </row>
    <row r="65" ht="0" hidden="1" customHeight="1">
      <c r="C65" s="632"/>
      <c r="D65" s="632"/>
      <c r="E65" s="4"/>
      <c r="F65" s="88"/>
      <c r="G65" s="88"/>
      <c r="H65" s="88"/>
      <c r="I65" s="88"/>
      <c r="J65" s="633"/>
      <c r="K65" s="633"/>
      <c r="L65" s="633"/>
      <c r="M65" s="633"/>
      <c r="N65" s="633"/>
      <c r="BA65" s="244"/>
      <c r="BB65" s="244"/>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c r="CE65" s="244"/>
      <c r="CF65" s="244"/>
      <c r="CG65" s="244"/>
      <c r="CH65" s="244"/>
      <c r="CI65" s="244"/>
      <c r="CJ65" s="244"/>
      <c r="CK65" s="244"/>
      <c r="CL65" s="244"/>
      <c r="CM65" s="244"/>
    </row>
    <row r="66" ht="0" hidden="1" customHeight="1">
      <c r="C66" s="632"/>
      <c r="D66" s="632"/>
      <c r="E66" s="4"/>
      <c r="F66" s="88"/>
      <c r="G66" s="88"/>
      <c r="H66" s="88"/>
      <c r="I66" s="88"/>
      <c r="J66" s="633"/>
      <c r="K66" s="633"/>
      <c r="L66" s="633"/>
      <c r="M66" s="633"/>
      <c r="N66" s="633"/>
      <c r="BA66" s="244"/>
      <c r="BB66" s="244"/>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c r="CE66" s="244"/>
      <c r="CF66" s="244"/>
      <c r="CG66" s="244"/>
      <c r="CH66" s="244"/>
      <c r="CI66" s="244"/>
      <c r="CJ66" s="244"/>
      <c r="CK66" s="244"/>
      <c r="CL66" s="244"/>
      <c r="CM66" s="244"/>
    </row>
    <row r="67" ht="0" hidden="1" customHeight="1">
      <c r="C67" s="632"/>
      <c r="D67" s="632"/>
      <c r="E67" s="4"/>
      <c r="F67" s="88"/>
      <c r="G67" s="88"/>
      <c r="H67" s="88"/>
      <c r="I67" s="88"/>
      <c r="J67" s="633"/>
      <c r="K67" s="633"/>
      <c r="L67" s="633"/>
      <c r="M67" s="633"/>
      <c r="N67" s="633"/>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c r="CG67" s="244"/>
      <c r="CH67" s="244"/>
      <c r="CI67" s="244"/>
      <c r="CJ67" s="244"/>
      <c r="CK67" s="244"/>
      <c r="CL67" s="244"/>
      <c r="CM67" s="244"/>
    </row>
    <row r="68" ht="0" hidden="1" customHeight="1">
      <c r="C68" s="632"/>
      <c r="D68" s="632"/>
      <c r="E68" s="4"/>
      <c r="F68" s="88"/>
      <c r="G68" s="88"/>
      <c r="H68" s="88"/>
      <c r="I68" s="88"/>
      <c r="J68" s="633"/>
      <c r="K68" s="633"/>
      <c r="L68" s="633"/>
      <c r="M68" s="633"/>
      <c r="N68" s="633"/>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c r="CG68" s="244"/>
      <c r="CH68" s="244"/>
      <c r="CI68" s="244"/>
      <c r="CJ68" s="244"/>
      <c r="CK68" s="244"/>
      <c r="CL68" s="244"/>
      <c r="CM68" s="244"/>
    </row>
    <row r="69" ht="0" hidden="1" customHeight="1">
      <c r="C69" s="632"/>
      <c r="D69" s="632"/>
      <c r="E69" s="4"/>
      <c r="F69" s="88"/>
      <c r="G69" s="88"/>
      <c r="H69" s="88"/>
      <c r="I69" s="88"/>
      <c r="J69" s="633"/>
      <c r="K69" s="633"/>
      <c r="L69" s="633"/>
      <c r="M69" s="633"/>
      <c r="N69" s="633"/>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c r="CG69" s="244"/>
      <c r="CH69" s="244"/>
      <c r="CI69" s="244"/>
      <c r="CJ69" s="244"/>
      <c r="CK69" s="244"/>
      <c r="CL69" s="244"/>
      <c r="CM69" s="244"/>
    </row>
    <row r="70" ht="0" hidden="1" customHeight="1">
      <c r="C70" s="632"/>
      <c r="D70" s="632"/>
      <c r="E70" s="4"/>
      <c r="F70" s="88"/>
      <c r="G70" s="88"/>
      <c r="H70" s="88"/>
      <c r="I70" s="88"/>
      <c r="J70" s="633"/>
      <c r="K70" s="633"/>
      <c r="L70" s="633"/>
      <c r="M70" s="633"/>
      <c r="N70" s="633"/>
      <c r="BA70" s="244"/>
      <c r="BB70" s="244"/>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c r="CE70" s="244"/>
      <c r="CF70" s="244"/>
      <c r="CG70" s="244"/>
      <c r="CH70" s="244"/>
      <c r="CI70" s="244"/>
      <c r="CJ70" s="244"/>
      <c r="CK70" s="244"/>
      <c r="CL70" s="244"/>
      <c r="CM70" s="244"/>
    </row>
    <row r="71" ht="0" hidden="1" customHeight="1">
      <c r="C71" s="632"/>
      <c r="D71" s="632"/>
      <c r="E71" s="4"/>
      <c r="F71" s="88"/>
      <c r="G71" s="88"/>
      <c r="H71" s="88"/>
      <c r="I71" s="88"/>
      <c r="J71" s="633"/>
      <c r="K71" s="633"/>
      <c r="L71" s="633"/>
      <c r="M71" s="633"/>
      <c r="N71" s="633"/>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c r="CG71" s="244"/>
      <c r="CH71" s="244"/>
      <c r="CI71" s="244"/>
      <c r="CJ71" s="244"/>
      <c r="CK71" s="244"/>
      <c r="CL71" s="244"/>
      <c r="CM71" s="244"/>
    </row>
    <row r="72" ht="0" hidden="1" customHeight="1">
      <c r="C72" s="632"/>
      <c r="D72" s="632"/>
      <c r="E72" s="4"/>
      <c r="F72" s="88"/>
      <c r="G72" s="88"/>
      <c r="H72" s="88"/>
      <c r="I72" s="88"/>
      <c r="J72" s="633"/>
      <c r="K72" s="633"/>
      <c r="L72" s="633"/>
      <c r="M72" s="633"/>
      <c r="N72" s="633"/>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c r="CG72" s="244"/>
      <c r="CH72" s="244"/>
      <c r="CI72" s="244"/>
      <c r="CJ72" s="244"/>
      <c r="CK72" s="244"/>
      <c r="CL72" s="244"/>
      <c r="CM72" s="244"/>
    </row>
    <row r="73" ht="0" hidden="1" customHeight="1">
      <c r="C73" s="632"/>
      <c r="D73" s="632"/>
      <c r="E73" s="4"/>
      <c r="F73" s="88"/>
      <c r="G73" s="88"/>
      <c r="H73" s="88"/>
      <c r="I73" s="88"/>
      <c r="J73" s="633"/>
      <c r="K73" s="633"/>
      <c r="L73" s="633"/>
      <c r="M73" s="633"/>
      <c r="N73" s="633"/>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c r="CG73" s="244"/>
      <c r="CH73" s="244"/>
      <c r="CI73" s="244"/>
      <c r="CJ73" s="244"/>
      <c r="CK73" s="244"/>
      <c r="CL73" s="244"/>
      <c r="CM73" s="244"/>
    </row>
    <row r="74" ht="0" hidden="1" customHeight="1">
      <c r="C74" s="632"/>
      <c r="D74" s="632"/>
      <c r="E74" s="4"/>
      <c r="F74" s="88"/>
      <c r="G74" s="88"/>
      <c r="H74" s="88"/>
      <c r="I74" s="88"/>
      <c r="J74" s="633"/>
      <c r="K74" s="633"/>
      <c r="L74" s="633"/>
      <c r="M74" s="633"/>
      <c r="N74" s="633"/>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c r="CG74" s="244"/>
      <c r="CH74" s="244"/>
      <c r="CI74" s="244"/>
      <c r="CJ74" s="244"/>
      <c r="CK74" s="244"/>
      <c r="CL74" s="244"/>
      <c r="CM74" s="244"/>
    </row>
    <row r="75" ht="0" hidden="1" customHeight="1">
      <c r="C75" s="632"/>
      <c r="D75" s="632"/>
      <c r="E75" s="4"/>
      <c r="F75" s="88"/>
      <c r="G75" s="88"/>
      <c r="H75" s="88"/>
      <c r="I75" s="88"/>
      <c r="J75" s="633"/>
      <c r="K75" s="633"/>
      <c r="L75" s="633"/>
      <c r="M75" s="633"/>
      <c r="N75" s="633"/>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c r="CG75" s="244"/>
      <c r="CH75" s="244"/>
      <c r="CI75" s="244"/>
      <c r="CJ75" s="244"/>
      <c r="CK75" s="244"/>
      <c r="CL75" s="244"/>
      <c r="CM75" s="244"/>
    </row>
    <row r="76" ht="0" hidden="1" customHeight="1">
      <c r="C76" s="632"/>
      <c r="D76" s="632"/>
      <c r="E76" s="4"/>
      <c r="F76" s="88"/>
      <c r="G76" s="88"/>
      <c r="H76" s="88"/>
      <c r="I76" s="88"/>
      <c r="J76" s="633"/>
      <c r="K76" s="633"/>
      <c r="L76" s="633"/>
      <c r="M76" s="633"/>
      <c r="N76" s="633"/>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c r="CG76" s="244"/>
      <c r="CH76" s="244"/>
      <c r="CI76" s="244"/>
      <c r="CJ76" s="244"/>
      <c r="CK76" s="244"/>
      <c r="CL76" s="244"/>
      <c r="CM76" s="244"/>
    </row>
    <row r="77" ht="0" hidden="1" customHeight="1">
      <c r="C77" s="632"/>
      <c r="D77" s="632"/>
      <c r="E77" s="4"/>
      <c r="F77" s="88"/>
      <c r="G77" s="88"/>
      <c r="H77" s="88"/>
      <c r="I77" s="88"/>
      <c r="J77" s="633"/>
      <c r="K77" s="633"/>
      <c r="L77" s="633"/>
      <c r="M77" s="633"/>
      <c r="N77" s="633"/>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c r="CG77" s="244"/>
      <c r="CH77" s="244"/>
      <c r="CI77" s="244"/>
      <c r="CJ77" s="244"/>
      <c r="CK77" s="244"/>
      <c r="CL77" s="244"/>
      <c r="CM77" s="244"/>
    </row>
    <row r="78" ht="0" hidden="1" customHeight="1">
      <c r="C78" s="632"/>
      <c r="D78" s="632"/>
      <c r="E78" s="4"/>
      <c r="F78" s="88"/>
      <c r="G78" s="88"/>
      <c r="H78" s="88"/>
      <c r="I78" s="88"/>
      <c r="J78" s="633"/>
      <c r="K78" s="633"/>
      <c r="L78" s="633"/>
      <c r="M78" s="633"/>
      <c r="N78" s="633"/>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c r="CG78" s="244"/>
      <c r="CH78" s="244"/>
      <c r="CI78" s="244"/>
      <c r="CJ78" s="244"/>
      <c r="CK78" s="244"/>
      <c r="CL78" s="244"/>
      <c r="CM78" s="244"/>
    </row>
    <row r="79" ht="0" hidden="1" customHeight="1">
      <c r="C79" s="632"/>
      <c r="D79" s="632"/>
      <c r="E79" s="4"/>
      <c r="F79" s="88"/>
      <c r="G79" s="88"/>
      <c r="H79" s="88"/>
      <c r="I79" s="88"/>
      <c r="J79" s="633"/>
      <c r="K79" s="633"/>
      <c r="L79" s="633"/>
      <c r="M79" s="633"/>
      <c r="N79" s="633"/>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c r="CG79" s="244"/>
      <c r="CH79" s="244"/>
      <c r="CI79" s="244"/>
      <c r="CJ79" s="244"/>
      <c r="CK79" s="244"/>
      <c r="CL79" s="244"/>
      <c r="CM79" s="244"/>
    </row>
    <row r="80" ht="0" hidden="1" customHeight="1">
      <c r="C80" s="632"/>
      <c r="D80" s="632"/>
      <c r="E80" s="4"/>
      <c r="F80" s="88"/>
      <c r="G80" s="88"/>
      <c r="H80" s="88"/>
      <c r="I80" s="88"/>
      <c r="J80" s="633"/>
      <c r="K80" s="633"/>
      <c r="L80" s="633"/>
      <c r="M80" s="633"/>
      <c r="N80" s="633"/>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c r="CE80" s="244"/>
      <c r="CF80" s="244"/>
      <c r="CG80" s="244"/>
      <c r="CH80" s="244"/>
      <c r="CI80" s="244"/>
      <c r="CJ80" s="244"/>
      <c r="CK80" s="244"/>
      <c r="CL80" s="244"/>
      <c r="CM80" s="244"/>
    </row>
    <row r="81" ht="0" hidden="1" customHeight="1">
      <c r="C81" s="632"/>
      <c r="D81" s="632"/>
      <c r="E81" s="4"/>
      <c r="F81" s="88"/>
      <c r="G81" s="88"/>
      <c r="H81" s="88"/>
      <c r="I81" s="88"/>
      <c r="J81" s="633"/>
      <c r="K81" s="633"/>
      <c r="L81" s="633"/>
      <c r="M81" s="633"/>
      <c r="N81" s="633"/>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c r="CE81" s="244"/>
      <c r="CF81" s="244"/>
      <c r="CG81" s="244"/>
      <c r="CH81" s="244"/>
      <c r="CI81" s="244"/>
      <c r="CJ81" s="244"/>
      <c r="CK81" s="244"/>
      <c r="CL81" s="244"/>
      <c r="CM81" s="244"/>
    </row>
    <row r="82" ht="0" hidden="1" customHeight="1">
      <c r="C82" s="632"/>
      <c r="D82" s="632"/>
      <c r="E82" s="4"/>
      <c r="F82" s="88"/>
      <c r="G82" s="88"/>
      <c r="H82" s="88"/>
      <c r="I82" s="88"/>
      <c r="J82" s="633"/>
      <c r="K82" s="633"/>
      <c r="L82" s="633"/>
      <c r="M82" s="633"/>
      <c r="N82" s="633"/>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c r="CG82" s="244"/>
      <c r="CH82" s="244"/>
      <c r="CI82" s="244"/>
      <c r="CJ82" s="244"/>
      <c r="CK82" s="244"/>
      <c r="CL82" s="244"/>
      <c r="CM82" s="244"/>
    </row>
    <row r="83" ht="0" hidden="1" customHeight="1">
      <c r="C83" s="632"/>
      <c r="D83" s="632"/>
      <c r="E83" s="4"/>
      <c r="F83" s="88"/>
      <c r="G83" s="88"/>
      <c r="H83" s="88"/>
      <c r="I83" s="88"/>
      <c r="J83" s="633"/>
      <c r="K83" s="633"/>
      <c r="L83" s="633"/>
      <c r="M83" s="633"/>
      <c r="N83" s="633"/>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c r="CG83" s="244"/>
      <c r="CH83" s="244"/>
      <c r="CI83" s="244"/>
      <c r="CJ83" s="244"/>
      <c r="CK83" s="244"/>
      <c r="CL83" s="244"/>
      <c r="CM83" s="244"/>
    </row>
    <row r="84" ht="0" hidden="1" customHeight="1">
      <c r="C84" s="632"/>
      <c r="D84" s="632"/>
      <c r="E84" s="4"/>
      <c r="F84" s="88"/>
      <c r="G84" s="88"/>
      <c r="H84" s="88"/>
      <c r="I84" s="88"/>
      <c r="J84" s="633"/>
      <c r="K84" s="633"/>
      <c r="L84" s="633"/>
      <c r="M84" s="633"/>
      <c r="N84" s="633"/>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c r="CG84" s="244"/>
      <c r="CH84" s="244"/>
      <c r="CI84" s="244"/>
      <c r="CJ84" s="244"/>
      <c r="CK84" s="244"/>
      <c r="CL84" s="244"/>
      <c r="CM84" s="244"/>
    </row>
    <row r="85" ht="0" hidden="1" customHeight="1">
      <c r="C85" s="632"/>
      <c r="D85" s="632"/>
      <c r="E85" s="4"/>
      <c r="F85" s="88"/>
      <c r="G85" s="88"/>
      <c r="H85" s="88"/>
      <c r="I85" s="88"/>
      <c r="J85" s="633"/>
      <c r="K85" s="633"/>
      <c r="L85" s="633"/>
      <c r="M85" s="633"/>
      <c r="N85" s="633"/>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c r="CE85" s="244"/>
      <c r="CF85" s="244"/>
      <c r="CG85" s="244"/>
      <c r="CH85" s="244"/>
      <c r="CI85" s="244"/>
      <c r="CJ85" s="244"/>
      <c r="CK85" s="244"/>
      <c r="CL85" s="244"/>
      <c r="CM85" s="244"/>
    </row>
    <row r="86" ht="0" hidden="1" customHeight="1">
      <c r="C86" s="632"/>
      <c r="D86" s="632"/>
      <c r="E86" s="4"/>
      <c r="F86" s="88"/>
      <c r="G86" s="88"/>
      <c r="H86" s="88"/>
      <c r="I86" s="88"/>
      <c r="J86" s="633"/>
      <c r="K86" s="633"/>
      <c r="L86" s="633"/>
      <c r="M86" s="633"/>
      <c r="N86" s="633"/>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c r="CG86" s="244"/>
      <c r="CH86" s="244"/>
      <c r="CI86" s="244"/>
      <c r="CJ86" s="244"/>
      <c r="CK86" s="244"/>
      <c r="CL86" s="244"/>
      <c r="CM86" s="244"/>
    </row>
    <row r="87" ht="0" hidden="1" customHeight="1">
      <c r="C87" s="632"/>
      <c r="D87" s="632"/>
      <c r="E87" s="4"/>
      <c r="F87" s="88"/>
      <c r="G87" s="88"/>
      <c r="H87" s="88"/>
      <c r="I87" s="88"/>
      <c r="J87" s="633"/>
      <c r="K87" s="633"/>
      <c r="L87" s="633"/>
      <c r="M87" s="633"/>
      <c r="N87" s="633"/>
      <c r="BA87" s="244"/>
      <c r="BB87" s="244"/>
      <c r="BC87" s="244"/>
      <c r="BD87" s="244"/>
      <c r="BE87" s="244"/>
      <c r="BF87" s="244"/>
      <c r="BG87" s="244"/>
      <c r="BH87" s="244"/>
      <c r="BI87" s="244"/>
      <c r="BJ87" s="244"/>
      <c r="BK87" s="244"/>
      <c r="BL87" s="244"/>
      <c r="BM87" s="244"/>
      <c r="BN87" s="244"/>
      <c r="BO87" s="244"/>
      <c r="BP87" s="244"/>
      <c r="BQ87" s="244"/>
      <c r="BR87" s="244"/>
      <c r="BS87" s="244"/>
      <c r="BT87" s="244"/>
      <c r="BU87" s="244"/>
      <c r="BV87" s="244"/>
      <c r="BW87" s="244"/>
      <c r="BX87" s="244"/>
      <c r="BY87" s="244"/>
      <c r="BZ87" s="244"/>
      <c r="CA87" s="244"/>
      <c r="CB87" s="244"/>
      <c r="CC87" s="244"/>
      <c r="CD87" s="244"/>
      <c r="CE87" s="244"/>
      <c r="CF87" s="244"/>
      <c r="CG87" s="244"/>
      <c r="CH87" s="244"/>
      <c r="CI87" s="244"/>
      <c r="CJ87" s="244"/>
      <c r="CK87" s="244"/>
      <c r="CL87" s="244"/>
      <c r="CM87" s="244"/>
    </row>
    <row r="88" ht="0" hidden="1" customHeight="1">
      <c r="C88" s="632"/>
      <c r="D88" s="632"/>
      <c r="E88" s="4"/>
      <c r="F88" s="88"/>
      <c r="G88" s="88"/>
      <c r="H88" s="88"/>
      <c r="I88" s="88"/>
      <c r="J88" s="633"/>
      <c r="K88" s="633"/>
      <c r="L88" s="633"/>
      <c r="M88" s="633"/>
      <c r="N88" s="633"/>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c r="CE88" s="244"/>
      <c r="CF88" s="244"/>
      <c r="CG88" s="244"/>
      <c r="CH88" s="244"/>
      <c r="CI88" s="244"/>
      <c r="CJ88" s="244"/>
      <c r="CK88" s="244"/>
      <c r="CL88" s="244"/>
      <c r="CM88" s="244"/>
    </row>
    <row r="89" ht="0" hidden="1" customHeight="1">
      <c r="C89" s="632"/>
      <c r="D89" s="632"/>
      <c r="E89" s="4"/>
      <c r="F89" s="88"/>
      <c r="G89" s="88"/>
      <c r="H89" s="88"/>
      <c r="I89" s="88"/>
      <c r="J89" s="633"/>
      <c r="K89" s="633"/>
      <c r="L89" s="633"/>
      <c r="M89" s="633"/>
      <c r="N89" s="633"/>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c r="CE89" s="244"/>
      <c r="CF89" s="244"/>
      <c r="CG89" s="244"/>
      <c r="CH89" s="244"/>
      <c r="CI89" s="244"/>
      <c r="CJ89" s="244"/>
      <c r="CK89" s="244"/>
      <c r="CL89" s="244"/>
      <c r="CM89" s="244"/>
    </row>
    <row r="90" ht="0" hidden="1" customHeight="1">
      <c r="C90" s="632"/>
      <c r="D90" s="632"/>
      <c r="E90" s="4"/>
      <c r="F90" s="88"/>
      <c r="G90" s="88"/>
      <c r="H90" s="88"/>
      <c r="I90" s="88"/>
      <c r="J90" s="633"/>
      <c r="K90" s="633"/>
      <c r="L90" s="633"/>
      <c r="M90" s="633"/>
      <c r="N90" s="633"/>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c r="CE90" s="244"/>
      <c r="CF90" s="244"/>
      <c r="CG90" s="244"/>
      <c r="CH90" s="244"/>
      <c r="CI90" s="244"/>
      <c r="CJ90" s="244"/>
      <c r="CK90" s="244"/>
      <c r="CL90" s="244"/>
      <c r="CM90" s="244"/>
    </row>
    <row r="91" ht="0" hidden="1" customHeight="1">
      <c r="C91" s="632"/>
      <c r="D91" s="632"/>
      <c r="E91" s="4"/>
      <c r="F91" s="88"/>
      <c r="G91" s="88"/>
      <c r="H91" s="88"/>
      <c r="I91" s="88"/>
      <c r="J91" s="633"/>
      <c r="K91" s="633"/>
      <c r="L91" s="633"/>
      <c r="M91" s="633"/>
      <c r="N91" s="633"/>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c r="CF91" s="244"/>
      <c r="CG91" s="244"/>
      <c r="CH91" s="244"/>
      <c r="CI91" s="244"/>
      <c r="CJ91" s="244"/>
      <c r="CK91" s="244"/>
      <c r="CL91" s="244"/>
      <c r="CM91" s="244"/>
    </row>
    <row r="92" ht="0" hidden="1" customHeight="1">
      <c r="C92" s="632"/>
      <c r="D92" s="632"/>
      <c r="E92" s="4"/>
      <c r="F92" s="88"/>
      <c r="G92" s="88"/>
      <c r="H92" s="88"/>
      <c r="I92" s="88"/>
      <c r="J92" s="633"/>
      <c r="K92" s="633"/>
      <c r="L92" s="633"/>
      <c r="M92" s="633"/>
      <c r="N92" s="633"/>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c r="CE92" s="244"/>
      <c r="CF92" s="244"/>
      <c r="CG92" s="244"/>
      <c r="CH92" s="244"/>
      <c r="CI92" s="244"/>
      <c r="CJ92" s="244"/>
      <c r="CK92" s="244"/>
      <c r="CL92" s="244"/>
      <c r="CM92" s="244"/>
    </row>
    <row r="93" ht="0" hidden="1" customHeight="1">
      <c r="C93" s="632"/>
      <c r="D93" s="632"/>
      <c r="E93" s="4"/>
      <c r="F93" s="88"/>
      <c r="G93" s="88"/>
      <c r="H93" s="88"/>
      <c r="I93" s="88"/>
      <c r="J93" s="633"/>
      <c r="K93" s="633"/>
      <c r="L93" s="633"/>
      <c r="M93" s="633"/>
      <c r="N93" s="633"/>
      <c r="BA93" s="244"/>
      <c r="BB93" s="244"/>
      <c r="BC93" s="244"/>
      <c r="BD93" s="244"/>
      <c r="BE93" s="244"/>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4"/>
      <c r="CB93" s="244"/>
      <c r="CC93" s="244"/>
      <c r="CD93" s="244"/>
      <c r="CE93" s="244"/>
      <c r="CF93" s="244"/>
      <c r="CG93" s="244"/>
      <c r="CH93" s="244"/>
      <c r="CI93" s="244"/>
      <c r="CJ93" s="244"/>
      <c r="CK93" s="244"/>
      <c r="CL93" s="244"/>
      <c r="CM93" s="244"/>
    </row>
    <row r="94" ht="0" hidden="1" customHeight="1">
      <c r="C94" s="632"/>
      <c r="D94" s="632"/>
      <c r="E94" s="4"/>
      <c r="F94" s="88"/>
      <c r="G94" s="88"/>
      <c r="H94" s="88"/>
      <c r="I94" s="88"/>
      <c r="J94" s="633"/>
      <c r="K94" s="633"/>
      <c r="L94" s="633"/>
      <c r="M94" s="633"/>
      <c r="N94" s="633"/>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4"/>
      <c r="CE94" s="244"/>
      <c r="CF94" s="244"/>
      <c r="CG94" s="244"/>
      <c r="CH94" s="244"/>
      <c r="CI94" s="244"/>
      <c r="CJ94" s="244"/>
      <c r="CK94" s="244"/>
      <c r="CL94" s="244"/>
      <c r="CM94" s="244"/>
    </row>
    <row r="95" ht="0" hidden="1" customHeight="1">
      <c r="C95" s="632"/>
      <c r="D95" s="632"/>
      <c r="E95" s="4"/>
      <c r="F95" s="88"/>
      <c r="G95" s="88"/>
      <c r="H95" s="88"/>
      <c r="I95" s="88"/>
      <c r="J95" s="633"/>
      <c r="K95" s="633"/>
      <c r="L95" s="633"/>
      <c r="M95" s="633"/>
      <c r="N95" s="633"/>
      <c r="BA95" s="244"/>
      <c r="BB95" s="244"/>
      <c r="BC95" s="244"/>
      <c r="BD95" s="244"/>
      <c r="BE95" s="244"/>
      <c r="BF95" s="244"/>
      <c r="BG95" s="244"/>
      <c r="BH95" s="244"/>
      <c r="BI95" s="244"/>
      <c r="BJ95" s="244"/>
      <c r="BK95" s="244"/>
      <c r="BL95" s="244"/>
      <c r="BM95" s="244"/>
      <c r="BN95" s="244"/>
      <c r="BO95" s="244"/>
      <c r="BP95" s="244"/>
      <c r="BQ95" s="244"/>
      <c r="BR95" s="244"/>
      <c r="BS95" s="244"/>
      <c r="BT95" s="244"/>
      <c r="BU95" s="244"/>
      <c r="BV95" s="244"/>
      <c r="BW95" s="244"/>
      <c r="BX95" s="244"/>
      <c r="BY95" s="244"/>
      <c r="BZ95" s="244"/>
      <c r="CA95" s="244"/>
      <c r="CB95" s="244"/>
      <c r="CC95" s="244"/>
      <c r="CD95" s="244"/>
      <c r="CE95" s="244"/>
      <c r="CF95" s="244"/>
      <c r="CG95" s="244"/>
      <c r="CH95" s="244"/>
      <c r="CI95" s="244"/>
      <c r="CJ95" s="244"/>
      <c r="CK95" s="244"/>
      <c r="CL95" s="244"/>
      <c r="CM95" s="244"/>
    </row>
    <row r="96" ht="0" hidden="1" customHeight="1">
      <c r="C96" s="632"/>
      <c r="D96" s="632"/>
      <c r="E96" s="4"/>
      <c r="F96" s="88"/>
      <c r="G96" s="88"/>
      <c r="H96" s="88"/>
      <c r="I96" s="88"/>
      <c r="J96" s="633"/>
      <c r="K96" s="633"/>
      <c r="L96" s="633"/>
      <c r="M96" s="633"/>
      <c r="N96" s="633"/>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4"/>
      <c r="BX96" s="244"/>
      <c r="BY96" s="244"/>
      <c r="BZ96" s="244"/>
      <c r="CA96" s="244"/>
      <c r="CB96" s="244"/>
      <c r="CC96" s="244"/>
      <c r="CD96" s="244"/>
      <c r="CE96" s="244"/>
      <c r="CF96" s="244"/>
      <c r="CG96" s="244"/>
      <c r="CH96" s="244"/>
      <c r="CI96" s="244"/>
      <c r="CJ96" s="244"/>
      <c r="CK96" s="244"/>
      <c r="CL96" s="244"/>
      <c r="CM96" s="244"/>
    </row>
    <row r="97" s="117" customFormat="1" ht="0" hidden="1" customHeight="1">
      <c r="A97"/>
      <c r="B97" s="21"/>
      <c r="C97" s="632"/>
      <c r="D97" s="632"/>
      <c r="E97" s="4"/>
      <c r="F97" s="88"/>
      <c r="G97" s="88"/>
      <c r="H97" s="88"/>
      <c r="I97" s="88"/>
      <c r="J97" s="633"/>
      <c r="K97" s="633"/>
      <c r="L97" s="633"/>
      <c r="M97" s="633"/>
      <c r="N97" s="633"/>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s="247"/>
      <c r="BB97" s="247"/>
      <c r="BC97" s="247"/>
      <c r="BD97" s="247"/>
      <c r="BE97" s="247"/>
      <c r="BF97" s="247"/>
      <c r="BG97" s="247"/>
      <c r="BH97" s="247"/>
      <c r="BI97" s="247"/>
      <c r="BJ97" s="247"/>
      <c r="BK97" s="247"/>
      <c r="BL97" s="247"/>
      <c r="BM97" s="247"/>
      <c r="BN97" s="247"/>
      <c r="BO97" s="247"/>
      <c r="BP97" s="247"/>
      <c r="BQ97" s="247"/>
      <c r="BR97" s="247"/>
      <c r="BS97" s="247"/>
      <c r="BT97" s="247"/>
      <c r="BU97" s="247"/>
      <c r="BV97" s="247"/>
      <c r="BW97" s="247"/>
      <c r="BX97" s="247"/>
      <c r="BY97" s="247"/>
      <c r="BZ97" s="247"/>
      <c r="CA97" s="247"/>
      <c r="CB97" s="247"/>
      <c r="CC97" s="247"/>
      <c r="CD97" s="247"/>
      <c r="CE97" s="247"/>
      <c r="CF97" s="247"/>
      <c r="CG97" s="247"/>
      <c r="CH97" s="247"/>
      <c r="CI97" s="247"/>
      <c r="CJ97" s="247"/>
      <c r="CK97" s="247"/>
      <c r="CL97" s="247"/>
      <c r="CM97" s="247"/>
    </row>
    <row r="98" ht="0" hidden="1" customHeight="1">
      <c r="C98" s="632"/>
      <c r="D98" s="632"/>
      <c r="E98" s="4"/>
      <c r="F98" s="88"/>
      <c r="G98" s="88"/>
      <c r="H98" s="88"/>
      <c r="I98" s="88"/>
      <c r="J98" s="633"/>
      <c r="K98" s="633"/>
      <c r="L98" s="633"/>
      <c r="M98" s="633"/>
      <c r="N98" s="633"/>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c r="CG98" s="244"/>
      <c r="CH98" s="244"/>
      <c r="CI98" s="244"/>
      <c r="CJ98" s="244"/>
      <c r="CK98" s="244"/>
      <c r="CL98" s="244"/>
      <c r="CM98" s="244"/>
    </row>
    <row r="99" ht="0" hidden="1" customHeight="1">
      <c r="C99" s="632"/>
      <c r="D99" s="632"/>
      <c r="E99" s="4"/>
      <c r="F99" s="88"/>
      <c r="G99" s="88"/>
      <c r="H99" s="88"/>
      <c r="I99" s="88"/>
      <c r="J99" s="633"/>
      <c r="K99" s="633"/>
      <c r="L99" s="633"/>
      <c r="M99" s="633"/>
      <c r="N99" s="633"/>
      <c r="BA99" s="244"/>
      <c r="BB99" s="244"/>
      <c r="BC99" s="244"/>
      <c r="BD99" s="244"/>
      <c r="BE99" s="244"/>
      <c r="BF99" s="244"/>
      <c r="BG99" s="244"/>
      <c r="BH99" s="244"/>
      <c r="BI99" s="244"/>
      <c r="BJ99" s="244"/>
      <c r="BK99" s="244"/>
      <c r="BL99" s="244"/>
      <c r="BM99" s="244"/>
      <c r="BN99" s="244"/>
      <c r="BO99" s="244"/>
      <c r="BP99" s="244"/>
      <c r="BQ99" s="244"/>
      <c r="BR99" s="244"/>
      <c r="BS99" s="244"/>
      <c r="BT99" s="244"/>
      <c r="BU99" s="244"/>
      <c r="BV99" s="244"/>
      <c r="BW99" s="244"/>
      <c r="BX99" s="244"/>
      <c r="BY99" s="244"/>
      <c r="BZ99" s="244"/>
      <c r="CA99" s="244"/>
      <c r="CB99" s="244"/>
      <c r="CC99" s="244"/>
      <c r="CD99" s="244"/>
      <c r="CE99" s="244"/>
      <c r="CF99" s="244"/>
      <c r="CG99" s="244"/>
      <c r="CH99" s="244"/>
      <c r="CI99" s="244"/>
      <c r="CJ99" s="244"/>
      <c r="CK99" s="244"/>
      <c r="CL99" s="244"/>
      <c r="CM99" s="244"/>
    </row>
    <row r="100" ht="0" hidden="1" customHeight="1">
      <c r="C100" s="632"/>
      <c r="D100" s="632"/>
      <c r="E100" s="4"/>
      <c r="F100" s="88"/>
      <c r="G100" s="88"/>
      <c r="H100" s="88"/>
      <c r="I100" s="88"/>
      <c r="J100" s="633"/>
      <c r="K100" s="633"/>
      <c r="L100" s="633"/>
      <c r="M100" s="633"/>
      <c r="N100" s="633"/>
      <c r="BA100" s="244"/>
      <c r="BB100" s="244"/>
      <c r="BC100" s="244"/>
      <c r="BD100" s="244"/>
      <c r="BE100" s="244"/>
      <c r="BF100" s="244"/>
      <c r="BG100" s="244"/>
      <c r="BH100" s="244"/>
      <c r="BI100" s="244"/>
      <c r="BJ100" s="244"/>
      <c r="BK100" s="244"/>
      <c r="BL100" s="244"/>
      <c r="BM100" s="244"/>
      <c r="BN100" s="244"/>
      <c r="BO100" s="244"/>
      <c r="BP100" s="244"/>
      <c r="BQ100" s="244"/>
      <c r="BR100" s="244"/>
      <c r="BS100" s="244"/>
      <c r="BT100" s="244"/>
      <c r="BU100" s="244"/>
      <c r="BV100" s="244"/>
      <c r="BW100" s="244"/>
      <c r="BX100" s="244"/>
      <c r="BY100" s="244"/>
      <c r="BZ100" s="244"/>
      <c r="CA100" s="244"/>
      <c r="CB100" s="244"/>
      <c r="CC100" s="244"/>
      <c r="CD100" s="244"/>
      <c r="CE100" s="244"/>
      <c r="CF100" s="244"/>
      <c r="CG100" s="244"/>
      <c r="CH100" s="244"/>
      <c r="CI100" s="244"/>
      <c r="CJ100" s="244"/>
      <c r="CK100" s="244"/>
      <c r="CL100" s="244"/>
      <c r="CM100" s="244"/>
    </row>
    <row r="101" ht="0" hidden="1" customHeight="1">
      <c r="B101" s="167"/>
      <c r="C101" s="209"/>
      <c r="F101" s="168"/>
      <c r="G101" s="168"/>
      <c r="H101" s="168"/>
      <c r="AU101" s="4"/>
      <c r="AV101" s="4"/>
      <c r="AW101" s="4"/>
      <c r="AX101" s="155"/>
      <c r="BA101" s="244"/>
      <c r="BB101" s="244"/>
      <c r="BC101" s="244"/>
      <c r="BD101" s="244"/>
      <c r="BE101" s="244"/>
      <c r="BF101" s="244"/>
      <c r="BG101" s="244"/>
      <c r="BH101" s="244"/>
      <c r="BI101" s="244"/>
      <c r="BJ101" s="244"/>
      <c r="BK101" s="244"/>
      <c r="BL101" s="244"/>
      <c r="BM101" s="244"/>
      <c r="BN101" s="244"/>
      <c r="BO101" s="244"/>
      <c r="BP101" s="244"/>
      <c r="BQ101" s="244"/>
      <c r="BR101" s="244"/>
      <c r="BS101" s="244"/>
      <c r="BT101" s="244"/>
      <c r="BU101" s="244"/>
      <c r="BV101" s="244"/>
      <c r="BW101" s="244"/>
      <c r="BX101" s="244"/>
      <c r="BY101" s="244"/>
      <c r="BZ101" s="244"/>
      <c r="CA101" s="244"/>
      <c r="CB101" s="244"/>
      <c r="CC101" s="244"/>
      <c r="CD101" s="244"/>
      <c r="CE101" s="244"/>
      <c r="CF101" s="244"/>
      <c r="CG101" s="244"/>
      <c r="CH101" s="244"/>
      <c r="CI101" s="244"/>
      <c r="CJ101" s="244"/>
      <c r="CK101" s="244"/>
      <c r="CL101" s="244"/>
      <c r="CM101" s="244"/>
    </row>
    <row r="102" ht="18" customHeight="1">
      <c r="B102" s="167"/>
      <c r="C102" s="209"/>
      <c r="F102" s="168"/>
      <c r="G102" s="168"/>
      <c r="H102" s="168"/>
      <c r="AU102" s="4"/>
      <c r="AV102" s="4"/>
      <c r="AW102" s="4"/>
      <c r="AX102" s="155"/>
      <c r="BA102" s="244"/>
      <c r="BB102" s="244"/>
      <c r="BC102" s="244"/>
      <c r="BD102" s="244"/>
      <c r="BE102" s="244"/>
      <c r="BF102" s="244"/>
      <c r="BG102" s="244"/>
      <c r="BH102" s="244"/>
      <c r="BI102" s="244"/>
      <c r="BJ102" s="244"/>
      <c r="BK102" s="244"/>
      <c r="BL102" s="244"/>
      <c r="BM102" s="244"/>
      <c r="BN102" s="244"/>
      <c r="BO102" s="244"/>
      <c r="BP102" s="244"/>
      <c r="BQ102" s="244"/>
      <c r="BR102" s="244"/>
      <c r="BS102" s="244"/>
      <c r="BT102" s="244"/>
      <c r="BU102" s="244"/>
      <c r="BV102" s="244"/>
      <c r="BW102" s="244"/>
      <c r="BX102" s="244"/>
      <c r="BY102" s="244"/>
      <c r="BZ102" s="244"/>
      <c r="CA102" s="244"/>
      <c r="CB102" s="244"/>
      <c r="CC102" s="244"/>
      <c r="CD102" s="244"/>
      <c r="CE102" s="244"/>
      <c r="CF102" s="244"/>
      <c r="CG102" s="244"/>
      <c r="CH102" s="244"/>
      <c r="CI102" s="244"/>
      <c r="CJ102" s="244"/>
      <c r="CK102" s="244"/>
      <c r="CL102" s="244"/>
      <c r="CM102" s="244"/>
    </row>
    <row r="103" ht="39.95" customHeight="1">
      <c r="C103" s="634" t="s">
        <v>114</v>
      </c>
      <c r="D103" s="634"/>
      <c r="E103" s="634"/>
      <c r="F103" s="634"/>
      <c r="G103" s="634"/>
      <c r="H103" s="634"/>
      <c r="I103" s="634"/>
      <c r="J103" s="634"/>
      <c r="K103" s="634"/>
      <c r="L103" s="634"/>
      <c r="M103" s="634"/>
      <c r="N103" s="634"/>
      <c r="O103" s="634"/>
      <c r="P103" s="634"/>
      <c r="Q103" s="634"/>
      <c r="R103" s="634"/>
      <c r="S103" s="634"/>
      <c r="T103" s="634"/>
      <c r="U103" s="634"/>
      <c r="V103" s="634"/>
      <c r="W103" s="634"/>
      <c r="X103" s="634"/>
      <c r="Y103" s="634"/>
      <c r="Z103" s="634"/>
      <c r="AA103" s="634"/>
      <c r="AB103" s="634"/>
      <c r="AC103" s="634"/>
      <c r="AD103" s="634"/>
      <c r="AE103" s="634"/>
      <c r="AF103" s="634"/>
      <c r="AG103" s="634"/>
      <c r="AH103" s="634"/>
      <c r="AI103" s="634"/>
      <c r="AJ103" s="634"/>
      <c r="AK103" s="634"/>
      <c r="AL103" s="634"/>
      <c r="AM103" s="634"/>
      <c r="AN103" s="634"/>
      <c r="AO103" s="634"/>
      <c r="AP103" s="634"/>
      <c r="AQ103" s="634"/>
      <c r="AR103" s="634"/>
      <c r="AS103" s="634"/>
      <c r="AT103" s="634"/>
      <c r="AU103" s="634"/>
      <c r="AV103" s="634"/>
      <c r="AW103" s="634"/>
      <c r="AX103" s="634"/>
      <c r="BA103" s="244"/>
      <c r="BB103" s="244"/>
      <c r="BC103" s="244"/>
      <c r="BD103" s="244"/>
      <c r="BE103" s="244"/>
      <c r="BF103" s="244"/>
      <c r="BG103" s="244"/>
      <c r="BH103" s="244"/>
      <c r="BI103" s="244"/>
      <c r="BJ103" s="244"/>
      <c r="BK103" s="244"/>
      <c r="BL103" s="244"/>
      <c r="BM103" s="244"/>
      <c r="BN103" s="244"/>
      <c r="BO103" s="244"/>
      <c r="BP103" s="244"/>
      <c r="BQ103" s="244"/>
      <c r="BR103" s="244"/>
      <c r="BS103" s="244"/>
      <c r="BT103" s="244"/>
      <c r="BU103" s="244"/>
      <c r="BV103" s="244"/>
      <c r="BW103" s="244"/>
      <c r="BX103" s="244"/>
      <c r="BY103" s="244"/>
      <c r="BZ103" s="244"/>
      <c r="CA103" s="244"/>
      <c r="CB103" s="244"/>
      <c r="CC103" s="244"/>
      <c r="CD103" s="244"/>
      <c r="CE103" s="244"/>
      <c r="CF103" s="244"/>
      <c r="CG103" s="244"/>
      <c r="CH103" s="244"/>
      <c r="CI103" s="244"/>
      <c r="CJ103" s="244"/>
      <c r="CK103" s="244"/>
      <c r="CL103" s="244"/>
      <c r="CM103" s="244"/>
    </row>
    <row r="104" ht="18" customHeight="1">
      <c r="C104" s="632"/>
      <c r="D104" s="632"/>
      <c r="BA104" s="244"/>
      <c r="BB104" s="244"/>
      <c r="BC104" s="244"/>
      <c r="BD104" s="244"/>
      <c r="BE104" s="244"/>
      <c r="BF104" s="244"/>
      <c r="BG104" s="244"/>
      <c r="BH104" s="244"/>
      <c r="BI104" s="244"/>
      <c r="BJ104" s="244"/>
      <c r="BK104" s="244"/>
      <c r="BL104" s="244"/>
      <c r="BM104" s="244"/>
      <c r="BN104" s="244"/>
      <c r="BO104" s="244"/>
      <c r="BP104" s="244"/>
      <c r="BQ104" s="244"/>
      <c r="BR104" s="244"/>
      <c r="BS104" s="244"/>
      <c r="BT104" s="244"/>
      <c r="BU104" s="244"/>
      <c r="BV104" s="244"/>
      <c r="BW104" s="244"/>
      <c r="BX104" s="244"/>
      <c r="BY104" s="244"/>
      <c r="BZ104" s="244"/>
      <c r="CA104" s="244"/>
      <c r="CB104" s="244"/>
      <c r="CC104" s="244"/>
      <c r="CD104" s="244"/>
      <c r="CE104" s="244"/>
      <c r="CF104" s="244"/>
      <c r="CG104" s="244"/>
      <c r="CH104" s="244"/>
      <c r="CI104" s="244"/>
      <c r="CJ104" s="244"/>
      <c r="CK104" s="244"/>
      <c r="CL104" s="244"/>
      <c r="CM104" s="244"/>
    </row>
    <row r="105">
      <c r="A105" s="679"/>
      <c r="B105" s="679"/>
      <c r="C105" s="679"/>
      <c r="D105" s="679"/>
      <c r="E105" s="679"/>
      <c r="F105" s="679"/>
      <c r="G105" s="679"/>
      <c r="H105" s="679"/>
      <c r="I105" s="679"/>
      <c r="J105" s="679"/>
      <c r="K105" s="679"/>
      <c r="L105" s="679"/>
      <c r="M105" s="679"/>
      <c r="N105" s="679"/>
      <c r="O105" s="679"/>
      <c r="P105" s="679"/>
      <c r="Q105" s="679"/>
      <c r="R105" s="679"/>
      <c r="S105" s="679"/>
      <c r="T105" s="679"/>
      <c r="U105" s="679"/>
      <c r="V105" s="679"/>
      <c r="W105" s="679"/>
      <c r="X105" s="679"/>
      <c r="Y105" s="679"/>
      <c r="Z105" s="679"/>
      <c r="AA105" s="679"/>
      <c r="AB105" s="679"/>
      <c r="AC105" s="679"/>
      <c r="AD105" s="679"/>
      <c r="AE105" s="679"/>
      <c r="AF105" s="679"/>
      <c r="AG105" s="679"/>
      <c r="AH105" s="679"/>
      <c r="AI105" s="679"/>
      <c r="AJ105" s="679"/>
      <c r="AK105" s="679"/>
      <c r="AL105" s="679"/>
      <c r="AM105" s="679"/>
      <c r="AN105" s="679"/>
      <c r="AO105" s="679"/>
      <c r="AP105" s="679"/>
      <c r="AQ105" s="679"/>
      <c r="AR105" s="679"/>
      <c r="AS105" s="679"/>
      <c r="AT105" s="679"/>
      <c r="AU105" s="679"/>
      <c r="AV105" s="679"/>
      <c r="AW105" s="679"/>
      <c r="AX105" s="679"/>
      <c r="AY105" s="679"/>
      <c r="AZ105" s="679"/>
      <c r="BA105" s="679"/>
      <c r="BB105" s="679"/>
      <c r="BC105" s="679"/>
      <c r="BD105" s="679"/>
      <c r="BE105" s="679"/>
      <c r="BF105" s="679"/>
      <c r="BG105" s="679"/>
      <c r="BH105" s="679"/>
      <c r="BI105" s="679"/>
      <c r="BJ105" s="679"/>
      <c r="BK105" s="679"/>
      <c r="BL105" s="679"/>
      <c r="BM105" s="679"/>
      <c r="BN105" s="679"/>
      <c r="BO105" s="679"/>
      <c r="BP105" s="679"/>
      <c r="BQ105" s="679"/>
      <c r="BR105" s="244"/>
      <c r="BS105" s="244"/>
      <c r="BT105" s="244"/>
      <c r="BU105" s="244"/>
      <c r="BV105" s="244"/>
      <c r="BW105" s="244"/>
      <c r="BX105" s="244"/>
      <c r="BY105" s="244"/>
      <c r="BZ105" s="244"/>
      <c r="CA105" s="244"/>
      <c r="CB105" s="244"/>
      <c r="CC105" s="244"/>
      <c r="CD105" s="244"/>
      <c r="CE105" s="244"/>
      <c r="CF105" s="244"/>
      <c r="CG105" s="244"/>
      <c r="CH105" s="244"/>
      <c r="CI105" s="244"/>
      <c r="CJ105" s="244"/>
      <c r="CK105" s="244"/>
      <c r="CL105" s="244"/>
      <c r="CM105" s="244"/>
    </row>
    <row r="106">
      <c r="A106" s="679"/>
      <c r="B106" s="679"/>
      <c r="C106" s="679"/>
      <c r="D106" s="679"/>
      <c r="E106" s="679"/>
      <c r="F106" s="679"/>
      <c r="G106" s="679"/>
      <c r="H106" s="679"/>
      <c r="I106" s="679"/>
      <c r="J106" s="679"/>
      <c r="K106" s="679"/>
      <c r="L106" s="679"/>
      <c r="M106" s="679"/>
      <c r="N106" s="679"/>
      <c r="O106" s="679"/>
      <c r="P106" s="679"/>
      <c r="Q106" s="679"/>
      <c r="R106" s="679"/>
      <c r="S106" s="679"/>
      <c r="T106" s="679"/>
      <c r="U106" s="679"/>
      <c r="V106" s="679"/>
      <c r="W106" s="679"/>
      <c r="X106" s="679"/>
      <c r="Y106" s="679"/>
      <c r="Z106" s="679"/>
      <c r="AA106" s="679"/>
      <c r="AB106" s="679"/>
      <c r="AC106" s="679"/>
      <c r="AD106" s="679"/>
      <c r="AE106" s="679"/>
      <c r="AF106" s="679"/>
      <c r="AG106" s="679"/>
      <c r="AH106" s="679"/>
      <c r="AI106" s="679"/>
      <c r="AJ106" s="679"/>
      <c r="AK106" s="679"/>
      <c r="AL106" s="679"/>
      <c r="AM106" s="679"/>
      <c r="AN106" s="679"/>
      <c r="AO106" s="679"/>
      <c r="AP106" s="679"/>
      <c r="AQ106" s="679"/>
      <c r="AR106" s="679"/>
      <c r="AS106" s="679"/>
      <c r="AT106" s="679"/>
      <c r="AU106" s="679"/>
      <c r="AV106" s="679"/>
      <c r="AW106" s="679"/>
      <c r="AX106" s="679"/>
      <c r="AY106" s="679"/>
      <c r="AZ106" s="679"/>
      <c r="BA106" s="679"/>
      <c r="BB106" s="679"/>
      <c r="BC106" s="679"/>
      <c r="BD106" s="679"/>
      <c r="BE106" s="679"/>
      <c r="BF106" s="679"/>
      <c r="BG106" s="679"/>
      <c r="BH106" s="679"/>
      <c r="BI106" s="679"/>
      <c r="BJ106" s="679"/>
      <c r="BK106" s="679"/>
      <c r="BL106" s="679"/>
      <c r="BM106" s="679"/>
      <c r="BN106" s="679"/>
      <c r="BO106" s="679"/>
      <c r="BP106" s="679"/>
      <c r="BQ106" s="679"/>
      <c r="BR106" s="244"/>
      <c r="BS106" s="244"/>
      <c r="BT106" s="244"/>
      <c r="BU106" s="244"/>
      <c r="BV106" s="244"/>
      <c r="BW106" s="244"/>
      <c r="BX106" s="244"/>
      <c r="BY106" s="244"/>
      <c r="BZ106" s="244"/>
      <c r="CA106" s="244"/>
      <c r="CB106" s="244"/>
      <c r="CC106" s="244"/>
      <c r="CD106" s="244"/>
      <c r="CE106" s="244"/>
      <c r="CF106" s="244"/>
      <c r="CG106" s="244"/>
      <c r="CH106" s="244"/>
      <c r="CI106" s="244"/>
      <c r="CJ106" s="244"/>
      <c r="CK106" s="244"/>
      <c r="CL106" s="244"/>
      <c r="CM106" s="244"/>
    </row>
    <row r="107">
      <c r="A107" s="679"/>
      <c r="B107" s="679"/>
      <c r="C107" s="679"/>
      <c r="D107" s="679"/>
      <c r="E107" s="679"/>
      <c r="F107" s="679"/>
      <c r="G107" s="679"/>
      <c r="H107" s="679"/>
      <c r="I107" s="679"/>
      <c r="J107" s="679"/>
      <c r="K107" s="679"/>
      <c r="L107" s="679"/>
      <c r="M107" s="679"/>
      <c r="N107" s="679"/>
      <c r="O107" s="679"/>
      <c r="P107" s="679"/>
      <c r="Q107" s="679"/>
      <c r="R107" s="679"/>
      <c r="S107" s="679"/>
      <c r="T107" s="679"/>
      <c r="U107" s="679"/>
      <c r="V107" s="679"/>
      <c r="W107" s="679"/>
      <c r="X107" s="679"/>
      <c r="Y107" s="679"/>
      <c r="Z107" s="679"/>
      <c r="AA107" s="679"/>
      <c r="AB107" s="679"/>
      <c r="AC107" s="679"/>
      <c r="AD107" s="679"/>
      <c r="AE107" s="679"/>
      <c r="AF107" s="679"/>
      <c r="AG107" s="679"/>
      <c r="AH107" s="679"/>
      <c r="AI107" s="679"/>
      <c r="AJ107" s="679"/>
      <c r="AK107" s="679"/>
      <c r="AL107" s="679"/>
      <c r="AM107" s="679"/>
      <c r="AN107" s="679"/>
      <c r="AO107" s="679"/>
      <c r="AP107" s="679"/>
      <c r="AQ107" s="679"/>
      <c r="AR107" s="679"/>
      <c r="AS107" s="679"/>
      <c r="AT107" s="679"/>
      <c r="AU107" s="679"/>
      <c r="AV107" s="679"/>
      <c r="AW107" s="679"/>
      <c r="AX107" s="679"/>
      <c r="AY107" s="679"/>
      <c r="AZ107" s="679"/>
      <c r="BA107" s="679"/>
      <c r="BB107" s="679"/>
      <c r="BC107" s="679"/>
      <c r="BD107" s="679"/>
      <c r="BE107" s="679"/>
      <c r="BF107" s="679"/>
      <c r="BG107" s="679"/>
      <c r="BH107" s="679"/>
      <c r="BI107" s="679"/>
      <c r="BJ107" s="679"/>
      <c r="BK107" s="679"/>
      <c r="BL107" s="679"/>
      <c r="BM107" s="679"/>
      <c r="BN107" s="679"/>
      <c r="BO107" s="679"/>
      <c r="BP107" s="679"/>
      <c r="BQ107" s="679"/>
      <c r="BR107" s="244"/>
      <c r="BS107" s="244"/>
      <c r="BT107" s="244"/>
      <c r="BU107" s="244"/>
      <c r="BV107" s="244"/>
      <c r="BW107" s="244"/>
      <c r="BX107" s="244"/>
      <c r="BY107" s="244"/>
      <c r="BZ107" s="244"/>
      <c r="CA107" s="244"/>
      <c r="CB107" s="244"/>
      <c r="CC107" s="244"/>
      <c r="CD107" s="244"/>
      <c r="CE107" s="244"/>
      <c r="CF107" s="244"/>
      <c r="CG107" s="244"/>
      <c r="CH107" s="244"/>
      <c r="CI107" s="244"/>
      <c r="CJ107" s="244"/>
      <c r="CK107" s="244"/>
      <c r="CL107" s="244"/>
      <c r="CM107" s="244"/>
    </row>
    <row r="108">
      <c r="A108" s="679"/>
      <c r="B108" s="679"/>
      <c r="C108" s="679"/>
      <c r="D108" s="679"/>
      <c r="E108" s="679"/>
      <c r="F108" s="679"/>
      <c r="G108" s="679"/>
      <c r="H108" s="679"/>
      <c r="I108" s="679"/>
      <c r="J108" s="679"/>
      <c r="K108" s="679"/>
      <c r="L108" s="679"/>
      <c r="M108" s="679"/>
      <c r="N108" s="679"/>
      <c r="O108" s="679"/>
      <c r="P108" s="679"/>
      <c r="Q108" s="679"/>
      <c r="R108" s="679"/>
      <c r="S108" s="679"/>
      <c r="T108" s="679"/>
      <c r="U108" s="679"/>
      <c r="V108" s="679"/>
      <c r="W108" s="679"/>
      <c r="X108" s="679"/>
      <c r="Y108" s="679"/>
      <c r="Z108" s="679"/>
      <c r="AA108" s="679"/>
      <c r="AB108" s="679"/>
      <c r="AC108" s="679"/>
      <c r="AD108" s="679"/>
      <c r="AE108" s="679"/>
      <c r="AF108" s="679"/>
      <c r="AG108" s="679"/>
      <c r="AH108" s="679"/>
      <c r="AI108" s="679"/>
      <c r="AJ108" s="679"/>
      <c r="AK108" s="679"/>
      <c r="AL108" s="679"/>
      <c r="AM108" s="679"/>
      <c r="AN108" s="679"/>
      <c r="AO108" s="679"/>
      <c r="AP108" s="679"/>
      <c r="AQ108" s="679"/>
      <c r="AR108" s="679"/>
      <c r="AS108" s="679"/>
      <c r="AT108" s="679"/>
      <c r="AU108" s="679"/>
      <c r="AV108" s="679"/>
      <c r="AW108" s="679"/>
      <c r="AX108" s="679"/>
      <c r="AY108" s="679"/>
      <c r="AZ108" s="679"/>
      <c r="BA108" s="679"/>
      <c r="BB108" s="679"/>
      <c r="BC108" s="679"/>
      <c r="BD108" s="679"/>
      <c r="BE108" s="679"/>
      <c r="BF108" s="679"/>
      <c r="BG108" s="679"/>
      <c r="BH108" s="679"/>
      <c r="BI108" s="679"/>
      <c r="BJ108" s="679"/>
      <c r="BK108" s="679"/>
      <c r="BL108" s="679"/>
      <c r="BM108" s="679"/>
      <c r="BN108" s="679"/>
      <c r="BO108" s="679"/>
      <c r="BP108" s="679"/>
      <c r="BQ108" s="679"/>
      <c r="BR108" s="244"/>
      <c r="BS108" s="244"/>
      <c r="BT108" s="244"/>
      <c r="BU108" s="244"/>
      <c r="BV108" s="244"/>
      <c r="BW108" s="244"/>
      <c r="BX108" s="244"/>
      <c r="BY108" s="244"/>
      <c r="BZ108" s="244"/>
      <c r="CA108" s="244"/>
      <c r="CB108" s="244"/>
      <c r="CC108" s="244"/>
      <c r="CD108" s="244"/>
      <c r="CE108" s="244"/>
      <c r="CF108" s="244"/>
      <c r="CG108" s="244"/>
      <c r="CH108" s="244"/>
      <c r="CI108" s="244"/>
      <c r="CJ108" s="244"/>
      <c r="CK108" s="244"/>
      <c r="CL108" s="244"/>
      <c r="CM108" s="244"/>
    </row>
    <row r="109">
      <c r="A109" s="679"/>
      <c r="B109" s="679"/>
      <c r="C109" s="679"/>
      <c r="D109" s="679"/>
      <c r="E109" s="679"/>
      <c r="F109" s="679"/>
      <c r="G109" s="679"/>
      <c r="H109" s="679"/>
      <c r="I109" s="679"/>
      <c r="J109" s="679"/>
      <c r="K109" s="679"/>
      <c r="L109" s="679"/>
      <c r="M109" s="679"/>
      <c r="N109" s="679"/>
      <c r="O109" s="679"/>
      <c r="P109" s="679"/>
      <c r="Q109" s="679"/>
      <c r="R109" s="679"/>
      <c r="S109" s="679"/>
      <c r="T109" s="679"/>
      <c r="U109" s="679"/>
      <c r="V109" s="679"/>
      <c r="W109" s="679"/>
      <c r="X109" s="679"/>
      <c r="Y109" s="679"/>
      <c r="Z109" s="679"/>
      <c r="AA109" s="679"/>
      <c r="AB109" s="679"/>
      <c r="AC109" s="679"/>
      <c r="AD109" s="679"/>
      <c r="AE109" s="679"/>
      <c r="AF109" s="679"/>
      <c r="AG109" s="679"/>
      <c r="AH109" s="679"/>
      <c r="AI109" s="679"/>
      <c r="AJ109" s="679"/>
      <c r="AK109" s="679"/>
      <c r="AL109" s="679"/>
      <c r="AM109" s="679"/>
      <c r="AN109" s="679"/>
      <c r="AO109" s="679"/>
      <c r="AP109" s="679"/>
      <c r="AQ109" s="679"/>
      <c r="AR109" s="679"/>
      <c r="AS109" s="679"/>
      <c r="AT109" s="679"/>
      <c r="AU109" s="679"/>
      <c r="AV109" s="679"/>
      <c r="AW109" s="679"/>
      <c r="AX109" s="679"/>
      <c r="AY109" s="679"/>
      <c r="AZ109" s="679"/>
      <c r="BA109" s="679"/>
      <c r="BB109" s="679"/>
      <c r="BC109" s="679"/>
      <c r="BD109" s="679"/>
      <c r="BE109" s="679"/>
      <c r="BF109" s="679"/>
      <c r="BG109" s="679"/>
      <c r="BH109" s="679"/>
      <c r="BI109" s="679"/>
      <c r="BJ109" s="679"/>
      <c r="BK109" s="679"/>
      <c r="BL109" s="679"/>
      <c r="BM109" s="679"/>
      <c r="BN109" s="679"/>
      <c r="BO109" s="679"/>
      <c r="BP109" s="679"/>
      <c r="BQ109" s="679"/>
      <c r="BR109" s="244"/>
      <c r="BS109" s="244"/>
      <c r="BT109" s="244"/>
      <c r="BU109" s="244"/>
      <c r="BV109" s="244"/>
      <c r="BW109" s="244"/>
      <c r="BX109" s="244"/>
      <c r="BY109" s="244"/>
      <c r="BZ109" s="244"/>
      <c r="CA109" s="244"/>
      <c r="CB109" s="244"/>
      <c r="CC109" s="244"/>
      <c r="CD109" s="244"/>
      <c r="CE109" s="244"/>
      <c r="CF109" s="244"/>
      <c r="CG109" s="244"/>
      <c r="CH109" s="244"/>
      <c r="CI109" s="244"/>
      <c r="CJ109" s="244"/>
      <c r="CK109" s="244"/>
      <c r="CL109" s="244"/>
      <c r="CM109" s="244"/>
    </row>
    <row r="110">
      <c r="A110" s="679"/>
      <c r="B110" s="679"/>
      <c r="C110" s="679"/>
      <c r="D110" s="679"/>
      <c r="E110" s="679"/>
      <c r="F110" s="679"/>
      <c r="G110" s="679"/>
      <c r="H110" s="679"/>
      <c r="I110" s="679"/>
      <c r="J110" s="679"/>
      <c r="K110" s="679"/>
      <c r="L110" s="679"/>
      <c r="M110" s="679"/>
      <c r="N110" s="679"/>
      <c r="O110" s="679"/>
      <c r="P110" s="679"/>
      <c r="Q110" s="679"/>
      <c r="R110" s="679"/>
      <c r="S110" s="679"/>
      <c r="T110" s="679"/>
      <c r="U110" s="679"/>
      <c r="V110" s="679"/>
      <c r="W110" s="679"/>
      <c r="X110" s="679"/>
      <c r="Y110" s="679"/>
      <c r="Z110" s="679"/>
      <c r="AA110" s="679"/>
      <c r="AB110" s="679"/>
      <c r="AC110" s="679"/>
      <c r="AD110" s="679"/>
      <c r="AE110" s="679"/>
      <c r="AF110" s="679"/>
      <c r="AG110" s="679"/>
      <c r="AH110" s="679"/>
      <c r="AI110" s="679"/>
      <c r="AJ110" s="679"/>
      <c r="AK110" s="679"/>
      <c r="AL110" s="679"/>
      <c r="AM110" s="679"/>
      <c r="AN110" s="679"/>
      <c r="AO110" s="679"/>
      <c r="AP110" s="679"/>
      <c r="AQ110" s="679"/>
      <c r="AR110" s="679"/>
      <c r="AS110" s="679"/>
      <c r="AT110" s="679"/>
      <c r="AU110" s="679"/>
      <c r="AV110" s="679"/>
      <c r="AW110" s="679"/>
      <c r="AX110" s="679"/>
      <c r="AY110" s="679"/>
      <c r="AZ110" s="679"/>
      <c r="BA110" s="679"/>
      <c r="BB110" s="679"/>
      <c r="BC110" s="679"/>
      <c r="BD110" s="679"/>
      <c r="BE110" s="679"/>
      <c r="BF110" s="679"/>
      <c r="BG110" s="679"/>
      <c r="BH110" s="679"/>
      <c r="BI110" s="679"/>
      <c r="BJ110" s="679"/>
      <c r="BK110" s="679"/>
      <c r="BL110" s="679"/>
      <c r="BM110" s="679"/>
      <c r="BN110" s="679"/>
      <c r="BO110" s="679"/>
      <c r="BP110" s="679"/>
      <c r="BQ110" s="679"/>
      <c r="BR110" s="244"/>
      <c r="BS110" s="244"/>
      <c r="BT110" s="244"/>
      <c r="BU110" s="244"/>
      <c r="BV110" s="244"/>
      <c r="BW110" s="244"/>
      <c r="BX110" s="244"/>
      <c r="BY110" s="244"/>
      <c r="BZ110" s="244"/>
      <c r="CA110" s="244"/>
      <c r="CB110" s="244"/>
      <c r="CC110" s="244"/>
      <c r="CD110" s="244"/>
      <c r="CE110" s="244"/>
      <c r="CF110" s="244"/>
      <c r="CG110" s="244"/>
      <c r="CH110" s="244"/>
      <c r="CI110" s="244"/>
      <c r="CJ110" s="244"/>
      <c r="CK110" s="244"/>
      <c r="CL110" s="244"/>
      <c r="CM110" s="244"/>
    </row>
    <row r="111">
      <c r="A111" s="679"/>
      <c r="B111" s="679"/>
      <c r="C111" s="679"/>
      <c r="D111" s="679"/>
      <c r="E111" s="679"/>
      <c r="F111" s="679"/>
      <c r="G111" s="679"/>
      <c r="H111" s="679"/>
      <c r="I111" s="679"/>
      <c r="J111" s="679"/>
      <c r="K111" s="679"/>
      <c r="L111" s="679"/>
      <c r="M111" s="679"/>
      <c r="N111" s="679"/>
      <c r="O111" s="679"/>
      <c r="P111" s="679"/>
      <c r="Q111" s="679"/>
      <c r="R111" s="679"/>
      <c r="S111" s="679"/>
      <c r="T111" s="679"/>
      <c r="U111" s="679"/>
      <c r="V111" s="679"/>
      <c r="W111" s="679"/>
      <c r="X111" s="679"/>
      <c r="Y111" s="679"/>
      <c r="Z111" s="679"/>
      <c r="AA111" s="679"/>
      <c r="AB111" s="679"/>
      <c r="AC111" s="679"/>
      <c r="AD111" s="679"/>
      <c r="AE111" s="679"/>
      <c r="AF111" s="679"/>
      <c r="AG111" s="679"/>
      <c r="AH111" s="679"/>
      <c r="AI111" s="679"/>
      <c r="AJ111" s="679"/>
      <c r="AK111" s="679"/>
      <c r="AL111" s="679"/>
      <c r="AM111" s="679"/>
      <c r="AN111" s="679"/>
      <c r="AO111" s="679"/>
      <c r="AP111" s="679"/>
      <c r="AQ111" s="679"/>
      <c r="AR111" s="679"/>
      <c r="AS111" s="679"/>
      <c r="AT111" s="679"/>
      <c r="AU111" s="679"/>
      <c r="AV111" s="679"/>
      <c r="AW111" s="679"/>
      <c r="AX111" s="679"/>
      <c r="AY111" s="679"/>
      <c r="AZ111" s="679"/>
      <c r="BA111" s="679"/>
      <c r="BB111" s="679"/>
      <c r="BC111" s="679"/>
      <c r="BD111" s="679"/>
      <c r="BE111" s="679"/>
      <c r="BF111" s="679"/>
      <c r="BG111" s="679"/>
      <c r="BH111" s="679"/>
      <c r="BI111" s="679"/>
      <c r="BJ111" s="679"/>
      <c r="BK111" s="679"/>
      <c r="BL111" s="679"/>
      <c r="BM111" s="679"/>
      <c r="BN111" s="679"/>
      <c r="BO111" s="679"/>
      <c r="BP111" s="679"/>
      <c r="BQ111" s="679"/>
      <c r="BR111" s="244"/>
      <c r="BS111" s="244"/>
      <c r="BT111" s="244"/>
      <c r="BU111" s="244"/>
      <c r="BV111" s="244"/>
      <c r="BW111" s="244"/>
      <c r="BX111" s="244"/>
      <c r="BY111" s="244"/>
      <c r="BZ111" s="244"/>
      <c r="CA111" s="244"/>
      <c r="CB111" s="244"/>
      <c r="CC111" s="244"/>
      <c r="CD111" s="244"/>
      <c r="CE111" s="244"/>
      <c r="CF111" s="244"/>
      <c r="CG111" s="244"/>
      <c r="CH111" s="244"/>
      <c r="CI111" s="244"/>
      <c r="CJ111" s="244"/>
      <c r="CK111" s="244"/>
      <c r="CL111" s="244"/>
      <c r="CM111" s="244"/>
    </row>
    <row r="112">
      <c r="A112" s="679"/>
      <c r="B112" s="679"/>
      <c r="C112" s="679"/>
      <c r="D112" s="679"/>
      <c r="E112" s="679"/>
      <c r="F112" s="679"/>
      <c r="G112" s="679"/>
      <c r="H112" s="679"/>
      <c r="I112" s="679"/>
      <c r="J112" s="679"/>
      <c r="K112" s="679"/>
      <c r="L112" s="679"/>
      <c r="M112" s="679"/>
      <c r="N112" s="679"/>
      <c r="O112" s="679"/>
      <c r="P112" s="679"/>
      <c r="Q112" s="679"/>
      <c r="R112" s="679"/>
      <c r="S112" s="679"/>
      <c r="T112" s="679"/>
      <c r="U112" s="679"/>
      <c r="V112" s="679"/>
      <c r="W112" s="679"/>
      <c r="X112" s="679"/>
      <c r="Y112" s="679"/>
      <c r="Z112" s="679"/>
      <c r="AA112" s="679"/>
      <c r="AB112" s="679"/>
      <c r="AC112" s="679"/>
      <c r="AD112" s="679"/>
      <c r="AE112" s="679"/>
      <c r="AF112" s="679"/>
      <c r="AG112" s="679"/>
      <c r="AH112" s="679"/>
      <c r="AI112" s="679"/>
      <c r="AJ112" s="679"/>
      <c r="AK112" s="679"/>
      <c r="AL112" s="679"/>
      <c r="AM112" s="679"/>
      <c r="AN112" s="679"/>
      <c r="AO112" s="679"/>
      <c r="AP112" s="679"/>
      <c r="AQ112" s="679"/>
      <c r="AR112" s="679"/>
      <c r="AS112" s="679"/>
      <c r="AT112" s="679"/>
      <c r="AU112" s="679"/>
      <c r="AV112" s="679"/>
      <c r="AW112" s="679"/>
      <c r="AX112" s="679"/>
      <c r="AY112" s="679"/>
      <c r="AZ112" s="679"/>
      <c r="BA112" s="679"/>
      <c r="BB112" s="679"/>
      <c r="BC112" s="679"/>
      <c r="BD112" s="679"/>
      <c r="BE112" s="679"/>
      <c r="BF112" s="679"/>
      <c r="BG112" s="679"/>
      <c r="BH112" s="679"/>
      <c r="BI112" s="679"/>
      <c r="BJ112" s="679"/>
      <c r="BK112" s="679"/>
      <c r="BL112" s="679"/>
      <c r="BM112" s="679"/>
      <c r="BN112" s="679"/>
      <c r="BO112" s="679"/>
      <c r="BP112" s="679"/>
      <c r="BQ112" s="679"/>
      <c r="BR112" s="244"/>
      <c r="BS112" s="244"/>
      <c r="BT112" s="244"/>
      <c r="BU112" s="244"/>
      <c r="BV112" s="244"/>
      <c r="BW112" s="244"/>
      <c r="BX112" s="244"/>
      <c r="BY112" s="244"/>
      <c r="BZ112" s="244"/>
      <c r="CA112" s="244"/>
      <c r="CB112" s="244"/>
      <c r="CC112" s="244"/>
      <c r="CD112" s="244"/>
      <c r="CE112" s="244"/>
      <c r="CF112" s="244"/>
      <c r="CG112" s="244"/>
      <c r="CH112" s="244"/>
      <c r="CI112" s="244"/>
      <c r="CJ112" s="244"/>
      <c r="CK112" s="244"/>
      <c r="CL112" s="244"/>
      <c r="CM112" s="244"/>
    </row>
    <row r="113">
      <c r="A113" s="679"/>
      <c r="B113" s="679"/>
      <c r="C113" s="679"/>
      <c r="D113" s="679"/>
      <c r="E113" s="679"/>
      <c r="F113" s="679"/>
      <c r="G113" s="679"/>
      <c r="H113" s="679"/>
      <c r="I113" s="679"/>
      <c r="J113" s="679"/>
      <c r="K113" s="679"/>
      <c r="L113" s="679"/>
      <c r="M113" s="679"/>
      <c r="N113" s="679"/>
      <c r="O113" s="679"/>
      <c r="P113" s="679"/>
      <c r="Q113" s="679"/>
      <c r="R113" s="679"/>
      <c r="S113" s="679"/>
      <c r="T113" s="679"/>
      <c r="U113" s="679"/>
      <c r="V113" s="679"/>
      <c r="W113" s="679"/>
      <c r="X113" s="679"/>
      <c r="Y113" s="679"/>
      <c r="Z113" s="679"/>
      <c r="AA113" s="679"/>
      <c r="AB113" s="679"/>
      <c r="AC113" s="679"/>
      <c r="AD113" s="679"/>
      <c r="AE113" s="679"/>
      <c r="AF113" s="679"/>
      <c r="AG113" s="679"/>
      <c r="AH113" s="679"/>
      <c r="AI113" s="679"/>
      <c r="AJ113" s="679"/>
      <c r="AK113" s="679"/>
      <c r="AL113" s="679"/>
      <c r="AM113" s="679"/>
      <c r="AN113" s="679"/>
      <c r="AO113" s="679"/>
      <c r="AP113" s="679"/>
      <c r="AQ113" s="679"/>
      <c r="AR113" s="679"/>
      <c r="AS113" s="679"/>
      <c r="AT113" s="679"/>
      <c r="AU113" s="679"/>
      <c r="AV113" s="679"/>
      <c r="AW113" s="679"/>
      <c r="AX113" s="679"/>
      <c r="AY113" s="679"/>
      <c r="AZ113" s="679"/>
      <c r="BA113" s="679"/>
      <c r="BB113" s="679"/>
      <c r="BC113" s="679"/>
      <c r="BD113" s="679"/>
      <c r="BE113" s="679"/>
      <c r="BF113" s="679"/>
      <c r="BG113" s="679"/>
      <c r="BH113" s="679"/>
      <c r="BI113" s="679"/>
      <c r="BJ113" s="679"/>
      <c r="BK113" s="679"/>
      <c r="BL113" s="679"/>
      <c r="BM113" s="679"/>
      <c r="BN113" s="679"/>
      <c r="BO113" s="679"/>
      <c r="BP113" s="679"/>
      <c r="BQ113" s="679"/>
      <c r="BR113" s="244"/>
      <c r="BS113" s="244"/>
      <c r="BT113" s="244"/>
      <c r="BU113" s="244"/>
      <c r="BV113" s="244"/>
      <c r="BW113" s="244"/>
      <c r="BX113" s="244"/>
      <c r="BY113" s="244"/>
      <c r="BZ113" s="244"/>
      <c r="CA113" s="244"/>
      <c r="CB113" s="244"/>
      <c r="CC113" s="244"/>
      <c r="CD113" s="244"/>
      <c r="CE113" s="244"/>
      <c r="CF113" s="244"/>
      <c r="CG113" s="244"/>
      <c r="CH113" s="244"/>
      <c r="CI113" s="244"/>
      <c r="CJ113" s="244"/>
      <c r="CK113" s="244"/>
      <c r="CL113" s="244"/>
      <c r="CM113" s="244"/>
    </row>
    <row r="114">
      <c r="A114" s="679"/>
      <c r="B114" s="679"/>
      <c r="C114" s="679"/>
      <c r="D114" s="679"/>
      <c r="E114" s="679"/>
      <c r="F114" s="679"/>
      <c r="G114" s="679"/>
      <c r="H114" s="679"/>
      <c r="I114" s="679"/>
      <c r="J114" s="679"/>
      <c r="K114" s="679"/>
      <c r="L114" s="679"/>
      <c r="M114" s="679"/>
      <c r="N114" s="679"/>
      <c r="O114" s="679"/>
      <c r="P114" s="679"/>
      <c r="Q114" s="679"/>
      <c r="R114" s="679"/>
      <c r="S114" s="679"/>
      <c r="T114" s="679"/>
      <c r="U114" s="679"/>
      <c r="V114" s="679"/>
      <c r="W114" s="679"/>
      <c r="X114" s="679"/>
      <c r="Y114" s="679"/>
      <c r="Z114" s="679"/>
      <c r="AA114" s="679"/>
      <c r="AB114" s="679"/>
      <c r="AC114" s="679"/>
      <c r="AD114" s="679"/>
      <c r="AE114" s="679"/>
      <c r="AF114" s="679"/>
      <c r="AG114" s="679"/>
      <c r="AH114" s="679"/>
      <c r="AI114" s="679"/>
      <c r="AJ114" s="679"/>
      <c r="AK114" s="679"/>
      <c r="AL114" s="679"/>
      <c r="AM114" s="679"/>
      <c r="AN114" s="679"/>
      <c r="AO114" s="679"/>
      <c r="AP114" s="679"/>
      <c r="AQ114" s="679"/>
      <c r="AR114" s="679"/>
      <c r="AS114" s="679"/>
      <c r="AT114" s="679"/>
      <c r="AU114" s="679"/>
      <c r="AV114" s="679"/>
      <c r="AW114" s="679"/>
      <c r="AX114" s="679"/>
      <c r="AY114" s="679"/>
      <c r="AZ114" s="679"/>
      <c r="BA114" s="679"/>
      <c r="BB114" s="679"/>
      <c r="BC114" s="679"/>
      <c r="BD114" s="679"/>
      <c r="BE114" s="679"/>
      <c r="BF114" s="679"/>
      <c r="BG114" s="679"/>
      <c r="BH114" s="679"/>
      <c r="BI114" s="679"/>
      <c r="BJ114" s="679"/>
      <c r="BK114" s="679"/>
      <c r="BL114" s="679"/>
      <c r="BM114" s="679"/>
      <c r="BN114" s="679"/>
      <c r="BO114" s="679"/>
      <c r="BP114" s="679"/>
      <c r="BQ114" s="679"/>
      <c r="BR114" s="244"/>
      <c r="BS114" s="244"/>
      <c r="BT114" s="244"/>
      <c r="BU114" s="244"/>
      <c r="BV114" s="244"/>
      <c r="BW114" s="244"/>
      <c r="BX114" s="244"/>
      <c r="BY114" s="244"/>
      <c r="BZ114" s="244"/>
      <c r="CA114" s="244"/>
      <c r="CB114" s="244"/>
      <c r="CC114" s="244"/>
      <c r="CD114" s="244"/>
      <c r="CE114" s="244"/>
      <c r="CF114" s="244"/>
      <c r="CG114" s="244"/>
      <c r="CH114" s="244"/>
      <c r="CI114" s="244"/>
      <c r="CJ114" s="244"/>
      <c r="CK114" s="244"/>
      <c r="CL114" s="244"/>
      <c r="CM114" s="244"/>
    </row>
    <row r="115">
      <c r="A115" s="244"/>
      <c r="B115" s="246"/>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c r="CG115" s="244"/>
      <c r="CH115" s="244"/>
      <c r="CI115" s="244"/>
      <c r="CJ115" s="244"/>
      <c r="CK115" s="244"/>
      <c r="CL115" s="244"/>
      <c r="CM115" s="244"/>
    </row>
    <row r="116">
      <c r="A116" s="244"/>
      <c r="B116" s="246"/>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4"/>
      <c r="CE116" s="244"/>
      <c r="CF116" s="244"/>
      <c r="CG116" s="244"/>
      <c r="CH116" s="244"/>
      <c r="CI116" s="244"/>
      <c r="CJ116" s="244"/>
      <c r="CK116" s="244"/>
      <c r="CL116" s="244"/>
      <c r="CM116" s="244"/>
    </row>
    <row r="117">
      <c r="A117" s="244"/>
      <c r="B117" s="246"/>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c r="CE117" s="244"/>
      <c r="CF117" s="244"/>
      <c r="CG117" s="244"/>
      <c r="CH117" s="244"/>
      <c r="CI117" s="244"/>
      <c r="CJ117" s="244"/>
      <c r="CK117" s="244"/>
      <c r="CL117" s="244"/>
      <c r="CM117" s="244"/>
    </row>
    <row r="118">
      <c r="A118" s="244"/>
      <c r="B118" s="246"/>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c r="BB118" s="244"/>
      <c r="BC118" s="244"/>
      <c r="BD118" s="244"/>
      <c r="BE118" s="244"/>
      <c r="BF118" s="244"/>
      <c r="BG118" s="244"/>
      <c r="BH118" s="244"/>
      <c r="BI118" s="244"/>
      <c r="BJ118" s="244"/>
      <c r="BK118" s="244"/>
      <c r="BL118" s="244"/>
      <c r="BM118" s="244"/>
      <c r="BN118" s="244"/>
      <c r="BO118" s="244"/>
      <c r="BP118" s="244"/>
      <c r="BQ118" s="244"/>
      <c r="BR118" s="244"/>
      <c r="BS118" s="244"/>
      <c r="BT118" s="244"/>
      <c r="BU118" s="244"/>
      <c r="BV118" s="244"/>
      <c r="BW118" s="244"/>
      <c r="BX118" s="244"/>
      <c r="BY118" s="244"/>
      <c r="BZ118" s="244"/>
      <c r="CA118" s="244"/>
      <c r="CB118" s="244"/>
      <c r="CC118" s="244"/>
      <c r="CD118" s="244"/>
      <c r="CE118" s="244"/>
      <c r="CF118" s="244"/>
      <c r="CG118" s="244"/>
      <c r="CH118" s="244"/>
      <c r="CI118" s="244"/>
      <c r="CJ118" s="244"/>
      <c r="CK118" s="244"/>
      <c r="CL118" s="244"/>
      <c r="CM118" s="244"/>
    </row>
    <row r="119">
      <c r="A119" s="244"/>
      <c r="B119" s="246"/>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c r="CE119" s="244"/>
      <c r="CF119" s="244"/>
      <c r="CG119" s="244"/>
      <c r="CH119" s="244"/>
      <c r="CI119" s="244"/>
      <c r="CJ119" s="244"/>
      <c r="CK119" s="244"/>
      <c r="CL119" s="244"/>
      <c r="CM119" s="244"/>
    </row>
    <row r="120">
      <c r="A120" s="244"/>
      <c r="B120" s="246"/>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c r="CE120" s="244"/>
      <c r="CF120" s="244"/>
      <c r="CG120" s="244"/>
      <c r="CH120" s="244"/>
      <c r="CI120" s="244"/>
      <c r="CJ120" s="244"/>
      <c r="CK120" s="244"/>
      <c r="CL120" s="244"/>
      <c r="CM120" s="244"/>
    </row>
    <row r="121">
      <c r="A121" s="244"/>
      <c r="B121" s="246"/>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244"/>
      <c r="AW121" s="244"/>
      <c r="AX121" s="244"/>
      <c r="AY121" s="244"/>
      <c r="AZ121" s="244"/>
      <c r="BA121" s="244"/>
      <c r="BB121" s="244"/>
      <c r="BC121" s="244"/>
      <c r="BD121" s="244"/>
      <c r="BE121" s="244"/>
      <c r="BF121" s="244"/>
      <c r="BG121" s="244"/>
      <c r="BH121" s="244"/>
      <c r="BI121" s="244"/>
      <c r="BJ121" s="244"/>
      <c r="BK121" s="244"/>
      <c r="BL121" s="244"/>
      <c r="BM121" s="244"/>
      <c r="BN121" s="244"/>
      <c r="BO121" s="244"/>
      <c r="BP121" s="244"/>
      <c r="BQ121" s="244"/>
      <c r="BR121" s="244"/>
      <c r="BS121" s="244"/>
      <c r="BT121" s="244"/>
      <c r="BU121" s="244"/>
      <c r="BV121" s="244"/>
      <c r="BW121" s="244"/>
      <c r="BX121" s="244"/>
      <c r="BY121" s="244"/>
      <c r="BZ121" s="244"/>
      <c r="CA121" s="244"/>
      <c r="CB121" s="244"/>
      <c r="CC121" s="244"/>
      <c r="CD121" s="244"/>
      <c r="CE121" s="244"/>
      <c r="CF121" s="244"/>
      <c r="CG121" s="244"/>
      <c r="CH121" s="244"/>
      <c r="CI121" s="244"/>
      <c r="CJ121" s="244"/>
      <c r="CK121" s="244"/>
      <c r="CL121" s="244"/>
      <c r="CM121" s="244"/>
    </row>
    <row r="122">
      <c r="A122" s="244"/>
      <c r="B122" s="246"/>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4"/>
      <c r="BN122" s="244"/>
      <c r="BO122" s="244"/>
      <c r="BP122" s="244"/>
      <c r="BQ122" s="244"/>
      <c r="BR122" s="244"/>
      <c r="BS122" s="244"/>
      <c r="BT122" s="244"/>
      <c r="BU122" s="244"/>
      <c r="BV122" s="244"/>
      <c r="BW122" s="244"/>
      <c r="BX122" s="244"/>
      <c r="BY122" s="244"/>
      <c r="BZ122" s="244"/>
      <c r="CA122" s="244"/>
      <c r="CB122" s="244"/>
      <c r="CC122" s="244"/>
      <c r="CD122" s="244"/>
      <c r="CE122" s="244"/>
      <c r="CF122" s="244"/>
      <c r="CG122" s="244"/>
      <c r="CH122" s="244"/>
      <c r="CI122" s="244"/>
      <c r="CJ122" s="244"/>
      <c r="CK122" s="244"/>
      <c r="CL122" s="244"/>
      <c r="CM122" s="244"/>
    </row>
    <row r="123">
      <c r="A123" s="244"/>
      <c r="B123" s="246"/>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244"/>
      <c r="AW123" s="244"/>
      <c r="AX123" s="244"/>
      <c r="AY123" s="244"/>
      <c r="AZ123" s="244"/>
      <c r="BA123" s="244"/>
      <c r="BB123" s="244"/>
      <c r="BC123" s="244"/>
      <c r="BD123" s="244"/>
      <c r="BE123" s="244"/>
      <c r="BF123" s="244"/>
      <c r="BG123" s="244"/>
      <c r="BH123" s="244"/>
      <c r="BI123" s="244"/>
      <c r="BJ123" s="244"/>
      <c r="BK123" s="244"/>
      <c r="BL123" s="244"/>
      <c r="BM123" s="244"/>
      <c r="BN123" s="244"/>
      <c r="BO123" s="244"/>
      <c r="BP123" s="244"/>
      <c r="BQ123" s="244"/>
      <c r="BR123" s="244"/>
      <c r="BS123" s="244"/>
      <c r="BT123" s="244"/>
      <c r="BU123" s="244"/>
      <c r="BV123" s="244"/>
      <c r="BW123" s="244"/>
      <c r="BX123" s="244"/>
      <c r="BY123" s="244"/>
      <c r="BZ123" s="244"/>
      <c r="CA123" s="244"/>
      <c r="CB123" s="244"/>
      <c r="CC123" s="244"/>
      <c r="CD123" s="244"/>
      <c r="CE123" s="244"/>
      <c r="CF123" s="244"/>
      <c r="CG123" s="244"/>
      <c r="CH123" s="244"/>
      <c r="CI123" s="244"/>
      <c r="CJ123" s="244"/>
      <c r="CK123" s="244"/>
      <c r="CL123" s="244"/>
      <c r="CM123" s="244"/>
    </row>
    <row r="124">
      <c r="A124" s="244"/>
      <c r="B124" s="246"/>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c r="CE124" s="244"/>
      <c r="CF124" s="244"/>
      <c r="CG124" s="244"/>
      <c r="CH124" s="244"/>
      <c r="CI124" s="244"/>
      <c r="CJ124" s="244"/>
      <c r="CK124" s="244"/>
      <c r="CL124" s="244"/>
      <c r="CM124" s="244"/>
    </row>
    <row r="125">
      <c r="A125" s="244"/>
      <c r="B125" s="246"/>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c r="CE125" s="244"/>
      <c r="CF125" s="244"/>
      <c r="CG125" s="244"/>
      <c r="CH125" s="244"/>
      <c r="CI125" s="244"/>
      <c r="CJ125" s="244"/>
      <c r="CK125" s="244"/>
      <c r="CL125" s="244"/>
      <c r="CM125" s="244"/>
    </row>
    <row r="126">
      <c r="A126" s="244"/>
      <c r="B126" s="246"/>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44"/>
      <c r="BU126" s="244"/>
      <c r="BV126" s="244"/>
      <c r="BW126" s="244"/>
      <c r="BX126" s="244"/>
      <c r="BY126" s="244"/>
      <c r="BZ126" s="244"/>
      <c r="CA126" s="244"/>
      <c r="CB126" s="244"/>
      <c r="CC126" s="244"/>
      <c r="CD126" s="244"/>
      <c r="CE126" s="244"/>
      <c r="CF126" s="244"/>
      <c r="CG126" s="244"/>
      <c r="CH126" s="244"/>
      <c r="CI126" s="244"/>
      <c r="CJ126" s="244"/>
      <c r="CK126" s="244"/>
      <c r="CL126" s="244"/>
      <c r="CM126" s="244"/>
    </row>
    <row r="127">
      <c r="A127" s="244"/>
      <c r="B127" s="246"/>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44"/>
      <c r="BU127" s="244"/>
      <c r="BV127" s="244"/>
      <c r="BW127" s="244"/>
      <c r="BX127" s="244"/>
      <c r="BY127" s="244"/>
      <c r="BZ127" s="244"/>
      <c r="CA127" s="244"/>
      <c r="CB127" s="244"/>
      <c r="CC127" s="244"/>
      <c r="CD127" s="244"/>
      <c r="CE127" s="244"/>
      <c r="CF127" s="244"/>
      <c r="CG127" s="244"/>
      <c r="CH127" s="244"/>
      <c r="CI127" s="244"/>
      <c r="CJ127" s="244"/>
      <c r="CK127" s="244"/>
      <c r="CL127" s="244"/>
      <c r="CM127" s="244"/>
    </row>
    <row r="128">
      <c r="A128" s="244"/>
      <c r="B128" s="246"/>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44"/>
      <c r="BU128" s="244"/>
      <c r="BV128" s="244"/>
      <c r="BW128" s="244"/>
      <c r="BX128" s="244"/>
      <c r="BY128" s="244"/>
      <c r="BZ128" s="244"/>
      <c r="CA128" s="244"/>
      <c r="CB128" s="244"/>
      <c r="CC128" s="244"/>
      <c r="CD128" s="244"/>
      <c r="CE128" s="244"/>
      <c r="CF128" s="244"/>
      <c r="CG128" s="244"/>
      <c r="CH128" s="244"/>
      <c r="CI128" s="244"/>
      <c r="CJ128" s="244"/>
      <c r="CK128" s="244"/>
      <c r="CL128" s="244"/>
      <c r="CM128" s="244"/>
    </row>
    <row r="129">
      <c r="A129" s="244"/>
      <c r="B129" s="246"/>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44"/>
      <c r="BU129" s="244"/>
      <c r="BV129" s="244"/>
      <c r="BW129" s="244"/>
      <c r="BX129" s="244"/>
      <c r="BY129" s="244"/>
      <c r="BZ129" s="244"/>
      <c r="CA129" s="244"/>
      <c r="CB129" s="244"/>
      <c r="CC129" s="244"/>
      <c r="CD129" s="244"/>
      <c r="CE129" s="244"/>
      <c r="CF129" s="244"/>
      <c r="CG129" s="244"/>
      <c r="CH129" s="244"/>
      <c r="CI129" s="244"/>
      <c r="CJ129" s="244"/>
      <c r="CK129" s="244"/>
      <c r="CL129" s="244"/>
      <c r="CM129" s="244"/>
    </row>
    <row r="130">
      <c r="A130" s="244"/>
      <c r="B130" s="246"/>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4"/>
      <c r="CA130" s="244"/>
      <c r="CB130" s="244"/>
      <c r="CC130" s="244"/>
      <c r="CD130" s="244"/>
      <c r="CE130" s="244"/>
      <c r="CF130" s="244"/>
      <c r="CG130" s="244"/>
      <c r="CH130" s="244"/>
      <c r="CI130" s="244"/>
      <c r="CJ130" s="244"/>
      <c r="CK130" s="244"/>
      <c r="CL130" s="244"/>
      <c r="CM130" s="244"/>
    </row>
    <row r="131">
      <c r="A131" s="244"/>
      <c r="B131" s="246"/>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44"/>
      <c r="BU131" s="244"/>
      <c r="BV131" s="244"/>
      <c r="BW131" s="244"/>
      <c r="BX131" s="244"/>
      <c r="BY131" s="244"/>
      <c r="BZ131" s="244"/>
      <c r="CA131" s="244"/>
      <c r="CB131" s="244"/>
      <c r="CC131" s="244"/>
      <c r="CD131" s="244"/>
      <c r="CE131" s="244"/>
      <c r="CF131" s="244"/>
      <c r="CG131" s="244"/>
      <c r="CH131" s="244"/>
      <c r="CI131" s="244"/>
      <c r="CJ131" s="244"/>
      <c r="CK131" s="244"/>
      <c r="CL131" s="244"/>
      <c r="CM131" s="244"/>
    </row>
    <row r="132">
      <c r="A132" s="244"/>
      <c r="B132" s="246"/>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4"/>
      <c r="CE132" s="244"/>
      <c r="CF132" s="244"/>
      <c r="CG132" s="244"/>
      <c r="CH132" s="244"/>
      <c r="CI132" s="244"/>
      <c r="CJ132" s="244"/>
      <c r="CK132" s="244"/>
      <c r="CL132" s="244"/>
      <c r="CM132" s="244"/>
    </row>
    <row r="133">
      <c r="A133" s="244"/>
      <c r="B133" s="246"/>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44"/>
      <c r="BU133" s="244"/>
      <c r="BV133" s="244"/>
      <c r="BW133" s="244"/>
      <c r="BX133" s="244"/>
      <c r="BY133" s="244"/>
      <c r="BZ133" s="244"/>
      <c r="CA133" s="244"/>
      <c r="CB133" s="244"/>
      <c r="CC133" s="244"/>
      <c r="CD133" s="244"/>
      <c r="CE133" s="244"/>
      <c r="CF133" s="244"/>
      <c r="CG133" s="244"/>
      <c r="CH133" s="244"/>
      <c r="CI133" s="244"/>
      <c r="CJ133" s="244"/>
      <c r="CK133" s="244"/>
      <c r="CL133" s="244"/>
      <c r="CM133" s="244"/>
    </row>
    <row r="134">
      <c r="A134" s="244"/>
      <c r="B134" s="246"/>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44"/>
      <c r="BU134" s="244"/>
      <c r="BV134" s="244"/>
      <c r="BW134" s="244"/>
      <c r="BX134" s="244"/>
      <c r="BY134" s="244"/>
      <c r="BZ134" s="244"/>
      <c r="CA134" s="244"/>
      <c r="CB134" s="244"/>
      <c r="CC134" s="244"/>
      <c r="CD134" s="244"/>
      <c r="CE134" s="244"/>
      <c r="CF134" s="244"/>
      <c r="CG134" s="244"/>
      <c r="CH134" s="244"/>
      <c r="CI134" s="244"/>
      <c r="CJ134" s="244"/>
      <c r="CK134" s="244"/>
      <c r="CL134" s="244"/>
      <c r="CM134" s="244"/>
    </row>
    <row r="135">
      <c r="A135" s="244"/>
      <c r="B135" s="246"/>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44"/>
      <c r="BU135" s="244"/>
      <c r="BV135" s="244"/>
      <c r="BW135" s="244"/>
      <c r="BX135" s="244"/>
      <c r="BY135" s="244"/>
      <c r="BZ135" s="244"/>
      <c r="CA135" s="244"/>
      <c r="CB135" s="244"/>
      <c r="CC135" s="244"/>
      <c r="CD135" s="244"/>
      <c r="CE135" s="244"/>
      <c r="CF135" s="244"/>
      <c r="CG135" s="244"/>
      <c r="CH135" s="244"/>
      <c r="CI135" s="244"/>
      <c r="CJ135" s="244"/>
      <c r="CK135" s="244"/>
      <c r="CL135" s="244"/>
      <c r="CM135" s="244"/>
    </row>
    <row r="136">
      <c r="A136" s="244"/>
      <c r="B136" s="246"/>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44"/>
      <c r="BU136" s="244"/>
      <c r="BV136" s="244"/>
      <c r="BW136" s="244"/>
      <c r="BX136" s="244"/>
      <c r="BY136" s="244"/>
      <c r="BZ136" s="244"/>
      <c r="CA136" s="244"/>
      <c r="CB136" s="244"/>
      <c r="CC136" s="244"/>
      <c r="CD136" s="244"/>
      <c r="CE136" s="244"/>
      <c r="CF136" s="244"/>
      <c r="CG136" s="244"/>
      <c r="CH136" s="244"/>
      <c r="CI136" s="244"/>
      <c r="CJ136" s="244"/>
      <c r="CK136" s="244"/>
      <c r="CL136" s="244"/>
      <c r="CM136" s="244"/>
    </row>
    <row r="137">
      <c r="A137" s="244"/>
      <c r="B137" s="246"/>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4"/>
      <c r="CE137" s="244"/>
      <c r="CF137" s="244"/>
      <c r="CG137" s="244"/>
      <c r="CH137" s="244"/>
      <c r="CI137" s="244"/>
      <c r="CJ137" s="244"/>
      <c r="CK137" s="244"/>
      <c r="CL137" s="244"/>
      <c r="CM137" s="244"/>
    </row>
    <row r="138">
      <c r="A138" s="244"/>
      <c r="B138" s="246"/>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44"/>
      <c r="BU138" s="244"/>
      <c r="BV138" s="244"/>
      <c r="BW138" s="244"/>
      <c r="BX138" s="244"/>
      <c r="BY138" s="244"/>
      <c r="BZ138" s="244"/>
      <c r="CA138" s="244"/>
      <c r="CB138" s="244"/>
      <c r="CC138" s="244"/>
      <c r="CD138" s="244"/>
      <c r="CE138" s="244"/>
      <c r="CF138" s="244"/>
      <c r="CG138" s="244"/>
      <c r="CH138" s="244"/>
      <c r="CI138" s="244"/>
      <c r="CJ138" s="244"/>
      <c r="CK138" s="244"/>
      <c r="CL138" s="244"/>
      <c r="CM138" s="244"/>
    </row>
    <row r="139">
      <c r="A139" s="244"/>
      <c r="B139" s="246"/>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44"/>
      <c r="BU139" s="244"/>
      <c r="BV139" s="244"/>
      <c r="BW139" s="244"/>
      <c r="BX139" s="244"/>
      <c r="BY139" s="244"/>
      <c r="BZ139" s="244"/>
      <c r="CA139" s="244"/>
      <c r="CB139" s="244"/>
      <c r="CC139" s="244"/>
      <c r="CD139" s="244"/>
      <c r="CE139" s="244"/>
      <c r="CF139" s="244"/>
      <c r="CG139" s="244"/>
      <c r="CH139" s="244"/>
      <c r="CI139" s="244"/>
      <c r="CJ139" s="244"/>
      <c r="CK139" s="244"/>
      <c r="CL139" s="244"/>
      <c r="CM139" s="244"/>
    </row>
    <row r="140">
      <c r="A140" s="244"/>
      <c r="B140" s="246"/>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44"/>
      <c r="BU140" s="244"/>
      <c r="BV140" s="244"/>
      <c r="BW140" s="244"/>
      <c r="BX140" s="244"/>
      <c r="BY140" s="244"/>
      <c r="BZ140" s="244"/>
      <c r="CA140" s="244"/>
      <c r="CB140" s="244"/>
      <c r="CC140" s="244"/>
      <c r="CD140" s="244"/>
      <c r="CE140" s="244"/>
      <c r="CF140" s="244"/>
      <c r="CG140" s="244"/>
      <c r="CH140" s="244"/>
      <c r="CI140" s="244"/>
      <c r="CJ140" s="244"/>
      <c r="CK140" s="244"/>
      <c r="CL140" s="244"/>
      <c r="CM140" s="244"/>
    </row>
    <row r="141">
      <c r="A141" s="244"/>
      <c r="B141" s="246"/>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44"/>
      <c r="BU141" s="244"/>
      <c r="BV141" s="244"/>
      <c r="BW141" s="244"/>
      <c r="BX141" s="244"/>
      <c r="BY141" s="244"/>
      <c r="BZ141" s="244"/>
      <c r="CA141" s="244"/>
      <c r="CB141" s="244"/>
      <c r="CC141" s="244"/>
      <c r="CD141" s="244"/>
      <c r="CE141" s="244"/>
      <c r="CF141" s="244"/>
      <c r="CG141" s="244"/>
      <c r="CH141" s="244"/>
      <c r="CI141" s="244"/>
      <c r="CJ141" s="244"/>
      <c r="CK141" s="244"/>
      <c r="CL141" s="244"/>
      <c r="CM141" s="244"/>
    </row>
    <row r="142">
      <c r="A142" s="244"/>
      <c r="B142" s="246"/>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44"/>
      <c r="BU142" s="244"/>
      <c r="BV142" s="244"/>
      <c r="BW142" s="244"/>
      <c r="BX142" s="244"/>
      <c r="BY142" s="244"/>
      <c r="BZ142" s="244"/>
      <c r="CA142" s="244"/>
      <c r="CB142" s="244"/>
      <c r="CC142" s="244"/>
      <c r="CD142" s="244"/>
      <c r="CE142" s="244"/>
      <c r="CF142" s="244"/>
      <c r="CG142" s="244"/>
      <c r="CH142" s="244"/>
      <c r="CI142" s="244"/>
      <c r="CJ142" s="244"/>
      <c r="CK142" s="244"/>
      <c r="CL142" s="244"/>
      <c r="CM142" s="244"/>
    </row>
    <row r="143">
      <c r="A143" s="244"/>
      <c r="B143" s="246"/>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44"/>
      <c r="BU143" s="244"/>
      <c r="BV143" s="244"/>
      <c r="BW143" s="244"/>
      <c r="BX143" s="244"/>
      <c r="BY143" s="244"/>
      <c r="BZ143" s="244"/>
      <c r="CA143" s="244"/>
      <c r="CB143" s="244"/>
      <c r="CC143" s="244"/>
      <c r="CD143" s="244"/>
      <c r="CE143" s="244"/>
      <c r="CF143" s="244"/>
      <c r="CG143" s="244"/>
      <c r="CH143" s="244"/>
      <c r="CI143" s="244"/>
      <c r="CJ143" s="244"/>
      <c r="CK143" s="244"/>
      <c r="CL143" s="244"/>
      <c r="CM143" s="244"/>
    </row>
    <row r="144">
      <c r="A144" s="244"/>
      <c r="B144" s="246"/>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44"/>
      <c r="BU144" s="244"/>
      <c r="BV144" s="244"/>
      <c r="BW144" s="244"/>
      <c r="BX144" s="244"/>
      <c r="BY144" s="244"/>
      <c r="BZ144" s="244"/>
      <c r="CA144" s="244"/>
      <c r="CB144" s="244"/>
      <c r="CC144" s="244"/>
      <c r="CD144" s="244"/>
      <c r="CE144" s="244"/>
      <c r="CF144" s="244"/>
      <c r="CG144" s="244"/>
      <c r="CH144" s="244"/>
      <c r="CI144" s="244"/>
      <c r="CJ144" s="244"/>
      <c r="CK144" s="244"/>
      <c r="CL144" s="244"/>
      <c r="CM144" s="244"/>
    </row>
    <row r="145">
      <c r="A145" s="244"/>
      <c r="B145" s="246"/>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4"/>
      <c r="CE145" s="244"/>
      <c r="CF145" s="244"/>
      <c r="CG145" s="244"/>
      <c r="CH145" s="244"/>
      <c r="CI145" s="244"/>
      <c r="CJ145" s="244"/>
      <c r="CK145" s="244"/>
      <c r="CL145" s="244"/>
      <c r="CM145" s="244"/>
    </row>
    <row r="146">
      <c r="A146" s="244"/>
      <c r="B146" s="246"/>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4"/>
      <c r="BE146" s="244"/>
      <c r="BF146" s="244"/>
      <c r="BG146" s="244"/>
      <c r="BH146" s="244"/>
      <c r="BI146" s="244"/>
      <c r="BJ146" s="244"/>
      <c r="BK146" s="244"/>
      <c r="BL146" s="244"/>
      <c r="BM146" s="244"/>
      <c r="BN146" s="244"/>
      <c r="BO146" s="244"/>
      <c r="BP146" s="244"/>
      <c r="BQ146" s="244"/>
      <c r="BR146" s="244"/>
      <c r="BS146" s="244"/>
      <c r="BT146" s="244"/>
      <c r="BU146" s="244"/>
      <c r="BV146" s="244"/>
      <c r="BW146" s="244"/>
      <c r="BX146" s="244"/>
      <c r="BY146" s="244"/>
      <c r="BZ146" s="244"/>
      <c r="CA146" s="244"/>
      <c r="CB146" s="244"/>
      <c r="CC146" s="244"/>
      <c r="CD146" s="244"/>
      <c r="CE146" s="244"/>
      <c r="CF146" s="244"/>
      <c r="CG146" s="244"/>
      <c r="CH146" s="244"/>
      <c r="CI146" s="244"/>
      <c r="CJ146" s="244"/>
      <c r="CK146" s="244"/>
      <c r="CL146" s="244"/>
      <c r="CM146" s="244"/>
    </row>
    <row r="147">
      <c r="A147" s="244"/>
      <c r="B147" s="246"/>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c r="BB147" s="244"/>
      <c r="BC147" s="244"/>
      <c r="BD147" s="244"/>
      <c r="BE147" s="244"/>
      <c r="BF147" s="244"/>
      <c r="BG147" s="244"/>
      <c r="BH147" s="244"/>
      <c r="BI147" s="244"/>
      <c r="BJ147" s="244"/>
      <c r="BK147" s="244"/>
      <c r="BL147" s="244"/>
      <c r="BM147" s="244"/>
      <c r="BN147" s="244"/>
      <c r="BO147" s="244"/>
      <c r="BP147" s="244"/>
      <c r="BQ147" s="244"/>
      <c r="BR147" s="244"/>
      <c r="BS147" s="244"/>
      <c r="BT147" s="244"/>
      <c r="BU147" s="244"/>
      <c r="BV147" s="244"/>
      <c r="BW147" s="244"/>
      <c r="BX147" s="244"/>
      <c r="BY147" s="244"/>
      <c r="BZ147" s="244"/>
      <c r="CA147" s="244"/>
      <c r="CB147" s="244"/>
      <c r="CC147" s="244"/>
      <c r="CD147" s="244"/>
      <c r="CE147" s="244"/>
      <c r="CF147" s="244"/>
      <c r="CG147" s="244"/>
      <c r="CH147" s="244"/>
      <c r="CI147" s="244"/>
      <c r="CJ147" s="244"/>
      <c r="CK147" s="244"/>
      <c r="CL147" s="244"/>
      <c r="CM147" s="244"/>
    </row>
    <row r="148">
      <c r="A148" s="244"/>
      <c r="B148" s="246"/>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4"/>
      <c r="CE148" s="244"/>
      <c r="CF148" s="244"/>
      <c r="CG148" s="244"/>
      <c r="CH148" s="244"/>
      <c r="CI148" s="244"/>
      <c r="CJ148" s="244"/>
      <c r="CK148" s="244"/>
      <c r="CL148" s="244"/>
      <c r="CM148" s="244"/>
    </row>
  </sheetData>
  <mergeCells count="273">
    <mergeCell ref="Y9:Z9"/>
    <mergeCell ref="Q11:R11"/>
    <mergeCell ref="Q9:R9"/>
    <mergeCell ref="S9:T9"/>
    <mergeCell ref="U9:V9"/>
    <mergeCell ref="S11:T11"/>
    <mergeCell ref="Y11:Z11"/>
    <mergeCell ref="W9:X9"/>
    <mergeCell ref="W10:X10"/>
    <mergeCell ref="S10:T10"/>
    <mergeCell ref="U10:V10"/>
    <mergeCell ref="Q10:R10"/>
    <mergeCell ref="C56:D56"/>
    <mergeCell ref="J56:N56"/>
    <mergeCell ref="C57:D57"/>
    <mergeCell ref="J57:N57"/>
    <mergeCell ref="C61:D61"/>
    <mergeCell ref="J61:N61"/>
    <mergeCell ref="C62:D62"/>
    <mergeCell ref="J62:N62"/>
    <mergeCell ref="C65:D65"/>
    <mergeCell ref="J65:N65"/>
    <mergeCell ref="C63:D63"/>
    <mergeCell ref="J63:N63"/>
    <mergeCell ref="C64:D64"/>
    <mergeCell ref="J64:N64"/>
    <mergeCell ref="C40:D40"/>
    <mergeCell ref="J40:N40"/>
    <mergeCell ref="C41:D41"/>
    <mergeCell ref="J41:N41"/>
    <mergeCell ref="C60:D60"/>
    <mergeCell ref="J60:N60"/>
    <mergeCell ref="C46:D46"/>
    <mergeCell ref="J46:N46"/>
    <mergeCell ref="C47:D47"/>
    <mergeCell ref="J47:N47"/>
    <mergeCell ref="C48:D48"/>
    <mergeCell ref="J48:N48"/>
    <mergeCell ref="J49:N49"/>
    <mergeCell ref="C50:D50"/>
    <mergeCell ref="C55:D55"/>
    <mergeCell ref="J55:N55"/>
    <mergeCell ref="C52:D52"/>
    <mergeCell ref="J52:N52"/>
    <mergeCell ref="C53:D53"/>
    <mergeCell ref="J53:N53"/>
    <mergeCell ref="C58:D58"/>
    <mergeCell ref="J58:N58"/>
    <mergeCell ref="C59:D59"/>
    <mergeCell ref="J59:N59"/>
    <mergeCell ref="J95:N95"/>
    <mergeCell ref="J78:N78"/>
    <mergeCell ref="J79:N79"/>
    <mergeCell ref="C88:D88"/>
    <mergeCell ref="C89:D89"/>
    <mergeCell ref="C90:D90"/>
    <mergeCell ref="C91:D91"/>
    <mergeCell ref="C70:D70"/>
    <mergeCell ref="C71:D71"/>
    <mergeCell ref="C72:D72"/>
    <mergeCell ref="J77:N77"/>
    <mergeCell ref="J73:N73"/>
    <mergeCell ref="J72:N72"/>
    <mergeCell ref="C74:D74"/>
    <mergeCell ref="C85:D85"/>
    <mergeCell ref="C82:D82"/>
    <mergeCell ref="C83:D83"/>
    <mergeCell ref="C84:D84"/>
    <mergeCell ref="C34:D34"/>
    <mergeCell ref="J34:N34"/>
    <mergeCell ref="C35:D35"/>
    <mergeCell ref="J35:N35"/>
    <mergeCell ref="J36:N36"/>
    <mergeCell ref="C37:D37"/>
    <mergeCell ref="J37:N37"/>
    <mergeCell ref="J94:N94"/>
    <mergeCell ref="C68:D68"/>
    <mergeCell ref="C69:D69"/>
    <mergeCell ref="J66:N66"/>
    <mergeCell ref="J67:N67"/>
    <mergeCell ref="C54:D54"/>
    <mergeCell ref="J54:N54"/>
    <mergeCell ref="J42:N42"/>
    <mergeCell ref="C43:D43"/>
    <mergeCell ref="J43:N43"/>
    <mergeCell ref="C44:D44"/>
    <mergeCell ref="J44:N44"/>
    <mergeCell ref="C45:D45"/>
    <mergeCell ref="J45:N45"/>
    <mergeCell ref="C38:D38"/>
    <mergeCell ref="J38:N38"/>
    <mergeCell ref="J93:N93"/>
    <mergeCell ref="J96:N96"/>
    <mergeCell ref="J97:N97"/>
    <mergeCell ref="J24:N24"/>
    <mergeCell ref="C25:D25"/>
    <mergeCell ref="J25:N25"/>
    <mergeCell ref="C26:D26"/>
    <mergeCell ref="J26:N26"/>
    <mergeCell ref="C24:D24"/>
    <mergeCell ref="J86:N86"/>
    <mergeCell ref="J87:N87"/>
    <mergeCell ref="J88:N88"/>
    <mergeCell ref="J89:N89"/>
    <mergeCell ref="J90:N90"/>
    <mergeCell ref="J91:N91"/>
    <mergeCell ref="J80:N80"/>
    <mergeCell ref="J81:N81"/>
    <mergeCell ref="J82:N82"/>
    <mergeCell ref="J83:N83"/>
    <mergeCell ref="J84:N84"/>
    <mergeCell ref="J85:N85"/>
    <mergeCell ref="J74:N74"/>
    <mergeCell ref="J75:N75"/>
    <mergeCell ref="J76:N76"/>
    <mergeCell ref="C27:D27"/>
    <mergeCell ref="C104:D104"/>
    <mergeCell ref="C96:D96"/>
    <mergeCell ref="C97:D97"/>
    <mergeCell ref="C98:D98"/>
    <mergeCell ref="C100:D100"/>
    <mergeCell ref="C103:AX103"/>
    <mergeCell ref="C87:D87"/>
    <mergeCell ref="C75:D75"/>
    <mergeCell ref="C76:D76"/>
    <mergeCell ref="C77:D77"/>
    <mergeCell ref="C78:D78"/>
    <mergeCell ref="C79:D79"/>
    <mergeCell ref="C80:D80"/>
    <mergeCell ref="C81:D81"/>
    <mergeCell ref="C86:D86"/>
    <mergeCell ref="J98:N98"/>
    <mergeCell ref="C99:D99"/>
    <mergeCell ref="J99:N99"/>
    <mergeCell ref="J100:N100"/>
    <mergeCell ref="C92:D92"/>
    <mergeCell ref="C93:D93"/>
    <mergeCell ref="C94:D94"/>
    <mergeCell ref="C95:D95"/>
    <mergeCell ref="J92:N92"/>
    <mergeCell ref="C30:D30"/>
    <mergeCell ref="C33:D33"/>
    <mergeCell ref="C36:D36"/>
    <mergeCell ref="C39:D39"/>
    <mergeCell ref="C42:D42"/>
    <mergeCell ref="C49:D49"/>
    <mergeCell ref="P19:AX20"/>
    <mergeCell ref="C67:D67"/>
    <mergeCell ref="C66:D66"/>
    <mergeCell ref="C22:D22"/>
    <mergeCell ref="J22:N22"/>
    <mergeCell ref="C23:D23"/>
    <mergeCell ref="J23:N23"/>
    <mergeCell ref="J27:N27"/>
    <mergeCell ref="C28:D28"/>
    <mergeCell ref="C31:D31"/>
    <mergeCell ref="J28:N28"/>
    <mergeCell ref="C29:D29"/>
    <mergeCell ref="J29:N29"/>
    <mergeCell ref="J30:N30"/>
    <mergeCell ref="J31:N31"/>
    <mergeCell ref="C32:D32"/>
    <mergeCell ref="J32:N32"/>
    <mergeCell ref="J39:N39"/>
    <mergeCell ref="Q7:R7"/>
    <mergeCell ref="S7:T7"/>
    <mergeCell ref="U7:V7"/>
    <mergeCell ref="W7:X7"/>
    <mergeCell ref="P6:AD6"/>
    <mergeCell ref="M8:P8"/>
    <mergeCell ref="AG8:AJ8"/>
    <mergeCell ref="W8:X8"/>
    <mergeCell ref="Q8:R8"/>
    <mergeCell ref="AJ6:AX6"/>
    <mergeCell ref="AM7:AN7"/>
    <mergeCell ref="AO7:AP7"/>
    <mergeCell ref="AQ7:AR7"/>
    <mergeCell ref="AS7:AT7"/>
    <mergeCell ref="AU8:AV8"/>
    <mergeCell ref="AW8:AX8"/>
    <mergeCell ref="S8:T8"/>
    <mergeCell ref="U8:V8"/>
    <mergeCell ref="AK8:AL8"/>
    <mergeCell ref="AM8:AN8"/>
    <mergeCell ref="AO8:AP8"/>
    <mergeCell ref="AQ8:AR8"/>
    <mergeCell ref="AS8:AT8"/>
    <mergeCell ref="AW7:AX7"/>
    <mergeCell ref="AU9:AV9"/>
    <mergeCell ref="AW9:AX9"/>
    <mergeCell ref="AM9:AN9"/>
    <mergeCell ref="AO9:AP9"/>
    <mergeCell ref="AQ9:AR9"/>
    <mergeCell ref="AS9:AT9"/>
    <mergeCell ref="AA9:AB9"/>
    <mergeCell ref="AQ10:AR10"/>
    <mergeCell ref="AK12:AL12"/>
    <mergeCell ref="AA12:AB12"/>
    <mergeCell ref="AC12:AD12"/>
    <mergeCell ref="AO10:AP10"/>
    <mergeCell ref="AM11:AN11"/>
    <mergeCell ref="AO11:AP11"/>
    <mergeCell ref="AS10:AT10"/>
    <mergeCell ref="AK9:AL9"/>
    <mergeCell ref="AK11:AL11"/>
    <mergeCell ref="AK10:AL10"/>
    <mergeCell ref="AG9:AJ9"/>
    <mergeCell ref="AG10:AJ10"/>
    <mergeCell ref="AG11:AJ11"/>
    <mergeCell ref="AG12:AJ12"/>
    <mergeCell ref="AA11:AB11"/>
    <mergeCell ref="AO12:AP12"/>
    <mergeCell ref="AM10:AN10"/>
    <mergeCell ref="AA13:AB13"/>
    <mergeCell ref="AC13:AD13"/>
    <mergeCell ref="AA10:AB10"/>
    <mergeCell ref="J68:N68"/>
    <mergeCell ref="J69:N69"/>
    <mergeCell ref="J70:N70"/>
    <mergeCell ref="J71:N71"/>
    <mergeCell ref="J33:N33"/>
    <mergeCell ref="W12:X12"/>
    <mergeCell ref="AG13:AJ13"/>
    <mergeCell ref="U11:V11"/>
    <mergeCell ref="W11:X11"/>
    <mergeCell ref="AK7:AL7"/>
    <mergeCell ref="AU7:AV7"/>
    <mergeCell ref="J50:N50"/>
    <mergeCell ref="C51:D51"/>
    <mergeCell ref="J51:N51"/>
    <mergeCell ref="AM13:AN13"/>
    <mergeCell ref="W13:X13"/>
    <mergeCell ref="AK13:AL13"/>
    <mergeCell ref="Q13:R13"/>
    <mergeCell ref="S13:T13"/>
    <mergeCell ref="U13:V13"/>
    <mergeCell ref="Y13:Z13"/>
    <mergeCell ref="AU10:AV10"/>
    <mergeCell ref="AU13:AV13"/>
    <mergeCell ref="AU12:AV12"/>
    <mergeCell ref="Y7:Z7"/>
    <mergeCell ref="AA7:AB7"/>
    <mergeCell ref="AC7:AD7"/>
    <mergeCell ref="Y8:Z8"/>
    <mergeCell ref="AA8:AB8"/>
    <mergeCell ref="AC8:AD8"/>
    <mergeCell ref="AC9:AD9"/>
    <mergeCell ref="M9:P9"/>
    <mergeCell ref="M13:P13"/>
    <mergeCell ref="AW12:AX12"/>
    <mergeCell ref="AW13:AX13"/>
    <mergeCell ref="AW11:AX11"/>
    <mergeCell ref="AW10:AX10"/>
    <mergeCell ref="AO13:AP13"/>
    <mergeCell ref="AQ13:AR13"/>
    <mergeCell ref="AS13:AT13"/>
    <mergeCell ref="AU11:AV11"/>
    <mergeCell ref="C73:D73"/>
    <mergeCell ref="M12:P12"/>
    <mergeCell ref="AC10:AD10"/>
    <mergeCell ref="AC11:AD11"/>
    <mergeCell ref="M10:P10"/>
    <mergeCell ref="M11:P11"/>
    <mergeCell ref="Q12:R12"/>
    <mergeCell ref="S12:T12"/>
    <mergeCell ref="U12:V12"/>
    <mergeCell ref="Y12:Z12"/>
    <mergeCell ref="Y10:Z10"/>
    <mergeCell ref="AQ12:AR12"/>
    <mergeCell ref="AS12:AT12"/>
    <mergeCell ref="AQ11:AR11"/>
    <mergeCell ref="AS11:AT11"/>
    <mergeCell ref="AM12:AN12"/>
  </mergeCells>
  <phoneticPr fontId="0" type="noConversion"/>
  <printOptions horizontalCentered="1" verticalCentered="1"/>
  <pageMargins left="0.25" right="0.25" top="0.25" bottom="0.25" header="0.17" footer="0.32"/>
  <pageSetup scale="54" orientation="landscape" r:id="rId1"/>
  <headerFooter alignWithMargins="0">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2:M16"/>
  <sheetViews>
    <sheetView showGridLines="0" zoomScaleNormal="100" workbookViewId="0"/>
  </sheetViews>
  <sheetFormatPr defaultRowHeight="15"/>
  <cols>
    <col min="1" max="1" width="4.28515625" style="433" customWidth="1"/>
    <col min="2" max="2" width="3.42578125" style="433" customWidth="1"/>
    <col min="3" max="3" width="6.85546875" style="433" customWidth="1"/>
    <col min="4" max="4" width="9.140625" style="433"/>
    <col min="5" max="5" width="39" style="433" customWidth="1"/>
    <col min="6" max="6" width="32.28515625" style="433" customWidth="1"/>
    <col min="7" max="9" width="9.140625" style="433"/>
    <col min="10" max="10" width="12" style="433" customWidth="1"/>
    <col min="11" max="11" width="9.140625" style="433"/>
    <col min="12" max="12" width="18.28515625" style="433" customWidth="1"/>
    <col min="13" max="16384" width="9.140625" style="433"/>
  </cols>
  <sheetData>
    <row r="2" ht="84" customHeight="1">
      <c r="B2" s="434"/>
      <c r="C2" s="435"/>
      <c r="K2" s="436"/>
      <c r="M2" s="436"/>
    </row>
    <row r="3" ht="15" customHeight="1">
      <c r="B3" s="434"/>
    </row>
    <row r="4">
      <c r="A4" s="437" t="s">
        <v>102</v>
      </c>
      <c r="B4" s="438"/>
      <c r="C4" s="438"/>
      <c r="D4" s="438"/>
      <c r="E4" s="438"/>
      <c r="F4" s="438"/>
      <c r="G4" s="438"/>
      <c r="H4" s="438"/>
      <c r="I4" s="438"/>
      <c r="J4" s="438"/>
      <c r="K4" s="438"/>
    </row>
    <row r="5">
      <c r="A5" s="22" t="s">
        <v>109</v>
      </c>
      <c r="B5" s="22"/>
      <c r="C5" s="22"/>
      <c r="D5" s="22"/>
      <c r="E5" s="22"/>
      <c r="F5" s="22"/>
      <c r="G5" s="438"/>
      <c r="H5" s="438"/>
      <c r="I5" s="438"/>
      <c r="J5" s="438"/>
      <c r="K5" s="438"/>
    </row>
    <row r="6">
      <c r="A6" s="438"/>
      <c r="B6" s="438"/>
      <c r="C6" s="438"/>
      <c r="D6" s="438"/>
      <c r="E6" s="438"/>
      <c r="F6" s="438"/>
      <c r="G6" s="438"/>
      <c r="H6" s="438"/>
      <c r="I6" s="438"/>
      <c r="J6" s="438"/>
      <c r="K6" s="438"/>
    </row>
    <row r="7">
      <c r="A7" s="438"/>
      <c r="B7" s="438"/>
      <c r="C7" s="438"/>
      <c r="D7" s="438"/>
      <c r="E7" s="438"/>
      <c r="F7" s="438"/>
      <c r="G7" s="438"/>
      <c r="H7" s="438"/>
      <c r="I7" s="438"/>
      <c r="J7" s="438"/>
      <c r="K7" s="438"/>
    </row>
    <row r="8">
      <c r="A8" s="437" t="s">
        <v>103</v>
      </c>
      <c r="B8" s="438"/>
      <c r="C8" s="438"/>
      <c r="D8" s="438"/>
      <c r="E8" s="438"/>
      <c r="F8" s="438"/>
      <c r="G8" s="438"/>
      <c r="H8" s="438"/>
      <c r="I8" s="438"/>
      <c r="J8" s="438"/>
      <c r="K8" s="438"/>
    </row>
    <row r="9">
      <c r="A9" s="22" t="s">
        <v>110</v>
      </c>
      <c r="B9" s="22"/>
      <c r="C9" s="22"/>
      <c r="D9" s="22"/>
      <c r="E9" s="22"/>
      <c r="F9" s="22"/>
      <c r="G9" s="438"/>
      <c r="H9" s="438"/>
      <c r="I9" s="438"/>
      <c r="J9" s="438"/>
      <c r="K9" s="438"/>
    </row>
    <row r="10">
      <c r="A10" s="22"/>
      <c r="B10" s="22"/>
      <c r="C10" s="22"/>
      <c r="D10" s="22"/>
      <c r="E10" s="22"/>
      <c r="F10" s="22"/>
      <c r="G10" s="438"/>
      <c r="H10" s="438"/>
      <c r="I10" s="438"/>
      <c r="J10" s="438"/>
      <c r="K10" s="438"/>
    </row>
    <row r="11">
      <c r="A11" s="438"/>
      <c r="B11" s="438"/>
      <c r="C11" s="438"/>
      <c r="D11" s="438"/>
      <c r="E11" s="438"/>
      <c r="F11" s="438"/>
      <c r="G11" s="438"/>
      <c r="H11" s="438"/>
      <c r="I11" s="438"/>
      <c r="J11" s="438"/>
      <c r="K11" s="438"/>
    </row>
    <row r="12">
      <c r="A12" s="22" t="s">
        <v>111</v>
      </c>
      <c r="B12" s="22"/>
      <c r="C12" s="22"/>
      <c r="D12" s="22"/>
      <c r="E12" s="22"/>
      <c r="F12" s="438"/>
      <c r="G12" s="438"/>
      <c r="H12" s="438"/>
      <c r="I12" s="438"/>
      <c r="J12" s="438"/>
      <c r="K12" s="438"/>
    </row>
    <row r="13">
      <c r="A13" s="438"/>
      <c r="B13" s="438"/>
      <c r="C13" s="438"/>
      <c r="D13" s="438"/>
      <c r="E13" s="438"/>
      <c r="F13" s="438"/>
      <c r="G13" s="438"/>
      <c r="H13" s="438"/>
      <c r="I13" s="438"/>
      <c r="J13" s="438"/>
      <c r="K13" s="438"/>
    </row>
    <row r="14" ht="16.5" customHeight="1">
      <c r="A14" s="647" t="s">
        <v>104</v>
      </c>
      <c r="B14" s="647"/>
      <c r="C14" s="647"/>
      <c r="D14" s="647"/>
      <c r="E14" s="647"/>
      <c r="F14" s="647"/>
      <c r="G14" s="647"/>
      <c r="H14" s="647"/>
      <c r="I14" s="647"/>
      <c r="J14" s="439"/>
      <c r="K14" s="438"/>
    </row>
    <row r="15" ht="15" customHeight="1">
      <c r="A15" s="647" t="s">
        <v>105</v>
      </c>
      <c r="B15" s="647"/>
      <c r="C15" s="647"/>
      <c r="D15" s="647"/>
      <c r="E15" s="647"/>
      <c r="F15" s="647"/>
      <c r="G15" s="647"/>
      <c r="H15" s="647"/>
      <c r="I15" s="647"/>
      <c r="J15" s="439"/>
      <c r="K15" s="439"/>
      <c r="L15" s="439"/>
    </row>
    <row r="16">
      <c r="C16" s="440"/>
      <c r="D16" s="440"/>
      <c r="E16" s="440"/>
      <c r="F16" s="440"/>
      <c r="G16" s="440"/>
      <c r="H16" s="440"/>
      <c r="I16" s="440"/>
      <c r="J16" s="440"/>
      <c r="K16" s="440"/>
      <c r="L16" s="440"/>
    </row>
  </sheetData>
  <mergeCells count="2">
    <mergeCell ref="A15:I15"/>
    <mergeCell ref="A14:I14"/>
  </mergeCells>
  <hyperlinks>
    <hyperlink ref="A5:F5" r:id="rId39" display="For all STR definitions, please click here or visit www.str.com/data-insights/resources/glossary"/>
    <hyperlink ref="A14:I14" r:id="rId40" display="For the latest in industry news, visit HotelNewsNow.com."/>
    <hyperlink ref="A15:I15" r:id="rId41" display="To learn more about the Hotel Data Conference, visit HotelDataConference.com."/>
    <hyperlink ref="A9:F9" r:id="rId42" display="For all STR FAQs, please click here or visit www.str.com/data-insights/resources/FAQ"/>
    <hyperlink ref="A12:E12" r:id="rId43" display="For additional support, please contact your regional office."/>
  </hyperlinks>
  <pageMargins left="0.7" right="0.7" top="0.75" bottom="0.75" header="0.3" footer="0.3"/>
  <pageSetup orientation="landscape" r:id="rId6"/>
  <headerFooter>
    <oddHeader/>
    <oddFooter/>
  </headerFooter>
  <drawing r:id="rId7"/>
</worksheet>
</file>

<file path=xl/worksheets/sheet1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86"/>
  <sheetViews>
    <sheetView showGridLines="0" zoomScaleNormal="100" workbookViewId="0"/>
  </sheetViews>
  <sheetFormatPr defaultRowHeight="12.75"/>
  <cols>
    <col min="1" max="1" width="2" customWidth="1"/>
    <col min="2" max="2" width="16.5703125" customWidth="1"/>
    <col min="3" max="3" width="2.7109375" customWidth="1"/>
    <col min="4" max="4" width="14.42578125" customWidth="1"/>
    <col min="5" max="5" width="8.7109375" customWidth="1"/>
    <col min="6" max="6" width="5.7109375" customWidth="1"/>
    <col min="7" max="7" width="4.7109375" customWidth="1"/>
    <col min="8" max="8" width="8.7109375" customWidth="1"/>
    <col min="9" max="9" width="5.7109375" customWidth="1"/>
    <col min="10" max="10" width="4.7109375" customWidth="1"/>
    <col min="11" max="11" width="8.7109375" customWidth="1"/>
    <col min="12" max="12" width="5.7109375" customWidth="1"/>
    <col min="13" max="13" width="4.7109375" customWidth="1"/>
    <col min="14" max="14" width="8.7109375" customWidth="1"/>
    <col min="15" max="15" width="5.7109375" customWidth="1"/>
    <col min="16" max="16" width="4.7109375" customWidth="1"/>
    <col min="17" max="17" width="8.7109375" customWidth="1"/>
    <col min="18" max="18" width="5.7109375" customWidth="1"/>
    <col min="19" max="19" width="4.7109375" customWidth="1"/>
    <col min="20" max="20" width="8.7109375" customWidth="1"/>
    <col min="21" max="21" width="5.7109375" customWidth="1"/>
    <col min="22" max="22" width="4.7109375" customWidth="1"/>
    <col min="23" max="23" width="8.7109375" customWidth="1"/>
    <col min="24" max="24" width="5.7109375" customWidth="1"/>
    <col min="25" max="25" width="4.7109375" customWidth="1"/>
    <col min="26" max="26" width="8.7109375" customWidth="1"/>
    <col min="27" max="29" width="5.7109375" customWidth="1"/>
  </cols>
  <sheetData>
    <row r="1" ht="48" customHeight="1">
      <c r="A1" s="72"/>
      <c r="B1" s="20" t="s">
        <v>115</v>
      </c>
      <c r="C1" s="11"/>
      <c r="D1" s="11"/>
      <c r="E1" s="11"/>
      <c r="F1" s="11"/>
      <c r="G1" s="11"/>
      <c r="H1" s="11"/>
      <c r="I1" s="11"/>
      <c r="J1" s="11"/>
      <c r="K1" s="1"/>
      <c r="L1" s="1"/>
      <c r="M1" s="1"/>
      <c r="N1" s="1"/>
      <c r="O1" s="1"/>
      <c r="P1" s="1"/>
      <c r="Q1" s="1"/>
      <c r="R1" s="1"/>
      <c r="S1" s="1"/>
      <c r="T1" s="1"/>
      <c r="U1" s="1"/>
      <c r="V1" s="1"/>
      <c r="W1" s="1"/>
      <c r="X1" s="1"/>
      <c r="Y1" s="1"/>
      <c r="Z1" s="1"/>
      <c r="AA1" s="1"/>
      <c r="AB1" s="175"/>
      <c r="AC1" s="1"/>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8" customHeight="1">
      <c r="B2" s="10" t="s">
        <v>132</v>
      </c>
      <c r="C2" s="12"/>
      <c r="D2" s="1"/>
      <c r="E2" s="1"/>
      <c r="F2" s="1"/>
      <c r="G2" s="1"/>
      <c r="H2" s="1"/>
      <c r="I2" s="1"/>
      <c r="J2" s="1"/>
      <c r="K2" s="1"/>
      <c r="L2" s="1"/>
      <c r="M2" s="1"/>
      <c r="N2" s="1"/>
      <c r="O2" s="1"/>
      <c r="P2" s="1"/>
      <c r="Q2" s="1"/>
      <c r="R2" s="1"/>
      <c r="S2" s="1"/>
      <c r="T2" s="1"/>
      <c r="U2" s="1"/>
      <c r="V2" s="80"/>
      <c r="W2" s="1"/>
      <c r="X2" s="1"/>
      <c r="Y2" s="80"/>
      <c r="Z2" s="234"/>
      <c r="AA2" s="1"/>
      <c r="AB2" s="175"/>
      <c r="AC2" s="1"/>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5" customHeight="1">
      <c r="A3" s="1"/>
      <c r="B3" s="432" t="s">
        <v>133</v>
      </c>
      <c r="C3" s="12"/>
      <c r="D3" s="1"/>
      <c r="E3" s="1"/>
      <c r="F3" s="1"/>
      <c r="G3" s="1"/>
      <c r="H3" s="1"/>
      <c r="I3" s="1"/>
      <c r="J3" s="1"/>
      <c r="K3" s="1"/>
      <c r="L3" s="1"/>
      <c r="M3" s="1"/>
      <c r="N3" s="1"/>
      <c r="O3" s="1"/>
      <c r="P3" s="1"/>
      <c r="Q3" s="1"/>
      <c r="R3" s="1"/>
      <c r="S3" s="1"/>
      <c r="T3" s="1"/>
      <c r="U3" s="1"/>
      <c r="V3" s="1"/>
      <c r="W3" s="1"/>
      <c r="X3" s="1"/>
      <c r="Y3" s="1"/>
      <c r="Z3" s="1"/>
      <c r="AA3" s="1"/>
      <c r="AB3" s="175"/>
      <c r="AC3" s="1"/>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5" customHeight="1">
      <c r="B4" s="175" t="s">
        <v>134</v>
      </c>
      <c r="C4" s="12"/>
      <c r="D4" s="1"/>
      <c r="E4" s="1"/>
      <c r="F4" s="1"/>
      <c r="G4" s="1"/>
      <c r="H4" s="1"/>
      <c r="I4" s="1"/>
      <c r="J4" s="1"/>
      <c r="K4" s="1"/>
      <c r="L4" s="1"/>
      <c r="M4" s="1"/>
      <c r="N4" s="1"/>
      <c r="O4" s="1"/>
      <c r="P4" s="1"/>
      <c r="Q4" s="1"/>
      <c r="R4" s="1"/>
      <c r="S4" s="1"/>
      <c r="T4" s="1"/>
      <c r="U4" s="1"/>
      <c r="V4" s="1"/>
      <c r="W4" s="1"/>
      <c r="X4" s="1"/>
      <c r="Y4" s="1"/>
      <c r="Z4" s="1"/>
      <c r="AA4" s="1"/>
      <c r="AB4" s="175"/>
      <c r="AC4" s="1"/>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30.75" customHeight="1">
      <c r="A5" s="13"/>
      <c r="B5" s="12"/>
      <c r="C5" s="12"/>
      <c r="D5" s="1"/>
      <c r="E5" s="1"/>
      <c r="F5" s="1"/>
      <c r="G5" s="1"/>
      <c r="H5" s="1"/>
      <c r="I5" s="1"/>
      <c r="J5" s="1"/>
      <c r="K5" s="1"/>
      <c r="L5" s="1"/>
      <c r="M5" s="1"/>
      <c r="N5" s="1"/>
      <c r="O5" s="1"/>
      <c r="P5" s="1"/>
      <c r="Q5" s="1"/>
      <c r="R5" s="1"/>
      <c r="S5" s="1"/>
      <c r="T5" s="1"/>
      <c r="U5" s="1"/>
      <c r="V5" s="1"/>
      <c r="W5" s="1"/>
      <c r="X5" s="1"/>
      <c r="Y5" s="1"/>
      <c r="Z5" s="1"/>
      <c r="AA5" s="1"/>
      <c r="AB5" s="175"/>
      <c r="AC5" s="1"/>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s="6" customFormat="1" ht="18" customHeight="1">
      <c r="A6" s="78"/>
      <c r="B6" s="607" t="s">
        <v>135</v>
      </c>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78"/>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row>
    <row r="7" ht="21" customHeight="1">
      <c r="A7" s="13"/>
      <c r="B7" s="12"/>
      <c r="C7" s="12"/>
      <c r="D7" s="1"/>
      <c r="E7" s="1"/>
      <c r="F7" s="1"/>
      <c r="G7" s="1"/>
      <c r="H7" s="1"/>
      <c r="I7" s="1"/>
      <c r="J7" s="1"/>
      <c r="K7" s="1"/>
      <c r="L7" s="1"/>
      <c r="M7" s="1"/>
      <c r="N7" s="1"/>
      <c r="O7" s="1"/>
      <c r="P7" s="1"/>
      <c r="Q7" s="1"/>
      <c r="R7" s="1"/>
      <c r="S7" s="1"/>
      <c r="T7" s="1"/>
      <c r="U7" s="1"/>
      <c r="V7" s="1"/>
      <c r="W7" s="1"/>
      <c r="X7" s="1"/>
      <c r="Y7" s="1"/>
      <c r="Z7" s="1"/>
      <c r="AA7" s="1"/>
      <c r="AB7" s="1"/>
      <c r="AC7" s="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8" customHeight="1">
      <c r="A8" s="1"/>
      <c r="B8" s="1"/>
      <c r="C8" s="3"/>
      <c r="D8" s="3"/>
      <c r="E8" s="650" t="s">
        <v>40</v>
      </c>
      <c r="F8" s="650"/>
      <c r="G8" s="64"/>
      <c r="H8" s="650" t="s">
        <v>39</v>
      </c>
      <c r="I8" s="650"/>
      <c r="J8" s="1"/>
      <c r="K8" s="650" t="s">
        <v>41</v>
      </c>
      <c r="L8" s="650"/>
      <c r="M8" s="64"/>
      <c r="N8" s="650" t="s">
        <v>42</v>
      </c>
      <c r="O8" s="650"/>
      <c r="P8" s="64"/>
      <c r="Q8" s="650" t="s">
        <v>43</v>
      </c>
      <c r="R8" s="650"/>
      <c r="S8" s="64"/>
      <c r="T8" s="650" t="s">
        <v>44</v>
      </c>
      <c r="U8" s="650"/>
      <c r="V8" s="64"/>
      <c r="W8" s="650" t="s">
        <v>45</v>
      </c>
      <c r="X8" s="650"/>
      <c r="Y8" s="64"/>
      <c r="Z8" s="650" t="s">
        <v>23</v>
      </c>
      <c r="AA8" s="650"/>
      <c r="AB8" s="1"/>
      <c r="AC8" s="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18" customHeight="1">
      <c r="A9" s="1"/>
      <c r="B9" s="1"/>
      <c r="C9" s="1"/>
      <c r="D9" s="1"/>
      <c r="E9" s="651" t="s">
        <v>57</v>
      </c>
      <c r="F9" s="651"/>
      <c r="G9" s="65"/>
      <c r="H9" s="651" t="s">
        <v>57</v>
      </c>
      <c r="I9" s="651"/>
      <c r="J9" s="3"/>
      <c r="K9" s="651" t="s">
        <v>57</v>
      </c>
      <c r="L9" s="651"/>
      <c r="M9" s="79"/>
      <c r="N9" s="651" t="s">
        <v>57</v>
      </c>
      <c r="O9" s="651"/>
      <c r="P9" s="65"/>
      <c r="Q9" s="651" t="s">
        <v>57</v>
      </c>
      <c r="R9" s="651"/>
      <c r="S9" s="65"/>
      <c r="T9" s="651" t="s">
        <v>57</v>
      </c>
      <c r="U9" s="651"/>
      <c r="V9" s="65"/>
      <c r="W9" s="651" t="s">
        <v>57</v>
      </c>
      <c r="X9" s="651"/>
      <c r="Y9" s="1"/>
      <c r="Z9" s="651" t="s">
        <v>57</v>
      </c>
      <c r="AA9" s="651"/>
      <c r="AB9" s="1"/>
      <c r="AC9" s="1"/>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8" customHeight="1">
      <c r="A10" s="1"/>
      <c r="B10" s="652" t="s">
        <v>28</v>
      </c>
      <c r="C10" s="1"/>
      <c r="D10" s="17" t="s">
        <v>32</v>
      </c>
      <c r="E10" s="67">
        <v>0.4479166666666666666666666667</v>
      </c>
      <c r="F10" s="73">
        <v>-49.411764705901397923875425350</v>
      </c>
      <c r="G10" s="66"/>
      <c r="H10" s="67">
        <v>0.5729166666666666666666666667</v>
      </c>
      <c r="I10" s="73">
        <v>-36.781609195402298850574712640</v>
      </c>
      <c r="J10" s="66"/>
      <c r="K10" s="67">
        <v>0.6770833333333333333333333333</v>
      </c>
      <c r="L10" s="73">
        <v>-23.529411764734671280276805770</v>
      </c>
      <c r="M10" s="67"/>
      <c r="N10" s="67">
        <v>0.5625</v>
      </c>
      <c r="O10" s="73">
        <v>-37.931034482758620689655172410</v>
      </c>
      <c r="P10" s="66"/>
      <c r="Q10" s="67">
        <v>0.6041666666666666666666666667</v>
      </c>
      <c r="R10" s="73">
        <v>-34.090909090933057851239660700</v>
      </c>
      <c r="S10" s="66"/>
      <c r="T10" s="67">
        <v>0.625</v>
      </c>
      <c r="U10" s="73">
        <v>-27.710843373466105385396998980</v>
      </c>
      <c r="V10" s="66"/>
      <c r="W10" s="67">
        <v>0.5104166666666666666666666667</v>
      </c>
      <c r="X10" s="73">
        <v>-41.666666666666666666666666660</v>
      </c>
      <c r="Y10" s="177"/>
      <c r="Z10" s="67">
        <v>0.5714285714285714285714285714</v>
      </c>
      <c r="AA10" s="73">
        <v>-35.893155258761182939846878730</v>
      </c>
      <c r="AB10" s="1"/>
      <c r="AC10" s="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8" customHeight="1">
      <c r="A11" s="1"/>
      <c r="B11" s="652"/>
      <c r="C11" s="15"/>
      <c r="D11" s="187" t="s">
        <v>26</v>
      </c>
      <c r="E11" s="180">
        <v>0.536986301369863013698630137</v>
      </c>
      <c r="F11" s="81">
        <v>-36.569579288044364847456556660</v>
      </c>
      <c r="G11" s="181"/>
      <c r="H11" s="180">
        <v>0.6821917808219178082191780822</v>
      </c>
      <c r="I11" s="81">
        <v>-28.242074927965264224435048730</v>
      </c>
      <c r="J11" s="181"/>
      <c r="K11" s="180">
        <v>0.7534246575342465753424657534</v>
      </c>
      <c r="L11" s="81">
        <v>-21.875000000013316761363634100</v>
      </c>
      <c r="M11" s="180"/>
      <c r="N11" s="180">
        <v>0.7452054794520547945205479452</v>
      </c>
      <c r="O11" s="81">
        <v>-23.163841807938906444508271890</v>
      </c>
      <c r="P11" s="181"/>
      <c r="Q11" s="180">
        <v>0.7178082191780821917808219178</v>
      </c>
      <c r="R11" s="81">
        <v>-21.321321321296512728945153560</v>
      </c>
      <c r="S11" s="182"/>
      <c r="T11" s="180">
        <v>0.7452054794520547945205479452</v>
      </c>
      <c r="U11" s="81">
        <v>-15.527950310566876277921375760</v>
      </c>
      <c r="V11" s="181"/>
      <c r="W11" s="180">
        <v>0.7178082191780821917808219178</v>
      </c>
      <c r="X11" s="81">
        <v>-15.755627009690997818467527290</v>
      </c>
      <c r="Y11" s="183"/>
      <c r="Z11" s="180">
        <v>0.6998043052837573385518590998</v>
      </c>
      <c r="AA11" s="81">
        <v>-23.195876288673980143125373790</v>
      </c>
      <c r="AB11" s="1"/>
      <c r="AC11" s="1"/>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8" customHeight="1">
      <c r="A12" s="1"/>
      <c r="B12" s="57"/>
      <c r="C12" s="15"/>
      <c r="D12" s="406" t="s">
        <v>91</v>
      </c>
      <c r="E12" s="68">
        <v>83.41305272106715653416979580</v>
      </c>
      <c r="F12" s="73">
        <v>-20.246098439408352463272460220</v>
      </c>
      <c r="G12" s="68"/>
      <c r="H12" s="68">
        <v>83.98176037482254570490798658</v>
      </c>
      <c r="I12" s="73">
        <v>-11.900475465058691189646965800</v>
      </c>
      <c r="J12" s="68"/>
      <c r="K12" s="68">
        <v>89.86742424245365358126722725</v>
      </c>
      <c r="L12" s="73">
        <v>-2.1176470587753418383483895700</v>
      </c>
      <c r="M12" s="68"/>
      <c r="N12" s="68">
        <v>75.482536764711432539467993490</v>
      </c>
      <c r="O12" s="73">
        <v>-19.219066937073684823447551480</v>
      </c>
      <c r="P12" s="68"/>
      <c r="Q12" s="68">
        <v>84.16825699746510832459258507</v>
      </c>
      <c r="R12" s="73">
        <v>-16.230048577387676634451354950</v>
      </c>
      <c r="S12" s="68"/>
      <c r="T12" s="68">
        <v>83.86948529412381393274221499</v>
      </c>
      <c r="U12" s="73">
        <v>-14.422395464235306481220118950</v>
      </c>
      <c r="V12" s="68"/>
      <c r="W12" s="68">
        <v>71.107665394410177722500632210</v>
      </c>
      <c r="X12" s="73">
        <v>-30.756997455451968933620590160</v>
      </c>
      <c r="Y12" s="174"/>
      <c r="Z12" s="68">
        <v>81.65548098431173020234324761</v>
      </c>
      <c r="AA12" s="73">
        <v>-16.532027652329649358348633160</v>
      </c>
      <c r="AB12" s="1"/>
      <c r="AC12" s="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21" customHeight="1">
      <c r="A13" s="1"/>
      <c r="B13" s="16"/>
      <c r="C13" s="16"/>
      <c r="D13" s="1"/>
      <c r="E13" s="3"/>
      <c r="F13" s="66"/>
      <c r="G13" s="66"/>
      <c r="H13" s="66"/>
      <c r="I13" s="66"/>
      <c r="J13" s="66"/>
      <c r="K13" s="66"/>
      <c r="L13" s="66"/>
      <c r="M13" s="66"/>
      <c r="N13" s="66"/>
      <c r="O13" s="66"/>
      <c r="P13" s="66"/>
      <c r="Q13" s="66"/>
      <c r="R13" s="66"/>
      <c r="S13" s="66"/>
      <c r="T13" s="66"/>
      <c r="U13" s="66"/>
      <c r="V13" s="66"/>
      <c r="W13" s="66"/>
      <c r="X13" s="66"/>
      <c r="Y13" s="66"/>
      <c r="Z13" s="66"/>
      <c r="AA13" s="175"/>
      <c r="AB13" s="1"/>
      <c r="AC13" s="1"/>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8" customHeight="1">
      <c r="A14" s="1"/>
      <c r="B14" s="652" t="s">
        <v>12</v>
      </c>
      <c r="C14" s="1"/>
      <c r="D14" s="17" t="s">
        <v>32</v>
      </c>
      <c r="E14" s="237">
        <v>140.04651162790697674418604651</v>
      </c>
      <c r="F14" s="73">
        <v>15.628494301839782352033518690</v>
      </c>
      <c r="G14" s="70"/>
      <c r="H14" s="237">
        <v>129.32727272727272727272727273</v>
      </c>
      <c r="I14" s="73">
        <v>-0.7193794469952147852871993800</v>
      </c>
      <c r="J14" s="70"/>
      <c r="K14" s="237">
        <v>127.83076923076923076923076923</v>
      </c>
      <c r="L14" s="73">
        <v>-0.5890632697449608468840877400</v>
      </c>
      <c r="M14" s="70"/>
      <c r="N14" s="237">
        <v>133.74074074074074074074074074</v>
      </c>
      <c r="O14" s="73">
        <v>4.222899000723724856497842300</v>
      </c>
      <c r="P14" s="70"/>
      <c r="Q14" s="237">
        <v>133.65517241379310344827586207</v>
      </c>
      <c r="R14" s="73">
        <v>6.7882256438436426152453705600</v>
      </c>
      <c r="S14" s="70"/>
      <c r="T14" s="237">
        <v>141.300000000</v>
      </c>
      <c r="U14" s="73">
        <v>15.216622457971206908278168560</v>
      </c>
      <c r="V14" s="70"/>
      <c r="W14" s="237">
        <v>125.83673469387755102040816327</v>
      </c>
      <c r="X14" s="73">
        <v>3.5490371697349400275435305100</v>
      </c>
      <c r="Y14" s="178"/>
      <c r="Z14" s="237">
        <v>132.97395833333333333333333333</v>
      </c>
      <c r="AA14" s="73">
        <v>6.0279821647944071882645494700</v>
      </c>
      <c r="AB14" s="1"/>
      <c r="AC14" s="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8" customHeight="1">
      <c r="A15" s="1"/>
      <c r="B15" s="652"/>
      <c r="C15" s="15"/>
      <c r="D15" s="187" t="s">
        <v>26</v>
      </c>
      <c r="E15" s="238">
        <v>120.8126020408163265306122449</v>
      </c>
      <c r="F15" s="81">
        <v>6.9140214520769305000287129300</v>
      </c>
      <c r="G15" s="184"/>
      <c r="H15" s="238">
        <v>123.43931726907630522088353413</v>
      </c>
      <c r="I15" s="81">
        <v>6.3542040112766509631498529600</v>
      </c>
      <c r="J15" s="184"/>
      <c r="K15" s="238">
        <v>124.35327272727272727272727273</v>
      </c>
      <c r="L15" s="81">
        <v>8.181919736683264479479087250</v>
      </c>
      <c r="M15" s="184"/>
      <c r="N15" s="238">
        <v>121.62121323529411764705882352</v>
      </c>
      <c r="O15" s="81">
        <v>6.5428954845558624891568811700</v>
      </c>
      <c r="P15" s="184"/>
      <c r="Q15" s="238">
        <v>116.02591603053435114503816794</v>
      </c>
      <c r="R15" s="81">
        <v>2.0665525578355535215248902400</v>
      </c>
      <c r="S15" s="184"/>
      <c r="T15" s="238">
        <v>117.43488970588235294117647059</v>
      </c>
      <c r="U15" s="81">
        <v>1.2405245667488126150623414400</v>
      </c>
      <c r="V15" s="184"/>
      <c r="W15" s="238">
        <v>118.23736641221374045801526718</v>
      </c>
      <c r="X15" s="81">
        <v>1.9014781888804436477390254200</v>
      </c>
      <c r="Y15" s="186"/>
      <c r="Z15" s="238">
        <v>120.25338366890380313199105145</v>
      </c>
      <c r="AA15" s="81">
        <v>4.7114319541697469863885941400</v>
      </c>
      <c r="AB15" s="1"/>
      <c r="AC15" s="1"/>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8" customHeight="1">
      <c r="A16" s="1"/>
      <c r="B16" s="57"/>
      <c r="C16" s="15"/>
      <c r="D16" s="406" t="s">
        <v>92</v>
      </c>
      <c r="E16" s="68">
        <v>115.92044973968148889831542494</v>
      </c>
      <c r="F16" s="73">
        <v>8.150916719279946099048900130</v>
      </c>
      <c r="G16" s="68"/>
      <c r="H16" s="68">
        <v>104.76991900833093172518828459</v>
      </c>
      <c r="I16" s="73">
        <v>-6.6509674196836995531186766300</v>
      </c>
      <c r="J16" s="68"/>
      <c r="K16" s="68">
        <v>102.79646560737906149084911494</v>
      </c>
      <c r="L16" s="73">
        <v>-8.107623739528972911507867460</v>
      </c>
      <c r="M16" s="68"/>
      <c r="N16" s="68">
        <v>109.96497829864034229295181863</v>
      </c>
      <c r="O16" s="73">
        <v>-2.1775234033841490194158554300</v>
      </c>
      <c r="P16" s="68"/>
      <c r="Q16" s="68">
        <v>115.19424020635084681024095840</v>
      </c>
      <c r="R16" s="73">
        <v>4.6260728590086469289468805100</v>
      </c>
      <c r="S16" s="68"/>
      <c r="T16" s="68">
        <v>120.32199319458380893895415757</v>
      </c>
      <c r="U16" s="73">
        <v>13.804845392773634432042115720</v>
      </c>
      <c r="V16" s="68"/>
      <c r="W16" s="68">
        <v>106.42721375845312378496691734</v>
      </c>
      <c r="X16" s="73">
        <v>1.6168155851361472031903843200</v>
      </c>
      <c r="Y16" s="174"/>
      <c r="Z16" s="68">
        <v>110.57814281505588582354021014</v>
      </c>
      <c r="AA16" s="73">
        <v>1.2573127747799007865322504300</v>
      </c>
      <c r="AB16" s="1"/>
      <c r="AC16" s="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21" customHeight="1">
      <c r="A17" s="1"/>
      <c r="B17" s="16"/>
      <c r="C17" s="16"/>
      <c r="D17" s="1"/>
      <c r="E17" s="3"/>
      <c r="F17" s="66"/>
      <c r="G17" s="66"/>
      <c r="H17" s="66"/>
      <c r="I17" s="66"/>
      <c r="J17" s="66"/>
      <c r="K17" s="66"/>
      <c r="L17" s="66"/>
      <c r="M17" s="66"/>
      <c r="N17" s="66"/>
      <c r="O17" s="66"/>
      <c r="P17" s="66"/>
      <c r="Q17" s="66"/>
      <c r="R17" s="66"/>
      <c r="S17" s="66"/>
      <c r="T17" s="66"/>
      <c r="U17" s="66"/>
      <c r="V17" s="66"/>
      <c r="W17" s="66"/>
      <c r="X17" s="66"/>
      <c r="Y17" s="66"/>
      <c r="Z17" s="66"/>
      <c r="AA17" s="175"/>
      <c r="AB17" s="1"/>
      <c r="AC17" s="1"/>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8" customHeight="1">
      <c r="A18" s="1"/>
      <c r="B18" s="652" t="s">
        <v>13</v>
      </c>
      <c r="C18" s="1"/>
      <c r="D18" s="17" t="s">
        <v>32</v>
      </c>
      <c r="E18" s="237">
        <v>62.729166666666666666666666667</v>
      </c>
      <c r="F18" s="73">
        <v>-41.505585235533056617071753840</v>
      </c>
      <c r="G18" s="70"/>
      <c r="H18" s="237">
        <v>74.093750000</v>
      </c>
      <c r="I18" s="73">
        <v>-37.236389305550088806651174470</v>
      </c>
      <c r="J18" s="70"/>
      <c r="K18" s="237">
        <v>86.55208333333333333333333333</v>
      </c>
      <c r="L18" s="73">
        <v>-23.97987191219060058644839800</v>
      </c>
      <c r="M18" s="70"/>
      <c r="N18" s="237">
        <v>75.229166666666666666666666667</v>
      </c>
      <c r="O18" s="73">
        <v>-35.309924758169742766102996850</v>
      </c>
      <c r="P18" s="70"/>
      <c r="Q18" s="237">
        <v>80.750000000</v>
      </c>
      <c r="R18" s="73">
        <v>-29.616851280209299625558682610</v>
      </c>
      <c r="S18" s="70"/>
      <c r="T18" s="237">
        <v>88.312500000</v>
      </c>
      <c r="U18" s="73">
        <v>-16.710875331564986737400530500</v>
      </c>
      <c r="V18" s="70"/>
      <c r="W18" s="237">
        <v>64.229166666666666666666666667</v>
      </c>
      <c r="X18" s="73">
        <v>-39.596394984307083509399469300</v>
      </c>
      <c r="Y18" s="178"/>
      <c r="Z18" s="237">
        <v>75.985119047619047619047619048</v>
      </c>
      <c r="AA18" s="73">
        <v>-32.028806091326157808886139560</v>
      </c>
      <c r="AB18" s="1"/>
      <c r="AC18" s="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8" customHeight="1">
      <c r="A19" s="1"/>
      <c r="B19" s="652" t="s"/>
      <c r="C19" s="15"/>
      <c r="D19" s="187" t="s">
        <v>26</v>
      </c>
      <c r="E19" s="238">
        <v>64.874712328767123287671232877</v>
      </c>
      <c r="F19" s="81">
        <v>-32.183986392841425404787262920</v>
      </c>
      <c r="G19" s="184"/>
      <c r="H19" s="238">
        <v>84.20928767123287671232876712</v>
      </c>
      <c r="I19" s="81">
        <v>-23.682429974635992401366498710</v>
      </c>
      <c r="J19" s="184"/>
      <c r="K19" s="238">
        <v>93.69082191780821917808219178</v>
      </c>
      <c r="L19" s="81">
        <v>-15.482875205717244031795140540</v>
      </c>
      <c r="M19" s="184"/>
      <c r="N19" s="238">
        <v>90.63279452054794520547945205</v>
      </c>
      <c r="O19" s="81">
        <v>-18.136532283029420448541769680</v>
      </c>
      <c r="P19" s="184"/>
      <c r="Q19" s="238">
        <v>83.28435616438356164383561644</v>
      </c>
      <c r="R19" s="81">
        <v>-19.695385074630508535218522070</v>
      </c>
      <c r="S19" s="184"/>
      <c r="T19" s="238">
        <v>87.51312328767123287671232877</v>
      </c>
      <c r="U19" s="81">
        <v>-14.480053782100040478885281650</v>
      </c>
      <c r="V19" s="184"/>
      <c r="W19" s="238">
        <v>84.87175342465753424657534247</v>
      </c>
      <c r="X19" s="81">
        <v>-14.153738631903710815207362450</v>
      </c>
      <c r="Y19" s="186"/>
      <c r="Z19" s="238">
        <v>84.15383561643835616438356164</v>
      </c>
      <c r="AA19" s="81">
        <v>-19.577302262066577411933879340</v>
      </c>
      <c r="AB19" s="1"/>
      <c r="AC19" s="1"/>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8" customHeight="1">
      <c r="A20" s="1"/>
      <c r="B20" s="57"/>
      <c r="C20" s="15"/>
      <c r="D20" s="406" t="s">
        <v>93</v>
      </c>
      <c r="E20" s="68">
        <v>96.69278585582127404700666355</v>
      </c>
      <c r="F20" s="73">
        <v>-13.745424342908992967344666560</v>
      </c>
      <c r="G20" s="68"/>
      <c r="H20" s="68">
        <v>87.98762232653398305617277786</v>
      </c>
      <c r="I20" s="73">
        <v>-17.759946138757051487620406060</v>
      </c>
      <c r="J20" s="68"/>
      <c r="K20" s="68">
        <v>92.38053585362943427373999163</v>
      </c>
      <c r="L20" s="73">
        <v>-10.053579942645347249446882730</v>
      </c>
      <c r="M20" s="68"/>
      <c r="N20" s="68">
        <v>83.00435517261996578543054157</v>
      </c>
      <c r="O20" s="73">
        <v>-20.978090660027111979745251480</v>
      </c>
      <c r="P20" s="68"/>
      <c r="Q20" s="68">
        <v>96.95698414309971739319694638</v>
      </c>
      <c r="R20" s="73">
        <v>-12.354789590629578482724707530</v>
      </c>
      <c r="S20" s="68"/>
      <c r="T20" s="68">
        <v>100.91343638790269604708763904</v>
      </c>
      <c r="U20" s="73">
        <v>-2.6085394672388638610863974400</v>
      </c>
      <c r="V20" s="68"/>
      <c r="W20" s="68">
        <v>75.677907047899193780336775510</v>
      </c>
      <c r="X20" s="73">
        <v>-29.637465798726530928048233800</v>
      </c>
      <c r="Y20" s="174"/>
      <c r="Z20" s="68">
        <v>90.29311437922263505343434031</v>
      </c>
      <c r="AA20" s="73">
        <v>-15.482574173024274233456353030</v>
      </c>
      <c r="AB20" s="1"/>
      <c r="AC20" s="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23.1" customHeight="1">
      <c r="A21" s="1"/>
      <c r="B21" s="16"/>
      <c r="C21" s="16"/>
      <c r="D21" s="1"/>
      <c r="E21" s="1"/>
      <c r="F21" s="1"/>
      <c r="G21" s="1"/>
      <c r="H21" s="1"/>
      <c r="I21" s="1"/>
      <c r="J21" s="1"/>
      <c r="K21" s="1"/>
      <c r="L21" s="1"/>
      <c r="M21" s="1"/>
      <c r="N21" s="1"/>
      <c r="O21" s="1"/>
      <c r="P21" s="1"/>
      <c r="Q21" s="1"/>
      <c r="R21" s="1"/>
      <c r="S21" s="1"/>
      <c r="T21" s="1"/>
      <c r="U21" s="1"/>
      <c r="V21" s="1"/>
      <c r="W21" s="1"/>
      <c r="X21" s="1"/>
      <c r="Y21" s="1"/>
      <c r="Z21" s="1"/>
      <c r="AA21" s="1"/>
      <c r="AB21" s="1"/>
      <c r="AC21" s="1"/>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23.1"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s="6" customFormat="1" ht="18" customHeight="1">
      <c r="A23" s="78"/>
      <c r="B23" s="607" t="s">
        <v>69</v>
      </c>
      <c r="C23" s="607"/>
      <c r="D23" s="607"/>
      <c r="E23" s="607"/>
      <c r="F23" s="607"/>
      <c r="G23" s="607"/>
      <c r="H23" s="607"/>
      <c r="I23" s="607"/>
      <c r="J23" s="607"/>
      <c r="K23" s="607"/>
      <c r="L23" s="607"/>
      <c r="M23" s="607"/>
      <c r="N23" s="607"/>
      <c r="O23" s="607"/>
      <c r="P23" s="607"/>
      <c r="Q23" s="607"/>
      <c r="R23" s="607"/>
      <c r="S23" s="607"/>
      <c r="T23" s="607"/>
      <c r="U23" s="607"/>
      <c r="V23" s="607"/>
      <c r="W23" s="607"/>
      <c r="X23" s="607"/>
      <c r="Y23" s="607"/>
      <c r="Z23" s="607"/>
      <c r="AA23" s="607"/>
      <c r="AB23" s="607"/>
      <c r="AC23" s="78"/>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row>
    <row r="24" ht="21" customHeight="1">
      <c r="A24" s="1"/>
      <c r="B24" s="16"/>
      <c r="C24" s="16"/>
      <c r="D24" s="1"/>
      <c r="E24" s="1"/>
      <c r="F24" s="1"/>
      <c r="G24" s="1"/>
      <c r="H24" s="1"/>
      <c r="I24" s="1"/>
      <c r="J24" s="1"/>
      <c r="K24" s="1"/>
      <c r="L24" s="1"/>
      <c r="M24" s="1"/>
      <c r="N24" s="1"/>
      <c r="O24" s="1"/>
      <c r="P24" s="1"/>
      <c r="Q24" s="1"/>
      <c r="R24" s="1"/>
      <c r="S24" s="1"/>
      <c r="T24" s="1"/>
      <c r="U24" s="1"/>
      <c r="V24" s="1"/>
      <c r="W24" s="1"/>
      <c r="X24" s="1"/>
      <c r="Y24" s="1"/>
      <c r="Z24" s="1"/>
      <c r="AA24" s="1"/>
      <c r="AB24" s="1"/>
      <c r="AC24" s="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8" customHeight="1">
      <c r="A25" s="1"/>
      <c r="B25" s="1"/>
      <c r="C25" s="1"/>
      <c r="D25" s="3"/>
      <c r="E25" s="650" t="s">
        <v>40</v>
      </c>
      <c r="F25" s="650"/>
      <c r="G25" s="64"/>
      <c r="H25" s="650" t="s">
        <v>39</v>
      </c>
      <c r="I25" s="650"/>
      <c r="J25" s="1"/>
      <c r="K25" s="650" t="s">
        <v>41</v>
      </c>
      <c r="L25" s="650"/>
      <c r="M25" s="64"/>
      <c r="N25" s="650" t="s">
        <v>42</v>
      </c>
      <c r="O25" s="650"/>
      <c r="P25" s="64"/>
      <c r="Q25" s="650" t="s">
        <v>43</v>
      </c>
      <c r="R25" s="650"/>
      <c r="S25" s="64"/>
      <c r="T25" s="650" t="s">
        <v>44</v>
      </c>
      <c r="U25" s="650"/>
      <c r="V25" s="64"/>
      <c r="W25" s="650" t="s">
        <v>45</v>
      </c>
      <c r="X25" s="650"/>
      <c r="Y25" s="64"/>
      <c r="Z25" s="650" t="s">
        <v>23</v>
      </c>
      <c r="AA25" s="650"/>
      <c r="AB25" s="1"/>
      <c r="AC25" s="1"/>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8" customHeight="1">
      <c r="A26" s="1"/>
      <c r="B26" s="16"/>
      <c r="C26" s="16"/>
      <c r="D26" s="1"/>
      <c r="E26" s="651" t="s">
        <v>57</v>
      </c>
      <c r="F26" s="651"/>
      <c r="G26" s="65"/>
      <c r="H26" s="651" t="s">
        <v>57</v>
      </c>
      <c r="I26" s="651"/>
      <c r="J26" s="3"/>
      <c r="K26" s="651" t="s">
        <v>57</v>
      </c>
      <c r="L26" s="651"/>
      <c r="M26" s="65"/>
      <c r="N26" s="651" t="s">
        <v>57</v>
      </c>
      <c r="O26" s="651"/>
      <c r="P26" s="65"/>
      <c r="Q26" s="651" t="s">
        <v>57</v>
      </c>
      <c r="R26" s="651"/>
      <c r="S26" s="65"/>
      <c r="T26" s="651" t="s">
        <v>57</v>
      </c>
      <c r="U26" s="651"/>
      <c r="V26" s="65"/>
      <c r="W26" s="651" t="s">
        <v>57</v>
      </c>
      <c r="X26" s="651"/>
      <c r="Y26" s="1"/>
      <c r="Z26" s="651" t="s">
        <v>57</v>
      </c>
      <c r="AA26" s="651"/>
      <c r="AB26" s="1"/>
      <c r="AC26" s="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8" customHeight="1">
      <c r="A27" s="1"/>
      <c r="B27" s="652" t="s">
        <v>28</v>
      </c>
      <c r="C27" s="1"/>
      <c r="D27" s="17" t="s">
        <v>32</v>
      </c>
      <c r="E27" s="67">
        <v>0.5572916666666666666666666667</v>
      </c>
      <c r="F27" s="73">
        <v>-29.139072847652085434849335980</v>
      </c>
      <c r="G27" s="66"/>
      <c r="H27" s="67">
        <v>0.5911458333333333333333333333</v>
      </c>
      <c r="I27" s="73">
        <v>-30.792682926856276026174885360</v>
      </c>
      <c r="J27" s="66"/>
      <c r="K27" s="67">
        <v>0.5989583333333333333333333333</v>
      </c>
      <c r="L27" s="73">
        <v>-32.153392330383480825958702070</v>
      </c>
      <c r="M27" s="67"/>
      <c r="N27" s="67">
        <v>0.5885416666666666666666666667</v>
      </c>
      <c r="O27" s="73">
        <v>-31.515151515151515151515151510</v>
      </c>
      <c r="P27" s="66"/>
      <c r="Q27" s="67">
        <v>0.5807291666666666666666666667</v>
      </c>
      <c r="R27" s="73">
        <v>-33.033033033033033033033033030</v>
      </c>
      <c r="S27" s="66"/>
      <c r="T27" s="67">
        <v>0.59375</v>
      </c>
      <c r="U27" s="73">
        <v>-30.275229357798165137614678900</v>
      </c>
      <c r="V27" s="66"/>
      <c r="W27" s="67">
        <v>0.5520833333333333333333333333</v>
      </c>
      <c r="X27" s="73">
        <v>-32.698412698412698412698412700</v>
      </c>
      <c r="Y27" s="177"/>
      <c r="Z27" s="67">
        <v>0.5803571428571428571428571429</v>
      </c>
      <c r="AA27" s="73">
        <v>-31.398416886531951183854190090</v>
      </c>
      <c r="AB27" s="1"/>
      <c r="AC27" s="1"/>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8" customHeight="1">
      <c r="A28" s="1"/>
      <c r="B28" s="652"/>
      <c r="C28" s="15"/>
      <c r="D28" s="187" t="s">
        <v>26</v>
      </c>
      <c r="E28" s="180">
        <v>0.5493150684931506849315068493</v>
      </c>
      <c r="F28" s="81">
        <v>-34.530612244865892544772995540</v>
      </c>
      <c r="G28" s="181"/>
      <c r="H28" s="180">
        <v>0.6917808219178082191780821918</v>
      </c>
      <c r="I28" s="81">
        <v>-25.295857988143578656209509930</v>
      </c>
      <c r="J28" s="181"/>
      <c r="K28" s="180">
        <v>0.7404109589041095890410958904</v>
      </c>
      <c r="L28" s="81">
        <v>-21.381818181834191338842971950</v>
      </c>
      <c r="M28" s="180"/>
      <c r="N28" s="180">
        <v>0.739041095890410958904109589</v>
      </c>
      <c r="O28" s="81">
        <v>-23.148148148113115964967800850</v>
      </c>
      <c r="P28" s="181"/>
      <c r="Q28" s="180">
        <v>0.7013698630136986301369863014</v>
      </c>
      <c r="R28" s="81">
        <v>-24.316334072421564626853685050</v>
      </c>
      <c r="S28" s="182"/>
      <c r="T28" s="180">
        <v>0.6712328767123287671232876712</v>
      </c>
      <c r="U28" s="81">
        <v>-24.673328209073420138591433970</v>
      </c>
      <c r="V28" s="181"/>
      <c r="W28" s="180">
        <v>0.6678082191780821917808219178</v>
      </c>
      <c r="X28" s="81">
        <v>-25.515660809798941453100437270</v>
      </c>
      <c r="Y28" s="183"/>
      <c r="Z28" s="180">
        <v>0.6801369863013698630136986301</v>
      </c>
      <c r="AA28" s="81">
        <v>-25.410451765236952669518760340</v>
      </c>
      <c r="AB28" s="1"/>
      <c r="AC28" s="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8" customHeight="1">
      <c r="A29" s="1"/>
      <c r="B29" s="57"/>
      <c r="C29" s="15"/>
      <c r="D29" s="406" t="s">
        <v>91</v>
      </c>
      <c r="E29" s="68">
        <v>101.45209891939607580435860408</v>
      </c>
      <c r="F29" s="73">
        <v>8.235206685278910291815085940</v>
      </c>
      <c r="G29" s="68"/>
      <c r="H29" s="68">
        <v>85.45276402637895038885077283</v>
      </c>
      <c r="I29" s="73">
        <v>-7.358126056596371768833996600</v>
      </c>
      <c r="J29" s="68"/>
      <c r="K29" s="68">
        <v>80.89539007093395923133951535</v>
      </c>
      <c r="L29" s="73">
        <v>-13.701123454419323840376579800</v>
      </c>
      <c r="M29" s="68"/>
      <c r="N29" s="68">
        <v>79.63585109673875333085391714</v>
      </c>
      <c r="O29" s="73">
        <v>-10.887185103996486730369648230</v>
      </c>
      <c r="P29" s="68"/>
      <c r="Q29" s="68">
        <v>82.79927571611025551954906721</v>
      </c>
      <c r="R29" s="73">
        <v>-11.517278997766688682584921040</v>
      </c>
      <c r="S29" s="68"/>
      <c r="T29" s="68">
        <v>88.45663265310455018742192876</v>
      </c>
      <c r="U29" s="73">
        <v>-7.4368095861218352891121448400</v>
      </c>
      <c r="V29" s="68"/>
      <c r="W29" s="68">
        <v>82.67094017095034582511505713</v>
      </c>
      <c r="X29" s="73">
        <v>-9.643304843274710441952685040</v>
      </c>
      <c r="Y29" s="174"/>
      <c r="Z29" s="68">
        <v>85.32944900019026691371323828</v>
      </c>
      <c r="AA29" s="73">
        <v>-8.027887637090526993680428320</v>
      </c>
      <c r="AB29" s="1"/>
      <c r="AC29" s="1"/>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21" customHeight="1">
      <c r="A30" s="1"/>
      <c r="B30" s="16"/>
      <c r="C30" s="16"/>
      <c r="D30" s="1"/>
      <c r="E30" s="66"/>
      <c r="F30" s="66"/>
      <c r="G30" s="66"/>
      <c r="H30" s="66"/>
      <c r="I30" s="66"/>
      <c r="J30" s="66"/>
      <c r="K30" s="66"/>
      <c r="L30" s="66"/>
      <c r="M30" s="66"/>
      <c r="N30" s="66"/>
      <c r="O30" s="66"/>
      <c r="P30" s="66"/>
      <c r="Q30" s="66"/>
      <c r="R30" s="66"/>
      <c r="S30" s="66"/>
      <c r="T30" s="66"/>
      <c r="U30" s="66"/>
      <c r="V30" s="66"/>
      <c r="W30" s="66"/>
      <c r="X30" s="66"/>
      <c r="Y30" s="66"/>
      <c r="Z30" s="66"/>
      <c r="AA30" s="19"/>
      <c r="AB30" s="1"/>
      <c r="AC30" s="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8" customHeight="1">
      <c r="A31" s="1"/>
      <c r="B31" s="652" t="s">
        <v>12</v>
      </c>
      <c r="C31" s="1"/>
      <c r="D31" s="17" t="s">
        <v>32</v>
      </c>
      <c r="E31" s="237">
        <v>138.60747663551401869158878505</v>
      </c>
      <c r="F31" s="73">
        <v>15.337552541646505321907972740</v>
      </c>
      <c r="G31" s="70"/>
      <c r="H31" s="237">
        <v>135.93392070484581497797356828</v>
      </c>
      <c r="I31" s="73">
        <v>9.111729415801464862470727690</v>
      </c>
      <c r="J31" s="70"/>
      <c r="K31" s="237">
        <v>135.64347826086956521739130435</v>
      </c>
      <c r="L31" s="73">
        <v>5.7764518090522318028481422500</v>
      </c>
      <c r="M31" s="70"/>
      <c r="N31" s="237">
        <v>133.57522123893805309734513274</v>
      </c>
      <c r="O31" s="73">
        <v>3.6781988165328726556259052100</v>
      </c>
      <c r="P31" s="70"/>
      <c r="Q31" s="237">
        <v>136.85201793721973094170403587</v>
      </c>
      <c r="R31" s="73">
        <v>8.955486953319652535338984800</v>
      </c>
      <c r="S31" s="70"/>
      <c r="T31" s="237">
        <v>129.97368421052631578947368421</v>
      </c>
      <c r="U31" s="73">
        <v>2.6331040951382290688025012500</v>
      </c>
      <c r="V31" s="70"/>
      <c r="W31" s="237">
        <v>134.8726415094339622641509434</v>
      </c>
      <c r="X31" s="73">
        <v>8.618096015445809024515358420</v>
      </c>
      <c r="Y31" s="178"/>
      <c r="Z31" s="237">
        <v>135.03205128205128205128205128</v>
      </c>
      <c r="AA31" s="73">
        <v>7.5545577384436760208225991300</v>
      </c>
      <c r="AB31" s="1"/>
      <c r="AC31" s="1"/>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8" customHeight="1">
      <c r="A32" s="1"/>
      <c r="B32" s="652"/>
      <c r="C32" s="15"/>
      <c r="D32" s="187" t="s">
        <v>26</v>
      </c>
      <c r="E32" s="238">
        <v>117.5819451371571072319201995</v>
      </c>
      <c r="F32" s="81">
        <v>3.8013013209122562508030971100</v>
      </c>
      <c r="G32" s="184"/>
      <c r="H32" s="238">
        <v>121.07742574257425742574257426</v>
      </c>
      <c r="I32" s="81">
        <v>4.6633550969870282015711952200</v>
      </c>
      <c r="J32" s="184"/>
      <c r="K32" s="238">
        <v>121.47314523589269195189639223</v>
      </c>
      <c r="L32" s="81">
        <v>5.8796386718836763436354148800</v>
      </c>
      <c r="M32" s="184"/>
      <c r="N32" s="238">
        <v>119.79244670991658943466172382</v>
      </c>
      <c r="O32" s="81">
        <v>3.4202352894065176021499929800</v>
      </c>
      <c r="P32" s="184"/>
      <c r="Q32" s="238">
        <v>118.333662109375</v>
      </c>
      <c r="R32" s="81">
        <v>3.6649693431185597810603965700</v>
      </c>
      <c r="S32" s="184"/>
      <c r="T32" s="238">
        <v>122.16566326530612244897959184</v>
      </c>
      <c r="U32" s="81">
        <v>3.3621631422742944462439723100</v>
      </c>
      <c r="V32" s="184"/>
      <c r="W32" s="238">
        <v>122.42488205128205128205128205</v>
      </c>
      <c r="X32" s="81">
        <v>2.4296908653874697574754902100</v>
      </c>
      <c r="Y32" s="186"/>
      <c r="Z32" s="238">
        <v>120.47442382391022874406560207</v>
      </c>
      <c r="AA32" s="81">
        <v>3.9337476424445862457821560200</v>
      </c>
      <c r="AB32" s="1"/>
      <c r="AC32" s="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8" customHeight="1">
      <c r="A33" s="1"/>
      <c r="B33" s="57"/>
      <c r="C33" s="15"/>
      <c r="D33" s="406" t="s">
        <v>92</v>
      </c>
      <c r="E33" s="68">
        <v>117.88159863640669097831202318</v>
      </c>
      <c r="F33" s="73">
        <v>11.113782846555317537080919360</v>
      </c>
      <c r="G33" s="68"/>
      <c r="H33" s="68">
        <v>112.27024350008020631953310549</v>
      </c>
      <c r="I33" s="73">
        <v>4.2501736302238511069358074100</v>
      </c>
      <c r="J33" s="68"/>
      <c r="K33" s="68">
        <v>111.66540390260816694186903495</v>
      </c>
      <c r="L33" s="73">
        <v>-0.0974567576356563590361928700</v>
      </c>
      <c r="M33" s="68"/>
      <c r="N33" s="68">
        <v>111.50554555615316945295013243</v>
      </c>
      <c r="O33" s="73">
        <v>0.249432353795525174958373700</v>
      </c>
      <c r="P33" s="68"/>
      <c r="Q33" s="68">
        <v>115.64927130430513350866655323</v>
      </c>
      <c r="R33" s="73">
        <v>5.1034767517564191746393921300</v>
      </c>
      <c r="S33" s="68"/>
      <c r="T33" s="68">
        <v>106.39133839781976627921860848</v>
      </c>
      <c r="U33" s="73">
        <v>-0.7053442236174180860370989700</v>
      </c>
      <c r="V33" s="68"/>
      <c r="W33" s="68">
        <v>110.16767118706959173967939200</v>
      </c>
      <c r="X33" s="73">
        <v>6.0416126395448236839515547900</v>
      </c>
      <c r="Y33" s="174"/>
      <c r="Z33" s="68">
        <v>112.08358338316726244654184896</v>
      </c>
      <c r="AA33" s="73">
        <v>3.4837674750483152272194351900</v>
      </c>
      <c r="AB33" s="1"/>
      <c r="AC33" s="1"/>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21" customHeight="1">
      <c r="A34" s="1"/>
      <c r="B34" s="16"/>
      <c r="C34" s="16"/>
      <c r="D34" s="1"/>
      <c r="E34" s="66"/>
      <c r="F34" s="66"/>
      <c r="G34" s="66"/>
      <c r="H34" s="66"/>
      <c r="I34" s="66"/>
      <c r="J34" s="66"/>
      <c r="K34" s="66"/>
      <c r="L34" s="66"/>
      <c r="M34" s="66"/>
      <c r="N34" s="66"/>
      <c r="O34" s="66"/>
      <c r="P34" s="66"/>
      <c r="Q34" s="66"/>
      <c r="R34" s="66"/>
      <c r="S34" s="66"/>
      <c r="T34" s="66"/>
      <c r="U34" s="66"/>
      <c r="V34" s="66"/>
      <c r="W34" s="66"/>
      <c r="X34" s="66"/>
      <c r="Y34" s="66"/>
      <c r="Z34" s="66"/>
      <c r="AA34" s="18"/>
      <c r="AB34" s="1"/>
      <c r="AC34" s="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8" customHeight="1">
      <c r="A35" s="1"/>
      <c r="B35" s="652" t="s">
        <v>13</v>
      </c>
      <c r="C35" s="1"/>
      <c r="D35" s="17" t="s">
        <v>32</v>
      </c>
      <c r="E35" s="237">
        <v>77.244791666666666666666666667</v>
      </c>
      <c r="F35" s="73">
        <v>-18.270740914197059088080393530</v>
      </c>
      <c r="G35" s="70"/>
      <c r="H35" s="237">
        <v>80.35677083333333333333333333</v>
      </c>
      <c r="I35" s="73">
        <v>-24.486699459168440887844749530</v>
      </c>
      <c r="J35" s="70"/>
      <c r="K35" s="237">
        <v>81.24479166666666666666666667</v>
      </c>
      <c r="L35" s="73">
        <v>-28.234265734244603390720425350</v>
      </c>
      <c r="M35" s="70"/>
      <c r="N35" s="237">
        <v>78.614583333333333333333333333</v>
      </c>
      <c r="O35" s="73">
        <v>-28.996142628657446608335685390</v>
      </c>
      <c r="P35" s="70"/>
      <c r="Q35" s="237">
        <v>79.47395833333333333333333333</v>
      </c>
      <c r="R35" s="73">
        <v>-27.035815043274518242241667870</v>
      </c>
      <c r="S35" s="70"/>
      <c r="T35" s="237">
        <v>77.171875000</v>
      </c>
      <c r="U35" s="73">
        <v>-28.439303566663061096946542880</v>
      </c>
      <c r="V35" s="70"/>
      <c r="W35" s="237">
        <v>74.460937500</v>
      </c>
      <c r="X35" s="73">
        <v>-26.898297284859641049240681090</v>
      </c>
      <c r="Y35" s="178"/>
      <c r="Z35" s="237">
        <v>78.366815476190476190476190476</v>
      </c>
      <c r="AA35" s="73">
        <v>-26.215870680747473686054046480</v>
      </c>
      <c r="AB35" s="1"/>
      <c r="AC35" s="1"/>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8" customHeight="1">
      <c r="A36" s="1"/>
      <c r="B36" s="652" t="s"/>
      <c r="C36" s="15"/>
      <c r="D36" s="187" t="s">
        <v>26</v>
      </c>
      <c r="E36" s="238">
        <v>64.589534246575342465753424658</v>
      </c>
      <c r="F36" s="81">
        <v>-32.041923543386014964153022400</v>
      </c>
      <c r="G36" s="184"/>
      <c r="H36" s="238">
        <v>83.75904109589041095890410959</v>
      </c>
      <c r="I36" s="81">
        <v>-21.812138574002975708083110430</v>
      </c>
      <c r="J36" s="184"/>
      <c r="K36" s="238">
        <v>89.94004794520547945205479452</v>
      </c>
      <c r="L36" s="81">
        <v>-16.759353160508236164169256400</v>
      </c>
      <c r="M36" s="184"/>
      <c r="N36" s="238">
        <v>88.53154109589041095890410959</v>
      </c>
      <c r="O36" s="81">
        <v>-20.519633990548108329973330270</v>
      </c>
      <c r="P36" s="184"/>
      <c r="Q36" s="238">
        <v>82.99566438356164383561643836</v>
      </c>
      <c r="R36" s="81">
        <v>-21.542550918450990489631677780</v>
      </c>
      <c r="S36" s="184"/>
      <c r="T36" s="238">
        <v>82.0016095890410958904109589</v>
      </c>
      <c r="U36" s="81">
        <v>-22.140722613806481474141133940</v>
      </c>
      <c r="V36" s="184"/>
      <c r="W36" s="238">
        <v>81.75634246575342465753424658</v>
      </c>
      <c r="X36" s="81">
        <v>-23.705921624331911751358504460</v>
      </c>
      <c r="Y36" s="186"/>
      <c r="Z36" s="238">
        <v>81.93911154598825831702544031</v>
      </c>
      <c r="AA36" s="81">
        <v>-22.476287170077599373840822790</v>
      </c>
      <c r="AB36" s="1"/>
      <c r="AC36" s="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8" customHeight="1">
      <c r="A37" s="1"/>
      <c r="B37" s="57"/>
      <c r="C37" s="15"/>
      <c r="D37" s="406" t="s">
        <v>93</v>
      </c>
      <c r="E37" s="68">
        <v>119.59335605633793647084884577</v>
      </c>
      <c r="F37" s="73">
        <v>20.264232519713057511709511980</v>
      </c>
      <c r="G37" s="68"/>
      <c r="H37" s="68">
        <v>95.93802625000060131966262205</v>
      </c>
      <c r="I37" s="73">
        <v>-3.4206855596472253296521036600</v>
      </c>
      <c r="J37" s="68"/>
      <c r="K37" s="68">
        <v>90.33216406129635662664653025</v>
      </c>
      <c r="L37" s="73">
        <v>-13.785227541377898064558187970</v>
      </c>
      <c r="M37" s="68"/>
      <c r="N37" s="68">
        <v>88.79839022363304069096599969</v>
      </c>
      <c r="O37" s="73">
        <v>-10.664908912400029916863155280</v>
      </c>
      <c r="P37" s="68"/>
      <c r="Q37" s="68">
        <v>95.75675901094110864317350431</v>
      </c>
      <c r="R37" s="73">
        <v>-7.0015839020224388340965526700</v>
      </c>
      <c r="S37" s="68"/>
      <c r="T37" s="68">
        <v>94.11019538127715177427503410</v>
      </c>
      <c r="U37" s="73">
        <v>-8.089698703001630171308818610</v>
      </c>
      <c r="V37" s="68"/>
      <c r="W37" s="68">
        <v>91.07664953474186316600662169</v>
      </c>
      <c r="X37" s="73">
        <v>-4.1843033280589401683667709700</v>
      </c>
      <c r="Y37" s="174"/>
      <c r="Z37" s="68">
        <v>95.64030412045160667267969022</v>
      </c>
      <c r="AA37" s="73">
        <v>-4.8237931003773371169323864700</v>
      </c>
      <c r="AB37" s="1"/>
      <c r="AC37" s="1"/>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3.1" customHeight="1">
      <c r="A38" s="1"/>
      <c r="B38" s="1"/>
      <c r="C38" s="1"/>
      <c r="D38" s="1"/>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
      <c r="AC38" s="1"/>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9"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33.95" customHeight="1">
      <c r="A40" s="1"/>
      <c r="B40" s="653" t="s">
        <v>114</v>
      </c>
      <c r="C40" s="653"/>
      <c r="D40" s="653"/>
      <c r="E40" s="653"/>
      <c r="F40" s="653"/>
      <c r="G40" s="653"/>
      <c r="H40" s="653"/>
      <c r="I40" s="653"/>
      <c r="J40" s="653"/>
      <c r="K40" s="653"/>
      <c r="L40" s="653"/>
      <c r="M40" s="653"/>
      <c r="N40" s="653"/>
      <c r="O40" s="653"/>
      <c r="P40" s="653"/>
      <c r="Q40" s="653"/>
      <c r="R40" s="653"/>
      <c r="S40" s="653"/>
      <c r="T40" s="653"/>
      <c r="U40" s="653"/>
      <c r="V40" s="653"/>
      <c r="W40" s="653"/>
      <c r="X40" s="653"/>
      <c r="Y40" s="653"/>
      <c r="Z40" s="653"/>
      <c r="AA40" s="653"/>
      <c r="AB40" s="653"/>
      <c r="AC40" s="1"/>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80"/>
      <c r="Z41" s="241"/>
      <c r="AA41" s="1"/>
      <c r="AB41" s="1"/>
      <c r="AC41" s="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9"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sheetData>
  <mergeCells count="41">
    <mergeCell ref="H26:I26"/>
    <mergeCell ref="K26:L26"/>
    <mergeCell ref="N26:O26"/>
    <mergeCell ref="Z8:AA8"/>
    <mergeCell ref="Z25:AA25"/>
    <mergeCell ref="Z9:AA9"/>
    <mergeCell ref="Q26:R26"/>
    <mergeCell ref="T26:U26"/>
    <mergeCell ref="W26:X26"/>
    <mergeCell ref="K9:L9"/>
    <mergeCell ref="B10:B11"/>
    <mergeCell ref="B6:AB6"/>
    <mergeCell ref="E8:F8"/>
    <mergeCell ref="H8:I8"/>
    <mergeCell ref="K8:L8"/>
    <mergeCell ref="N8:O8"/>
    <mergeCell ref="Q8:R8"/>
    <mergeCell ref="T8:U8"/>
    <mergeCell ref="T9:U9"/>
    <mergeCell ref="W9:X9"/>
    <mergeCell ref="E9:F9"/>
    <mergeCell ref="H9:I9"/>
    <mergeCell ref="N9:O9"/>
    <mergeCell ref="Q9:R9"/>
    <mergeCell ref="W8:X8"/>
    <mergeCell ref="B40:AB40"/>
    <mergeCell ref="B31:B32"/>
    <mergeCell ref="B35:B36"/>
    <mergeCell ref="B14:B15"/>
    <mergeCell ref="B18:B19"/>
    <mergeCell ref="B27:B28"/>
    <mergeCell ref="B23:AB23"/>
    <mergeCell ref="E25:F25"/>
    <mergeCell ref="T25:U25"/>
    <mergeCell ref="N25:O25"/>
    <mergeCell ref="Q25:R25"/>
    <mergeCell ref="H25:I25"/>
    <mergeCell ref="K25:L25"/>
    <mergeCell ref="Z26:AA26"/>
    <mergeCell ref="W25:X25"/>
    <mergeCell ref="E26:F26"/>
  </mergeCells>
  <phoneticPr fontId="0" type="noConversion"/>
  <printOptions horizontalCentered="1" verticalCentered="1"/>
  <pageMargins left="0.25" right="0.25" top="0.25" bottom="0.25" header="0.5" footer="0.5"/>
  <pageSetup scale="69" orientation="landscape" r:id="rId1"/>
  <headerFooter alignWithMargins="0">
    <oddHeader/>
    <oddFooter/>
  </headerFooter>
  <drawing r:id="rId22"/>
</worksheet>
</file>

<file path=xl/worksheets/sheet2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pageSetUpPr fitToPage="1"/>
  </sheetPr>
  <dimension ref="A1:BM103"/>
  <sheetViews>
    <sheetView showGridLines="0" zoomScale="65" zoomScaleNormal="75" workbookViewId="0"/>
  </sheetViews>
  <sheetFormatPr defaultRowHeight="12.75"/>
  <cols>
    <col min="1" max="1" width="1" customWidth="1"/>
    <col min="2" max="2" width="20.28515625" customWidth="1"/>
    <col min="3" max="33" width="8.28515625" customWidth="1"/>
    <col min="34" max="34" width="1.7109375" customWidth="1"/>
    <col min="35" max="37" width="8.28515625" customWidth="1"/>
    <col min="38" max="38" width="3.7109375" customWidth="1"/>
    <col min="39" max="40" width="9.28515625" customWidth="1"/>
  </cols>
  <sheetData>
    <row r="1" ht="36" customHeight="1">
      <c r="A1" s="6"/>
      <c r="B1" s="39" t="s">
        <v>117</v>
      </c>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row>
    <row r="2" ht="15" customHeight="1">
      <c r="A2" s="5"/>
      <c r="B2" s="10" t="s">
        <v>132</v>
      </c>
      <c r="AD2" s="9"/>
      <c r="AE2" s="9"/>
      <c r="AF2" s="216"/>
      <c r="AG2" s="176"/>
      <c r="AI2" s="216"/>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row>
    <row r="3" ht="15" customHeight="1">
      <c r="A3" s="5"/>
      <c r="B3" s="10" t="s">
        <v>133</v>
      </c>
      <c r="AF3" s="176"/>
      <c r="AG3" s="176"/>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row>
    <row r="4" ht="15" customHeight="1">
      <c r="A4" s="5"/>
      <c r="B4" s="4" t="s">
        <v>134</v>
      </c>
      <c r="T4" s="654"/>
      <c r="U4" s="654"/>
      <c r="V4" s="654"/>
      <c r="W4" s="654"/>
      <c r="X4" s="654"/>
      <c r="Y4" s="654"/>
      <c r="Z4" s="654"/>
      <c r="AA4" s="654"/>
      <c r="AB4" s="654"/>
      <c r="AC4" s="654"/>
      <c r="AD4" s="654"/>
      <c r="AE4" s="654"/>
      <c r="AF4" s="654"/>
      <c r="AG4" s="654"/>
      <c r="AH4" s="654"/>
      <c r="AI4" s="65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row>
    <row r="5" ht="24" customHeight="1">
      <c r="A5" s="5"/>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row>
    <row r="6" ht="24" customHeight="1">
      <c r="A6" s="5"/>
      <c r="B6" t="s">
        <v>135</v>
      </c>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row>
    <row r="7" ht="24" customHeight="1">
      <c r="A7" s="5"/>
      <c r="Y7" s="26"/>
      <c r="Z7" s="26"/>
      <c r="AA7" s="26"/>
      <c r="AB7" s="26"/>
      <c r="AC7" s="26"/>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row>
    <row r="8" ht="24" customHeight="1">
      <c r="A8" s="5"/>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row>
    <row r="9" ht="24" customHeight="1">
      <c r="A9" s="5"/>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row>
    <row r="10" ht="24" customHeight="1">
      <c r="A10" s="5"/>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row>
    <row r="11" ht="24" customHeight="1">
      <c r="A11" s="5"/>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row>
    <row r="12" ht="24" customHeight="1">
      <c r="A12" s="5"/>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row>
    <row r="13" ht="24" customHeight="1">
      <c r="A13" s="5"/>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row>
    <row r="14" ht="24" customHeight="1">
      <c r="A14" s="5"/>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row>
    <row r="15" ht="24" customHeight="1">
      <c r="A15" s="5"/>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row>
    <row r="16" ht="24" customHeight="1">
      <c r="A16" s="5"/>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row>
    <row r="17" ht="24" customHeight="1">
      <c r="A17" s="5"/>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row>
    <row r="18" ht="24" customHeight="1">
      <c r="A18" s="5"/>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row>
    <row r="19" ht="15" customHeight="1">
      <c r="A19" s="5"/>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row>
    <row r="20" ht="15" customHeight="1">
      <c r="A20" s="5"/>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row>
    <row r="21" ht="30.75" customHeight="1">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row>
    <row r="22" ht="18" customHeight="1">
      <c r="A22" s="8"/>
      <c r="B22" s="29"/>
      <c r="X22" s="655"/>
      <c r="Y22" s="655"/>
      <c r="Z22" s="655"/>
      <c r="AA22" s="655"/>
      <c r="AB22" s="655"/>
      <c r="AC22" s="655"/>
      <c r="AD22" s="655"/>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row>
    <row r="23" s="21" customFormat="1" ht="16.5">
      <c r="C23" s="50" t="s">
        <v>52</v>
      </c>
      <c r="D23" s="50" t="s">
        <v>53</v>
      </c>
      <c r="E23" s="50" t="s">
        <v>49</v>
      </c>
      <c r="F23" s="50" t="s">
        <v>47</v>
      </c>
      <c r="G23" s="50" t="s">
        <v>48</v>
      </c>
      <c r="H23" s="50" t="s">
        <v>50</v>
      </c>
      <c r="I23" s="50" t="s">
        <v>51</v>
      </c>
      <c r="J23" s="50" t="s">
        <v>52</v>
      </c>
      <c r="K23" s="50" t="s">
        <v>53</v>
      </c>
      <c r="L23" s="50" t="s">
        <v>49</v>
      </c>
      <c r="M23" s="50" t="s">
        <v>47</v>
      </c>
      <c r="N23" s="50" t="s">
        <v>48</v>
      </c>
      <c r="O23" s="50" t="s">
        <v>50</v>
      </c>
      <c r="P23" s="50" t="s">
        <v>51</v>
      </c>
      <c r="Q23" s="50" t="s">
        <v>52</v>
      </c>
      <c r="R23" s="50" t="s">
        <v>53</v>
      </c>
      <c r="S23" s="50" t="s">
        <v>49</v>
      </c>
      <c r="T23" s="50" t="s">
        <v>47</v>
      </c>
      <c r="U23" s="50" t="s">
        <v>48</v>
      </c>
      <c r="V23" s="50" t="s">
        <v>50</v>
      </c>
      <c r="W23" s="50" t="s">
        <v>51</v>
      </c>
      <c r="X23" s="50" t="s">
        <v>52</v>
      </c>
      <c r="Y23" s="50" t="s">
        <v>53</v>
      </c>
      <c r="Z23" s="50" t="s">
        <v>49</v>
      </c>
      <c r="AA23" s="50" t="s">
        <v>47</v>
      </c>
      <c r="AB23" s="50" t="s">
        <v>48</v>
      </c>
      <c r="AC23" s="50" t="s">
        <v>50</v>
      </c>
      <c r="AD23" s="50" t="s">
        <v>51</v>
      </c>
      <c r="AE23" s="50" t="s">
        <v>52</v>
      </c>
      <c r="AF23" s="50" t="s">
        <v>53</v>
      </c>
      <c r="AG23" s="50" t="s">
        <v>49</v>
      </c>
      <c r="AH23" s="0"/>
      <c r="AJ23" s="0"/>
      <c r="AK23" s="0"/>
      <c r="AL23" s="0"/>
      <c r="AM23" s="244"/>
      <c r="AN23" s="244"/>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row>
    <row r="24" s="41" customFormat="1" ht="18">
      <c r="B24" s="615" t="s">
        <v>54</v>
      </c>
      <c r="C24" s="275" t="s">
        <v>136</v>
      </c>
      <c r="D24" s="276"/>
      <c r="E24" s="276"/>
      <c r="F24" s="276"/>
      <c r="G24" s="276"/>
      <c r="H24" s="276"/>
      <c r="I24" s="276"/>
      <c r="J24" s="276"/>
      <c r="K24" s="276"/>
      <c r="L24" s="276"/>
      <c r="M24" s="276"/>
      <c r="N24" s="276"/>
      <c r="O24" s="276"/>
      <c r="P24" s="276"/>
      <c r="Q24" s="276"/>
      <c r="R24" s="276"/>
      <c r="S24" s="277"/>
      <c r="T24" s="277"/>
      <c r="U24" s="277"/>
      <c r="V24" s="277"/>
      <c r="W24" s="277"/>
      <c r="X24" s="277"/>
      <c r="Y24" s="277"/>
      <c r="Z24" s="277"/>
      <c r="AA24" s="277"/>
      <c r="AB24" s="277"/>
      <c r="AC24" s="277"/>
      <c r="AD24" s="277"/>
      <c r="AE24" s="277"/>
      <c r="AF24" s="277"/>
      <c r="AG24" s="278"/>
      <c r="AH24" s="25"/>
      <c r="AI24" s="307" t="s">
        <v>59</v>
      </c>
      <c r="AJ24" s="307" t="s">
        <v>31</v>
      </c>
      <c r="AK24" s="307" t="s">
        <v>31</v>
      </c>
      <c r="AL24" s="25"/>
      <c r="AM24" s="248"/>
      <c r="AN24" s="248"/>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row>
    <row r="25" s="42" customFormat="1">
      <c r="B25" s="615"/>
      <c r="C25" s="284">
        <v>1</v>
      </c>
      <c r="D25">
        <v>2</v>
      </c>
      <c r="E25">
        <v>3</v>
      </c>
      <c r="F25">
        <v>4</v>
      </c>
      <c r="G25">
        <v>5</v>
      </c>
      <c r="H25">
        <v>6</v>
      </c>
      <c r="I25">
        <v>7</v>
      </c>
      <c r="J25">
        <v>8</v>
      </c>
      <c r="K25">
        <v>9</v>
      </c>
      <c r="L25">
        <v>10</v>
      </c>
      <c r="M25">
        <v>11</v>
      </c>
      <c r="N25">
        <v>12</v>
      </c>
      <c r="O25">
        <v>13</v>
      </c>
      <c r="P25">
        <v>14</v>
      </c>
      <c r="Q25">
        <v>15</v>
      </c>
      <c r="R25">
        <v>16</v>
      </c>
      <c r="S25">
        <v>17</v>
      </c>
      <c r="T25">
        <v>18</v>
      </c>
      <c r="U25">
        <v>19</v>
      </c>
      <c r="V25">
        <v>20</v>
      </c>
      <c r="W25">
        <v>21</v>
      </c>
      <c r="X25">
        <v>22</v>
      </c>
      <c r="Y25">
        <v>23</v>
      </c>
      <c r="Z25">
        <v>24</v>
      </c>
      <c r="AA25">
        <v>25</v>
      </c>
      <c r="AB25">
        <v>26</v>
      </c>
      <c r="AC25">
        <v>27</v>
      </c>
      <c r="AD25">
        <v>28</v>
      </c>
      <c r="AE25">
        <v>29</v>
      </c>
      <c r="AF25">
        <v>30</v>
      </c>
      <c r="AG25" s="285">
        <v>31</v>
      </c>
      <c r="AH25" s="25"/>
      <c r="AI25" s="308" t="s">
        <v>31</v>
      </c>
      <c r="AJ25" s="308" t="s">
        <v>88</v>
      </c>
      <c r="AK25" s="308" t="s">
        <v>89</v>
      </c>
      <c r="AL25" s="25"/>
      <c r="AM25" s="248"/>
      <c r="AN25" s="248"/>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row>
    <row r="26" ht="14.25">
      <c r="B26" s="404" t="s">
        <v>32</v>
      </c>
      <c r="C26" s="286">
        <v>56.2500</v>
      </c>
      <c r="D26" s="287">
        <v>50.0</v>
      </c>
      <c r="E26" s="287">
        <v>44.791666666666666666666666670</v>
      </c>
      <c r="F26" s="287">
        <v>57.291666666666666666666666670</v>
      </c>
      <c r="G26" s="287">
        <v>67.708333333333333333333333330</v>
      </c>
      <c r="H26" s="287">
        <v>56.2500</v>
      </c>
      <c r="I26" s="287">
        <v>60.416666666666666666666666670</v>
      </c>
      <c r="J26" s="287">
        <v>62.500</v>
      </c>
      <c r="K26" s="287">
        <v>51.041666666666666666666666670</v>
      </c>
      <c r="L26" s="287"/>
      <c r="M26" s="287"/>
      <c r="N26" s="287"/>
      <c r="O26" s="287"/>
      <c r="P26" s="287"/>
      <c r="Q26" s="287"/>
      <c r="R26" s="287"/>
      <c r="S26" s="287"/>
      <c r="T26" s="287"/>
      <c r="U26" s="287"/>
      <c r="V26" s="287"/>
      <c r="W26" s="287"/>
      <c r="X26" s="287"/>
      <c r="Y26" s="287"/>
      <c r="Z26" s="287"/>
      <c r="AA26" s="287"/>
      <c r="AB26" s="287"/>
      <c r="AC26" s="287"/>
      <c r="AD26" s="287"/>
      <c r="AE26" s="287"/>
      <c r="AF26" s="287"/>
      <c r="AG26" s="288"/>
      <c r="AH26" s="218"/>
      <c r="AI26" s="302">
        <v>56.2500</v>
      </c>
      <c r="AJ26" s="302">
        <v>57.291666666666666666666666670</v>
      </c>
      <c r="AK26" s="302">
        <v>54.947916666666666666666666670</v>
      </c>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row>
    <row r="27" ht="14.25">
      <c r="B27" s="201" t="s">
        <v>26</v>
      </c>
      <c r="C27" s="289">
        <v>59.726027397260273972602739730</v>
      </c>
      <c r="D27" s="202">
        <v>56.164383561643835616438356160</v>
      </c>
      <c r="E27" s="202">
        <v>53.698630136986301369863013700</v>
      </c>
      <c r="F27" s="202">
        <v>68.219178082191780821917808220</v>
      </c>
      <c r="G27" s="202">
        <v>75.342465753424657534246575340</v>
      </c>
      <c r="H27" s="202">
        <v>74.520547945205479452054794520</v>
      </c>
      <c r="I27" s="202">
        <v>71.780821917808219178082191780</v>
      </c>
      <c r="J27" s="202">
        <v>74.520547945205479452054794520</v>
      </c>
      <c r="K27" s="202">
        <v>71.780821917808219178082191780</v>
      </c>
      <c r="L27" s="202"/>
      <c r="M27" s="202"/>
      <c r="N27" s="202"/>
      <c r="O27" s="202"/>
      <c r="P27" s="202"/>
      <c r="Q27" s="202"/>
      <c r="R27" s="202"/>
      <c r="S27" s="202"/>
      <c r="T27" s="202"/>
      <c r="U27" s="202"/>
      <c r="V27" s="202"/>
      <c r="W27" s="202"/>
      <c r="X27" s="202"/>
      <c r="Y27" s="202"/>
      <c r="Z27" s="202"/>
      <c r="AA27" s="202"/>
      <c r="AB27" s="202"/>
      <c r="AC27" s="202"/>
      <c r="AD27" s="202"/>
      <c r="AE27" s="202"/>
      <c r="AF27" s="202"/>
      <c r="AG27" s="290"/>
      <c r="AH27" s="218"/>
      <c r="AI27" s="303">
        <v>67.305936073059360730593607310</v>
      </c>
      <c r="AJ27" s="303">
        <v>68.712328767123287671232876710</v>
      </c>
      <c r="AK27" s="303">
        <v>65.547945205479452054794520550</v>
      </c>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row>
    <row r="28" ht="14.25">
      <c r="A28" s="24"/>
      <c r="B28" s="49" t="s">
        <v>91</v>
      </c>
      <c r="C28" s="291">
        <v>94.18004587149699033646161897</v>
      </c>
      <c r="D28" s="292">
        <v>89.02439024397192147531236833</v>
      </c>
      <c r="E28" s="292">
        <v>83.41305272106715653416979580</v>
      </c>
      <c r="F28" s="292">
        <v>83.98176037482254570490798658</v>
      </c>
      <c r="G28" s="292">
        <v>89.86742424245365358126722725</v>
      </c>
      <c r="H28" s="292">
        <v>75.482536764711432539467993490</v>
      </c>
      <c r="I28" s="292">
        <v>84.16825699746510832459258507</v>
      </c>
      <c r="J28" s="292">
        <v>83.86948529412381393274221499</v>
      </c>
      <c r="K28" s="292">
        <v>71.107665394410177722500632210</v>
      </c>
      <c r="L28" s="292"/>
      <c r="M28" s="292"/>
      <c r="N28" s="292"/>
      <c r="O28" s="292"/>
      <c r="P28" s="292"/>
      <c r="Q28" s="292"/>
      <c r="R28" s="292"/>
      <c r="S28" s="292"/>
      <c r="T28" s="292"/>
      <c r="U28" s="292"/>
      <c r="V28" s="292"/>
      <c r="W28" s="292"/>
      <c r="X28" s="292"/>
      <c r="Y28" s="292"/>
      <c r="Z28" s="292"/>
      <c r="AA28" s="292"/>
      <c r="AB28" s="292"/>
      <c r="AC28" s="292"/>
      <c r="AD28" s="292"/>
      <c r="AE28" s="292"/>
      <c r="AF28" s="292"/>
      <c r="AG28" s="293"/>
      <c r="AH28" s="218"/>
      <c r="AI28" s="304">
        <v>83.57360922654383954395412211</v>
      </c>
      <c r="AJ28" s="304">
        <v>83.37902046786451574989275047</v>
      </c>
      <c r="AK28" s="304">
        <v>83.82858760011304572314869323</v>
      </c>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row>
    <row r="29" ht="12" customHeight="1">
      <c r="B29" s="0"/>
      <c r="AI29" s="22"/>
      <c r="AJ29" s="22"/>
      <c r="AK29" s="22"/>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row>
    <row r="30" ht="18">
      <c r="B30" s="29" t="s">
        <v>87</v>
      </c>
      <c r="AI30" s="22"/>
      <c r="AJ30" s="22"/>
      <c r="AK30" s="22"/>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row>
    <row r="31" ht="14.25">
      <c r="B31" s="46" t="s">
        <v>32</v>
      </c>
      <c r="C31" s="286">
        <v>-34.939759036119494846857299080</v>
      </c>
      <c r="D31" s="287">
        <v>-42.168674698772884308317599180</v>
      </c>
      <c r="E31" s="287">
        <v>-49.411764705901397923875425350</v>
      </c>
      <c r="F31" s="287">
        <v>-36.781609195402298850574712640</v>
      </c>
      <c r="G31" s="287">
        <v>-23.529411764734671280276805770</v>
      </c>
      <c r="H31" s="287">
        <v>-37.931034482758620689655172410</v>
      </c>
      <c r="I31" s="287">
        <v>-34.090909090933057851239660700</v>
      </c>
      <c r="J31" s="287">
        <v>-27.710843373466105385396998980</v>
      </c>
      <c r="K31" s="287">
        <v>-41.666666666666666666666666660</v>
      </c>
      <c r="L31" s="287"/>
      <c r="M31" s="287"/>
      <c r="N31" s="287"/>
      <c r="O31" s="287"/>
      <c r="P31" s="287"/>
      <c r="Q31" s="287"/>
      <c r="R31" s="287"/>
      <c r="S31" s="287"/>
      <c r="T31" s="287"/>
      <c r="U31" s="287"/>
      <c r="V31" s="287"/>
      <c r="W31" s="287"/>
      <c r="X31" s="287"/>
      <c r="Y31" s="287"/>
      <c r="Z31" s="287"/>
      <c r="AA31" s="287"/>
      <c r="AB31" s="287"/>
      <c r="AC31" s="287"/>
      <c r="AD31" s="287"/>
      <c r="AE31" s="287"/>
      <c r="AF31" s="287"/>
      <c r="AG31" s="288"/>
      <c r="AH31" s="218"/>
      <c r="AI31" s="302">
        <v>-36.470588235318034602076115560</v>
      </c>
      <c r="AJ31" s="302">
        <v>-36.046511627883180097349910020</v>
      </c>
      <c r="AK31" s="302">
        <v>-36.445783132505617651328194930</v>
      </c>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row>
    <row r="32" ht="14.25">
      <c r="B32" s="201" t="s">
        <v>26</v>
      </c>
      <c r="C32" s="289">
        <v>-32.507739938056465604002713600</v>
      </c>
      <c r="D32" s="202">
        <v>-40.058479532172506070243834430</v>
      </c>
      <c r="E32" s="202">
        <v>-36.569579288044364847456556660</v>
      </c>
      <c r="F32" s="202">
        <v>-28.242074927965264224435048730</v>
      </c>
      <c r="G32" s="202">
        <v>-21.875000000013316761363634100</v>
      </c>
      <c r="H32" s="202">
        <v>-23.163841807938906444508271890</v>
      </c>
      <c r="I32" s="202">
        <v>-21.321321321296512728945153560</v>
      </c>
      <c r="J32" s="202">
        <v>-15.527950310566876277921375760</v>
      </c>
      <c r="K32" s="202">
        <v>-15.755627009690997818467527290</v>
      </c>
      <c r="L32" s="202"/>
      <c r="M32" s="202"/>
      <c r="N32" s="202"/>
      <c r="O32" s="202"/>
      <c r="P32" s="202"/>
      <c r="Q32" s="202"/>
      <c r="R32" s="202"/>
      <c r="S32" s="202"/>
      <c r="T32" s="202"/>
      <c r="U32" s="202"/>
      <c r="V32" s="202"/>
      <c r="W32" s="202"/>
      <c r="X32" s="202"/>
      <c r="Y32" s="202"/>
      <c r="Z32" s="202"/>
      <c r="AA32" s="202"/>
      <c r="AB32" s="202"/>
      <c r="AC32" s="202"/>
      <c r="AD32" s="202"/>
      <c r="AE32" s="202"/>
      <c r="AF32" s="202"/>
      <c r="AG32" s="290"/>
      <c r="AH32" s="218"/>
      <c r="AI32" s="303">
        <v>-26.324558480469058631017232690</v>
      </c>
      <c r="AJ32" s="303">
        <v>-25.283018867896333214667130690</v>
      </c>
      <c r="AK32" s="303">
        <v>-27.279635258382976413743397790</v>
      </c>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row>
    <row r="33" ht="14.25">
      <c r="A33" s="24"/>
      <c r="B33" s="49" t="s">
        <v>91</v>
      </c>
      <c r="C33" s="291">
        <v>-3.603404443572570637412619700</v>
      </c>
      <c r="D33" s="292">
        <v>-3.5204231559926342700056338800</v>
      </c>
      <c r="E33" s="292">
        <v>-20.246098439408352463272460220</v>
      </c>
      <c r="F33" s="292">
        <v>-11.900475465058691189646965800</v>
      </c>
      <c r="G33" s="292">
        <v>-2.1176470587753418383483895700</v>
      </c>
      <c r="H33" s="292">
        <v>-19.219066937073684823447551480</v>
      </c>
      <c r="I33" s="292">
        <v>-16.230048577387676634451354950</v>
      </c>
      <c r="J33" s="292">
        <v>-14.422395464235306481220118950</v>
      </c>
      <c r="K33" s="292">
        <v>-30.756997455451968933620590160</v>
      </c>
      <c r="L33" s="292"/>
      <c r="M33" s="292"/>
      <c r="N33" s="292"/>
      <c r="O33" s="292"/>
      <c r="P33" s="292"/>
      <c r="Q33" s="292"/>
      <c r="R33" s="292"/>
      <c r="S33" s="292"/>
      <c r="T33" s="292"/>
      <c r="U33" s="292"/>
      <c r="V33" s="292"/>
      <c r="W33" s="292"/>
      <c r="X33" s="292"/>
      <c r="Y33" s="292"/>
      <c r="Z33" s="292"/>
      <c r="AA33" s="292"/>
      <c r="AB33" s="292"/>
      <c r="AC33" s="292"/>
      <c r="AD33" s="292"/>
      <c r="AE33" s="292"/>
      <c r="AF33" s="292"/>
      <c r="AG33" s="293"/>
      <c r="AH33" s="218"/>
      <c r="AI33" s="304">
        <v>-13.771250698479465249734935670</v>
      </c>
      <c r="AJ33" s="304">
        <v>-14.405684754510842407883606810</v>
      </c>
      <c r="AK33" s="304">
        <v>-12.604650577238101464797592710</v>
      </c>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row>
    <row r="34" ht="13.5" customHeight="1">
      <c r="B34" s="176"/>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43"/>
      <c r="AF34" s="43"/>
      <c r="AG34" s="43"/>
      <c r="AI34" s="43"/>
      <c r="AJ34" s="43"/>
      <c r="AK34" s="43"/>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row>
    <row r="35" ht="18" customHeight="1">
      <c r="A35" s="8"/>
      <c r="B35" s="29"/>
      <c r="X35" s="655"/>
      <c r="Y35" s="655"/>
      <c r="Z35" s="655"/>
      <c r="AA35" s="655"/>
      <c r="AB35" s="655"/>
      <c r="AC35" s="655"/>
      <c r="AD35" s="655"/>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row>
    <row r="36" s="41" customFormat="1" ht="18">
      <c r="B36" s="615" t="s">
        <v>12</v>
      </c>
      <c r="C36" s="275" t="s">
        <v>136</v>
      </c>
      <c r="D36" s="276"/>
      <c r="E36" s="276"/>
      <c r="F36" s="276"/>
      <c r="G36" s="276"/>
      <c r="H36" s="276"/>
      <c r="I36" s="276"/>
      <c r="J36" s="276"/>
      <c r="K36" s="276"/>
      <c r="L36" s="276"/>
      <c r="M36" s="276"/>
      <c r="N36" s="276"/>
      <c r="O36" s="276"/>
      <c r="P36" s="276"/>
      <c r="Q36" s="276"/>
      <c r="R36" s="276"/>
      <c r="S36" s="277"/>
      <c r="T36" s="277"/>
      <c r="U36" s="277"/>
      <c r="V36" s="277"/>
      <c r="W36" s="277"/>
      <c r="X36" s="277"/>
      <c r="Y36" s="277"/>
      <c r="Z36" s="277"/>
      <c r="AA36" s="277"/>
      <c r="AB36" s="277"/>
      <c r="AC36" s="277"/>
      <c r="AD36" s="277"/>
      <c r="AE36" s="277"/>
      <c r="AF36" s="277"/>
      <c r="AG36" s="278"/>
      <c r="AH36" s="25"/>
      <c r="AI36" s="307" t="s">
        <v>59</v>
      </c>
      <c r="AJ36" s="307" t="s">
        <v>31</v>
      </c>
      <c r="AK36" s="307" t="s">
        <v>31</v>
      </c>
      <c r="AL36" s="25"/>
      <c r="AM36" s="248"/>
      <c r="AN36" s="248"/>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row>
    <row r="37" s="42" customFormat="1">
      <c r="B37" s="615"/>
      <c r="C37" s="279">
        <v>1</v>
      </c>
      <c r="D37" s="280">
        <v>2</v>
      </c>
      <c r="E37" s="280">
        <v>3</v>
      </c>
      <c r="F37" s="280">
        <v>4</v>
      </c>
      <c r="G37" s="280">
        <v>5</v>
      </c>
      <c r="H37" s="280">
        <v>6</v>
      </c>
      <c r="I37" s="280">
        <v>7</v>
      </c>
      <c r="J37" s="280">
        <v>8</v>
      </c>
      <c r="K37" s="280">
        <v>9</v>
      </c>
      <c r="L37" s="280">
        <v>10</v>
      </c>
      <c r="M37" s="280">
        <v>11</v>
      </c>
      <c r="N37" s="280">
        <v>12</v>
      </c>
      <c r="O37" s="280">
        <v>13</v>
      </c>
      <c r="P37" s="280">
        <v>14</v>
      </c>
      <c r="Q37" s="280">
        <v>15</v>
      </c>
      <c r="R37" s="280">
        <v>16</v>
      </c>
      <c r="S37" s="280">
        <v>17</v>
      </c>
      <c r="T37" s="280">
        <v>18</v>
      </c>
      <c r="U37" s="280">
        <v>19</v>
      </c>
      <c r="V37" s="280">
        <v>20</v>
      </c>
      <c r="W37" s="280">
        <v>21</v>
      </c>
      <c r="X37" s="280">
        <v>22</v>
      </c>
      <c r="Y37" s="280">
        <v>23</v>
      </c>
      <c r="Z37" s="280">
        <v>24</v>
      </c>
      <c r="AA37" s="280">
        <v>25</v>
      </c>
      <c r="AB37" s="280">
        <v>26</v>
      </c>
      <c r="AC37" s="280">
        <v>27</v>
      </c>
      <c r="AD37" s="280">
        <v>28</v>
      </c>
      <c r="AE37" s="280">
        <v>29</v>
      </c>
      <c r="AF37" s="280">
        <v>30</v>
      </c>
      <c r="AG37" s="281">
        <v>31</v>
      </c>
      <c r="AH37" s="25"/>
      <c r="AI37" s="308" t="s">
        <v>31</v>
      </c>
      <c r="AJ37" s="308" t="s">
        <v>88</v>
      </c>
      <c r="AK37" s="308" t="s">
        <v>89</v>
      </c>
      <c r="AL37" s="25"/>
      <c r="AM37" s="248"/>
      <c r="AN37" s="248"/>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row>
    <row r="38" ht="14.25">
      <c r="B38" s="404" t="s">
        <v>32</v>
      </c>
      <c r="C38" s="294">
        <v>132.55555555555555555555555556</v>
      </c>
      <c r="D38" s="295">
        <v>136.60416666666666666666666667</v>
      </c>
      <c r="E38" s="295">
        <v>140.04651162790697674418604651</v>
      </c>
      <c r="F38" s="295">
        <v>129.32727272727272727272727273</v>
      </c>
      <c r="G38" s="295">
        <v>127.83076923076923076923076923</v>
      </c>
      <c r="H38" s="295">
        <v>133.74074074074074074074074074</v>
      </c>
      <c r="I38" s="295">
        <v>133.65517241379310344827586207</v>
      </c>
      <c r="J38" s="295">
        <v>141.300000000</v>
      </c>
      <c r="K38" s="295">
        <v>125.83673469387755102040816327</v>
      </c>
      <c r="L38" s="295"/>
      <c r="M38" s="295"/>
      <c r="N38" s="295"/>
      <c r="O38" s="295"/>
      <c r="P38" s="295"/>
      <c r="Q38" s="295"/>
      <c r="R38" s="295"/>
      <c r="S38" s="295"/>
      <c r="T38" s="295"/>
      <c r="U38" s="295"/>
      <c r="V38" s="295"/>
      <c r="W38" s="295"/>
      <c r="X38" s="295"/>
      <c r="Y38" s="295"/>
      <c r="Z38" s="295"/>
      <c r="AA38" s="295"/>
      <c r="AB38" s="295"/>
      <c r="AC38" s="295"/>
      <c r="AD38" s="295"/>
      <c r="AE38" s="295"/>
      <c r="AF38" s="295"/>
      <c r="AG38" s="296"/>
      <c r="AH38" s="218"/>
      <c r="AI38" s="305">
        <v>133.28600823045267489711934156</v>
      </c>
      <c r="AJ38" s="305">
        <v>132.42909090909090909090909091</v>
      </c>
      <c r="AK38" s="305">
        <v>134.4028436018957345971563981</v>
      </c>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row>
    <row r="39" ht="14.25">
      <c r="B39" s="201" t="s">
        <v>26</v>
      </c>
      <c r="C39" s="297">
        <v>129.31334862385321100917431192</v>
      </c>
      <c r="D39" s="207">
        <v>126.95448780487804878048780489</v>
      </c>
      <c r="E39" s="207">
        <v>120.8126020408163265306122449</v>
      </c>
      <c r="F39" s="207">
        <v>123.43931726907630522088353413</v>
      </c>
      <c r="G39" s="207">
        <v>124.35327272727272727272727273</v>
      </c>
      <c r="H39" s="207">
        <v>121.62121323529411764705882352</v>
      </c>
      <c r="I39" s="207">
        <v>116.02591603053435114503816794</v>
      </c>
      <c r="J39" s="207">
        <v>117.43488970588235294117647059</v>
      </c>
      <c r="K39" s="207">
        <v>118.23736641221374045801526718</v>
      </c>
      <c r="L39" s="207"/>
      <c r="M39" s="207"/>
      <c r="N39" s="207"/>
      <c r="O39" s="207"/>
      <c r="P39" s="207"/>
      <c r="Q39" s="207"/>
      <c r="R39" s="207"/>
      <c r="S39" s="207"/>
      <c r="T39" s="207"/>
      <c r="U39" s="207"/>
      <c r="V39" s="207"/>
      <c r="W39" s="207"/>
      <c r="X39" s="207"/>
      <c r="Y39" s="207"/>
      <c r="Z39" s="207"/>
      <c r="AA39" s="207"/>
      <c r="AB39" s="207"/>
      <c r="AC39" s="207"/>
      <c r="AD39" s="207"/>
      <c r="AE39" s="207"/>
      <c r="AF39" s="207"/>
      <c r="AG39" s="298"/>
      <c r="AH39" s="218"/>
      <c r="AI39" s="306">
        <v>121.76799185888738127544097693</v>
      </c>
      <c r="AJ39" s="306">
        <v>121.28594098883572567783094099</v>
      </c>
      <c r="AK39" s="306">
        <v>122.39964472309299895506792059</v>
      </c>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row>
    <row r="40" ht="14.25">
      <c r="A40" s="24"/>
      <c r="B40" s="49" t="s">
        <v>92</v>
      </c>
      <c r="C40" s="291">
        <v>102.50724845204134105573511925</v>
      </c>
      <c r="D40" s="292">
        <v>107.60089621770284732856779495</v>
      </c>
      <c r="E40" s="292">
        <v>115.92044973968148889831542494</v>
      </c>
      <c r="F40" s="292">
        <v>104.76991900833093172518828459</v>
      </c>
      <c r="G40" s="292">
        <v>102.79646560737906149084911494</v>
      </c>
      <c r="H40" s="292">
        <v>109.96497829864034229295181863</v>
      </c>
      <c r="I40" s="292">
        <v>115.19424020635084681024095840</v>
      </c>
      <c r="J40" s="292">
        <v>120.32199319458380893895415757</v>
      </c>
      <c r="K40" s="292">
        <v>106.42721375845312378496691734</v>
      </c>
      <c r="L40" s="292"/>
      <c r="M40" s="292"/>
      <c r="N40" s="292"/>
      <c r="O40" s="292"/>
      <c r="P40" s="292"/>
      <c r="Q40" s="292"/>
      <c r="R40" s="292"/>
      <c r="S40" s="292"/>
      <c r="T40" s="292"/>
      <c r="U40" s="292"/>
      <c r="V40" s="292"/>
      <c r="W40" s="292"/>
      <c r="X40" s="292"/>
      <c r="Y40" s="292"/>
      <c r="Z40" s="292"/>
      <c r="AA40" s="292"/>
      <c r="AB40" s="292"/>
      <c r="AC40" s="292"/>
      <c r="AD40" s="292"/>
      <c r="AE40" s="292"/>
      <c r="AF40" s="292"/>
      <c r="AG40" s="293"/>
      <c r="AH40" s="218"/>
      <c r="AI40" s="304">
        <v>109.45898523554474238556300827</v>
      </c>
      <c r="AJ40" s="304">
        <v>109.18750337379986149324155831</v>
      </c>
      <c r="AK40" s="304">
        <v>109.80656349611970599907529471</v>
      </c>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row>
    <row r="41" ht="12" customHeight="1">
      <c r="B41" s="0"/>
      <c r="AI41" s="22"/>
      <c r="AJ41" s="22"/>
      <c r="AK41" s="22"/>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row>
    <row r="42" ht="18">
      <c r="B42" s="29" t="s">
        <v>87</v>
      </c>
      <c r="AI42" s="22"/>
      <c r="AJ42" s="22"/>
      <c r="AK42" s="22"/>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row>
    <row r="43" ht="14.25">
      <c r="B43" s="46" t="s">
        <v>32</v>
      </c>
      <c r="C43" s="286">
        <v>1.6079711037237968145753124800</v>
      </c>
      <c r="D43" s="287">
        <v>5.8551566924839624339121561200</v>
      </c>
      <c r="E43" s="287">
        <v>15.628494301839782352033518690</v>
      </c>
      <c r="F43" s="287">
        <v>-0.7193794469952147852871993800</v>
      </c>
      <c r="G43" s="287">
        <v>-0.5890632697449608468840877400</v>
      </c>
      <c r="H43" s="287">
        <v>4.222899000723724856497842300</v>
      </c>
      <c r="I43" s="287">
        <v>6.7882256438436426152453705600</v>
      </c>
      <c r="J43" s="287">
        <v>15.216622457971206908278168560</v>
      </c>
      <c r="K43" s="287">
        <v>3.5490371697349400275435305100</v>
      </c>
      <c r="L43" s="287"/>
      <c r="M43" s="287"/>
      <c r="N43" s="287"/>
      <c r="O43" s="287"/>
      <c r="P43" s="287"/>
      <c r="Q43" s="287"/>
      <c r="R43" s="287"/>
      <c r="S43" s="287"/>
      <c r="T43" s="287"/>
      <c r="U43" s="287"/>
      <c r="V43" s="287"/>
      <c r="W43" s="287"/>
      <c r="X43" s="287"/>
      <c r="Y43" s="287"/>
      <c r="Z43" s="287"/>
      <c r="AA43" s="287"/>
      <c r="AB43" s="287"/>
      <c r="AC43" s="287"/>
      <c r="AD43" s="287"/>
      <c r="AE43" s="287"/>
      <c r="AF43" s="287"/>
      <c r="AG43" s="288"/>
      <c r="AH43" s="218"/>
      <c r="AI43" s="302">
        <v>4.9658187114127867386900799400</v>
      </c>
      <c r="AJ43" s="302">
        <v>4.4502016280534289968672712200</v>
      </c>
      <c r="AK43" s="302">
        <v>5.5120375082813558368822356600</v>
      </c>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row>
    <row r="44" ht="14.25">
      <c r="B44" s="201" t="s">
        <v>26</v>
      </c>
      <c r="C44" s="289">
        <v>11.375779371873720211064979400</v>
      </c>
      <c r="D44" s="202">
        <v>7.0636833139722817523467486900</v>
      </c>
      <c r="E44" s="202">
        <v>6.9140214520769305000287129300</v>
      </c>
      <c r="F44" s="202">
        <v>6.3542040112766509631498529600</v>
      </c>
      <c r="G44" s="202">
        <v>8.181919736683264479479087250</v>
      </c>
      <c r="H44" s="202">
        <v>6.5428954845558624891568811700</v>
      </c>
      <c r="I44" s="202">
        <v>2.0665525578355535215248902400</v>
      </c>
      <c r="J44" s="202">
        <v>1.2405245667488126150623414400</v>
      </c>
      <c r="K44" s="202">
        <v>1.9014781888804436477390254200</v>
      </c>
      <c r="L44" s="202"/>
      <c r="M44" s="202"/>
      <c r="N44" s="202"/>
      <c r="O44" s="202"/>
      <c r="P44" s="202"/>
      <c r="Q44" s="202"/>
      <c r="R44" s="202"/>
      <c r="S44" s="202"/>
      <c r="T44" s="202"/>
      <c r="U44" s="202"/>
      <c r="V44" s="202"/>
      <c r="W44" s="202"/>
      <c r="X44" s="202"/>
      <c r="Y44" s="202"/>
      <c r="Z44" s="202"/>
      <c r="AA44" s="202"/>
      <c r="AB44" s="202"/>
      <c r="AC44" s="202"/>
      <c r="AD44" s="202"/>
      <c r="AE44" s="202"/>
      <c r="AF44" s="202"/>
      <c r="AG44" s="290"/>
      <c r="AH44" s="218"/>
      <c r="AI44" s="303">
        <v>5.7913326318236508241411301600</v>
      </c>
      <c r="AJ44" s="303">
        <v>6.197528953784368292884656200</v>
      </c>
      <c r="AK44" s="303">
        <v>4.6807200019718724737058943700</v>
      </c>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row>
    <row r="45" ht="14.25">
      <c r="A45" s="24"/>
      <c r="B45" s="49" t="s">
        <v>92</v>
      </c>
      <c r="C45" s="291">
        <v>-8.770136849579656927899976870</v>
      </c>
      <c r="D45" s="292">
        <v>-1.1287923075716997146942580200</v>
      </c>
      <c r="E45" s="292">
        <v>8.150916719279946099048900130</v>
      </c>
      <c r="F45" s="292">
        <v>-6.6509674196836995531186766300</v>
      </c>
      <c r="G45" s="292">
        <v>-8.107623739528972911507867460</v>
      </c>
      <c r="H45" s="292">
        <v>-2.1775234033841490194158554300</v>
      </c>
      <c r="I45" s="292">
        <v>4.6260728590086469289468805100</v>
      </c>
      <c r="J45" s="292">
        <v>13.804845392773634432042115720</v>
      </c>
      <c r="K45" s="292">
        <v>1.6168155851361472031903843200</v>
      </c>
      <c r="L45" s="292"/>
      <c r="M45" s="292"/>
      <c r="N45" s="292"/>
      <c r="O45" s="292"/>
      <c r="P45" s="292"/>
      <c r="Q45" s="292"/>
      <c r="R45" s="292"/>
      <c r="S45" s="292"/>
      <c r="T45" s="292"/>
      <c r="U45" s="292"/>
      <c r="V45" s="292"/>
      <c r="W45" s="292"/>
      <c r="X45" s="292"/>
      <c r="Y45" s="292"/>
      <c r="Z45" s="292"/>
      <c r="AA45" s="292"/>
      <c r="AB45" s="292"/>
      <c r="AC45" s="292"/>
      <c r="AD45" s="292"/>
      <c r="AE45" s="292"/>
      <c r="AF45" s="292"/>
      <c r="AG45" s="293"/>
      <c r="AH45" s="218"/>
      <c r="AI45" s="304">
        <v>-0.7803228297549382114454330800</v>
      </c>
      <c r="AJ45" s="304">
        <v>-1.6453559163921782838783688900</v>
      </c>
      <c r="AK45" s="304">
        <v>0.7941457665204936532990544700</v>
      </c>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row>
    <row r="46" ht="13.5" customHeight="1">
      <c r="B46" s="176"/>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43"/>
      <c r="AF46" s="43"/>
      <c r="AG46" s="43"/>
      <c r="AI46" s="43"/>
      <c r="AJ46" s="43"/>
      <c r="AK46" s="43"/>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row>
    <row r="47" ht="18" customHeight="1">
      <c r="A47" s="8"/>
      <c r="B47" s="29"/>
      <c r="X47" s="655"/>
      <c r="Y47" s="655"/>
      <c r="Z47" s="655"/>
      <c r="AA47" s="655"/>
      <c r="AB47" s="655"/>
      <c r="AC47" s="655"/>
      <c r="AD47" s="655"/>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row>
    <row r="48" s="41" customFormat="1" ht="18">
      <c r="B48" s="615" t="s">
        <v>13</v>
      </c>
      <c r="C48" s="275" t="s">
        <v>136</v>
      </c>
      <c r="D48" s="276"/>
      <c r="E48" s="276"/>
      <c r="F48" s="276"/>
      <c r="G48" s="276"/>
      <c r="H48" s="276"/>
      <c r="I48" s="276"/>
      <c r="J48" s="276"/>
      <c r="K48" s="276"/>
      <c r="L48" s="276"/>
      <c r="M48" s="276"/>
      <c r="N48" s="276"/>
      <c r="O48" s="276"/>
      <c r="P48" s="276"/>
      <c r="Q48" s="276"/>
      <c r="R48" s="276"/>
      <c r="S48" s="277"/>
      <c r="T48" s="277"/>
      <c r="U48" s="277"/>
      <c r="V48" s="277"/>
      <c r="W48" s="277"/>
      <c r="X48" s="277"/>
      <c r="Y48" s="277"/>
      <c r="Z48" s="277"/>
      <c r="AA48" s="277"/>
      <c r="AB48" s="277"/>
      <c r="AC48" s="277"/>
      <c r="AD48" s="277"/>
      <c r="AE48" s="277"/>
      <c r="AF48" s="277"/>
      <c r="AG48" s="278"/>
      <c r="AH48" s="25"/>
      <c r="AI48" s="307" t="s">
        <v>59</v>
      </c>
      <c r="AJ48" s="307" t="s">
        <v>31</v>
      </c>
      <c r="AK48" s="307" t="s">
        <v>31</v>
      </c>
      <c r="AL48" s="25"/>
      <c r="AM48" s="248"/>
      <c r="AN48" s="248"/>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row>
    <row r="49" s="42" customFormat="1">
      <c r="B49" s="615"/>
      <c r="C49" s="279">
        <v>1</v>
      </c>
      <c r="D49" s="280">
        <v>2</v>
      </c>
      <c r="E49" s="280">
        <v>3</v>
      </c>
      <c r="F49" s="280">
        <v>4</v>
      </c>
      <c r="G49" s="280">
        <v>5</v>
      </c>
      <c r="H49" s="280">
        <v>6</v>
      </c>
      <c r="I49" s="280">
        <v>7</v>
      </c>
      <c r="J49" s="280">
        <v>8</v>
      </c>
      <c r="K49" s="280">
        <v>9</v>
      </c>
      <c r="L49" s="280">
        <v>10</v>
      </c>
      <c r="M49" s="280">
        <v>11</v>
      </c>
      <c r="N49" s="280">
        <v>12</v>
      </c>
      <c r="O49" s="280">
        <v>13</v>
      </c>
      <c r="P49" s="280">
        <v>14</v>
      </c>
      <c r="Q49" s="280">
        <v>15</v>
      </c>
      <c r="R49" s="280">
        <v>16</v>
      </c>
      <c r="S49" s="280">
        <v>17</v>
      </c>
      <c r="T49" s="280">
        <v>18</v>
      </c>
      <c r="U49" s="280">
        <v>19</v>
      </c>
      <c r="V49" s="280">
        <v>20</v>
      </c>
      <c r="W49" s="280">
        <v>21</v>
      </c>
      <c r="X49" s="280">
        <v>22</v>
      </c>
      <c r="Y49" s="280">
        <v>23</v>
      </c>
      <c r="Z49" s="280">
        <v>24</v>
      </c>
      <c r="AA49" s="280">
        <v>25</v>
      </c>
      <c r="AB49" s="280">
        <v>26</v>
      </c>
      <c r="AC49" s="280">
        <v>27</v>
      </c>
      <c r="AD49" s="280">
        <v>28</v>
      </c>
      <c r="AE49" s="280">
        <v>29</v>
      </c>
      <c r="AF49" s="280">
        <v>30</v>
      </c>
      <c r="AG49" s="281">
        <v>31</v>
      </c>
      <c r="AH49" s="25"/>
      <c r="AI49" s="308" t="s">
        <v>31</v>
      </c>
      <c r="AJ49" s="308" t="s">
        <v>88</v>
      </c>
      <c r="AK49" s="308" t="s">
        <v>89</v>
      </c>
      <c r="AL49" s="25"/>
      <c r="AM49" s="248"/>
      <c r="AN49" s="248"/>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row>
    <row r="50" ht="14.25">
      <c r="B50" s="404" t="s">
        <v>32</v>
      </c>
      <c r="C50" s="294">
        <v>74.562500000</v>
      </c>
      <c r="D50" s="295">
        <v>68.302083333333333333333333333</v>
      </c>
      <c r="E50" s="295">
        <v>62.729166666666666666666666667</v>
      </c>
      <c r="F50" s="295">
        <v>74.093750000</v>
      </c>
      <c r="G50" s="295">
        <v>86.55208333333333333333333333</v>
      </c>
      <c r="H50" s="295">
        <v>75.229166666666666666666666667</v>
      </c>
      <c r="I50" s="295">
        <v>80.750000000</v>
      </c>
      <c r="J50" s="295">
        <v>88.312500000</v>
      </c>
      <c r="K50" s="295">
        <v>64.229166666666666666666666667</v>
      </c>
      <c r="L50" s="295"/>
      <c r="M50" s="295"/>
      <c r="N50" s="295"/>
      <c r="O50" s="295"/>
      <c r="P50" s="295"/>
      <c r="Q50" s="295"/>
      <c r="R50" s="295"/>
      <c r="S50" s="295"/>
      <c r="T50" s="295"/>
      <c r="U50" s="295"/>
      <c r="V50" s="295"/>
      <c r="W50" s="295"/>
      <c r="X50" s="295"/>
      <c r="Y50" s="295"/>
      <c r="Z50" s="295"/>
      <c r="AA50" s="295"/>
      <c r="AB50" s="295"/>
      <c r="AC50" s="295"/>
      <c r="AD50" s="295"/>
      <c r="AE50" s="295"/>
      <c r="AF50" s="295"/>
      <c r="AG50" s="296"/>
      <c r="AH50" s="218"/>
      <c r="AI50" s="305">
        <v>74.97337962962962962962962963</v>
      </c>
      <c r="AJ50" s="305">
        <v>75.870833333333333333333333333</v>
      </c>
      <c r="AK50" s="305">
        <v>73.851562500</v>
      </c>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row>
    <row r="51" ht="14.25">
      <c r="B51" s="201" t="s">
        <v>26</v>
      </c>
      <c r="C51" s="297">
        <v>77.23372602739726027397260274</v>
      </c>
      <c r="D51" s="207">
        <v>71.303205479452054794520547945</v>
      </c>
      <c r="E51" s="207">
        <v>64.874712328767123287671232877</v>
      </c>
      <c r="F51" s="207">
        <v>84.20928767123287671232876712</v>
      </c>
      <c r="G51" s="207">
        <v>93.69082191780821917808219178</v>
      </c>
      <c r="H51" s="207">
        <v>90.63279452054794520547945205</v>
      </c>
      <c r="I51" s="207">
        <v>83.28435616438356164383561644</v>
      </c>
      <c r="J51" s="207">
        <v>87.51312328767123287671232877</v>
      </c>
      <c r="K51" s="207">
        <v>84.87175342465753424657534247</v>
      </c>
      <c r="L51" s="207"/>
      <c r="M51" s="207"/>
      <c r="N51" s="207"/>
      <c r="O51" s="207"/>
      <c r="P51" s="207"/>
      <c r="Q51" s="207"/>
      <c r="R51" s="207"/>
      <c r="S51" s="207"/>
      <c r="T51" s="207"/>
      <c r="U51" s="207"/>
      <c r="V51" s="207"/>
      <c r="W51" s="207"/>
      <c r="X51" s="207"/>
      <c r="Y51" s="207"/>
      <c r="Z51" s="207"/>
      <c r="AA51" s="207"/>
      <c r="AB51" s="207"/>
      <c r="AC51" s="207"/>
      <c r="AD51" s="207"/>
      <c r="AE51" s="207"/>
      <c r="AF51" s="207"/>
      <c r="AG51" s="298"/>
      <c r="AH51" s="218"/>
      <c r="AI51" s="306">
        <v>81.9570867579908675799086758</v>
      </c>
      <c r="AJ51" s="306">
        <v>83.33839452054794520547945205</v>
      </c>
      <c r="AK51" s="306">
        <v>80.23045205479452054794520548</v>
      </c>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row>
    <row r="52" ht="14.25">
      <c r="A52" s="24"/>
      <c r="B52" s="49" t="s">
        <v>93</v>
      </c>
      <c r="C52" s="291">
        <v>96.54137361383764345359757173</v>
      </c>
      <c r="D52" s="292">
        <v>95.79104175473639385406634218</v>
      </c>
      <c r="E52" s="292">
        <v>96.69278585582127404700666355</v>
      </c>
      <c r="F52" s="292">
        <v>87.98762232653398305617277786</v>
      </c>
      <c r="G52" s="292">
        <v>92.38053585362943427373999163</v>
      </c>
      <c r="H52" s="292">
        <v>83.00435517261996578543054157</v>
      </c>
      <c r="I52" s="292">
        <v>96.95698414309971739319694638</v>
      </c>
      <c r="J52" s="292">
        <v>100.91343638790269604708763904</v>
      </c>
      <c r="K52" s="292">
        <v>75.677907047899193780336775510</v>
      </c>
      <c r="L52" s="292"/>
      <c r="M52" s="292"/>
      <c r="N52" s="292"/>
      <c r="O52" s="292"/>
      <c r="P52" s="292"/>
      <c r="Q52" s="292"/>
      <c r="R52" s="292"/>
      <c r="S52" s="292"/>
      <c r="T52" s="292"/>
      <c r="U52" s="292"/>
      <c r="V52" s="292"/>
      <c r="W52" s="292"/>
      <c r="X52" s="292"/>
      <c r="Y52" s="292"/>
      <c r="Z52" s="292"/>
      <c r="AA52" s="292"/>
      <c r="AB52" s="292"/>
      <c r="AC52" s="292"/>
      <c r="AD52" s="292"/>
      <c r="AE52" s="292"/>
      <c r="AF52" s="292"/>
      <c r="AG52" s="293"/>
      <c r="AH52" s="218"/>
      <c r="AI52" s="304">
        <v>91.47882458414900120018932900</v>
      </c>
      <c r="AJ52" s="304">
        <v>91.03947078638554984656477347</v>
      </c>
      <c r="AK52" s="304">
        <v>92.04929127104629596685636248</v>
      </c>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row>
    <row r="53" ht="12" customHeight="1">
      <c r="B53" s="0"/>
      <c r="AI53" s="22"/>
      <c r="AJ53" s="22"/>
      <c r="AK53" s="22"/>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row>
    <row r="54" ht="18">
      <c r="B54" s="29" t="s">
        <v>87</v>
      </c>
      <c r="AI54" s="22"/>
      <c r="AJ54" s="22"/>
      <c r="AK54" s="22"/>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row>
    <row r="55" ht="14.25">
      <c r="B55" s="46" t="s">
        <v>32</v>
      </c>
      <c r="C55" s="286">
        <v>-33.893609161452857448345340860</v>
      </c>
      <c r="D55" s="287">
        <v>-38.782559985080374923727732500</v>
      </c>
      <c r="E55" s="287">
        <v>-41.505585235533056617071753840</v>
      </c>
      <c r="F55" s="287">
        <v>-37.236389305550088806651174470</v>
      </c>
      <c r="G55" s="287">
        <v>-23.97987191219060058644839800</v>
      </c>
      <c r="H55" s="287">
        <v>-35.309924758169742766102996850</v>
      </c>
      <c r="I55" s="287">
        <v>-29.616851280209299625558682610</v>
      </c>
      <c r="J55" s="287">
        <v>-16.710875331564986737400530500</v>
      </c>
      <c r="K55" s="287">
        <v>-39.596394984307083509399469300</v>
      </c>
      <c r="L55" s="287"/>
      <c r="M55" s="287"/>
      <c r="N55" s="287"/>
      <c r="O55" s="287"/>
      <c r="P55" s="287"/>
      <c r="Q55" s="287"/>
      <c r="R55" s="287"/>
      <c r="S55" s="287"/>
      <c r="T55" s="287"/>
      <c r="U55" s="287"/>
      <c r="V55" s="287"/>
      <c r="W55" s="287"/>
      <c r="X55" s="287"/>
      <c r="Y55" s="287"/>
      <c r="Z55" s="287"/>
      <c r="AA55" s="287"/>
      <c r="AB55" s="287"/>
      <c r="AC55" s="287"/>
      <c r="AD55" s="287"/>
      <c r="AE55" s="287"/>
      <c r="AF55" s="287"/>
      <c r="AG55" s="288"/>
      <c r="AH55" s="218"/>
      <c r="AI55" s="302">
        <v>-33.315832818638672761167019510</v>
      </c>
      <c r="AJ55" s="302">
        <v>-33.200452447182484223895050100</v>
      </c>
      <c r="AK55" s="302">
        <v>-32.942650860682945517719173390</v>
      </c>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row>
    <row r="56" ht="14.25">
      <c r="B56" s="201" t="s">
        <v>26</v>
      </c>
      <c r="C56" s="289">
        <v>-24.829969340340881270167604240</v>
      </c>
      <c r="D56" s="202">
        <v>-35.824400352713916526783384040</v>
      </c>
      <c r="E56" s="202">
        <v>-32.183986392841425404787262920</v>
      </c>
      <c r="F56" s="202">
        <v>-23.682429974635992401366498710</v>
      </c>
      <c r="G56" s="202">
        <v>-15.482875205717244031795140540</v>
      </c>
      <c r="H56" s="202">
        <v>-18.136532283029420448541769680</v>
      </c>
      <c r="I56" s="202">
        <v>-19.695385074630508535218522070</v>
      </c>
      <c r="J56" s="202">
        <v>-14.480053782100040478885281650</v>
      </c>
      <c r="K56" s="202">
        <v>-14.153738631903710815207362450</v>
      </c>
      <c r="L56" s="202"/>
      <c r="M56" s="202"/>
      <c r="N56" s="202"/>
      <c r="O56" s="202"/>
      <c r="P56" s="202"/>
      <c r="Q56" s="202"/>
      <c r="R56" s="202"/>
      <c r="S56" s="202"/>
      <c r="T56" s="202"/>
      <c r="U56" s="202"/>
      <c r="V56" s="202"/>
      <c r="W56" s="202"/>
      <c r="X56" s="202"/>
      <c r="Y56" s="202"/>
      <c r="Z56" s="202"/>
      <c r="AA56" s="202"/>
      <c r="AB56" s="202"/>
      <c r="AC56" s="202"/>
      <c r="AD56" s="202"/>
      <c r="AE56" s="202"/>
      <c r="AF56" s="202"/>
      <c r="AG56" s="290"/>
      <c r="AH56" s="218"/>
      <c r="AI56" s="303">
        <v>-22.057768594136209112498998740</v>
      </c>
      <c r="AJ56" s="303">
        <v>-20.652412328882759314522689510</v>
      </c>
      <c r="AK56" s="303">
        <v>-23.875798600393713056309082980</v>
      </c>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row>
    <row r="57" ht="14.25">
      <c r="A57" s="24"/>
      <c r="B57" s="49" t="s">
        <v>93</v>
      </c>
      <c r="C57" s="291">
        <v>-12.057517792061301555508374060</v>
      </c>
      <c r="D57" s="292">
        <v>-4.6094771979606605691062866400</v>
      </c>
      <c r="E57" s="292">
        <v>-13.745424342908992967344666560</v>
      </c>
      <c r="F57" s="292">
        <v>-17.759946138757051487620406060</v>
      </c>
      <c r="G57" s="292">
        <v>-10.053579942645347249446882730</v>
      </c>
      <c r="H57" s="292">
        <v>-20.978090660027111979745251480</v>
      </c>
      <c r="I57" s="292">
        <v>-12.354789590629578482724707530</v>
      </c>
      <c r="J57" s="292">
        <v>-2.6085394672388638610863974400</v>
      </c>
      <c r="K57" s="292">
        <v>-29.637465798726530928048233800</v>
      </c>
      <c r="L57" s="292"/>
      <c r="M57" s="292"/>
      <c r="N57" s="292"/>
      <c r="O57" s="292"/>
      <c r="P57" s="292"/>
      <c r="Q57" s="292"/>
      <c r="R57" s="292"/>
      <c r="S57" s="292"/>
      <c r="T57" s="292"/>
      <c r="U57" s="292"/>
      <c r="V57" s="292"/>
      <c r="W57" s="292"/>
      <c r="X57" s="292"/>
      <c r="Y57" s="292"/>
      <c r="Z57" s="292"/>
      <c r="AA57" s="292"/>
      <c r="AB57" s="292"/>
      <c r="AC57" s="292"/>
      <c r="AD57" s="292"/>
      <c r="AE57" s="292"/>
      <c r="AF57" s="292"/>
      <c r="AG57" s="293"/>
      <c r="AH57" s="218"/>
      <c r="AI57" s="304">
        <v>-14.444113314984748621749526580</v>
      </c>
      <c r="AJ57" s="304">
        <v>-15.814015884494610030319185140</v>
      </c>
      <c r="AK57" s="304">
        <v>-11.910604109649235325542599150</v>
      </c>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row>
    <row r="58" ht="13.5" customHeight="1">
      <c r="A58" s="0"/>
      <c r="B58" s="176"/>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0"/>
      <c r="AI58" s="43"/>
      <c r="AJ58" s="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row>
    <row r="59">
      <c r="A59" s="4"/>
      <c r="U59" s="4"/>
      <c r="V59" s="4"/>
      <c r="W59" s="4"/>
      <c r="X59" s="4"/>
      <c r="Y59" s="4"/>
      <c r="Z59" s="4"/>
      <c r="AA59" s="4"/>
      <c r="AB59" s="4"/>
      <c r="AC59" s="4"/>
      <c r="AD59" s="4"/>
      <c r="AE59" s="4"/>
      <c r="AF59" s="4"/>
      <c r="AG59" s="4"/>
      <c r="AH59" s="4"/>
      <c r="AI59" s="4"/>
      <c r="AJ59" s="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row>
    <row r="60" ht="15">
      <c r="A60" s="9"/>
      <c r="B60" s="656" t="s">
        <v>82</v>
      </c>
      <c r="C60" s="656"/>
      <c r="D60" s="656"/>
      <c r="E60" s="656"/>
      <c r="F60" s="656"/>
      <c r="G60" s="656"/>
      <c r="H60" s="656"/>
      <c r="I60" s="656"/>
      <c r="J60" s="656"/>
      <c r="K60" s="656"/>
      <c r="L60" s="656"/>
      <c r="M60" s="656"/>
      <c r="N60" s="656"/>
      <c r="O60" s="656"/>
      <c r="P60" s="656"/>
      <c r="Q60" s="656"/>
      <c r="R60" s="656"/>
      <c r="S60" s="656"/>
      <c r="T60" s="656"/>
      <c r="U60" s="656"/>
      <c r="V60" s="656"/>
      <c r="W60" s="656"/>
      <c r="X60" s="656"/>
      <c r="Y60" s="656"/>
      <c r="Z60" s="656"/>
      <c r="AA60" s="656"/>
      <c r="AB60" s="656"/>
      <c r="AC60" s="656"/>
      <c r="AD60" s="656"/>
      <c r="AE60" s="656"/>
      <c r="AF60" s="656"/>
      <c r="AG60" s="656"/>
      <c r="AH60" s="656"/>
      <c r="AI60" s="4"/>
      <c r="AJ60" s="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row>
    <row r="61" ht="14.25">
      <c r="A61" s="4"/>
      <c r="B61" s="53"/>
      <c r="C61" s="84">
        <v>100</v>
      </c>
      <c r="D61" s="84">
        <v>100</v>
      </c>
      <c r="E61" s="84">
        <v>100</v>
      </c>
      <c r="F61" s="84">
        <v>100</v>
      </c>
      <c r="G61" s="84">
        <v>100</v>
      </c>
      <c r="H61" s="84">
        <v>100</v>
      </c>
      <c r="I61" s="84">
        <v>100</v>
      </c>
      <c r="J61" s="84">
        <v>100</v>
      </c>
      <c r="K61" s="84">
        <v>100</v>
      </c>
      <c r="L61" s="84">
        <v>100</v>
      </c>
      <c r="M61" s="84">
        <v>100</v>
      </c>
      <c r="N61" s="84">
        <v>100</v>
      </c>
      <c r="O61" s="84">
        <v>100</v>
      </c>
      <c r="P61" s="84">
        <v>100</v>
      </c>
      <c r="Q61" s="84">
        <v>100</v>
      </c>
      <c r="R61" s="84">
        <v>100</v>
      </c>
      <c r="S61" s="84">
        <v>100</v>
      </c>
      <c r="T61" s="84">
        <v>100</v>
      </c>
      <c r="U61" s="84">
        <v>100</v>
      </c>
      <c r="V61" s="84">
        <v>100</v>
      </c>
      <c r="W61" s="84">
        <v>100</v>
      </c>
      <c r="X61" s="84">
        <v>100</v>
      </c>
      <c r="Y61" s="84">
        <v>100</v>
      </c>
      <c r="Z61" s="84">
        <v>100</v>
      </c>
      <c r="AA61" s="84">
        <v>100</v>
      </c>
      <c r="AB61" s="84">
        <v>100</v>
      </c>
      <c r="AC61" s="84">
        <v>100</v>
      </c>
      <c r="AD61" s="84">
        <v>100</v>
      </c>
      <c r="AE61" s="84">
        <v>100</v>
      </c>
      <c r="AF61" s="84">
        <v>100</v>
      </c>
      <c r="AG61" s="84">
        <v>100</v>
      </c>
      <c r="AH61" s="4"/>
      <c r="AI61" s="4"/>
      <c r="AJ61" s="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row>
    <row r="62" ht="26.1" customHeight="1">
      <c r="A62" s="4"/>
      <c r="B62" s="657" t="s">
        <v>114</v>
      </c>
      <c r="C62" s="657"/>
      <c r="D62" s="657"/>
      <c r="E62" s="657"/>
      <c r="F62" s="657"/>
      <c r="G62" s="657"/>
      <c r="H62" s="657"/>
      <c r="I62" s="657"/>
      <c r="J62" s="657"/>
      <c r="K62" s="657"/>
      <c r="L62" s="657"/>
      <c r="M62" s="657"/>
      <c r="N62" s="657"/>
      <c r="O62" s="657"/>
      <c r="P62" s="657"/>
      <c r="Q62" s="657"/>
      <c r="R62" s="657"/>
      <c r="S62" s="657"/>
      <c r="T62" s="657"/>
      <c r="U62" s="657"/>
      <c r="V62" s="657"/>
      <c r="W62" s="657"/>
      <c r="X62" s="657"/>
      <c r="Y62" s="657"/>
      <c r="Z62" s="657"/>
      <c r="AA62" s="657"/>
      <c r="AB62" s="657"/>
      <c r="AC62" s="657"/>
      <c r="AD62" s="657"/>
      <c r="AE62" s="657"/>
      <c r="AF62" s="657"/>
      <c r="AG62" s="657"/>
      <c r="AH62" s="657"/>
      <c r="AI62" s="657"/>
      <c r="AJ62" s="657"/>
      <c r="AK62" s="657"/>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c r="BL63" s="244"/>
      <c r="BM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row>
    <row r="70" s="25" customFormat="1">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row>
    <row r="71" s="25" customFormat="1" ht="10.5" customHeight="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row>
    <row r="72" s="25" customFormat="1">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row>
    <row r="73" s="84" customFormat="1">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row>
    <row r="74" s="84" customFormat="1">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row>
    <row r="75" s="84" customFormat="1">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row>
    <row r="76" s="84" customFormat="1">
      <c r="A76" s="250"/>
      <c r="B76" s="250"/>
      <c r="C76" s="250"/>
      <c r="D76" s="250"/>
      <c r="E76" s="250"/>
      <c r="F76" s="250"/>
      <c r="G76" s="250"/>
      <c r="H76" s="250"/>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49"/>
    </row>
    <row r="77" s="84" customFormat="1">
      <c r="A77" s="250"/>
      <c r="B77" s="250"/>
      <c r="C77" s="250"/>
      <c r="D77" s="250"/>
      <c r="E77" s="250"/>
      <c r="F77" s="250"/>
      <c r="G77" s="250"/>
      <c r="H77" s="250"/>
      <c r="I77" s="249"/>
      <c r="J77" s="249"/>
      <c r="K77" s="249"/>
      <c r="L77" s="249"/>
      <c r="M77" s="249"/>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row>
    <row r="78" s="84" customFormat="1">
      <c r="A78" s="250"/>
      <c r="B78" s="250"/>
      <c r="C78" s="250"/>
      <c r="D78" s="250"/>
      <c r="E78" s="250"/>
      <c r="F78" s="250"/>
      <c r="G78" s="250"/>
      <c r="H78" s="250"/>
      <c r="I78" s="249"/>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row>
    <row r="79" s="84" customFormat="1">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c r="BL97" s="244"/>
      <c r="BM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c r="BL99" s="244"/>
      <c r="BM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c r="BL100" s="244"/>
      <c r="BM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row>
  </sheetData>
  <mergeCells count="8">
    <mergeCell ref="B62:AK62"/>
    <mergeCell ref="T4:AI4"/>
    <mergeCell ref="B48:B49"/>
    <mergeCell ref="X22:AD22"/>
    <mergeCell ref="X35:AD35"/>
    <mergeCell ref="X47:AD47"/>
    <mergeCell ref="B24:B25"/>
    <mergeCell ref="B36:B37"/>
  </mergeCells>
  <phoneticPr fontId="0" type="noConversion"/>
  <printOptions horizontalCentered="1" verticalCentered="1"/>
  <pageMargins left="0.25" right="0.25" top="0.25" bottom="0.25" header="0" footer="0"/>
  <pageSetup scale="45" orientation="landscape" r:id="rId1"/>
  <headerFooter alignWithMargins="0">
    <oddHeader/>
    <oddFooter/>
  </headerFooter>
  <drawing r:id="rId26"/>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30446174</Manager>
  <Company>41</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16</vt:i4>
      </vt:variant>
      <vt:variant>
        <vt:lpstr>Named Ranges</vt:lpstr>
      </vt:variant>
      <vt:variant>
        <vt:i4>16</vt:i4>
      </vt:variant>
    </vt:vector>
  </HeadingPairs>
  <TitlesOfParts>
    <vt:vector baseType="lpstr" size="32">
      <vt:lpstr>Table of Contents</vt:lpstr>
      <vt:lpstr>Summary</vt:lpstr>
      <vt:lpstr>Plus Summary</vt:lpstr>
      <vt:lpstr>Combined</vt:lpstr>
      <vt:lpstr>MTD Classic</vt:lpstr>
      <vt:lpstr>Occ</vt:lpstr>
      <vt:lpstr>Occ Plus</vt:lpstr>
      <vt:lpstr>ADR</vt:lpstr>
      <vt:lpstr>ADR Plus</vt:lpstr>
      <vt:lpstr>RevPAR</vt:lpstr>
      <vt:lpstr>RevPAR Plus</vt:lpstr>
      <vt:lpstr>Other Revenue</vt:lpstr>
      <vt:lpstr>WeeklySTARsight</vt:lpstr>
      <vt:lpstr>Response</vt:lpstr>
      <vt:lpstr>Response Plus</vt:lpstr>
      <vt:lpstr>Help</vt:lpstr>
      <vt:lpstr>ADR!Print_Area</vt:lpstr>
      <vt:lpstr>'ADR Plus'!Print_Area</vt:lpstr>
      <vt:lpstr>Combined!Print_Area</vt:lpstr>
      <vt:lpstr>Help!Print_Area</vt:lpstr>
      <vt:lpstr>'MTD Classic'!Print_Area</vt:lpstr>
      <vt:lpstr>Occ!Print_Area</vt:lpstr>
      <vt:lpstr>'Occ Plus'!Print_Area</vt:lpstr>
      <vt:lpstr>'Other Revenue'!Print_Area</vt:lpstr>
      <vt:lpstr>'Plus Summary'!Print_Area</vt:lpstr>
      <vt:lpstr>Response!Print_Area</vt:lpstr>
      <vt:lpstr>'Response Plus'!Print_Area</vt:lpstr>
      <vt:lpstr>RevPAR!Print_Area</vt:lpstr>
      <vt:lpstr>'RevPAR Plus'!Print_Area</vt:lpstr>
      <vt:lpstr>Summary!Print_Area</vt:lpstr>
      <vt:lpstr>'Table of Contents'!Print_Area</vt:lpstr>
      <vt:lpstr>WeeklySTARsight!Print_Area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727|634</cp:category>
  <dcterms:created xsi:type="dcterms:W3CDTF">2003-06-11T18:24:11Z</dcterms:created>
  <dc:creator>STR, Inc.</dc:creator>
  <cp:keywords>64264</cp:keywords>
  <cp:lastModifiedBy>Jim Hawkins</cp:lastModifiedBy>
  <cp:lastPrinted>2016-02-16T16:32:42Z</cp:lastPrinted>
  <dcterms:modified xsi:type="dcterms:W3CDTF">2023-04-05T19:50:13Z</dcterms:modified>
  <dc:subject>64264</dc:subject>
  <dc:title>Weekly 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